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98FB0EAF-3C82-4E20-83D0-22EF6583DEDE}" xr6:coauthVersionLast="47" xr6:coauthVersionMax="47" xr10:uidLastSave="{00000000-0000-0000-0000-000000000000}"/>
  <bookViews>
    <workbookView xWindow="-110" yWindow="-110" windowWidth="19420" windowHeight="10420" tabRatio="961" firstSheet="2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  <externalReference r:id="rId30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5" i="73" l="1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H153" i="72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H129" i="72"/>
  <c r="F129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G74" i="72"/>
  <c r="G129" i="72" s="1"/>
  <c r="F74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O67" i="70"/>
  <c r="D67" i="70"/>
  <c r="C67" i="70"/>
  <c r="O66" i="70"/>
  <c r="N66" i="70"/>
  <c r="M66" i="70"/>
  <c r="L66" i="70"/>
  <c r="K66" i="70"/>
  <c r="J66" i="70"/>
  <c r="I66" i="70"/>
  <c r="H66" i="70"/>
  <c r="G66" i="70"/>
  <c r="F66" i="70"/>
  <c r="E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O60" i="70"/>
  <c r="N60" i="70"/>
  <c r="M60" i="70"/>
  <c r="L60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O43" i="70"/>
  <c r="N43" i="70"/>
  <c r="M43" i="70"/>
  <c r="L43" i="70"/>
  <c r="K43" i="70"/>
  <c r="J43" i="70"/>
  <c r="I43" i="70"/>
  <c r="H43" i="70"/>
  <c r="G43" i="70"/>
  <c r="F43" i="70"/>
  <c r="E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O37" i="70"/>
  <c r="N37" i="70"/>
  <c r="M37" i="70"/>
  <c r="L37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O19" i="70"/>
  <c r="N19" i="70"/>
  <c r="M19" i="70"/>
  <c r="L19" i="70"/>
  <c r="K19" i="70"/>
  <c r="J19" i="70"/>
  <c r="I19" i="70"/>
  <c r="H19" i="70"/>
  <c r="G19" i="70"/>
  <c r="F19" i="70"/>
  <c r="E19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D29" i="68"/>
  <c r="C29" i="68"/>
  <c r="G27" i="68"/>
  <c r="F27" i="68"/>
  <c r="E27" i="68"/>
  <c r="D27" i="68"/>
  <c r="C27" i="68"/>
  <c r="G26" i="68"/>
  <c r="F26" i="68"/>
  <c r="E26" i="68"/>
  <c r="D26" i="68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<sst xmlns="http://schemas.openxmlformats.org/spreadsheetml/2006/main" count="2093" uniqueCount="341">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</sst>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urnetinstitute.sharepoint.com/sites/WG-Modelling-Nutrition/Shared%20Documents/Development/LiST%20Optima%20bridge/App/ModData/Optima_template.xlsx" TargetMode="External"/><Relationship Id="rId1" Type="http://schemas.openxmlformats.org/officeDocument/2006/relationships/externalLinkPath" Target="https://burnetinstitute.sharepoint.com/sites/WG-Modelling-Nutrition/Shared%20Documents/Development/LiST%20Optima%20bridge/App/ModData/Optima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zoomScaleNormal="100" workbookViewId="0">
      <selection activeCell="C4" sqref="C4:G5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0.47702419856642964</v>
      </c>
      <c r="D2" s="114">
        <f>IFERROR(1-_xlfn.NORM.DIST(_xlfn.NORM.INV(SUM(D4:D5), 0, 1) + 1, 0, 1, TRUE), "")</f>
        <v>0.47702419856642964</v>
      </c>
      <c r="E2" s="114">
        <f>IFERROR(1-_xlfn.NORM.DIST(_xlfn.NORM.INV(SUM(E4:E5), 0, 1) + 1, 0, 1, TRUE), "")</f>
        <v>0.40847634403930777</v>
      </c>
      <c r="F2" s="114">
        <f>IFERROR(1-_xlfn.NORM.DIST(_xlfn.NORM.INV(SUM(F4:F5), 0, 1) + 1, 0, 1, TRUE), "")</f>
        <v>0.22074857548762972</v>
      </c>
      <c r="G2" s="114">
        <f>IFERROR(1-_xlfn.NORM.DIST(_xlfn.NORM.INV(SUM(G4:G5), 0, 1) + 1, 0, 1, TRUE), "")</f>
        <v>0.20249364172902928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0.34997580143357038</v>
      </c>
      <c r="D3" s="114">
        <f>IFERROR(_xlfn.NORM.DIST(_xlfn.NORM.INV(SUM(D4:D5), 0, 1) + 1, 0, 1, TRUE) - SUM(D4:D5), "")</f>
        <v>0.34997580143357038</v>
      </c>
      <c r="E3" s="114">
        <f>IFERROR(_xlfn.NORM.DIST(_xlfn.NORM.INV(SUM(E4:E5), 0, 1) + 1, 0, 1, TRUE) - SUM(E4:E5), "")</f>
        <v>0.37043861497708613</v>
      </c>
      <c r="F3" s="114">
        <f>IFERROR(_xlfn.NORM.DIST(_xlfn.NORM.INV(SUM(F4:F5), 0, 1) + 1, 0, 1, TRUE) - SUM(F4:F5), "")</f>
        <v>0.37033471885022728</v>
      </c>
      <c r="G3" s="114">
        <f>IFERROR(_xlfn.NORM.DIST(_xlfn.NORM.INV(SUM(G4:G5), 0, 1) + 1, 0, 1, TRUE) - SUM(G4:G5), "")</f>
        <v>0.36392076328140976</v>
      </c>
    </row>
    <row r="4" spans="1:15" ht="15.75" customHeight="1" x14ac:dyDescent="0.25">
      <c r="B4" s="5" t="s">
        <v>116</v>
      </c>
      <c r="C4" s="59">
        <v>0.107</v>
      </c>
      <c r="D4" s="59">
        <v>0.107</v>
      </c>
      <c r="E4" s="59">
        <v>0.14443032786885199</v>
      </c>
      <c r="F4" s="59">
        <v>0.256731867103416</v>
      </c>
      <c r="G4" s="59">
        <v>0.27929610299234497</v>
      </c>
    </row>
    <row r="5" spans="1:15" ht="15.75" customHeight="1" x14ac:dyDescent="0.25">
      <c r="B5" s="5" t="s">
        <v>340</v>
      </c>
      <c r="C5" s="59">
        <v>6.6000000000000003E-2</v>
      </c>
      <c r="D5" s="59">
        <v>6.6000000000000003E-2</v>
      </c>
      <c r="E5" s="59">
        <v>7.6654713114754094E-2</v>
      </c>
      <c r="F5" s="59">
        <v>0.152184838558727</v>
      </c>
      <c r="G5" s="59">
        <v>0.15428949199721601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topLeftCell="A132" zoomScale="85" zoomScaleNormal="85" workbookViewId="0">
      <selection activeCell="E61" sqref="E61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1.56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1.56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1.56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1.56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1.37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1.37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1.37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1.37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1.77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1.77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1.77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1.77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B5F3X1qHSBZapY7diaAza4NQ5r9XFriw8laxlc4COt72+Ujk0pb1hS8riQF198rL+84xoBOBSVABctdeRwSX/A==" saltValue="xYAJcit6o1hROI1gK06on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ignoredErrors>
    <ignoredError sqref="D158:H158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3" zoomScale="85" zoomScaleNormal="85" workbookViewId="0">
      <selection activeCell="E61" sqref="E61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61" sqref="E61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kXYctyiF3wAaSQNXBp/HbefFJgUcbSw2OS8UfQKLoXpyV4LgFfwIX4o9QjycUS9ftANxMII7GJn2AX6ns1epzw==" saltValue="Pkqg6VST+CmiuXNcc/RX4w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topLeftCell="A37" zoomScale="70" zoomScaleNormal="70" workbookViewId="0">
      <selection activeCell="E61" sqref="E61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0.64</v>
      </c>
      <c r="F6" s="104">
        <v>0.64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250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2">IF(D6=1,1,D6*0.9)</f>
        <v>1</v>
      </c>
      <c r="E29" s="104">
        <v>0.44</v>
      </c>
      <c r="F29" s="104">
        <v>0.44</v>
      </c>
      <c r="G29" s="104">
        <f t="shared" si="2"/>
        <v>1</v>
      </c>
    </row>
    <row r="30" spans="1:7" x14ac:dyDescent="0.25">
      <c r="B30" s="72" t="s">
        <v>280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338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284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70</v>
      </c>
      <c r="B40" s="45" t="s">
        <v>285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7">IF(D6=1,1,D6*1.1)</f>
        <v>1</v>
      </c>
      <c r="E52" s="104">
        <v>0.92</v>
      </c>
      <c r="F52" s="104">
        <v>0.92</v>
      </c>
      <c r="G52" s="104">
        <f t="shared" si="7"/>
        <v>1</v>
      </c>
    </row>
    <row r="53" spans="1:7" x14ac:dyDescent="0.25">
      <c r="B53" s="72" t="s">
        <v>290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339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291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294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70</v>
      </c>
      <c r="B63" s="45" t="s">
        <v>295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1z/4TYAwaY+EYj+y153i9aeop1JwHP5A10e+YgVNu6ozau0QxpNOWqck2bQVScsokzJ0JL5qMgW17JeGHT8hWA==" saltValue="O3dMUEvrpsb1vKHe4IbQ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13" zoomScale="70" zoomScaleNormal="70" workbookViewId="0">
      <selection activeCell="E61" sqref="E61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phBYoIMedPsAPyZSpwkROhBJL0sKsFTV3Ms1vfJkk7YyoPB8q67jRqScTrcMlW4MxFzdOCrekeuAemJF24UPng==" saltValue="x4oadVCUHm2TDF8v7AZXh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E61" sqref="E6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0.53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v>0.51</v>
      </c>
      <c r="M14" s="104">
        <v>0.51</v>
      </c>
      <c r="N14" s="104">
        <v>0.51</v>
      </c>
      <c r="O14" s="104">
        <v>0.51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f>0.72</f>
        <v>0.72</v>
      </c>
      <c r="F19" s="104">
        <f t="shared" ref="F19:O19" si="0">0.72</f>
        <v>0.72</v>
      </c>
      <c r="G19" s="104">
        <f t="shared" si="0"/>
        <v>0.72</v>
      </c>
      <c r="H19" s="104">
        <f t="shared" si="0"/>
        <v>0.72</v>
      </c>
      <c r="I19" s="104">
        <f t="shared" si="0"/>
        <v>0.72</v>
      </c>
      <c r="J19" s="104">
        <f t="shared" si="0"/>
        <v>0.72</v>
      </c>
      <c r="K19" s="104">
        <f t="shared" si="0"/>
        <v>0.72</v>
      </c>
      <c r="L19" s="104">
        <f t="shared" si="0"/>
        <v>0.72</v>
      </c>
      <c r="M19" s="104">
        <f t="shared" si="0"/>
        <v>0.72</v>
      </c>
      <c r="N19" s="104">
        <f t="shared" si="0"/>
        <v>0.72</v>
      </c>
      <c r="O19" s="104">
        <f t="shared" si="0"/>
        <v>0.72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104">
        <v>1</v>
      </c>
      <c r="J20" s="104">
        <v>1</v>
      </c>
      <c r="K20" s="104">
        <v>1</v>
      </c>
      <c r="L20" s="104">
        <v>1</v>
      </c>
      <c r="M20" s="104">
        <v>1</v>
      </c>
      <c r="N20" s="104">
        <v>1</v>
      </c>
      <c r="O20" s="104">
        <v>1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0.8</v>
      </c>
      <c r="F21" s="104">
        <v>0.8</v>
      </c>
      <c r="G21" s="104">
        <v>0.8</v>
      </c>
      <c r="H21" s="104">
        <v>0.8</v>
      </c>
      <c r="I21" s="104">
        <v>0.8</v>
      </c>
      <c r="J21" s="104">
        <v>0.8</v>
      </c>
      <c r="K21" s="104">
        <v>0.8</v>
      </c>
      <c r="L21" s="104">
        <v>0.8</v>
      </c>
      <c r="M21" s="104">
        <v>0.8</v>
      </c>
      <c r="N21" s="104">
        <v>0.8</v>
      </c>
      <c r="O21" s="104">
        <v>0.8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0.4</v>
      </c>
      <c r="D26" s="104">
        <v>0.4</v>
      </c>
      <c r="E26" s="104">
        <f t="shared" ref="E26:O26" si="1">IF(E3=1,1,E3*0.9)</f>
        <v>1</v>
      </c>
      <c r="F26" s="104">
        <f t="shared" si="1"/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f>L32</f>
        <v>0.38</v>
      </c>
      <c r="M37" s="104">
        <f t="shared" ref="M37:O37" si="4">M32</f>
        <v>0.38</v>
      </c>
      <c r="N37" s="104">
        <f t="shared" si="4"/>
        <v>0.38</v>
      </c>
      <c r="O37" s="104">
        <f t="shared" si="4"/>
        <v>0.38</v>
      </c>
    </row>
    <row r="38" spans="1:15" x14ac:dyDescent="0.25">
      <c r="B38" s="72" t="s">
        <v>337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64</v>
      </c>
      <c r="C42" s="104">
        <f t="shared" si="5"/>
        <v>1</v>
      </c>
      <c r="D42" s="104">
        <f t="shared" si="5"/>
        <v>1</v>
      </c>
      <c r="E42" s="104">
        <v>0.54</v>
      </c>
      <c r="F42" s="104">
        <v>0.54</v>
      </c>
      <c r="G42" s="104">
        <v>0.54</v>
      </c>
      <c r="H42" s="104">
        <v>0.54</v>
      </c>
      <c r="I42" s="104">
        <v>0.54</v>
      </c>
      <c r="J42" s="104">
        <v>0.54</v>
      </c>
      <c r="K42" s="104">
        <v>0.54</v>
      </c>
      <c r="L42" s="104">
        <v>0.54</v>
      </c>
      <c r="M42" s="104">
        <v>0.54</v>
      </c>
      <c r="N42" s="104">
        <v>0.54</v>
      </c>
      <c r="O42" s="104">
        <v>0.54</v>
      </c>
    </row>
    <row r="43" spans="1:15" x14ac:dyDescent="0.25">
      <c r="B43" s="72" t="s">
        <v>62</v>
      </c>
      <c r="C43" s="104">
        <f t="shared" si="5"/>
        <v>1</v>
      </c>
      <c r="D43" s="104">
        <f t="shared" si="5"/>
        <v>1</v>
      </c>
      <c r="E43" s="104">
        <f t="shared" si="5"/>
        <v>1</v>
      </c>
      <c r="F43" s="104">
        <f t="shared" si="5"/>
        <v>1</v>
      </c>
      <c r="G43" s="104">
        <f t="shared" si="5"/>
        <v>1</v>
      </c>
      <c r="H43" s="104">
        <f t="shared" si="5"/>
        <v>1</v>
      </c>
      <c r="I43" s="104">
        <f t="shared" si="5"/>
        <v>1</v>
      </c>
      <c r="J43" s="104">
        <f t="shared" si="5"/>
        <v>1</v>
      </c>
      <c r="K43" s="104">
        <f t="shared" si="5"/>
        <v>1</v>
      </c>
      <c r="L43" s="104">
        <f t="shared" si="5"/>
        <v>1</v>
      </c>
      <c r="M43" s="104">
        <f t="shared" si="5"/>
        <v>1</v>
      </c>
      <c r="N43" s="104">
        <f t="shared" si="5"/>
        <v>1</v>
      </c>
      <c r="O43" s="104">
        <f t="shared" si="5"/>
        <v>1</v>
      </c>
    </row>
    <row r="44" spans="1:15" x14ac:dyDescent="0.25">
      <c r="B44" s="72" t="s">
        <v>47</v>
      </c>
      <c r="C44" s="104">
        <f t="shared" si="5"/>
        <v>1</v>
      </c>
      <c r="D44" s="104">
        <f t="shared" si="5"/>
        <v>1</v>
      </c>
      <c r="E44" s="104">
        <v>0.7</v>
      </c>
      <c r="F44" s="104">
        <v>0.7</v>
      </c>
      <c r="G44" s="104">
        <v>0.7</v>
      </c>
      <c r="H44" s="104">
        <v>0.7</v>
      </c>
      <c r="I44" s="104">
        <v>0.7</v>
      </c>
      <c r="J44" s="104">
        <v>0.7</v>
      </c>
      <c r="K44" s="104">
        <v>0.7</v>
      </c>
      <c r="L44" s="104">
        <v>0.7</v>
      </c>
      <c r="M44" s="104">
        <v>0.7</v>
      </c>
      <c r="N44" s="104">
        <v>0.7</v>
      </c>
      <c r="O44" s="104">
        <v>0.7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0.7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183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201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184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185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182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59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f>L54</f>
        <v>0.7</v>
      </c>
      <c r="M60" s="104">
        <f t="shared" ref="M60:O60" si="9">M54</f>
        <v>0.7</v>
      </c>
      <c r="N60" s="104">
        <f t="shared" si="9"/>
        <v>0.7</v>
      </c>
      <c r="O60" s="104">
        <f t="shared" si="9"/>
        <v>0.7</v>
      </c>
    </row>
    <row r="61" spans="1:15" x14ac:dyDescent="0.25">
      <c r="B61" s="72" t="s">
        <v>337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O67" si="10">IF(C18=1,1,C18*1.05)</f>
        <v>1</v>
      </c>
      <c r="D64" s="104">
        <f t="shared" si="10"/>
        <v>1</v>
      </c>
      <c r="E64" s="104">
        <f t="shared" si="10"/>
        <v>1</v>
      </c>
      <c r="F64" s="104">
        <f t="shared" si="10"/>
        <v>1</v>
      </c>
      <c r="G64" s="104">
        <f t="shared" si="10"/>
        <v>1</v>
      </c>
      <c r="H64" s="104">
        <f t="shared" si="10"/>
        <v>1</v>
      </c>
      <c r="I64" s="104">
        <f t="shared" si="10"/>
        <v>1</v>
      </c>
      <c r="J64" s="104">
        <f t="shared" si="10"/>
        <v>1</v>
      </c>
      <c r="K64" s="104">
        <f t="shared" si="10"/>
        <v>1</v>
      </c>
      <c r="L64" s="104">
        <f t="shared" si="10"/>
        <v>1</v>
      </c>
      <c r="M64" s="104">
        <f t="shared" si="10"/>
        <v>1</v>
      </c>
      <c r="N64" s="104">
        <f t="shared" si="10"/>
        <v>1</v>
      </c>
      <c r="O64" s="104">
        <f t="shared" si="10"/>
        <v>1</v>
      </c>
    </row>
    <row r="65" spans="2:15" x14ac:dyDescent="0.25">
      <c r="B65" s="72" t="s">
        <v>64</v>
      </c>
      <c r="C65" s="104">
        <f t="shared" si="10"/>
        <v>1</v>
      </c>
      <c r="D65" s="104">
        <f t="shared" si="10"/>
        <v>1</v>
      </c>
      <c r="E65" s="104">
        <v>0.97</v>
      </c>
      <c r="F65" s="104">
        <v>0.97</v>
      </c>
      <c r="G65" s="104">
        <v>0.97</v>
      </c>
      <c r="H65" s="104">
        <v>0.97</v>
      </c>
      <c r="I65" s="104">
        <v>0.97</v>
      </c>
      <c r="J65" s="104">
        <v>0.97</v>
      </c>
      <c r="K65" s="104">
        <v>0.97</v>
      </c>
      <c r="L65" s="104">
        <v>0.97</v>
      </c>
      <c r="M65" s="104">
        <v>0.97</v>
      </c>
      <c r="N65" s="104">
        <v>0.97</v>
      </c>
      <c r="O65" s="104">
        <v>0.97</v>
      </c>
    </row>
    <row r="66" spans="2:15" x14ac:dyDescent="0.25">
      <c r="B66" s="72" t="s">
        <v>62</v>
      </c>
      <c r="C66" s="104">
        <f t="shared" si="10"/>
        <v>1</v>
      </c>
      <c r="D66" s="104">
        <f t="shared" si="10"/>
        <v>1</v>
      </c>
      <c r="E66" s="104">
        <f t="shared" si="10"/>
        <v>1</v>
      </c>
      <c r="F66" s="104">
        <f t="shared" si="10"/>
        <v>1</v>
      </c>
      <c r="G66" s="104">
        <f t="shared" si="10"/>
        <v>1</v>
      </c>
      <c r="H66" s="104">
        <f t="shared" si="10"/>
        <v>1</v>
      </c>
      <c r="I66" s="104">
        <f t="shared" si="10"/>
        <v>1</v>
      </c>
      <c r="J66" s="104">
        <f t="shared" si="10"/>
        <v>1</v>
      </c>
      <c r="K66" s="104">
        <f t="shared" si="10"/>
        <v>1</v>
      </c>
      <c r="L66" s="104">
        <f t="shared" si="10"/>
        <v>1</v>
      </c>
      <c r="M66" s="104">
        <f t="shared" si="10"/>
        <v>1</v>
      </c>
      <c r="N66" s="104">
        <f t="shared" si="10"/>
        <v>1</v>
      </c>
      <c r="O66" s="104">
        <f t="shared" si="10"/>
        <v>1</v>
      </c>
    </row>
    <row r="67" spans="2:15" x14ac:dyDescent="0.25">
      <c r="B67" s="72" t="s">
        <v>47</v>
      </c>
      <c r="C67" s="104">
        <f t="shared" si="10"/>
        <v>1</v>
      </c>
      <c r="D67" s="104">
        <f t="shared" si="10"/>
        <v>1</v>
      </c>
      <c r="E67" s="104">
        <v>0.92</v>
      </c>
      <c r="F67" s="104">
        <v>0.92</v>
      </c>
      <c r="G67" s="104">
        <v>0.92</v>
      </c>
      <c r="H67" s="104">
        <v>0.92</v>
      </c>
      <c r="I67" s="104">
        <v>0.92</v>
      </c>
      <c r="J67" s="104">
        <v>0.92</v>
      </c>
      <c r="K67" s="104">
        <v>0.92</v>
      </c>
      <c r="L67" s="104">
        <v>0.92</v>
      </c>
      <c r="M67" s="104">
        <v>0.92</v>
      </c>
      <c r="N67" s="104">
        <v>0.92</v>
      </c>
      <c r="O67" s="104">
        <f>IF(ISBLANK('[2]Nutritional status distribution'!O$14),0.92,(0.92*'[2]Nutritional status distribution'!O$14/(1-0.92*'[2]Nutritional status distribution'!O$14))
/ ('[2]Nutritional status distribution'!O$14/(1-'[2]Nutritional status distribution'!O$14)))</f>
        <v>0.92</v>
      </c>
    </row>
  </sheetData>
  <sheetProtection algorithmName="SHA-512" hashValue="VxuA4RjVvEpTTRrdj1nx3nEOsb12TN20TvDM1Yo7rQrSShLeaIq21P1wm68dDYSsPSZXqaO84QRXAIMU6v6QDw==" saltValue="ILS1T5ukuDTjni+nOZqh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61" sqref="E61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HUpA7AjTvLwWnlgtC1tm2fiS9wPOs42zu6vBKkaqvwFnyNC1+X+T5EJVAvXYcvIFhzpBAkO33dK8qZMxHxsFqQ==" saltValue="AXN6VdY9RdY6wDIJ4iehE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E61" sqref="E61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262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aAB2j9T45oaC9j84+uIDA0dxsV+xYoOLZb/VthQqVbI0C/9EBTh7/eo5yZkDK32vDU0kzs8b4J5LjX1Mf0p07Q==" saltValue="eqsleQXu8tCFWGm6wGbh7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E61" sqref="E61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R3K/sTS7xt6YAk6DcY+JZLUDsg+adf7ybCqVowN1GUWT+Mx0cOV3JOcp+AC5dXHnOVKk44VUUrMCjhJf70rmyQ==" saltValue="YX2eShOEWpY4c9pEW28Ed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2024-03-28T04:33:44Z</dcterms:modified>
</cp:coreProperties>
</file>