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n\"/>
    </mc:Choice>
  </mc:AlternateContent>
  <xr:revisionPtr revIDLastSave="0" documentId="13_ncr:1_{7F7DFEAE-979F-412F-8FA7-3F07498FBE35}" xr6:coauthVersionLast="47" xr6:coauthVersionMax="47" xr10:uidLastSave="{00000000-0000-0000-0000-000000000000}"/>
  <bookViews>
    <workbookView xWindow="-110" yWindow="-110" windowWidth="19420" windowHeight="10420" tabRatio="961" firstSheet="2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state="hidden" r:id="rId6"/>
    <sheet name="Economic los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F152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G97" i="72"/>
  <c r="F97" i="72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<sst xmlns="http://schemas.openxmlformats.org/spreadsheetml/2006/main" count="2093" uniqueCount="341">
  <si>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</si>
  <si>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</si>
  <si>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</si>
  <si>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</si>
  <si>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</si>
  <si>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</si>
  <si>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</si>
  <si>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</si>
  <si>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</si>
  <si>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</si>
  <si>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</si>
  <si>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</si>
  <si>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</si>
  <si>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</si>
  <si>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</si>
  <si>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</si>
  <si>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</si>
  <si>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</si>
  <si>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</si>
  <si>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</si>
  <si>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</si>
  <si>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</si>
  <si>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</si>
  <si>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</si>
  <si>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</si>
  <si>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</si>
  <si>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</si>
  <si>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</si>
  <si>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</si>
  <si>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</si>
  <si>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</si>
  <si>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</si>
  <si>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</si>
  <si>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</si>
  <si>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</si>
  <si>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</si>
  <si>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</si>
  <si>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</si>
  <si>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</si>
  <si>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</si>
  <si>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</si>
  <si>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</si>
  <si>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</si>
  <si>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</si>
  <si>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</si>
  <si>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</si>
  <si>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</si>
  <si>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</si>
  <si>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</si>
  <si>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</si>
  <si>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</si>
  <si>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</si>
  <si>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</si>
  <si>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</si>
  <si>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</si>
  <si>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</si>
  <si>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</si>
  <si>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</si>
  <si>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</si>
  <si>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</si>
  <si>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</si>
  <si>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</si>
  <si>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</si>
  <si>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</si>
  <si>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</si>
  <si>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</si>
  <si>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</si>
  <si>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</si>
  <si>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</si>
  <si>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</si>
  <si>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</si>
  <si>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</si>
  <si>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</si>
  <si>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</si>
  <si>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</si>
  <si>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</si>
  <si>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</si>
  <si>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</si>
  <si>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</si>
  <si>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</si>
  <si>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</si>
  <si>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</si>
  <si>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</si>
  <si>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</si>
  <si>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</si>
  <si>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</si>
  <si>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</si>
  <si>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</si>
  <si>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</si>
  <si>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</si>
  <si>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</si>
  <si>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</si>
  <si>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</si>
  <si>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</si>
  <si>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</si>
  <si>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</si>
  <si>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</si>
  <si>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</si>
  <si>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</si>
  <si>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</si>
  <si>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</si>
  <si>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</si>
  <si>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</si>
  <si>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</si>
  <si>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</si>
  <si>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</si>
  <si>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</si>
  <si>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</si>
  <si>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</si>
  <si>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</si>
  <si>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</si>
  <si>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</si>
  <si>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</si>
  <si>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</si>
  <si>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</si>
  <si>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</si>
  <si>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</si>
  <si>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</si>
  <si>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</si>
  <si>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</si>
  <si>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</si>
  <si>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</si>
  <si>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</si>
  <si>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</si>
  <si>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</si>
  <si>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</si>
  <si>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</si>
  <si>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</si>
  <si>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</si>
  <si>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</si>
  <si>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</si>
  <si>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</si>
  <si>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</si>
  <si>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</si>
  <si>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</si>
  <si>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</si>
  <si>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</si>
  <si>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</si>
  <si>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</si>
  <si>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</si>
  <si>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</si>
  <si>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</si>
  <si>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</si>
  <si>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</si>
  <si>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</si>
  <si>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</si>
  <si>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</si>
  <si>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</si>
  <si>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</si>
  <si>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</si>
  <si>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</si>
  <si>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</si>
  <si>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</si>
  <si>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</si>
  <si>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</si>
  <si>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</si>
  <si>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</si>
  <si>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</si>
  <si>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</si>
  <si>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</si>
  <si>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</si>
  <si>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</si>
  <si>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</si>
  <si>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</si>
  <si>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</si>
  <si>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</si>
  <si>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</si>
  <si>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</si>
  <si>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</si>
  <si>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</si>
  <si>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</si>
  <si>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</si>
  <si>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</si>
  <si>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</si>
  <si>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</si>
  <si>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</si>
  <si>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</si>
  <si>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</si>
  <si>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</si>
  <si>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</si>
  <si>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</si>
  <si>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</si>
  <si>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</si>
  <si>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</si>
  <si>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</si>
  <si>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</si>
  <si>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</si>
  <si>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</si>
  <si>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</si>
  <si>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</si>
  <si>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</si>
  <si>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</si>
  <si>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</si>
  <si>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</si>
  <si>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</si>
  <si>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</si>
  <si>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</si>
  <si>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</si>
  <si>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</si>
  <si>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</si>
  <si>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</si>
  <si>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</si>
  <si>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</si>
  <si>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</si>
  <si>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</si>
  <si>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</si>
  <si>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</si>
  <si>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</si>
  <si>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</si>
  <si>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</si>
  <si>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</si>
  <si>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</si>
  <si>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</si>
  <si>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</si>
  <si>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</si>
  <si>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</si>
  <si>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</si>
  <si>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</si>
  <si>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</si>
  <si>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</si>
  <si>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</si>
  <si>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</si>
  <si>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</si>
  <si>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</si>
  <si>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</si>
  <si>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</si>
  <si>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</si>
  <si>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</si>
  <si>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</si>
  <si>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</si>
  <si>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</si>
  <si>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</si>
  <si>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</si>
  <si>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</si>
  <si>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</si>
  <si>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</si>
  <si>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</si>
  <si>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</si>
  <si>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</si>
  <si>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</si>
  <si>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</si>
  <si>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</si>
  <si>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</si>
  <si>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</si>
  <si>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</si>
  <si>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</si>
  <si>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</si>
  <si>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</si>
  <si>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</si>
  <si>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</si>
  <si>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</si>
  <si>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</si>
  <si>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</si>
  <si>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</si>
  <si>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</si>
  <si>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</si>
  <si>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</si>
  <si>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</si>
  <si>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</si>
  <si>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</si>
  <si>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</si>
  <si>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</si>
  <si>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</si>
  <si>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</si>
  <si>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</si>
  <si>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</si>
  <si>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</si>
  <si>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</si>
  <si>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</si>
  <si>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</si>
  <si>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</si>
  <si>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</si>
  <si>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</si>
  <si>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</si>
  <si>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</si>
  <si>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</si>
  <si>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</si>
  <si>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</si>
  <si>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</si>
  <si>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</si>
  <si>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</si>
  <si>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</si>
  <si>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</si>
  <si>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</si>
  <si>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</si>
  <si>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</si>
  <si>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</si>
  <si>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</si>
  <si>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</si>
  <si>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</si>
  <si>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</si>
  <si>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</si>
  <si>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</si>
  <si>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</si>
  <si>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</si>
  <si>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</si>
  <si>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</si>
  <si>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</si>
  <si>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</si>
  <si>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</si>
  <si>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</si>
  <si>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</si>
  <si>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</si>
  <si>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</si>
  <si>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</si>
  <si>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</si>
  <si>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</si>
  <si>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</si>
  <si>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</si>
  <si>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</si>
  <si>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</si>
  <si>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</si>
  <si>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</si>
  <si>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</si>
  <si>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</si>
  <si>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</si>
  <si>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</si>
  <si>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</si>
  <si>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</si>
  <si>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</si>
  <si>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</si>
  <si>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</si>
  <si>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</si>
  <si>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</si>
  <si>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</si>
  <si>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Child death</t>
  </si>
  <si>
    <t>Type</t>
  </si>
  <si>
    <t>Max-increase per annum</t>
  </si>
  <si>
    <t>Max-decrease per annum</t>
  </si>
  <si>
    <t>Maternal death</t>
  </si>
  <si>
    <t>Child wasting episode</t>
  </si>
  <si>
    <t>Child turning age 5 stunted (over lifetime)</t>
  </si>
  <si>
    <t>Anaemic child (per year)</t>
  </si>
  <si>
    <t>Anaemic pregnant woman (per pregnancy)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</si>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</sst>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336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yLN0pX/prd0jk+BNovyFen5T0xSNCb//yEyPDsNsubzCqCm5SRlEC3TL+jJzJMw6XVYvxNN6ZRS1V3Ni5yNscg==" saltValue="j8Co9H26TdZeiJKijp8iO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3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4">
        <f>IFERROR(1-_xlfn.NORM.DIST(_xlfn.NORM.INV(SUM(C4:C5), 0, 1) + 1, 0, 1, TRUE), "")</f>
        <v>0.47702419856642964</v>
      </c>
      <c r="D2" s="114">
        <f>IFERROR(1-_xlfn.NORM.DIST(_xlfn.NORM.INV(SUM(D4:D5), 0, 1) + 1, 0, 1, TRUE), "")</f>
        <v>0.47702419856642964</v>
      </c>
      <c r="E2" s="114">
        <f>IFERROR(1-_xlfn.NORM.DIST(_xlfn.NORM.INV(SUM(E4:E5), 0, 1) + 1, 0, 1, TRUE), "")</f>
        <v>0.39561189127189544</v>
      </c>
      <c r="F2" s="114">
        <f>IFERROR(1-_xlfn.NORM.DIST(_xlfn.NORM.INV(SUM(F4:F5), 0, 1) + 1, 0, 1, TRUE), "")</f>
        <v>0.21320949938660438</v>
      </c>
      <c r="G2" s="114">
        <f>IFERROR(1-_xlfn.NORM.DIST(_xlfn.NORM.INV(SUM(G4:G5), 0, 1) + 1, 0, 1, TRUE), "")</f>
        <v>0.20249364172902928</v>
      </c>
    </row>
    <row r="3" spans="1:15" ht="15.75" customHeight="1" x14ac:dyDescent="0.25">
      <c r="B3" s="5" t="s">
        <v>118</v>
      </c>
      <c r="C3" s="114">
        <f>IFERROR(_xlfn.NORM.DIST(_xlfn.NORM.INV(SUM(C4:C5), 0, 1) + 1, 0, 1, TRUE) - SUM(C4:C5), "")</f>
        <v>0.34997580143357038</v>
      </c>
      <c r="D3" s="114">
        <f>IFERROR(_xlfn.NORM.DIST(_xlfn.NORM.INV(SUM(D4:D5), 0, 1) + 1, 0, 1, TRUE) - SUM(D4:D5), "")</f>
        <v>0.34997580143357038</v>
      </c>
      <c r="E3" s="114">
        <f>IFERROR(_xlfn.NORM.DIST(_xlfn.NORM.INV(SUM(E4:E5), 0, 1) + 1, 0, 1, TRUE) - SUM(E4:E5), "")</f>
        <v>0.37330306774449845</v>
      </c>
      <c r="F3" s="114">
        <f>IFERROR(_xlfn.NORM.DIST(_xlfn.NORM.INV(SUM(F4:F5), 0, 1) + 1, 0, 1, TRUE) - SUM(F4:F5), "")</f>
        <v>0.36787379495125261</v>
      </c>
      <c r="G3" s="114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340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335</v>
      </c>
      <c r="C8" s="114">
        <f>IFERROR(1-_xlfn.NORM.DIST(_xlfn.NORM.INV(SUM(C10:C11), 0, 1) + 1, 0, 1, TRUE), "")</f>
        <v>0.54287526907834005</v>
      </c>
      <c r="D8" s="114">
        <f>IFERROR(1-_xlfn.NORM.DIST(_xlfn.NORM.INV(SUM(D10:D11), 0, 1) + 1, 0, 1, TRUE), "")</f>
        <v>0.54287526907834005</v>
      </c>
      <c r="E8" s="114">
        <f>IFERROR(1-_xlfn.NORM.DIST(_xlfn.NORM.INV(SUM(E10:E11), 0, 1) + 1, 0, 1, TRUE), "")</f>
        <v>0.63394133132364583</v>
      </c>
      <c r="F8" s="114">
        <f>IFERROR(1-_xlfn.NORM.DIST(_xlfn.NORM.INV(SUM(F10:F11), 0, 1) + 1, 0, 1, TRUE), "")</f>
        <v>0.6759433871062428</v>
      </c>
      <c r="G8" s="114">
        <f>IFERROR(1-_xlfn.NORM.DIST(_xlfn.NORM.INV(SUM(G10:G11), 0, 1) + 1, 0, 1, TRUE), "")</f>
        <v>0.74154276352799009</v>
      </c>
    </row>
    <row r="9" spans="1:15" ht="15.75" customHeight="1" x14ac:dyDescent="0.25">
      <c r="B9" s="5" t="s">
        <v>334</v>
      </c>
      <c r="C9" s="114">
        <f>IFERROR(_xlfn.NORM.DIST(_xlfn.NORM.INV(SUM(C10:C11), 0, 1) + 1, 0, 1, TRUE) - SUM(C10:C11), "")</f>
        <v>0.32312473092165994</v>
      </c>
      <c r="D9" s="114">
        <f>IFERROR(_xlfn.NORM.DIST(_xlfn.NORM.INV(SUM(D10:D11), 0, 1) + 1, 0, 1, TRUE) - SUM(D10:D11), "")</f>
        <v>0.32312473092165994</v>
      </c>
      <c r="E9" s="114">
        <f>IFERROR(_xlfn.NORM.DIST(_xlfn.NORM.INV(SUM(E10:E11), 0, 1) + 1, 0, 1, TRUE) - SUM(E10:E11), "")</f>
        <v>0.27631097636866186</v>
      </c>
      <c r="F9" s="114">
        <f>IFERROR(_xlfn.NORM.DIST(_xlfn.NORM.INV(SUM(F10:F11), 0, 1) + 1, 0, 1, TRUE) - SUM(F10:F11), "")</f>
        <v>0.25141348847841583</v>
      </c>
      <c r="G9" s="114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222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223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32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139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137</v>
      </c>
      <c r="B10" s="45" t="s">
        <v>142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141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74</v>
      </c>
      <c r="B13" s="45" t="s">
        <v>143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165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326</v>
      </c>
      <c r="B1" s="29" t="s">
        <v>155</v>
      </c>
    </row>
    <row r="2" spans="1:2" x14ac:dyDescent="0.25">
      <c r="A2" s="27" t="s">
        <v>330</v>
      </c>
      <c r="B2" s="116">
        <v>10</v>
      </c>
    </row>
    <row r="3" spans="1:2" x14ac:dyDescent="0.25">
      <c r="A3" s="27" t="s">
        <v>331</v>
      </c>
      <c r="B3" s="116">
        <v>10</v>
      </c>
    </row>
    <row r="4" spans="1:2" x14ac:dyDescent="0.25">
      <c r="A4" s="27" t="s">
        <v>325</v>
      </c>
      <c r="B4" s="116">
        <v>50</v>
      </c>
    </row>
    <row r="5" spans="1:2" x14ac:dyDescent="0.25">
      <c r="A5" s="27" t="s">
        <v>329</v>
      </c>
      <c r="B5" s="116">
        <v>100</v>
      </c>
    </row>
    <row r="6" spans="1:2" x14ac:dyDescent="0.25">
      <c r="A6" s="27" t="s">
        <v>332</v>
      </c>
      <c r="B6" s="116">
        <v>5</v>
      </c>
    </row>
    <row r="7" spans="1:2" x14ac:dyDescent="0.25">
      <c r="A7" s="27" t="s">
        <v>333</v>
      </c>
      <c r="B7" s="116">
        <v>5</v>
      </c>
    </row>
  </sheetData>
  <sheetProtection algorithmName="SHA-512" hashValue="DBCb2Ybaw/wE0sQSoFF3XOef0A+KsOpzFMx9x/scd/yPGWrPUbVUCxmAfhayHYTG2xNx2cPQcqi1ht28yRZ6DQ==" saltValue="3KRcpLnuHZSqVZ+axnr2s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327</v>
      </c>
      <c r="G1" s="40" t="s">
        <v>328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337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66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337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144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168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193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194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190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131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132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84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58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337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67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28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85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60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32</v>
      </c>
      <c r="B18" s="39" t="s">
        <v>29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86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182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202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57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88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87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59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37</v>
      </c>
      <c r="B27" s="39" t="s">
        <v>192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183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201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184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185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35</v>
      </c>
      <c r="B33" s="39" t="s">
        <v>63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64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62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47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34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83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82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81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79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80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39" t="s">
        <v>29</v>
      </c>
      <c r="B2" s="101"/>
      <c r="C2" s="101"/>
      <c r="D2" s="101"/>
      <c r="E2" s="101"/>
      <c r="F2" s="101"/>
      <c r="G2" s="101"/>
      <c r="H2" s="101"/>
      <c r="I2" s="101" t="s">
        <v>189</v>
      </c>
      <c r="J2" s="101"/>
      <c r="K2" s="101"/>
    </row>
    <row r="3" spans="1:11" x14ac:dyDescent="0.25">
      <c r="A3" s="39" t="s">
        <v>86</v>
      </c>
      <c r="B3" s="101"/>
      <c r="C3" s="101"/>
      <c r="D3" s="101"/>
      <c r="E3" s="101"/>
      <c r="F3" s="101"/>
      <c r="G3" s="101"/>
      <c r="H3" s="101" t="s">
        <v>189</v>
      </c>
      <c r="I3" s="101"/>
      <c r="J3" s="101"/>
      <c r="K3" s="101"/>
    </row>
    <row r="4" spans="1:11" x14ac:dyDescent="0.25">
      <c r="A4" s="39" t="s">
        <v>61</v>
      </c>
      <c r="B4" s="101"/>
      <c r="C4" s="101"/>
      <c r="D4" s="101" t="s">
        <v>189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144</v>
      </c>
      <c r="B5" s="101"/>
      <c r="C5" s="101" t="s">
        <v>189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192</v>
      </c>
      <c r="B6" s="101"/>
      <c r="C6" s="101"/>
      <c r="D6" s="101"/>
      <c r="E6" s="101"/>
      <c r="F6" s="101"/>
      <c r="G6" s="101"/>
      <c r="H6" s="101"/>
      <c r="I6" s="101"/>
      <c r="J6" s="101" t="s">
        <v>189</v>
      </c>
      <c r="K6" s="101" t="s">
        <v>189</v>
      </c>
    </row>
    <row r="7" spans="1:11" x14ac:dyDescent="0.25">
      <c r="A7" s="39" t="s">
        <v>63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/>
      <c r="J7" s="101"/>
      <c r="K7" s="101"/>
    </row>
    <row r="8" spans="1:11" x14ac:dyDescent="0.25">
      <c r="A8" s="39" t="s">
        <v>64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/>
      <c r="J8" s="101"/>
      <c r="K8" s="101"/>
    </row>
    <row r="9" spans="1:11" x14ac:dyDescent="0.25">
      <c r="A9" s="39" t="s">
        <v>62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/>
      <c r="J9" s="101"/>
      <c r="K9" s="101"/>
    </row>
    <row r="10" spans="1:11" x14ac:dyDescent="0.25">
      <c r="A10" s="45" t="s">
        <v>183</v>
      </c>
      <c r="B10" s="101"/>
      <c r="C10" s="101" t="s">
        <v>189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201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184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185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182</v>
      </c>
      <c r="B14" s="101"/>
      <c r="C14" s="101" t="s">
        <v>189</v>
      </c>
      <c r="D14" s="101"/>
      <c r="E14" s="101"/>
      <c r="F14" s="101"/>
      <c r="G14" s="101"/>
      <c r="H14" s="101"/>
      <c r="I14" s="101" t="s">
        <v>189</v>
      </c>
      <c r="J14" s="101"/>
      <c r="K14" s="101"/>
    </row>
    <row r="15" spans="1:11" x14ac:dyDescent="0.25">
      <c r="A15" s="72" t="s">
        <v>202</v>
      </c>
      <c r="B15" s="101"/>
      <c r="C15" s="101" t="s">
        <v>189</v>
      </c>
      <c r="D15" s="101"/>
      <c r="E15" s="101"/>
      <c r="F15" s="101"/>
      <c r="G15" s="101"/>
      <c r="H15" s="101"/>
      <c r="I15" s="101" t="s">
        <v>189</v>
      </c>
      <c r="J15" s="101"/>
      <c r="K15" s="101"/>
    </row>
    <row r="16" spans="1:11" x14ac:dyDescent="0.25">
      <c r="A16" s="39" t="s">
        <v>57</v>
      </c>
      <c r="B16" s="101"/>
      <c r="C16" s="101" t="s">
        <v>189</v>
      </c>
      <c r="D16" s="101"/>
      <c r="E16" s="101"/>
      <c r="F16" s="101"/>
      <c r="G16" s="101"/>
      <c r="H16" s="101" t="s">
        <v>189</v>
      </c>
      <c r="I16" s="101" t="s">
        <v>189</v>
      </c>
      <c r="J16" s="101"/>
      <c r="K16" s="101"/>
    </row>
    <row r="17" spans="1:11" x14ac:dyDescent="0.25">
      <c r="A17" s="39" t="s">
        <v>47</v>
      </c>
      <c r="B17" s="101"/>
      <c r="C17" s="101" t="s">
        <v>189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168</v>
      </c>
      <c r="B18" s="101" t="s">
        <v>189</v>
      </c>
      <c r="C18" s="101"/>
      <c r="D18" s="101"/>
      <c r="E18" s="101"/>
      <c r="F18" s="101" t="s">
        <v>189</v>
      </c>
      <c r="G18" s="101"/>
      <c r="H18" s="101"/>
      <c r="I18" s="101"/>
      <c r="J18" s="101"/>
      <c r="K18" s="101"/>
    </row>
    <row r="19" spans="1:11" x14ac:dyDescent="0.25">
      <c r="A19" s="39" t="s">
        <v>193</v>
      </c>
      <c r="B19" s="101" t="s">
        <v>189</v>
      </c>
      <c r="C19" s="101"/>
      <c r="D19" s="101"/>
      <c r="E19" s="101"/>
      <c r="F19" s="101" t="s">
        <v>189</v>
      </c>
      <c r="G19" s="101"/>
      <c r="H19" s="101"/>
      <c r="I19" s="101"/>
      <c r="J19" s="101"/>
      <c r="K19" s="101"/>
    </row>
    <row r="20" spans="1:11" x14ac:dyDescent="0.25">
      <c r="A20" s="39" t="s">
        <v>194</v>
      </c>
      <c r="B20" s="101" t="s">
        <v>189</v>
      </c>
      <c r="C20" s="101"/>
      <c r="D20" s="101"/>
      <c r="E20" s="101"/>
      <c r="F20" s="101" t="s">
        <v>189</v>
      </c>
      <c r="G20" s="101"/>
      <c r="H20" s="101"/>
      <c r="I20" s="101"/>
      <c r="J20" s="101"/>
      <c r="K20" s="101"/>
    </row>
    <row r="21" spans="1:11" x14ac:dyDescent="0.25">
      <c r="A21" s="39" t="s">
        <v>190</v>
      </c>
      <c r="B21" s="101"/>
      <c r="C21" s="101"/>
      <c r="D21" s="101"/>
      <c r="E21" s="101"/>
      <c r="F21" s="101"/>
      <c r="G21" s="101"/>
      <c r="H21" s="101" t="s">
        <v>189</v>
      </c>
      <c r="I21" s="101" t="s">
        <v>189</v>
      </c>
      <c r="J21" s="101"/>
      <c r="K21" s="101"/>
    </row>
    <row r="22" spans="1:11" x14ac:dyDescent="0.25">
      <c r="A22" s="39" t="s">
        <v>131</v>
      </c>
      <c r="B22" s="101" t="s">
        <v>189</v>
      </c>
      <c r="C22" s="101" t="s">
        <v>189</v>
      </c>
      <c r="D22" s="101" t="s">
        <v>189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34</v>
      </c>
      <c r="B23" s="101"/>
      <c r="C23" s="101" t="s">
        <v>189</v>
      </c>
      <c r="D23" s="101"/>
      <c r="E23" s="101"/>
      <c r="F23" s="101"/>
      <c r="G23" s="101"/>
      <c r="H23" s="101"/>
      <c r="I23" s="101" t="s">
        <v>189</v>
      </c>
      <c r="J23" s="101"/>
      <c r="K23" s="101"/>
    </row>
    <row r="24" spans="1:11" x14ac:dyDescent="0.25">
      <c r="A24" s="39" t="s">
        <v>88</v>
      </c>
      <c r="B24" s="101"/>
      <c r="C24" s="101"/>
      <c r="D24" s="101"/>
      <c r="E24" s="101"/>
      <c r="F24" s="101"/>
      <c r="G24" s="101"/>
      <c r="H24" s="101" t="s">
        <v>189</v>
      </c>
      <c r="I24" s="101"/>
      <c r="J24" s="101"/>
      <c r="K24" s="101"/>
    </row>
    <row r="25" spans="1:11" x14ac:dyDescent="0.25">
      <c r="A25" s="39" t="s">
        <v>87</v>
      </c>
      <c r="B25" s="101"/>
      <c r="C25" s="101"/>
      <c r="D25" s="101"/>
      <c r="E25" s="101"/>
      <c r="F25" s="101"/>
      <c r="G25" s="101"/>
      <c r="H25" s="101" t="s">
        <v>189</v>
      </c>
      <c r="I25" s="101"/>
      <c r="J25" s="101"/>
      <c r="K25" s="101"/>
    </row>
    <row r="26" spans="1:11" x14ac:dyDescent="0.25">
      <c r="A26" s="39" t="s">
        <v>132</v>
      </c>
      <c r="B26" s="101"/>
      <c r="C26" s="101" t="s">
        <v>189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59</v>
      </c>
      <c r="B27" s="101"/>
      <c r="C27" s="101" t="s">
        <v>189</v>
      </c>
      <c r="D27" s="101"/>
      <c r="E27" s="101"/>
      <c r="F27" s="101"/>
      <c r="G27" s="101"/>
      <c r="H27" s="101"/>
      <c r="I27" s="101" t="s">
        <v>189</v>
      </c>
      <c r="J27" s="101"/>
      <c r="K27" s="101"/>
    </row>
    <row r="28" spans="1:11" x14ac:dyDescent="0.25">
      <c r="A28" s="39" t="s">
        <v>84</v>
      </c>
      <c r="B28" s="101"/>
      <c r="C28" s="101"/>
      <c r="D28" s="101"/>
      <c r="E28" s="101"/>
      <c r="F28" s="101"/>
      <c r="G28" s="101"/>
      <c r="H28" s="101" t="s">
        <v>189</v>
      </c>
      <c r="I28" s="101"/>
      <c r="J28" s="101"/>
      <c r="K28" s="101"/>
    </row>
    <row r="29" spans="1:11" x14ac:dyDescent="0.25">
      <c r="A29" s="39" t="s">
        <v>58</v>
      </c>
      <c r="B29" s="101" t="s">
        <v>189</v>
      </c>
      <c r="C29" s="101"/>
      <c r="D29" s="101" t="s">
        <v>189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337</v>
      </c>
      <c r="B30" s="101" t="s">
        <v>189</v>
      </c>
      <c r="C30" s="101" t="s">
        <v>189</v>
      </c>
      <c r="D30" s="101" t="s">
        <v>189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67</v>
      </c>
      <c r="B31" s="101"/>
      <c r="C31" s="101"/>
      <c r="D31" s="101"/>
      <c r="E31" s="101" t="s">
        <v>189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28</v>
      </c>
      <c r="B32" s="101"/>
      <c r="C32" s="101"/>
      <c r="D32" s="101"/>
      <c r="E32" s="101"/>
      <c r="F32" s="101"/>
      <c r="G32" s="101" t="s">
        <v>189</v>
      </c>
      <c r="H32" s="101" t="s">
        <v>189</v>
      </c>
      <c r="I32" s="101"/>
      <c r="J32" s="101"/>
      <c r="K32" s="101"/>
    </row>
    <row r="33" spans="1:11" x14ac:dyDescent="0.25">
      <c r="A33" s="39" t="s">
        <v>83</v>
      </c>
      <c r="B33" s="101"/>
      <c r="C33" s="101"/>
      <c r="D33" s="101"/>
      <c r="E33" s="101"/>
      <c r="F33" s="101"/>
      <c r="G33" s="101" t="s">
        <v>189</v>
      </c>
      <c r="H33" s="101" t="s">
        <v>189</v>
      </c>
      <c r="I33" s="101"/>
      <c r="J33" s="101"/>
      <c r="K33" s="101"/>
    </row>
    <row r="34" spans="1:11" x14ac:dyDescent="0.25">
      <c r="A34" s="39" t="s">
        <v>82</v>
      </c>
      <c r="B34" s="101"/>
      <c r="C34" s="101"/>
      <c r="D34" s="101"/>
      <c r="E34" s="101"/>
      <c r="F34" s="101"/>
      <c r="G34" s="101" t="s">
        <v>189</v>
      </c>
      <c r="H34" s="101" t="s">
        <v>189</v>
      </c>
      <c r="I34" s="101"/>
      <c r="J34" s="101"/>
      <c r="K34" s="101"/>
    </row>
    <row r="35" spans="1:11" x14ac:dyDescent="0.25">
      <c r="A35" s="39" t="s">
        <v>81</v>
      </c>
      <c r="B35" s="101"/>
      <c r="C35" s="101"/>
      <c r="D35" s="101"/>
      <c r="E35" s="101"/>
      <c r="F35" s="101"/>
      <c r="G35" s="101" t="s">
        <v>189</v>
      </c>
      <c r="H35" s="101" t="s">
        <v>189</v>
      </c>
      <c r="I35" s="101"/>
      <c r="J35" s="101"/>
      <c r="K35" s="101"/>
    </row>
    <row r="36" spans="1:11" x14ac:dyDescent="0.25">
      <c r="A36" s="39" t="s">
        <v>79</v>
      </c>
      <c r="B36" s="101"/>
      <c r="C36" s="101"/>
      <c r="D36" s="101"/>
      <c r="E36" s="101"/>
      <c r="F36" s="101"/>
      <c r="G36" s="101" t="s">
        <v>189</v>
      </c>
      <c r="H36" s="101" t="s">
        <v>189</v>
      </c>
      <c r="I36" s="101"/>
      <c r="J36" s="101"/>
      <c r="K36" s="101"/>
    </row>
    <row r="37" spans="1:11" x14ac:dyDescent="0.25">
      <c r="A37" s="39" t="s">
        <v>80</v>
      </c>
      <c r="B37" s="101"/>
      <c r="C37" s="101"/>
      <c r="D37" s="101"/>
      <c r="E37" s="101"/>
      <c r="F37" s="101"/>
      <c r="G37" s="101" t="s">
        <v>189</v>
      </c>
      <c r="H37" s="101" t="s">
        <v>189</v>
      </c>
      <c r="I37" s="101"/>
      <c r="J37" s="101"/>
      <c r="K37" s="101"/>
    </row>
    <row r="38" spans="1:11" x14ac:dyDescent="0.25">
      <c r="A38" s="39" t="s">
        <v>85</v>
      </c>
      <c r="B38" s="101"/>
      <c r="C38" s="101"/>
      <c r="D38" s="101"/>
      <c r="E38" s="101"/>
      <c r="F38" s="101"/>
      <c r="G38" s="101"/>
      <c r="H38" s="101" t="s">
        <v>189</v>
      </c>
      <c r="I38" s="101"/>
      <c r="J38" s="101"/>
      <c r="K38" s="101"/>
    </row>
    <row r="39" spans="1:11" x14ac:dyDescent="0.25">
      <c r="A39" s="39" t="s">
        <v>60</v>
      </c>
      <c r="B39" s="101" t="s">
        <v>189</v>
      </c>
      <c r="C39" s="101"/>
      <c r="D39" s="101"/>
      <c r="E39" s="101"/>
      <c r="F39" s="101"/>
      <c r="G39" s="101" t="s">
        <v>189</v>
      </c>
      <c r="H39" s="101" t="s">
        <v>189</v>
      </c>
      <c r="I39" s="101"/>
      <c r="J39" s="101"/>
      <c r="K39" s="101"/>
    </row>
  </sheetData>
  <sheetProtection algorithmName="SHA-512" hashValue="KT/SqDavSjASqDkUgwfpCEF0XOBg9P6fieQhgTAcEba/ASJMb47rVlU4zC4HTJV+nXNwJxWR1dossciPFGfmzw==" saltValue="YfGwPQG7tte6/Un8ujf10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</row>
    <row r="2" spans="1:11" x14ac:dyDescent="0.25">
      <c r="A2" s="27" t="s">
        <v>1</v>
      </c>
      <c r="B2" s="101" t="s">
        <v>189</v>
      </c>
      <c r="C2" s="101" t="s">
        <v>189</v>
      </c>
      <c r="D2" s="101" t="s">
        <v>189</v>
      </c>
      <c r="E2" s="101" t="s">
        <v>189</v>
      </c>
      <c r="F2" s="101" t="s">
        <v>189</v>
      </c>
      <c r="G2" s="101" t="s">
        <v>189</v>
      </c>
      <c r="H2" s="101" t="s">
        <v>189</v>
      </c>
      <c r="I2" s="101"/>
      <c r="J2" s="101"/>
      <c r="K2" s="101"/>
    </row>
    <row r="3" spans="1:11" x14ac:dyDescent="0.25">
      <c r="A3" s="27" t="s">
        <v>2</v>
      </c>
      <c r="B3" s="101" t="s">
        <v>189</v>
      </c>
      <c r="C3" s="101" t="s">
        <v>189</v>
      </c>
      <c r="D3" s="101" t="s">
        <v>189</v>
      </c>
      <c r="E3" s="101" t="s">
        <v>189</v>
      </c>
      <c r="F3" s="101" t="s">
        <v>189</v>
      </c>
      <c r="G3" s="101" t="s">
        <v>189</v>
      </c>
      <c r="H3" s="101" t="s">
        <v>189</v>
      </c>
      <c r="I3" s="101"/>
      <c r="J3" s="101"/>
      <c r="K3" s="101"/>
    </row>
    <row r="4" spans="1:11" x14ac:dyDescent="0.25">
      <c r="A4" s="27" t="s">
        <v>3</v>
      </c>
      <c r="B4" s="101" t="s">
        <v>189</v>
      </c>
      <c r="C4" s="101" t="s">
        <v>189</v>
      </c>
      <c r="D4" s="101" t="s">
        <v>189</v>
      </c>
      <c r="E4" s="101" t="s">
        <v>189</v>
      </c>
      <c r="F4" s="101" t="s">
        <v>189</v>
      </c>
      <c r="G4" s="101" t="s">
        <v>189</v>
      </c>
      <c r="H4" s="101" t="s">
        <v>189</v>
      </c>
      <c r="I4" s="101"/>
      <c r="J4" s="101"/>
      <c r="K4" s="101"/>
    </row>
    <row r="5" spans="1:11" x14ac:dyDescent="0.25">
      <c r="A5" s="27" t="s">
        <v>4</v>
      </c>
      <c r="B5" s="101" t="s">
        <v>189</v>
      </c>
      <c r="C5" s="101" t="s">
        <v>189</v>
      </c>
      <c r="D5" s="101" t="s">
        <v>189</v>
      </c>
      <c r="E5" s="101" t="s">
        <v>189</v>
      </c>
      <c r="F5" s="101" t="s">
        <v>189</v>
      </c>
      <c r="G5" s="101" t="s">
        <v>189</v>
      </c>
      <c r="H5" s="101" t="s">
        <v>189</v>
      </c>
      <c r="I5" s="101"/>
      <c r="J5" s="101"/>
      <c r="K5" s="101"/>
    </row>
    <row r="6" spans="1:11" x14ac:dyDescent="0.25">
      <c r="A6" s="27" t="s">
        <v>5</v>
      </c>
      <c r="B6" s="101" t="s">
        <v>189</v>
      </c>
      <c r="C6" s="101" t="s">
        <v>189</v>
      </c>
      <c r="D6" s="101" t="s">
        <v>189</v>
      </c>
      <c r="E6" s="101" t="s">
        <v>189</v>
      </c>
      <c r="F6" s="101" t="s">
        <v>189</v>
      </c>
      <c r="G6" s="101" t="s">
        <v>189</v>
      </c>
      <c r="H6" s="101" t="s">
        <v>189</v>
      </c>
      <c r="I6" s="101"/>
      <c r="J6" s="101"/>
      <c r="K6" s="101"/>
    </row>
    <row r="7" spans="1:11" x14ac:dyDescent="0.25">
      <c r="A7" s="27" t="s">
        <v>53</v>
      </c>
      <c r="B7" s="101"/>
      <c r="C7" s="101" t="s">
        <v>189</v>
      </c>
      <c r="D7" s="101"/>
      <c r="E7" s="101"/>
      <c r="F7" s="101"/>
      <c r="G7" s="101"/>
      <c r="H7" s="101" t="s">
        <v>189</v>
      </c>
      <c r="I7" s="101" t="s">
        <v>189</v>
      </c>
      <c r="J7" s="101"/>
      <c r="K7" s="101"/>
    </row>
    <row r="8" spans="1:11" x14ac:dyDescent="0.25">
      <c r="A8" s="27" t="s">
        <v>54</v>
      </c>
      <c r="B8" s="101"/>
      <c r="C8" s="101" t="s">
        <v>189</v>
      </c>
      <c r="D8" s="101"/>
      <c r="E8" s="101"/>
      <c r="F8" s="101"/>
      <c r="G8" s="101"/>
      <c r="H8" s="101" t="s">
        <v>189</v>
      </c>
      <c r="I8" s="101" t="s">
        <v>189</v>
      </c>
      <c r="J8" s="101"/>
      <c r="K8" s="101"/>
    </row>
    <row r="9" spans="1:11" x14ac:dyDescent="0.25">
      <c r="A9" s="27" t="s">
        <v>55</v>
      </c>
      <c r="B9" s="101"/>
      <c r="C9" s="101" t="s">
        <v>189</v>
      </c>
      <c r="D9" s="101"/>
      <c r="E9" s="101"/>
      <c r="F9" s="101"/>
      <c r="G9" s="101"/>
      <c r="H9" s="101" t="s">
        <v>189</v>
      </c>
      <c r="I9" s="101" t="s">
        <v>189</v>
      </c>
      <c r="J9" s="101"/>
      <c r="K9" s="101"/>
    </row>
    <row r="10" spans="1:11" x14ac:dyDescent="0.25">
      <c r="A10" s="27" t="s">
        <v>56</v>
      </c>
      <c r="B10" s="101"/>
      <c r="C10" s="101" t="s">
        <v>189</v>
      </c>
      <c r="D10" s="101"/>
      <c r="E10" s="101"/>
      <c r="F10" s="101"/>
      <c r="G10" s="101"/>
      <c r="H10" s="101" t="s">
        <v>189</v>
      </c>
      <c r="I10" s="101" t="s">
        <v>189</v>
      </c>
      <c r="J10" s="101"/>
      <c r="K10" s="101"/>
    </row>
    <row r="11" spans="1:11" x14ac:dyDescent="0.25">
      <c r="A11" s="27" t="s">
        <v>49</v>
      </c>
      <c r="B11" s="101"/>
      <c r="C11" s="101" t="s">
        <v>189</v>
      </c>
      <c r="D11" s="101"/>
      <c r="E11" s="101"/>
      <c r="F11" s="101"/>
      <c r="G11" s="101"/>
      <c r="H11" s="101"/>
      <c r="I11" s="101"/>
      <c r="J11" s="101" t="s">
        <v>189</v>
      </c>
      <c r="K11" s="101" t="s">
        <v>189</v>
      </c>
    </row>
    <row r="12" spans="1:11" x14ac:dyDescent="0.25">
      <c r="A12" s="27" t="s">
        <v>50</v>
      </c>
      <c r="B12" s="101"/>
      <c r="C12" s="101" t="s">
        <v>189</v>
      </c>
      <c r="D12" s="101"/>
      <c r="E12" s="101"/>
      <c r="F12" s="101"/>
      <c r="G12" s="101"/>
      <c r="H12" s="101"/>
      <c r="I12" s="101"/>
      <c r="J12" s="101"/>
      <c r="K12" s="101" t="s">
        <v>189</v>
      </c>
    </row>
    <row r="13" spans="1:11" x14ac:dyDescent="0.25">
      <c r="A13" s="27" t="s">
        <v>51</v>
      </c>
      <c r="B13" s="101"/>
      <c r="C13" s="101" t="s">
        <v>189</v>
      </c>
      <c r="D13" s="101"/>
      <c r="E13" s="101"/>
      <c r="F13" s="101"/>
      <c r="G13" s="101"/>
      <c r="H13" s="101"/>
      <c r="I13" s="101"/>
      <c r="J13" s="101"/>
      <c r="K13" s="101" t="s">
        <v>189</v>
      </c>
    </row>
    <row r="14" spans="1:11" x14ac:dyDescent="0.25">
      <c r="A14" s="27" t="s">
        <v>52</v>
      </c>
      <c r="B14" s="101"/>
      <c r="C14" s="101" t="s">
        <v>189</v>
      </c>
      <c r="D14" s="101"/>
      <c r="E14" s="101"/>
      <c r="F14" s="101"/>
      <c r="G14" s="101"/>
      <c r="H14" s="101"/>
      <c r="I14" s="101"/>
      <c r="J14" s="101"/>
      <c r="K14" s="101" t="s">
        <v>189</v>
      </c>
    </row>
  </sheetData>
  <sheetProtection algorithmName="SHA-512" hashValue="VChsNIBKhiDuK+WFeT623q0VhyhzyYybi6GQ1rI1cDL1/H4Cudw3T0wwivBkkgqfNvkyglLrDNWdqcOSfnFdaA==" saltValue="udtZNinLThtDIlp30iddI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17" t="s">
        <v>32</v>
      </c>
      <c r="C2" s="27" t="s">
        <v>171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170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169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</v>
      </c>
      <c r="C5" s="27" t="s">
        <v>171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170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169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2</v>
      </c>
      <c r="C8" s="27" t="s">
        <v>171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170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169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3</v>
      </c>
      <c r="C11" s="27" t="s">
        <v>171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170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169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4</v>
      </c>
      <c r="C14" s="27" t="s">
        <v>171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170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169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167</v>
      </c>
      <c r="C17" s="27" t="s">
        <v>169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214</v>
      </c>
      <c r="B19" s="117" t="s">
        <v>32</v>
      </c>
      <c r="C19" s="27" t="s">
        <v>171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170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169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</v>
      </c>
      <c r="C22" s="27" t="s">
        <v>171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170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169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2</v>
      </c>
      <c r="C25" s="27" t="s">
        <v>171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170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169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3</v>
      </c>
      <c r="C28" s="27" t="s">
        <v>171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170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169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4</v>
      </c>
      <c r="C31" s="27" t="s">
        <v>171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170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169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167</v>
      </c>
      <c r="C34" s="27" t="s">
        <v>169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215</v>
      </c>
      <c r="B36" s="117" t="s">
        <v>32</v>
      </c>
      <c r="C36" s="27" t="s">
        <v>171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170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169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</v>
      </c>
      <c r="C39" s="27" t="s">
        <v>171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170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169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2</v>
      </c>
      <c r="C42" s="27" t="s">
        <v>171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170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169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3</v>
      </c>
      <c r="C45" s="27" t="s">
        <v>171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170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169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4</v>
      </c>
      <c r="C48" s="27" t="s">
        <v>171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170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169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167</v>
      </c>
      <c r="C51" s="27" t="s">
        <v>169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267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17" t="s">
        <v>32</v>
      </c>
      <c r="C55" s="27" t="s">
        <v>171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170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169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</v>
      </c>
      <c r="C58" s="27" t="s">
        <v>171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170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169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2</v>
      </c>
      <c r="C61" s="27" t="s">
        <v>171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170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169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3</v>
      </c>
      <c r="C64" s="27" t="s">
        <v>171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170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169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4</v>
      </c>
      <c r="C67" s="27" t="s">
        <v>171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170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169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167</v>
      </c>
      <c r="C70" s="27" t="s">
        <v>169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312</v>
      </c>
      <c r="B72" s="117" t="s">
        <v>32</v>
      </c>
      <c r="C72" s="27" t="s">
        <v>171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170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169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</v>
      </c>
      <c r="C75" s="27" t="s">
        <v>171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170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169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2</v>
      </c>
      <c r="C78" s="27" t="s">
        <v>171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170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169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3</v>
      </c>
      <c r="C81" s="27" t="s">
        <v>171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170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169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4</v>
      </c>
      <c r="C84" s="27" t="s">
        <v>171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170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169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167</v>
      </c>
      <c r="C87" s="27" t="s">
        <v>169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313</v>
      </c>
      <c r="B89" s="117" t="s">
        <v>32</v>
      </c>
      <c r="C89" s="27" t="s">
        <v>171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170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169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</v>
      </c>
      <c r="C92" s="27" t="s">
        <v>171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170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169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2</v>
      </c>
      <c r="C95" s="27" t="s">
        <v>171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170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169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3</v>
      </c>
      <c r="C98" s="27" t="s">
        <v>171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170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169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4</v>
      </c>
      <c r="C101" s="27" t="s">
        <v>171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170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169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268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17" t="s">
        <v>32</v>
      </c>
      <c r="C108" s="27" t="s">
        <v>171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170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169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</v>
      </c>
      <c r="C111" s="27" t="s">
        <v>171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170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169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2</v>
      </c>
      <c r="C114" s="27" t="s">
        <v>171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170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169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3</v>
      </c>
      <c r="C117" s="27" t="s">
        <v>171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170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169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4</v>
      </c>
      <c r="C120" s="27" t="s">
        <v>171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170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169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315</v>
      </c>
      <c r="B125" s="117" t="s">
        <v>32</v>
      </c>
      <c r="C125" s="27" t="s">
        <v>171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170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169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</v>
      </c>
      <c r="C128" s="27" t="s">
        <v>171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170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169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2</v>
      </c>
      <c r="C131" s="27" t="s">
        <v>171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170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169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3</v>
      </c>
      <c r="C134" s="27" t="s">
        <v>171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170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169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4</v>
      </c>
      <c r="C137" s="27" t="s">
        <v>171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170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169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316</v>
      </c>
      <c r="B142" s="117" t="s">
        <v>32</v>
      </c>
      <c r="C142" s="27" t="s">
        <v>171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170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169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</v>
      </c>
      <c r="C145" s="27" t="s">
        <v>171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170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169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2</v>
      </c>
      <c r="C148" s="27" t="s">
        <v>171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170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169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3</v>
      </c>
      <c r="C151" s="27" t="s">
        <v>171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170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169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4</v>
      </c>
      <c r="C154" s="27" t="s">
        <v>171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170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169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E90" sqref="E90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76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77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78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222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223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10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13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14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27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15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267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76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77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78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300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301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10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13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14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27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15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268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76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77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78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308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309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10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13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14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27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15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267</v>
      </c>
      <c r="H110" s="106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229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230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231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229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230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231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229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230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231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229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230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231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17</v>
      </c>
      <c r="C129" s="31" t="s">
        <v>228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229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230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231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229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230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231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229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65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66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16</v>
      </c>
      <c r="C144" s="31" t="s">
        <v>228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229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65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66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229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65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66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229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65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66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17</v>
      </c>
      <c r="C156" s="31" t="s">
        <v>228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229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65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66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23</v>
      </c>
      <c r="C160" s="31" t="s">
        <v>228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229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65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66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238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238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238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162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163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164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162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163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164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162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163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164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162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163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164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162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163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164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162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163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164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162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163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164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162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163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164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162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163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164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162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163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164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268</v>
      </c>
      <c r="H220" s="106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229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230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231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229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230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231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229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230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231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229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230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231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229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230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231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229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230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231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229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65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66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229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65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66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229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65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66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229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65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66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229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65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66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229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65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66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238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238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238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4" t="s">
        <v>244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245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131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337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60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247</v>
      </c>
    </row>
    <row r="12" spans="1:7" ht="14.25" customHeight="1" x14ac:dyDescent="0.3">
      <c r="A12" s="83"/>
      <c r="B12" s="45" t="s">
        <v>190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248</v>
      </c>
    </row>
    <row r="15" spans="1:7" ht="14.25" customHeight="1" x14ac:dyDescent="0.3">
      <c r="A15" s="96" t="s">
        <v>233</v>
      </c>
      <c r="B15" s="72" t="s">
        <v>249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250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70</v>
      </c>
      <c r="B17" s="45" t="s">
        <v>251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252</v>
      </c>
    </row>
    <row r="20" spans="1:7" s="83" customFormat="1" ht="14.25" customHeight="1" x14ac:dyDescent="0.3">
      <c r="C20" s="43" t="s">
        <v>49</v>
      </c>
      <c r="D20" s="43" t="s">
        <v>50</v>
      </c>
      <c r="E20" s="43" t="s">
        <v>51</v>
      </c>
      <c r="F20" s="43" t="s">
        <v>52</v>
      </c>
    </row>
    <row r="21" spans="1:7" x14ac:dyDescent="0.25">
      <c r="B21" s="45" t="s">
        <v>192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267</v>
      </c>
    </row>
    <row r="24" spans="1:7" ht="13" x14ac:dyDescent="0.3">
      <c r="A24" s="78" t="s">
        <v>242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25</v>
      </c>
      <c r="B25" s="41"/>
      <c r="C25" s="29" t="s">
        <v>1</v>
      </c>
      <c r="D25" s="29" t="s">
        <v>2</v>
      </c>
      <c r="E25" s="29" t="s">
        <v>3</v>
      </c>
      <c r="F25" s="29" t="s">
        <v>4</v>
      </c>
      <c r="G25" s="29" t="s">
        <v>5</v>
      </c>
    </row>
    <row r="26" spans="1:7" x14ac:dyDescent="0.25">
      <c r="B26" s="45" t="s">
        <v>318</v>
      </c>
      <c r="C26" s="104" t="s">
        <v>244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278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319</v>
      </c>
    </row>
    <row r="29" spans="1:7" x14ac:dyDescent="0.25">
      <c r="B29" s="72" t="s">
        <v>279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280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338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320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282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248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233</v>
      </c>
      <c r="B38" s="72" t="s">
        <v>283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284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70</v>
      </c>
      <c r="B40" s="45" t="s">
        <v>285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321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49</v>
      </c>
      <c r="D43" s="43" t="s">
        <v>50</v>
      </c>
      <c r="E43" s="43" t="s">
        <v>51</v>
      </c>
      <c r="F43" s="43" t="s">
        <v>52</v>
      </c>
      <c r="G43" s="83"/>
    </row>
    <row r="44" spans="1:7" x14ac:dyDescent="0.25">
      <c r="B44" s="45" t="s">
        <v>286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268</v>
      </c>
    </row>
    <row r="47" spans="1:7" ht="13" x14ac:dyDescent="0.3">
      <c r="A47" s="78" t="s">
        <v>242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25</v>
      </c>
      <c r="B48" s="41"/>
      <c r="C48" s="29" t="s">
        <v>1</v>
      </c>
      <c r="D48" s="29" t="s">
        <v>2</v>
      </c>
      <c r="E48" s="29" t="s">
        <v>3</v>
      </c>
      <c r="F48" s="29" t="s">
        <v>4</v>
      </c>
      <c r="G48" s="29" t="s">
        <v>5</v>
      </c>
    </row>
    <row r="49" spans="1:7" x14ac:dyDescent="0.25">
      <c r="B49" s="45" t="s">
        <v>287</v>
      </c>
      <c r="C49" s="104" t="s">
        <v>244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288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324</v>
      </c>
    </row>
    <row r="52" spans="1:7" x14ac:dyDescent="0.25">
      <c r="B52" s="72" t="s">
        <v>289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290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339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291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322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292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248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233</v>
      </c>
      <c r="B61" s="72" t="s">
        <v>293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294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70</v>
      </c>
      <c r="B63" s="45" t="s">
        <v>295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323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49</v>
      </c>
      <c r="D66" s="43" t="s">
        <v>50</v>
      </c>
      <c r="E66" s="43" t="s">
        <v>51</v>
      </c>
      <c r="F66" s="43" t="s">
        <v>52</v>
      </c>
      <c r="G66" s="83"/>
    </row>
    <row r="67" spans="1:7" x14ac:dyDescent="0.25">
      <c r="B67" s="45" t="s">
        <v>296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QAVwj9PWadQcYcL52alW/JJQquT7j6uGPCclqgaz9+O8krRpbbsh1HExJbjXqiYNshQdlMMFo0ZnrWFakvrKaA==" saltValue="caoeAy2KJFZFYGAg6OWi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254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182</v>
      </c>
      <c r="B4" s="72" t="s">
        <v>253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254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202</v>
      </c>
      <c r="B6" s="72" t="s">
        <v>253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254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57</v>
      </c>
      <c r="B8" s="72" t="s">
        <v>253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254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34</v>
      </c>
      <c r="B10" s="72" t="s">
        <v>253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254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59</v>
      </c>
      <c r="B12" s="72" t="s">
        <v>253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254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267</v>
      </c>
    </row>
    <row r="16" spans="1:6" ht="15.75" customHeight="1" x14ac:dyDescent="0.3">
      <c r="A16" s="41" t="s">
        <v>69</v>
      </c>
      <c r="B16" s="29"/>
      <c r="C16" s="29" t="s">
        <v>9</v>
      </c>
      <c r="D16" s="29" t="s">
        <v>12</v>
      </c>
      <c r="E16" s="29" t="s">
        <v>11</v>
      </c>
      <c r="F16" s="41" t="s">
        <v>26</v>
      </c>
    </row>
    <row r="17" spans="1:6" ht="15.75" customHeight="1" x14ac:dyDescent="0.25">
      <c r="A17" s="72" t="s">
        <v>29</v>
      </c>
      <c r="B17" s="72" t="s">
        <v>253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254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182</v>
      </c>
      <c r="B19" s="72" t="s">
        <v>253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254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202</v>
      </c>
      <c r="B21" s="72" t="s">
        <v>253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254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57</v>
      </c>
      <c r="B23" s="72" t="s">
        <v>253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254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34</v>
      </c>
      <c r="B25" s="72" t="s">
        <v>253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254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59</v>
      </c>
      <c r="B27" s="72" t="s">
        <v>253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254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268</v>
      </c>
    </row>
    <row r="31" spans="1:6" ht="15.75" customHeight="1" x14ac:dyDescent="0.3">
      <c r="A31" s="41" t="s">
        <v>69</v>
      </c>
      <c r="B31" s="29"/>
      <c r="C31" s="29" t="s">
        <v>9</v>
      </c>
      <c r="D31" s="29" t="s">
        <v>12</v>
      </c>
      <c r="E31" s="29" t="s">
        <v>11</v>
      </c>
      <c r="F31" s="41" t="s">
        <v>26</v>
      </c>
    </row>
    <row r="32" spans="1:6" ht="15.75" customHeight="1" x14ac:dyDescent="0.25">
      <c r="A32" s="72" t="s">
        <v>29</v>
      </c>
      <c r="B32" s="72" t="s">
        <v>253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254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182</v>
      </c>
      <c r="B34" s="72" t="s">
        <v>253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254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202</v>
      </c>
      <c r="B36" s="72" t="s">
        <v>253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254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57</v>
      </c>
      <c r="B38" s="72" t="s">
        <v>253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254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34</v>
      </c>
      <c r="B40" s="72" t="s">
        <v>253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254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59</v>
      </c>
      <c r="B42" s="72" t="s">
        <v>253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254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VNqV9laeHLEmOvMS2HGD5bmuz3IT62zAHDRQ56J67ZOBCPkqTbLk45H+TOI55sQOIALXqxS0CNWqR8cFOBHQ/Q==" saltValue="hKf7DQYsC+E7vW3zy5NT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</v>
      </c>
      <c r="D1" s="82" t="s">
        <v>2</v>
      </c>
      <c r="E1" s="82" t="s">
        <v>3</v>
      </c>
      <c r="F1" s="82" t="s">
        <v>4</v>
      </c>
      <c r="G1" s="82" t="s">
        <v>5</v>
      </c>
      <c r="H1" s="82" t="s">
        <v>49</v>
      </c>
      <c r="I1" s="82" t="s">
        <v>50</v>
      </c>
      <c r="J1" s="82" t="s">
        <v>51</v>
      </c>
      <c r="K1" s="82" t="s">
        <v>52</v>
      </c>
      <c r="L1" s="82" t="s">
        <v>53</v>
      </c>
      <c r="M1" s="82" t="s">
        <v>54</v>
      </c>
      <c r="N1" s="82" t="s">
        <v>55</v>
      </c>
      <c r="O1" s="8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183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201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184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185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182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202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57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131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34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132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59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337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64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62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47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267</v>
      </c>
    </row>
    <row r="24" spans="1:15" ht="26" x14ac:dyDescent="0.3">
      <c r="A24" s="29"/>
      <c r="B24" s="29"/>
      <c r="C24" s="82" t="s">
        <v>1</v>
      </c>
      <c r="D24" s="82" t="s">
        <v>2</v>
      </c>
      <c r="E24" s="82" t="s">
        <v>3</v>
      </c>
      <c r="F24" s="82" t="s">
        <v>4</v>
      </c>
      <c r="G24" s="82" t="s">
        <v>5</v>
      </c>
      <c r="H24" s="82" t="s">
        <v>49</v>
      </c>
      <c r="I24" s="82" t="s">
        <v>50</v>
      </c>
      <c r="J24" s="82" t="s">
        <v>51</v>
      </c>
      <c r="K24" s="82" t="s">
        <v>52</v>
      </c>
      <c r="L24" s="82" t="s">
        <v>53</v>
      </c>
      <c r="M24" s="82" t="s">
        <v>54</v>
      </c>
      <c r="N24" s="82" t="s">
        <v>55</v>
      </c>
      <c r="O24" s="8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183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201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184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185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182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202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57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131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34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132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59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337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64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62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47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268</v>
      </c>
    </row>
    <row r="47" spans="1:15" ht="26" x14ac:dyDescent="0.3">
      <c r="A47" s="29"/>
      <c r="B47" s="29"/>
      <c r="C47" s="82" t="s">
        <v>1</v>
      </c>
      <c r="D47" s="82" t="s">
        <v>2</v>
      </c>
      <c r="E47" s="82" t="s">
        <v>3</v>
      </c>
      <c r="F47" s="82" t="s">
        <v>4</v>
      </c>
      <c r="G47" s="82" t="s">
        <v>5</v>
      </c>
      <c r="H47" s="82" t="s">
        <v>49</v>
      </c>
      <c r="I47" s="82" t="s">
        <v>50</v>
      </c>
      <c r="J47" s="82" t="s">
        <v>51</v>
      </c>
      <c r="K47" s="82" t="s">
        <v>52</v>
      </c>
      <c r="L47" s="82" t="s">
        <v>53</v>
      </c>
      <c r="M47" s="82" t="s">
        <v>54</v>
      </c>
      <c r="N47" s="82" t="s">
        <v>55</v>
      </c>
      <c r="O47" s="8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183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201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184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185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182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202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57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131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34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132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59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337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64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62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47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1H36YeFo+tYWK8ppDEqRt9VLAlN4fhiSrdsiceTY84S0a72cFwg9qXz4yszhjj9aJElQkYzzqKoVekKKS4PDuQ==" saltValue="rTLJ2c1Dod8ZlB3HOpXo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E90" sqref="E9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</v>
      </c>
      <c r="D1" s="29" t="s">
        <v>2</v>
      </c>
      <c r="E1" s="29" t="s">
        <v>3</v>
      </c>
      <c r="F1" s="29" t="s">
        <v>4</v>
      </c>
      <c r="G1" s="29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258</v>
      </c>
      <c r="B4" s="45"/>
      <c r="C4" s="97"/>
      <c r="D4" s="97"/>
      <c r="E4" s="97"/>
      <c r="F4" s="97"/>
      <c r="G4" s="97"/>
    </row>
    <row r="5" spans="1:7" x14ac:dyDescent="0.25">
      <c r="B5" s="72" t="s">
        <v>178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269</v>
      </c>
    </row>
    <row r="8" spans="1:7" ht="13" x14ac:dyDescent="0.3">
      <c r="A8" s="29"/>
      <c r="B8" s="41"/>
      <c r="C8" s="29" t="s">
        <v>1</v>
      </c>
      <c r="D8" s="29" t="s">
        <v>2</v>
      </c>
      <c r="E8" s="29" t="s">
        <v>3</v>
      </c>
      <c r="F8" s="29" t="s">
        <v>4</v>
      </c>
      <c r="G8" s="29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275</v>
      </c>
      <c r="B11" s="45"/>
      <c r="C11" s="97"/>
      <c r="D11" s="97"/>
      <c r="E11" s="97"/>
      <c r="F11" s="97"/>
      <c r="G11" s="97"/>
    </row>
    <row r="12" spans="1:7" x14ac:dyDescent="0.25">
      <c r="B12" s="72" t="s">
        <v>178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270</v>
      </c>
    </row>
    <row r="15" spans="1:7" ht="13" x14ac:dyDescent="0.3">
      <c r="A15" s="29"/>
      <c r="B15" s="41"/>
      <c r="C15" s="29" t="s">
        <v>1</v>
      </c>
      <c r="D15" s="29" t="s">
        <v>2</v>
      </c>
      <c r="E15" s="29" t="s">
        <v>3</v>
      </c>
      <c r="F15" s="29" t="s">
        <v>4</v>
      </c>
      <c r="G15" s="29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277</v>
      </c>
      <c r="B18" s="45"/>
      <c r="C18" s="97"/>
      <c r="D18" s="97"/>
      <c r="E18" s="97"/>
      <c r="F18" s="97"/>
      <c r="G18" s="97"/>
    </row>
    <row r="19" spans="1:7" x14ac:dyDescent="0.25">
      <c r="B19" s="72" t="s">
        <v>178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pIb1smc9c9vieqMVqGfjGRP/0yeZPkwGSWVPteaFMUTrOrQlst0ccF2avHomBI6Fcg18AdtBzMkmRxgt7VY7pw==" saltValue="2A8mjH/k+VxE/j04qTRg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262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263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263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65</v>
      </c>
      <c r="C7" s="39" t="s">
        <v>261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263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263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65</v>
      </c>
      <c r="C11" s="39" t="s">
        <v>261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263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337</v>
      </c>
      <c r="B13" s="39" t="s">
        <v>66</v>
      </c>
      <c r="C13" s="39" t="s">
        <v>261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263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65</v>
      </c>
      <c r="C15" s="39" t="s">
        <v>261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263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263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65</v>
      </c>
      <c r="C19" s="39" t="s">
        <v>261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263</v>
      </c>
      <c r="D20" s="104">
        <v>0</v>
      </c>
      <c r="E20" s="104">
        <v>0</v>
      </c>
      <c r="F20" s="104">
        <f>MIN(MAX(1-0.89/(1-frac_mam_6_11months+(frac_mam_6_11months*0.89)),0),1)</f>
        <v>0.102693699554117</v>
      </c>
      <c r="G20" s="104">
        <f>MIN(MAX(1-0.89/(1-frac_mam_12_23months+(frac_mam_12_23months*0.89)),0),1)</f>
        <v>0.10383415684384856</v>
      </c>
      <c r="H20" s="104">
        <f>MIN(MAX(1-0.89/(1-frac_mam_24_59months+(frac_mam_24_59months*0.89)),0),1)</f>
        <v>0.10583644124371139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262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262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262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262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263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262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263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262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263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262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263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262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263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262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263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16</v>
      </c>
      <c r="C45" s="39" t="s">
        <v>261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262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263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262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262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262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269</v>
      </c>
      <c r="B55" s="111"/>
      <c r="C55" s="111"/>
    </row>
    <row r="56" spans="1:8" ht="13" x14ac:dyDescent="0.3">
      <c r="A56" s="29" t="s">
        <v>69</v>
      </c>
      <c r="B56" s="29" t="s">
        <v>259</v>
      </c>
      <c r="C56" s="96" t="s">
        <v>260</v>
      </c>
      <c r="D56" s="29" t="s">
        <v>1</v>
      </c>
      <c r="E56" s="29" t="s">
        <v>2</v>
      </c>
      <c r="F56" s="29" t="s">
        <v>3</v>
      </c>
      <c r="G56" s="29" t="s">
        <v>4</v>
      </c>
      <c r="H56" s="29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262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263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263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65</v>
      </c>
      <c r="C62" s="39" t="s">
        <v>261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263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263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65</v>
      </c>
      <c r="C66" s="39" t="s">
        <v>261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263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337</v>
      </c>
      <c r="B68" s="39" t="s">
        <v>66</v>
      </c>
      <c r="C68" s="39" t="s">
        <v>261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263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65</v>
      </c>
      <c r="C70" s="39" t="s">
        <v>261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263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263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65</v>
      </c>
      <c r="C74" s="39" t="s">
        <v>261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263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9.2666337588885872E-3</v>
      </c>
      <c r="G75" s="104">
        <f>MIN(MAX(1-0.99/(1-frac_mam_12_23months+(frac_mam_12_23months*0.99)),0),1)</f>
        <v>9.3803901376610099E-3</v>
      </c>
      <c r="H75" s="104">
        <f>MIN(MAX(1-0.99/(1-frac_mam_24_59months+(frac_mam_24_59months*0.99)),0),1)</f>
        <v>9.5807489880992414E-3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262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262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262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262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263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262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263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262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263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262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263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262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263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262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263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16</v>
      </c>
      <c r="C100" s="39" t="s">
        <v>261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262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263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262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262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262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270</v>
      </c>
      <c r="B110" s="111"/>
      <c r="C110" s="111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29" t="s">
        <v>1</v>
      </c>
      <c r="E111" s="29" t="s">
        <v>2</v>
      </c>
      <c r="F111" s="29" t="s">
        <v>3</v>
      </c>
      <c r="G111" s="29" t="s">
        <v>4</v>
      </c>
      <c r="H111" s="29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262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263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263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65</v>
      </c>
      <c r="C117" s="39" t="s">
        <v>261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263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263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65</v>
      </c>
      <c r="C121" s="39" t="s">
        <v>261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263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337</v>
      </c>
      <c r="B123" s="39" t="s">
        <v>66</v>
      </c>
      <c r="C123" s="39" t="s">
        <v>261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263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65</v>
      </c>
      <c r="C125" s="39" t="s">
        <v>261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263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263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65</v>
      </c>
      <c r="C129" s="39" t="s">
        <v>261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263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0.18797841604987719</v>
      </c>
      <c r="G130" s="104">
        <f>MIN(MAX(1-0.8/(1-frac_mam_12_23months+(frac_mam_12_23months*0.8)),0),1)</f>
        <v>0.18986558987248614</v>
      </c>
      <c r="H130" s="104">
        <f>MIN(MAX(1-0.8/(1-frac_mam_24_59months+(frac_mam_24_59months*0.8)),0),1)</f>
        <v>0.19316926438997273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262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262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262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262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263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262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263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262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263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262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263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262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263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262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263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16</v>
      </c>
      <c r="C155" s="39" t="s">
        <v>261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262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263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262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262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262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X00FxclSNSjJirmMy+z7qEOva6bgZMAswwg9/Zx2Czg7XdgCu39+BpOdZzILyc/8IAiCsVCp13t6IIjdq7Xvvg==" saltValue="yzgPEUxGLJUP683C8Cv0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0" sqref="D30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29" t="s">
        <v>53</v>
      </c>
      <c r="E1" s="29" t="s">
        <v>54</v>
      </c>
      <c r="F1" s="29" t="s">
        <v>55</v>
      </c>
      <c r="G1" s="29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262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262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262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269</v>
      </c>
    </row>
    <row r="10" spans="1:8" ht="13" x14ac:dyDescent="0.3">
      <c r="A10" s="41" t="s">
        <v>69</v>
      </c>
      <c r="B10" s="41" t="s">
        <v>259</v>
      </c>
      <c r="C10" s="41"/>
      <c r="D10" s="29" t="s">
        <v>53</v>
      </c>
      <c r="E10" s="29" t="s">
        <v>54</v>
      </c>
      <c r="F10" s="29" t="s">
        <v>55</v>
      </c>
      <c r="G10" s="29" t="s">
        <v>56</v>
      </c>
    </row>
    <row r="11" spans="1:8" x14ac:dyDescent="0.25">
      <c r="A11" s="31" t="s">
        <v>86</v>
      </c>
      <c r="B11" s="27" t="s">
        <v>41</v>
      </c>
      <c r="C11" s="31" t="s">
        <v>261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262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87</v>
      </c>
      <c r="B13" s="27" t="s">
        <v>41</v>
      </c>
      <c r="C13" s="31" t="s">
        <v>261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262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88</v>
      </c>
      <c r="B15" s="27" t="s">
        <v>41</v>
      </c>
      <c r="C15" s="31" t="s">
        <v>261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262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270</v>
      </c>
    </row>
    <row r="19" spans="1:7" ht="13" x14ac:dyDescent="0.3">
      <c r="A19" s="41" t="s">
        <v>69</v>
      </c>
      <c r="B19" s="41" t="s">
        <v>259</v>
      </c>
      <c r="C19" s="41"/>
      <c r="D19" s="29" t="s">
        <v>53</v>
      </c>
      <c r="E19" s="29" t="s">
        <v>54</v>
      </c>
      <c r="F19" s="29" t="s">
        <v>55</v>
      </c>
      <c r="G19" s="29" t="s">
        <v>56</v>
      </c>
    </row>
    <row r="20" spans="1:7" x14ac:dyDescent="0.25">
      <c r="A20" s="31" t="s">
        <v>86</v>
      </c>
      <c r="B20" s="27" t="s">
        <v>41</v>
      </c>
      <c r="C20" s="31" t="s">
        <v>261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262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87</v>
      </c>
      <c r="B22" s="27" t="s">
        <v>41</v>
      </c>
      <c r="C22" s="31" t="s">
        <v>261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262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88</v>
      </c>
      <c r="B24" s="27" t="s">
        <v>41</v>
      </c>
      <c r="C24" s="31" t="s">
        <v>261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262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iTJVgLCbj4f2ZINQYnEBhPspO2Fj/81WOiKXi5LAMug1CpEEusmG2kPNXv6tonhqSEAeNAv2wFNoLleNVUTTrA==" saltValue="8oTqcpfRNtgtEC3P8ysW2A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2024-08-06T07:05:24Z</dcterms:modified>
</cp:coreProperties>
</file>