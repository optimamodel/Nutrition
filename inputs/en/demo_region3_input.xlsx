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n\"/>
    </mc:Choice>
  </mc:AlternateContent>
  <xr:revisionPtr revIDLastSave="0" documentId="13_ncr:1_{774A9BFA-F029-40A9-8E8C-BA283278228F}" xr6:coauthVersionLast="47" xr6:coauthVersionMax="47" xr10:uidLastSave="{00000000-0000-0000-0000-000000000000}"/>
  <bookViews>
    <workbookView xWindow="-110" yWindow="-110" windowWidth="19420" windowHeight="10420" tabRatio="961" firstSheet="2" activeTab="3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state="hidden" r:id="rId6"/>
    <sheet name="Economic los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externalReferences>
    <externalReference r:id="rId29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153" i="72" l="1"/>
  <c r="G153" i="72"/>
  <c r="F153" i="72"/>
  <c r="E153" i="72"/>
  <c r="D153" i="72"/>
  <c r="F152" i="72"/>
  <c r="D152" i="72"/>
  <c r="H136" i="72"/>
  <c r="G136" i="72"/>
  <c r="F136" i="72"/>
  <c r="E136" i="72"/>
  <c r="H135" i="72"/>
  <c r="G135" i="72"/>
  <c r="F135" i="72"/>
  <c r="E135" i="72"/>
  <c r="D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F129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H112" i="72"/>
  <c r="E112" i="72"/>
  <c r="D112" i="72"/>
  <c r="H97" i="72"/>
  <c r="H152" i="72" s="1"/>
  <c r="G97" i="72"/>
  <c r="G152" i="72" s="1"/>
  <c r="F97" i="72"/>
  <c r="E97" i="72"/>
  <c r="E152" i="72" s="1"/>
  <c r="D97" i="72"/>
  <c r="H81" i="72"/>
  <c r="G81" i="72"/>
  <c r="F81" i="72"/>
  <c r="E81" i="72"/>
  <c r="H80" i="72"/>
  <c r="G80" i="72"/>
  <c r="F80" i="72"/>
  <c r="E80" i="72"/>
  <c r="D80" i="72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H74" i="72"/>
  <c r="H129" i="72" s="1"/>
  <c r="G74" i="72"/>
  <c r="G129" i="72" s="1"/>
  <c r="F74" i="72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G57" i="72"/>
  <c r="G112" i="72" s="1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O66" i="70"/>
  <c r="N66" i="70"/>
  <c r="M66" i="70"/>
  <c r="L66" i="70"/>
  <c r="K66" i="70"/>
  <c r="J66" i="70"/>
  <c r="I66" i="70"/>
  <c r="H66" i="70"/>
  <c r="G66" i="70"/>
  <c r="F66" i="70"/>
  <c r="E66" i="70"/>
  <c r="D66" i="70"/>
  <c r="C66" i="70"/>
  <c r="D65" i="70"/>
  <c r="C65" i="70"/>
  <c r="O64" i="70"/>
  <c r="N64" i="70"/>
  <c r="M64" i="70"/>
  <c r="L64" i="70"/>
  <c r="K64" i="70"/>
  <c r="J64" i="70"/>
  <c r="I64" i="70"/>
  <c r="H64" i="70"/>
  <c r="G64" i="70"/>
  <c r="F64" i="70"/>
  <c r="E64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E49" i="70"/>
  <c r="D44" i="70"/>
  <c r="C44" i="70"/>
  <c r="O43" i="70"/>
  <c r="N43" i="70"/>
  <c r="M43" i="70"/>
  <c r="L43" i="70"/>
  <c r="K43" i="70"/>
  <c r="J43" i="70"/>
  <c r="I43" i="70"/>
  <c r="H43" i="70"/>
  <c r="G43" i="70"/>
  <c r="F43" i="70"/>
  <c r="E43" i="70"/>
  <c r="D43" i="70"/>
  <c r="C43" i="70"/>
  <c r="D42" i="70"/>
  <c r="C42" i="70"/>
  <c r="O41" i="70"/>
  <c r="N41" i="70"/>
  <c r="M41" i="70"/>
  <c r="L41" i="70"/>
  <c r="K41" i="70"/>
  <c r="J41" i="70"/>
  <c r="I41" i="70"/>
  <c r="H41" i="70"/>
  <c r="G41" i="70"/>
  <c r="F41" i="70"/>
  <c r="E41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E26" i="70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C67" i="68"/>
  <c r="G63" i="68"/>
  <c r="F63" i="68"/>
  <c r="E63" i="68"/>
  <c r="D63" i="68"/>
  <c r="C63" i="68"/>
  <c r="G62" i="68"/>
  <c r="F62" i="68"/>
  <c r="E62" i="68"/>
  <c r="D62" i="68"/>
  <c r="C62" i="68"/>
  <c r="G61" i="68"/>
  <c r="F61" i="68"/>
  <c r="E61" i="68"/>
  <c r="D61" i="68"/>
  <c r="C61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50" i="68"/>
  <c r="F50" i="68"/>
  <c r="E50" i="68"/>
  <c r="D50" i="68"/>
  <c r="C50" i="68"/>
  <c r="G49" i="68"/>
  <c r="F49" i="68"/>
  <c r="E49" i="68"/>
  <c r="D49" i="68"/>
  <c r="C44" i="68"/>
  <c r="G40" i="68"/>
  <c r="F40" i="68"/>
  <c r="E40" i="68"/>
  <c r="D40" i="68"/>
  <c r="C40" i="68"/>
  <c r="G39" i="68"/>
  <c r="F39" i="68"/>
  <c r="E39" i="68"/>
  <c r="D39" i="68"/>
  <c r="C39" i="68"/>
  <c r="G38" i="68"/>
  <c r="F38" i="68"/>
  <c r="E38" i="68"/>
  <c r="D38" i="68"/>
  <c r="C38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7" i="68"/>
  <c r="F27" i="68"/>
  <c r="E27" i="68"/>
  <c r="D27" i="68"/>
  <c r="C27" i="68"/>
  <c r="G26" i="68"/>
  <c r="F26" i="68"/>
  <c r="E26" i="68"/>
  <c r="D26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F121" i="65"/>
  <c r="E121" i="65"/>
  <c r="D121" i="65"/>
  <c r="H120" i="65"/>
  <c r="F120" i="65"/>
  <c r="E120" i="65"/>
  <c r="D120" i="65"/>
  <c r="H119" i="65"/>
  <c r="G119" i="65"/>
  <c r="F119" i="65"/>
  <c r="E119" i="65"/>
  <c r="D119" i="65"/>
  <c r="H118" i="65"/>
  <c r="G118" i="65"/>
  <c r="E118" i="65"/>
  <c r="D118" i="65"/>
  <c r="H117" i="65"/>
  <c r="G117" i="65"/>
  <c r="E117" i="65"/>
  <c r="D117" i="65"/>
  <c r="H116" i="65"/>
  <c r="G116" i="65"/>
  <c r="F116" i="65"/>
  <c r="E116" i="65"/>
  <c r="D116" i="65"/>
  <c r="H115" i="65"/>
  <c r="G115" i="65"/>
  <c r="F115" i="65"/>
  <c r="D115" i="65"/>
  <c r="H114" i="65"/>
  <c r="G114" i="65"/>
  <c r="F114" i="65"/>
  <c r="D114" i="65"/>
  <c r="H113" i="65"/>
  <c r="G113" i="65"/>
  <c r="F113" i="65"/>
  <c r="E113" i="65"/>
  <c r="D113" i="65"/>
  <c r="H112" i="65"/>
  <c r="G112" i="65"/>
  <c r="F112" i="65"/>
  <c r="E112" i="65"/>
  <c r="H111" i="65"/>
  <c r="G111" i="65"/>
  <c r="F111" i="65"/>
  <c r="E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E68" i="65"/>
  <c r="D68" i="65"/>
  <c r="H67" i="65"/>
  <c r="F67" i="65"/>
  <c r="E67" i="65"/>
  <c r="D67" i="65"/>
  <c r="H66" i="65"/>
  <c r="G66" i="65"/>
  <c r="F66" i="65"/>
  <c r="E66" i="65"/>
  <c r="D66" i="65"/>
  <c r="H65" i="65"/>
  <c r="G65" i="65"/>
  <c r="E65" i="65"/>
  <c r="D65" i="65"/>
  <c r="H64" i="65"/>
  <c r="G64" i="65"/>
  <c r="E64" i="65"/>
  <c r="D64" i="65"/>
  <c r="H63" i="65"/>
  <c r="G63" i="65"/>
  <c r="F63" i="65"/>
  <c r="E63" i="65"/>
  <c r="D63" i="65"/>
  <c r="H62" i="65"/>
  <c r="G62" i="65"/>
  <c r="F62" i="65"/>
  <c r="D62" i="65"/>
  <c r="H61" i="65"/>
  <c r="G61" i="65"/>
  <c r="F61" i="65"/>
  <c r="D61" i="65"/>
  <c r="H60" i="65"/>
  <c r="G60" i="65"/>
  <c r="F60" i="65"/>
  <c r="E60" i="65"/>
  <c r="D60" i="65"/>
  <c r="H59" i="65"/>
  <c r="G59" i="65"/>
  <c r="F59" i="65"/>
  <c r="E59" i="65"/>
  <c r="H58" i="65"/>
  <c r="G58" i="65"/>
  <c r="F58" i="65"/>
  <c r="E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G25" i="73" l="1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F79" i="66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<sst xmlns="http://schemas.openxmlformats.org/spreadsheetml/2006/main" count="2093" uniqueCount="341">
  <si>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</si>
  <si>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</si>
  <si>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</si>
  <si>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</si>
  <si>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</si>
  <si>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</si>
  <si>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</si>
  <si>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</si>
  <si>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</si>
  <si>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</si>
  <si>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</si>
  <si>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</si>
  <si>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</si>
  <si>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</si>
  <si>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</si>
  <si>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</si>
  <si>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</si>
  <si>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</si>
  <si>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</si>
  <si>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</si>
  <si>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</si>
  <si>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</si>
  <si>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</si>
  <si>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</si>
  <si>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</si>
  <si>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</si>
  <si>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</si>
  <si>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</si>
  <si>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</si>
  <si>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</si>
  <si>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</si>
  <si>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</si>
  <si>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</si>
  <si>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</si>
  <si>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</si>
  <si>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</si>
  <si>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</si>
  <si>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</si>
  <si>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</si>
  <si>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</si>
  <si>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</si>
  <si>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</si>
  <si>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</si>
  <si>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</si>
  <si>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</si>
  <si>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</si>
  <si>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</si>
  <si>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</si>
  <si>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</si>
  <si>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</si>
  <si>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</si>
  <si>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</si>
  <si>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</si>
  <si>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</si>
  <si>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</si>
  <si>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</si>
  <si>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</si>
  <si>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</si>
  <si>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</si>
  <si>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</si>
  <si>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</si>
  <si>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</si>
  <si>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</si>
  <si>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</si>
  <si>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</si>
  <si>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</si>
  <si>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</si>
  <si>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</si>
  <si>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</si>
  <si>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</si>
  <si>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</si>
  <si>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</si>
  <si>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</si>
  <si>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</si>
  <si>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</si>
  <si>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</si>
  <si>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</si>
  <si>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</si>
  <si>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</si>
  <si>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</si>
  <si>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</si>
  <si>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</si>
  <si>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</si>
  <si>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</si>
  <si>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</si>
  <si>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</si>
  <si>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</si>
  <si>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</si>
  <si>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</si>
  <si>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</si>
  <si>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</si>
  <si>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</si>
  <si>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</si>
  <si>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</si>
  <si>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</si>
  <si>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</si>
  <si>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</si>
  <si>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</si>
  <si>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</si>
  <si>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</si>
  <si>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</si>
  <si>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</si>
  <si>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</si>
  <si>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</si>
  <si>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</si>
  <si>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</si>
  <si>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</si>
  <si>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</si>
  <si>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</si>
  <si>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</si>
  <si>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</si>
  <si>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</si>
  <si>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</si>
  <si>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</si>
  <si>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</si>
  <si>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</si>
  <si>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</si>
  <si>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</si>
  <si>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</si>
  <si>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</si>
  <si>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</si>
  <si>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</si>
  <si>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</si>
  <si>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</si>
  <si>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</si>
  <si>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</si>
  <si>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</si>
  <si>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</si>
  <si>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</si>
  <si>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</si>
  <si>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</si>
  <si>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</si>
  <si>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</si>
  <si>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</si>
  <si>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</si>
  <si>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</si>
  <si>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</si>
  <si>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</si>
  <si>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</si>
  <si>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</si>
  <si>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</si>
  <si>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</si>
  <si>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</si>
  <si>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</si>
  <si>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</si>
  <si>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</si>
  <si>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</si>
  <si>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</si>
  <si>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</si>
  <si>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</si>
  <si>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</si>
  <si>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</si>
  <si>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</si>
  <si>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</si>
  <si>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</si>
  <si>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</si>
  <si>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</si>
  <si>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</si>
  <si>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</si>
  <si>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</si>
  <si>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</si>
  <si>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</si>
  <si>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</si>
  <si>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</si>
  <si>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</si>
  <si>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</si>
  <si>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</si>
  <si>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</si>
  <si>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</si>
  <si>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</si>
  <si>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</si>
  <si>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</si>
  <si>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</si>
  <si>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</si>
  <si>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</si>
  <si>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</si>
  <si>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</si>
  <si>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</si>
  <si>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</si>
  <si>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</si>
  <si>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</si>
  <si>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</si>
  <si>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</si>
  <si>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</si>
  <si>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</si>
  <si>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</si>
  <si>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</si>
  <si>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</si>
  <si>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</si>
  <si>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</si>
  <si>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</si>
  <si>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</si>
  <si>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</si>
  <si>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</si>
  <si>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</si>
  <si>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</si>
  <si>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</si>
  <si>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</si>
  <si>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</si>
  <si>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</si>
  <si>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</si>
  <si>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</si>
  <si>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</si>
  <si>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</si>
  <si>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</si>
  <si>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</si>
  <si>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</si>
  <si>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</si>
  <si>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</si>
  <si>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</si>
  <si>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</si>
  <si>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</si>
  <si>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</si>
  <si>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</si>
  <si>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</si>
  <si>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</si>
  <si>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</si>
  <si>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</si>
  <si>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</si>
  <si>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</si>
  <si>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</si>
  <si>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</si>
  <si>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</si>
  <si>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</si>
  <si>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</si>
  <si>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</si>
  <si>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</si>
  <si>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</si>
  <si>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</si>
  <si>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</si>
  <si>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</si>
  <si>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</si>
  <si>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</si>
  <si>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</si>
  <si>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</si>
  <si>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</si>
  <si>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</si>
  <si>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</si>
  <si>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</si>
  <si>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</si>
  <si>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</si>
  <si>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</si>
  <si>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</si>
  <si>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</si>
  <si>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</si>
  <si>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</si>
  <si>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</si>
  <si>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</si>
  <si>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</si>
  <si>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</si>
  <si>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</si>
  <si>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</si>
  <si>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</si>
  <si>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</si>
  <si>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</si>
  <si>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</si>
  <si>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</si>
  <si>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</si>
  <si>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</si>
  <si>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</si>
  <si>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</si>
  <si>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</si>
  <si>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</si>
  <si>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</si>
  <si>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</si>
  <si>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</si>
  <si>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</si>
  <si>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</si>
  <si>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</si>
  <si>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</si>
  <si>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</si>
  <si>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</si>
  <si>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</si>
  <si>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</si>
  <si>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</si>
  <si>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</si>
  <si>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</si>
  <si>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</si>
  <si>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</si>
  <si>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</si>
  <si>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</si>
  <si>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</si>
  <si>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</si>
  <si>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</si>
  <si>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</si>
  <si>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</si>
  <si>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</si>
  <si>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</si>
  <si>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</si>
  <si>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</si>
  <si>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</si>
  <si>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</si>
  <si>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</si>
  <si>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</si>
  <si>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</si>
  <si>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</si>
  <si>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</si>
  <si>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</si>
  <si>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</si>
  <si>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</si>
  <si>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</si>
  <si>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</si>
  <si>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</si>
  <si>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</si>
  <si>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</si>
  <si>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</si>
  <si>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</si>
  <si>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</si>
  <si>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</si>
  <si>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</si>
  <si>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</si>
  <si>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</si>
  <si>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</si>
  <si>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</si>
  <si>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</si>
  <si>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</si>
  <si>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</si>
  <si>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</si>
  <si>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</si>
  <si>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</si>
  <si>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</si>
  <si>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</si>
  <si>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</si>
  <si>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</si>
  <si>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</si>
  <si>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Child death</t>
  </si>
  <si>
    <t>Type</t>
  </si>
  <si>
    <t>Max-increase per annum</t>
  </si>
  <si>
    <t>Max-decrease per annum</t>
  </si>
  <si>
    <t>Maternal death</t>
  </si>
  <si>
    <t>Child wasting episode</t>
  </si>
  <si>
    <t>Child turning age 5 stunted (over lifetime)</t>
  </si>
  <si>
    <t>Anaemic child (per year)</t>
  </si>
  <si>
    <t>Anaemic pregnant woman (per pregnancy)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</si>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</sst>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7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336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yLN0pX/prd0jk+BNovyFen5T0xSNCb//yEyPDsNsubzCqCm5SRlEC3TL+jJzJMw6XVYvxNN6ZRS1V3Ni5yNscg==" saltValue="j8Co9H26TdZeiJKijp8iO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3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abSelected="1" zoomScaleNormal="100" workbookViewId="0">
      <selection activeCell="G5" sqref="G5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4">
        <f>IFERROR(1-_xlfn.NORM.DIST(_xlfn.NORM.INV(SUM(C4:C5), 0, 1) + 1, 0, 1, TRUE), "")</f>
        <v>0.47702419856642964</v>
      </c>
      <c r="D2" s="114">
        <f>IFERROR(1-_xlfn.NORM.DIST(_xlfn.NORM.INV(SUM(D4:D5), 0, 1) + 1, 0, 1, TRUE), "")</f>
        <v>0.47702419856642964</v>
      </c>
      <c r="E2" s="114">
        <f>IFERROR(1-_xlfn.NORM.DIST(_xlfn.NORM.INV(SUM(E4:E5), 0, 1) + 1, 0, 1, TRUE), "")</f>
        <v>0.39571950531782307</v>
      </c>
      <c r="F2" s="114">
        <f>IFERROR(1-_xlfn.NORM.DIST(_xlfn.NORM.INV(SUM(F4:F5), 0, 1) + 1, 0, 1, TRUE), "")</f>
        <v>0.21538848080661976</v>
      </c>
      <c r="G2" s="114">
        <f>IFERROR(1-_xlfn.NORM.DIST(_xlfn.NORM.INV(SUM(G4:G5), 0, 1) + 1, 0, 1, TRUE), "")</f>
        <v>0.20291379751882221</v>
      </c>
    </row>
    <row r="3" spans="1:15" ht="15.75" customHeight="1" x14ac:dyDescent="0.25">
      <c r="B3" s="5" t="s">
        <v>118</v>
      </c>
      <c r="C3" s="114">
        <f>IFERROR(_xlfn.NORM.DIST(_xlfn.NORM.INV(SUM(C4:C5), 0, 1) + 1, 0, 1, TRUE) - SUM(C4:C5), "")</f>
        <v>0.34997580143357038</v>
      </c>
      <c r="D3" s="114">
        <f>IFERROR(_xlfn.NORM.DIST(_xlfn.NORM.INV(SUM(D4:D5), 0, 1) + 1, 0, 1, TRUE) - SUM(D4:D5), "")</f>
        <v>0.34997580143357038</v>
      </c>
      <c r="E3" s="114">
        <f>IFERROR(_xlfn.NORM.DIST(_xlfn.NORM.INV(SUM(E4:E5), 0, 1) + 1, 0, 1, TRUE) - SUM(E4:E5), "")</f>
        <v>0.37328049468217694</v>
      </c>
      <c r="F3" s="114">
        <f>IFERROR(_xlfn.NORM.DIST(_xlfn.NORM.INV(SUM(F4:F5), 0, 1) + 1, 0, 1, TRUE) - SUM(F4:F5), "")</f>
        <v>0.3686115191933802</v>
      </c>
      <c r="G3" s="114">
        <f>IFERROR(_xlfn.NORM.DIST(_xlfn.NORM.INV(SUM(G4:G5), 0, 1) + 1, 0, 1, TRUE) - SUM(G4:G5), "")</f>
        <v>0.36408620248117773</v>
      </c>
    </row>
    <row r="4" spans="1:15" ht="15.75" customHeight="1" x14ac:dyDescent="0.25">
      <c r="B4" s="5" t="s">
        <v>116</v>
      </c>
      <c r="C4" s="59">
        <v>0.107</v>
      </c>
      <c r="D4" s="59">
        <v>0.107</v>
      </c>
      <c r="E4" s="59">
        <v>0.154</v>
      </c>
      <c r="F4" s="59">
        <v>0.26400000000000001</v>
      </c>
      <c r="G4" s="59">
        <v>0.27900000000000003</v>
      </c>
    </row>
    <row r="5" spans="1:15" ht="15.75" customHeight="1" x14ac:dyDescent="0.25">
      <c r="B5" s="5" t="s">
        <v>340</v>
      </c>
      <c r="C5" s="59">
        <v>6.6000000000000003E-2</v>
      </c>
      <c r="D5" s="59">
        <v>6.6000000000000003E-2</v>
      </c>
      <c r="E5" s="59">
        <v>7.6999999999999999E-2</v>
      </c>
      <c r="F5" s="59">
        <v>0.152</v>
      </c>
      <c r="G5" s="59">
        <v>0.154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335</v>
      </c>
      <c r="C8" s="114">
        <f>IFERROR(1-_xlfn.NORM.DIST(_xlfn.NORM.INV(SUM(C10:C11), 0, 1) + 1, 0, 1, TRUE), "")</f>
        <v>0.6241955901533508</v>
      </c>
      <c r="D8" s="114">
        <f>IFERROR(1-_xlfn.NORM.DIST(_xlfn.NORM.INV(SUM(D10:D11), 0, 1) + 1, 0, 1, TRUE), "")</f>
        <v>0.6241955901533508</v>
      </c>
      <c r="E8" s="114">
        <f>IFERROR(1-_xlfn.NORM.DIST(_xlfn.NORM.INV(SUM(E10:E11), 0, 1) + 1, 0, 1, TRUE), "")</f>
        <v>0.68355843805440353</v>
      </c>
      <c r="F8" s="114">
        <f>IFERROR(1-_xlfn.NORM.DIST(_xlfn.NORM.INV(SUM(F10:F11), 0, 1) + 1, 0, 1, TRUE), "")</f>
        <v>0.73228840888273117</v>
      </c>
      <c r="G8" s="114">
        <f>IFERROR(1-_xlfn.NORM.DIST(_xlfn.NORM.INV(SUM(G10:G11), 0, 1) + 1, 0, 1, TRUE), "")</f>
        <v>0.81212055177975573</v>
      </c>
    </row>
    <row r="9" spans="1:15" ht="15.75" customHeight="1" x14ac:dyDescent="0.25">
      <c r="B9" s="5" t="s">
        <v>334</v>
      </c>
      <c r="C9" s="114">
        <f>IFERROR(_xlfn.NORM.DIST(_xlfn.NORM.INV(SUM(C10:C11), 0, 1) + 1, 0, 1, TRUE) - SUM(C10:C11), "")</f>
        <v>0.28180440984664923</v>
      </c>
      <c r="D9" s="114">
        <f>IFERROR(_xlfn.NORM.DIST(_xlfn.NORM.INV(SUM(D10:D11), 0, 1) + 1, 0, 1, TRUE) - SUM(D10:D11), "")</f>
        <v>0.28180440984664923</v>
      </c>
      <c r="E9" s="114">
        <f>IFERROR(_xlfn.NORM.DIST(_xlfn.NORM.INV(SUM(E10:E11), 0, 1) + 1, 0, 1, TRUE) - SUM(E10:E11), "")</f>
        <v>0.2466938696379041</v>
      </c>
      <c r="F9" s="114">
        <f>IFERROR(_xlfn.NORM.DIST(_xlfn.NORM.INV(SUM(F10:F11), 0, 1) + 1, 0, 1, TRUE) - SUM(F10:F11), "")</f>
        <v>0.21506846670192739</v>
      </c>
      <c r="G9" s="114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222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223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32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139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137</v>
      </c>
      <c r="B10" s="45" t="s">
        <v>142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141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74</v>
      </c>
      <c r="B13" s="45" t="s">
        <v>143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165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326</v>
      </c>
      <c r="B1" s="29" t="s">
        <v>155</v>
      </c>
    </row>
    <row r="2" spans="1:2" x14ac:dyDescent="0.25">
      <c r="A2" s="27" t="s">
        <v>330</v>
      </c>
      <c r="B2" s="116">
        <v>10</v>
      </c>
    </row>
    <row r="3" spans="1:2" x14ac:dyDescent="0.25">
      <c r="A3" s="27" t="s">
        <v>331</v>
      </c>
      <c r="B3" s="116">
        <v>10</v>
      </c>
    </row>
    <row r="4" spans="1:2" x14ac:dyDescent="0.25">
      <c r="A4" s="27" t="s">
        <v>325</v>
      </c>
      <c r="B4" s="116">
        <v>50</v>
      </c>
    </row>
    <row r="5" spans="1:2" x14ac:dyDescent="0.25">
      <c r="A5" s="27" t="s">
        <v>329</v>
      </c>
      <c r="B5" s="116">
        <v>100</v>
      </c>
    </row>
    <row r="6" spans="1:2" x14ac:dyDescent="0.25">
      <c r="A6" s="27" t="s">
        <v>332</v>
      </c>
      <c r="B6" s="116">
        <v>5</v>
      </c>
    </row>
    <row r="7" spans="1:2" x14ac:dyDescent="0.25">
      <c r="A7" s="27" t="s">
        <v>333</v>
      </c>
      <c r="B7" s="116">
        <v>5</v>
      </c>
    </row>
  </sheetData>
  <sheetProtection algorithmName="SHA-512" hashValue="DBCb2Ybaw/wE0sQSoFF3XOef0A+KsOpzFMx9x/scd/yPGWrPUbVUCxmAfhayHYTG2xNx2cPQcqi1ht28yRZ6DQ==" saltValue="3KRcpLnuHZSqVZ+axnr2sQ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327</v>
      </c>
      <c r="G1" s="40" t="s">
        <v>328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337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132</v>
      </c>
      <c r="B5" s="62" t="s">
        <v>131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66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337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144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168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193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194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190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131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132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84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58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337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67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28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85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60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32</v>
      </c>
      <c r="B18" s="39" t="s">
        <v>29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86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182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202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57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88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87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59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37</v>
      </c>
      <c r="B27" s="39" t="s">
        <v>192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183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201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184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185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35</v>
      </c>
      <c r="B33" s="39" t="s">
        <v>63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64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62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47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34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83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82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81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79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80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39" t="s">
        <v>29</v>
      </c>
      <c r="B2" s="101"/>
      <c r="C2" s="101"/>
      <c r="D2" s="101"/>
      <c r="E2" s="101"/>
      <c r="F2" s="101"/>
      <c r="G2" s="101"/>
      <c r="H2" s="101"/>
      <c r="I2" s="101" t="s">
        <v>189</v>
      </c>
      <c r="J2" s="101"/>
      <c r="K2" s="101"/>
    </row>
    <row r="3" spans="1:11" x14ac:dyDescent="0.25">
      <c r="A3" s="39" t="s">
        <v>86</v>
      </c>
      <c r="B3" s="101"/>
      <c r="C3" s="101"/>
      <c r="D3" s="101"/>
      <c r="E3" s="101"/>
      <c r="F3" s="101"/>
      <c r="G3" s="101"/>
      <c r="H3" s="101" t="s">
        <v>189</v>
      </c>
      <c r="I3" s="101"/>
      <c r="J3" s="101"/>
      <c r="K3" s="101"/>
    </row>
    <row r="4" spans="1:11" x14ac:dyDescent="0.25">
      <c r="A4" s="39" t="s">
        <v>61</v>
      </c>
      <c r="B4" s="101"/>
      <c r="C4" s="101"/>
      <c r="D4" s="101" t="s">
        <v>189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144</v>
      </c>
      <c r="B5" s="101"/>
      <c r="C5" s="101" t="s">
        <v>189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192</v>
      </c>
      <c r="B6" s="101"/>
      <c r="C6" s="101"/>
      <c r="D6" s="101"/>
      <c r="E6" s="101"/>
      <c r="F6" s="101"/>
      <c r="G6" s="101"/>
      <c r="H6" s="101"/>
      <c r="I6" s="101"/>
      <c r="J6" s="101" t="s">
        <v>189</v>
      </c>
      <c r="K6" s="101" t="s">
        <v>189</v>
      </c>
    </row>
    <row r="7" spans="1:11" x14ac:dyDescent="0.25">
      <c r="A7" s="39" t="s">
        <v>63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/>
      <c r="J7" s="101"/>
      <c r="K7" s="101"/>
    </row>
    <row r="8" spans="1:11" x14ac:dyDescent="0.25">
      <c r="A8" s="39" t="s">
        <v>64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/>
      <c r="J8" s="101"/>
      <c r="K8" s="101"/>
    </row>
    <row r="9" spans="1:11" x14ac:dyDescent="0.25">
      <c r="A9" s="39" t="s">
        <v>62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/>
      <c r="J9" s="101"/>
      <c r="K9" s="101"/>
    </row>
    <row r="10" spans="1:11" x14ac:dyDescent="0.25">
      <c r="A10" s="45" t="s">
        <v>183</v>
      </c>
      <c r="B10" s="101"/>
      <c r="C10" s="101" t="s">
        <v>189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201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184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185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182</v>
      </c>
      <c r="B14" s="101"/>
      <c r="C14" s="101" t="s">
        <v>189</v>
      </c>
      <c r="D14" s="101"/>
      <c r="E14" s="101"/>
      <c r="F14" s="101"/>
      <c r="G14" s="101"/>
      <c r="H14" s="101"/>
      <c r="I14" s="101" t="s">
        <v>189</v>
      </c>
      <c r="J14" s="101"/>
      <c r="K14" s="101"/>
    </row>
    <row r="15" spans="1:11" x14ac:dyDescent="0.25">
      <c r="A15" s="72" t="s">
        <v>202</v>
      </c>
      <c r="B15" s="101"/>
      <c r="C15" s="101" t="s">
        <v>189</v>
      </c>
      <c r="D15" s="101"/>
      <c r="E15" s="101"/>
      <c r="F15" s="101"/>
      <c r="G15" s="101"/>
      <c r="H15" s="101"/>
      <c r="I15" s="101" t="s">
        <v>189</v>
      </c>
      <c r="J15" s="101"/>
      <c r="K15" s="101"/>
    </row>
    <row r="16" spans="1:11" x14ac:dyDescent="0.25">
      <c r="A16" s="39" t="s">
        <v>57</v>
      </c>
      <c r="B16" s="101"/>
      <c r="C16" s="101" t="s">
        <v>189</v>
      </c>
      <c r="D16" s="101"/>
      <c r="E16" s="101"/>
      <c r="F16" s="101"/>
      <c r="G16" s="101"/>
      <c r="H16" s="101" t="s">
        <v>189</v>
      </c>
      <c r="I16" s="101" t="s">
        <v>189</v>
      </c>
      <c r="J16" s="101"/>
      <c r="K16" s="101"/>
    </row>
    <row r="17" spans="1:11" x14ac:dyDescent="0.25">
      <c r="A17" s="39" t="s">
        <v>47</v>
      </c>
      <c r="B17" s="101"/>
      <c r="C17" s="101" t="s">
        <v>189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168</v>
      </c>
      <c r="B18" s="101" t="s">
        <v>189</v>
      </c>
      <c r="C18" s="101"/>
      <c r="D18" s="101"/>
      <c r="E18" s="101"/>
      <c r="F18" s="101" t="s">
        <v>189</v>
      </c>
      <c r="G18" s="101"/>
      <c r="H18" s="101"/>
      <c r="I18" s="101"/>
      <c r="J18" s="101"/>
      <c r="K18" s="101"/>
    </row>
    <row r="19" spans="1:11" x14ac:dyDescent="0.25">
      <c r="A19" s="39" t="s">
        <v>193</v>
      </c>
      <c r="B19" s="101" t="s">
        <v>189</v>
      </c>
      <c r="C19" s="101"/>
      <c r="D19" s="101"/>
      <c r="E19" s="101"/>
      <c r="F19" s="101" t="s">
        <v>189</v>
      </c>
      <c r="G19" s="101"/>
      <c r="H19" s="101"/>
      <c r="I19" s="101"/>
      <c r="J19" s="101"/>
      <c r="K19" s="101"/>
    </row>
    <row r="20" spans="1:11" x14ac:dyDescent="0.25">
      <c r="A20" s="39" t="s">
        <v>194</v>
      </c>
      <c r="B20" s="101" t="s">
        <v>189</v>
      </c>
      <c r="C20" s="101"/>
      <c r="D20" s="101"/>
      <c r="E20" s="101"/>
      <c r="F20" s="101" t="s">
        <v>189</v>
      </c>
      <c r="G20" s="101"/>
      <c r="H20" s="101"/>
      <c r="I20" s="101"/>
      <c r="J20" s="101"/>
      <c r="K20" s="101"/>
    </row>
    <row r="21" spans="1:11" x14ac:dyDescent="0.25">
      <c r="A21" s="39" t="s">
        <v>190</v>
      </c>
      <c r="B21" s="101"/>
      <c r="C21" s="101"/>
      <c r="D21" s="101"/>
      <c r="E21" s="101"/>
      <c r="F21" s="101"/>
      <c r="G21" s="101"/>
      <c r="H21" s="101" t="s">
        <v>189</v>
      </c>
      <c r="I21" s="101" t="s">
        <v>189</v>
      </c>
      <c r="J21" s="101"/>
      <c r="K21" s="101"/>
    </row>
    <row r="22" spans="1:11" x14ac:dyDescent="0.25">
      <c r="A22" s="39" t="s">
        <v>131</v>
      </c>
      <c r="B22" s="101" t="s">
        <v>189</v>
      </c>
      <c r="C22" s="101" t="s">
        <v>189</v>
      </c>
      <c r="D22" s="101" t="s">
        <v>189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34</v>
      </c>
      <c r="B23" s="101"/>
      <c r="C23" s="101" t="s">
        <v>189</v>
      </c>
      <c r="D23" s="101"/>
      <c r="E23" s="101"/>
      <c r="F23" s="101"/>
      <c r="G23" s="101"/>
      <c r="H23" s="101"/>
      <c r="I23" s="101" t="s">
        <v>189</v>
      </c>
      <c r="J23" s="101"/>
      <c r="K23" s="101"/>
    </row>
    <row r="24" spans="1:11" x14ac:dyDescent="0.25">
      <c r="A24" s="39" t="s">
        <v>88</v>
      </c>
      <c r="B24" s="101"/>
      <c r="C24" s="101"/>
      <c r="D24" s="101"/>
      <c r="E24" s="101"/>
      <c r="F24" s="101"/>
      <c r="G24" s="101"/>
      <c r="H24" s="101" t="s">
        <v>189</v>
      </c>
      <c r="I24" s="101"/>
      <c r="J24" s="101"/>
      <c r="K24" s="101"/>
    </row>
    <row r="25" spans="1:11" x14ac:dyDescent="0.25">
      <c r="A25" s="39" t="s">
        <v>87</v>
      </c>
      <c r="B25" s="101"/>
      <c r="C25" s="101"/>
      <c r="D25" s="101"/>
      <c r="E25" s="101"/>
      <c r="F25" s="101"/>
      <c r="G25" s="101"/>
      <c r="H25" s="101" t="s">
        <v>189</v>
      </c>
      <c r="I25" s="101"/>
      <c r="J25" s="101"/>
      <c r="K25" s="101"/>
    </row>
    <row r="26" spans="1:11" x14ac:dyDescent="0.25">
      <c r="A26" s="39" t="s">
        <v>132</v>
      </c>
      <c r="B26" s="101"/>
      <c r="C26" s="101" t="s">
        <v>189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59</v>
      </c>
      <c r="B27" s="101"/>
      <c r="C27" s="101" t="s">
        <v>189</v>
      </c>
      <c r="D27" s="101"/>
      <c r="E27" s="101"/>
      <c r="F27" s="101"/>
      <c r="G27" s="101"/>
      <c r="H27" s="101"/>
      <c r="I27" s="101" t="s">
        <v>189</v>
      </c>
      <c r="J27" s="101"/>
      <c r="K27" s="101"/>
    </row>
    <row r="28" spans="1:11" x14ac:dyDescent="0.25">
      <c r="A28" s="39" t="s">
        <v>84</v>
      </c>
      <c r="B28" s="101"/>
      <c r="C28" s="101"/>
      <c r="D28" s="101"/>
      <c r="E28" s="101"/>
      <c r="F28" s="101"/>
      <c r="G28" s="101"/>
      <c r="H28" s="101" t="s">
        <v>189</v>
      </c>
      <c r="I28" s="101"/>
      <c r="J28" s="101"/>
      <c r="K28" s="101"/>
    </row>
    <row r="29" spans="1:11" x14ac:dyDescent="0.25">
      <c r="A29" s="39" t="s">
        <v>58</v>
      </c>
      <c r="B29" s="101" t="s">
        <v>189</v>
      </c>
      <c r="C29" s="101"/>
      <c r="D29" s="101" t="s">
        <v>189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337</v>
      </c>
      <c r="B30" s="101" t="s">
        <v>189</v>
      </c>
      <c r="C30" s="101" t="s">
        <v>189</v>
      </c>
      <c r="D30" s="101" t="s">
        <v>189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67</v>
      </c>
      <c r="B31" s="101"/>
      <c r="C31" s="101"/>
      <c r="D31" s="101"/>
      <c r="E31" s="101" t="s">
        <v>189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28</v>
      </c>
      <c r="B32" s="101"/>
      <c r="C32" s="101"/>
      <c r="D32" s="101"/>
      <c r="E32" s="101"/>
      <c r="F32" s="101"/>
      <c r="G32" s="101" t="s">
        <v>189</v>
      </c>
      <c r="H32" s="101" t="s">
        <v>189</v>
      </c>
      <c r="I32" s="101"/>
      <c r="J32" s="101"/>
      <c r="K32" s="101"/>
    </row>
    <row r="33" spans="1:11" x14ac:dyDescent="0.25">
      <c r="A33" s="39" t="s">
        <v>83</v>
      </c>
      <c r="B33" s="101"/>
      <c r="C33" s="101"/>
      <c r="D33" s="101"/>
      <c r="E33" s="101"/>
      <c r="F33" s="101"/>
      <c r="G33" s="101" t="s">
        <v>189</v>
      </c>
      <c r="H33" s="101" t="s">
        <v>189</v>
      </c>
      <c r="I33" s="101"/>
      <c r="J33" s="101"/>
      <c r="K33" s="101"/>
    </row>
    <row r="34" spans="1:11" x14ac:dyDescent="0.25">
      <c r="A34" s="39" t="s">
        <v>82</v>
      </c>
      <c r="B34" s="101"/>
      <c r="C34" s="101"/>
      <c r="D34" s="101"/>
      <c r="E34" s="101"/>
      <c r="F34" s="101"/>
      <c r="G34" s="101" t="s">
        <v>189</v>
      </c>
      <c r="H34" s="101" t="s">
        <v>189</v>
      </c>
      <c r="I34" s="101"/>
      <c r="J34" s="101"/>
      <c r="K34" s="101"/>
    </row>
    <row r="35" spans="1:11" x14ac:dyDescent="0.25">
      <c r="A35" s="39" t="s">
        <v>81</v>
      </c>
      <c r="B35" s="101"/>
      <c r="C35" s="101"/>
      <c r="D35" s="101"/>
      <c r="E35" s="101"/>
      <c r="F35" s="101"/>
      <c r="G35" s="101" t="s">
        <v>189</v>
      </c>
      <c r="H35" s="101" t="s">
        <v>189</v>
      </c>
      <c r="I35" s="101"/>
      <c r="J35" s="101"/>
      <c r="K35" s="101"/>
    </row>
    <row r="36" spans="1:11" x14ac:dyDescent="0.25">
      <c r="A36" s="39" t="s">
        <v>79</v>
      </c>
      <c r="B36" s="101"/>
      <c r="C36" s="101"/>
      <c r="D36" s="101"/>
      <c r="E36" s="101"/>
      <c r="F36" s="101"/>
      <c r="G36" s="101" t="s">
        <v>189</v>
      </c>
      <c r="H36" s="101" t="s">
        <v>189</v>
      </c>
      <c r="I36" s="101"/>
      <c r="J36" s="101"/>
      <c r="K36" s="101"/>
    </row>
    <row r="37" spans="1:11" x14ac:dyDescent="0.25">
      <c r="A37" s="39" t="s">
        <v>80</v>
      </c>
      <c r="B37" s="101"/>
      <c r="C37" s="101"/>
      <c r="D37" s="101"/>
      <c r="E37" s="101"/>
      <c r="F37" s="101"/>
      <c r="G37" s="101" t="s">
        <v>189</v>
      </c>
      <c r="H37" s="101" t="s">
        <v>189</v>
      </c>
      <c r="I37" s="101"/>
      <c r="J37" s="101"/>
      <c r="K37" s="101"/>
    </row>
    <row r="38" spans="1:11" x14ac:dyDescent="0.25">
      <c r="A38" s="39" t="s">
        <v>85</v>
      </c>
      <c r="B38" s="101"/>
      <c r="C38" s="101"/>
      <c r="D38" s="101"/>
      <c r="E38" s="101"/>
      <c r="F38" s="101"/>
      <c r="G38" s="101"/>
      <c r="H38" s="101" t="s">
        <v>189</v>
      </c>
      <c r="I38" s="101"/>
      <c r="J38" s="101"/>
      <c r="K38" s="101"/>
    </row>
    <row r="39" spans="1:11" x14ac:dyDescent="0.25">
      <c r="A39" s="39" t="s">
        <v>60</v>
      </c>
      <c r="B39" s="101" t="s">
        <v>189</v>
      </c>
      <c r="C39" s="101"/>
      <c r="D39" s="101"/>
      <c r="E39" s="101"/>
      <c r="F39" s="101"/>
      <c r="G39" s="101" t="s">
        <v>189</v>
      </c>
      <c r="H39" s="101" t="s">
        <v>189</v>
      </c>
      <c r="I39" s="101"/>
      <c r="J39" s="101"/>
      <c r="K39" s="101"/>
    </row>
  </sheetData>
  <sheetProtection algorithmName="SHA-512" hashValue="KT/SqDavSjASqDkUgwfpCEF0XOBg9P6fieQhgTAcEba/ASJMb47rVlU4zC4HTJV+nXNwJxWR1dossciPFGfmzw==" saltValue="YfGwPQG7tte6/Un8ujf10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27" t="s">
        <v>1</v>
      </c>
      <c r="B2" s="101" t="s">
        <v>189</v>
      </c>
      <c r="C2" s="101" t="s">
        <v>189</v>
      </c>
      <c r="D2" s="101" t="s">
        <v>189</v>
      </c>
      <c r="E2" s="101" t="s">
        <v>189</v>
      </c>
      <c r="F2" s="101" t="s">
        <v>189</v>
      </c>
      <c r="G2" s="101" t="s">
        <v>189</v>
      </c>
      <c r="H2" s="101" t="s">
        <v>189</v>
      </c>
      <c r="I2" s="101"/>
      <c r="J2" s="101"/>
      <c r="K2" s="101"/>
    </row>
    <row r="3" spans="1:11" x14ac:dyDescent="0.25">
      <c r="A3" s="27" t="s">
        <v>2</v>
      </c>
      <c r="B3" s="101" t="s">
        <v>189</v>
      </c>
      <c r="C3" s="101" t="s">
        <v>189</v>
      </c>
      <c r="D3" s="101" t="s">
        <v>189</v>
      </c>
      <c r="E3" s="101" t="s">
        <v>189</v>
      </c>
      <c r="F3" s="101" t="s">
        <v>189</v>
      </c>
      <c r="G3" s="101" t="s">
        <v>189</v>
      </c>
      <c r="H3" s="101" t="s">
        <v>189</v>
      </c>
      <c r="I3" s="101"/>
      <c r="J3" s="101"/>
      <c r="K3" s="101"/>
    </row>
    <row r="4" spans="1:11" x14ac:dyDescent="0.25">
      <c r="A4" s="27" t="s">
        <v>3</v>
      </c>
      <c r="B4" s="101" t="s">
        <v>189</v>
      </c>
      <c r="C4" s="101" t="s">
        <v>189</v>
      </c>
      <c r="D4" s="101" t="s">
        <v>189</v>
      </c>
      <c r="E4" s="101" t="s">
        <v>189</v>
      </c>
      <c r="F4" s="101" t="s">
        <v>189</v>
      </c>
      <c r="G4" s="101" t="s">
        <v>189</v>
      </c>
      <c r="H4" s="101" t="s">
        <v>189</v>
      </c>
      <c r="I4" s="101"/>
      <c r="J4" s="101"/>
      <c r="K4" s="101"/>
    </row>
    <row r="5" spans="1:11" x14ac:dyDescent="0.25">
      <c r="A5" s="27" t="s">
        <v>4</v>
      </c>
      <c r="B5" s="101" t="s">
        <v>189</v>
      </c>
      <c r="C5" s="101" t="s">
        <v>189</v>
      </c>
      <c r="D5" s="101" t="s">
        <v>189</v>
      </c>
      <c r="E5" s="101" t="s">
        <v>189</v>
      </c>
      <c r="F5" s="101" t="s">
        <v>189</v>
      </c>
      <c r="G5" s="101" t="s">
        <v>189</v>
      </c>
      <c r="H5" s="101" t="s">
        <v>189</v>
      </c>
      <c r="I5" s="101"/>
      <c r="J5" s="101"/>
      <c r="K5" s="101"/>
    </row>
    <row r="6" spans="1:11" x14ac:dyDescent="0.25">
      <c r="A6" s="27" t="s">
        <v>5</v>
      </c>
      <c r="B6" s="101" t="s">
        <v>189</v>
      </c>
      <c r="C6" s="101" t="s">
        <v>189</v>
      </c>
      <c r="D6" s="101" t="s">
        <v>189</v>
      </c>
      <c r="E6" s="101" t="s">
        <v>189</v>
      </c>
      <c r="F6" s="101" t="s">
        <v>189</v>
      </c>
      <c r="G6" s="101" t="s">
        <v>189</v>
      </c>
      <c r="H6" s="101" t="s">
        <v>189</v>
      </c>
      <c r="I6" s="101"/>
      <c r="J6" s="101"/>
      <c r="K6" s="101"/>
    </row>
    <row r="7" spans="1:11" x14ac:dyDescent="0.25">
      <c r="A7" s="27" t="s">
        <v>53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 t="s">
        <v>189</v>
      </c>
      <c r="J7" s="101"/>
      <c r="K7" s="101"/>
    </row>
    <row r="8" spans="1:11" x14ac:dyDescent="0.25">
      <c r="A8" s="27" t="s">
        <v>54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 t="s">
        <v>189</v>
      </c>
      <c r="J8" s="101"/>
      <c r="K8" s="101"/>
    </row>
    <row r="9" spans="1:11" x14ac:dyDescent="0.25">
      <c r="A9" s="27" t="s">
        <v>55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 t="s">
        <v>189</v>
      </c>
      <c r="J9" s="101"/>
      <c r="K9" s="101"/>
    </row>
    <row r="10" spans="1:11" x14ac:dyDescent="0.25">
      <c r="A10" s="27" t="s">
        <v>56</v>
      </c>
      <c r="B10" s="101"/>
      <c r="C10" s="101" t="s">
        <v>189</v>
      </c>
      <c r="D10" s="101"/>
      <c r="E10" s="101"/>
      <c r="F10" s="101"/>
      <c r="G10" s="101"/>
      <c r="H10" s="101" t="s">
        <v>189</v>
      </c>
      <c r="I10" s="101" t="s">
        <v>189</v>
      </c>
      <c r="J10" s="101"/>
      <c r="K10" s="101"/>
    </row>
    <row r="11" spans="1:11" x14ac:dyDescent="0.25">
      <c r="A11" s="27" t="s">
        <v>49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 t="s">
        <v>189</v>
      </c>
      <c r="K11" s="101" t="s">
        <v>189</v>
      </c>
    </row>
    <row r="12" spans="1:11" x14ac:dyDescent="0.25">
      <c r="A12" s="27" t="s">
        <v>50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 t="s">
        <v>189</v>
      </c>
    </row>
    <row r="13" spans="1:11" x14ac:dyDescent="0.25">
      <c r="A13" s="27" t="s">
        <v>51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 t="s">
        <v>189</v>
      </c>
    </row>
    <row r="14" spans="1:11" x14ac:dyDescent="0.25">
      <c r="A14" s="27" t="s">
        <v>52</v>
      </c>
      <c r="B14" s="101"/>
      <c r="C14" s="101" t="s">
        <v>189</v>
      </c>
      <c r="D14" s="101"/>
      <c r="E14" s="101"/>
      <c r="F14" s="101"/>
      <c r="G14" s="101"/>
      <c r="H14" s="101"/>
      <c r="I14" s="101"/>
      <c r="J14" s="101"/>
      <c r="K14" s="101" t="s">
        <v>189</v>
      </c>
    </row>
  </sheetData>
  <sheetProtection algorithmName="SHA-512" hashValue="VChsNIBKhiDuK+WFeT623q0VhyhzyYybi6GQ1rI1cDL1/H4Cudw3T0wwivBkkgqfNvkyglLrDNWdqcOSfnFdaA==" saltValue="udtZNinLThtDIlp30iddI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17" t="s">
        <v>32</v>
      </c>
      <c r="C2" s="27" t="s">
        <v>171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170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169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1</v>
      </c>
      <c r="C5" s="27" t="s">
        <v>171</v>
      </c>
      <c r="D5" s="102">
        <v>1.73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170</v>
      </c>
      <c r="D6" s="102">
        <v>1.73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169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2</v>
      </c>
      <c r="C8" s="27" t="s">
        <v>171</v>
      </c>
      <c r="D8" s="102">
        <v>1</v>
      </c>
      <c r="E8" s="102">
        <v>1.73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170</v>
      </c>
      <c r="D9" s="102">
        <v>1</v>
      </c>
      <c r="E9" s="102">
        <v>1.73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169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3</v>
      </c>
      <c r="C11" s="27" t="s">
        <v>171</v>
      </c>
      <c r="D11" s="102">
        <v>1</v>
      </c>
      <c r="E11" s="102">
        <v>1</v>
      </c>
      <c r="F11" s="102">
        <v>1.73</v>
      </c>
      <c r="G11" s="102">
        <v>1</v>
      </c>
      <c r="H11" s="102">
        <v>1</v>
      </c>
    </row>
    <row r="12" spans="1:10" x14ac:dyDescent="0.25">
      <c r="B12" s="117"/>
      <c r="C12" s="27" t="s">
        <v>170</v>
      </c>
      <c r="D12" s="102">
        <v>1</v>
      </c>
      <c r="E12" s="102">
        <v>1</v>
      </c>
      <c r="F12" s="102">
        <v>1.73</v>
      </c>
      <c r="G12" s="102">
        <v>1</v>
      </c>
      <c r="H12" s="102">
        <v>1</v>
      </c>
    </row>
    <row r="13" spans="1:10" x14ac:dyDescent="0.25">
      <c r="B13" s="117"/>
      <c r="C13" s="27" t="s">
        <v>169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4</v>
      </c>
      <c r="C14" s="27" t="s">
        <v>171</v>
      </c>
      <c r="D14" s="102">
        <v>1</v>
      </c>
      <c r="E14" s="102">
        <v>1</v>
      </c>
      <c r="F14" s="102">
        <v>1</v>
      </c>
      <c r="G14" s="102">
        <v>1.73</v>
      </c>
      <c r="H14" s="102">
        <v>1</v>
      </c>
    </row>
    <row r="15" spans="1:10" x14ac:dyDescent="0.25">
      <c r="B15" s="117"/>
      <c r="C15" s="27" t="s">
        <v>170</v>
      </c>
      <c r="D15" s="102">
        <v>1</v>
      </c>
      <c r="E15" s="102">
        <v>1</v>
      </c>
      <c r="F15" s="102">
        <v>1</v>
      </c>
      <c r="G15" s="102">
        <v>1.73</v>
      </c>
      <c r="H15" s="102">
        <v>1</v>
      </c>
    </row>
    <row r="16" spans="1:10" x14ac:dyDescent="0.25">
      <c r="B16" s="117"/>
      <c r="C16" s="27" t="s">
        <v>169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167</v>
      </c>
      <c r="C17" s="27" t="s">
        <v>169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214</v>
      </c>
      <c r="B19" s="117" t="s">
        <v>32</v>
      </c>
      <c r="C19" s="27" t="s">
        <v>171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170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169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1</v>
      </c>
      <c r="C22" s="27" t="s">
        <v>171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170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169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2</v>
      </c>
      <c r="C25" s="27" t="s">
        <v>171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170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169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3</v>
      </c>
      <c r="C28" s="27" t="s">
        <v>171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170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169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4</v>
      </c>
      <c r="C31" s="27" t="s">
        <v>171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170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169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167</v>
      </c>
      <c r="C34" s="27" t="s">
        <v>169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215</v>
      </c>
      <c r="B36" s="117" t="s">
        <v>32</v>
      </c>
      <c r="C36" s="27" t="s">
        <v>171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170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169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1</v>
      </c>
      <c r="C39" s="27" t="s">
        <v>171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170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169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2</v>
      </c>
      <c r="C42" s="27" t="s">
        <v>171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170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169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3</v>
      </c>
      <c r="C45" s="27" t="s">
        <v>171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170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169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4</v>
      </c>
      <c r="C48" s="27" t="s">
        <v>171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170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169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167</v>
      </c>
      <c r="C51" s="27" t="s">
        <v>169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267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17" t="s">
        <v>32</v>
      </c>
      <c r="C55" s="27" t="s">
        <v>171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170</v>
      </c>
      <c r="D56" s="102">
        <f t="shared" ref="D56:H59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169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1</v>
      </c>
      <c r="C58" s="27" t="s">
        <v>171</v>
      </c>
      <c r="D58" s="102">
        <v>1.35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170</v>
      </c>
      <c r="D59" s="102">
        <v>1.35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169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2"/>
        <v>1</v>
      </c>
    </row>
    <row r="61" spans="1:8" x14ac:dyDescent="0.25">
      <c r="B61" s="117" t="s">
        <v>2</v>
      </c>
      <c r="C61" s="27" t="s">
        <v>171</v>
      </c>
      <c r="D61" s="102">
        <f t="shared" si="2"/>
        <v>1</v>
      </c>
      <c r="E61" s="102">
        <v>1.35</v>
      </c>
      <c r="F61" s="102">
        <f t="shared" si="2"/>
        <v>1</v>
      </c>
      <c r="G61" s="102">
        <f t="shared" si="2"/>
        <v>1</v>
      </c>
      <c r="H61" s="102">
        <f t="shared" si="2"/>
        <v>1</v>
      </c>
    </row>
    <row r="62" spans="1:8" x14ac:dyDescent="0.25">
      <c r="B62" s="117"/>
      <c r="C62" s="27" t="s">
        <v>170</v>
      </c>
      <c r="D62" s="102">
        <f t="shared" si="2"/>
        <v>1</v>
      </c>
      <c r="E62" s="102">
        <v>1.35</v>
      </c>
      <c r="F62" s="102">
        <f t="shared" si="2"/>
        <v>1</v>
      </c>
      <c r="G62" s="102">
        <f t="shared" si="2"/>
        <v>1</v>
      </c>
      <c r="H62" s="102">
        <f t="shared" si="2"/>
        <v>1</v>
      </c>
    </row>
    <row r="63" spans="1:8" x14ac:dyDescent="0.25">
      <c r="B63" s="117"/>
      <c r="C63" s="27" t="s">
        <v>169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2"/>
        <v>1</v>
      </c>
    </row>
    <row r="64" spans="1:8" x14ac:dyDescent="0.25">
      <c r="B64" s="117" t="s">
        <v>3</v>
      </c>
      <c r="C64" s="27" t="s">
        <v>171</v>
      </c>
      <c r="D64" s="102">
        <f t="shared" si="2"/>
        <v>1</v>
      </c>
      <c r="E64" s="102">
        <f t="shared" si="2"/>
        <v>1</v>
      </c>
      <c r="F64" s="102">
        <v>1.35</v>
      </c>
      <c r="G64" s="102">
        <f t="shared" si="2"/>
        <v>1</v>
      </c>
      <c r="H64" s="102">
        <f t="shared" si="2"/>
        <v>1</v>
      </c>
    </row>
    <row r="65" spans="1:8" x14ac:dyDescent="0.25">
      <c r="B65" s="117"/>
      <c r="C65" s="27" t="s">
        <v>170</v>
      </c>
      <c r="D65" s="102">
        <f t="shared" si="2"/>
        <v>1</v>
      </c>
      <c r="E65" s="102">
        <f t="shared" si="2"/>
        <v>1</v>
      </c>
      <c r="F65" s="102">
        <v>1.35</v>
      </c>
      <c r="G65" s="102">
        <f t="shared" si="2"/>
        <v>1</v>
      </c>
      <c r="H65" s="102">
        <f t="shared" si="2"/>
        <v>1</v>
      </c>
    </row>
    <row r="66" spans="1:8" x14ac:dyDescent="0.25">
      <c r="B66" s="117"/>
      <c r="C66" s="27" t="s">
        <v>169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2"/>
        <v>1</v>
      </c>
    </row>
    <row r="67" spans="1:8" x14ac:dyDescent="0.25">
      <c r="B67" s="117" t="s">
        <v>4</v>
      </c>
      <c r="C67" s="27" t="s">
        <v>171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1.35</v>
      </c>
      <c r="H67" s="102">
        <f t="shared" si="2"/>
        <v>1</v>
      </c>
    </row>
    <row r="68" spans="1:8" x14ac:dyDescent="0.25">
      <c r="B68" s="117"/>
      <c r="C68" s="27" t="s">
        <v>170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1.35</v>
      </c>
      <c r="H68" s="102">
        <f t="shared" si="2"/>
        <v>1</v>
      </c>
    </row>
    <row r="69" spans="1:8" x14ac:dyDescent="0.25">
      <c r="B69" s="117"/>
      <c r="C69" s="27" t="s">
        <v>169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167</v>
      </c>
      <c r="C70" s="27" t="s">
        <v>169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312</v>
      </c>
      <c r="B72" s="117" t="s">
        <v>32</v>
      </c>
      <c r="C72" s="27" t="s">
        <v>171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170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169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1</v>
      </c>
      <c r="C75" s="27" t="s">
        <v>171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170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169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2</v>
      </c>
      <c r="C78" s="27" t="s">
        <v>171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170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169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3</v>
      </c>
      <c r="C81" s="27" t="s">
        <v>171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170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169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4</v>
      </c>
      <c r="C84" s="27" t="s">
        <v>171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170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169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167</v>
      </c>
      <c r="C87" s="27" t="s">
        <v>169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313</v>
      </c>
      <c r="B89" s="117" t="s">
        <v>32</v>
      </c>
      <c r="C89" s="27" t="s">
        <v>171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170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169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1</v>
      </c>
      <c r="C92" s="27" t="s">
        <v>171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170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169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2</v>
      </c>
      <c r="C95" s="27" t="s">
        <v>171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170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169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3</v>
      </c>
      <c r="C98" s="27" t="s">
        <v>171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170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169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4</v>
      </c>
      <c r="C101" s="27" t="s">
        <v>171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170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169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268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17" t="s">
        <v>32</v>
      </c>
      <c r="C108" s="27" t="s">
        <v>171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170</v>
      </c>
      <c r="D109" s="102">
        <f t="shared" ref="D109:H112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169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1</v>
      </c>
      <c r="C111" s="27" t="s">
        <v>171</v>
      </c>
      <c r="D111" s="102">
        <v>2.11</v>
      </c>
      <c r="E111" s="102">
        <f t="shared" si="8"/>
        <v>1</v>
      </c>
      <c r="F111" s="102">
        <f t="shared" si="8"/>
        <v>1</v>
      </c>
      <c r="G111" s="102">
        <f t="shared" si="8"/>
        <v>1</v>
      </c>
      <c r="H111" s="102">
        <f t="shared" si="8"/>
        <v>1</v>
      </c>
    </row>
    <row r="112" spans="1:8" x14ac:dyDescent="0.25">
      <c r="B112" s="117"/>
      <c r="C112" s="27" t="s">
        <v>170</v>
      </c>
      <c r="D112" s="102">
        <v>2.11</v>
      </c>
      <c r="E112" s="102">
        <f t="shared" si="8"/>
        <v>1</v>
      </c>
      <c r="F112" s="102">
        <f t="shared" si="8"/>
        <v>1</v>
      </c>
      <c r="G112" s="102">
        <f t="shared" si="8"/>
        <v>1</v>
      </c>
      <c r="H112" s="102">
        <f t="shared" si="8"/>
        <v>1</v>
      </c>
    </row>
    <row r="113" spans="1:8" x14ac:dyDescent="0.25">
      <c r="B113" s="117"/>
      <c r="C113" s="27" t="s">
        <v>169</v>
      </c>
      <c r="D113" s="102">
        <f t="shared" ref="D113:H123" si="9">IF(D7=1,1,D7*1.05)</f>
        <v>1</v>
      </c>
      <c r="E113" s="102">
        <f t="shared" si="9"/>
        <v>1</v>
      </c>
      <c r="F113" s="102">
        <f t="shared" si="9"/>
        <v>1</v>
      </c>
      <c r="G113" s="102">
        <f t="shared" si="9"/>
        <v>1</v>
      </c>
      <c r="H113" s="102">
        <f t="shared" si="9"/>
        <v>1</v>
      </c>
    </row>
    <row r="114" spans="1:8" x14ac:dyDescent="0.25">
      <c r="B114" s="117" t="s">
        <v>2</v>
      </c>
      <c r="C114" s="27" t="s">
        <v>171</v>
      </c>
      <c r="D114" s="102">
        <f t="shared" si="9"/>
        <v>1</v>
      </c>
      <c r="E114" s="102">
        <v>2.11</v>
      </c>
      <c r="F114" s="102">
        <f t="shared" si="9"/>
        <v>1</v>
      </c>
      <c r="G114" s="102">
        <f t="shared" si="9"/>
        <v>1</v>
      </c>
      <c r="H114" s="102">
        <f t="shared" si="9"/>
        <v>1</v>
      </c>
    </row>
    <row r="115" spans="1:8" x14ac:dyDescent="0.25">
      <c r="B115" s="117"/>
      <c r="C115" s="27" t="s">
        <v>170</v>
      </c>
      <c r="D115" s="102">
        <f t="shared" si="9"/>
        <v>1</v>
      </c>
      <c r="E115" s="102">
        <v>2.11</v>
      </c>
      <c r="F115" s="102">
        <f t="shared" si="9"/>
        <v>1</v>
      </c>
      <c r="G115" s="102">
        <f t="shared" si="9"/>
        <v>1</v>
      </c>
      <c r="H115" s="102">
        <f t="shared" si="9"/>
        <v>1</v>
      </c>
    </row>
    <row r="116" spans="1:8" x14ac:dyDescent="0.25">
      <c r="B116" s="117"/>
      <c r="C116" s="27" t="s">
        <v>169</v>
      </c>
      <c r="D116" s="102">
        <f t="shared" si="9"/>
        <v>1</v>
      </c>
      <c r="E116" s="102">
        <f t="shared" si="9"/>
        <v>1</v>
      </c>
      <c r="F116" s="102">
        <f t="shared" si="9"/>
        <v>1</v>
      </c>
      <c r="G116" s="102">
        <f t="shared" si="9"/>
        <v>1</v>
      </c>
      <c r="H116" s="102">
        <f t="shared" si="9"/>
        <v>1</v>
      </c>
    </row>
    <row r="117" spans="1:8" x14ac:dyDescent="0.25">
      <c r="B117" s="117" t="s">
        <v>3</v>
      </c>
      <c r="C117" s="27" t="s">
        <v>171</v>
      </c>
      <c r="D117" s="102">
        <f t="shared" si="9"/>
        <v>1</v>
      </c>
      <c r="E117" s="102">
        <f t="shared" si="9"/>
        <v>1</v>
      </c>
      <c r="F117" s="102">
        <v>2.11</v>
      </c>
      <c r="G117" s="102">
        <f t="shared" si="9"/>
        <v>1</v>
      </c>
      <c r="H117" s="102">
        <f t="shared" si="9"/>
        <v>1</v>
      </c>
    </row>
    <row r="118" spans="1:8" x14ac:dyDescent="0.25">
      <c r="B118" s="117"/>
      <c r="C118" s="27" t="s">
        <v>170</v>
      </c>
      <c r="D118" s="102">
        <f t="shared" si="9"/>
        <v>1</v>
      </c>
      <c r="E118" s="102">
        <f t="shared" si="9"/>
        <v>1</v>
      </c>
      <c r="F118" s="102">
        <v>2.11</v>
      </c>
      <c r="G118" s="102">
        <f t="shared" si="9"/>
        <v>1</v>
      </c>
      <c r="H118" s="102">
        <f t="shared" si="9"/>
        <v>1</v>
      </c>
    </row>
    <row r="119" spans="1:8" x14ac:dyDescent="0.25">
      <c r="B119" s="117"/>
      <c r="C119" s="27" t="s">
        <v>169</v>
      </c>
      <c r="D119" s="102">
        <f t="shared" si="9"/>
        <v>1</v>
      </c>
      <c r="E119" s="102">
        <f t="shared" si="9"/>
        <v>1</v>
      </c>
      <c r="F119" s="102">
        <f t="shared" si="9"/>
        <v>1</v>
      </c>
      <c r="G119" s="102">
        <f t="shared" si="9"/>
        <v>1</v>
      </c>
      <c r="H119" s="102">
        <f t="shared" si="9"/>
        <v>1</v>
      </c>
    </row>
    <row r="120" spans="1:8" x14ac:dyDescent="0.25">
      <c r="B120" s="117" t="s">
        <v>4</v>
      </c>
      <c r="C120" s="27" t="s">
        <v>171</v>
      </c>
      <c r="D120" s="102">
        <f t="shared" si="9"/>
        <v>1</v>
      </c>
      <c r="E120" s="102">
        <f t="shared" si="9"/>
        <v>1</v>
      </c>
      <c r="F120" s="102">
        <f t="shared" si="9"/>
        <v>1</v>
      </c>
      <c r="G120" s="102">
        <v>2.11</v>
      </c>
      <c r="H120" s="102">
        <f t="shared" si="9"/>
        <v>1</v>
      </c>
    </row>
    <row r="121" spans="1:8" x14ac:dyDescent="0.25">
      <c r="B121" s="117"/>
      <c r="C121" s="27" t="s">
        <v>170</v>
      </c>
      <c r="D121" s="102">
        <f t="shared" si="9"/>
        <v>1</v>
      </c>
      <c r="E121" s="102">
        <f t="shared" si="9"/>
        <v>1</v>
      </c>
      <c r="F121" s="102">
        <f t="shared" si="9"/>
        <v>1</v>
      </c>
      <c r="G121" s="102">
        <v>2.11</v>
      </c>
      <c r="H121" s="102">
        <f t="shared" si="9"/>
        <v>1</v>
      </c>
    </row>
    <row r="122" spans="1:8" x14ac:dyDescent="0.25">
      <c r="B122" s="117"/>
      <c r="C122" s="27" t="s">
        <v>169</v>
      </c>
      <c r="D122" s="102">
        <f t="shared" si="9"/>
        <v>1</v>
      </c>
      <c r="E122" s="102">
        <f t="shared" si="9"/>
        <v>1</v>
      </c>
      <c r="F122" s="102">
        <f t="shared" si="9"/>
        <v>1</v>
      </c>
      <c r="G122" s="102">
        <f t="shared" si="9"/>
        <v>1</v>
      </c>
      <c r="H122" s="102">
        <f t="shared" si="9"/>
        <v>1</v>
      </c>
    </row>
    <row r="123" spans="1:8" ht="13" x14ac:dyDescent="0.25">
      <c r="B123" s="76" t="s">
        <v>167</v>
      </c>
      <c r="C123" s="27" t="s">
        <v>169</v>
      </c>
      <c r="D123" s="102">
        <f t="shared" si="9"/>
        <v>1.1025</v>
      </c>
      <c r="E123" s="102">
        <f t="shared" si="9"/>
        <v>1.1025</v>
      </c>
      <c r="F123" s="102">
        <f t="shared" si="9"/>
        <v>1.1025</v>
      </c>
      <c r="G123" s="102">
        <f t="shared" si="9"/>
        <v>1.1025</v>
      </c>
      <c r="H123" s="102">
        <f t="shared" si="9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315</v>
      </c>
      <c r="B125" s="117" t="s">
        <v>32</v>
      </c>
      <c r="C125" s="27" t="s">
        <v>171</v>
      </c>
      <c r="D125" s="102">
        <f>IF(D19=1,1,D19*1.05)</f>
        <v>1</v>
      </c>
      <c r="E125" s="102">
        <f t="shared" ref="E125:H125" si="10">IF(E19=1,1,E19*1.05)</f>
        <v>1</v>
      </c>
      <c r="F125" s="102">
        <f t="shared" si="10"/>
        <v>1</v>
      </c>
      <c r="G125" s="102">
        <f t="shared" si="10"/>
        <v>1</v>
      </c>
      <c r="H125" s="102">
        <f t="shared" si="10"/>
        <v>1</v>
      </c>
    </row>
    <row r="126" spans="1:8" x14ac:dyDescent="0.25">
      <c r="B126" s="117"/>
      <c r="C126" s="27" t="s">
        <v>170</v>
      </c>
      <c r="D126" s="102">
        <f t="shared" ref="D126:H140" si="11">IF(D20=1,1,D20*1.05)</f>
        <v>1</v>
      </c>
      <c r="E126" s="102">
        <f t="shared" si="11"/>
        <v>1</v>
      </c>
      <c r="F126" s="102">
        <f t="shared" si="11"/>
        <v>1</v>
      </c>
      <c r="G126" s="102">
        <f t="shared" si="11"/>
        <v>1</v>
      </c>
      <c r="H126" s="102">
        <f t="shared" si="11"/>
        <v>1</v>
      </c>
    </row>
    <row r="127" spans="1:8" x14ac:dyDescent="0.25">
      <c r="B127" s="117"/>
      <c r="C127" s="27" t="s">
        <v>169</v>
      </c>
      <c r="D127" s="102">
        <f t="shared" si="11"/>
        <v>1</v>
      </c>
      <c r="E127" s="102">
        <f t="shared" si="11"/>
        <v>1</v>
      </c>
      <c r="F127" s="102">
        <f t="shared" si="11"/>
        <v>1</v>
      </c>
      <c r="G127" s="102">
        <f t="shared" si="11"/>
        <v>1</v>
      </c>
      <c r="H127" s="102">
        <f t="shared" si="11"/>
        <v>1</v>
      </c>
    </row>
    <row r="128" spans="1:8" x14ac:dyDescent="0.25">
      <c r="B128" s="117" t="s">
        <v>1</v>
      </c>
      <c r="C128" s="27" t="s">
        <v>171</v>
      </c>
      <c r="D128" s="102">
        <f t="shared" si="11"/>
        <v>1</v>
      </c>
      <c r="E128" s="102">
        <f t="shared" si="11"/>
        <v>1</v>
      </c>
      <c r="F128" s="102">
        <f t="shared" si="11"/>
        <v>1</v>
      </c>
      <c r="G128" s="102">
        <f t="shared" si="11"/>
        <v>1</v>
      </c>
      <c r="H128" s="102">
        <f t="shared" si="11"/>
        <v>1</v>
      </c>
    </row>
    <row r="129" spans="1:8" x14ac:dyDescent="0.25">
      <c r="B129" s="117"/>
      <c r="C129" s="27" t="s">
        <v>170</v>
      </c>
      <c r="D129" s="102">
        <f t="shared" si="11"/>
        <v>1</v>
      </c>
      <c r="E129" s="102">
        <f t="shared" si="11"/>
        <v>1</v>
      </c>
      <c r="F129" s="102">
        <f t="shared" si="11"/>
        <v>1</v>
      </c>
      <c r="G129" s="102">
        <f t="shared" si="11"/>
        <v>1</v>
      </c>
      <c r="H129" s="102">
        <f t="shared" si="11"/>
        <v>1</v>
      </c>
    </row>
    <row r="130" spans="1:8" x14ac:dyDescent="0.25">
      <c r="B130" s="117"/>
      <c r="C130" s="27" t="s">
        <v>169</v>
      </c>
      <c r="D130" s="102">
        <f t="shared" si="11"/>
        <v>1</v>
      </c>
      <c r="E130" s="102">
        <f t="shared" si="11"/>
        <v>1</v>
      </c>
      <c r="F130" s="102">
        <f t="shared" si="11"/>
        <v>1</v>
      </c>
      <c r="G130" s="102">
        <f t="shared" si="11"/>
        <v>1</v>
      </c>
      <c r="H130" s="102">
        <f t="shared" si="11"/>
        <v>1</v>
      </c>
    </row>
    <row r="131" spans="1:8" x14ac:dyDescent="0.25">
      <c r="B131" s="117" t="s">
        <v>2</v>
      </c>
      <c r="C131" s="27" t="s">
        <v>171</v>
      </c>
      <c r="D131" s="102">
        <f t="shared" si="11"/>
        <v>1</v>
      </c>
      <c r="E131" s="102">
        <f t="shared" si="11"/>
        <v>1</v>
      </c>
      <c r="F131" s="102">
        <f t="shared" si="11"/>
        <v>1</v>
      </c>
      <c r="G131" s="102">
        <f t="shared" si="11"/>
        <v>1</v>
      </c>
      <c r="H131" s="102">
        <f t="shared" si="11"/>
        <v>1</v>
      </c>
    </row>
    <row r="132" spans="1:8" x14ac:dyDescent="0.25">
      <c r="B132" s="117"/>
      <c r="C132" s="27" t="s">
        <v>170</v>
      </c>
      <c r="D132" s="102">
        <f t="shared" si="11"/>
        <v>1</v>
      </c>
      <c r="E132" s="102">
        <f t="shared" si="11"/>
        <v>1</v>
      </c>
      <c r="F132" s="102">
        <f t="shared" si="11"/>
        <v>1</v>
      </c>
      <c r="G132" s="102">
        <f t="shared" si="11"/>
        <v>1</v>
      </c>
      <c r="H132" s="102">
        <f t="shared" si="11"/>
        <v>1</v>
      </c>
    </row>
    <row r="133" spans="1:8" x14ac:dyDescent="0.25">
      <c r="B133" s="117"/>
      <c r="C133" s="27" t="s">
        <v>169</v>
      </c>
      <c r="D133" s="102">
        <f t="shared" si="11"/>
        <v>1</v>
      </c>
      <c r="E133" s="102">
        <f t="shared" si="11"/>
        <v>1</v>
      </c>
      <c r="F133" s="102">
        <f t="shared" si="11"/>
        <v>1</v>
      </c>
      <c r="G133" s="102">
        <f t="shared" si="11"/>
        <v>1</v>
      </c>
      <c r="H133" s="102">
        <f t="shared" si="11"/>
        <v>1</v>
      </c>
    </row>
    <row r="134" spans="1:8" x14ac:dyDescent="0.25">
      <c r="B134" s="117" t="s">
        <v>3</v>
      </c>
      <c r="C134" s="27" t="s">
        <v>171</v>
      </c>
      <c r="D134" s="102">
        <f t="shared" si="11"/>
        <v>1</v>
      </c>
      <c r="E134" s="102">
        <f t="shared" si="11"/>
        <v>1</v>
      </c>
      <c r="F134" s="102">
        <f t="shared" si="11"/>
        <v>1</v>
      </c>
      <c r="G134" s="102">
        <f t="shared" si="11"/>
        <v>1</v>
      </c>
      <c r="H134" s="102">
        <f t="shared" si="11"/>
        <v>1</v>
      </c>
    </row>
    <row r="135" spans="1:8" x14ac:dyDescent="0.25">
      <c r="B135" s="117"/>
      <c r="C135" s="27" t="s">
        <v>170</v>
      </c>
      <c r="D135" s="102">
        <f t="shared" si="11"/>
        <v>1</v>
      </c>
      <c r="E135" s="102">
        <f t="shared" si="11"/>
        <v>1</v>
      </c>
      <c r="F135" s="102">
        <f t="shared" si="11"/>
        <v>1</v>
      </c>
      <c r="G135" s="102">
        <f t="shared" si="11"/>
        <v>1</v>
      </c>
      <c r="H135" s="102">
        <f t="shared" si="11"/>
        <v>1</v>
      </c>
    </row>
    <row r="136" spans="1:8" x14ac:dyDescent="0.25">
      <c r="B136" s="117"/>
      <c r="C136" s="27" t="s">
        <v>169</v>
      </c>
      <c r="D136" s="102">
        <f t="shared" si="11"/>
        <v>1</v>
      </c>
      <c r="E136" s="102">
        <f t="shared" si="11"/>
        <v>1</v>
      </c>
      <c r="F136" s="102">
        <f t="shared" si="11"/>
        <v>1</v>
      </c>
      <c r="G136" s="102">
        <f t="shared" si="11"/>
        <v>1</v>
      </c>
      <c r="H136" s="102">
        <f t="shared" si="11"/>
        <v>1</v>
      </c>
    </row>
    <row r="137" spans="1:8" x14ac:dyDescent="0.25">
      <c r="B137" s="117" t="s">
        <v>4</v>
      </c>
      <c r="C137" s="27" t="s">
        <v>171</v>
      </c>
      <c r="D137" s="102">
        <f t="shared" si="11"/>
        <v>1</v>
      </c>
      <c r="E137" s="102">
        <f t="shared" si="11"/>
        <v>1</v>
      </c>
      <c r="F137" s="102">
        <f t="shared" si="11"/>
        <v>1</v>
      </c>
      <c r="G137" s="102">
        <f t="shared" si="11"/>
        <v>1</v>
      </c>
      <c r="H137" s="102">
        <f t="shared" si="11"/>
        <v>1</v>
      </c>
    </row>
    <row r="138" spans="1:8" x14ac:dyDescent="0.25">
      <c r="B138" s="117"/>
      <c r="C138" s="27" t="s">
        <v>170</v>
      </c>
      <c r="D138" s="102">
        <f t="shared" si="11"/>
        <v>1</v>
      </c>
      <c r="E138" s="102">
        <f t="shared" si="11"/>
        <v>1</v>
      </c>
      <c r="F138" s="102">
        <f t="shared" si="11"/>
        <v>1</v>
      </c>
      <c r="G138" s="102">
        <f t="shared" si="11"/>
        <v>1</v>
      </c>
      <c r="H138" s="102">
        <f t="shared" si="11"/>
        <v>1</v>
      </c>
    </row>
    <row r="139" spans="1:8" x14ac:dyDescent="0.25">
      <c r="B139" s="117"/>
      <c r="C139" s="27" t="s">
        <v>169</v>
      </c>
      <c r="D139" s="102">
        <f t="shared" si="11"/>
        <v>1</v>
      </c>
      <c r="E139" s="102">
        <f t="shared" si="11"/>
        <v>1</v>
      </c>
      <c r="F139" s="102">
        <f t="shared" si="11"/>
        <v>1</v>
      </c>
      <c r="G139" s="102">
        <f t="shared" si="11"/>
        <v>1</v>
      </c>
      <c r="H139" s="102">
        <f t="shared" si="11"/>
        <v>1</v>
      </c>
    </row>
    <row r="140" spans="1:8" ht="13" x14ac:dyDescent="0.25">
      <c r="B140" s="76" t="s">
        <v>167</v>
      </c>
      <c r="C140" s="27" t="s">
        <v>169</v>
      </c>
      <c r="D140" s="102">
        <f t="shared" si="11"/>
        <v>1</v>
      </c>
      <c r="E140" s="102">
        <f t="shared" si="11"/>
        <v>1</v>
      </c>
      <c r="F140" s="102">
        <f t="shared" si="11"/>
        <v>1</v>
      </c>
      <c r="G140" s="102">
        <f t="shared" si="11"/>
        <v>1</v>
      </c>
      <c r="H140" s="102">
        <f t="shared" si="11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316</v>
      </c>
      <c r="B142" s="117" t="s">
        <v>32</v>
      </c>
      <c r="C142" s="27" t="s">
        <v>171</v>
      </c>
      <c r="D142" s="102">
        <f>IF(D36=1,1,D36*1.05)</f>
        <v>1</v>
      </c>
      <c r="E142" s="102">
        <f t="shared" ref="E142:H142" si="12">IF(E36=1,1,E36*1.05)</f>
        <v>1</v>
      </c>
      <c r="F142" s="102">
        <f t="shared" si="12"/>
        <v>1</v>
      </c>
      <c r="G142" s="102">
        <f t="shared" si="12"/>
        <v>1</v>
      </c>
      <c r="H142" s="102">
        <f t="shared" si="12"/>
        <v>1</v>
      </c>
    </row>
    <row r="143" spans="1:8" x14ac:dyDescent="0.25">
      <c r="B143" s="117"/>
      <c r="C143" s="27" t="s">
        <v>170</v>
      </c>
      <c r="D143" s="102">
        <f t="shared" ref="D143:H157" si="13">IF(D37=1,1,D37*1.05)</f>
        <v>1</v>
      </c>
      <c r="E143" s="102">
        <f t="shared" si="13"/>
        <v>1</v>
      </c>
      <c r="F143" s="102">
        <f t="shared" si="13"/>
        <v>1</v>
      </c>
      <c r="G143" s="102">
        <f t="shared" si="13"/>
        <v>1</v>
      </c>
      <c r="H143" s="102">
        <f t="shared" si="13"/>
        <v>1</v>
      </c>
    </row>
    <row r="144" spans="1:8" x14ac:dyDescent="0.25">
      <c r="B144" s="117"/>
      <c r="C144" s="27" t="s">
        <v>169</v>
      </c>
      <c r="D144" s="102">
        <f t="shared" si="13"/>
        <v>1</v>
      </c>
      <c r="E144" s="102">
        <f t="shared" si="13"/>
        <v>1</v>
      </c>
      <c r="F144" s="102">
        <f t="shared" si="13"/>
        <v>1</v>
      </c>
      <c r="G144" s="102">
        <f t="shared" si="13"/>
        <v>1</v>
      </c>
      <c r="H144" s="102">
        <f t="shared" si="13"/>
        <v>1</v>
      </c>
    </row>
    <row r="145" spans="2:8" x14ac:dyDescent="0.25">
      <c r="B145" s="117" t="s">
        <v>1</v>
      </c>
      <c r="C145" s="27" t="s">
        <v>171</v>
      </c>
      <c r="D145" s="102">
        <f t="shared" si="13"/>
        <v>1</v>
      </c>
      <c r="E145" s="102">
        <f t="shared" si="13"/>
        <v>1</v>
      </c>
      <c r="F145" s="102">
        <f t="shared" si="13"/>
        <v>1</v>
      </c>
      <c r="G145" s="102">
        <f t="shared" si="13"/>
        <v>1</v>
      </c>
      <c r="H145" s="102">
        <f t="shared" si="13"/>
        <v>1</v>
      </c>
    </row>
    <row r="146" spans="2:8" x14ac:dyDescent="0.25">
      <c r="B146" s="117"/>
      <c r="C146" s="27" t="s">
        <v>170</v>
      </c>
      <c r="D146" s="102">
        <f t="shared" si="13"/>
        <v>1</v>
      </c>
      <c r="E146" s="102">
        <f t="shared" si="13"/>
        <v>1</v>
      </c>
      <c r="F146" s="102">
        <f t="shared" si="13"/>
        <v>1</v>
      </c>
      <c r="G146" s="102">
        <f t="shared" si="13"/>
        <v>1</v>
      </c>
      <c r="H146" s="102">
        <f t="shared" si="13"/>
        <v>1</v>
      </c>
    </row>
    <row r="147" spans="2:8" x14ac:dyDescent="0.25">
      <c r="B147" s="117"/>
      <c r="C147" s="27" t="s">
        <v>169</v>
      </c>
      <c r="D147" s="102">
        <f t="shared" si="13"/>
        <v>1</v>
      </c>
      <c r="E147" s="102">
        <f t="shared" si="13"/>
        <v>1</v>
      </c>
      <c r="F147" s="102">
        <f t="shared" si="13"/>
        <v>1</v>
      </c>
      <c r="G147" s="102">
        <f t="shared" si="13"/>
        <v>1</v>
      </c>
      <c r="H147" s="102">
        <f t="shared" si="13"/>
        <v>1</v>
      </c>
    </row>
    <row r="148" spans="2:8" x14ac:dyDescent="0.25">
      <c r="B148" s="117" t="s">
        <v>2</v>
      </c>
      <c r="C148" s="27" t="s">
        <v>171</v>
      </c>
      <c r="D148" s="102">
        <f t="shared" si="13"/>
        <v>1</v>
      </c>
      <c r="E148" s="102">
        <f t="shared" si="13"/>
        <v>1</v>
      </c>
      <c r="F148" s="102">
        <f t="shared" si="13"/>
        <v>1</v>
      </c>
      <c r="G148" s="102">
        <f t="shared" si="13"/>
        <v>1</v>
      </c>
      <c r="H148" s="102">
        <f t="shared" si="13"/>
        <v>1</v>
      </c>
    </row>
    <row r="149" spans="2:8" x14ac:dyDescent="0.25">
      <c r="B149" s="117"/>
      <c r="C149" s="27" t="s">
        <v>170</v>
      </c>
      <c r="D149" s="102">
        <f t="shared" si="13"/>
        <v>1</v>
      </c>
      <c r="E149" s="102">
        <f t="shared" si="13"/>
        <v>1</v>
      </c>
      <c r="F149" s="102">
        <f t="shared" si="13"/>
        <v>1</v>
      </c>
      <c r="G149" s="102">
        <f t="shared" si="13"/>
        <v>1</v>
      </c>
      <c r="H149" s="102">
        <f t="shared" si="13"/>
        <v>1</v>
      </c>
    </row>
    <row r="150" spans="2:8" x14ac:dyDescent="0.25">
      <c r="B150" s="117"/>
      <c r="C150" s="27" t="s">
        <v>169</v>
      </c>
      <c r="D150" s="102">
        <f t="shared" si="13"/>
        <v>1</v>
      </c>
      <c r="E150" s="102">
        <f t="shared" si="13"/>
        <v>1</v>
      </c>
      <c r="F150" s="102">
        <f t="shared" si="13"/>
        <v>1</v>
      </c>
      <c r="G150" s="102">
        <f t="shared" si="13"/>
        <v>1</v>
      </c>
      <c r="H150" s="102">
        <f t="shared" si="13"/>
        <v>1</v>
      </c>
    </row>
    <row r="151" spans="2:8" x14ac:dyDescent="0.25">
      <c r="B151" s="117" t="s">
        <v>3</v>
      </c>
      <c r="C151" s="27" t="s">
        <v>171</v>
      </c>
      <c r="D151" s="102">
        <f t="shared" si="13"/>
        <v>1</v>
      </c>
      <c r="E151" s="102">
        <f t="shared" si="13"/>
        <v>1</v>
      </c>
      <c r="F151" s="102">
        <f t="shared" si="13"/>
        <v>1</v>
      </c>
      <c r="G151" s="102">
        <f t="shared" si="13"/>
        <v>1</v>
      </c>
      <c r="H151" s="102">
        <f t="shared" si="13"/>
        <v>1</v>
      </c>
    </row>
    <row r="152" spans="2:8" x14ac:dyDescent="0.25">
      <c r="B152" s="117"/>
      <c r="C152" s="27" t="s">
        <v>170</v>
      </c>
      <c r="D152" s="102">
        <f t="shared" si="13"/>
        <v>1</v>
      </c>
      <c r="E152" s="102">
        <f t="shared" si="13"/>
        <v>1</v>
      </c>
      <c r="F152" s="102">
        <f t="shared" si="13"/>
        <v>1</v>
      </c>
      <c r="G152" s="102">
        <f t="shared" si="13"/>
        <v>1</v>
      </c>
      <c r="H152" s="102">
        <f t="shared" si="13"/>
        <v>1</v>
      </c>
    </row>
    <row r="153" spans="2:8" x14ac:dyDescent="0.25">
      <c r="B153" s="117"/>
      <c r="C153" s="27" t="s">
        <v>169</v>
      </c>
      <c r="D153" s="102">
        <f t="shared" si="13"/>
        <v>1</v>
      </c>
      <c r="E153" s="102">
        <f t="shared" si="13"/>
        <v>1</v>
      </c>
      <c r="F153" s="102">
        <f t="shared" si="13"/>
        <v>1</v>
      </c>
      <c r="G153" s="102">
        <f t="shared" si="13"/>
        <v>1</v>
      </c>
      <c r="H153" s="102">
        <f t="shared" si="13"/>
        <v>1</v>
      </c>
    </row>
    <row r="154" spans="2:8" x14ac:dyDescent="0.25">
      <c r="B154" s="117" t="s">
        <v>4</v>
      </c>
      <c r="C154" s="27" t="s">
        <v>171</v>
      </c>
      <c r="D154" s="102">
        <f t="shared" si="13"/>
        <v>1</v>
      </c>
      <c r="E154" s="102">
        <f t="shared" si="13"/>
        <v>1</v>
      </c>
      <c r="F154" s="102">
        <f t="shared" si="13"/>
        <v>1</v>
      </c>
      <c r="G154" s="102">
        <f t="shared" si="13"/>
        <v>1</v>
      </c>
      <c r="H154" s="102">
        <f t="shared" si="13"/>
        <v>1</v>
      </c>
    </row>
    <row r="155" spans="2:8" x14ac:dyDescent="0.25">
      <c r="B155" s="117"/>
      <c r="C155" s="27" t="s">
        <v>170</v>
      </c>
      <c r="D155" s="102">
        <f t="shared" si="13"/>
        <v>1</v>
      </c>
      <c r="E155" s="102">
        <f t="shared" si="13"/>
        <v>1</v>
      </c>
      <c r="F155" s="102">
        <f t="shared" si="13"/>
        <v>1</v>
      </c>
      <c r="G155" s="102">
        <f t="shared" si="13"/>
        <v>1</v>
      </c>
      <c r="H155" s="102">
        <f t="shared" si="13"/>
        <v>1</v>
      </c>
    </row>
    <row r="156" spans="2:8" x14ac:dyDescent="0.25">
      <c r="B156" s="117"/>
      <c r="C156" s="27" t="s">
        <v>169</v>
      </c>
      <c r="D156" s="102">
        <f t="shared" si="13"/>
        <v>1</v>
      </c>
      <c r="E156" s="102">
        <f t="shared" si="13"/>
        <v>1</v>
      </c>
      <c r="F156" s="102">
        <f t="shared" si="13"/>
        <v>1</v>
      </c>
      <c r="G156" s="102">
        <f t="shared" si="13"/>
        <v>1</v>
      </c>
      <c r="H156" s="102">
        <f t="shared" si="13"/>
        <v>1</v>
      </c>
    </row>
    <row r="157" spans="2:8" ht="13" x14ac:dyDescent="0.25">
      <c r="B157" s="76" t="s">
        <v>167</v>
      </c>
      <c r="C157" s="27" t="s">
        <v>169</v>
      </c>
      <c r="D157" s="102">
        <f t="shared" si="13"/>
        <v>1</v>
      </c>
      <c r="E157" s="102">
        <f t="shared" si="13"/>
        <v>1</v>
      </c>
      <c r="F157" s="102">
        <f t="shared" si="13"/>
        <v>1</v>
      </c>
      <c r="G157" s="102">
        <f t="shared" si="13"/>
        <v>1</v>
      </c>
      <c r="H157" s="102">
        <f t="shared" si="13"/>
        <v>1</v>
      </c>
    </row>
  </sheetData>
  <sheetProtection algorithmName="SHA-512" hashValue="PJvvczTX02udclIHc4BYVrFcnDWQgrEMznGaMDqc9c7dODneUitm4zod0zPOcMmikisDTo5XoDZbroNh1SOQlQ==" saltValue="d6DJlx6zmP+EipmKY6bfH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E90" sqref="E90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76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77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78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222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223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7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8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10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13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14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27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15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267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76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77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78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300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301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7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8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10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13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14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27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15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268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76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77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78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308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309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7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8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10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13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14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27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15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E90" sqref="E90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7265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3">
        <v>1.35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3">
        <v>1.35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3">
        <v>1.35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267</v>
      </c>
      <c r="H110" s="106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229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230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231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229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230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231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229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230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231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229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230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231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17</v>
      </c>
      <c r="C129" s="31" t="s">
        <v>228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229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230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231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229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230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231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229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65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66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16</v>
      </c>
      <c r="C144" s="31" t="s">
        <v>228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229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65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66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229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65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66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229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65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66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17</v>
      </c>
      <c r="C156" s="31" t="s">
        <v>228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229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65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66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23</v>
      </c>
      <c r="C160" s="31" t="s">
        <v>228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229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65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66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238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238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238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5">
        <f>IF(D66=1,1,D66*0.9)</f>
        <v>1.2150000000000001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162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163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164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5">
        <f t="shared" si="9"/>
        <v>1.2150000000000001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162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163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164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5">
        <f t="shared" si="9"/>
        <v>1.2150000000000001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162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163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164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162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163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164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162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163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164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162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163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164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162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163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164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162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163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164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162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163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164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162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163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164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268</v>
      </c>
      <c r="H220" s="106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229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230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231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229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230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231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229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230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231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229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230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231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229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230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231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229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230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231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229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65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66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229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65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66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229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65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66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229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65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66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229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65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66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229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65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66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238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238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238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5">
        <f>IF(D66=1,1,D66*1.1)</f>
        <v>1.4850000000000003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5">
        <f t="shared" si="23"/>
        <v>1.4850000000000003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5">
        <f t="shared" si="23"/>
        <v>1.4850000000000003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kXYctyiF3wAaSQNXBp/HbefFJgUcbSw2OS8UfQKLoXpyV4LgFfwIX4o9QjycUS9ftANxMII7GJn2AX6ns1epzw==" saltValue="Pkqg6VST+CmiuXNcc/RX4w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E90" sqref="E90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4" t="s">
        <v>244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245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131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337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60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247</v>
      </c>
    </row>
    <row r="12" spans="1:7" ht="14.25" customHeight="1" x14ac:dyDescent="0.3">
      <c r="A12" s="83"/>
      <c r="B12" s="45" t="s">
        <v>190</v>
      </c>
      <c r="C12" s="104">
        <v>1.5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248</v>
      </c>
    </row>
    <row r="15" spans="1:7" ht="14.25" customHeight="1" x14ac:dyDescent="0.3">
      <c r="A15" s="96" t="s">
        <v>233</v>
      </c>
      <c r="B15" s="72" t="s">
        <v>249</v>
      </c>
      <c r="C15" s="104">
        <v>1.0249999999999999</v>
      </c>
      <c r="D15" s="104">
        <v>1.0249999999999999</v>
      </c>
      <c r="E15" s="104">
        <v>1.0249999999999999</v>
      </c>
      <c r="F15" s="104">
        <v>1.0249999999999999</v>
      </c>
      <c r="G15" s="104">
        <v>1.0249999999999999</v>
      </c>
    </row>
    <row r="16" spans="1:7" ht="14.25" customHeight="1" x14ac:dyDescent="0.3">
      <c r="A16" s="29"/>
      <c r="B16" s="72" t="s">
        <v>250</v>
      </c>
      <c r="C16" s="104">
        <v>1.0249999999999999</v>
      </c>
      <c r="D16" s="104">
        <v>1.0249999999999999</v>
      </c>
      <c r="E16" s="104">
        <v>1.0249999999999999</v>
      </c>
      <c r="F16" s="104">
        <v>1.0249999999999999</v>
      </c>
      <c r="G16" s="104">
        <v>1.0249999999999999</v>
      </c>
    </row>
    <row r="17" spans="1:7" ht="14.25" customHeight="1" x14ac:dyDescent="0.3">
      <c r="A17" s="96" t="s">
        <v>70</v>
      </c>
      <c r="B17" s="45" t="s">
        <v>251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252</v>
      </c>
    </row>
    <row r="20" spans="1:7" s="83" customFormat="1" ht="14.25" customHeight="1" x14ac:dyDescent="0.3">
      <c r="C20" s="43" t="s">
        <v>49</v>
      </c>
      <c r="D20" s="43" t="s">
        <v>50</v>
      </c>
      <c r="E20" s="43" t="s">
        <v>51</v>
      </c>
      <c r="F20" s="43" t="s">
        <v>52</v>
      </c>
    </row>
    <row r="21" spans="1:7" x14ac:dyDescent="0.25">
      <c r="B21" s="45" t="s">
        <v>192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267</v>
      </c>
    </row>
    <row r="24" spans="1:7" ht="13" x14ac:dyDescent="0.3">
      <c r="A24" s="78" t="s">
        <v>242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25</v>
      </c>
      <c r="B25" s="41"/>
      <c r="C25" s="29" t="s">
        <v>1</v>
      </c>
      <c r="D25" s="29" t="s">
        <v>2</v>
      </c>
      <c r="E25" s="29" t="s">
        <v>3</v>
      </c>
      <c r="F25" s="29" t="s">
        <v>4</v>
      </c>
      <c r="G25" s="29" t="s">
        <v>5</v>
      </c>
    </row>
    <row r="26" spans="1:7" x14ac:dyDescent="0.25">
      <c r="B26" s="45" t="s">
        <v>318</v>
      </c>
      <c r="C26" s="104" t="s">
        <v>244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278</v>
      </c>
      <c r="C27" s="104">
        <f>IF(C4=1,1,C4*0.9)</f>
        <v>0.92249999999999999</v>
      </c>
      <c r="D27" s="104">
        <f t="shared" ref="D27:G27" si="1">IF(D4=1,1,D4*0.9)</f>
        <v>0.92249999999999999</v>
      </c>
      <c r="E27" s="104">
        <f t="shared" si="1"/>
        <v>0.92249999999999999</v>
      </c>
      <c r="F27" s="104">
        <f t="shared" si="1"/>
        <v>0.92249999999999999</v>
      </c>
      <c r="G27" s="104">
        <f t="shared" si="1"/>
        <v>0.92249999999999999</v>
      </c>
    </row>
    <row r="28" spans="1:7" ht="13" x14ac:dyDescent="0.3">
      <c r="A28" s="83" t="s">
        <v>319</v>
      </c>
    </row>
    <row r="29" spans="1:7" x14ac:dyDescent="0.25">
      <c r="B29" s="72" t="s">
        <v>279</v>
      </c>
      <c r="C29" s="104">
        <f>IF(C6=1,1,C6*0.9)</f>
        <v>1</v>
      </c>
      <c r="D29" s="104">
        <f t="shared" ref="D29:G29" si="2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2"/>
        <v>1</v>
      </c>
    </row>
    <row r="30" spans="1:7" x14ac:dyDescent="0.25">
      <c r="B30" s="72" t="s">
        <v>280</v>
      </c>
      <c r="C30" s="104">
        <f t="shared" ref="C30:G32" si="3">IF(C7=1,1,C7*0.9)</f>
        <v>1</v>
      </c>
      <c r="D30" s="104">
        <f t="shared" si="3"/>
        <v>1</v>
      </c>
      <c r="E30" s="104">
        <v>0.85</v>
      </c>
      <c r="F30" s="104">
        <v>0.85</v>
      </c>
      <c r="G30" s="104">
        <f t="shared" si="3"/>
        <v>1</v>
      </c>
    </row>
    <row r="31" spans="1:7" x14ac:dyDescent="0.25">
      <c r="B31" s="72" t="s">
        <v>338</v>
      </c>
      <c r="C31" s="104">
        <f t="shared" si="3"/>
        <v>1</v>
      </c>
      <c r="D31" s="104">
        <f t="shared" si="3"/>
        <v>1</v>
      </c>
      <c r="E31" s="104">
        <v>0.85</v>
      </c>
      <c r="F31" s="104">
        <v>0.85</v>
      </c>
      <c r="G31" s="104">
        <f t="shared" si="3"/>
        <v>1</v>
      </c>
    </row>
    <row r="32" spans="1:7" x14ac:dyDescent="0.25">
      <c r="B32" s="72" t="s">
        <v>281</v>
      </c>
      <c r="C32" s="104">
        <f t="shared" si="3"/>
        <v>1</v>
      </c>
      <c r="D32" s="104">
        <f t="shared" si="3"/>
        <v>1</v>
      </c>
      <c r="E32" s="104">
        <f t="shared" si="3"/>
        <v>1</v>
      </c>
      <c r="F32" s="104">
        <f t="shared" si="3"/>
        <v>1</v>
      </c>
      <c r="G32" s="104">
        <f t="shared" si="3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320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282</v>
      </c>
      <c r="C35" s="104">
        <v>1.26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248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233</v>
      </c>
      <c r="B38" s="72" t="s">
        <v>283</v>
      </c>
      <c r="C38" s="104">
        <f>IF(C15=1,1,C15*0.9)</f>
        <v>0.92249999999999999</v>
      </c>
      <c r="D38" s="104">
        <f t="shared" ref="D38:G38" si="4">IF(D15=1,1,D15*0.9)</f>
        <v>0.92249999999999999</v>
      </c>
      <c r="E38" s="104">
        <f t="shared" si="4"/>
        <v>0.92249999999999999</v>
      </c>
      <c r="F38" s="104">
        <f t="shared" si="4"/>
        <v>0.92249999999999999</v>
      </c>
      <c r="G38" s="104">
        <f t="shared" si="4"/>
        <v>0.92249999999999999</v>
      </c>
    </row>
    <row r="39" spans="1:7" ht="13" x14ac:dyDescent="0.3">
      <c r="A39" s="29"/>
      <c r="B39" s="72" t="s">
        <v>284</v>
      </c>
      <c r="C39" s="104">
        <f t="shared" ref="C39:G40" si="5">IF(C16=1,1,C16*0.9)</f>
        <v>0.92249999999999999</v>
      </c>
      <c r="D39" s="104">
        <f t="shared" si="5"/>
        <v>0.92249999999999999</v>
      </c>
      <c r="E39" s="104">
        <f t="shared" si="5"/>
        <v>0.92249999999999999</v>
      </c>
      <c r="F39" s="104">
        <f t="shared" si="5"/>
        <v>0.92249999999999999</v>
      </c>
      <c r="G39" s="104">
        <f t="shared" si="5"/>
        <v>0.92249999999999999</v>
      </c>
    </row>
    <row r="40" spans="1:7" ht="13" x14ac:dyDescent="0.3">
      <c r="A40" s="96" t="s">
        <v>70</v>
      </c>
      <c r="B40" s="45" t="s">
        <v>285</v>
      </c>
      <c r="C40" s="104">
        <f t="shared" si="5"/>
        <v>1</v>
      </c>
      <c r="D40" s="104">
        <f t="shared" si="5"/>
        <v>1</v>
      </c>
      <c r="E40" s="104">
        <f t="shared" si="5"/>
        <v>1</v>
      </c>
      <c r="F40" s="104">
        <f t="shared" si="5"/>
        <v>1</v>
      </c>
      <c r="G40" s="104">
        <f t="shared" si="5"/>
        <v>1</v>
      </c>
    </row>
    <row r="42" spans="1:7" ht="13" x14ac:dyDescent="0.3">
      <c r="A42" s="78" t="s">
        <v>321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49</v>
      </c>
      <c r="D43" s="43" t="s">
        <v>50</v>
      </c>
      <c r="E43" s="43" t="s">
        <v>51</v>
      </c>
      <c r="F43" s="43" t="s">
        <v>52</v>
      </c>
      <c r="G43" s="83"/>
    </row>
    <row r="44" spans="1:7" x14ac:dyDescent="0.25">
      <c r="B44" s="45" t="s">
        <v>286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268</v>
      </c>
    </row>
    <row r="47" spans="1:7" ht="13" x14ac:dyDescent="0.3">
      <c r="A47" s="78" t="s">
        <v>242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25</v>
      </c>
      <c r="B48" s="41"/>
      <c r="C48" s="29" t="s">
        <v>1</v>
      </c>
      <c r="D48" s="29" t="s">
        <v>2</v>
      </c>
      <c r="E48" s="29" t="s">
        <v>3</v>
      </c>
      <c r="F48" s="29" t="s">
        <v>4</v>
      </c>
      <c r="G48" s="29" t="s">
        <v>5</v>
      </c>
    </row>
    <row r="49" spans="1:7" x14ac:dyDescent="0.25">
      <c r="B49" s="45" t="s">
        <v>287</v>
      </c>
      <c r="C49" s="104" t="s">
        <v>244</v>
      </c>
      <c r="D49" s="104">
        <f t="shared" ref="D49:G50" si="6">D3*1.05</f>
        <v>47.25</v>
      </c>
      <c r="E49" s="104">
        <f t="shared" si="6"/>
        <v>379.68000000000006</v>
      </c>
      <c r="F49" s="104">
        <f t="shared" si="6"/>
        <v>183.435</v>
      </c>
      <c r="G49" s="104">
        <f t="shared" si="6"/>
        <v>183.435</v>
      </c>
    </row>
    <row r="50" spans="1:7" ht="13" x14ac:dyDescent="0.3">
      <c r="A50" s="29"/>
      <c r="B50" s="72" t="s">
        <v>288</v>
      </c>
      <c r="C50" s="104">
        <f>C4*1.05</f>
        <v>1.0762499999999999</v>
      </c>
      <c r="D50" s="104">
        <f t="shared" si="6"/>
        <v>1.0762499999999999</v>
      </c>
      <c r="E50" s="104">
        <f t="shared" si="6"/>
        <v>1.0762499999999999</v>
      </c>
      <c r="F50" s="104">
        <f t="shared" si="6"/>
        <v>1.0762499999999999</v>
      </c>
      <c r="G50" s="104">
        <f t="shared" si="6"/>
        <v>1.0762499999999999</v>
      </c>
    </row>
    <row r="51" spans="1:7" ht="13" x14ac:dyDescent="0.3">
      <c r="A51" s="83" t="s">
        <v>324</v>
      </c>
    </row>
    <row r="52" spans="1:7" x14ac:dyDescent="0.25">
      <c r="B52" s="72" t="s">
        <v>289</v>
      </c>
      <c r="C52" s="104">
        <f>IF(C6=1,1,C6*1.1)</f>
        <v>1</v>
      </c>
      <c r="D52" s="104">
        <f t="shared" ref="D52:G52" si="7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7"/>
        <v>1</v>
      </c>
    </row>
    <row r="53" spans="1:7" x14ac:dyDescent="0.25">
      <c r="B53" s="72" t="s">
        <v>290</v>
      </c>
      <c r="C53" s="104">
        <f t="shared" ref="C53:G55" si="8">IF(C7=1,1,C7*1.1)</f>
        <v>1</v>
      </c>
      <c r="D53" s="104">
        <f t="shared" si="8"/>
        <v>1</v>
      </c>
      <c r="E53" s="104">
        <v>0.91</v>
      </c>
      <c r="F53" s="104">
        <v>0.91</v>
      </c>
      <c r="G53" s="104">
        <f t="shared" si="8"/>
        <v>1</v>
      </c>
    </row>
    <row r="54" spans="1:7" x14ac:dyDescent="0.25">
      <c r="B54" s="72" t="s">
        <v>339</v>
      </c>
      <c r="C54" s="104">
        <f t="shared" si="8"/>
        <v>1</v>
      </c>
      <c r="D54" s="104">
        <f t="shared" si="8"/>
        <v>1</v>
      </c>
      <c r="E54" s="104">
        <v>0.91</v>
      </c>
      <c r="F54" s="104">
        <v>0.91</v>
      </c>
      <c r="G54" s="104">
        <f t="shared" si="8"/>
        <v>1</v>
      </c>
    </row>
    <row r="55" spans="1:7" x14ac:dyDescent="0.25">
      <c r="B55" s="72" t="s">
        <v>291</v>
      </c>
      <c r="C55" s="104">
        <f t="shared" si="8"/>
        <v>1</v>
      </c>
      <c r="D55" s="104">
        <f t="shared" si="8"/>
        <v>1</v>
      </c>
      <c r="E55" s="104">
        <f t="shared" si="8"/>
        <v>1</v>
      </c>
      <c r="F55" s="104">
        <f t="shared" si="8"/>
        <v>1</v>
      </c>
      <c r="G55" s="104">
        <f t="shared" si="8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322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292</v>
      </c>
      <c r="C58" s="104">
        <v>1.78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248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233</v>
      </c>
      <c r="B61" s="72" t="s">
        <v>293</v>
      </c>
      <c r="C61" s="104">
        <f>IF(C15=1,1,C15*1.1)</f>
        <v>1.1274999999999999</v>
      </c>
      <c r="D61" s="104">
        <f t="shared" ref="D61:G61" si="9">IF(D15=1,1,D15*1.1)</f>
        <v>1.1274999999999999</v>
      </c>
      <c r="E61" s="104">
        <f t="shared" si="9"/>
        <v>1.1274999999999999</v>
      </c>
      <c r="F61" s="104">
        <f t="shared" si="9"/>
        <v>1.1274999999999999</v>
      </c>
      <c r="G61" s="104">
        <f t="shared" si="9"/>
        <v>1.1274999999999999</v>
      </c>
    </row>
    <row r="62" spans="1:7" ht="13" x14ac:dyDescent="0.3">
      <c r="A62" s="29"/>
      <c r="B62" s="72" t="s">
        <v>294</v>
      </c>
      <c r="C62" s="104">
        <f t="shared" ref="C62:G63" si="10">IF(C16=1,1,C16*1.1)</f>
        <v>1.1274999999999999</v>
      </c>
      <c r="D62" s="104">
        <f t="shared" si="10"/>
        <v>1.1274999999999999</v>
      </c>
      <c r="E62" s="104">
        <f t="shared" si="10"/>
        <v>1.1274999999999999</v>
      </c>
      <c r="F62" s="104">
        <f t="shared" si="10"/>
        <v>1.1274999999999999</v>
      </c>
      <c r="G62" s="104">
        <f t="shared" si="10"/>
        <v>1.1274999999999999</v>
      </c>
    </row>
    <row r="63" spans="1:7" ht="13" x14ac:dyDescent="0.3">
      <c r="A63" s="96" t="s">
        <v>70</v>
      </c>
      <c r="B63" s="45" t="s">
        <v>295</v>
      </c>
      <c r="C63" s="104">
        <f t="shared" si="10"/>
        <v>1</v>
      </c>
      <c r="D63" s="104">
        <f t="shared" si="10"/>
        <v>1</v>
      </c>
      <c r="E63" s="104">
        <f t="shared" si="10"/>
        <v>1</v>
      </c>
      <c r="F63" s="104">
        <f t="shared" si="10"/>
        <v>1</v>
      </c>
      <c r="G63" s="104">
        <f t="shared" si="10"/>
        <v>1</v>
      </c>
    </row>
    <row r="65" spans="1:7" ht="13" x14ac:dyDescent="0.3">
      <c r="A65" s="78" t="s">
        <v>323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49</v>
      </c>
      <c r="D66" s="43" t="s">
        <v>50</v>
      </c>
      <c r="E66" s="43" t="s">
        <v>51</v>
      </c>
      <c r="F66" s="43" t="s">
        <v>52</v>
      </c>
      <c r="G66" s="83"/>
    </row>
    <row r="67" spans="1:7" x14ac:dyDescent="0.25">
      <c r="B67" s="45" t="s">
        <v>296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IBiHR1C8QpzvfL0MREMRFfx5A+0SVO2ou8IEXJpuVj0av4KQ+9lg7Zylzv9KZEPgfGwfmiepCrjYn9CzOt7wqQ==" saltValue="D+AZoKijBDmfPK1lwtcj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zoomScale="70" zoomScaleNormal="70" workbookViewId="0">
      <selection activeCell="E90" sqref="E90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254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182</v>
      </c>
      <c r="B4" s="72" t="s">
        <v>253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254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202</v>
      </c>
      <c r="B6" s="72" t="s">
        <v>253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254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57</v>
      </c>
      <c r="B8" s="72" t="s">
        <v>253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254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34</v>
      </c>
      <c r="B10" s="72" t="s">
        <v>253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254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59</v>
      </c>
      <c r="B12" s="72" t="s">
        <v>253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254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267</v>
      </c>
    </row>
    <row r="16" spans="1:6" ht="15.75" customHeight="1" x14ac:dyDescent="0.3">
      <c r="A16" s="41" t="s">
        <v>69</v>
      </c>
      <c r="B16" s="29"/>
      <c r="C16" s="29" t="s">
        <v>9</v>
      </c>
      <c r="D16" s="29" t="s">
        <v>12</v>
      </c>
      <c r="E16" s="29" t="s">
        <v>11</v>
      </c>
      <c r="F16" s="41" t="s">
        <v>26</v>
      </c>
    </row>
    <row r="17" spans="1:6" ht="15.75" customHeight="1" x14ac:dyDescent="0.25">
      <c r="A17" s="72" t="s">
        <v>29</v>
      </c>
      <c r="B17" s="72" t="s">
        <v>253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254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182</v>
      </c>
      <c r="B19" s="72" t="s">
        <v>253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254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202</v>
      </c>
      <c r="B21" s="72" t="s">
        <v>253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254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57</v>
      </c>
      <c r="B23" s="72" t="s">
        <v>253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254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34</v>
      </c>
      <c r="B25" s="72" t="s">
        <v>253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254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59</v>
      </c>
      <c r="B27" s="72" t="s">
        <v>253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254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268</v>
      </c>
    </row>
    <row r="31" spans="1:6" ht="15.75" customHeight="1" x14ac:dyDescent="0.3">
      <c r="A31" s="41" t="s">
        <v>69</v>
      </c>
      <c r="B31" s="29"/>
      <c r="C31" s="29" t="s">
        <v>9</v>
      </c>
      <c r="D31" s="29" t="s">
        <v>12</v>
      </c>
      <c r="E31" s="29" t="s">
        <v>11</v>
      </c>
      <c r="F31" s="41" t="s">
        <v>26</v>
      </c>
    </row>
    <row r="32" spans="1:6" ht="15.75" customHeight="1" x14ac:dyDescent="0.25">
      <c r="A32" s="72" t="s">
        <v>29</v>
      </c>
      <c r="B32" s="72" t="s">
        <v>253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254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182</v>
      </c>
      <c r="B34" s="72" t="s">
        <v>253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254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202</v>
      </c>
      <c r="B36" s="72" t="s">
        <v>253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254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57</v>
      </c>
      <c r="B38" s="72" t="s">
        <v>253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254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34</v>
      </c>
      <c r="B40" s="72" t="s">
        <v>253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254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59</v>
      </c>
      <c r="B42" s="72" t="s">
        <v>253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254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y0vFCUr6jQyY6zQBRlULLcVrg53Rq8yOs7wqPgO6lP26Nps2Fs/G1qUtWXIJ+6MZpSkLaCYJ5rBXvS6Vsp0C5w==" saltValue="ZZUBAtW4ABLI8WN+D6FzK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2" zoomScale="70" zoomScaleNormal="70" workbookViewId="0">
      <selection activeCell="E90" sqref="E90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1</v>
      </c>
      <c r="D1" s="82" t="s">
        <v>2</v>
      </c>
      <c r="E1" s="82" t="s">
        <v>3</v>
      </c>
      <c r="F1" s="82" t="s">
        <v>4</v>
      </c>
      <c r="G1" s="82" t="s">
        <v>5</v>
      </c>
      <c r="H1" s="82" t="s">
        <v>49</v>
      </c>
      <c r="I1" s="82" t="s">
        <v>50</v>
      </c>
      <c r="J1" s="82" t="s">
        <v>51</v>
      </c>
      <c r="K1" s="82" t="s">
        <v>52</v>
      </c>
      <c r="L1" s="82" t="s">
        <v>53</v>
      </c>
      <c r="M1" s="82" t="s">
        <v>54</v>
      </c>
      <c r="N1" s="82" t="s">
        <v>55</v>
      </c>
      <c r="O1" s="82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04">
        <v>0.92</v>
      </c>
      <c r="D3" s="104">
        <v>0.53</v>
      </c>
      <c r="E3" s="104">
        <v>1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183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201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184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185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182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202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57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131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34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132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59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v>1</v>
      </c>
      <c r="M14" s="104">
        <v>1</v>
      </c>
      <c r="N14" s="104">
        <v>1</v>
      </c>
      <c r="O14" s="104">
        <v>1</v>
      </c>
    </row>
    <row r="15" spans="1:15" x14ac:dyDescent="0.25">
      <c r="B15" s="72" t="s">
        <v>337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04">
        <v>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104">
        <v>1</v>
      </c>
      <c r="J18" s="104">
        <v>1</v>
      </c>
      <c r="K18" s="104">
        <v>1</v>
      </c>
      <c r="L18" s="104">
        <v>1</v>
      </c>
      <c r="M18" s="104">
        <v>1</v>
      </c>
      <c r="N18" s="104">
        <v>1</v>
      </c>
      <c r="O18" s="104">
        <v>1</v>
      </c>
    </row>
    <row r="19" spans="1:15" x14ac:dyDescent="0.25">
      <c r="B19" s="72" t="s">
        <v>64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62</v>
      </c>
      <c r="C20" s="104">
        <v>1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104">
        <v>1</v>
      </c>
      <c r="J20" s="104">
        <v>1</v>
      </c>
      <c r="K20" s="104">
        <v>1</v>
      </c>
      <c r="L20" s="104">
        <v>1</v>
      </c>
      <c r="M20" s="104">
        <v>1</v>
      </c>
      <c r="N20" s="104">
        <v>1</v>
      </c>
      <c r="O20" s="104">
        <v>1</v>
      </c>
    </row>
    <row r="21" spans="1:15" x14ac:dyDescent="0.25">
      <c r="B21" s="72" t="s">
        <v>47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267</v>
      </c>
    </row>
    <row r="24" spans="1:15" ht="26" x14ac:dyDescent="0.3">
      <c r="A24" s="29"/>
      <c r="B24" s="29"/>
      <c r="C24" s="82" t="s">
        <v>1</v>
      </c>
      <c r="D24" s="82" t="s">
        <v>2</v>
      </c>
      <c r="E24" s="82" t="s">
        <v>3</v>
      </c>
      <c r="F24" s="82" t="s">
        <v>4</v>
      </c>
      <c r="G24" s="82" t="s">
        <v>5</v>
      </c>
      <c r="H24" s="82" t="s">
        <v>49</v>
      </c>
      <c r="I24" s="82" t="s">
        <v>50</v>
      </c>
      <c r="J24" s="82" t="s">
        <v>51</v>
      </c>
      <c r="K24" s="82" t="s">
        <v>52</v>
      </c>
      <c r="L24" s="82" t="s">
        <v>53</v>
      </c>
      <c r="M24" s="82" t="s">
        <v>54</v>
      </c>
      <c r="N24" s="82" t="s">
        <v>55</v>
      </c>
      <c r="O24" s="82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04">
        <v>0.87</v>
      </c>
      <c r="D26" s="104">
        <v>0.4</v>
      </c>
      <c r="E26" s="104">
        <f t="shared" ref="E26:O26" si="0">IF(E3=1,1,E3*0.9)</f>
        <v>1</v>
      </c>
      <c r="F26" s="104">
        <f t="shared" si="0"/>
        <v>1</v>
      </c>
      <c r="G26" s="104">
        <f t="shared" si="0"/>
        <v>1</v>
      </c>
      <c r="H26" s="104">
        <f t="shared" si="0"/>
        <v>1</v>
      </c>
      <c r="I26" s="104">
        <f t="shared" si="0"/>
        <v>1</v>
      </c>
      <c r="J26" s="104">
        <f t="shared" si="0"/>
        <v>1</v>
      </c>
      <c r="K26" s="104">
        <f t="shared" si="0"/>
        <v>1</v>
      </c>
      <c r="L26" s="104">
        <f t="shared" si="0"/>
        <v>1</v>
      </c>
      <c r="M26" s="104">
        <f t="shared" si="0"/>
        <v>1</v>
      </c>
      <c r="N26" s="104">
        <f t="shared" si="0"/>
        <v>1</v>
      </c>
      <c r="O26" s="104">
        <f t="shared" si="0"/>
        <v>1</v>
      </c>
    </row>
    <row r="27" spans="1:15" x14ac:dyDescent="0.25">
      <c r="B27" s="45" t="s">
        <v>183</v>
      </c>
      <c r="C27" s="104">
        <f t="shared" ref="C27:O34" si="1">IF(C4=1,1,C4*0.9)</f>
        <v>1</v>
      </c>
      <c r="D27" s="104">
        <f t="shared" si="1"/>
        <v>1</v>
      </c>
      <c r="E27" s="104">
        <f t="shared" si="1"/>
        <v>1</v>
      </c>
      <c r="F27" s="104">
        <f t="shared" si="1"/>
        <v>1</v>
      </c>
      <c r="G27" s="104">
        <f t="shared" si="1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1"/>
        <v>1</v>
      </c>
      <c r="M27" s="104">
        <f t="shared" si="1"/>
        <v>1</v>
      </c>
      <c r="N27" s="104">
        <f t="shared" si="1"/>
        <v>1</v>
      </c>
      <c r="O27" s="104">
        <f t="shared" si="1"/>
        <v>1</v>
      </c>
    </row>
    <row r="28" spans="1:15" x14ac:dyDescent="0.25">
      <c r="B28" s="45" t="s">
        <v>201</v>
      </c>
      <c r="C28" s="104">
        <f t="shared" si="1"/>
        <v>1</v>
      </c>
      <c r="D28" s="104">
        <f t="shared" si="1"/>
        <v>1</v>
      </c>
      <c r="E28" s="104">
        <f t="shared" si="1"/>
        <v>1</v>
      </c>
      <c r="F28" s="104">
        <f t="shared" si="1"/>
        <v>1</v>
      </c>
      <c r="G28" s="104">
        <f t="shared" si="1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1"/>
        <v>1</v>
      </c>
      <c r="M28" s="104">
        <f t="shared" si="1"/>
        <v>1</v>
      </c>
      <c r="N28" s="104">
        <f t="shared" si="1"/>
        <v>1</v>
      </c>
      <c r="O28" s="104">
        <f t="shared" si="1"/>
        <v>1</v>
      </c>
    </row>
    <row r="29" spans="1:15" x14ac:dyDescent="0.25">
      <c r="B29" s="45" t="s">
        <v>184</v>
      </c>
      <c r="C29" s="104">
        <f t="shared" si="1"/>
        <v>1</v>
      </c>
      <c r="D29" s="104">
        <f t="shared" si="1"/>
        <v>1</v>
      </c>
      <c r="E29" s="104">
        <f t="shared" si="1"/>
        <v>1</v>
      </c>
      <c r="F29" s="104">
        <f t="shared" si="1"/>
        <v>1</v>
      </c>
      <c r="G29" s="104">
        <f t="shared" si="1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1"/>
        <v>1</v>
      </c>
      <c r="M29" s="104">
        <f t="shared" si="1"/>
        <v>1</v>
      </c>
      <c r="N29" s="104">
        <f t="shared" si="1"/>
        <v>1</v>
      </c>
      <c r="O29" s="104">
        <f t="shared" si="1"/>
        <v>1</v>
      </c>
    </row>
    <row r="30" spans="1:15" x14ac:dyDescent="0.25">
      <c r="B30" s="45" t="s">
        <v>185</v>
      </c>
      <c r="C30" s="104">
        <f t="shared" si="1"/>
        <v>1</v>
      </c>
      <c r="D30" s="104">
        <f t="shared" si="1"/>
        <v>1</v>
      </c>
      <c r="E30" s="104">
        <f t="shared" si="1"/>
        <v>1</v>
      </c>
      <c r="F30" s="104">
        <f t="shared" si="1"/>
        <v>1</v>
      </c>
      <c r="G30" s="104">
        <f t="shared" si="1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1"/>
        <v>1</v>
      </c>
      <c r="M30" s="104">
        <f t="shared" si="1"/>
        <v>1</v>
      </c>
      <c r="N30" s="104">
        <f t="shared" si="1"/>
        <v>1</v>
      </c>
      <c r="O30" s="104">
        <f t="shared" si="1"/>
        <v>1</v>
      </c>
    </row>
    <row r="31" spans="1:15" x14ac:dyDescent="0.25">
      <c r="B31" s="72" t="s">
        <v>182</v>
      </c>
      <c r="C31" s="104">
        <f t="shared" si="1"/>
        <v>1</v>
      </c>
      <c r="D31" s="104">
        <f t="shared" si="1"/>
        <v>1</v>
      </c>
      <c r="E31" s="104">
        <f t="shared" si="1"/>
        <v>1</v>
      </c>
      <c r="F31" s="104">
        <f t="shared" si="1"/>
        <v>1</v>
      </c>
      <c r="G31" s="104">
        <f t="shared" si="1"/>
        <v>1</v>
      </c>
      <c r="H31" s="104">
        <f t="shared" si="1"/>
        <v>1</v>
      </c>
      <c r="I31" s="104">
        <f t="shared" si="1"/>
        <v>1</v>
      </c>
      <c r="J31" s="104">
        <f t="shared" si="1"/>
        <v>1</v>
      </c>
      <c r="K31" s="104">
        <f t="shared" si="1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202</v>
      </c>
      <c r="C32" s="104">
        <f t="shared" si="1"/>
        <v>1</v>
      </c>
      <c r="D32" s="104">
        <f t="shared" si="1"/>
        <v>1</v>
      </c>
      <c r="E32" s="104">
        <f t="shared" si="1"/>
        <v>1</v>
      </c>
      <c r="F32" s="104">
        <f t="shared" si="1"/>
        <v>1</v>
      </c>
      <c r="G32" s="104">
        <f t="shared" si="1"/>
        <v>1</v>
      </c>
      <c r="H32" s="104">
        <f t="shared" si="1"/>
        <v>1</v>
      </c>
      <c r="I32" s="104">
        <f t="shared" si="1"/>
        <v>1</v>
      </c>
      <c r="J32" s="104">
        <f t="shared" si="1"/>
        <v>1</v>
      </c>
      <c r="K32" s="104">
        <f t="shared" si="1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57</v>
      </c>
      <c r="C33" s="104">
        <f t="shared" si="1"/>
        <v>1</v>
      </c>
      <c r="D33" s="104">
        <f t="shared" si="1"/>
        <v>1</v>
      </c>
      <c r="E33" s="104">
        <f t="shared" si="1"/>
        <v>1</v>
      </c>
      <c r="F33" s="104">
        <f t="shared" si="1"/>
        <v>1</v>
      </c>
      <c r="G33" s="104">
        <f t="shared" si="1"/>
        <v>1</v>
      </c>
      <c r="H33" s="104">
        <f t="shared" si="1"/>
        <v>1</v>
      </c>
      <c r="I33" s="104">
        <f t="shared" si="1"/>
        <v>1</v>
      </c>
      <c r="J33" s="104">
        <f t="shared" si="1"/>
        <v>1</v>
      </c>
      <c r="K33" s="104">
        <f t="shared" si="1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131</v>
      </c>
      <c r="C34" s="104">
        <f t="shared" si="1"/>
        <v>1</v>
      </c>
      <c r="D34" s="104">
        <f t="shared" si="1"/>
        <v>1</v>
      </c>
      <c r="E34" s="104">
        <v>0.62</v>
      </c>
      <c r="F34" s="104">
        <v>0.62</v>
      </c>
      <c r="G34" s="104">
        <v>1</v>
      </c>
      <c r="H34" s="104">
        <f t="shared" si="1"/>
        <v>1</v>
      </c>
      <c r="I34" s="104">
        <f t="shared" si="1"/>
        <v>1</v>
      </c>
      <c r="J34" s="104">
        <f t="shared" si="1"/>
        <v>1</v>
      </c>
      <c r="K34" s="104">
        <f t="shared" si="1"/>
        <v>1</v>
      </c>
      <c r="L34" s="104">
        <f t="shared" si="1"/>
        <v>1</v>
      </c>
      <c r="M34" s="104">
        <f t="shared" si="1"/>
        <v>1</v>
      </c>
      <c r="N34" s="104">
        <f t="shared" si="1"/>
        <v>1</v>
      </c>
      <c r="O34" s="104">
        <f t="shared" si="1"/>
        <v>1</v>
      </c>
    </row>
    <row r="35" spans="1:15" x14ac:dyDescent="0.25">
      <c r="B35" s="45" t="s">
        <v>34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132</v>
      </c>
      <c r="C36" s="104">
        <f t="shared" ref="C36:O38" si="2">IF(C13=1,1,C13*0.9)</f>
        <v>1</v>
      </c>
      <c r="D36" s="104">
        <f t="shared" si="2"/>
        <v>1</v>
      </c>
      <c r="E36" s="104">
        <v>0.62</v>
      </c>
      <c r="F36" s="104">
        <v>0.62</v>
      </c>
      <c r="G36" s="104">
        <v>0.62</v>
      </c>
      <c r="H36" s="104">
        <f t="shared" si="2"/>
        <v>1</v>
      </c>
      <c r="I36" s="104">
        <f t="shared" si="2"/>
        <v>1</v>
      </c>
      <c r="J36" s="104">
        <f t="shared" si="2"/>
        <v>1</v>
      </c>
      <c r="K36" s="104">
        <f t="shared" si="2"/>
        <v>1</v>
      </c>
      <c r="L36" s="104">
        <f t="shared" si="2"/>
        <v>1</v>
      </c>
      <c r="M36" s="104">
        <f t="shared" si="2"/>
        <v>1</v>
      </c>
      <c r="N36" s="104">
        <f t="shared" si="2"/>
        <v>1</v>
      </c>
      <c r="O36" s="104">
        <f t="shared" si="2"/>
        <v>1</v>
      </c>
    </row>
    <row r="37" spans="1:15" x14ac:dyDescent="0.25">
      <c r="B37" s="45" t="s">
        <v>59</v>
      </c>
      <c r="C37" s="104">
        <f t="shared" si="2"/>
        <v>1</v>
      </c>
      <c r="D37" s="104">
        <f t="shared" si="2"/>
        <v>1</v>
      </c>
      <c r="E37" s="104">
        <f t="shared" si="2"/>
        <v>1</v>
      </c>
      <c r="F37" s="104">
        <f t="shared" si="2"/>
        <v>1</v>
      </c>
      <c r="G37" s="104">
        <f t="shared" si="2"/>
        <v>1</v>
      </c>
      <c r="H37" s="104">
        <f t="shared" si="2"/>
        <v>1</v>
      </c>
      <c r="I37" s="104">
        <f t="shared" si="2"/>
        <v>1</v>
      </c>
      <c r="J37" s="104">
        <f t="shared" si="2"/>
        <v>1</v>
      </c>
      <c r="K37" s="104">
        <f t="shared" si="2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337</v>
      </c>
      <c r="C38" s="104">
        <f t="shared" si="2"/>
        <v>1</v>
      </c>
      <c r="D38" s="104">
        <f t="shared" si="2"/>
        <v>1</v>
      </c>
      <c r="E38" s="104">
        <v>0.3</v>
      </c>
      <c r="F38" s="104">
        <v>0.3</v>
      </c>
      <c r="G38" s="104">
        <f t="shared" si="2"/>
        <v>1</v>
      </c>
      <c r="H38" s="104">
        <f t="shared" si="2"/>
        <v>1</v>
      </c>
      <c r="I38" s="104">
        <f t="shared" si="2"/>
        <v>1</v>
      </c>
      <c r="J38" s="104">
        <f t="shared" si="2"/>
        <v>1</v>
      </c>
      <c r="K38" s="104">
        <f t="shared" si="2"/>
        <v>1</v>
      </c>
      <c r="L38" s="104">
        <f t="shared" si="2"/>
        <v>1</v>
      </c>
      <c r="M38" s="104">
        <f t="shared" si="2"/>
        <v>1</v>
      </c>
      <c r="N38" s="104">
        <f t="shared" si="2"/>
        <v>1</v>
      </c>
      <c r="O38" s="104">
        <f t="shared" si="2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04">
        <f t="shared" ref="C41:O44" si="3">IF(C18=1,1,C18*0.9)</f>
        <v>1</v>
      </c>
      <c r="D41" s="104">
        <f t="shared" si="3"/>
        <v>1</v>
      </c>
      <c r="E41" s="104">
        <f t="shared" si="3"/>
        <v>1</v>
      </c>
      <c r="F41" s="104">
        <f t="shared" si="3"/>
        <v>1</v>
      </c>
      <c r="G41" s="104">
        <f t="shared" si="3"/>
        <v>1</v>
      </c>
      <c r="H41" s="104">
        <f t="shared" si="3"/>
        <v>1</v>
      </c>
      <c r="I41" s="104">
        <f t="shared" si="3"/>
        <v>1</v>
      </c>
      <c r="J41" s="104">
        <f t="shared" si="3"/>
        <v>1</v>
      </c>
      <c r="K41" s="104">
        <f t="shared" si="3"/>
        <v>1</v>
      </c>
      <c r="L41" s="104">
        <f t="shared" si="3"/>
        <v>1</v>
      </c>
      <c r="M41" s="104">
        <f t="shared" si="3"/>
        <v>1</v>
      </c>
      <c r="N41" s="104">
        <f t="shared" si="3"/>
        <v>1</v>
      </c>
      <c r="O41" s="104">
        <f t="shared" si="3"/>
        <v>1</v>
      </c>
    </row>
    <row r="42" spans="1:15" x14ac:dyDescent="0.25">
      <c r="B42" s="72" t="s">
        <v>64</v>
      </c>
      <c r="C42" s="104">
        <f t="shared" si="3"/>
        <v>1</v>
      </c>
      <c r="D42" s="104">
        <f t="shared" si="3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62</v>
      </c>
      <c r="C43" s="104">
        <f t="shared" si="3"/>
        <v>1</v>
      </c>
      <c r="D43" s="104">
        <f t="shared" si="3"/>
        <v>1</v>
      </c>
      <c r="E43" s="104">
        <f t="shared" si="3"/>
        <v>1</v>
      </c>
      <c r="F43" s="104">
        <f t="shared" si="3"/>
        <v>1</v>
      </c>
      <c r="G43" s="104">
        <f t="shared" si="3"/>
        <v>1</v>
      </c>
      <c r="H43" s="104">
        <f t="shared" si="3"/>
        <v>1</v>
      </c>
      <c r="I43" s="104">
        <f t="shared" si="3"/>
        <v>1</v>
      </c>
      <c r="J43" s="104">
        <f t="shared" si="3"/>
        <v>1</v>
      </c>
      <c r="K43" s="104">
        <f t="shared" si="3"/>
        <v>1</v>
      </c>
      <c r="L43" s="104">
        <f t="shared" si="3"/>
        <v>1</v>
      </c>
      <c r="M43" s="104">
        <f t="shared" si="3"/>
        <v>1</v>
      </c>
      <c r="N43" s="104">
        <f t="shared" si="3"/>
        <v>1</v>
      </c>
      <c r="O43" s="104">
        <f t="shared" si="3"/>
        <v>1</v>
      </c>
    </row>
    <row r="44" spans="1:15" x14ac:dyDescent="0.25">
      <c r="B44" s="72" t="s">
        <v>47</v>
      </c>
      <c r="C44" s="104">
        <f t="shared" si="3"/>
        <v>1</v>
      </c>
      <c r="D44" s="104">
        <f t="shared" si="3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268</v>
      </c>
    </row>
    <row r="47" spans="1:15" ht="26" x14ac:dyDescent="0.3">
      <c r="A47" s="29"/>
      <c r="B47" s="29"/>
      <c r="C47" s="82" t="s">
        <v>1</v>
      </c>
      <c r="D47" s="82" t="s">
        <v>2</v>
      </c>
      <c r="E47" s="82" t="s">
        <v>3</v>
      </c>
      <c r="F47" s="82" t="s">
        <v>4</v>
      </c>
      <c r="G47" s="82" t="s">
        <v>5</v>
      </c>
      <c r="H47" s="82" t="s">
        <v>49</v>
      </c>
      <c r="I47" s="82" t="s">
        <v>50</v>
      </c>
      <c r="J47" s="82" t="s">
        <v>51</v>
      </c>
      <c r="K47" s="82" t="s">
        <v>52</v>
      </c>
      <c r="L47" s="82" t="s">
        <v>53</v>
      </c>
      <c r="M47" s="82" t="s">
        <v>54</v>
      </c>
      <c r="N47" s="82" t="s">
        <v>55</v>
      </c>
      <c r="O47" s="82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04">
        <v>0.99</v>
      </c>
      <c r="D49" s="104">
        <v>0.7</v>
      </c>
      <c r="E49" s="104">
        <f t="shared" ref="E49:O49" si="4">IF(E3=1,1,E3*1.05)</f>
        <v>1</v>
      </c>
      <c r="F49" s="104">
        <f t="shared" si="4"/>
        <v>1</v>
      </c>
      <c r="G49" s="104">
        <f t="shared" si="4"/>
        <v>1</v>
      </c>
      <c r="H49" s="104">
        <f t="shared" si="4"/>
        <v>1</v>
      </c>
      <c r="I49" s="104">
        <f t="shared" si="4"/>
        <v>1</v>
      </c>
      <c r="J49" s="104">
        <f t="shared" si="4"/>
        <v>1</v>
      </c>
      <c r="K49" s="104">
        <f t="shared" si="4"/>
        <v>1</v>
      </c>
      <c r="L49" s="104">
        <f t="shared" si="4"/>
        <v>1</v>
      </c>
      <c r="M49" s="104">
        <f t="shared" si="4"/>
        <v>1</v>
      </c>
      <c r="N49" s="104">
        <f t="shared" si="4"/>
        <v>1</v>
      </c>
      <c r="O49" s="104">
        <f t="shared" si="4"/>
        <v>1</v>
      </c>
    </row>
    <row r="50" spans="1:15" x14ac:dyDescent="0.25">
      <c r="B50" s="45" t="s">
        <v>183</v>
      </c>
      <c r="C50" s="104">
        <f t="shared" ref="C50:O57" si="5">IF(C4=1,1,C4*1.05)</f>
        <v>1</v>
      </c>
      <c r="D50" s="104">
        <f t="shared" si="5"/>
        <v>1</v>
      </c>
      <c r="E50" s="104">
        <f t="shared" si="5"/>
        <v>1</v>
      </c>
      <c r="F50" s="104">
        <f t="shared" si="5"/>
        <v>1</v>
      </c>
      <c r="G50" s="104">
        <f t="shared" si="5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5"/>
        <v>1</v>
      </c>
      <c r="M50" s="104">
        <f t="shared" si="5"/>
        <v>1</v>
      </c>
      <c r="N50" s="104">
        <f t="shared" si="5"/>
        <v>1</v>
      </c>
      <c r="O50" s="104">
        <f t="shared" si="5"/>
        <v>1</v>
      </c>
    </row>
    <row r="51" spans="1:15" x14ac:dyDescent="0.25">
      <c r="B51" s="45" t="s">
        <v>201</v>
      </c>
      <c r="C51" s="104">
        <f t="shared" si="5"/>
        <v>1</v>
      </c>
      <c r="D51" s="104">
        <f t="shared" si="5"/>
        <v>1</v>
      </c>
      <c r="E51" s="104">
        <f t="shared" si="5"/>
        <v>1</v>
      </c>
      <c r="F51" s="104">
        <f t="shared" si="5"/>
        <v>1</v>
      </c>
      <c r="G51" s="104">
        <f t="shared" si="5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5"/>
        <v>1</v>
      </c>
      <c r="M51" s="104">
        <f t="shared" si="5"/>
        <v>1</v>
      </c>
      <c r="N51" s="104">
        <f t="shared" si="5"/>
        <v>1</v>
      </c>
      <c r="O51" s="104">
        <f t="shared" si="5"/>
        <v>1</v>
      </c>
    </row>
    <row r="52" spans="1:15" x14ac:dyDescent="0.25">
      <c r="B52" s="45" t="s">
        <v>184</v>
      </c>
      <c r="C52" s="104">
        <f t="shared" si="5"/>
        <v>1</v>
      </c>
      <c r="D52" s="104">
        <f t="shared" si="5"/>
        <v>1</v>
      </c>
      <c r="E52" s="104">
        <f t="shared" si="5"/>
        <v>1</v>
      </c>
      <c r="F52" s="104">
        <f t="shared" si="5"/>
        <v>1</v>
      </c>
      <c r="G52" s="104">
        <f t="shared" si="5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5"/>
        <v>1</v>
      </c>
      <c r="M52" s="104">
        <f t="shared" si="5"/>
        <v>1</v>
      </c>
      <c r="N52" s="104">
        <f t="shared" si="5"/>
        <v>1</v>
      </c>
      <c r="O52" s="104">
        <f t="shared" si="5"/>
        <v>1</v>
      </c>
    </row>
    <row r="53" spans="1:15" x14ac:dyDescent="0.25">
      <c r="B53" s="45" t="s">
        <v>185</v>
      </c>
      <c r="C53" s="104">
        <f t="shared" si="5"/>
        <v>1</v>
      </c>
      <c r="D53" s="104">
        <f t="shared" si="5"/>
        <v>1</v>
      </c>
      <c r="E53" s="104">
        <f t="shared" si="5"/>
        <v>1</v>
      </c>
      <c r="F53" s="104">
        <f t="shared" si="5"/>
        <v>1</v>
      </c>
      <c r="G53" s="104">
        <f t="shared" si="5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5"/>
        <v>1</v>
      </c>
      <c r="M53" s="104">
        <f t="shared" si="5"/>
        <v>1</v>
      </c>
      <c r="N53" s="104">
        <f t="shared" si="5"/>
        <v>1</v>
      </c>
      <c r="O53" s="104">
        <f t="shared" si="5"/>
        <v>1</v>
      </c>
    </row>
    <row r="54" spans="1:15" x14ac:dyDescent="0.25">
      <c r="B54" s="72" t="s">
        <v>182</v>
      </c>
      <c r="C54" s="104">
        <f t="shared" si="5"/>
        <v>1</v>
      </c>
      <c r="D54" s="104">
        <f t="shared" si="5"/>
        <v>1</v>
      </c>
      <c r="E54" s="104">
        <f t="shared" si="5"/>
        <v>1</v>
      </c>
      <c r="F54" s="104">
        <f t="shared" si="5"/>
        <v>1</v>
      </c>
      <c r="G54" s="104">
        <f t="shared" si="5"/>
        <v>1</v>
      </c>
      <c r="H54" s="104">
        <f t="shared" si="5"/>
        <v>1</v>
      </c>
      <c r="I54" s="104">
        <f t="shared" si="5"/>
        <v>1</v>
      </c>
      <c r="J54" s="104">
        <f t="shared" si="5"/>
        <v>1</v>
      </c>
      <c r="K54" s="104">
        <f t="shared" si="5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202</v>
      </c>
      <c r="C55" s="104">
        <f t="shared" si="5"/>
        <v>1</v>
      </c>
      <c r="D55" s="104">
        <f t="shared" si="5"/>
        <v>1</v>
      </c>
      <c r="E55" s="104">
        <f t="shared" si="5"/>
        <v>1</v>
      </c>
      <c r="F55" s="104">
        <f t="shared" si="5"/>
        <v>1</v>
      </c>
      <c r="G55" s="104">
        <f t="shared" si="5"/>
        <v>1</v>
      </c>
      <c r="H55" s="104">
        <f t="shared" si="5"/>
        <v>1</v>
      </c>
      <c r="I55" s="104">
        <f t="shared" si="5"/>
        <v>1</v>
      </c>
      <c r="J55" s="104">
        <f t="shared" si="5"/>
        <v>1</v>
      </c>
      <c r="K55" s="104">
        <f t="shared" si="5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57</v>
      </c>
      <c r="C56" s="104">
        <f t="shared" si="5"/>
        <v>1</v>
      </c>
      <c r="D56" s="104">
        <f t="shared" si="5"/>
        <v>1</v>
      </c>
      <c r="E56" s="104">
        <f t="shared" si="5"/>
        <v>1</v>
      </c>
      <c r="F56" s="104">
        <f t="shared" si="5"/>
        <v>1</v>
      </c>
      <c r="G56" s="104">
        <f t="shared" si="5"/>
        <v>1</v>
      </c>
      <c r="H56" s="104">
        <f t="shared" si="5"/>
        <v>1</v>
      </c>
      <c r="I56" s="104">
        <f t="shared" si="5"/>
        <v>1</v>
      </c>
      <c r="J56" s="104">
        <f t="shared" si="5"/>
        <v>1</v>
      </c>
      <c r="K56" s="104">
        <f t="shared" si="5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131</v>
      </c>
      <c r="C57" s="104">
        <f t="shared" si="5"/>
        <v>1</v>
      </c>
      <c r="D57" s="104">
        <f t="shared" si="5"/>
        <v>1</v>
      </c>
      <c r="E57" s="104">
        <v>0.77</v>
      </c>
      <c r="F57" s="104">
        <v>0.77</v>
      </c>
      <c r="G57" s="104">
        <f t="shared" si="5"/>
        <v>1</v>
      </c>
      <c r="H57" s="104">
        <f t="shared" si="5"/>
        <v>1</v>
      </c>
      <c r="I57" s="104">
        <f t="shared" si="5"/>
        <v>1</v>
      </c>
      <c r="J57" s="104">
        <f t="shared" si="5"/>
        <v>1</v>
      </c>
      <c r="K57" s="104">
        <f t="shared" si="5"/>
        <v>1</v>
      </c>
      <c r="L57" s="104">
        <f t="shared" si="5"/>
        <v>1</v>
      </c>
      <c r="M57" s="104">
        <f t="shared" si="5"/>
        <v>1</v>
      </c>
      <c r="N57" s="104">
        <f t="shared" si="5"/>
        <v>1</v>
      </c>
      <c r="O57" s="104">
        <f t="shared" si="5"/>
        <v>1</v>
      </c>
    </row>
    <row r="58" spans="1:15" x14ac:dyDescent="0.25">
      <c r="B58" s="45" t="s">
        <v>34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132</v>
      </c>
      <c r="C59" s="104">
        <f t="shared" ref="C59:O61" si="6">IF(C13=1,1,C13*1.05)</f>
        <v>1</v>
      </c>
      <c r="D59" s="104">
        <f t="shared" si="6"/>
        <v>1</v>
      </c>
      <c r="E59" s="104">
        <v>0.77</v>
      </c>
      <c r="F59" s="104">
        <v>0.77</v>
      </c>
      <c r="G59" s="104">
        <v>0.77</v>
      </c>
      <c r="H59" s="104">
        <f t="shared" si="6"/>
        <v>1</v>
      </c>
      <c r="I59" s="104">
        <f t="shared" si="6"/>
        <v>1</v>
      </c>
      <c r="J59" s="104">
        <f t="shared" si="6"/>
        <v>1</v>
      </c>
      <c r="K59" s="104">
        <f t="shared" si="6"/>
        <v>1</v>
      </c>
      <c r="L59" s="104">
        <f t="shared" si="6"/>
        <v>1</v>
      </c>
      <c r="M59" s="104">
        <f t="shared" si="6"/>
        <v>1</v>
      </c>
      <c r="N59" s="104">
        <f t="shared" si="6"/>
        <v>1</v>
      </c>
      <c r="O59" s="104">
        <f t="shared" si="6"/>
        <v>1</v>
      </c>
    </row>
    <row r="60" spans="1:15" x14ac:dyDescent="0.25">
      <c r="B60" s="45" t="s">
        <v>59</v>
      </c>
      <c r="C60" s="104">
        <f t="shared" si="6"/>
        <v>1</v>
      </c>
      <c r="D60" s="104">
        <f t="shared" si="6"/>
        <v>1</v>
      </c>
      <c r="E60" s="104">
        <f t="shared" si="6"/>
        <v>1</v>
      </c>
      <c r="F60" s="104">
        <f t="shared" si="6"/>
        <v>1</v>
      </c>
      <c r="G60" s="104">
        <f t="shared" si="6"/>
        <v>1</v>
      </c>
      <c r="H60" s="104">
        <f t="shared" si="6"/>
        <v>1</v>
      </c>
      <c r="I60" s="104">
        <f t="shared" si="6"/>
        <v>1</v>
      </c>
      <c r="J60" s="104">
        <f t="shared" si="6"/>
        <v>1</v>
      </c>
      <c r="K60" s="104">
        <f t="shared" si="6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337</v>
      </c>
      <c r="C61" s="104">
        <f t="shared" si="6"/>
        <v>1</v>
      </c>
      <c r="D61" s="104">
        <f t="shared" si="6"/>
        <v>1</v>
      </c>
      <c r="E61" s="104">
        <v>0.44</v>
      </c>
      <c r="F61" s="104">
        <v>0.44</v>
      </c>
      <c r="G61" s="104">
        <f t="shared" si="6"/>
        <v>1</v>
      </c>
      <c r="H61" s="104">
        <f t="shared" si="6"/>
        <v>1</v>
      </c>
      <c r="I61" s="104">
        <f t="shared" si="6"/>
        <v>1</v>
      </c>
      <c r="J61" s="104">
        <f t="shared" si="6"/>
        <v>1</v>
      </c>
      <c r="K61" s="104">
        <f t="shared" si="6"/>
        <v>1</v>
      </c>
      <c r="L61" s="104">
        <f t="shared" si="6"/>
        <v>1</v>
      </c>
      <c r="M61" s="104">
        <f t="shared" si="6"/>
        <v>1</v>
      </c>
      <c r="N61" s="104">
        <f t="shared" si="6"/>
        <v>1</v>
      </c>
      <c r="O61" s="104">
        <f t="shared" si="6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04">
        <f t="shared" ref="C64:O67" si="7">IF(C18=1,1,C18*1.05)</f>
        <v>1</v>
      </c>
      <c r="D64" s="104">
        <f t="shared" si="7"/>
        <v>1</v>
      </c>
      <c r="E64" s="104">
        <f t="shared" si="7"/>
        <v>1</v>
      </c>
      <c r="F64" s="104">
        <f t="shared" si="7"/>
        <v>1</v>
      </c>
      <c r="G64" s="104">
        <f t="shared" si="7"/>
        <v>1</v>
      </c>
      <c r="H64" s="104">
        <f t="shared" si="7"/>
        <v>1</v>
      </c>
      <c r="I64" s="104">
        <f t="shared" si="7"/>
        <v>1</v>
      </c>
      <c r="J64" s="104">
        <f t="shared" si="7"/>
        <v>1</v>
      </c>
      <c r="K64" s="104">
        <f t="shared" si="7"/>
        <v>1</v>
      </c>
      <c r="L64" s="104">
        <f t="shared" si="7"/>
        <v>1</v>
      </c>
      <c r="M64" s="104">
        <f t="shared" si="7"/>
        <v>1</v>
      </c>
      <c r="N64" s="104">
        <f t="shared" si="7"/>
        <v>1</v>
      </c>
      <c r="O64" s="104">
        <f t="shared" si="7"/>
        <v>1</v>
      </c>
    </row>
    <row r="65" spans="2:15" x14ac:dyDescent="0.25">
      <c r="B65" s="72" t="s">
        <v>64</v>
      </c>
      <c r="C65" s="104">
        <f t="shared" si="7"/>
        <v>1</v>
      </c>
      <c r="D65" s="104">
        <f t="shared" si="7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62</v>
      </c>
      <c r="C66" s="104">
        <f t="shared" si="7"/>
        <v>1</v>
      </c>
      <c r="D66" s="104">
        <f t="shared" si="7"/>
        <v>1</v>
      </c>
      <c r="E66" s="104">
        <f t="shared" si="7"/>
        <v>1</v>
      </c>
      <c r="F66" s="104">
        <f t="shared" si="7"/>
        <v>1</v>
      </c>
      <c r="G66" s="104">
        <f t="shared" si="7"/>
        <v>1</v>
      </c>
      <c r="H66" s="104">
        <f t="shared" si="7"/>
        <v>1</v>
      </c>
      <c r="I66" s="104">
        <f t="shared" si="7"/>
        <v>1</v>
      </c>
      <c r="J66" s="104">
        <f t="shared" si="7"/>
        <v>1</v>
      </c>
      <c r="K66" s="104">
        <f t="shared" si="7"/>
        <v>1</v>
      </c>
      <c r="L66" s="104">
        <f t="shared" si="7"/>
        <v>1</v>
      </c>
      <c r="M66" s="104">
        <f t="shared" si="7"/>
        <v>1</v>
      </c>
      <c r="N66" s="104">
        <f t="shared" si="7"/>
        <v>1</v>
      </c>
      <c r="O66" s="104">
        <f t="shared" si="7"/>
        <v>1</v>
      </c>
    </row>
    <row r="67" spans="2:15" x14ac:dyDescent="0.25">
      <c r="B67" s="72" t="s">
        <v>47</v>
      </c>
      <c r="C67" s="104">
        <f t="shared" si="7"/>
        <v>1</v>
      </c>
      <c r="D67" s="104">
        <f t="shared" si="7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LbffDDIfihWW85yW82NpeySVyDkleldGKwx3puGRY2L1/RW9kfG45aFNYVH3d727Rtyl8xp4S3dd0KXvm1JEow==" saltValue="4aVfXwXnPdVAzIH0S71QG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1</v>
      </c>
      <c r="D1" s="29" t="s">
        <v>2</v>
      </c>
      <c r="E1" s="29" t="s">
        <v>3</v>
      </c>
      <c r="F1" s="29" t="s">
        <v>4</v>
      </c>
      <c r="G1" s="29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258</v>
      </c>
      <c r="B4" s="45"/>
      <c r="C4" s="97"/>
      <c r="D4" s="97"/>
      <c r="E4" s="97"/>
      <c r="F4" s="97"/>
      <c r="G4" s="97"/>
    </row>
    <row r="5" spans="1:7" x14ac:dyDescent="0.25">
      <c r="B5" s="72" t="s">
        <v>178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269</v>
      </c>
    </row>
    <row r="8" spans="1:7" ht="13" x14ac:dyDescent="0.3">
      <c r="A8" s="29"/>
      <c r="B8" s="41"/>
      <c r="C8" s="29" t="s">
        <v>1</v>
      </c>
      <c r="D8" s="29" t="s">
        <v>2</v>
      </c>
      <c r="E8" s="29" t="s">
        <v>3</v>
      </c>
      <c r="F8" s="29" t="s">
        <v>4</v>
      </c>
      <c r="G8" s="29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275</v>
      </c>
      <c r="B11" s="45"/>
      <c r="C11" s="97"/>
      <c r="D11" s="97"/>
      <c r="E11" s="97"/>
      <c r="F11" s="97"/>
      <c r="G11" s="97"/>
    </row>
    <row r="12" spans="1:7" x14ac:dyDescent="0.25">
      <c r="B12" s="72" t="s">
        <v>178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270</v>
      </c>
    </row>
    <row r="15" spans="1:7" ht="13" x14ac:dyDescent="0.3">
      <c r="A15" s="29"/>
      <c r="B15" s="41"/>
      <c r="C15" s="29" t="s">
        <v>1</v>
      </c>
      <c r="D15" s="29" t="s">
        <v>2</v>
      </c>
      <c r="E15" s="29" t="s">
        <v>3</v>
      </c>
      <c r="F15" s="29" t="s">
        <v>4</v>
      </c>
      <c r="G15" s="29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277</v>
      </c>
      <c r="B18" s="45"/>
      <c r="C18" s="97"/>
      <c r="D18" s="97"/>
      <c r="E18" s="97"/>
      <c r="F18" s="97"/>
      <c r="G18" s="97"/>
    </row>
    <row r="19" spans="1:7" x14ac:dyDescent="0.25">
      <c r="B19" s="72" t="s">
        <v>178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pIb1smc9c9vieqMVqGfjGRP/0yeZPkwGSWVPteaFMUTrOrQlst0ccF2avHomBI6Fcg18AdtBzMkmRxgt7VY7pw==" saltValue="2A8mjH/k+VxE/j04qTRg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E90" sqref="E90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262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263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263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65</v>
      </c>
      <c r="C7" s="39" t="s">
        <v>261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263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263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65</v>
      </c>
      <c r="C11" s="39" t="s">
        <v>261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263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337</v>
      </c>
      <c r="B13" s="39" t="s">
        <v>66</v>
      </c>
      <c r="C13" s="39" t="s">
        <v>261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263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65</v>
      </c>
      <c r="C15" s="39" t="s">
        <v>261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263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61</v>
      </c>
      <c r="B17" s="39" t="s">
        <v>66</v>
      </c>
      <c r="C17" s="39" t="s">
        <v>261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263</v>
      </c>
      <c r="D18" s="104">
        <v>0</v>
      </c>
      <c r="E18" s="104">
        <v>0</v>
      </c>
      <c r="F18" s="104">
        <v>0.68</v>
      </c>
      <c r="G18" s="104">
        <v>0.68</v>
      </c>
      <c r="H18" s="104">
        <v>0.68</v>
      </c>
    </row>
    <row r="19" spans="1:8" x14ac:dyDescent="0.25">
      <c r="B19" s="39" t="s">
        <v>65</v>
      </c>
      <c r="C19" s="39" t="s">
        <v>261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263</v>
      </c>
      <c r="D20" s="104">
        <v>0</v>
      </c>
      <c r="E20" s="104">
        <v>0</v>
      </c>
      <c r="F20" s="104">
        <v>0.6</v>
      </c>
      <c r="G20" s="104">
        <v>0.6</v>
      </c>
      <c r="H20" s="104">
        <v>0.6</v>
      </c>
    </row>
    <row r="21" spans="1:8" x14ac:dyDescent="0.25">
      <c r="A21" s="39" t="s">
        <v>62</v>
      </c>
      <c r="B21" s="39" t="s">
        <v>27</v>
      </c>
      <c r="C21" s="39" t="s">
        <v>261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262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63</v>
      </c>
      <c r="B23" s="39" t="s">
        <v>27</v>
      </c>
      <c r="C23" s="39" t="s">
        <v>261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262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64</v>
      </c>
      <c r="B25" s="39" t="s">
        <v>27</v>
      </c>
      <c r="C25" s="39" t="s">
        <v>261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262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79</v>
      </c>
      <c r="B27" s="39" t="s">
        <v>71</v>
      </c>
      <c r="C27" s="39" t="s">
        <v>261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262</v>
      </c>
      <c r="D28" s="104">
        <v>0</v>
      </c>
      <c r="E28" s="104">
        <v>0</v>
      </c>
      <c r="F28" s="104">
        <v>0</v>
      </c>
      <c r="G28" s="104">
        <v>0</v>
      </c>
      <c r="H28" s="104">
        <v>0</v>
      </c>
    </row>
    <row r="29" spans="1:8" x14ac:dyDescent="0.25">
      <c r="C29" s="39" t="s">
        <v>263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80</v>
      </c>
      <c r="B30" s="39" t="s">
        <v>71</v>
      </c>
      <c r="C30" s="39" t="s">
        <v>261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262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263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81</v>
      </c>
      <c r="B33" s="39" t="s">
        <v>71</v>
      </c>
      <c r="C33" s="39" t="s">
        <v>261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262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263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82</v>
      </c>
      <c r="B36" s="39" t="s">
        <v>71</v>
      </c>
      <c r="C36" s="39" t="s">
        <v>261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262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263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83</v>
      </c>
      <c r="B39" s="39" t="s">
        <v>71</v>
      </c>
      <c r="C39" s="39" t="s">
        <v>261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262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263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60</v>
      </c>
      <c r="B42" s="39" t="s">
        <v>71</v>
      </c>
      <c r="C42" s="39" t="s">
        <v>261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262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263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16</v>
      </c>
      <c r="C45" s="39" t="s">
        <v>261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262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263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84</v>
      </c>
      <c r="B48" s="39" t="s">
        <v>71</v>
      </c>
      <c r="C48" s="39" t="s">
        <v>261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262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85</v>
      </c>
      <c r="B50" s="39" t="s">
        <v>71</v>
      </c>
      <c r="C50" s="39" t="s">
        <v>261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262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190</v>
      </c>
      <c r="B52" s="39" t="s">
        <v>13</v>
      </c>
      <c r="C52" s="39" t="s">
        <v>261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262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269</v>
      </c>
      <c r="B55" s="111"/>
      <c r="C55" s="111"/>
    </row>
    <row r="56" spans="1:8" ht="13" x14ac:dyDescent="0.3">
      <c r="A56" s="29" t="s">
        <v>69</v>
      </c>
      <c r="B56" s="29" t="s">
        <v>259</v>
      </c>
      <c r="C56" s="96" t="s">
        <v>260</v>
      </c>
      <c r="D56" s="29" t="s">
        <v>1</v>
      </c>
      <c r="E56" s="29" t="s">
        <v>2</v>
      </c>
      <c r="F56" s="29" t="s">
        <v>3</v>
      </c>
      <c r="G56" s="29" t="s">
        <v>4</v>
      </c>
      <c r="H56" s="29" t="s">
        <v>5</v>
      </c>
    </row>
    <row r="57" spans="1:8" x14ac:dyDescent="0.25">
      <c r="A57" s="39" t="s">
        <v>28</v>
      </c>
      <c r="B57" s="39" t="s">
        <v>71</v>
      </c>
      <c r="C57" s="39" t="s">
        <v>261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262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263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58</v>
      </c>
      <c r="B60" s="39" t="s">
        <v>66</v>
      </c>
      <c r="C60" s="39" t="s">
        <v>261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263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65</v>
      </c>
      <c r="C62" s="39" t="s">
        <v>261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263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131</v>
      </c>
      <c r="B64" s="39" t="s">
        <v>66</v>
      </c>
      <c r="C64" s="39" t="s">
        <v>261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263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65</v>
      </c>
      <c r="C66" s="39" t="s">
        <v>261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263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337</v>
      </c>
      <c r="B68" s="39" t="s">
        <v>66</v>
      </c>
      <c r="C68" s="39" t="s">
        <v>261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263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65</v>
      </c>
      <c r="C70" s="39" t="s">
        <v>261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263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61</v>
      </c>
      <c r="B72" s="39" t="s">
        <v>66</v>
      </c>
      <c r="C72" s="39" t="s">
        <v>261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263</v>
      </c>
      <c r="D73" s="104">
        <f t="shared" si="2"/>
        <v>0</v>
      </c>
      <c r="E73" s="104">
        <f t="shared" si="2"/>
        <v>0</v>
      </c>
      <c r="F73" s="104">
        <v>0.39</v>
      </c>
      <c r="G73" s="104">
        <v>0.39</v>
      </c>
      <c r="H73" s="104">
        <v>0.39</v>
      </c>
    </row>
    <row r="74" spans="1:8" x14ac:dyDescent="0.25">
      <c r="B74" s="39" t="s">
        <v>65</v>
      </c>
      <c r="C74" s="39" t="s">
        <v>261</v>
      </c>
      <c r="D74" s="104">
        <f t="shared" si="2"/>
        <v>0</v>
      </c>
      <c r="E74" s="104">
        <f t="shared" si="2"/>
        <v>0</v>
      </c>
      <c r="F74" s="104">
        <f t="shared" si="2"/>
        <v>1</v>
      </c>
      <c r="G74" s="104">
        <f t="shared" si="2"/>
        <v>1</v>
      </c>
      <c r="H74" s="104">
        <f t="shared" si="2"/>
        <v>1</v>
      </c>
    </row>
    <row r="75" spans="1:8" x14ac:dyDescent="0.25">
      <c r="C75" s="39" t="s">
        <v>263</v>
      </c>
      <c r="D75" s="104">
        <f t="shared" si="2"/>
        <v>0</v>
      </c>
      <c r="E75" s="104">
        <f t="shared" si="2"/>
        <v>0</v>
      </c>
      <c r="F75" s="104">
        <v>0.32</v>
      </c>
      <c r="G75" s="104">
        <v>0.32</v>
      </c>
      <c r="H75" s="104">
        <v>0.32</v>
      </c>
    </row>
    <row r="76" spans="1:8" x14ac:dyDescent="0.25">
      <c r="A76" s="39" t="s">
        <v>62</v>
      </c>
      <c r="B76" s="39" t="s">
        <v>27</v>
      </c>
      <c r="C76" s="39" t="s">
        <v>261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262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63</v>
      </c>
      <c r="B78" s="39" t="s">
        <v>27</v>
      </c>
      <c r="C78" s="39" t="s">
        <v>261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262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64</v>
      </c>
      <c r="B80" s="39" t="s">
        <v>27</v>
      </c>
      <c r="C80" s="39" t="s">
        <v>261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262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79</v>
      </c>
      <c r="B82" s="39" t="s">
        <v>71</v>
      </c>
      <c r="C82" s="39" t="s">
        <v>261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262</v>
      </c>
      <c r="D83" s="104">
        <v>0</v>
      </c>
      <c r="E83" s="104">
        <v>0</v>
      </c>
      <c r="F83" s="104">
        <v>0</v>
      </c>
      <c r="G83" s="104">
        <v>0</v>
      </c>
      <c r="H83" s="104">
        <v>0</v>
      </c>
    </row>
    <row r="84" spans="1:8" x14ac:dyDescent="0.25">
      <c r="C84" s="39" t="s">
        <v>263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80</v>
      </c>
      <c r="B85" s="39" t="s">
        <v>71</v>
      </c>
      <c r="C85" s="39" t="s">
        <v>261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262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263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81</v>
      </c>
      <c r="B88" s="39" t="s">
        <v>71</v>
      </c>
      <c r="C88" s="39" t="s">
        <v>261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262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263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82</v>
      </c>
      <c r="B91" s="39" t="s">
        <v>71</v>
      </c>
      <c r="C91" s="39" t="s">
        <v>261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262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263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83</v>
      </c>
      <c r="B94" s="39" t="s">
        <v>71</v>
      </c>
      <c r="C94" s="39" t="s">
        <v>261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262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263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60</v>
      </c>
      <c r="B97" s="39" t="s">
        <v>71</v>
      </c>
      <c r="C97" s="39" t="s">
        <v>261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262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263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16</v>
      </c>
      <c r="C100" s="39" t="s">
        <v>261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262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263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84</v>
      </c>
      <c r="B103" s="39" t="s">
        <v>71</v>
      </c>
      <c r="C103" s="39" t="s">
        <v>261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262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85</v>
      </c>
      <c r="B105" s="39" t="s">
        <v>71</v>
      </c>
      <c r="C105" s="39" t="s">
        <v>261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262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190</v>
      </c>
      <c r="B107" s="39" t="s">
        <v>13</v>
      </c>
      <c r="C107" s="39" t="s">
        <v>261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262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270</v>
      </c>
      <c r="B110" s="111"/>
      <c r="C110" s="111"/>
    </row>
    <row r="111" spans="1:8" ht="13" x14ac:dyDescent="0.3">
      <c r="A111" s="29" t="s">
        <v>69</v>
      </c>
      <c r="B111" s="29" t="s">
        <v>259</v>
      </c>
      <c r="C111" s="96" t="s">
        <v>260</v>
      </c>
      <c r="D111" s="29" t="s">
        <v>1</v>
      </c>
      <c r="E111" s="29" t="s">
        <v>2</v>
      </c>
      <c r="F111" s="29" t="s">
        <v>3</v>
      </c>
      <c r="G111" s="29" t="s">
        <v>4</v>
      </c>
      <c r="H111" s="29" t="s">
        <v>5</v>
      </c>
    </row>
    <row r="112" spans="1:8" x14ac:dyDescent="0.25">
      <c r="A112" s="39" t="s">
        <v>28</v>
      </c>
      <c r="B112" s="39" t="s">
        <v>71</v>
      </c>
      <c r="C112" s="39" t="s">
        <v>261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262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263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58</v>
      </c>
      <c r="B115" s="39" t="s">
        <v>66</v>
      </c>
      <c r="C115" s="39" t="s">
        <v>261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263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65</v>
      </c>
      <c r="C117" s="39" t="s">
        <v>261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263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131</v>
      </c>
      <c r="B119" s="39" t="s">
        <v>66</v>
      </c>
      <c r="C119" s="39" t="s">
        <v>261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263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65</v>
      </c>
      <c r="C121" s="39" t="s">
        <v>261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263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337</v>
      </c>
      <c r="B123" s="39" t="s">
        <v>66</v>
      </c>
      <c r="C123" s="39" t="s">
        <v>261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263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65</v>
      </c>
      <c r="C125" s="39" t="s">
        <v>261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263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61</v>
      </c>
      <c r="B127" s="39" t="s">
        <v>66</v>
      </c>
      <c r="C127" s="39" t="s">
        <v>261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263</v>
      </c>
      <c r="D128" s="104">
        <f t="shared" si="9"/>
        <v>0</v>
      </c>
      <c r="E128" s="104">
        <f t="shared" si="9"/>
        <v>0</v>
      </c>
      <c r="F128" s="104">
        <v>0.84</v>
      </c>
      <c r="G128" s="104">
        <v>0.84</v>
      </c>
      <c r="H128" s="104">
        <v>0.84</v>
      </c>
    </row>
    <row r="129" spans="1:8" x14ac:dyDescent="0.25">
      <c r="B129" s="39" t="s">
        <v>65</v>
      </c>
      <c r="C129" s="39" t="s">
        <v>261</v>
      </c>
      <c r="D129" s="104">
        <f t="shared" si="9"/>
        <v>0</v>
      </c>
      <c r="E129" s="104">
        <f t="shared" si="9"/>
        <v>0</v>
      </c>
      <c r="F129" s="104">
        <f t="shared" ref="F129:H129" si="10">IF($C74="Affected fraction",F74,IF(F74=1,1,F74*0.9))</f>
        <v>1</v>
      </c>
      <c r="G129" s="104">
        <f t="shared" si="10"/>
        <v>1</v>
      </c>
      <c r="H129" s="104">
        <f t="shared" si="10"/>
        <v>1</v>
      </c>
    </row>
    <row r="130" spans="1:8" x14ac:dyDescent="0.25">
      <c r="C130" s="39" t="s">
        <v>263</v>
      </c>
      <c r="D130" s="104">
        <f t="shared" si="9"/>
        <v>0</v>
      </c>
      <c r="E130" s="104">
        <f t="shared" si="9"/>
        <v>0</v>
      </c>
      <c r="F130" s="104">
        <v>0.77</v>
      </c>
      <c r="G130" s="104">
        <v>0.77</v>
      </c>
      <c r="H130" s="104">
        <v>0.77</v>
      </c>
    </row>
    <row r="131" spans="1:8" x14ac:dyDescent="0.25">
      <c r="A131" s="39" t="s">
        <v>62</v>
      </c>
      <c r="B131" s="39" t="s">
        <v>27</v>
      </c>
      <c r="C131" s="39" t="s">
        <v>261</v>
      </c>
      <c r="D131" s="104">
        <f t="shared" ref="D131" si="11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262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63</v>
      </c>
      <c r="B133" s="39" t="s">
        <v>27</v>
      </c>
      <c r="C133" s="39" t="s">
        <v>261</v>
      </c>
      <c r="D133" s="104">
        <f t="shared" ref="D133" si="12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262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64</v>
      </c>
      <c r="B135" s="39" t="s">
        <v>27</v>
      </c>
      <c r="C135" s="39" t="s">
        <v>261</v>
      </c>
      <c r="D135" s="104">
        <f t="shared" ref="D135" si="13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262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79</v>
      </c>
      <c r="B137" s="39" t="s">
        <v>71</v>
      </c>
      <c r="C137" s="39" t="s">
        <v>261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262</v>
      </c>
      <c r="D138" s="104">
        <v>0</v>
      </c>
      <c r="E138" s="104">
        <v>0</v>
      </c>
      <c r="F138" s="104">
        <v>0</v>
      </c>
      <c r="G138" s="104">
        <v>0</v>
      </c>
      <c r="H138" s="104">
        <v>0</v>
      </c>
    </row>
    <row r="139" spans="1:8" x14ac:dyDescent="0.25">
      <c r="C139" s="39" t="s">
        <v>263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80</v>
      </c>
      <c r="B140" s="39" t="s">
        <v>71</v>
      </c>
      <c r="C140" s="39" t="s">
        <v>261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262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263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81</v>
      </c>
      <c r="B143" s="39" t="s">
        <v>71</v>
      </c>
      <c r="C143" s="39" t="s">
        <v>261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262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263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82</v>
      </c>
      <c r="B146" s="39" t="s">
        <v>71</v>
      </c>
      <c r="C146" s="39" t="s">
        <v>261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262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263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83</v>
      </c>
      <c r="B149" s="39" t="s">
        <v>71</v>
      </c>
      <c r="C149" s="39" t="s">
        <v>261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262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263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60</v>
      </c>
      <c r="B152" s="39" t="s">
        <v>71</v>
      </c>
      <c r="C152" s="39" t="s">
        <v>261</v>
      </c>
      <c r="D152" s="104">
        <f t="shared" ref="D152:H153" si="14">IF($C97="Affected fraction",D97,IF(D97=1,1,D97*0.9))</f>
        <v>0</v>
      </c>
      <c r="E152" s="104">
        <f t="shared" si="14"/>
        <v>1</v>
      </c>
      <c r="F152" s="104">
        <f t="shared" si="14"/>
        <v>1</v>
      </c>
      <c r="G152" s="104">
        <f t="shared" si="14"/>
        <v>1</v>
      </c>
      <c r="H152" s="104">
        <f t="shared" si="14"/>
        <v>1</v>
      </c>
    </row>
    <row r="153" spans="1:8" x14ac:dyDescent="0.25">
      <c r="C153" s="39" t="s">
        <v>262</v>
      </c>
      <c r="D153" s="104">
        <f t="shared" si="14"/>
        <v>0</v>
      </c>
      <c r="E153" s="104">
        <f t="shared" si="14"/>
        <v>0</v>
      </c>
      <c r="F153" s="104">
        <f t="shared" si="14"/>
        <v>0</v>
      </c>
      <c r="G153" s="104">
        <f t="shared" si="14"/>
        <v>0</v>
      </c>
      <c r="H153" s="104">
        <f t="shared" si="14"/>
        <v>0</v>
      </c>
    </row>
    <row r="154" spans="1:8" x14ac:dyDescent="0.25">
      <c r="C154" s="39" t="s">
        <v>263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16</v>
      </c>
      <c r="C155" s="39" t="s">
        <v>261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262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263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84</v>
      </c>
      <c r="B158" s="39" t="s">
        <v>71</v>
      </c>
      <c r="C158" s="39" t="s">
        <v>261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262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85</v>
      </c>
      <c r="B160" s="39" t="s">
        <v>71</v>
      </c>
      <c r="C160" s="39" t="s">
        <v>261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262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190</v>
      </c>
      <c r="B162" s="39" t="s">
        <v>13</v>
      </c>
      <c r="C162" s="39" t="s">
        <v>261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262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oEtnwq8k4F89BytziJ+0Aekx+nbCCOBdjCIUfaQYHn3KMRBX22/kJMtu1BdCcSz/C562787IwGH7CQaFR1FGSA==" saltValue="M07BFftwSoApcgJZQw3LH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29" t="s">
        <v>53</v>
      </c>
      <c r="E1" s="29" t="s">
        <v>54</v>
      </c>
      <c r="F1" s="29" t="s">
        <v>55</v>
      </c>
      <c r="G1" s="29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262</v>
      </c>
      <c r="D3" s="104">
        <v>0.83</v>
      </c>
      <c r="E3" s="104">
        <v>0.83</v>
      </c>
      <c r="F3" s="104">
        <v>0.83</v>
      </c>
      <c r="G3" s="104">
        <v>0.83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262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262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269</v>
      </c>
    </row>
    <row r="10" spans="1:8" ht="13" x14ac:dyDescent="0.3">
      <c r="A10" s="41" t="s">
        <v>69</v>
      </c>
      <c r="B10" s="41" t="s">
        <v>259</v>
      </c>
      <c r="C10" s="41"/>
      <c r="D10" s="29" t="s">
        <v>53</v>
      </c>
      <c r="E10" s="29" t="s">
        <v>54</v>
      </c>
      <c r="F10" s="29" t="s">
        <v>55</v>
      </c>
      <c r="G10" s="29" t="s">
        <v>56</v>
      </c>
    </row>
    <row r="11" spans="1:8" x14ac:dyDescent="0.25">
      <c r="A11" s="31" t="s">
        <v>86</v>
      </c>
      <c r="B11" s="27" t="s">
        <v>41</v>
      </c>
      <c r="C11" s="31" t="s">
        <v>261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262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87</v>
      </c>
      <c r="B13" s="27" t="s">
        <v>41</v>
      </c>
      <c r="C13" s="31" t="s">
        <v>261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262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88</v>
      </c>
      <c r="B15" s="27" t="s">
        <v>41</v>
      </c>
      <c r="C15" s="31" t="s">
        <v>261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262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270</v>
      </c>
    </row>
    <row r="19" spans="1:7" ht="13" x14ac:dyDescent="0.3">
      <c r="A19" s="41" t="s">
        <v>69</v>
      </c>
      <c r="B19" s="41" t="s">
        <v>259</v>
      </c>
      <c r="C19" s="41"/>
      <c r="D19" s="29" t="s">
        <v>53</v>
      </c>
      <c r="E19" s="29" t="s">
        <v>54</v>
      </c>
      <c r="F19" s="29" t="s">
        <v>55</v>
      </c>
      <c r="G19" s="29" t="s">
        <v>56</v>
      </c>
    </row>
    <row r="20" spans="1:7" x14ac:dyDescent="0.25">
      <c r="A20" s="31" t="s">
        <v>86</v>
      </c>
      <c r="B20" s="27" t="s">
        <v>41</v>
      </c>
      <c r="C20" s="31" t="s">
        <v>261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262</v>
      </c>
      <c r="D21" s="104">
        <v>0.98</v>
      </c>
      <c r="E21" s="104">
        <v>0.98</v>
      </c>
      <c r="F21" s="104">
        <v>0.98</v>
      </c>
      <c r="G21" s="104">
        <v>0.98</v>
      </c>
    </row>
    <row r="22" spans="1:7" x14ac:dyDescent="0.25">
      <c r="A22" s="31" t="s">
        <v>87</v>
      </c>
      <c r="B22" s="27" t="s">
        <v>41</v>
      </c>
      <c r="C22" s="31" t="s">
        <v>261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262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88</v>
      </c>
      <c r="B24" s="27" t="s">
        <v>41</v>
      </c>
      <c r="C24" s="31" t="s">
        <v>261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262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R3K/sTS7xt6YAk6DcY+JZLUDsg+adf7ybCqVowN1GUWT+Mx0cOV3JOcp+AC5dXHnOVKk44VUUrMCjhJf70rmyQ==" saltValue="YX2eShOEWpY4c9pEW28Edw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2024-04-11T06:24:48Z</dcterms:modified>
</cp:coreProperties>
</file>