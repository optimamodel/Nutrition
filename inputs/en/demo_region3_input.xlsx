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575A58DC-6B76-458B-85E5-D21F3049C474}" xr6:coauthVersionLast="47" xr6:coauthVersionMax="47" xr10:uidLastSave="{00000000-0000-0000-0000-000000000000}"/>
  <bookViews>
    <workbookView xWindow="-110" yWindow="-110" windowWidth="19420" windowHeight="10420" tabRatio="961" firstSheet="3" activeTab="3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5" i="73" l="1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H153" i="72"/>
  <c r="G153" i="72"/>
  <c r="F153" i="72"/>
  <c r="E153" i="72"/>
  <c r="D153" i="72"/>
  <c r="F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F112" i="72"/>
  <c r="E112" i="72"/>
  <c r="D112" i="72"/>
  <c r="H97" i="72"/>
  <c r="H152" i="72" s="1"/>
  <c r="G97" i="72"/>
  <c r="G152" i="72" s="1"/>
  <c r="F97" i="72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G112" i="72" s="1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O14" i="70"/>
  <c r="N14" i="70"/>
  <c r="M14" i="70"/>
  <c r="L14" i="70"/>
  <c r="C67" i="68"/>
  <c r="G63" i="68"/>
  <c r="F63" i="68"/>
  <c r="E63" i="68"/>
  <c r="D63" i="68"/>
  <c r="C63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49" i="68"/>
  <c r="F49" i="68"/>
  <c r="E49" i="68"/>
  <c r="D49" i="68"/>
  <c r="C44" i="68"/>
  <c r="G40" i="68"/>
  <c r="F40" i="68"/>
  <c r="E40" i="68"/>
  <c r="D40" i="68"/>
  <c r="C40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6" i="68"/>
  <c r="F26" i="68"/>
  <c r="E26" i="68"/>
  <c r="D26" i="68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<sst xmlns="http://schemas.openxmlformats.org/spreadsheetml/2006/main" count="2093" uniqueCount="341">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</sst>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abSelected="1" topLeftCell="A5" zoomScaleNormal="100" workbookViewId="0">
      <selection activeCell="C10" sqref="C10:G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0.47702419856642964</v>
      </c>
      <c r="D2" s="114">
        <f>IFERROR(1-_xlfn.NORM.DIST(_xlfn.NORM.INV(SUM(D4:D5), 0, 1) + 1, 0, 1, TRUE), "")</f>
        <v>0.47702419856642964</v>
      </c>
      <c r="E2" s="114">
        <f>IFERROR(1-_xlfn.NORM.DIST(_xlfn.NORM.INV(SUM(E4:E5), 0, 1) + 1, 0, 1, TRUE), "")</f>
        <v>0.39571950531782307</v>
      </c>
      <c r="F2" s="114">
        <f>IFERROR(1-_xlfn.NORM.DIST(_xlfn.NORM.INV(SUM(F4:F5), 0, 1) + 1, 0, 1, TRUE), "")</f>
        <v>0.21538848080661976</v>
      </c>
      <c r="G2" s="114">
        <f>IFERROR(1-_xlfn.NORM.DIST(_xlfn.NORM.INV(SUM(G4:G5), 0, 1) + 1, 0, 1, TRUE), "")</f>
        <v>0.20291379751882221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0.34997580143357038</v>
      </c>
      <c r="D3" s="114">
        <f>IFERROR(_xlfn.NORM.DIST(_xlfn.NORM.INV(SUM(D4:D5), 0, 1) + 1, 0, 1, TRUE) - SUM(D4:D5), "")</f>
        <v>0.34997580143357038</v>
      </c>
      <c r="E3" s="114">
        <f>IFERROR(_xlfn.NORM.DIST(_xlfn.NORM.INV(SUM(E4:E5), 0, 1) + 1, 0, 1, TRUE) - SUM(E4:E5), "")</f>
        <v>0.37328049468217694</v>
      </c>
      <c r="F3" s="114">
        <f>IFERROR(_xlfn.NORM.DIST(_xlfn.NORM.INV(SUM(F4:F5), 0, 1) + 1, 0, 1, TRUE) - SUM(F4:F5), "")</f>
        <v>0.3686115191933802</v>
      </c>
      <c r="G3" s="114">
        <f>IFERROR(_xlfn.NORM.DIST(_xlfn.NORM.INV(SUM(G4:G5), 0, 1) + 1, 0, 1, TRUE) - SUM(G4:G5), "")</f>
        <v>0.36408620248117773</v>
      </c>
    </row>
    <row r="4" spans="1:15" ht="15.75" customHeight="1" x14ac:dyDescent="0.25">
      <c r="B4" s="5" t="s">
        <v>116</v>
      </c>
      <c r="C4" s="59">
        <v>0.107</v>
      </c>
      <c r="D4" s="59">
        <v>0.107</v>
      </c>
      <c r="E4" s="59">
        <v>0.154</v>
      </c>
      <c r="F4" s="59">
        <v>0.26400000000000001</v>
      </c>
      <c r="G4" s="59">
        <v>0.27900000000000003</v>
      </c>
    </row>
    <row r="5" spans="1:15" ht="15.75" customHeight="1" x14ac:dyDescent="0.25">
      <c r="B5" s="5" t="s">
        <v>340</v>
      </c>
      <c r="C5" s="59">
        <v>6.6000000000000003E-2</v>
      </c>
      <c r="D5" s="59">
        <v>6.6000000000000003E-2</v>
      </c>
      <c r="E5" s="59">
        <v>7.6999999999999999E-2</v>
      </c>
      <c r="F5" s="59">
        <v>0.152</v>
      </c>
      <c r="G5" s="59">
        <v>0.154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2</v>
      </c>
      <c r="C114" s="27" t="s">
        <v>171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170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169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3</v>
      </c>
      <c r="C117" s="27" t="s">
        <v>171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170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169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4</v>
      </c>
      <c r="C120" s="27" t="s">
        <v>171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170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169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170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169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</v>
      </c>
      <c r="C128" s="27" t="s">
        <v>171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170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169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2</v>
      </c>
      <c r="C131" s="27" t="s">
        <v>171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170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169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3</v>
      </c>
      <c r="C134" s="27" t="s">
        <v>171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170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169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4</v>
      </c>
      <c r="C137" s="27" t="s">
        <v>171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170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169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170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169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</v>
      </c>
      <c r="C145" s="27" t="s">
        <v>171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170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169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2</v>
      </c>
      <c r="C148" s="27" t="s">
        <v>171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170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169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3</v>
      </c>
      <c r="C151" s="27" t="s">
        <v>171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170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169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4</v>
      </c>
      <c r="C154" s="27" t="s">
        <v>171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170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169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PJvvczTX02udclIHc4BYVrFcnDWQgrEMznGaMDqc9c7dODneUitm4zod0zPOcMmikisDTo5XoDZbroNh1SOQlQ==" saltValue="d6DJlx6zmP+EipmKY6bfH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topLeftCell="A21" zoomScaleNormal="100" workbookViewId="0">
      <selection activeCell="D30" sqref="D3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z5qzIi1ZlGssU/OiYY7WWiJoR1TaHnOOh+cFwOn3BpdV8g3fDSuCKM2FT4tYtp77DPGMVtU7PzAWhrFcFrpEMg==" saltValue="qsszEe2oCJFCGTnlInMl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topLeftCell="A55" zoomScale="70" zoomScaleNormal="70" workbookViewId="0">
      <selection activeCell="D30" sqref="D30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</v>
      </c>
      <c r="D15" s="104">
        <v>1.024</v>
      </c>
      <c r="E15" s="104">
        <v>1.024</v>
      </c>
      <c r="F15" s="104">
        <v>1.024</v>
      </c>
      <c r="G15" s="104">
        <v>1.024</v>
      </c>
    </row>
    <row r="16" spans="1:7" ht="14.25" customHeight="1" x14ac:dyDescent="0.3">
      <c r="A16" s="29"/>
      <c r="B16" s="72" t="s">
        <v>250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v>1.014</v>
      </c>
      <c r="D27" s="104">
        <v>1.014</v>
      </c>
      <c r="E27" s="104">
        <v>1.014</v>
      </c>
      <c r="F27" s="104">
        <v>1.014</v>
      </c>
      <c r="G27" s="104">
        <v>1.014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1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1"/>
        <v>1</v>
      </c>
    </row>
    <row r="30" spans="1:7" x14ac:dyDescent="0.25">
      <c r="B30" s="72" t="s">
        <v>280</v>
      </c>
      <c r="C30" s="104">
        <f t="shared" ref="C30:G32" si="2">IF(C7=1,1,C7*0.9)</f>
        <v>1</v>
      </c>
      <c r="D30" s="104">
        <f t="shared" si="2"/>
        <v>1</v>
      </c>
      <c r="E30" s="104">
        <v>0.85</v>
      </c>
      <c r="F30" s="104">
        <v>0.85</v>
      </c>
      <c r="G30" s="104">
        <f t="shared" si="2"/>
        <v>1</v>
      </c>
    </row>
    <row r="31" spans="1:7" x14ac:dyDescent="0.25">
      <c r="B31" s="72" t="s">
        <v>338</v>
      </c>
      <c r="C31" s="104">
        <f t="shared" si="2"/>
        <v>1</v>
      </c>
      <c r="D31" s="104">
        <f t="shared" si="2"/>
        <v>1</v>
      </c>
      <c r="E31" s="104">
        <v>0.85</v>
      </c>
      <c r="F31" s="104">
        <v>0.85</v>
      </c>
      <c r="G31" s="104">
        <f t="shared" si="2"/>
        <v>1</v>
      </c>
    </row>
    <row r="32" spans="1:7" x14ac:dyDescent="0.25">
      <c r="B32" s="72" t="s">
        <v>281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v>1.016</v>
      </c>
      <c r="D38" s="104">
        <v>1.016</v>
      </c>
      <c r="E38" s="104">
        <v>1.016</v>
      </c>
      <c r="F38" s="104">
        <v>1.016</v>
      </c>
      <c r="G38" s="104">
        <v>1.016</v>
      </c>
    </row>
    <row r="39" spans="1:7" ht="13" x14ac:dyDescent="0.3">
      <c r="A39" s="29"/>
      <c r="B39" s="72" t="s">
        <v>284</v>
      </c>
      <c r="C39" s="104">
        <v>1.016</v>
      </c>
      <c r="D39" s="104">
        <v>1.016</v>
      </c>
      <c r="E39" s="104">
        <v>1.016</v>
      </c>
      <c r="F39" s="104">
        <v>1.016</v>
      </c>
      <c r="G39" s="104">
        <v>1.016</v>
      </c>
    </row>
    <row r="40" spans="1:7" ht="13" x14ac:dyDescent="0.3">
      <c r="A40" s="96" t="s">
        <v>70</v>
      </c>
      <c r="B40" s="45" t="s">
        <v>285</v>
      </c>
      <c r="C40" s="104">
        <f t="shared" ref="C40:G40" si="3">IF(C17=1,1,C17*0.9)</f>
        <v>1</v>
      </c>
      <c r="D40" s="104">
        <f t="shared" si="3"/>
        <v>1</v>
      </c>
      <c r="E40" s="104">
        <f t="shared" si="3"/>
        <v>1</v>
      </c>
      <c r="F40" s="104">
        <f t="shared" si="3"/>
        <v>1</v>
      </c>
      <c r="G40" s="104">
        <f t="shared" si="3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49" si="4">D3*1.05</f>
        <v>47.25</v>
      </c>
      <c r="E49" s="104">
        <f t="shared" si="4"/>
        <v>379.68000000000006</v>
      </c>
      <c r="F49" s="104">
        <f t="shared" si="4"/>
        <v>183.435</v>
      </c>
      <c r="G49" s="104">
        <f t="shared" si="4"/>
        <v>183.435</v>
      </c>
    </row>
    <row r="50" spans="1:7" ht="13" x14ac:dyDescent="0.3">
      <c r="A50" s="29"/>
      <c r="B50" s="72" t="s">
        <v>288</v>
      </c>
      <c r="C50" s="104">
        <v>1.0349999999999999</v>
      </c>
      <c r="D50" s="104">
        <v>1.0349999999999999</v>
      </c>
      <c r="E50" s="104">
        <v>1.0349999999999999</v>
      </c>
      <c r="F50" s="104">
        <v>1.0349999999999999</v>
      </c>
      <c r="G50" s="104">
        <v>1.0349999999999999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5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5"/>
        <v>1</v>
      </c>
    </row>
    <row r="53" spans="1:7" x14ac:dyDescent="0.25">
      <c r="B53" s="72" t="s">
        <v>290</v>
      </c>
      <c r="C53" s="104">
        <f t="shared" ref="C53:G55" si="6">IF(C7=1,1,C7*1.1)</f>
        <v>1</v>
      </c>
      <c r="D53" s="104">
        <f t="shared" si="6"/>
        <v>1</v>
      </c>
      <c r="E53" s="104">
        <v>0.91</v>
      </c>
      <c r="F53" s="104">
        <v>0.91</v>
      </c>
      <c r="G53" s="104">
        <f t="shared" si="6"/>
        <v>1</v>
      </c>
    </row>
    <row r="54" spans="1:7" x14ac:dyDescent="0.25">
      <c r="B54" s="72" t="s">
        <v>339</v>
      </c>
      <c r="C54" s="104">
        <f t="shared" si="6"/>
        <v>1</v>
      </c>
      <c r="D54" s="104">
        <f t="shared" si="6"/>
        <v>1</v>
      </c>
      <c r="E54" s="104">
        <v>0.91</v>
      </c>
      <c r="F54" s="104">
        <v>0.91</v>
      </c>
      <c r="G54" s="104">
        <f t="shared" si="6"/>
        <v>1</v>
      </c>
    </row>
    <row r="55" spans="1:7" x14ac:dyDescent="0.25">
      <c r="B55" s="72" t="s">
        <v>291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v>1.0309999999999999</v>
      </c>
      <c r="D61" s="104">
        <v>1.0309999999999999</v>
      </c>
      <c r="E61" s="104">
        <v>1.0309999999999999</v>
      </c>
      <c r="F61" s="104">
        <v>1.0309999999999999</v>
      </c>
      <c r="G61" s="104">
        <v>1.0309999999999999</v>
      </c>
    </row>
    <row r="62" spans="1:7" ht="13" x14ac:dyDescent="0.3">
      <c r="A62" s="29"/>
      <c r="B62" s="72" t="s">
        <v>294</v>
      </c>
      <c r="C62" s="104">
        <v>1.0309999999999999</v>
      </c>
      <c r="D62" s="104">
        <v>1.0309999999999999</v>
      </c>
      <c r="E62" s="104">
        <v>1.0309999999999999</v>
      </c>
      <c r="F62" s="104">
        <v>1.0309999999999999</v>
      </c>
      <c r="G62" s="104">
        <v>1.0309999999999999</v>
      </c>
    </row>
    <row r="63" spans="1:7" ht="13" x14ac:dyDescent="0.3">
      <c r="A63" s="96" t="s">
        <v>70</v>
      </c>
      <c r="B63" s="45" t="s">
        <v>295</v>
      </c>
      <c r="C63" s="104">
        <f t="shared" ref="C63:G63" si="7">IF(C17=1,1,C17*1.1)</f>
        <v>1</v>
      </c>
      <c r="D63" s="104">
        <f t="shared" si="7"/>
        <v>1</v>
      </c>
      <c r="E63" s="104">
        <f t="shared" si="7"/>
        <v>1</v>
      </c>
      <c r="F63" s="104">
        <f t="shared" si="7"/>
        <v>1</v>
      </c>
      <c r="G63" s="104">
        <f t="shared" si="7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2aTOkQvcsuJWBOLN2ckjI7KHl3V854l5vTCVkfcr0ANH8QApmmuHtG/XADuSye+bDx7h4bFWV7MSCTfUmZWoCw==" saltValue="0Mt/Wzxt/AYjzZ0BBVBN/Q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C29:G32 D26:G26 C39:G40 C52:G54 C55:G55 D49:G49 C63:G63" unlockedFormula="1"/>
  </ignoredErrors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E90" sqref="E90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y0vFCUr6jQyY6zQBRlULLcVrg53Rq8yOs7wqPgO6lP26Nps2Fs/G1qUtWXIJ+6MZpSkLaCYJ5rBXvS6Vsp0C5w==" saltValue="ZZUBAtW4ABLI8WN+D6Fz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4" zoomScale="70" zoomScaleNormal="70" workbookViewId="0">
      <selection activeCell="D30" sqref="D30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0.4</v>
      </c>
      <c r="E26" s="104">
        <f t="shared" ref="E26:O26" si="1">IF(E3=1,1,E3*0.9)</f>
        <v>1</v>
      </c>
      <c r="F26" s="104">
        <f t="shared" si="1"/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183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201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184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185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182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59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337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64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47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0.7</v>
      </c>
      <c r="E49" s="104">
        <f t="shared" ref="E49:O49" si="5">IF(E3=1,1,E3*1.05)</f>
        <v>1</v>
      </c>
      <c r="F49" s="104">
        <f t="shared" si="5"/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183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201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184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185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182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59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337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64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47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NCGswl3bk6pRR//Ip+G0p1q0x8CSdirliKLz4dR3alBBXFKnAUJP7W9cZlp4Q9a5Zihxr509AhcGp3Drkh9nzQ==" saltValue="x95/MdDL5rJcAyM6I7v1Q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30" sqref="D3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f>MIN(MAX(1-0.89/(1-frac_mam_6_11months+(frac_mam_6_11months*0.89)),0),1)</f>
        <v>0.1046795744409692</v>
      </c>
      <c r="G20" s="104">
        <f>MIN(MAX(1-0.89/(1-frac_mam_12_23months+(frac_mam_12_23months*0.89)),0),1)</f>
        <v>0.10581499250070592</v>
      </c>
      <c r="H20" s="104">
        <f>MIN(MAX(1-0.89/(1-frac_mam_24_59months+(frac_mam_24_59months*0.89)),0),1)</f>
        <v>0.10780844504922549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9.4648875339096161E-3</v>
      </c>
      <c r="G75" s="104">
        <f>MIN(MAX(1-0.99/(1-frac_mam_12_23months+(frac_mam_12_23months*0.99)),0),1)</f>
        <v>9.5785983927034746E-3</v>
      </c>
      <c r="H75" s="104">
        <f>MIN(MAX(1-0.99/(1-frac_mam_24_59months+(frac_mam_24_59months*0.99)),0),1)</f>
        <v>9.7788770816137349E-3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0.19126197969113667</v>
      </c>
      <c r="G130" s="104">
        <f>MIN(MAX(1-0.8/(1-frac_mam_12_23months+(frac_mam_12_23months*0.8)),0),1)</f>
        <v>0.19313393967166625</v>
      </c>
      <c r="H130" s="104">
        <f>MIN(MAX(1-0.8/(1-frac_mam_24_59months+(frac_mam_24_59months*0.8)),0),1)</f>
        <v>0.19641106564514077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262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pJuCxRkuJTNVQMXzzuWGNE8Rrsg3d47K9SpmDEM5DcFgC2uns7HIEVwwfl/+461WSpTiJHa0KUHO5B858n+jvA==" saltValue="iEtCZOa8GN8kcnGn6gdz8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30" sqref="D3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</v>
      </c>
      <c r="E21" s="104">
        <v>0</v>
      </c>
      <c r="F21" s="104">
        <v>0</v>
      </c>
      <c r="G21" s="104">
        <v>0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iTJVgLCbj4f2ZINQYnEBhPspO2Fj/81WOiKXi5LAMug1CpEEusmG2kPNXv6tonhqSEAeNAv2wFNoLleNVUTTrA==" saltValue="8oTqcpfRNtgtEC3P8ysW2A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2024-06-18T07:27:08Z</dcterms:modified>
</cp:coreProperties>
</file>