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716FD815-539B-4486-B5DC-DC31CAA48EB4}" xr6:coauthVersionLast="47" xr6:coauthVersionMax="47" xr10:uidLastSave="{00000000-0000-0000-0000-000000000000}"/>
  <bookViews>
    <workbookView xWindow="-110" yWindow="-110" windowWidth="19420" windowHeight="1042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4" i="70" l="1"/>
  <c r="N14" i="70"/>
  <c r="O14" i="70"/>
  <c r="L14" i="70"/>
  <c r="F20" i="70"/>
  <c r="F43" i="70" s="1"/>
  <c r="G20" i="70"/>
  <c r="G66" i="70" s="1"/>
  <c r="H20" i="70"/>
  <c r="I20" i="70"/>
  <c r="J20" i="70"/>
  <c r="K20" i="70"/>
  <c r="L20" i="70"/>
  <c r="M20" i="70"/>
  <c r="N20" i="70"/>
  <c r="N66" i="70" s="1"/>
  <c r="O20" i="70"/>
  <c r="O66" i="70" s="1"/>
  <c r="E20" i="70"/>
  <c r="E66" i="70" s="1"/>
  <c r="H153" i="72"/>
  <c r="G153" i="72"/>
  <c r="F153" i="72"/>
  <c r="E153" i="72"/>
  <c r="D153" i="72"/>
  <c r="F152" i="72"/>
  <c r="D152" i="72"/>
  <c r="H136" i="72"/>
  <c r="G136" i="72"/>
  <c r="F136" i="72"/>
  <c r="E136" i="72"/>
  <c r="H135" i="72"/>
  <c r="G135" i="72"/>
  <c r="F135" i="72"/>
  <c r="E135" i="72"/>
  <c r="D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F129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E112" i="72"/>
  <c r="D112" i="72"/>
  <c r="H97" i="72"/>
  <c r="H152" i="72" s="1"/>
  <c r="G97" i="72"/>
  <c r="G152" i="72" s="1"/>
  <c r="F97" i="72"/>
  <c r="E97" i="72"/>
  <c r="E152" i="72" s="1"/>
  <c r="D97" i="72"/>
  <c r="H81" i="72"/>
  <c r="G81" i="72"/>
  <c r="F81" i="72"/>
  <c r="E81" i="72"/>
  <c r="H80" i="72"/>
  <c r="G80" i="72"/>
  <c r="F80" i="72"/>
  <c r="E80" i="72"/>
  <c r="D80" i="72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M66" i="70"/>
  <c r="L66" i="70"/>
  <c r="K66" i="70"/>
  <c r="J66" i="70"/>
  <c r="I66" i="70"/>
  <c r="H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M43" i="70"/>
  <c r="L43" i="70"/>
  <c r="K43" i="70"/>
  <c r="J43" i="70"/>
  <c r="I43" i="70"/>
  <c r="H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66" i="70" l="1"/>
  <c r="G43" i="70"/>
  <c r="O43" i="70"/>
  <c r="N43" i="70"/>
  <c r="E43" i="70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<sst xmlns="http://schemas.openxmlformats.org/spreadsheetml/2006/main" count="2093" uniqueCount="341">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</sst>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G5" sqref="G5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0.47702419856642964</v>
      </c>
      <c r="D2" s="114">
        <f>IFERROR(1-_xlfn.NORM.DIST(_xlfn.NORM.INV(SUM(D4:D5), 0, 1) + 1, 0, 1, TRUE), "")</f>
        <v>0.47702419856642964</v>
      </c>
      <c r="E2" s="114">
        <f>IFERROR(1-_xlfn.NORM.DIST(_xlfn.NORM.INV(SUM(E4:E5), 0, 1) + 1, 0, 1, TRUE), "")</f>
        <v>0.39571950531782307</v>
      </c>
      <c r="F2" s="114">
        <f>IFERROR(1-_xlfn.NORM.DIST(_xlfn.NORM.INV(SUM(F4:F5), 0, 1) + 1, 0, 1, TRUE), "")</f>
        <v>0.21538848080661976</v>
      </c>
      <c r="G2" s="114">
        <f>IFERROR(1-_xlfn.NORM.DIST(_xlfn.NORM.INV(SUM(G4:G5), 0, 1) + 1, 0, 1, TRUE), "")</f>
        <v>0.20291379751882221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0.34997580143357038</v>
      </c>
      <c r="D3" s="114">
        <f>IFERROR(_xlfn.NORM.DIST(_xlfn.NORM.INV(SUM(D4:D5), 0, 1) + 1, 0, 1, TRUE) - SUM(D4:D5), "")</f>
        <v>0.34997580143357038</v>
      </c>
      <c r="E3" s="114">
        <f>IFERROR(_xlfn.NORM.DIST(_xlfn.NORM.INV(SUM(E4:E5), 0, 1) + 1, 0, 1, TRUE) - SUM(E4:E5), "")</f>
        <v>0.37328049468217694</v>
      </c>
      <c r="F3" s="114">
        <f>IFERROR(_xlfn.NORM.DIST(_xlfn.NORM.INV(SUM(F4:F5), 0, 1) + 1, 0, 1, TRUE) - SUM(F4:F5), "")</f>
        <v>0.3686115191933802</v>
      </c>
      <c r="G3" s="114">
        <f>IFERROR(_xlfn.NORM.DIST(_xlfn.NORM.INV(SUM(G4:G5), 0, 1) + 1, 0, 1, TRUE) - SUM(G4:G5), "")</f>
        <v>0.36408620248117773</v>
      </c>
    </row>
    <row r="4" spans="1:15" ht="15.75" customHeight="1" x14ac:dyDescent="0.25">
      <c r="B4" s="5" t="s">
        <v>116</v>
      </c>
      <c r="C4" s="59">
        <v>0.107</v>
      </c>
      <c r="D4" s="59">
        <v>0.107</v>
      </c>
      <c r="E4" s="59">
        <v>0.154</v>
      </c>
      <c r="F4" s="59">
        <v>0.26400000000000001</v>
      </c>
      <c r="G4" s="59">
        <v>0.27900000000000003</v>
      </c>
    </row>
    <row r="5" spans="1:15" ht="15.75" customHeight="1" x14ac:dyDescent="0.25">
      <c r="B5" s="5" t="s">
        <v>340</v>
      </c>
      <c r="C5" s="59">
        <v>6.6000000000000003E-2</v>
      </c>
      <c r="D5" s="59">
        <v>6.6000000000000003E-2</v>
      </c>
      <c r="E5" s="59">
        <v>7.6999999999999999E-2</v>
      </c>
      <c r="F5" s="59">
        <v>0.152</v>
      </c>
      <c r="G5" s="59">
        <v>0.154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tabSelected="1"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2</v>
      </c>
      <c r="C114" s="27" t="s">
        <v>171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170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169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3</v>
      </c>
      <c r="C117" s="27" t="s">
        <v>171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170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169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4</v>
      </c>
      <c r="C120" s="27" t="s">
        <v>171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170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169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170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169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</v>
      </c>
      <c r="C128" s="27" t="s">
        <v>171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170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169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2</v>
      </c>
      <c r="C131" s="27" t="s">
        <v>171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170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169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3</v>
      </c>
      <c r="C134" s="27" t="s">
        <v>171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170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169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4</v>
      </c>
      <c r="C137" s="27" t="s">
        <v>171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170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169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170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169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</v>
      </c>
      <c r="C145" s="27" t="s">
        <v>171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170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169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2</v>
      </c>
      <c r="C148" s="27" t="s">
        <v>171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170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169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3</v>
      </c>
      <c r="C151" s="27" t="s">
        <v>171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170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169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4</v>
      </c>
      <c r="C154" s="27" t="s">
        <v>171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170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169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PJvvczTX02udclIHc4BYVrFcnDWQgrEMznGaMDqc9c7dODneUitm4zod0zPOcMmikisDTo5XoDZbroNh1SOQlQ==" saltValue="d6DJlx6zmP+EipmKY6bfH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kXYctyiF3wAaSQNXBp/HbefFJgUcbSw2OS8UfQKLoXpyV4LgFfwIX4o9QjycUS9ftANxMII7GJn2AX6ns1epzw==" saltValue="Pkqg6VST+CmiuXNcc/RX4w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E90" sqref="E90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250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280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338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281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284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70</v>
      </c>
      <c r="B40" s="45" t="s">
        <v>285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288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290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339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291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294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70</v>
      </c>
      <c r="B63" s="45" t="s">
        <v>295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IBiHR1C8QpzvfL0MREMRFfx5A+0SVO2ou8IEXJpuVj0av4KQ+9lg7Zylzv9KZEPgfGwfmiepCrjYn9CzOt7wqQ==" saltValue="D+AZoKijBDmfPK1lwtcj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E90" sqref="E90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y0vFCUr6jQyY6zQBRlULLcVrg53Rq8yOs7wqPgO6lP26Nps2Fs/G1qUtWXIJ+6MZpSkLaCYJ5rBXvS6Vsp0C5w==" saltValue="ZZUBAtW4ABLI8WN+D6Fz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C2" zoomScale="70" zoomScaleNormal="70" workbookViewId="0">
      <selection activeCell="L14" sqref="L14:O14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f>E19</f>
        <v>0.97599999999999998</v>
      </c>
      <c r="F20" s="104">
        <f t="shared" ref="F20:O20" si="1">F19</f>
        <v>0.97599999999999998</v>
      </c>
      <c r="G20" s="104">
        <f t="shared" si="1"/>
        <v>0.97599999999999998</v>
      </c>
      <c r="H20" s="104">
        <f t="shared" si="1"/>
        <v>0.97599999999999998</v>
      </c>
      <c r="I20" s="104">
        <f t="shared" si="1"/>
        <v>0.97599999999999998</v>
      </c>
      <c r="J20" s="104">
        <f t="shared" si="1"/>
        <v>0.97599999999999998</v>
      </c>
      <c r="K20" s="104">
        <f t="shared" si="1"/>
        <v>0.97599999999999998</v>
      </c>
      <c r="L20" s="104">
        <f t="shared" si="1"/>
        <v>0.97599999999999998</v>
      </c>
      <c r="M20" s="104">
        <f t="shared" si="1"/>
        <v>0.97599999999999998</v>
      </c>
      <c r="N20" s="104">
        <f t="shared" si="1"/>
        <v>0.97599999999999998</v>
      </c>
      <c r="O20" s="104">
        <f t="shared" si="1"/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0.4</v>
      </c>
      <c r="E26" s="104">
        <f t="shared" ref="E26:O26" si="2">IF(E3=1,1,E3*0.9)</f>
        <v>1</v>
      </c>
      <c r="F26" s="104">
        <f t="shared" si="2"/>
        <v>1</v>
      </c>
      <c r="G26" s="104">
        <f t="shared" si="2"/>
        <v>1</v>
      </c>
      <c r="H26" s="104">
        <f t="shared" si="2"/>
        <v>1</v>
      </c>
      <c r="I26" s="104">
        <f t="shared" si="2"/>
        <v>1</v>
      </c>
      <c r="J26" s="104">
        <f t="shared" si="2"/>
        <v>1</v>
      </c>
      <c r="K26" s="104">
        <f t="shared" si="2"/>
        <v>1</v>
      </c>
      <c r="L26" s="104">
        <f t="shared" si="2"/>
        <v>1</v>
      </c>
      <c r="M26" s="104">
        <f t="shared" si="2"/>
        <v>1</v>
      </c>
      <c r="N26" s="104">
        <f t="shared" si="2"/>
        <v>1</v>
      </c>
      <c r="O26" s="104">
        <f t="shared" si="2"/>
        <v>1</v>
      </c>
    </row>
    <row r="27" spans="1:15" x14ac:dyDescent="0.25">
      <c r="B27" s="45" t="s">
        <v>183</v>
      </c>
      <c r="C27" s="104">
        <f t="shared" ref="C27:O34" si="3">IF(C4=1,1,C4*0.9)</f>
        <v>1</v>
      </c>
      <c r="D27" s="104">
        <f t="shared" si="3"/>
        <v>1</v>
      </c>
      <c r="E27" s="104">
        <f t="shared" si="3"/>
        <v>1</v>
      </c>
      <c r="F27" s="104">
        <f t="shared" si="3"/>
        <v>1</v>
      </c>
      <c r="G27" s="104">
        <f t="shared" si="3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3"/>
        <v>1</v>
      </c>
      <c r="M27" s="104">
        <f t="shared" si="3"/>
        <v>1</v>
      </c>
      <c r="N27" s="104">
        <f t="shared" si="3"/>
        <v>1</v>
      </c>
      <c r="O27" s="104">
        <f t="shared" si="3"/>
        <v>1</v>
      </c>
    </row>
    <row r="28" spans="1:15" x14ac:dyDescent="0.25">
      <c r="B28" s="45" t="s">
        <v>201</v>
      </c>
      <c r="C28" s="104">
        <f t="shared" si="3"/>
        <v>1</v>
      </c>
      <c r="D28" s="104">
        <f t="shared" si="3"/>
        <v>1</v>
      </c>
      <c r="E28" s="104">
        <f t="shared" si="3"/>
        <v>1</v>
      </c>
      <c r="F28" s="104">
        <f t="shared" si="3"/>
        <v>1</v>
      </c>
      <c r="G28" s="104">
        <f t="shared" si="3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3"/>
        <v>1</v>
      </c>
      <c r="M28" s="104">
        <f t="shared" si="3"/>
        <v>1</v>
      </c>
      <c r="N28" s="104">
        <f t="shared" si="3"/>
        <v>1</v>
      </c>
      <c r="O28" s="104">
        <f t="shared" si="3"/>
        <v>1</v>
      </c>
    </row>
    <row r="29" spans="1:15" x14ac:dyDescent="0.25">
      <c r="B29" s="45" t="s">
        <v>184</v>
      </c>
      <c r="C29" s="104">
        <f t="shared" si="3"/>
        <v>1</v>
      </c>
      <c r="D29" s="104">
        <f t="shared" si="3"/>
        <v>1</v>
      </c>
      <c r="E29" s="104">
        <f t="shared" si="3"/>
        <v>1</v>
      </c>
      <c r="F29" s="104">
        <f t="shared" si="3"/>
        <v>1</v>
      </c>
      <c r="G29" s="104">
        <f t="shared" si="3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3"/>
        <v>1</v>
      </c>
      <c r="M29" s="104">
        <f t="shared" si="3"/>
        <v>1</v>
      </c>
      <c r="N29" s="104">
        <f t="shared" si="3"/>
        <v>1</v>
      </c>
      <c r="O29" s="104">
        <f t="shared" si="3"/>
        <v>1</v>
      </c>
    </row>
    <row r="30" spans="1:15" x14ac:dyDescent="0.25">
      <c r="B30" s="45" t="s">
        <v>185</v>
      </c>
      <c r="C30" s="104">
        <f t="shared" si="3"/>
        <v>1</v>
      </c>
      <c r="D30" s="104">
        <f t="shared" si="3"/>
        <v>1</v>
      </c>
      <c r="E30" s="104">
        <f t="shared" si="3"/>
        <v>1</v>
      </c>
      <c r="F30" s="104">
        <f t="shared" si="3"/>
        <v>1</v>
      </c>
      <c r="G30" s="104">
        <f t="shared" si="3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3"/>
        <v>1</v>
      </c>
      <c r="M30" s="104">
        <f t="shared" si="3"/>
        <v>1</v>
      </c>
      <c r="N30" s="104">
        <f t="shared" si="3"/>
        <v>1</v>
      </c>
      <c r="O30" s="104">
        <f t="shared" si="3"/>
        <v>1</v>
      </c>
    </row>
    <row r="31" spans="1:15" x14ac:dyDescent="0.25">
      <c r="B31" s="72" t="s">
        <v>182</v>
      </c>
      <c r="C31" s="104">
        <f t="shared" si="3"/>
        <v>1</v>
      </c>
      <c r="D31" s="104">
        <f t="shared" si="3"/>
        <v>1</v>
      </c>
      <c r="E31" s="104">
        <f t="shared" si="3"/>
        <v>1</v>
      </c>
      <c r="F31" s="104">
        <f t="shared" si="3"/>
        <v>1</v>
      </c>
      <c r="G31" s="104">
        <f t="shared" si="3"/>
        <v>1</v>
      </c>
      <c r="H31" s="104">
        <f t="shared" si="3"/>
        <v>1</v>
      </c>
      <c r="I31" s="104">
        <f t="shared" si="3"/>
        <v>1</v>
      </c>
      <c r="J31" s="104">
        <f t="shared" si="3"/>
        <v>1</v>
      </c>
      <c r="K31" s="104">
        <f t="shared" si="3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  <c r="H32" s="104">
        <f t="shared" si="3"/>
        <v>1</v>
      </c>
      <c r="I32" s="104">
        <f t="shared" si="3"/>
        <v>1</v>
      </c>
      <c r="J32" s="104">
        <f t="shared" si="3"/>
        <v>1</v>
      </c>
      <c r="K32" s="104">
        <f t="shared" si="3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3"/>
        <v>1</v>
      </c>
      <c r="D33" s="104">
        <f t="shared" si="3"/>
        <v>1</v>
      </c>
      <c r="E33" s="104">
        <f t="shared" si="3"/>
        <v>1</v>
      </c>
      <c r="F33" s="104">
        <f t="shared" si="3"/>
        <v>1</v>
      </c>
      <c r="G33" s="104">
        <f t="shared" si="3"/>
        <v>1</v>
      </c>
      <c r="H33" s="104">
        <f t="shared" si="3"/>
        <v>1</v>
      </c>
      <c r="I33" s="104">
        <f t="shared" si="3"/>
        <v>1</v>
      </c>
      <c r="J33" s="104">
        <f t="shared" si="3"/>
        <v>1</v>
      </c>
      <c r="K33" s="104">
        <f t="shared" si="3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3"/>
        <v>1</v>
      </c>
      <c r="D34" s="104">
        <f t="shared" si="3"/>
        <v>1</v>
      </c>
      <c r="E34" s="104">
        <v>0.62</v>
      </c>
      <c r="F34" s="104">
        <v>0.62</v>
      </c>
      <c r="G34" s="104">
        <v>1</v>
      </c>
      <c r="H34" s="104">
        <f t="shared" si="3"/>
        <v>1</v>
      </c>
      <c r="I34" s="104">
        <f t="shared" si="3"/>
        <v>1</v>
      </c>
      <c r="J34" s="104">
        <f t="shared" si="3"/>
        <v>1</v>
      </c>
      <c r="K34" s="104">
        <f t="shared" si="3"/>
        <v>1</v>
      </c>
      <c r="L34" s="104">
        <f t="shared" si="3"/>
        <v>1</v>
      </c>
      <c r="M34" s="104">
        <f t="shared" si="3"/>
        <v>1</v>
      </c>
      <c r="N34" s="104">
        <f t="shared" si="3"/>
        <v>1</v>
      </c>
      <c r="O34" s="104">
        <f t="shared" si="3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4">IF(C13=1,1,C13*0.9)</f>
        <v>1</v>
      </c>
      <c r="D36" s="104">
        <f t="shared" si="4"/>
        <v>1</v>
      </c>
      <c r="E36" s="104">
        <v>0.62</v>
      </c>
      <c r="F36" s="104">
        <v>0.62</v>
      </c>
      <c r="G36" s="104">
        <v>0.62</v>
      </c>
      <c r="H36" s="104">
        <f t="shared" si="4"/>
        <v>1</v>
      </c>
      <c r="I36" s="104">
        <f t="shared" si="4"/>
        <v>1</v>
      </c>
      <c r="J36" s="104">
        <f t="shared" si="4"/>
        <v>1</v>
      </c>
      <c r="K36" s="104">
        <f t="shared" si="4"/>
        <v>1</v>
      </c>
      <c r="L36" s="104">
        <f t="shared" si="4"/>
        <v>1</v>
      </c>
      <c r="M36" s="104">
        <f t="shared" si="4"/>
        <v>1</v>
      </c>
      <c r="N36" s="104">
        <f t="shared" si="4"/>
        <v>1</v>
      </c>
      <c r="O36" s="104">
        <f t="shared" si="4"/>
        <v>1</v>
      </c>
    </row>
    <row r="37" spans="1:15" x14ac:dyDescent="0.25">
      <c r="B37" s="45" t="s">
        <v>59</v>
      </c>
      <c r="C37" s="104">
        <f t="shared" si="4"/>
        <v>1</v>
      </c>
      <c r="D37" s="104">
        <f t="shared" si="4"/>
        <v>1</v>
      </c>
      <c r="E37" s="104">
        <f t="shared" si="4"/>
        <v>1</v>
      </c>
      <c r="F37" s="104">
        <f t="shared" si="4"/>
        <v>1</v>
      </c>
      <c r="G37" s="104">
        <f t="shared" si="4"/>
        <v>1</v>
      </c>
      <c r="H37" s="104">
        <f t="shared" si="4"/>
        <v>1</v>
      </c>
      <c r="I37" s="104">
        <f t="shared" si="4"/>
        <v>1</v>
      </c>
      <c r="J37" s="104">
        <f t="shared" si="4"/>
        <v>1</v>
      </c>
      <c r="K37" s="104">
        <f t="shared" si="4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337</v>
      </c>
      <c r="C38" s="104">
        <f t="shared" si="4"/>
        <v>1</v>
      </c>
      <c r="D38" s="104">
        <f t="shared" si="4"/>
        <v>1</v>
      </c>
      <c r="E38" s="104">
        <v>0.3</v>
      </c>
      <c r="F38" s="104">
        <v>0.3</v>
      </c>
      <c r="G38" s="104">
        <f t="shared" si="4"/>
        <v>1</v>
      </c>
      <c r="H38" s="104">
        <f t="shared" si="4"/>
        <v>1</v>
      </c>
      <c r="I38" s="104">
        <f t="shared" si="4"/>
        <v>1</v>
      </c>
      <c r="J38" s="104">
        <f t="shared" si="4"/>
        <v>1</v>
      </c>
      <c r="K38" s="104">
        <f t="shared" si="4"/>
        <v>1</v>
      </c>
      <c r="L38" s="104">
        <f t="shared" si="4"/>
        <v>1</v>
      </c>
      <c r="M38" s="104">
        <f t="shared" si="4"/>
        <v>1</v>
      </c>
      <c r="N38" s="104">
        <f t="shared" si="4"/>
        <v>1</v>
      </c>
      <c r="O38" s="104">
        <f t="shared" si="4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O44" si="5">IF(C18=1,1,C18*0.9)</f>
        <v>1</v>
      </c>
      <c r="D41" s="104">
        <f t="shared" si="5"/>
        <v>1</v>
      </c>
      <c r="E41" s="104">
        <f t="shared" si="5"/>
        <v>1</v>
      </c>
      <c r="F41" s="104">
        <f t="shared" si="5"/>
        <v>1</v>
      </c>
      <c r="G41" s="104">
        <f t="shared" si="5"/>
        <v>1</v>
      </c>
      <c r="H41" s="104">
        <f t="shared" si="5"/>
        <v>1</v>
      </c>
      <c r="I41" s="104">
        <f t="shared" si="5"/>
        <v>1</v>
      </c>
      <c r="J41" s="104">
        <f t="shared" si="5"/>
        <v>1</v>
      </c>
      <c r="K41" s="104">
        <f t="shared" si="5"/>
        <v>1</v>
      </c>
      <c r="L41" s="104">
        <f t="shared" si="5"/>
        <v>1</v>
      </c>
      <c r="M41" s="104">
        <f t="shared" si="5"/>
        <v>1</v>
      </c>
      <c r="N41" s="104">
        <f t="shared" si="5"/>
        <v>1</v>
      </c>
      <c r="O41" s="104">
        <f t="shared" si="5"/>
        <v>1</v>
      </c>
    </row>
    <row r="42" spans="1:15" x14ac:dyDescent="0.25">
      <c r="B42" s="72" t="s">
        <v>64</v>
      </c>
      <c r="C42" s="104">
        <f t="shared" si="5"/>
        <v>1</v>
      </c>
      <c r="D42" s="104">
        <f t="shared" si="5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5"/>
        <v>1</v>
      </c>
      <c r="D43" s="104">
        <f t="shared" si="5"/>
        <v>1</v>
      </c>
      <c r="E43" s="104">
        <f t="shared" si="5"/>
        <v>0.87839999999999996</v>
      </c>
      <c r="F43" s="104">
        <f t="shared" si="5"/>
        <v>0.87839999999999996</v>
      </c>
      <c r="G43" s="104">
        <f t="shared" si="5"/>
        <v>0.87839999999999996</v>
      </c>
      <c r="H43" s="104">
        <f t="shared" si="5"/>
        <v>0.87839999999999996</v>
      </c>
      <c r="I43" s="104">
        <f t="shared" si="5"/>
        <v>0.87839999999999996</v>
      </c>
      <c r="J43" s="104">
        <f t="shared" si="5"/>
        <v>0.87839999999999996</v>
      </c>
      <c r="K43" s="104">
        <f t="shared" si="5"/>
        <v>0.87839999999999996</v>
      </c>
      <c r="L43" s="104">
        <f t="shared" si="5"/>
        <v>0.87839999999999996</v>
      </c>
      <c r="M43" s="104">
        <f t="shared" si="5"/>
        <v>0.87839999999999996</v>
      </c>
      <c r="N43" s="104">
        <f t="shared" si="5"/>
        <v>0.87839999999999996</v>
      </c>
      <c r="O43" s="104">
        <f t="shared" si="5"/>
        <v>0.87839999999999996</v>
      </c>
    </row>
    <row r="44" spans="1:15" x14ac:dyDescent="0.25">
      <c r="B44" s="72" t="s">
        <v>47</v>
      </c>
      <c r="C44" s="104">
        <f t="shared" si="5"/>
        <v>1</v>
      </c>
      <c r="D44" s="104">
        <f t="shared" si="5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0.7</v>
      </c>
      <c r="E49" s="104">
        <f t="shared" ref="E49:O49" si="6">IF(E3=1,1,E3*1.05)</f>
        <v>1</v>
      </c>
      <c r="F49" s="104">
        <f t="shared" si="6"/>
        <v>1</v>
      </c>
      <c r="G49" s="104">
        <f t="shared" si="6"/>
        <v>1</v>
      </c>
      <c r="H49" s="104">
        <f t="shared" si="6"/>
        <v>1</v>
      </c>
      <c r="I49" s="104">
        <f t="shared" si="6"/>
        <v>1</v>
      </c>
      <c r="J49" s="104">
        <f t="shared" si="6"/>
        <v>1</v>
      </c>
      <c r="K49" s="104">
        <f t="shared" si="6"/>
        <v>1</v>
      </c>
      <c r="L49" s="104">
        <f t="shared" si="6"/>
        <v>1</v>
      </c>
      <c r="M49" s="104">
        <f t="shared" si="6"/>
        <v>1</v>
      </c>
      <c r="N49" s="104">
        <f t="shared" si="6"/>
        <v>1</v>
      </c>
      <c r="O49" s="104">
        <f t="shared" si="6"/>
        <v>1</v>
      </c>
    </row>
    <row r="50" spans="1:15" x14ac:dyDescent="0.25">
      <c r="B50" s="45" t="s">
        <v>183</v>
      </c>
      <c r="C50" s="104">
        <f t="shared" ref="C50:O57" si="7">IF(C4=1,1,C4*1.05)</f>
        <v>1</v>
      </c>
      <c r="D50" s="104">
        <f t="shared" si="7"/>
        <v>1</v>
      </c>
      <c r="E50" s="104">
        <f t="shared" si="7"/>
        <v>1</v>
      </c>
      <c r="F50" s="104">
        <f t="shared" si="7"/>
        <v>1</v>
      </c>
      <c r="G50" s="104">
        <f t="shared" si="7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7"/>
        <v>1</v>
      </c>
      <c r="M50" s="104">
        <f t="shared" si="7"/>
        <v>1</v>
      </c>
      <c r="N50" s="104">
        <f t="shared" si="7"/>
        <v>1</v>
      </c>
      <c r="O50" s="104">
        <f t="shared" si="7"/>
        <v>1</v>
      </c>
    </row>
    <row r="51" spans="1:15" x14ac:dyDescent="0.25">
      <c r="B51" s="45" t="s">
        <v>201</v>
      </c>
      <c r="C51" s="104">
        <f t="shared" si="7"/>
        <v>1</v>
      </c>
      <c r="D51" s="104">
        <f t="shared" si="7"/>
        <v>1</v>
      </c>
      <c r="E51" s="104">
        <f t="shared" si="7"/>
        <v>1</v>
      </c>
      <c r="F51" s="104">
        <f t="shared" si="7"/>
        <v>1</v>
      </c>
      <c r="G51" s="104">
        <f t="shared" si="7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7"/>
        <v>1</v>
      </c>
      <c r="M51" s="104">
        <f t="shared" si="7"/>
        <v>1</v>
      </c>
      <c r="N51" s="104">
        <f t="shared" si="7"/>
        <v>1</v>
      </c>
      <c r="O51" s="104">
        <f t="shared" si="7"/>
        <v>1</v>
      </c>
    </row>
    <row r="52" spans="1:15" x14ac:dyDescent="0.25">
      <c r="B52" s="45" t="s">
        <v>184</v>
      </c>
      <c r="C52" s="104">
        <f t="shared" si="7"/>
        <v>1</v>
      </c>
      <c r="D52" s="104">
        <f t="shared" si="7"/>
        <v>1</v>
      </c>
      <c r="E52" s="104">
        <f t="shared" si="7"/>
        <v>1</v>
      </c>
      <c r="F52" s="104">
        <f t="shared" si="7"/>
        <v>1</v>
      </c>
      <c r="G52" s="104">
        <f t="shared" si="7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7"/>
        <v>1</v>
      </c>
      <c r="M52" s="104">
        <f t="shared" si="7"/>
        <v>1</v>
      </c>
      <c r="N52" s="104">
        <f t="shared" si="7"/>
        <v>1</v>
      </c>
      <c r="O52" s="104">
        <f t="shared" si="7"/>
        <v>1</v>
      </c>
    </row>
    <row r="53" spans="1:15" x14ac:dyDescent="0.25">
      <c r="B53" s="45" t="s">
        <v>185</v>
      </c>
      <c r="C53" s="104">
        <f t="shared" si="7"/>
        <v>1</v>
      </c>
      <c r="D53" s="104">
        <f t="shared" si="7"/>
        <v>1</v>
      </c>
      <c r="E53" s="104">
        <f t="shared" si="7"/>
        <v>1</v>
      </c>
      <c r="F53" s="104">
        <f t="shared" si="7"/>
        <v>1</v>
      </c>
      <c r="G53" s="104">
        <f t="shared" si="7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7"/>
        <v>1</v>
      </c>
      <c r="M53" s="104">
        <f t="shared" si="7"/>
        <v>1</v>
      </c>
      <c r="N53" s="104">
        <f t="shared" si="7"/>
        <v>1</v>
      </c>
      <c r="O53" s="104">
        <f t="shared" si="7"/>
        <v>1</v>
      </c>
    </row>
    <row r="54" spans="1:15" x14ac:dyDescent="0.25">
      <c r="B54" s="72" t="s">
        <v>182</v>
      </c>
      <c r="C54" s="104">
        <f t="shared" si="7"/>
        <v>1</v>
      </c>
      <c r="D54" s="104">
        <f t="shared" si="7"/>
        <v>1</v>
      </c>
      <c r="E54" s="104">
        <f t="shared" si="7"/>
        <v>1</v>
      </c>
      <c r="F54" s="104">
        <f t="shared" si="7"/>
        <v>1</v>
      </c>
      <c r="G54" s="104">
        <f t="shared" si="7"/>
        <v>1</v>
      </c>
      <c r="H54" s="104">
        <f t="shared" si="7"/>
        <v>1</v>
      </c>
      <c r="I54" s="104">
        <f t="shared" si="7"/>
        <v>1</v>
      </c>
      <c r="J54" s="104">
        <f t="shared" si="7"/>
        <v>1</v>
      </c>
      <c r="K54" s="104">
        <f t="shared" si="7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7"/>
        <v>1</v>
      </c>
      <c r="D55" s="104">
        <f t="shared" si="7"/>
        <v>1</v>
      </c>
      <c r="E55" s="104">
        <f t="shared" si="7"/>
        <v>1</v>
      </c>
      <c r="F55" s="104">
        <f t="shared" si="7"/>
        <v>1</v>
      </c>
      <c r="G55" s="104">
        <f t="shared" si="7"/>
        <v>1</v>
      </c>
      <c r="H55" s="104">
        <f t="shared" si="7"/>
        <v>1</v>
      </c>
      <c r="I55" s="104">
        <f t="shared" si="7"/>
        <v>1</v>
      </c>
      <c r="J55" s="104">
        <f t="shared" si="7"/>
        <v>1</v>
      </c>
      <c r="K55" s="104">
        <f t="shared" si="7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7"/>
        <v>1</v>
      </c>
      <c r="D56" s="104">
        <f t="shared" si="7"/>
        <v>1</v>
      </c>
      <c r="E56" s="104">
        <f t="shared" si="7"/>
        <v>1</v>
      </c>
      <c r="F56" s="104">
        <f t="shared" si="7"/>
        <v>1</v>
      </c>
      <c r="G56" s="104">
        <f t="shared" si="7"/>
        <v>1</v>
      </c>
      <c r="H56" s="104">
        <f t="shared" si="7"/>
        <v>1</v>
      </c>
      <c r="I56" s="104">
        <f t="shared" si="7"/>
        <v>1</v>
      </c>
      <c r="J56" s="104">
        <f t="shared" si="7"/>
        <v>1</v>
      </c>
      <c r="K56" s="104">
        <f t="shared" si="7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7"/>
        <v>1</v>
      </c>
      <c r="D57" s="104">
        <f t="shared" si="7"/>
        <v>1</v>
      </c>
      <c r="E57" s="104">
        <v>0.77</v>
      </c>
      <c r="F57" s="104">
        <v>0.77</v>
      </c>
      <c r="G57" s="104">
        <f t="shared" si="7"/>
        <v>1</v>
      </c>
      <c r="H57" s="104">
        <f t="shared" si="7"/>
        <v>1</v>
      </c>
      <c r="I57" s="104">
        <f t="shared" si="7"/>
        <v>1</v>
      </c>
      <c r="J57" s="104">
        <f t="shared" si="7"/>
        <v>1</v>
      </c>
      <c r="K57" s="104">
        <f t="shared" si="7"/>
        <v>1</v>
      </c>
      <c r="L57" s="104">
        <f t="shared" si="7"/>
        <v>1</v>
      </c>
      <c r="M57" s="104">
        <f t="shared" si="7"/>
        <v>1</v>
      </c>
      <c r="N57" s="104">
        <f t="shared" si="7"/>
        <v>1</v>
      </c>
      <c r="O57" s="104">
        <f t="shared" si="7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8">IF(C13=1,1,C13*1.05)</f>
        <v>1</v>
      </c>
      <c r="D59" s="104">
        <f t="shared" si="8"/>
        <v>1</v>
      </c>
      <c r="E59" s="104">
        <v>0.77</v>
      </c>
      <c r="F59" s="104">
        <v>0.77</v>
      </c>
      <c r="G59" s="104">
        <v>0.77</v>
      </c>
      <c r="H59" s="104">
        <f t="shared" si="8"/>
        <v>1</v>
      </c>
      <c r="I59" s="104">
        <f t="shared" si="8"/>
        <v>1</v>
      </c>
      <c r="J59" s="104">
        <f t="shared" si="8"/>
        <v>1</v>
      </c>
      <c r="K59" s="104">
        <f t="shared" si="8"/>
        <v>1</v>
      </c>
      <c r="L59" s="104">
        <f t="shared" si="8"/>
        <v>1</v>
      </c>
      <c r="M59" s="104">
        <f t="shared" si="8"/>
        <v>1</v>
      </c>
      <c r="N59" s="104">
        <f t="shared" si="8"/>
        <v>1</v>
      </c>
      <c r="O59" s="104">
        <f t="shared" si="8"/>
        <v>1</v>
      </c>
    </row>
    <row r="60" spans="1:15" x14ac:dyDescent="0.25">
      <c r="B60" s="45" t="s">
        <v>59</v>
      </c>
      <c r="C60" s="104">
        <f t="shared" si="8"/>
        <v>1</v>
      </c>
      <c r="D60" s="104">
        <f t="shared" si="8"/>
        <v>1</v>
      </c>
      <c r="E60" s="104">
        <f t="shared" si="8"/>
        <v>1</v>
      </c>
      <c r="F60" s="104">
        <f t="shared" si="8"/>
        <v>1</v>
      </c>
      <c r="G60" s="104">
        <f t="shared" si="8"/>
        <v>1</v>
      </c>
      <c r="H60" s="104">
        <f t="shared" si="8"/>
        <v>1</v>
      </c>
      <c r="I60" s="104">
        <f t="shared" si="8"/>
        <v>1</v>
      </c>
      <c r="J60" s="104">
        <f t="shared" si="8"/>
        <v>1</v>
      </c>
      <c r="K60" s="104">
        <f t="shared" si="8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337</v>
      </c>
      <c r="C61" s="104">
        <f t="shared" si="8"/>
        <v>1</v>
      </c>
      <c r="D61" s="104">
        <f t="shared" si="8"/>
        <v>1</v>
      </c>
      <c r="E61" s="104">
        <v>0.44</v>
      </c>
      <c r="F61" s="104">
        <v>0.44</v>
      </c>
      <c r="G61" s="104">
        <f t="shared" si="8"/>
        <v>1</v>
      </c>
      <c r="H61" s="104">
        <f t="shared" si="8"/>
        <v>1</v>
      </c>
      <c r="I61" s="104">
        <f t="shared" si="8"/>
        <v>1</v>
      </c>
      <c r="J61" s="104">
        <f t="shared" si="8"/>
        <v>1</v>
      </c>
      <c r="K61" s="104">
        <f t="shared" si="8"/>
        <v>1</v>
      </c>
      <c r="L61" s="104">
        <f t="shared" si="8"/>
        <v>1</v>
      </c>
      <c r="M61" s="104">
        <f t="shared" si="8"/>
        <v>1</v>
      </c>
      <c r="N61" s="104">
        <f t="shared" si="8"/>
        <v>1</v>
      </c>
      <c r="O61" s="104">
        <f t="shared" si="8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O67" si="9">IF(C18=1,1,C18*1.05)</f>
        <v>1</v>
      </c>
      <c r="D64" s="104">
        <f t="shared" si="9"/>
        <v>1</v>
      </c>
      <c r="E64" s="104">
        <f t="shared" si="9"/>
        <v>1</v>
      </c>
      <c r="F64" s="104">
        <f t="shared" si="9"/>
        <v>1</v>
      </c>
      <c r="G64" s="104">
        <f t="shared" si="9"/>
        <v>1</v>
      </c>
      <c r="H64" s="104">
        <f t="shared" si="9"/>
        <v>1</v>
      </c>
      <c r="I64" s="104">
        <f t="shared" si="9"/>
        <v>1</v>
      </c>
      <c r="J64" s="104">
        <f t="shared" si="9"/>
        <v>1</v>
      </c>
      <c r="K64" s="104">
        <f t="shared" si="9"/>
        <v>1</v>
      </c>
      <c r="L64" s="104">
        <f t="shared" si="9"/>
        <v>1</v>
      </c>
      <c r="M64" s="104">
        <f t="shared" si="9"/>
        <v>1</v>
      </c>
      <c r="N64" s="104">
        <f t="shared" si="9"/>
        <v>1</v>
      </c>
      <c r="O64" s="104">
        <f t="shared" si="9"/>
        <v>1</v>
      </c>
    </row>
    <row r="65" spans="2:15" x14ac:dyDescent="0.25">
      <c r="B65" s="72" t="s">
        <v>64</v>
      </c>
      <c r="C65" s="104">
        <f t="shared" si="9"/>
        <v>1</v>
      </c>
      <c r="D65" s="104">
        <f t="shared" si="9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9"/>
        <v>1</v>
      </c>
      <c r="D66" s="104">
        <f t="shared" si="9"/>
        <v>1</v>
      </c>
      <c r="E66" s="104">
        <f t="shared" si="9"/>
        <v>1.0247999999999999</v>
      </c>
      <c r="F66" s="104">
        <f t="shared" si="9"/>
        <v>1.0247999999999999</v>
      </c>
      <c r="G66" s="104">
        <f t="shared" si="9"/>
        <v>1.0247999999999999</v>
      </c>
      <c r="H66" s="104">
        <f t="shared" si="9"/>
        <v>1.0247999999999999</v>
      </c>
      <c r="I66" s="104">
        <f t="shared" si="9"/>
        <v>1.0247999999999999</v>
      </c>
      <c r="J66" s="104">
        <f t="shared" si="9"/>
        <v>1.0247999999999999</v>
      </c>
      <c r="K66" s="104">
        <f t="shared" si="9"/>
        <v>1.0247999999999999</v>
      </c>
      <c r="L66" s="104">
        <f t="shared" si="9"/>
        <v>1.0247999999999999</v>
      </c>
      <c r="M66" s="104">
        <f t="shared" si="9"/>
        <v>1.0247999999999999</v>
      </c>
      <c r="N66" s="104">
        <f t="shared" si="9"/>
        <v>1.0247999999999999</v>
      </c>
      <c r="O66" s="104">
        <f t="shared" si="9"/>
        <v>1.0247999999999999</v>
      </c>
    </row>
    <row r="67" spans="2:15" x14ac:dyDescent="0.25">
      <c r="B67" s="72" t="s">
        <v>47</v>
      </c>
      <c r="C67" s="104">
        <f t="shared" si="9"/>
        <v>1</v>
      </c>
      <c r="D67" s="104">
        <f t="shared" si="9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LbffDDIfihWW85yW82NpeySVyDkleldGKwx3puGRY2L1/RW9kfG45aFNYVH3d727Rtyl8xp4S3dd0KXvm1JEow==" saltValue="4aVfXwXnPdVAzIH0S71Q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262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oEtnwq8k4F89BytziJ+0Aekx+nbCCOBdjCIUfaQYHn3KMRBX22/kJMtu1BdCcSz/C562787IwGH7CQaFR1FGSA==" saltValue="M07BFftwSoApcgJZQw3L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R3K/sTS7xt6YAk6DcY+JZLUDsg+adf7ybCqVowN1GUWT+Mx0cOV3JOcp+AC5dXHnOVKk44VUUrMCjhJf70rmyQ==" saltValue="YX2eShOEWpY4c9pEW28Ed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2024-05-09T06:06:47Z</dcterms:modified>
</cp:coreProperties>
</file>