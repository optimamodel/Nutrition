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61AF1F51-D577-4367-91C6-15D4F8C94C5C}" xr6:coauthVersionLast="47" xr6:coauthVersionMax="47" xr10:uidLastSave="{00000000-0000-0000-0000-000000000000}"/>
  <bookViews>
    <workbookView xWindow="20" yWindow="20" windowWidth="19180" windowHeight="10180" tabRatio="904" firstSheet="1" activeTab="6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3" i="76" l="1"/>
  <c r="B12" i="76"/>
  <c r="H153" i="72" l="1"/>
  <c r="G153" i="72"/>
  <c r="F153" i="72"/>
  <c r="E153" i="72"/>
  <c r="D153" i="72"/>
  <c r="H152" i="72"/>
  <c r="G152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G97" i="72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2" authorId="0" shapeId="0" xr:uid="{3397D1D3-BEA3-45F4-A619-862AC339E6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Put 1- productivility loss in calculations</t>
        </r>
      </text>
    </comment>
    <comment ref="A13" authorId="0" shapeId="0" xr:uid="{48B2076D-20F0-4D60-BBE9-AF5CB79106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use 1-reduction in the model</t>
        </r>
      </text>
    </commen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multiplying:
Wage Share in GDP for manual occupations
Gains productivity in light labour (Horton and Ross, 2003)
Blue-Collar Share employment in total employment
Wage Share of Heavy manual labor (Age share * manual labor)
Gains in productivity in heavy labor (Horton and Ross, 2003)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<sst xmlns="http://schemas.openxmlformats.org/spreadsheetml/2006/main" count="2117" uniqueCount="366">
  <si>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</si>
  <si>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</si>
  <si>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</si>
  <si>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</si>
  <si>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</si>
  <si>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</si>
  <si>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</si>
  <si>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</si>
  <si>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</si>
  <si>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</si>
  <si>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</si>
  <si>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</si>
  <si>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</si>
  <si>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</si>
  <si>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</si>
  <si>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</si>
  <si>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</si>
  <si>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</si>
  <si>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</si>
  <si>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</si>
  <si>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</si>
  <si>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</si>
  <si>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</si>
  <si>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</si>
  <si>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</si>
  <si>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</si>
  <si>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</si>
  <si>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</si>
  <si>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</si>
  <si>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</si>
  <si>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</si>
  <si>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</si>
  <si>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</si>
  <si>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</si>
  <si>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</si>
  <si>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</si>
  <si>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</si>
  <si>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</si>
  <si>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</si>
  <si>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</si>
  <si>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</si>
  <si>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</si>
  <si>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</si>
  <si>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</si>
  <si>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</si>
  <si>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</si>
  <si>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</si>
  <si>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</si>
  <si>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</si>
  <si>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</si>
  <si>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</si>
  <si>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</si>
  <si>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</si>
  <si>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</si>
  <si>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</si>
  <si>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</si>
  <si>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</si>
  <si>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</si>
  <si>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</si>
  <si>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</si>
  <si>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</si>
  <si>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</si>
  <si>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</si>
  <si>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</si>
  <si>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</si>
  <si>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</si>
  <si>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</si>
  <si>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</si>
  <si>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</si>
  <si>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</si>
  <si>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</si>
  <si>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</si>
  <si>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</si>
  <si>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</si>
  <si>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</si>
  <si>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</si>
  <si>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</si>
  <si>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</si>
  <si>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</si>
  <si>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</si>
  <si>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</si>
  <si>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</si>
  <si>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</si>
  <si>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</si>
  <si>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</si>
  <si>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</si>
  <si>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</si>
  <si>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</si>
  <si>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</si>
  <si>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</si>
  <si>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</si>
  <si>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</si>
  <si>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</si>
  <si>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</si>
  <si>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</si>
  <si>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</si>
  <si>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</si>
  <si>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</si>
  <si>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</si>
  <si>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</si>
  <si>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</si>
  <si>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</si>
  <si>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</si>
  <si>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</si>
  <si>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</si>
  <si>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</si>
  <si>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</si>
  <si>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</si>
  <si>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</si>
  <si>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</si>
  <si>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</si>
  <si>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</si>
  <si>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</si>
  <si>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</si>
  <si>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</si>
  <si>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</si>
  <si>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</si>
  <si>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</si>
  <si>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</si>
  <si>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</si>
  <si>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</si>
  <si>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</si>
  <si>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</si>
  <si>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</si>
  <si>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</si>
  <si>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</si>
  <si>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</si>
  <si>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</si>
  <si>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</si>
  <si>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</si>
  <si>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</si>
  <si>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</si>
  <si>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</si>
  <si>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</si>
  <si>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</si>
  <si>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</si>
  <si>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</si>
  <si>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</si>
  <si>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</si>
  <si>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</si>
  <si>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</si>
  <si>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</si>
  <si>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</si>
  <si>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</si>
  <si>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</si>
  <si>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</si>
  <si>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</si>
  <si>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</si>
  <si>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</si>
  <si>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</si>
  <si>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</si>
  <si>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</si>
  <si>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</si>
  <si>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</si>
  <si>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</si>
  <si>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</si>
  <si>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</si>
  <si>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</si>
  <si>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</si>
  <si>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</si>
  <si>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</si>
  <si>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</si>
  <si>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</si>
  <si>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</si>
  <si>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</si>
  <si>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</si>
  <si>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</si>
  <si>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</si>
  <si>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</si>
  <si>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</si>
  <si>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</si>
  <si>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</si>
  <si>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</si>
  <si>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</si>
  <si>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</si>
  <si>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</si>
  <si>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</si>
  <si>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</si>
  <si>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</si>
  <si>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</si>
  <si>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</si>
  <si>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</si>
  <si>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</si>
  <si>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</si>
  <si>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</si>
  <si>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</si>
  <si>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</si>
  <si>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</si>
  <si>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</si>
  <si>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</si>
  <si>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</si>
  <si>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</si>
  <si>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</si>
  <si>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</si>
  <si>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</si>
  <si>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</si>
  <si>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</si>
  <si>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</si>
  <si>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</si>
  <si>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</si>
  <si>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</si>
  <si>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</si>
  <si>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</si>
  <si>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</si>
  <si>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</si>
  <si>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</si>
  <si>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</si>
  <si>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</si>
  <si>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</si>
  <si>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</si>
  <si>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</si>
  <si>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</si>
  <si>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</si>
  <si>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</si>
  <si>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</si>
  <si>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</si>
  <si>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</si>
  <si>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</si>
  <si>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</si>
  <si>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</si>
  <si>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</si>
  <si>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</si>
  <si>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</si>
  <si>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</si>
  <si>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</si>
  <si>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</si>
  <si>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</si>
  <si>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</si>
  <si>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</si>
  <si>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</si>
  <si>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</si>
  <si>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</si>
  <si>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</si>
  <si>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</si>
  <si>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</si>
  <si>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</si>
  <si>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</si>
  <si>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</si>
  <si>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</si>
  <si>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</si>
  <si>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</si>
  <si>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</si>
  <si>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</si>
  <si>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</si>
  <si>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</si>
  <si>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</si>
  <si>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</si>
  <si>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</si>
  <si>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</si>
  <si>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</si>
  <si>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</si>
  <si>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</si>
  <si>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</si>
  <si>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</si>
  <si>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</si>
  <si>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</si>
  <si>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</si>
  <si>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</si>
  <si>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</si>
  <si>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</si>
  <si>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</si>
  <si>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</si>
  <si>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</si>
  <si>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</si>
  <si>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</si>
  <si>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</si>
  <si>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</si>
  <si>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</si>
  <si>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</si>
  <si>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</si>
  <si>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</si>
  <si>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</si>
  <si>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</si>
  <si>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</si>
  <si>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</si>
  <si>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</si>
  <si>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</si>
  <si>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</si>
  <si>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</si>
  <si>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</si>
  <si>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</si>
  <si>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</si>
  <si>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</si>
  <si>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</si>
  <si>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</si>
  <si>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</si>
  <si>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</si>
  <si>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</si>
  <si>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</si>
  <si>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</si>
  <si>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</si>
  <si>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</si>
  <si>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</si>
  <si>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</si>
  <si>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</si>
  <si>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</si>
  <si>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</si>
  <si>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</si>
  <si>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</si>
  <si>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</si>
  <si>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</si>
  <si>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</si>
  <si>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</si>
  <si>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</si>
  <si>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</si>
  <si>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</si>
  <si>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</si>
  <si>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</si>
  <si>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</si>
  <si>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</si>
  <si>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</si>
  <si>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</si>
  <si>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</si>
  <si>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</si>
  <si>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</si>
  <si>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</si>
  <si>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</si>
  <si>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</si>
  <si>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</si>
  <si>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</si>
  <si>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</si>
  <si>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</si>
  <si>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</si>
  <si>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</si>
  <si>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</si>
  <si>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Type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</si>
  <si>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</si>
  <si>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</si>
  <si>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</si>
  <si>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</si>
  <si>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</si>
  <si>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</si>
  <si>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</si>
  <si>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</si>
  <si>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</si>
  <si>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growth rate</t>
  </si>
  <si>
    <t>GDP per capita</t>
  </si>
  <si>
    <t>Age for end of productivity</t>
  </si>
  <si>
    <t>Age start productivity</t>
  </si>
  <si>
    <t>Female labor force participation</t>
  </si>
  <si>
    <t>Increase in earnings due to increase in one IQ pt</t>
  </si>
  <si>
    <t>Labor share of GDP</t>
  </si>
  <si>
    <t>Percentage of lifetime earning actually realized</t>
  </si>
  <si>
    <t>Percentage of lower lifetime earning of a stunted individual</t>
  </si>
  <si>
    <t>5-9 years</t>
  </si>
  <si>
    <t>10-14 years</t>
  </si>
  <si>
    <t>15-19 years</t>
  </si>
  <si>
    <t>20-24 years</t>
  </si>
  <si>
    <t>25-29 years</t>
  </si>
  <si>
    <t>30-34 years</t>
  </si>
  <si>
    <t>35-39 years</t>
  </si>
  <si>
    <t>40-44 years</t>
  </si>
  <si>
    <t>45-49 years</t>
  </si>
  <si>
    <t>50-54 years</t>
  </si>
  <si>
    <t>55-59 years</t>
  </si>
  <si>
    <t>60-64 years</t>
  </si>
  <si>
    <t>65-69 years</t>
  </si>
  <si>
    <t>Age</t>
  </si>
  <si>
    <t>Value</t>
  </si>
  <si>
    <t>Increase in IQ points due to early breastfeeding</t>
  </si>
  <si>
    <t>Proportion of pregnancy to apply benefits to (maternal anemia)</t>
  </si>
  <si>
    <t>Rate of dicounting</t>
  </si>
  <si>
    <t>Number of people left alive (starting with 100,000 births)</t>
  </si>
  <si>
    <t>Loss in productivity from due to childhood anemia</t>
  </si>
  <si>
    <t>Loss in productivity due to low birth weight</t>
  </si>
  <si>
    <t>Loss in productivity due to maternal anemia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</si>
</sst>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  <xf numFmtId="10" fontId="4" fillId="2" borderId="1" xfId="10" applyNumberFormat="1" applyFill="1" applyBorder="1" applyAlignment="1" applyProtection="1">
      <alignment horizontal="right"/>
      <protection locked="0"/>
    </xf>
    <xf numFmtId="0" fontId="4" fillId="0" borderId="0" xfId="725" applyFill="1"/>
    <xf numFmtId="167" fontId="4" fillId="2" borderId="1" xfId="10" applyNumberFormat="1" applyFill="1" applyBorder="1" applyAlignment="1" applyProtection="1">
      <alignment horizontal="right"/>
      <protection locked="0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13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330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334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329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328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N20"/>
  <sheetViews>
    <sheetView tabSelected="1" zoomScale="80" zoomScaleNormal="80" workbookViewId="0">
      <selection activeCell="E12" sqref="E12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7.72656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325</v>
      </c>
      <c r="B1" s="29" t="s">
        <v>358</v>
      </c>
    </row>
    <row r="2" spans="1:2" x14ac:dyDescent="0.25">
      <c r="A2" s="27" t="s">
        <v>335</v>
      </c>
      <c r="B2" s="122">
        <v>0.03</v>
      </c>
    </row>
    <row r="3" spans="1:2" x14ac:dyDescent="0.25">
      <c r="A3" s="27" t="s">
        <v>336</v>
      </c>
      <c r="B3" s="118">
        <v>3000.4442305317302</v>
      </c>
    </row>
    <row r="4" spans="1:2" x14ac:dyDescent="0.25">
      <c r="A4" s="27" t="s">
        <v>361</v>
      </c>
      <c r="B4" s="122">
        <v>0.03</v>
      </c>
    </row>
    <row r="5" spans="1:2" x14ac:dyDescent="0.25">
      <c r="A5" s="27" t="s">
        <v>342</v>
      </c>
      <c r="B5" s="122">
        <v>0.9</v>
      </c>
    </row>
    <row r="6" spans="1:2" x14ac:dyDescent="0.25">
      <c r="A6" s="27" t="s">
        <v>337</v>
      </c>
      <c r="B6" s="116">
        <v>65</v>
      </c>
    </row>
    <row r="7" spans="1:2" x14ac:dyDescent="0.25">
      <c r="A7" s="27" t="s">
        <v>338</v>
      </c>
      <c r="B7" s="116">
        <v>18</v>
      </c>
    </row>
    <row r="8" spans="1:2" x14ac:dyDescent="0.25">
      <c r="A8" s="27" t="s">
        <v>339</v>
      </c>
      <c r="B8" s="122">
        <v>0.73801000000000005</v>
      </c>
    </row>
    <row r="9" spans="1:2" x14ac:dyDescent="0.25">
      <c r="A9" s="27" t="s">
        <v>359</v>
      </c>
      <c r="B9" s="116">
        <v>0.8</v>
      </c>
    </row>
    <row r="10" spans="1:2" x14ac:dyDescent="0.25">
      <c r="A10" s="27" t="s">
        <v>340</v>
      </c>
      <c r="B10" s="117">
        <v>1.0666666666666666E-2</v>
      </c>
    </row>
    <row r="11" spans="1:2" x14ac:dyDescent="0.25">
      <c r="A11" s="27" t="s">
        <v>343</v>
      </c>
      <c r="B11" s="122">
        <v>0.66</v>
      </c>
    </row>
    <row r="12" spans="1:2" x14ac:dyDescent="0.25">
      <c r="A12" s="27" t="s">
        <v>363</v>
      </c>
      <c r="B12" s="122">
        <f>0.025</f>
        <v>2.5000000000000001E-2</v>
      </c>
    </row>
    <row r="13" spans="1:2" x14ac:dyDescent="0.25">
      <c r="A13" s="27" t="s">
        <v>364</v>
      </c>
      <c r="B13" s="122">
        <f>0.075</f>
        <v>7.4999999999999997E-2</v>
      </c>
    </row>
    <row r="14" spans="1:2" x14ac:dyDescent="0.25">
      <c r="A14" s="27" t="s">
        <v>365</v>
      </c>
      <c r="B14" s="120">
        <v>1.2190322671178365E-4</v>
      </c>
    </row>
    <row r="15" spans="1:2" x14ac:dyDescent="0.25">
      <c r="A15" s="27" t="s">
        <v>360</v>
      </c>
      <c r="B15" s="116">
        <v>0.5</v>
      </c>
    </row>
    <row r="16" spans="1:2" x14ac:dyDescent="0.25">
      <c r="A16" s="27" t="s">
        <v>341</v>
      </c>
      <c r="B16" s="122">
        <v>0.43146000000000001</v>
      </c>
    </row>
    <row r="19" spans="1:14" x14ac:dyDescent="0.25">
      <c r="A19" s="27" t="s">
        <v>357</v>
      </c>
      <c r="B19" s="27" t="s">
        <v>344</v>
      </c>
      <c r="C19" s="27" t="s">
        <v>345</v>
      </c>
      <c r="D19" s="27" t="s">
        <v>346</v>
      </c>
      <c r="E19" s="27" t="s">
        <v>347</v>
      </c>
      <c r="F19" s="27" t="s">
        <v>348</v>
      </c>
      <c r="G19" s="27" t="s">
        <v>349</v>
      </c>
      <c r="H19" s="27" t="s">
        <v>350</v>
      </c>
      <c r="I19" s="27" t="s">
        <v>351</v>
      </c>
      <c r="J19" s="27" t="s">
        <v>352</v>
      </c>
      <c r="K19" s="27" t="s">
        <v>353</v>
      </c>
      <c r="L19" s="27" t="s">
        <v>354</v>
      </c>
      <c r="M19" s="27" t="s">
        <v>355</v>
      </c>
      <c r="N19" s="27" t="s">
        <v>356</v>
      </c>
    </row>
    <row r="20" spans="1:14" x14ac:dyDescent="0.25">
      <c r="A20" s="121" t="s">
        <v>362</v>
      </c>
      <c r="B20" s="118">
        <v>94009.684729999994</v>
      </c>
      <c r="C20" s="118">
        <v>93793.063160000005</v>
      </c>
      <c r="D20" s="118">
        <v>93619.879589999997</v>
      </c>
      <c r="E20" s="118">
        <v>93002.658559999996</v>
      </c>
      <c r="F20" s="118">
        <v>92072.362380000006</v>
      </c>
      <c r="G20" s="118">
        <v>90934.833880000006</v>
      </c>
      <c r="H20" s="118">
        <v>89533.178140000004</v>
      </c>
      <c r="I20" s="118">
        <v>87597.276540000006</v>
      </c>
      <c r="J20" s="118">
        <v>84803.133549999999</v>
      </c>
      <c r="K20" s="118">
        <v>80890.356390000001</v>
      </c>
      <c r="L20" s="118">
        <v>75378.861269999994</v>
      </c>
      <c r="M20" s="118">
        <v>67914.972120000006</v>
      </c>
      <c r="N20" s="118">
        <v>58238.404139999999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326</v>
      </c>
      <c r="G1" s="40" t="s">
        <v>327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331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331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331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331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9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9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9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9" t="s">
        <v>1</v>
      </c>
      <c r="C5" s="27" t="s">
        <v>171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9"/>
      <c r="C6" s="27" t="s">
        <v>170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9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9" t="s">
        <v>2</v>
      </c>
      <c r="C8" s="27" t="s">
        <v>171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19"/>
      <c r="C9" s="27" t="s">
        <v>170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19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9" t="s">
        <v>3</v>
      </c>
      <c r="C11" s="27" t="s">
        <v>171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19"/>
      <c r="C12" s="27" t="s">
        <v>170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19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9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19"/>
      <c r="C15" s="27" t="s">
        <v>170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19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9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9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9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9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9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9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9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9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9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9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9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9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9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9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9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9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9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9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9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9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9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9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9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9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9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9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9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9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9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9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9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9"/>
      <c r="C56" s="27" t="s">
        <v>170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9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9" t="s">
        <v>1</v>
      </c>
      <c r="C58" s="27" t="s">
        <v>171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9"/>
      <c r="C59" s="27" t="s">
        <v>170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9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19" t="s">
        <v>2</v>
      </c>
      <c r="C61" s="27" t="s">
        <v>171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19"/>
      <c r="C62" s="27" t="s">
        <v>170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19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19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19"/>
      <c r="C65" s="27" t="s">
        <v>170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19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19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19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19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9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9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9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9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9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9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9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9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9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9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9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9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9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9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9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9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9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9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9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9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9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9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9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9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9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9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9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9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9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9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9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9"/>
      <c r="C109" s="27" t="s">
        <v>170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9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9" t="s">
        <v>1</v>
      </c>
      <c r="C111" s="27" t="s">
        <v>171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19"/>
      <c r="C112" s="27" t="s">
        <v>170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19"/>
      <c r="C113" s="27" t="s">
        <v>169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19" t="s">
        <v>2</v>
      </c>
      <c r="C114" s="27" t="s">
        <v>171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19"/>
      <c r="C115" s="27" t="s">
        <v>170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19"/>
      <c r="C116" s="27" t="s">
        <v>169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19" t="s">
        <v>3</v>
      </c>
      <c r="C117" s="27" t="s">
        <v>171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19"/>
      <c r="C118" s="27" t="s">
        <v>170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19"/>
      <c r="C119" s="27" t="s">
        <v>169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19" t="s">
        <v>4</v>
      </c>
      <c r="C120" s="27" t="s">
        <v>171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19"/>
      <c r="C121" s="27" t="s">
        <v>170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19"/>
      <c r="C122" s="27" t="s">
        <v>169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9" t="s">
        <v>32</v>
      </c>
      <c r="C125" s="27" t="s">
        <v>171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19"/>
      <c r="C126" s="27" t="s">
        <v>170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19"/>
      <c r="C127" s="27" t="s">
        <v>169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19" t="s">
        <v>1</v>
      </c>
      <c r="C128" s="27" t="s">
        <v>171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19"/>
      <c r="C129" s="27" t="s">
        <v>170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19"/>
      <c r="C130" s="27" t="s">
        <v>169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19" t="s">
        <v>2</v>
      </c>
      <c r="C131" s="27" t="s">
        <v>171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19"/>
      <c r="C132" s="27" t="s">
        <v>170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19"/>
      <c r="C133" s="27" t="s">
        <v>169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19" t="s">
        <v>3</v>
      </c>
      <c r="C134" s="27" t="s">
        <v>171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19"/>
      <c r="C135" s="27" t="s">
        <v>170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19"/>
      <c r="C136" s="27" t="s">
        <v>169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19" t="s">
        <v>4</v>
      </c>
      <c r="C137" s="27" t="s">
        <v>171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19"/>
      <c r="C138" s="27" t="s">
        <v>170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19"/>
      <c r="C139" s="27" t="s">
        <v>169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9" t="s">
        <v>32</v>
      </c>
      <c r="C142" s="27" t="s">
        <v>171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19"/>
      <c r="C143" s="27" t="s">
        <v>170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19"/>
      <c r="C144" s="27" t="s">
        <v>169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19" t="s">
        <v>1</v>
      </c>
      <c r="C145" s="27" t="s">
        <v>171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19"/>
      <c r="C146" s="27" t="s">
        <v>170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19"/>
      <c r="C147" s="27" t="s">
        <v>169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19" t="s">
        <v>2</v>
      </c>
      <c r="C148" s="27" t="s">
        <v>171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19"/>
      <c r="C149" s="27" t="s">
        <v>170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19"/>
      <c r="C150" s="27" t="s">
        <v>169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19" t="s">
        <v>3</v>
      </c>
      <c r="C151" s="27" t="s">
        <v>171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19"/>
      <c r="C152" s="27" t="s">
        <v>170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19"/>
      <c r="C153" s="27" t="s">
        <v>169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19" t="s">
        <v>4</v>
      </c>
      <c r="C154" s="27" t="s">
        <v>171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19"/>
      <c r="C155" s="27" t="s">
        <v>170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19"/>
      <c r="C156" s="27" t="s">
        <v>169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F29" sqref="F29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331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250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280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332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281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284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70</v>
      </c>
      <c r="B40" s="45" t="s">
        <v>285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288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290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333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291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294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70</v>
      </c>
      <c r="B63" s="45" t="s">
        <v>295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QAVwj9PWadQcYcL52alW/JJQquT7j6uGPCclqgaz9+O8krRpbbsh1HExJbjXqiYNshQdlMMFo0ZnrWFakvrKaA==" saltValue="caoeAy2KJFZFYGAg6OWi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7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VNqV9laeHLEmOvMS2HGD5bmuz3IT62zAHDRQ56J67ZOBCPkqTbLk45H+TOI55sQOIALXqxS0CNWqR8cFOBHQ/Q==" saltValue="hKf7DQYsC+E7vW3zy5NT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331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331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64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47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183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201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184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185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182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59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331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64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47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1H36YeFo+tYWK8ppDEqRt9VLAlN4fhiSrdsiceTY84S0a72cFwg9qXz4yszhjj9aJElQkYzzqKoVekKKS4PDuQ==" saltValue="rTLJ2c1Dod8ZlB3HOpXo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331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f>MIN(MAX(1-0.89/(1-frac_mam_6_11months+(frac_mam_6_11months*0.89)),0),1)</f>
        <v>0.1046795744409692</v>
      </c>
      <c r="G20" s="104">
        <f>MIN(MAX(1-0.89/(1-frac_mam_12_23months+(frac_mam_12_23months*0.89)),0),1)</f>
        <v>0.10581499250070592</v>
      </c>
      <c r="H20" s="104">
        <f>MIN(MAX(1-0.89/(1-frac_mam_24_59months+(frac_mam_24_59months*0.89)),0),1)</f>
        <v>0.10780844504922549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331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9.4648875339096161E-3</v>
      </c>
      <c r="G75" s="104">
        <f>MIN(MAX(1-0.99/(1-frac_mam_12_23months+(frac_mam_12_23months*0.99)),0),1)</f>
        <v>9.5785983927034746E-3</v>
      </c>
      <c r="H75" s="104">
        <f>MIN(MAX(1-0.99/(1-frac_mam_24_59months+(frac_mam_24_59months*0.99)),0),1)</f>
        <v>9.7788770816137349E-3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331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0.19126197969113667</v>
      </c>
      <c r="G130" s="104">
        <f>MIN(MAX(1-0.8/(1-frac_mam_12_23months+(frac_mam_12_23months*0.8)),0),1)</f>
        <v>0.19313393967166625</v>
      </c>
      <c r="H130" s="104">
        <f>MIN(MAX(1-0.8/(1-frac_mam_24_59months+(frac_mam_24_59months*0.8)),0),1)</f>
        <v>0.19641106564514077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262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X00FxclSNSjJirmMy+z7qEOva6bgZMAswwg9/Zx2Czg7XdgCu39+BpOdZzILyc/8IAiCsVCp13t6IIjdq7Xvvg==" saltValue="yzgPEUxGLJUP683C8Cv0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30" sqref="D3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iTJVgLCbj4f2ZINQYnEBhPspO2Fj/81WOiKXi5LAMug1CpEEusmG2kPNXv6tonhqSEAeNAv2wFNoLleNVUTTrA==" saltValue="8oTqcpfRNtgtEC3P8ysW2A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2025-04-03T02:38:12Z</dcterms:modified>
</cp:coreProperties>
</file>