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AD0037AD-FCE1-4434-AC08-DDCD99D961FB}" xr6:coauthVersionLast="47" xr6:coauthVersionMax="47" xr10:uidLastSave="{00000000-0000-0000-0000-000000000000}"/>
  <bookViews>
    <workbookView xWindow="-110" yWindow="-110" windowWidth="19420" windowHeight="10420" tabRatio="904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30" i="73" l="1"/>
  <c r="F30" i="73"/>
  <c r="E30" i="73"/>
  <c r="D30" i="73"/>
  <c r="G19" i="73"/>
  <c r="F19" i="73"/>
  <c r="E19" i="73"/>
  <c r="D19" i="73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B13" i="76" l="1"/>
  <c r="B12" i="76"/>
  <c r="H153" i="72" l="1"/>
  <c r="G153" i="72"/>
  <c r="F153" i="72"/>
  <c r="E153" i="72"/>
  <c r="D153" i="72"/>
  <c r="H152" i="72"/>
  <c r="G152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8" i="69"/>
  <c r="E48" i="69"/>
  <c r="D48" i="69"/>
  <c r="C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D31" i="69"/>
  <c r="C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D14" i="69"/>
  <c r="C14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2" authorId="0" shapeId="0" xr:uid="{3397D1D3-BEA3-45F4-A619-862AC339E6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Put 1- productivility loss in calculations</t>
        </r>
      </text>
    </comment>
    <comment ref="A13" authorId="0" shapeId="0" xr:uid="{48B2076D-20F0-4D60-BBE9-AF5CB79106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use 1-reduction in the model</t>
        </r>
      </text>
    </commen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multiplying:
Wage Share in GDP for manual occupations
Gains productivity in light labour (Horton and Ross, 2003)
Blue-Collar Share employment in total employment
Wage Share of Heavy manual labor (Age share * manual labor)
Gains in productivity in heavy labor (Horton and Ross, 2003)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9" authorId="0" shapeId="0" xr:uid="{E9C58728-620D-4FB4-97D4-566CCAEA95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</commentList>
</comments>
</file>

<file path=xl/sharedStrings.xml><?xml version="1.0" encoding="utf-8"?>
<sst xmlns="http://schemas.openxmlformats.org/spreadsheetml/2006/main" count="2153" uniqueCount="372">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</sst>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topLeftCell="A3" zoomScale="80" zoomScaleNormal="80" workbookViewId="0">
      <selection activeCell="J13" sqref="J13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8">
        <v>3000.4442305317302</v>
      </c>
    </row>
    <row r="3" spans="1:2" x14ac:dyDescent="0.25">
      <c r="A3" s="27" t="s">
        <v>341</v>
      </c>
      <c r="B3" s="120">
        <v>0.03</v>
      </c>
    </row>
    <row r="4" spans="1:2" x14ac:dyDescent="0.25">
      <c r="A4" s="27" t="s">
        <v>336</v>
      </c>
      <c r="B4" s="120">
        <v>0.43146000000000001</v>
      </c>
    </row>
    <row r="5" spans="1:2" x14ac:dyDescent="0.25">
      <c r="A5" s="27" t="s">
        <v>342</v>
      </c>
      <c r="B5" s="120">
        <v>0.03</v>
      </c>
    </row>
    <row r="6" spans="1:2" x14ac:dyDescent="0.25">
      <c r="A6" s="27" t="s">
        <v>343</v>
      </c>
      <c r="B6" s="120">
        <v>0.03</v>
      </c>
    </row>
    <row r="7" spans="1:2" x14ac:dyDescent="0.25">
      <c r="A7" s="27" t="s">
        <v>344</v>
      </c>
      <c r="B7" s="116">
        <v>18</v>
      </c>
    </row>
    <row r="8" spans="1:2" x14ac:dyDescent="0.25">
      <c r="A8" s="27" t="s">
        <v>345</v>
      </c>
      <c r="B8" s="116">
        <v>65</v>
      </c>
    </row>
    <row r="9" spans="1:2" x14ac:dyDescent="0.25">
      <c r="A9" s="27" t="s">
        <v>335</v>
      </c>
      <c r="B9" s="120">
        <v>0.73801000000000005</v>
      </c>
    </row>
    <row r="10" spans="1:2" x14ac:dyDescent="0.25">
      <c r="A10" s="27" t="s">
        <v>337</v>
      </c>
      <c r="B10" s="120">
        <v>0.9</v>
      </c>
    </row>
    <row r="11" spans="1:2" x14ac:dyDescent="0.25">
      <c r="A11" s="27" t="s">
        <v>346</v>
      </c>
      <c r="B11" s="120">
        <v>0.66</v>
      </c>
    </row>
    <row r="12" spans="1:2" x14ac:dyDescent="0.25">
      <c r="A12" s="27" t="s">
        <v>347</v>
      </c>
      <c r="B12" s="120">
        <f>0.025</f>
        <v>2.5000000000000001E-2</v>
      </c>
    </row>
    <row r="13" spans="1:2" x14ac:dyDescent="0.25">
      <c r="A13" s="27" t="s">
        <v>348</v>
      </c>
      <c r="B13" s="120">
        <f>0.075</f>
        <v>7.4999999999999997E-2</v>
      </c>
    </row>
    <row r="14" spans="1:2" x14ac:dyDescent="0.25">
      <c r="A14" s="27" t="s">
        <v>349</v>
      </c>
      <c r="B14" s="119">
        <v>1.2190322671178365E-4</v>
      </c>
    </row>
    <row r="15" spans="1:2" x14ac:dyDescent="0.25">
      <c r="A15" s="27" t="s">
        <v>350</v>
      </c>
      <c r="B15" s="116">
        <v>0.5</v>
      </c>
    </row>
    <row r="16" spans="1:2" x14ac:dyDescent="0.25">
      <c r="A16" s="27" t="s">
        <v>339</v>
      </c>
      <c r="B16" s="116">
        <v>0.8</v>
      </c>
    </row>
    <row r="17" spans="1:15" x14ac:dyDescent="0.25">
      <c r="A17" s="27" t="s">
        <v>351</v>
      </c>
      <c r="B17" s="117">
        <v>1.0666666666666666E-2</v>
      </c>
    </row>
    <row r="18" spans="1:15" x14ac:dyDescent="0.25">
      <c r="A18" t="s">
        <v>368</v>
      </c>
      <c r="B18" s="120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8">
        <v>95374.524950000006</v>
      </c>
      <c r="C22" s="118">
        <v>94009.684729999994</v>
      </c>
      <c r="D22" s="118">
        <v>93793.063160000005</v>
      </c>
      <c r="E22" s="118">
        <v>93619.879589999997</v>
      </c>
      <c r="F22" s="118">
        <v>93002.658559999996</v>
      </c>
      <c r="G22" s="118">
        <v>92072.362380000006</v>
      </c>
      <c r="H22" s="118">
        <v>90934.833880000006</v>
      </c>
      <c r="I22" s="118">
        <v>89533.178140000004</v>
      </c>
      <c r="J22" s="118">
        <v>87597.276540000006</v>
      </c>
      <c r="K22" s="118">
        <v>84803.133549999999</v>
      </c>
      <c r="L22" s="118">
        <v>80890.356390000001</v>
      </c>
      <c r="M22" s="118">
        <v>75378.861269999994</v>
      </c>
      <c r="N22" s="118">
        <v>67914.972120000006</v>
      </c>
      <c r="O22" s="118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12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7" sqref="C1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330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9" workbookViewId="0">
      <selection activeCell="B27" sqref="B2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  <c r="L2" s="101"/>
    </row>
    <row r="3" spans="1:12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 t="s">
        <v>189</v>
      </c>
      <c r="J3" s="101"/>
      <c r="K3" s="101"/>
      <c r="L3" s="101"/>
    </row>
    <row r="4" spans="1:12" x14ac:dyDescent="0.25">
      <c r="A4" s="39" t="s">
        <v>61</v>
      </c>
      <c r="B4" s="101" t="s">
        <v>189</v>
      </c>
      <c r="C4" s="101"/>
      <c r="D4" s="101" t="s">
        <v>189</v>
      </c>
      <c r="E4" s="101"/>
      <c r="F4" s="101"/>
      <c r="G4" s="101"/>
      <c r="H4" s="101"/>
      <c r="I4" s="101"/>
      <c r="J4" s="101"/>
      <c r="K4" s="101"/>
      <c r="L4" s="101"/>
    </row>
    <row r="5" spans="1:12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  <c r="L5" s="101"/>
    </row>
    <row r="6" spans="1:12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  <c r="L6" s="101"/>
    </row>
    <row r="7" spans="1:12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  <c r="L7" s="101"/>
    </row>
    <row r="8" spans="1:12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  <c r="L8" s="101"/>
    </row>
    <row r="9" spans="1:12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  <c r="L9" s="101"/>
    </row>
    <row r="10" spans="1:12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  <c r="L10" s="101"/>
    </row>
    <row r="11" spans="1:12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  <c r="L12" s="101"/>
    </row>
    <row r="13" spans="1:12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  <c r="L13" s="101"/>
    </row>
    <row r="14" spans="1:12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  <c r="L14" s="101"/>
    </row>
    <row r="15" spans="1:12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  <c r="L15" s="101"/>
    </row>
    <row r="16" spans="1:12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  <c r="L16" s="101"/>
    </row>
    <row r="17" spans="1:12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  <c r="L17" s="101"/>
    </row>
    <row r="18" spans="1:12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  <c r="L18" s="101"/>
    </row>
    <row r="19" spans="1:12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  <c r="L19" s="101"/>
    </row>
    <row r="20" spans="1:12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  <c r="L20" s="101"/>
    </row>
    <row r="21" spans="1:12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  <c r="L21" s="101"/>
    </row>
    <row r="22" spans="1:12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  <c r="L22" s="101"/>
    </row>
    <row r="23" spans="1:12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  <c r="L23" s="101"/>
    </row>
    <row r="24" spans="1:12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  <c r="L24" s="101"/>
    </row>
    <row r="25" spans="1:12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  <c r="L25" s="101"/>
    </row>
    <row r="26" spans="1:12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  <c r="L26" s="101"/>
    </row>
    <row r="27" spans="1:12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  <c r="L27" s="101" t="s">
        <v>189</v>
      </c>
    </row>
    <row r="28" spans="1:12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  <c r="L28" s="101"/>
    </row>
    <row r="29" spans="1:12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  <c r="L29" s="101"/>
    </row>
    <row r="30" spans="1:12" x14ac:dyDescent="0.25">
      <c r="A30" s="39" t="s">
        <v>330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  <c r="L30" s="101"/>
    </row>
    <row r="31" spans="1:12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  <c r="L31" s="101"/>
    </row>
    <row r="32" spans="1:12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  <c r="L32" s="101"/>
    </row>
    <row r="33" spans="1:12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  <c r="L33" s="101"/>
    </row>
    <row r="34" spans="1:12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  <c r="L34" s="101"/>
    </row>
    <row r="35" spans="1:12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  <c r="L35" s="101"/>
    </row>
    <row r="36" spans="1:12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  <c r="L36" s="101"/>
    </row>
    <row r="37" spans="1:12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  <c r="L37" s="101"/>
    </row>
    <row r="38" spans="1:12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  <c r="L38" s="101"/>
    </row>
    <row r="39" spans="1:12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  <c r="L39" s="101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  <c r="L2" s="101"/>
    </row>
    <row r="3" spans="1:12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  <c r="L3" s="101"/>
    </row>
    <row r="4" spans="1:12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  <c r="L4" s="101"/>
    </row>
    <row r="5" spans="1:12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  <c r="L5" s="101"/>
    </row>
    <row r="6" spans="1:12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  <c r="L6" s="101"/>
    </row>
    <row r="7" spans="1:12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  <c r="L7" s="101" t="s">
        <v>189</v>
      </c>
    </row>
    <row r="8" spans="1:12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  <c r="L8" s="101" t="s">
        <v>189</v>
      </c>
    </row>
    <row r="9" spans="1:12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  <c r="L9" s="101" t="s">
        <v>189</v>
      </c>
    </row>
    <row r="10" spans="1:12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  <c r="L10" s="101" t="s">
        <v>189</v>
      </c>
    </row>
    <row r="11" spans="1:12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  <c r="L11" s="101"/>
    </row>
    <row r="12" spans="1:12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  <c r="L12" s="101"/>
    </row>
    <row r="13" spans="1:12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  <c r="L13" s="101"/>
    </row>
    <row r="14" spans="1:12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  <c r="L14" s="101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2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22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22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22" t="s">
        <v>1</v>
      </c>
      <c r="C5" s="27" t="s">
        <v>171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22"/>
      <c r="C6" s="27" t="s">
        <v>170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22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22" t="s">
        <v>2</v>
      </c>
      <c r="C8" s="27" t="s">
        <v>171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22"/>
      <c r="C9" s="27" t="s">
        <v>170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22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22" t="s">
        <v>3</v>
      </c>
      <c r="C11" s="27" t="s">
        <v>171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22"/>
      <c r="C12" s="27" t="s">
        <v>170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22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22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22"/>
      <c r="C15" s="27" t="s">
        <v>170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22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22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22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22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22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22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22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22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22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22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22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22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22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22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22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22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22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22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22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22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22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22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22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22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22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22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22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22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22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22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22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2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22"/>
      <c r="C56" s="27" t="s">
        <v>170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22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22" t="s">
        <v>1</v>
      </c>
      <c r="C58" s="27" t="s">
        <v>171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22"/>
      <c r="C59" s="27" t="s">
        <v>170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22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22" t="s">
        <v>2</v>
      </c>
      <c r="C61" s="27" t="s">
        <v>171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22"/>
      <c r="C62" s="27" t="s">
        <v>170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22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22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22"/>
      <c r="C65" s="27" t="s">
        <v>170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22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22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22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22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22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22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22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22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22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22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22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22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22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22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22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22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22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22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22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22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22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22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22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22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22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22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22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22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22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22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22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22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22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22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2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22"/>
      <c r="C109" s="27" t="s">
        <v>170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22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22" t="s">
        <v>1</v>
      </c>
      <c r="C111" s="27" t="s">
        <v>171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22"/>
      <c r="C112" s="27" t="s">
        <v>170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22"/>
      <c r="C113" s="27" t="s">
        <v>169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22" t="s">
        <v>2</v>
      </c>
      <c r="C114" s="27" t="s">
        <v>171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22"/>
      <c r="C115" s="27" t="s">
        <v>170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22"/>
      <c r="C116" s="27" t="s">
        <v>169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22" t="s">
        <v>3</v>
      </c>
      <c r="C117" s="27" t="s">
        <v>171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22"/>
      <c r="C118" s="27" t="s">
        <v>170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22"/>
      <c r="C119" s="27" t="s">
        <v>169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22" t="s">
        <v>4</v>
      </c>
      <c r="C120" s="27" t="s">
        <v>171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22"/>
      <c r="C121" s="27" t="s">
        <v>170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22"/>
      <c r="C122" s="27" t="s">
        <v>169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22" t="s">
        <v>32</v>
      </c>
      <c r="C125" s="27" t="s">
        <v>171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22"/>
      <c r="C126" s="27" t="s">
        <v>170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22"/>
      <c r="C127" s="27" t="s">
        <v>169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22" t="s">
        <v>1</v>
      </c>
      <c r="C128" s="27" t="s">
        <v>171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22"/>
      <c r="C129" s="27" t="s">
        <v>170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22"/>
      <c r="C130" s="27" t="s">
        <v>169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22" t="s">
        <v>2</v>
      </c>
      <c r="C131" s="27" t="s">
        <v>171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22"/>
      <c r="C132" s="27" t="s">
        <v>170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22"/>
      <c r="C133" s="27" t="s">
        <v>169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22" t="s">
        <v>3</v>
      </c>
      <c r="C134" s="27" t="s">
        <v>171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22"/>
      <c r="C135" s="27" t="s">
        <v>170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22"/>
      <c r="C136" s="27" t="s">
        <v>169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22" t="s">
        <v>4</v>
      </c>
      <c r="C137" s="27" t="s">
        <v>171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22"/>
      <c r="C138" s="27" t="s">
        <v>170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22"/>
      <c r="C139" s="27" t="s">
        <v>169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22" t="s">
        <v>32</v>
      </c>
      <c r="C142" s="27" t="s">
        <v>171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22"/>
      <c r="C143" s="27" t="s">
        <v>170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22"/>
      <c r="C144" s="27" t="s">
        <v>169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22" t="s">
        <v>1</v>
      </c>
      <c r="C145" s="27" t="s">
        <v>171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22"/>
      <c r="C146" s="27" t="s">
        <v>170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22"/>
      <c r="C147" s="27" t="s">
        <v>169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22" t="s">
        <v>2</v>
      </c>
      <c r="C148" s="27" t="s">
        <v>171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22"/>
      <c r="C149" s="27" t="s">
        <v>170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22"/>
      <c r="C150" s="27" t="s">
        <v>169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22" t="s">
        <v>3</v>
      </c>
      <c r="C151" s="27" t="s">
        <v>171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22"/>
      <c r="C152" s="27" t="s">
        <v>170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22"/>
      <c r="C153" s="27" t="s">
        <v>169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22" t="s">
        <v>4</v>
      </c>
      <c r="C154" s="27" t="s">
        <v>171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22"/>
      <c r="C155" s="27" t="s">
        <v>170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22"/>
      <c r="C156" s="27" t="s">
        <v>169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61</v>
      </c>
      <c r="C8" s="104">
        <v>1</v>
      </c>
      <c r="D8" s="104">
        <v>1</v>
      </c>
      <c r="E8" s="104">
        <v>1</v>
      </c>
      <c r="F8" s="104">
        <v>0.80800000000000005</v>
      </c>
      <c r="G8" s="104">
        <v>0.80800000000000005</v>
      </c>
    </row>
    <row r="9" spans="1:7" ht="14.25" customHeight="1" x14ac:dyDescent="0.25">
      <c r="B9" s="72" t="s">
        <v>330</v>
      </c>
      <c r="C9" s="104">
        <v>1</v>
      </c>
      <c r="D9" s="104">
        <v>1</v>
      </c>
      <c r="E9" s="104">
        <v>0.88</v>
      </c>
      <c r="F9" s="104">
        <v>0.88</v>
      </c>
      <c r="G9" s="104">
        <v>1</v>
      </c>
    </row>
    <row r="10" spans="1:7" ht="14.25" customHeight="1" x14ac:dyDescent="0.25">
      <c r="B10" s="72" t="s">
        <v>60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4">
        <v>1</v>
      </c>
      <c r="D13" s="104">
        <v>1.39</v>
      </c>
      <c r="E13" s="104">
        <v>1</v>
      </c>
      <c r="F13" s="104">
        <v>1</v>
      </c>
      <c r="G13" s="104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29"/>
      <c r="B17" s="72" t="s">
        <v>250</v>
      </c>
      <c r="C17" s="104">
        <v>1.024</v>
      </c>
      <c r="D17" s="104">
        <v>1.024</v>
      </c>
      <c r="E17" s="104">
        <v>1.024</v>
      </c>
      <c r="F17" s="104">
        <v>1.024</v>
      </c>
      <c r="G17" s="104">
        <v>1.024</v>
      </c>
    </row>
    <row r="18" spans="1:7" ht="14.25" customHeight="1" x14ac:dyDescent="0.3">
      <c r="A18" s="96" t="s">
        <v>70</v>
      </c>
      <c r="B18" s="45" t="s">
        <v>251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4">
        <v>1.52</v>
      </c>
      <c r="D22" s="104">
        <v>1</v>
      </c>
      <c r="E22" s="104">
        <v>1</v>
      </c>
      <c r="F22" s="104">
        <v>1</v>
      </c>
    </row>
    <row r="24" spans="1:7" s="106" customFormat="1" ht="13" x14ac:dyDescent="0.3">
      <c r="A24" s="106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4" t="s">
        <v>244</v>
      </c>
      <c r="D27" s="104">
        <f t="shared" ref="D27:G27" si="0">D3*0.9</f>
        <v>40.5</v>
      </c>
      <c r="E27" s="104">
        <f t="shared" si="0"/>
        <v>325.44000000000005</v>
      </c>
      <c r="F27" s="104">
        <f t="shared" si="0"/>
        <v>157.22999999999999</v>
      </c>
      <c r="G27" s="104">
        <f t="shared" si="0"/>
        <v>157.22999999999999</v>
      </c>
    </row>
    <row r="28" spans="1:7" ht="13" x14ac:dyDescent="0.3">
      <c r="A28" s="29"/>
      <c r="B28" s="72" t="s">
        <v>278</v>
      </c>
      <c r="C28" s="104">
        <v>1.014</v>
      </c>
      <c r="D28" s="104">
        <v>1.014</v>
      </c>
      <c r="E28" s="104">
        <v>1.014</v>
      </c>
      <c r="F28" s="104">
        <v>1.014</v>
      </c>
      <c r="G28" s="104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4">
        <f>IF(C6=1,1,C6*0.9)</f>
        <v>1</v>
      </c>
      <c r="D30" s="104">
        <f t="shared" ref="D30:G30" si="1">IF(D6=1,1,D6*0.9)</f>
        <v>1</v>
      </c>
      <c r="E30" s="104">
        <f>E6*0.9</f>
        <v>0.80100000000000005</v>
      </c>
      <c r="F30" s="104">
        <f>F6*0.9</f>
        <v>0.80100000000000005</v>
      </c>
      <c r="G30" s="104">
        <f t="shared" si="1"/>
        <v>1</v>
      </c>
    </row>
    <row r="31" spans="1:7" x14ac:dyDescent="0.25">
      <c r="B31" s="72" t="s">
        <v>280</v>
      </c>
      <c r="C31" s="104">
        <f>IF(C7=1,1,C7*0.9)</f>
        <v>1</v>
      </c>
      <c r="D31" s="104">
        <f>IF(D7=1,1,D7*0.9)</f>
        <v>1</v>
      </c>
      <c r="E31" s="104">
        <v>0.85</v>
      </c>
      <c r="F31" s="104">
        <v>0.85</v>
      </c>
      <c r="G31" s="104">
        <f>IF(G7=1,1,G7*0.9)</f>
        <v>1</v>
      </c>
    </row>
    <row r="32" spans="1:7" x14ac:dyDescent="0.25">
      <c r="B32" s="72" t="s">
        <v>369</v>
      </c>
      <c r="C32" s="104">
        <f>IF(C8=1,1,C8*0.9)</f>
        <v>1</v>
      </c>
      <c r="D32" s="104">
        <f>IF(D8=1,1,D8*0.9)</f>
        <v>1</v>
      </c>
      <c r="E32" s="104">
        <v>1</v>
      </c>
      <c r="F32" s="121">
        <v>0.39500000000000002</v>
      </c>
      <c r="G32" s="121">
        <v>0.39500000000000002</v>
      </c>
    </row>
    <row r="33" spans="1:7" x14ac:dyDescent="0.25">
      <c r="B33" s="72" t="s">
        <v>331</v>
      </c>
      <c r="C33" s="104">
        <f t="shared" ref="C33:G33" si="2">IF(C9=1,1,C9*0.9)</f>
        <v>1</v>
      </c>
      <c r="D33" s="104">
        <f t="shared" si="2"/>
        <v>1</v>
      </c>
      <c r="E33" s="104">
        <v>0.85</v>
      </c>
      <c r="F33" s="104">
        <v>0.85</v>
      </c>
      <c r="G33" s="104">
        <f t="shared" si="2"/>
        <v>1</v>
      </c>
    </row>
    <row r="34" spans="1:7" x14ac:dyDescent="0.25">
      <c r="B34" s="72" t="s">
        <v>281</v>
      </c>
      <c r="C34" s="104">
        <f>IF(C10=1,1,C10*0.9)</f>
        <v>1</v>
      </c>
      <c r="D34" s="104">
        <f>IF(D10=1,1,D10*0.9)</f>
        <v>1</v>
      </c>
      <c r="E34" s="104">
        <f>IF(E10=1,1,E10*0.9)</f>
        <v>1</v>
      </c>
      <c r="F34" s="104">
        <f>IF(F10=1,1,F10*0.9)</f>
        <v>1</v>
      </c>
      <c r="G34" s="104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4">
        <v>1</v>
      </c>
      <c r="D37" s="104">
        <v>1.1100000000000001</v>
      </c>
      <c r="E37" s="104">
        <v>1</v>
      </c>
      <c r="F37" s="104">
        <v>1</v>
      </c>
      <c r="G37" s="104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4">
        <v>1.016</v>
      </c>
      <c r="D40" s="104">
        <v>1.016</v>
      </c>
      <c r="E40" s="104">
        <v>1.016</v>
      </c>
      <c r="F40" s="104">
        <v>1.016</v>
      </c>
      <c r="G40" s="104">
        <v>1.016</v>
      </c>
    </row>
    <row r="41" spans="1:7" ht="13" x14ac:dyDescent="0.3">
      <c r="A41" s="29"/>
      <c r="B41" s="72" t="s">
        <v>284</v>
      </c>
      <c r="C41" s="104">
        <v>1.016</v>
      </c>
      <c r="D41" s="104">
        <v>1.016</v>
      </c>
      <c r="E41" s="104">
        <v>1.016</v>
      </c>
      <c r="F41" s="104">
        <v>1.016</v>
      </c>
      <c r="G41" s="104">
        <v>1.016</v>
      </c>
    </row>
    <row r="42" spans="1:7" ht="13" x14ac:dyDescent="0.3">
      <c r="A42" s="96" t="s">
        <v>70</v>
      </c>
      <c r="B42" s="45" t="s">
        <v>285</v>
      </c>
      <c r="C42" s="104">
        <f t="shared" ref="C42:G42" si="3">IF(C18=1,1,C18*0.9)</f>
        <v>1</v>
      </c>
      <c r="D42" s="104">
        <f t="shared" si="3"/>
        <v>1</v>
      </c>
      <c r="E42" s="104">
        <f t="shared" si="3"/>
        <v>1</v>
      </c>
      <c r="F42" s="104">
        <f t="shared" si="3"/>
        <v>1</v>
      </c>
      <c r="G42" s="104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4">
        <f>C22*0.9</f>
        <v>1.3680000000000001</v>
      </c>
      <c r="D46" s="104">
        <v>1</v>
      </c>
      <c r="E46" s="104">
        <v>1</v>
      </c>
      <c r="F46" s="104">
        <v>1</v>
      </c>
    </row>
    <row r="48" spans="1:7" s="106" customFormat="1" ht="13" x14ac:dyDescent="0.3">
      <c r="A48" s="106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4" t="s">
        <v>244</v>
      </c>
      <c r="D51" s="104">
        <f t="shared" ref="D51:G51" si="4">D3*1.05</f>
        <v>47.25</v>
      </c>
      <c r="E51" s="104">
        <f t="shared" si="4"/>
        <v>379.68000000000006</v>
      </c>
      <c r="F51" s="104">
        <f t="shared" si="4"/>
        <v>183.435</v>
      </c>
      <c r="G51" s="104">
        <f t="shared" si="4"/>
        <v>183.435</v>
      </c>
    </row>
    <row r="52" spans="1:7" ht="13" x14ac:dyDescent="0.3">
      <c r="A52" s="29"/>
      <c r="B52" s="72" t="s">
        <v>288</v>
      </c>
      <c r="C52" s="104">
        <v>1.0349999999999999</v>
      </c>
      <c r="D52" s="104">
        <v>1.0349999999999999</v>
      </c>
      <c r="E52" s="104">
        <v>1.0349999999999999</v>
      </c>
      <c r="F52" s="104">
        <v>1.0349999999999999</v>
      </c>
      <c r="G52" s="104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4">
        <f>IF(C6=1,1,C6*1.1)</f>
        <v>1</v>
      </c>
      <c r="D54" s="104">
        <f t="shared" ref="D54:G54" si="5">IF(D6=1,1,D6*1.1)</f>
        <v>1</v>
      </c>
      <c r="E54" s="104">
        <f>E6*1.05</f>
        <v>0.93450000000000011</v>
      </c>
      <c r="F54" s="104">
        <f>F6*1.05</f>
        <v>0.93450000000000011</v>
      </c>
      <c r="G54" s="104">
        <f t="shared" si="5"/>
        <v>1</v>
      </c>
    </row>
    <row r="55" spans="1:7" x14ac:dyDescent="0.25">
      <c r="B55" s="72" t="s">
        <v>290</v>
      </c>
      <c r="C55" s="104">
        <f>IF(C7=1,1,C7*1.1)</f>
        <v>1</v>
      </c>
      <c r="D55" s="104">
        <f>IF(D7=1,1,D7*1.1)</f>
        <v>1</v>
      </c>
      <c r="E55" s="104">
        <v>0.91</v>
      </c>
      <c r="F55" s="104">
        <v>0.91</v>
      </c>
      <c r="G55" s="104">
        <f>IF(G7=1,1,G7*1.1)</f>
        <v>1</v>
      </c>
    </row>
    <row r="56" spans="1:7" x14ac:dyDescent="0.25">
      <c r="B56" s="72" t="s">
        <v>370</v>
      </c>
      <c r="C56" s="104">
        <f>IF(C8=1,1,C8*1.1)</f>
        <v>1</v>
      </c>
      <c r="D56" s="104">
        <f>IF(D8=1,1,D8*1.1)</f>
        <v>1</v>
      </c>
      <c r="E56" s="121">
        <v>1</v>
      </c>
      <c r="F56" s="121">
        <v>0.95599999999999996</v>
      </c>
      <c r="G56" s="121">
        <v>0.95599999999999996</v>
      </c>
    </row>
    <row r="57" spans="1:7" x14ac:dyDescent="0.25">
      <c r="B57" s="72" t="s">
        <v>332</v>
      </c>
      <c r="C57" s="104">
        <f t="shared" ref="C57:G58" si="6">IF(C9=1,1,C9*1.1)</f>
        <v>1</v>
      </c>
      <c r="D57" s="104">
        <f t="shared" si="6"/>
        <v>1</v>
      </c>
      <c r="E57" s="104">
        <v>0.91</v>
      </c>
      <c r="F57" s="104">
        <v>0.91</v>
      </c>
      <c r="G57" s="104">
        <f t="shared" si="6"/>
        <v>1</v>
      </c>
    </row>
    <row r="58" spans="1:7" x14ac:dyDescent="0.25">
      <c r="B58" s="72" t="s">
        <v>291</v>
      </c>
      <c r="C58" s="104">
        <f t="shared" si="6"/>
        <v>1</v>
      </c>
      <c r="D58" s="104">
        <f t="shared" si="6"/>
        <v>1</v>
      </c>
      <c r="E58" s="104">
        <f t="shared" si="6"/>
        <v>1</v>
      </c>
      <c r="F58" s="104">
        <f t="shared" si="6"/>
        <v>1</v>
      </c>
      <c r="G58" s="104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4">
        <v>1</v>
      </c>
      <c r="D61" s="104">
        <v>1.74</v>
      </c>
      <c r="E61" s="104">
        <v>1</v>
      </c>
      <c r="F61" s="104">
        <v>1</v>
      </c>
      <c r="G61" s="104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4">
        <v>1.0309999999999999</v>
      </c>
      <c r="D64" s="104">
        <v>1.0309999999999999</v>
      </c>
      <c r="E64" s="104">
        <v>1.0309999999999999</v>
      </c>
      <c r="F64" s="104">
        <v>1.0309999999999999</v>
      </c>
      <c r="G64" s="104">
        <v>1.0309999999999999</v>
      </c>
    </row>
    <row r="65" spans="1:7" ht="13" x14ac:dyDescent="0.3">
      <c r="A65" s="29"/>
      <c r="B65" s="72" t="s">
        <v>294</v>
      </c>
      <c r="C65" s="104">
        <v>1.0309999999999999</v>
      </c>
      <c r="D65" s="104">
        <v>1.0309999999999999</v>
      </c>
      <c r="E65" s="104">
        <v>1.0309999999999999</v>
      </c>
      <c r="F65" s="104">
        <v>1.0309999999999999</v>
      </c>
      <c r="G65" s="104">
        <v>1.0309999999999999</v>
      </c>
    </row>
    <row r="66" spans="1:7" ht="13" x14ac:dyDescent="0.3">
      <c r="A66" s="96" t="s">
        <v>70</v>
      </c>
      <c r="B66" s="45" t="s">
        <v>295</v>
      </c>
      <c r="C66" s="104">
        <f t="shared" ref="C66:G66" si="7">IF(C18=1,1,C18*1.1)</f>
        <v>1</v>
      </c>
      <c r="D66" s="104">
        <f t="shared" si="7"/>
        <v>1</v>
      </c>
      <c r="E66" s="104">
        <f t="shared" si="7"/>
        <v>1</v>
      </c>
      <c r="F66" s="104">
        <f t="shared" si="7"/>
        <v>1</v>
      </c>
      <c r="G66" s="104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4">
        <f>C22*1.1</f>
        <v>1.6720000000000002</v>
      </c>
      <c r="D70" s="104">
        <v>1</v>
      </c>
      <c r="E70" s="104">
        <v>1</v>
      </c>
      <c r="F70" s="104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C14" sqref="C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86</v>
      </c>
      <c r="B4" s="72" t="s">
        <v>253</v>
      </c>
      <c r="C4" s="104">
        <f>1-0.76</f>
        <v>0.24</v>
      </c>
      <c r="D4" s="104">
        <v>0</v>
      </c>
      <c r="E4" s="104">
        <f>1-0.76</f>
        <v>0.24</v>
      </c>
      <c r="F4" s="104">
        <v>0</v>
      </c>
    </row>
    <row r="5" spans="1:6" ht="15.75" customHeight="1" x14ac:dyDescent="0.25">
      <c r="A5" s="72"/>
      <c r="B5" s="72" t="s">
        <v>254</v>
      </c>
      <c r="C5" s="121">
        <v>1</v>
      </c>
      <c r="D5" s="121">
        <v>1</v>
      </c>
      <c r="E5" s="121">
        <v>1</v>
      </c>
      <c r="F5" s="121">
        <v>1</v>
      </c>
    </row>
    <row r="6" spans="1:6" ht="15.75" customHeight="1" x14ac:dyDescent="0.25">
      <c r="A6" s="72" t="s">
        <v>182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202</v>
      </c>
      <c r="B8" s="72" t="s">
        <v>253</v>
      </c>
      <c r="C8" s="104">
        <v>0.61</v>
      </c>
      <c r="D8" s="104">
        <v>0.61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1</v>
      </c>
      <c r="F9" s="104">
        <v>1</v>
      </c>
    </row>
    <row r="10" spans="1:6" ht="15.75" customHeight="1" x14ac:dyDescent="0.25">
      <c r="A10" s="72" t="s">
        <v>57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34</v>
      </c>
      <c r="B12" s="72" t="s">
        <v>253</v>
      </c>
      <c r="C12" s="104">
        <v>0.35</v>
      </c>
      <c r="D12" s="104">
        <v>0.35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0</v>
      </c>
      <c r="F13" s="104">
        <v>0</v>
      </c>
    </row>
    <row r="14" spans="1:6" ht="15.75" customHeight="1" x14ac:dyDescent="0.25">
      <c r="A14" s="72" t="s">
        <v>59</v>
      </c>
      <c r="B14" s="72" t="s">
        <v>253</v>
      </c>
      <c r="C14" s="104">
        <f>1-0.93*0.39</f>
        <v>0.63729999999999998</v>
      </c>
      <c r="D14" s="104">
        <f>1-0.93*0.39</f>
        <v>0.63729999999999998</v>
      </c>
      <c r="E14" s="104">
        <v>0</v>
      </c>
      <c r="F14" s="104">
        <v>0</v>
      </c>
    </row>
    <row r="15" spans="1:6" ht="15.75" customHeight="1" x14ac:dyDescent="0.25">
      <c r="A15" s="72"/>
      <c r="B15" s="72" t="s">
        <v>254</v>
      </c>
      <c r="C15" s="104">
        <v>1</v>
      </c>
      <c r="D15" s="104">
        <v>1</v>
      </c>
      <c r="E15" s="104">
        <v>1</v>
      </c>
      <c r="F15" s="104">
        <v>1</v>
      </c>
    </row>
    <row r="17" spans="1:6" s="106" customFormat="1" ht="15.75" customHeight="1" x14ac:dyDescent="0.3">
      <c r="A17" s="106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4">
        <f>1-0.94</f>
        <v>6.0000000000000053E-2</v>
      </c>
      <c r="D19" s="104">
        <f>1-0.94</f>
        <v>6.0000000000000053E-2</v>
      </c>
      <c r="E19" s="104">
        <f t="shared" ref="E19:F19" si="0">E2*0.9</f>
        <v>0</v>
      </c>
      <c r="F19" s="104">
        <f t="shared" si="0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86</v>
      </c>
      <c r="B21" s="72" t="s">
        <v>253</v>
      </c>
      <c r="C21" s="121">
        <f>1-0.97</f>
        <v>3.0000000000000027E-2</v>
      </c>
      <c r="D21" s="121">
        <v>0</v>
      </c>
      <c r="E21" s="121">
        <f>1-0.97</f>
        <v>3.0000000000000027E-2</v>
      </c>
      <c r="F21" s="121">
        <v>0</v>
      </c>
    </row>
    <row r="22" spans="1:6" ht="15.75" customHeight="1" x14ac:dyDescent="0.25">
      <c r="A22" s="72"/>
      <c r="B22" s="72" t="s">
        <v>254</v>
      </c>
      <c r="C22" s="121">
        <v>1</v>
      </c>
      <c r="D22" s="121">
        <v>1</v>
      </c>
      <c r="E22" s="121">
        <v>1</v>
      </c>
      <c r="F22" s="121">
        <v>1</v>
      </c>
    </row>
    <row r="23" spans="1:6" ht="15.75" customHeight="1" x14ac:dyDescent="0.25">
      <c r="A23" s="72" t="s">
        <v>182</v>
      </c>
      <c r="B23" s="72" t="s">
        <v>253</v>
      </c>
      <c r="C23" s="104">
        <f>1-0.86</f>
        <v>0.14000000000000001</v>
      </c>
      <c r="D23" s="104">
        <f>1-0.86</f>
        <v>0.14000000000000001</v>
      </c>
      <c r="E23" s="104">
        <f t="shared" ref="E23:F23" si="1">E6*0.9</f>
        <v>0</v>
      </c>
      <c r="F23" s="104">
        <f t="shared" si="1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202</v>
      </c>
      <c r="B25" s="72" t="s">
        <v>253</v>
      </c>
      <c r="C25" s="104">
        <f>1-0.86</f>
        <v>0.14000000000000001</v>
      </c>
      <c r="D25" s="104">
        <f>1-0.86</f>
        <v>0.14000000000000001</v>
      </c>
      <c r="E25" s="104">
        <f t="shared" ref="E25:F25" si="2">E8*0.9</f>
        <v>0</v>
      </c>
      <c r="F25" s="104">
        <f t="shared" si="2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57</v>
      </c>
      <c r="B27" s="72" t="s">
        <v>253</v>
      </c>
      <c r="C27" s="104">
        <f>1-0.77</f>
        <v>0.22999999999999998</v>
      </c>
      <c r="D27" s="104">
        <f>1-0.77</f>
        <v>0.22999999999999998</v>
      </c>
      <c r="E27" s="104">
        <f t="shared" ref="E27:F27" si="3">E12*0.9</f>
        <v>0</v>
      </c>
      <c r="F27" s="104">
        <f t="shared" si="3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29" spans="1:6" ht="15.75" customHeight="1" x14ac:dyDescent="0.25">
      <c r="A29" s="72" t="s">
        <v>34</v>
      </c>
      <c r="B29" s="72" t="s">
        <v>253</v>
      </c>
      <c r="C29" s="104">
        <f>1-0.77</f>
        <v>0.22999999999999998</v>
      </c>
      <c r="D29" s="104">
        <f>1-0.77</f>
        <v>0.22999999999999998</v>
      </c>
      <c r="E29" s="104">
        <f t="shared" ref="E29:F29" si="4">E12*0.9</f>
        <v>0</v>
      </c>
      <c r="F29" s="104">
        <f t="shared" si="4"/>
        <v>0</v>
      </c>
    </row>
    <row r="30" spans="1:6" ht="15.75" customHeight="1" x14ac:dyDescent="0.25">
      <c r="A30" s="72"/>
      <c r="B30" s="72" t="s">
        <v>254</v>
      </c>
      <c r="C30" s="104">
        <v>1</v>
      </c>
      <c r="D30" s="104">
        <v>1</v>
      </c>
      <c r="E30" s="104">
        <v>1</v>
      </c>
      <c r="F30" s="104">
        <v>1</v>
      </c>
    </row>
    <row r="31" spans="1:6" ht="15.75" customHeight="1" x14ac:dyDescent="0.25">
      <c r="A31" s="72" t="s">
        <v>59</v>
      </c>
      <c r="B31" s="72" t="s">
        <v>253</v>
      </c>
      <c r="C31" s="104">
        <f>1-0.98*0.86</f>
        <v>0.15720000000000001</v>
      </c>
      <c r="D31" s="104">
        <f>1-0.98*0.86</f>
        <v>0.15720000000000001</v>
      </c>
      <c r="E31" s="104">
        <f t="shared" ref="E31:F31" si="5">E14*0.9</f>
        <v>0</v>
      </c>
      <c r="F31" s="104">
        <f t="shared" si="5"/>
        <v>0</v>
      </c>
    </row>
    <row r="32" spans="1:6" ht="15.75" customHeight="1" x14ac:dyDescent="0.25">
      <c r="A32" s="72"/>
      <c r="B32" s="72" t="s">
        <v>254</v>
      </c>
      <c r="C32" s="104">
        <v>1</v>
      </c>
      <c r="D32" s="104">
        <v>1</v>
      </c>
      <c r="E32" s="104">
        <v>1</v>
      </c>
      <c r="F32" s="104">
        <v>1</v>
      </c>
    </row>
    <row r="34" spans="1:6" s="106" customFormat="1" ht="15.75" customHeight="1" x14ac:dyDescent="0.3">
      <c r="A34" s="106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4">
        <f>1-0.54</f>
        <v>0.45999999999999996</v>
      </c>
      <c r="D36" s="104">
        <f>1-0.54</f>
        <v>0.45999999999999996</v>
      </c>
      <c r="E36" s="104">
        <f t="shared" ref="E36:F36" si="6">E2*1.1</f>
        <v>0</v>
      </c>
      <c r="F36" s="104">
        <f t="shared" si="6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86</v>
      </c>
      <c r="B38" s="72" t="s">
        <v>253</v>
      </c>
      <c r="C38" s="121">
        <f>1-0.6</f>
        <v>0.4</v>
      </c>
      <c r="D38" s="121">
        <v>0</v>
      </c>
      <c r="E38" s="121">
        <f>1-0.6</f>
        <v>0.4</v>
      </c>
      <c r="F38" s="121">
        <v>0</v>
      </c>
    </row>
    <row r="39" spans="1:6" ht="15.75" customHeight="1" x14ac:dyDescent="0.25">
      <c r="A39" s="72"/>
      <c r="B39" s="72" t="s">
        <v>254</v>
      </c>
      <c r="C39" s="121">
        <v>1</v>
      </c>
      <c r="D39" s="121">
        <v>1</v>
      </c>
      <c r="E39" s="121">
        <v>1</v>
      </c>
      <c r="F39" s="121">
        <v>1</v>
      </c>
    </row>
    <row r="40" spans="1:6" ht="15.75" customHeight="1" x14ac:dyDescent="0.25">
      <c r="A40" s="72" t="s">
        <v>182</v>
      </c>
      <c r="B40" s="72" t="s">
        <v>253</v>
      </c>
      <c r="C40" s="104">
        <f>1-0.17</f>
        <v>0.83</v>
      </c>
      <c r="D40" s="104">
        <f>1-0.17</f>
        <v>0.83</v>
      </c>
      <c r="E40" s="104">
        <f t="shared" ref="E40:F40" si="7">E6*1.1</f>
        <v>0</v>
      </c>
      <c r="F40" s="104">
        <f t="shared" si="7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202</v>
      </c>
      <c r="B42" s="72" t="s">
        <v>253</v>
      </c>
      <c r="C42" s="104">
        <f>1-0.17</f>
        <v>0.83</v>
      </c>
      <c r="D42" s="104">
        <f>1-0.17</f>
        <v>0.83</v>
      </c>
      <c r="E42" s="104">
        <f t="shared" ref="E42:F42" si="8">E8*1.1</f>
        <v>0</v>
      </c>
      <c r="F42" s="104">
        <f t="shared" si="8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  <row r="44" spans="1:6" ht="15.75" customHeight="1" x14ac:dyDescent="0.25">
      <c r="A44" s="72" t="s">
        <v>57</v>
      </c>
      <c r="B44" s="72" t="s">
        <v>253</v>
      </c>
      <c r="C44" s="104">
        <f>1-0.55</f>
        <v>0.44999999999999996</v>
      </c>
      <c r="D44" s="104">
        <f>1-0.55</f>
        <v>0.44999999999999996</v>
      </c>
      <c r="E44" s="104">
        <f t="shared" ref="E44:F44" si="9">E10*1.1</f>
        <v>0</v>
      </c>
      <c r="F44" s="104">
        <f t="shared" si="9"/>
        <v>0</v>
      </c>
    </row>
    <row r="45" spans="1:6" ht="15.75" customHeight="1" x14ac:dyDescent="0.25">
      <c r="A45" s="72"/>
      <c r="B45" s="72" t="s">
        <v>254</v>
      </c>
      <c r="C45" s="104">
        <v>1</v>
      </c>
      <c r="D45" s="104">
        <v>1</v>
      </c>
      <c r="E45" s="104">
        <v>1</v>
      </c>
      <c r="F45" s="104">
        <v>1</v>
      </c>
    </row>
    <row r="46" spans="1:6" ht="15.75" customHeight="1" x14ac:dyDescent="0.25">
      <c r="A46" s="72" t="s">
        <v>34</v>
      </c>
      <c r="B46" s="72" t="s">
        <v>253</v>
      </c>
      <c r="C46" s="104">
        <f>1-0.55</f>
        <v>0.44999999999999996</v>
      </c>
      <c r="D46" s="104">
        <f>1-0.55</f>
        <v>0.44999999999999996</v>
      </c>
      <c r="E46" s="104">
        <f t="shared" ref="E46:F46" si="10">E12*1.1</f>
        <v>0</v>
      </c>
      <c r="F46" s="104">
        <f t="shared" si="10"/>
        <v>0</v>
      </c>
    </row>
    <row r="47" spans="1:6" ht="15.75" customHeight="1" x14ac:dyDescent="0.25">
      <c r="A47" s="72"/>
      <c r="B47" s="72" t="s">
        <v>254</v>
      </c>
      <c r="C47" s="104">
        <v>1</v>
      </c>
      <c r="D47" s="104">
        <v>1</v>
      </c>
      <c r="E47" s="104">
        <v>1</v>
      </c>
      <c r="F47" s="104">
        <v>1</v>
      </c>
    </row>
    <row r="48" spans="1:6" ht="15.75" customHeight="1" x14ac:dyDescent="0.25">
      <c r="A48" s="72" t="s">
        <v>59</v>
      </c>
      <c r="B48" s="72" t="s">
        <v>253</v>
      </c>
      <c r="C48" s="104">
        <f>1-0.88*0.17</f>
        <v>0.85040000000000004</v>
      </c>
      <c r="D48" s="104">
        <f>1-0.88*0.17</f>
        <v>0.85040000000000004</v>
      </c>
      <c r="E48" s="104">
        <f t="shared" ref="E48:F48" si="11">E14*1.1</f>
        <v>0</v>
      </c>
      <c r="F48" s="104">
        <f t="shared" si="11"/>
        <v>0</v>
      </c>
    </row>
    <row r="49" spans="1:6" ht="15.75" customHeight="1" x14ac:dyDescent="0.25">
      <c r="A49" s="72"/>
      <c r="B49" s="72" t="s">
        <v>254</v>
      </c>
      <c r="C49" s="104">
        <v>1</v>
      </c>
      <c r="D49" s="104">
        <v>1</v>
      </c>
      <c r="E49" s="104">
        <v>1</v>
      </c>
      <c r="F49" s="104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L14" sqref="L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330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330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330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36YeFo+tYWK8ppDEqRt9VLAlN4fhiSrdsiceTY84S0a72cFwg9qXz4yszhjj9aJElQkYzzqKoVekKKS4PDuQ==" saltValue="rTLJ2c1Dod8ZlB3HOpXo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330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330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X00FxclSNSjJirmMy+z7qEOva6bgZMAswwg9/Zx2Czg7XdgCu39+BpOdZzILyc/8IAiCsVCp13t6IIjdq7Xvvg==" saltValue="yzgPEUxGLJUP683C8Cv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0" sqref="D20:G2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4">
        <v>1</v>
      </c>
      <c r="E8" s="104">
        <v>1</v>
      </c>
      <c r="F8" s="104">
        <v>1</v>
      </c>
      <c r="G8" s="104">
        <v>1</v>
      </c>
      <c r="H8" s="31"/>
    </row>
    <row r="9" spans="1:8" x14ac:dyDescent="0.25">
      <c r="C9" s="27" t="s">
        <v>157</v>
      </c>
      <c r="D9" s="104">
        <v>0.09</v>
      </c>
      <c r="E9" s="104">
        <v>0.09</v>
      </c>
      <c r="F9" s="104">
        <v>0.09</v>
      </c>
      <c r="G9" s="104">
        <v>0.09</v>
      </c>
      <c r="H9" s="31"/>
    </row>
    <row r="11" spans="1:8" s="106" customFormat="1" ht="13" x14ac:dyDescent="0.3">
      <c r="A11" s="106" t="s">
        <v>269</v>
      </c>
    </row>
    <row r="12" spans="1:8" ht="13" x14ac:dyDescent="0.3">
      <c r="A12" s="41" t="s">
        <v>69</v>
      </c>
      <c r="B12" s="41" t="s">
        <v>259</v>
      </c>
      <c r="C12" s="41"/>
      <c r="D12" s="29" t="s">
        <v>53</v>
      </c>
      <c r="E12" s="29" t="s">
        <v>54</v>
      </c>
      <c r="F12" s="29" t="s">
        <v>55</v>
      </c>
      <c r="G12" s="29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04">
        <f>IF($C2="Affected fraction",D2,IF(D2=1,1,D2*0.9))</f>
        <v>1</v>
      </c>
      <c r="E13" s="104">
        <f t="shared" ref="E13:G13" si="0">IF($C2="Affected fraction",E2,IF(E2=1,1,E2*0.9))</f>
        <v>1</v>
      </c>
      <c r="F13" s="104">
        <f t="shared" si="0"/>
        <v>1</v>
      </c>
      <c r="G13" s="104">
        <f t="shared" si="0"/>
        <v>1</v>
      </c>
    </row>
    <row r="14" spans="1:8" x14ac:dyDescent="0.25">
      <c r="C14" s="27" t="s">
        <v>262</v>
      </c>
      <c r="D14" s="104">
        <v>0</v>
      </c>
      <c r="E14" s="104">
        <v>0</v>
      </c>
      <c r="F14" s="104">
        <v>0</v>
      </c>
      <c r="G14" s="104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04">
        <f t="shared" ref="D15:G18" si="1">IF($C4="Affected fraction",D4,IF(D4=1,1,D4*0.9))</f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04">
        <f t="shared" si="1"/>
        <v>1</v>
      </c>
      <c r="E17" s="104">
        <f t="shared" si="1"/>
        <v>1</v>
      </c>
      <c r="F17" s="104">
        <f t="shared" si="1"/>
        <v>1</v>
      </c>
      <c r="G17" s="104">
        <f t="shared" si="1"/>
        <v>1</v>
      </c>
    </row>
    <row r="18" spans="1:7" x14ac:dyDescent="0.25">
      <c r="C18" s="27" t="s">
        <v>262</v>
      </c>
      <c r="D18" s="104">
        <f t="shared" si="1"/>
        <v>0.53100000000000003</v>
      </c>
      <c r="E18" s="104">
        <f t="shared" si="1"/>
        <v>0.53100000000000003</v>
      </c>
      <c r="F18" s="104">
        <f t="shared" si="1"/>
        <v>0.53100000000000003</v>
      </c>
      <c r="G18" s="104">
        <f t="shared" si="1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4">
        <f t="shared" ref="D19:G19" si="2">IF($C8="Affected fraction",D8,IF(D8=1,1,D8*0.9))</f>
        <v>1</v>
      </c>
      <c r="E19" s="104">
        <f t="shared" si="2"/>
        <v>1</v>
      </c>
      <c r="F19" s="104">
        <f t="shared" si="2"/>
        <v>1</v>
      </c>
      <c r="G19" s="104">
        <f t="shared" si="2"/>
        <v>1</v>
      </c>
    </row>
    <row r="20" spans="1:7" x14ac:dyDescent="0.25">
      <c r="C20" s="27" t="s">
        <v>157</v>
      </c>
      <c r="D20" s="104">
        <v>0.02</v>
      </c>
      <c r="E20" s="104">
        <v>0.02</v>
      </c>
      <c r="F20" s="104">
        <v>0.02</v>
      </c>
      <c r="G20" s="104">
        <v>0.02</v>
      </c>
    </row>
    <row r="22" spans="1:7" s="106" customFormat="1" ht="13" x14ac:dyDescent="0.3">
      <c r="A22" s="106" t="s">
        <v>270</v>
      </c>
    </row>
    <row r="23" spans="1:7" ht="13" x14ac:dyDescent="0.3">
      <c r="A23" s="41" t="s">
        <v>69</v>
      </c>
      <c r="B23" s="41" t="s">
        <v>259</v>
      </c>
      <c r="C23" s="41"/>
      <c r="D23" s="29" t="s">
        <v>53</v>
      </c>
      <c r="E23" s="29" t="s">
        <v>54</v>
      </c>
      <c r="F23" s="29" t="s">
        <v>55</v>
      </c>
      <c r="G23" s="29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04">
        <f>IF($C2="Affected fraction",D2,IF(D2=1,1,D2*1.05))</f>
        <v>1</v>
      </c>
      <c r="E24" s="104">
        <f t="shared" ref="E24:G24" si="3">IF($C2="Affected fraction",E2,IF(E2=1,1,E2*1.05))</f>
        <v>1</v>
      </c>
      <c r="F24" s="104">
        <f t="shared" si="3"/>
        <v>1</v>
      </c>
      <c r="G24" s="104">
        <f t="shared" si="3"/>
        <v>1</v>
      </c>
    </row>
    <row r="25" spans="1:7" x14ac:dyDescent="0.25">
      <c r="C25" s="27" t="s">
        <v>262</v>
      </c>
      <c r="D25" s="104">
        <v>0</v>
      </c>
      <c r="E25" s="104">
        <v>0</v>
      </c>
      <c r="F25" s="104">
        <v>0</v>
      </c>
      <c r="G25" s="104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04">
        <f t="shared" ref="D26:G26" si="4">IF($C4="Affected fraction",D4,IF(D4=1,1,D4*1.05))</f>
        <v>1</v>
      </c>
      <c r="E26" s="104">
        <f t="shared" si="4"/>
        <v>1</v>
      </c>
      <c r="F26" s="104">
        <f t="shared" si="4"/>
        <v>1</v>
      </c>
      <c r="G26" s="104">
        <f t="shared" si="4"/>
        <v>1</v>
      </c>
    </row>
    <row r="27" spans="1:7" x14ac:dyDescent="0.25">
      <c r="C27" s="27" t="s">
        <v>262</v>
      </c>
      <c r="D27" s="104">
        <f>IF($C5="Affected fraction",D5,IF(D5=1,1,D5*1.1))</f>
        <v>0.64900000000000002</v>
      </c>
      <c r="E27" s="104">
        <f t="shared" ref="E27:G27" si="5">IF($C5="Affected fraction",E5,IF(E5=1,1,E5*1.1))</f>
        <v>0.64900000000000002</v>
      </c>
      <c r="F27" s="104">
        <f t="shared" si="5"/>
        <v>0.64900000000000002</v>
      </c>
      <c r="G27" s="104">
        <f t="shared" si="5"/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04">
        <f t="shared" ref="D28:G28" si="6">IF($C6="Affected fraction",D6,IF(D6=1,1,D6*1.05))</f>
        <v>1</v>
      </c>
      <c r="E28" s="104">
        <f t="shared" si="6"/>
        <v>1</v>
      </c>
      <c r="F28" s="104">
        <f t="shared" si="6"/>
        <v>1</v>
      </c>
      <c r="G28" s="104">
        <f t="shared" si="6"/>
        <v>1</v>
      </c>
    </row>
    <row r="29" spans="1:7" x14ac:dyDescent="0.25">
      <c r="C29" s="27" t="s">
        <v>262</v>
      </c>
      <c r="D29" s="104">
        <f>IF($C7="Affected fraction",D7,IF(D7=1,1,D7*1.1))</f>
        <v>0.64900000000000002</v>
      </c>
      <c r="E29" s="104">
        <f t="shared" ref="E29:G29" si="7">IF($C7="Affected fraction",E7,IF(E7=1,1,E7*1.1))</f>
        <v>0.64900000000000002</v>
      </c>
      <c r="F29" s="104">
        <f t="shared" si="7"/>
        <v>0.64900000000000002</v>
      </c>
      <c r="G29" s="104">
        <f t="shared" si="7"/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4">
        <f t="shared" ref="D30:G30" si="8">IF($C8="Affected fraction",D8,IF(D8=1,1,D8*1.05))</f>
        <v>1</v>
      </c>
      <c r="E30" s="104">
        <f t="shared" si="8"/>
        <v>1</v>
      </c>
      <c r="F30" s="104">
        <f t="shared" si="8"/>
        <v>1</v>
      </c>
      <c r="G30" s="104">
        <f t="shared" si="8"/>
        <v>1</v>
      </c>
    </row>
    <row r="31" spans="1:7" x14ac:dyDescent="0.25">
      <c r="C31" s="27" t="s">
        <v>157</v>
      </c>
      <c r="D31" s="104">
        <v>0.14000000000000001</v>
      </c>
      <c r="E31" s="104">
        <v>0.14000000000000001</v>
      </c>
      <c r="F31" s="104">
        <v>0.14000000000000001</v>
      </c>
      <c r="G31" s="104">
        <v>0.14000000000000001</v>
      </c>
    </row>
  </sheetData>
  <sheetProtection algorithmName="SHA-512" hashValue="9gpYHKgj6UpVVviN7uxazCUWSTWVQZxWndpvCAxXJ0y6bbqG2bj+A9gvoQzXvuQCJzoAAyx1qKZvUYataGoRuA==" saltValue="kap3hl33opxMDisBGx+up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2025-06-17T05:38:01Z</dcterms:modified>
</cp:coreProperties>
</file>