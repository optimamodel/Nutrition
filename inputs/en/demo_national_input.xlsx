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n\"/>
    </mc:Choice>
  </mc:AlternateContent>
  <xr:revisionPtr revIDLastSave="0" documentId="13_ncr:1_{CBFF41C8-5088-46B8-952F-0E3A1364B9B8}" xr6:coauthVersionLast="47" xr6:coauthVersionMax="47" xr10:uidLastSave="{00000000-0000-0000-0000-000000000000}"/>
  <bookViews>
    <workbookView xWindow="-110" yWindow="-110" windowWidth="19420" windowHeight="10420" tabRatio="904" firstSheet="7" activeTab="13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r:id="rId6"/>
    <sheet name="Economic input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6" i="21" l="1"/>
  <c r="I16" i="21"/>
  <c r="J16" i="21"/>
  <c r="K16" i="21"/>
  <c r="G30" i="73"/>
  <c r="F30" i="73"/>
  <c r="E30" i="73"/>
  <c r="D30" i="73"/>
  <c r="G19" i="73"/>
  <c r="F19" i="73"/>
  <c r="E19" i="73"/>
  <c r="D19" i="73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B13" i="76" l="1"/>
  <c r="B12" i="76"/>
  <c r="H153" i="72" l="1"/>
  <c r="G153" i="72"/>
  <c r="F153" i="72"/>
  <c r="E153" i="72"/>
  <c r="D153" i="72"/>
  <c r="H152" i="72"/>
  <c r="G152" i="72"/>
  <c r="F152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D131" i="72"/>
  <c r="H130" i="72"/>
  <c r="G130" i="72"/>
  <c r="F130" i="72"/>
  <c r="E130" i="72"/>
  <c r="D130" i="72"/>
  <c r="E129" i="72"/>
  <c r="D129" i="72"/>
  <c r="H128" i="72"/>
  <c r="G128" i="72"/>
  <c r="F128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G112" i="72"/>
  <c r="F112" i="72"/>
  <c r="E112" i="72"/>
  <c r="D112" i="72"/>
  <c r="H97" i="72"/>
  <c r="G97" i="72"/>
  <c r="F97" i="72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H75" i="72"/>
  <c r="G75" i="72"/>
  <c r="F75" i="72"/>
  <c r="E75" i="72"/>
  <c r="D75" i="72"/>
  <c r="E74" i="72"/>
  <c r="D74" i="72"/>
  <c r="H73" i="72"/>
  <c r="G73" i="72"/>
  <c r="F73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F57" i="72"/>
  <c r="E57" i="72"/>
  <c r="D57" i="72"/>
  <c r="H20" i="72"/>
  <c r="G20" i="72"/>
  <c r="F20" i="72"/>
  <c r="H18" i="72"/>
  <c r="G18" i="72"/>
  <c r="F18" i="72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F48" i="69"/>
  <c r="E48" i="69"/>
  <c r="D48" i="69"/>
  <c r="C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D31" i="69"/>
  <c r="C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D14" i="69"/>
  <c r="C14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2" authorId="0" shapeId="0" xr:uid="{3397D1D3-BEA3-45F4-A619-862AC339E68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Put 1- productivility loss in calculations</t>
        </r>
      </text>
    </comment>
    <comment ref="A13" authorId="0" shapeId="0" xr:uid="{48B2076D-20F0-4D60-BBE9-AF5CB791068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use 1-reduction in the model</t>
        </r>
      </text>
    </commen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multiplying:
Wage Share in GDP for manual occupations
Gains productivity in light labour (Horton and Ross, 2003)
Blue-Collar Share employment in total employment
Wage Share of Heavy manual labor (Age share * manual labor)
Gains in productivity in heavy labor (Horton and Ross, 2003)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9" authorId="0" shapeId="0" xr:uid="{E9C58728-620D-4FB4-97D4-566CCAEA95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</commentList>
</comments>
</file>

<file path=xl/sharedStrings.xml><?xml version="1.0" encoding="utf-8"?>
<sst xmlns="http://schemas.openxmlformats.org/spreadsheetml/2006/main" count="2153" uniqueCount="372">
  <si>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</si>
  <si>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</si>
  <si>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</si>
  <si>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</si>
  <si>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</si>
  <si>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</si>
  <si>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</si>
  <si>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</si>
  <si>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</si>
  <si>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</si>
  <si>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</si>
  <si>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</si>
  <si>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</si>
  <si>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</si>
  <si>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</si>
  <si>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</si>
  <si>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</si>
  <si>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</si>
  <si>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</si>
  <si>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</si>
  <si>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</si>
  <si>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</si>
  <si>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</si>
  <si>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</si>
  <si>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</si>
  <si>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</si>
  <si>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</si>
  <si>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</si>
  <si>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</si>
  <si>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</si>
  <si>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</si>
  <si>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</si>
  <si>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</si>
  <si>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</si>
  <si>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</si>
  <si>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</si>
  <si>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</si>
  <si>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</si>
  <si>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</si>
  <si>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</si>
  <si>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</si>
  <si>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</si>
  <si>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</si>
  <si>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</si>
  <si>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</si>
  <si>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</si>
  <si>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</si>
  <si>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</si>
  <si>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</si>
  <si>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</si>
  <si>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</si>
  <si>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</si>
  <si>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</si>
  <si>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</si>
  <si>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</si>
  <si>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</si>
  <si>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</si>
  <si>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</si>
  <si>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</si>
  <si>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</si>
  <si>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</si>
  <si>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</si>
  <si>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</si>
  <si>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</si>
  <si>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</si>
  <si>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</si>
  <si>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</si>
  <si>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</si>
  <si>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</si>
  <si>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</si>
  <si>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</si>
  <si>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</si>
  <si>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</si>
  <si>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</si>
  <si>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</si>
  <si>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</si>
  <si>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</si>
  <si>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</si>
  <si>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</si>
  <si>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</si>
  <si>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</si>
  <si>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</si>
  <si>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</si>
  <si>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</si>
  <si>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</si>
  <si>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</si>
  <si>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</si>
  <si>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</si>
  <si>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</si>
  <si>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</si>
  <si>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</si>
  <si>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</si>
  <si>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</si>
  <si>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</si>
  <si>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</si>
  <si>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</si>
  <si>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</si>
  <si>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</si>
  <si>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</si>
  <si>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</si>
  <si>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</si>
  <si>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</si>
  <si>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</si>
  <si>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</si>
  <si>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</si>
  <si>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</si>
  <si>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</si>
  <si>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</si>
  <si>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</si>
  <si>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</si>
  <si>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</si>
  <si>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</si>
  <si>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</si>
  <si>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</si>
  <si>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</si>
  <si>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</si>
  <si>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</si>
  <si>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</si>
  <si>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</si>
  <si>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</si>
  <si>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</si>
  <si>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</si>
  <si>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</si>
  <si>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</si>
  <si>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</si>
  <si>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</si>
  <si>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</si>
  <si>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</si>
  <si>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</si>
  <si>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</si>
  <si>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</si>
  <si>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</si>
  <si>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</si>
  <si>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</si>
  <si>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</si>
  <si>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</si>
  <si>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</si>
  <si>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</si>
  <si>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</si>
  <si>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</si>
  <si>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</si>
  <si>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</si>
  <si>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</si>
  <si>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</si>
  <si>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</si>
  <si>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</si>
  <si>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</si>
  <si>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</si>
  <si>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</si>
  <si>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</si>
  <si>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</si>
  <si>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</si>
  <si>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</si>
  <si>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</si>
  <si>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</si>
  <si>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</si>
  <si>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</si>
  <si>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</si>
  <si>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</si>
  <si>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</si>
  <si>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</si>
  <si>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</si>
  <si>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</si>
  <si>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</si>
  <si>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</si>
  <si>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</si>
  <si>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</si>
  <si>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</si>
  <si>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</si>
  <si>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</si>
  <si>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</si>
  <si>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</si>
  <si>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</si>
  <si>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</si>
  <si>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</si>
  <si>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</si>
  <si>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</si>
  <si>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</si>
  <si>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</si>
  <si>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</si>
  <si>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</si>
  <si>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</si>
  <si>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</si>
  <si>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</si>
  <si>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</si>
  <si>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</si>
  <si>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</si>
  <si>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</si>
  <si>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</si>
  <si>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</si>
  <si>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</si>
  <si>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</si>
  <si>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</si>
  <si>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</si>
  <si>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</si>
  <si>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</si>
  <si>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</si>
  <si>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</si>
  <si>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</si>
  <si>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</si>
  <si>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</si>
  <si>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</si>
  <si>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</si>
  <si>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</si>
  <si>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</si>
  <si>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</si>
  <si>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</si>
  <si>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</si>
  <si>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</si>
  <si>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</si>
  <si>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</si>
  <si>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</si>
  <si>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</si>
  <si>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</si>
  <si>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</si>
  <si>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</si>
  <si>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</si>
  <si>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</si>
  <si>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</si>
  <si>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</si>
  <si>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</si>
  <si>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</si>
  <si>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</si>
  <si>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</si>
  <si>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</si>
  <si>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</si>
  <si>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</si>
  <si>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</si>
  <si>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</si>
  <si>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</si>
  <si>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</si>
  <si>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</si>
  <si>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</si>
  <si>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</si>
  <si>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</si>
  <si>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</si>
  <si>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</si>
  <si>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</si>
  <si>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</si>
  <si>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</si>
  <si>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</si>
  <si>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</si>
  <si>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</si>
  <si>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</si>
  <si>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</si>
  <si>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</si>
  <si>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</si>
  <si>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</si>
  <si>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</si>
  <si>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</si>
  <si>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</si>
  <si>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</si>
  <si>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</si>
  <si>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</si>
  <si>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</si>
  <si>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</si>
  <si>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</si>
  <si>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</si>
  <si>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</si>
  <si>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</si>
  <si>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</si>
  <si>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</si>
  <si>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</si>
  <si>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</si>
  <si>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</si>
  <si>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</si>
  <si>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</si>
  <si>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</si>
  <si>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</si>
  <si>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</si>
  <si>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</si>
  <si>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</si>
  <si>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</si>
  <si>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</si>
  <si>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</si>
  <si>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</si>
  <si>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</si>
  <si>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</si>
  <si>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</si>
  <si>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</si>
  <si>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</si>
  <si>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</si>
  <si>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</si>
  <si>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</si>
  <si>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</si>
  <si>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</si>
  <si>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</si>
  <si>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</si>
  <si>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</si>
  <si>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</si>
  <si>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</si>
  <si>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</si>
  <si>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</si>
  <si>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</si>
  <si>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</si>
  <si>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</si>
  <si>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</si>
  <si>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</si>
  <si>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</si>
  <si>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</si>
  <si>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</si>
  <si>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</si>
  <si>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</si>
  <si>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</si>
  <si>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</si>
  <si>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</si>
  <si>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</si>
  <si>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</si>
  <si>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</si>
  <si>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</si>
  <si>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</si>
  <si>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</si>
  <si>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</si>
  <si>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</si>
  <si>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</si>
  <si>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</si>
  <si>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</si>
  <si>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</si>
  <si>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</si>
  <si>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</si>
  <si>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</si>
  <si>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</si>
  <si>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</si>
  <si>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</si>
  <si>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</si>
  <si>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Max-increase per annum</t>
  </si>
  <si>
    <t>Max-decrease per annum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</si>
  <si>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</si>
  <si>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</si>
  <si>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</si>
  <si>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</si>
  <si>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</si>
  <si>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</si>
  <si>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</si>
  <si>
    <t>GDP per capita</t>
  </si>
  <si>
    <t>Female labor force participation</t>
  </si>
  <si>
    <t>Labor share of GDP</t>
  </si>
  <si>
    <t>Percentage of lifetime earning actually realized</t>
  </si>
  <si>
    <t>Value</t>
  </si>
  <si>
    <t>Increase in IQ points due to early breastfeeding</t>
  </si>
  <si>
    <t>Number of people left alive (starting with 100,000 births)</t>
  </si>
  <si>
    <t>GDP growth rate per annum</t>
  </si>
  <si>
    <t>Discounting (costs)</t>
  </si>
  <si>
    <t>Discounting (benefits)</t>
  </si>
  <si>
    <t>Starting age for workforce productivity</t>
  </si>
  <si>
    <t>Ending age for workforce productivity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</si>
  <si>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</si>
  <si>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</si>
  <si>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</si>
  <si>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</si>
  <si>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</si>
  <si>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earnings due per one point increase in IQ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</si>
  <si>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</si>
  <si>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</si>
  <si>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</si>
  <si>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</si>
  <si>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</si>
  <si>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</si>
  <si>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</si>
  <si>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</si>
  <si>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</si>
  <si>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</si>
  <si>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</si>
  <si>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</si>
  <si>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</si>
  <si>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</si>
  <si>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</si>
  <si>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</si>
  <si>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Percentage of stillbirths to include in productivity loss</t>
  </si>
  <si>
    <t>Cash transfers - lower</t>
  </si>
  <si>
    <t>Cash transfers - upper</t>
  </si>
  <si>
    <t>Stillbirths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</si>
</sst>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3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329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GW3Sk704oYstFwPzuqiFazTBAKkTKEvFm0NnVSf28E4blyTmH3FKH40jniO/OhCPOfgLemRdY9koq83XblsjqQ==" saltValue="9O/uKZuQoSCESoQZ0qsDe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3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8"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4">
        <f>IFERROR(1-_xlfn.NORM.DIST(_xlfn.NORM.INV(SUM(C4:C5), 0, 1) + 1, 0, 1, TRUE), "")</f>
        <v>0.54471569980476653</v>
      </c>
      <c r="D2" s="114">
        <f>IFERROR(1-_xlfn.NORM.DIST(_xlfn.NORM.INV(SUM(D4:D5), 0, 1) + 1, 0, 1, TRUE), "")</f>
        <v>0.54471569980476653</v>
      </c>
      <c r="E2" s="114">
        <f>IFERROR(1-_xlfn.NORM.DIST(_xlfn.NORM.INV(SUM(E4:E5), 0, 1) + 1, 0, 1, TRUE), "")</f>
        <v>0.44982829694488635</v>
      </c>
      <c r="F2" s="114">
        <f>IFERROR(1-_xlfn.NORM.DIST(_xlfn.NORM.INV(SUM(F4:F5), 0, 1) + 1, 0, 1, TRUE), "")</f>
        <v>0.24457139941017503</v>
      </c>
      <c r="G2" s="114">
        <f>IFERROR(1-_xlfn.NORM.DIST(_xlfn.NORM.INV(SUM(G4:G5), 0, 1) + 1, 0, 1, TRUE), "")</f>
        <v>0.23269074767298425</v>
      </c>
    </row>
    <row r="3" spans="1:15" ht="15.75" customHeight="1" x14ac:dyDescent="0.25">
      <c r="B3" s="5" t="s">
        <v>118</v>
      </c>
      <c r="C3" s="114">
        <f>IFERROR(_xlfn.NORM.DIST(_xlfn.NORM.INV(SUM(C4:C5), 0, 1) + 1, 0, 1, TRUE) - SUM(C4:C5), "")</f>
        <v>0.32228430019523346</v>
      </c>
      <c r="D3" s="114">
        <f>IFERROR(_xlfn.NORM.DIST(_xlfn.NORM.INV(SUM(D4:D5), 0, 1) + 1, 0, 1, TRUE) - SUM(D4:D5), "")</f>
        <v>0.32228430019523346</v>
      </c>
      <c r="E3" s="114">
        <f>IFERROR(_xlfn.NORM.DIST(_xlfn.NORM.INV(SUM(E4:E5), 0, 1) + 1, 0, 1, TRUE) - SUM(E4:E5), "")</f>
        <v>0.35908666207150708</v>
      </c>
      <c r="F3" s="114">
        <f>IFERROR(_xlfn.NORM.DIST(_xlfn.NORM.INV(SUM(F4:F5), 0, 1) + 1, 0, 1, TRUE) - SUM(F4:F5), "")</f>
        <v>0.37651189492768178</v>
      </c>
      <c r="G3" s="114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116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333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328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327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32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137</v>
      </c>
      <c r="B10" s="45" t="s">
        <v>142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74</v>
      </c>
      <c r="B13" s="45" t="s">
        <v>143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165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topLeftCell="A3" zoomScale="80" zoomScaleNormal="80" workbookViewId="0">
      <selection activeCell="J13" sqref="J13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355</v>
      </c>
      <c r="B1" s="29" t="s">
        <v>338</v>
      </c>
    </row>
    <row r="2" spans="1:2" x14ac:dyDescent="0.25">
      <c r="A2" s="27" t="s">
        <v>334</v>
      </c>
      <c r="B2" s="118">
        <v>3000.4442305317302</v>
      </c>
    </row>
    <row r="3" spans="1:2" x14ac:dyDescent="0.25">
      <c r="A3" s="27" t="s">
        <v>341</v>
      </c>
      <c r="B3" s="120">
        <v>0.03</v>
      </c>
    </row>
    <row r="4" spans="1:2" x14ac:dyDescent="0.25">
      <c r="A4" s="27" t="s">
        <v>336</v>
      </c>
      <c r="B4" s="120">
        <v>0.43146000000000001</v>
      </c>
    </row>
    <row r="5" spans="1:2" x14ac:dyDescent="0.25">
      <c r="A5" s="27" t="s">
        <v>342</v>
      </c>
      <c r="B5" s="120">
        <v>0.03</v>
      </c>
    </row>
    <row r="6" spans="1:2" x14ac:dyDescent="0.25">
      <c r="A6" s="27" t="s">
        <v>343</v>
      </c>
      <c r="B6" s="120">
        <v>0.03</v>
      </c>
    </row>
    <row r="7" spans="1:2" x14ac:dyDescent="0.25">
      <c r="A7" s="27" t="s">
        <v>344</v>
      </c>
      <c r="B7" s="116">
        <v>18</v>
      </c>
    </row>
    <row r="8" spans="1:2" x14ac:dyDescent="0.25">
      <c r="A8" s="27" t="s">
        <v>345</v>
      </c>
      <c r="B8" s="116">
        <v>65</v>
      </c>
    </row>
    <row r="9" spans="1:2" x14ac:dyDescent="0.25">
      <c r="A9" s="27" t="s">
        <v>335</v>
      </c>
      <c r="B9" s="120">
        <v>0.73801000000000005</v>
      </c>
    </row>
    <row r="10" spans="1:2" x14ac:dyDescent="0.25">
      <c r="A10" s="27" t="s">
        <v>337</v>
      </c>
      <c r="B10" s="120">
        <v>0.9</v>
      </c>
    </row>
    <row r="11" spans="1:2" x14ac:dyDescent="0.25">
      <c r="A11" s="27" t="s">
        <v>346</v>
      </c>
      <c r="B11" s="120">
        <v>0.66</v>
      </c>
    </row>
    <row r="12" spans="1:2" x14ac:dyDescent="0.25">
      <c r="A12" s="27" t="s">
        <v>347</v>
      </c>
      <c r="B12" s="120">
        <f>0.025</f>
        <v>2.5000000000000001E-2</v>
      </c>
    </row>
    <row r="13" spans="1:2" x14ac:dyDescent="0.25">
      <c r="A13" s="27" t="s">
        <v>348</v>
      </c>
      <c r="B13" s="120">
        <f>0.075</f>
        <v>7.4999999999999997E-2</v>
      </c>
    </row>
    <row r="14" spans="1:2" x14ac:dyDescent="0.25">
      <c r="A14" s="27" t="s">
        <v>349</v>
      </c>
      <c r="B14" s="119">
        <v>1.2190322671178365E-4</v>
      </c>
    </row>
    <row r="15" spans="1:2" x14ac:dyDescent="0.25">
      <c r="A15" s="27" t="s">
        <v>350</v>
      </c>
      <c r="B15" s="116">
        <v>0.5</v>
      </c>
    </row>
    <row r="16" spans="1:2" x14ac:dyDescent="0.25">
      <c r="A16" s="27" t="s">
        <v>339</v>
      </c>
      <c r="B16" s="116">
        <v>0.8</v>
      </c>
    </row>
    <row r="17" spans="1:15" x14ac:dyDescent="0.25">
      <c r="A17" s="27" t="s">
        <v>351</v>
      </c>
      <c r="B17" s="117">
        <v>1.0666666666666666E-2</v>
      </c>
    </row>
    <row r="18" spans="1:15" x14ac:dyDescent="0.25">
      <c r="A18" t="s">
        <v>368</v>
      </c>
      <c r="B18" s="120">
        <v>0.5</v>
      </c>
    </row>
    <row r="21" spans="1:15" ht="13" x14ac:dyDescent="0.3">
      <c r="A21" s="29" t="s">
        <v>352</v>
      </c>
      <c r="B21" s="27" t="s">
        <v>353</v>
      </c>
      <c r="C21" s="27" t="s">
        <v>354</v>
      </c>
      <c r="D21" s="27" t="s">
        <v>356</v>
      </c>
      <c r="E21" s="27" t="s">
        <v>357</v>
      </c>
      <c r="F21" s="27" t="s">
        <v>358</v>
      </c>
      <c r="G21" s="27" t="s">
        <v>359</v>
      </c>
      <c r="H21" s="27" t="s">
        <v>360</v>
      </c>
      <c r="I21" s="27" t="s">
        <v>361</v>
      </c>
      <c r="J21" s="27" t="s">
        <v>362</v>
      </c>
      <c r="K21" s="27" t="s">
        <v>363</v>
      </c>
      <c r="L21" s="27" t="s">
        <v>364</v>
      </c>
      <c r="M21" s="27" t="s">
        <v>365</v>
      </c>
      <c r="N21" s="27" t="s">
        <v>366</v>
      </c>
      <c r="O21" s="27" t="s">
        <v>367</v>
      </c>
    </row>
    <row r="22" spans="1:15" x14ac:dyDescent="0.25">
      <c r="A22" s="27" t="s">
        <v>340</v>
      </c>
      <c r="B22" s="118">
        <v>95374.524950000006</v>
      </c>
      <c r="C22" s="118">
        <v>94009.684729999994</v>
      </c>
      <c r="D22" s="118">
        <v>93793.063160000005</v>
      </c>
      <c r="E22" s="118">
        <v>93619.879589999997</v>
      </c>
      <c r="F22" s="118">
        <v>93002.658559999996</v>
      </c>
      <c r="G22" s="118">
        <v>92072.362380000006</v>
      </c>
      <c r="H22" s="118">
        <v>90934.833880000006</v>
      </c>
      <c r="I22" s="118">
        <v>89533.178140000004</v>
      </c>
      <c r="J22" s="118">
        <v>87597.276540000006</v>
      </c>
      <c r="K22" s="118">
        <v>84803.133549999999</v>
      </c>
      <c r="L22" s="118">
        <v>80890.356390000001</v>
      </c>
      <c r="M22" s="118">
        <v>75378.861269999994</v>
      </c>
      <c r="N22" s="118">
        <v>67914.972120000006</v>
      </c>
      <c r="O22" s="118">
        <v>58238.404139999999</v>
      </c>
    </row>
  </sheetData>
  <sheetProtection selectLockedCells="1"/>
  <phoneticPr fontId="29" type="noConversion"/>
  <pageMargins left="0.7" right="0.7" top="0.75" bottom="0.75" header="0.3" footer="0.3"/>
  <ignoredErrors>
    <ignoredError sqref="B12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12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325</v>
      </c>
      <c r="G1" s="40" t="s">
        <v>326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330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7" sqref="C17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tabSelected="1" zoomScale="85" zoomScaleNormal="118" workbookViewId="0">
      <selection activeCell="J12" sqref="J12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330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>food_insecure</f>
        <v>0.28199999999999997</v>
      </c>
      <c r="I16" s="69">
        <f>food_insecure</f>
        <v>0.28199999999999997</v>
      </c>
      <c r="J16" s="69">
        <f>food_insecure</f>
        <v>0.28199999999999997</v>
      </c>
      <c r="K16" s="69">
        <f>food_insecure</f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144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168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193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194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190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131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132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84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58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330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67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28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85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60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32</v>
      </c>
      <c r="B18" s="39" t="s">
        <v>29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86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182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202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57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87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59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37</v>
      </c>
      <c r="B27" s="39" t="s">
        <v>192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183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201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184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185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35</v>
      </c>
      <c r="B33" s="39" t="s">
        <v>63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64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62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47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34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83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82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81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79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80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topLeftCell="A9" workbookViewId="0">
      <selection activeCell="B27" sqref="B27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39" t="s">
        <v>29</v>
      </c>
      <c r="B2" s="101"/>
      <c r="C2" s="101"/>
      <c r="D2" s="101"/>
      <c r="E2" s="101"/>
      <c r="F2" s="101"/>
      <c r="G2" s="101"/>
      <c r="H2" s="101"/>
      <c r="I2" s="101" t="s">
        <v>189</v>
      </c>
      <c r="J2" s="101"/>
      <c r="K2" s="101"/>
      <c r="L2" s="101"/>
    </row>
    <row r="3" spans="1:12" x14ac:dyDescent="0.25">
      <c r="A3" s="39" t="s">
        <v>86</v>
      </c>
      <c r="B3" s="101"/>
      <c r="C3" s="101"/>
      <c r="D3" s="101"/>
      <c r="E3" s="101"/>
      <c r="F3" s="101"/>
      <c r="G3" s="101"/>
      <c r="H3" s="101" t="s">
        <v>189</v>
      </c>
      <c r="I3" s="101" t="s">
        <v>189</v>
      </c>
      <c r="J3" s="101"/>
      <c r="K3" s="101"/>
      <c r="L3" s="101"/>
    </row>
    <row r="4" spans="1:12" x14ac:dyDescent="0.25">
      <c r="A4" s="39" t="s">
        <v>61</v>
      </c>
      <c r="B4" s="101" t="s">
        <v>189</v>
      </c>
      <c r="C4" s="101"/>
      <c r="D4" s="101" t="s">
        <v>189</v>
      </c>
      <c r="E4" s="101"/>
      <c r="F4" s="101"/>
      <c r="G4" s="101"/>
      <c r="H4" s="101"/>
      <c r="I4" s="101"/>
      <c r="J4" s="101"/>
      <c r="K4" s="101"/>
      <c r="L4" s="101"/>
    </row>
    <row r="5" spans="1:12" x14ac:dyDescent="0.25">
      <c r="A5" s="39" t="s">
        <v>144</v>
      </c>
      <c r="B5" s="101"/>
      <c r="C5" s="101" t="s">
        <v>189</v>
      </c>
      <c r="D5" s="101"/>
      <c r="E5" s="101"/>
      <c r="F5" s="101"/>
      <c r="G5" s="101"/>
      <c r="H5" s="101"/>
      <c r="I5" s="101"/>
      <c r="J5" s="101"/>
      <c r="K5" s="101"/>
      <c r="L5" s="101"/>
    </row>
    <row r="6" spans="1:12" x14ac:dyDescent="0.25">
      <c r="A6" s="39" t="s">
        <v>192</v>
      </c>
      <c r="B6" s="101"/>
      <c r="C6" s="101"/>
      <c r="D6" s="101"/>
      <c r="E6" s="101"/>
      <c r="F6" s="101"/>
      <c r="G6" s="101"/>
      <c r="H6" s="101"/>
      <c r="I6" s="101"/>
      <c r="J6" s="101" t="s">
        <v>189</v>
      </c>
      <c r="K6" s="101" t="s">
        <v>189</v>
      </c>
      <c r="L6" s="101"/>
    </row>
    <row r="7" spans="1:12" x14ac:dyDescent="0.25">
      <c r="A7" s="39" t="s">
        <v>63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/>
      <c r="J7" s="101"/>
      <c r="K7" s="101"/>
      <c r="L7" s="101"/>
    </row>
    <row r="8" spans="1:12" x14ac:dyDescent="0.25">
      <c r="A8" s="39" t="s">
        <v>64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/>
      <c r="J8" s="101"/>
      <c r="K8" s="101"/>
      <c r="L8" s="101"/>
    </row>
    <row r="9" spans="1:12" x14ac:dyDescent="0.25">
      <c r="A9" s="39" t="s">
        <v>62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/>
      <c r="J9" s="101"/>
      <c r="K9" s="101"/>
      <c r="L9" s="101"/>
    </row>
    <row r="10" spans="1:12" x14ac:dyDescent="0.25">
      <c r="A10" s="45" t="s">
        <v>183</v>
      </c>
      <c r="B10" s="101"/>
      <c r="C10" s="101" t="s">
        <v>189</v>
      </c>
      <c r="D10" s="101"/>
      <c r="E10" s="101"/>
      <c r="F10" s="101"/>
      <c r="G10" s="101"/>
      <c r="H10" s="101"/>
      <c r="I10" s="101"/>
      <c r="J10" s="101"/>
      <c r="K10" s="101"/>
      <c r="L10" s="101"/>
    </row>
    <row r="11" spans="1:12" x14ac:dyDescent="0.25">
      <c r="A11" s="45" t="s">
        <v>201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/>
      <c r="K11" s="101"/>
      <c r="L11" s="101"/>
    </row>
    <row r="12" spans="1:12" x14ac:dyDescent="0.25">
      <c r="A12" s="45" t="s">
        <v>184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/>
      <c r="L12" s="101"/>
    </row>
    <row r="13" spans="1:12" x14ac:dyDescent="0.25">
      <c r="A13" s="45" t="s">
        <v>185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/>
      <c r="L13" s="101"/>
    </row>
    <row r="14" spans="1:12" x14ac:dyDescent="0.25">
      <c r="A14" s="72" t="s">
        <v>182</v>
      </c>
      <c r="B14" s="101"/>
      <c r="C14" s="101" t="s">
        <v>189</v>
      </c>
      <c r="D14" s="101"/>
      <c r="E14" s="101"/>
      <c r="F14" s="101"/>
      <c r="G14" s="101"/>
      <c r="H14" s="101"/>
      <c r="I14" s="101" t="s">
        <v>189</v>
      </c>
      <c r="J14" s="101"/>
      <c r="K14" s="101"/>
      <c r="L14" s="101"/>
    </row>
    <row r="15" spans="1:12" x14ac:dyDescent="0.25">
      <c r="A15" s="72" t="s">
        <v>202</v>
      </c>
      <c r="B15" s="101"/>
      <c r="C15" s="101" t="s">
        <v>189</v>
      </c>
      <c r="D15" s="101"/>
      <c r="E15" s="101"/>
      <c r="F15" s="101"/>
      <c r="G15" s="101"/>
      <c r="H15" s="101"/>
      <c r="I15" s="101" t="s">
        <v>189</v>
      </c>
      <c r="J15" s="101"/>
      <c r="K15" s="101"/>
      <c r="L15" s="101"/>
    </row>
    <row r="16" spans="1:12" x14ac:dyDescent="0.25">
      <c r="A16" s="39" t="s">
        <v>57</v>
      </c>
      <c r="B16" s="101"/>
      <c r="C16" s="101" t="s">
        <v>189</v>
      </c>
      <c r="D16" s="101"/>
      <c r="E16" s="101"/>
      <c r="F16" s="101"/>
      <c r="G16" s="101"/>
      <c r="H16" s="101" t="s">
        <v>189</v>
      </c>
      <c r="I16" s="101" t="s">
        <v>189</v>
      </c>
      <c r="J16" s="101"/>
      <c r="K16" s="101"/>
      <c r="L16" s="101"/>
    </row>
    <row r="17" spans="1:12" x14ac:dyDescent="0.25">
      <c r="A17" s="39" t="s">
        <v>47</v>
      </c>
      <c r="B17" s="101"/>
      <c r="C17" s="101" t="s">
        <v>189</v>
      </c>
      <c r="D17" s="101"/>
      <c r="E17" s="101"/>
      <c r="F17" s="101"/>
      <c r="G17" s="101"/>
      <c r="H17" s="101"/>
      <c r="I17" s="101"/>
      <c r="J17" s="101"/>
      <c r="K17" s="101"/>
      <c r="L17" s="101"/>
    </row>
    <row r="18" spans="1:12" x14ac:dyDescent="0.25">
      <c r="A18" s="39" t="s">
        <v>168</v>
      </c>
      <c r="B18" s="101" t="s">
        <v>189</v>
      </c>
      <c r="C18" s="101"/>
      <c r="D18" s="101"/>
      <c r="E18" s="101"/>
      <c r="F18" s="101" t="s">
        <v>189</v>
      </c>
      <c r="G18" s="101"/>
      <c r="H18" s="101"/>
      <c r="I18" s="101"/>
      <c r="J18" s="101"/>
      <c r="K18" s="101"/>
      <c r="L18" s="101"/>
    </row>
    <row r="19" spans="1:12" x14ac:dyDescent="0.25">
      <c r="A19" s="39" t="s">
        <v>193</v>
      </c>
      <c r="B19" s="101" t="s">
        <v>189</v>
      </c>
      <c r="C19" s="101"/>
      <c r="D19" s="101"/>
      <c r="E19" s="101"/>
      <c r="F19" s="101" t="s">
        <v>189</v>
      </c>
      <c r="G19" s="101"/>
      <c r="H19" s="101"/>
      <c r="I19" s="101"/>
      <c r="J19" s="101"/>
      <c r="K19" s="101"/>
      <c r="L19" s="101"/>
    </row>
    <row r="20" spans="1:12" x14ac:dyDescent="0.25">
      <c r="A20" s="39" t="s">
        <v>194</v>
      </c>
      <c r="B20" s="101" t="s">
        <v>189</v>
      </c>
      <c r="C20" s="101"/>
      <c r="D20" s="101"/>
      <c r="E20" s="101"/>
      <c r="F20" s="101" t="s">
        <v>189</v>
      </c>
      <c r="G20" s="101"/>
      <c r="H20" s="101"/>
      <c r="I20" s="101"/>
      <c r="J20" s="101"/>
      <c r="K20" s="101"/>
      <c r="L20" s="101"/>
    </row>
    <row r="21" spans="1:12" x14ac:dyDescent="0.25">
      <c r="A21" s="39" t="s">
        <v>190</v>
      </c>
      <c r="B21" s="101"/>
      <c r="C21" s="101"/>
      <c r="D21" s="101"/>
      <c r="E21" s="101"/>
      <c r="F21" s="101"/>
      <c r="G21" s="101"/>
      <c r="H21" s="101" t="s">
        <v>189</v>
      </c>
      <c r="I21" s="101" t="s">
        <v>189</v>
      </c>
      <c r="J21" s="101"/>
      <c r="K21" s="101"/>
      <c r="L21" s="101"/>
    </row>
    <row r="22" spans="1:12" x14ac:dyDescent="0.25">
      <c r="A22" s="39" t="s">
        <v>131</v>
      </c>
      <c r="B22" s="101" t="s">
        <v>189</v>
      </c>
      <c r="C22" s="101" t="s">
        <v>189</v>
      </c>
      <c r="D22" s="101" t="s">
        <v>189</v>
      </c>
      <c r="E22" s="101"/>
      <c r="F22" s="101"/>
      <c r="G22" s="101"/>
      <c r="H22" s="101"/>
      <c r="I22" s="101"/>
      <c r="J22" s="101"/>
      <c r="K22" s="101"/>
      <c r="L22" s="101"/>
    </row>
    <row r="23" spans="1:12" x14ac:dyDescent="0.25">
      <c r="A23" s="39" t="s">
        <v>34</v>
      </c>
      <c r="B23" s="101"/>
      <c r="C23" s="101" t="s">
        <v>189</v>
      </c>
      <c r="D23" s="101"/>
      <c r="E23" s="101"/>
      <c r="F23" s="101"/>
      <c r="G23" s="101"/>
      <c r="H23" s="101"/>
      <c r="I23" s="101" t="s">
        <v>189</v>
      </c>
      <c r="J23" s="101"/>
      <c r="K23" s="101"/>
      <c r="L23" s="101"/>
    </row>
    <row r="24" spans="1:12" x14ac:dyDescent="0.25">
      <c r="A24" s="39" t="s">
        <v>88</v>
      </c>
      <c r="B24" s="101"/>
      <c r="C24" s="101"/>
      <c r="D24" s="101"/>
      <c r="E24" s="101"/>
      <c r="F24" s="101"/>
      <c r="G24" s="101"/>
      <c r="H24" s="101" t="s">
        <v>189</v>
      </c>
      <c r="I24" s="101"/>
      <c r="J24" s="101"/>
      <c r="K24" s="101"/>
      <c r="L24" s="101"/>
    </row>
    <row r="25" spans="1:12" x14ac:dyDescent="0.25">
      <c r="A25" s="39" t="s">
        <v>87</v>
      </c>
      <c r="B25" s="101"/>
      <c r="C25" s="101"/>
      <c r="D25" s="101"/>
      <c r="E25" s="101"/>
      <c r="F25" s="101"/>
      <c r="G25" s="101"/>
      <c r="H25" s="101" t="s">
        <v>189</v>
      </c>
      <c r="I25" s="101"/>
      <c r="J25" s="101"/>
      <c r="K25" s="101"/>
      <c r="L25" s="101"/>
    </row>
    <row r="26" spans="1:12" x14ac:dyDescent="0.25">
      <c r="A26" s="39" t="s">
        <v>132</v>
      </c>
      <c r="B26" s="101"/>
      <c r="C26" s="101" t="s">
        <v>189</v>
      </c>
      <c r="D26" s="101"/>
      <c r="E26" s="101"/>
      <c r="F26" s="101"/>
      <c r="G26" s="101"/>
      <c r="H26" s="101"/>
      <c r="I26" s="101"/>
      <c r="J26" s="101"/>
      <c r="K26" s="101"/>
      <c r="L26" s="101"/>
    </row>
    <row r="27" spans="1:12" x14ac:dyDescent="0.25">
      <c r="A27" s="39" t="s">
        <v>59</v>
      </c>
      <c r="B27" s="101"/>
      <c r="C27" s="101" t="s">
        <v>189</v>
      </c>
      <c r="D27" s="101"/>
      <c r="E27" s="101"/>
      <c r="F27" s="101"/>
      <c r="G27" s="101"/>
      <c r="H27" s="101"/>
      <c r="I27" s="101" t="s">
        <v>189</v>
      </c>
      <c r="J27" s="101"/>
      <c r="K27" s="101"/>
      <c r="L27" s="101" t="s">
        <v>189</v>
      </c>
    </row>
    <row r="28" spans="1:12" x14ac:dyDescent="0.25">
      <c r="A28" s="39" t="s">
        <v>84</v>
      </c>
      <c r="B28" s="101"/>
      <c r="C28" s="101"/>
      <c r="D28" s="101"/>
      <c r="E28" s="101"/>
      <c r="F28" s="101"/>
      <c r="G28" s="101"/>
      <c r="H28" s="101" t="s">
        <v>189</v>
      </c>
      <c r="I28" s="101"/>
      <c r="J28" s="101"/>
      <c r="K28" s="101"/>
      <c r="L28" s="101"/>
    </row>
    <row r="29" spans="1:12" x14ac:dyDescent="0.25">
      <c r="A29" s="39" t="s">
        <v>58</v>
      </c>
      <c r="B29" s="101" t="s">
        <v>189</v>
      </c>
      <c r="C29" s="101"/>
      <c r="D29" s="101" t="s">
        <v>189</v>
      </c>
      <c r="E29" s="101"/>
      <c r="F29" s="101"/>
      <c r="G29" s="101"/>
      <c r="H29" s="101"/>
      <c r="I29" s="101"/>
      <c r="J29" s="101"/>
      <c r="K29" s="101"/>
      <c r="L29" s="101"/>
    </row>
    <row r="30" spans="1:12" x14ac:dyDescent="0.25">
      <c r="A30" s="39" t="s">
        <v>330</v>
      </c>
      <c r="B30" s="101" t="s">
        <v>189</v>
      </c>
      <c r="C30" s="101" t="s">
        <v>189</v>
      </c>
      <c r="D30" s="101" t="s">
        <v>189</v>
      </c>
      <c r="E30" s="101"/>
      <c r="F30" s="101"/>
      <c r="G30" s="101"/>
      <c r="H30" s="101"/>
      <c r="I30" s="101"/>
      <c r="J30" s="101"/>
      <c r="K30" s="101"/>
      <c r="L30" s="101"/>
    </row>
    <row r="31" spans="1:12" x14ac:dyDescent="0.25">
      <c r="A31" s="39" t="s">
        <v>67</v>
      </c>
      <c r="B31" s="101"/>
      <c r="C31" s="101"/>
      <c r="D31" s="101"/>
      <c r="E31" s="101" t="s">
        <v>189</v>
      </c>
      <c r="F31" s="101"/>
      <c r="G31" s="101"/>
      <c r="H31" s="101"/>
      <c r="I31" s="101"/>
      <c r="J31" s="101"/>
      <c r="K31" s="101"/>
      <c r="L31" s="101"/>
    </row>
    <row r="32" spans="1:12" x14ac:dyDescent="0.25">
      <c r="A32" s="39" t="s">
        <v>28</v>
      </c>
      <c r="B32" s="101"/>
      <c r="C32" s="101"/>
      <c r="D32" s="101"/>
      <c r="E32" s="101"/>
      <c r="F32" s="101"/>
      <c r="G32" s="101" t="s">
        <v>189</v>
      </c>
      <c r="H32" s="101" t="s">
        <v>189</v>
      </c>
      <c r="I32" s="101"/>
      <c r="J32" s="101"/>
      <c r="K32" s="101"/>
      <c r="L32" s="101"/>
    </row>
    <row r="33" spans="1:12" x14ac:dyDescent="0.25">
      <c r="A33" s="39" t="s">
        <v>83</v>
      </c>
      <c r="B33" s="101"/>
      <c r="C33" s="101"/>
      <c r="D33" s="101"/>
      <c r="E33" s="101"/>
      <c r="F33" s="101"/>
      <c r="G33" s="101" t="s">
        <v>189</v>
      </c>
      <c r="H33" s="101" t="s">
        <v>189</v>
      </c>
      <c r="I33" s="101"/>
      <c r="J33" s="101"/>
      <c r="K33" s="101"/>
      <c r="L33" s="101"/>
    </row>
    <row r="34" spans="1:12" x14ac:dyDescent="0.25">
      <c r="A34" s="39" t="s">
        <v>82</v>
      </c>
      <c r="B34" s="101"/>
      <c r="C34" s="101"/>
      <c r="D34" s="101"/>
      <c r="E34" s="101"/>
      <c r="F34" s="101"/>
      <c r="G34" s="101" t="s">
        <v>189</v>
      </c>
      <c r="H34" s="101" t="s">
        <v>189</v>
      </c>
      <c r="I34" s="101"/>
      <c r="J34" s="101"/>
      <c r="K34" s="101"/>
      <c r="L34" s="101"/>
    </row>
    <row r="35" spans="1:12" x14ac:dyDescent="0.25">
      <c r="A35" s="39" t="s">
        <v>81</v>
      </c>
      <c r="B35" s="101"/>
      <c r="C35" s="101"/>
      <c r="D35" s="101"/>
      <c r="E35" s="101"/>
      <c r="F35" s="101"/>
      <c r="G35" s="101" t="s">
        <v>189</v>
      </c>
      <c r="H35" s="101" t="s">
        <v>189</v>
      </c>
      <c r="I35" s="101"/>
      <c r="J35" s="101"/>
      <c r="K35" s="101"/>
      <c r="L35" s="101"/>
    </row>
    <row r="36" spans="1:12" x14ac:dyDescent="0.25">
      <c r="A36" s="39" t="s">
        <v>79</v>
      </c>
      <c r="B36" s="101"/>
      <c r="C36" s="101"/>
      <c r="D36" s="101"/>
      <c r="E36" s="101"/>
      <c r="F36" s="101"/>
      <c r="G36" s="101" t="s">
        <v>189</v>
      </c>
      <c r="H36" s="101" t="s">
        <v>189</v>
      </c>
      <c r="I36" s="101"/>
      <c r="J36" s="101"/>
      <c r="K36" s="101"/>
      <c r="L36" s="101"/>
    </row>
    <row r="37" spans="1:12" x14ac:dyDescent="0.25">
      <c r="A37" s="39" t="s">
        <v>80</v>
      </c>
      <c r="B37" s="101"/>
      <c r="C37" s="101"/>
      <c r="D37" s="101"/>
      <c r="E37" s="101"/>
      <c r="F37" s="101"/>
      <c r="G37" s="101" t="s">
        <v>189</v>
      </c>
      <c r="H37" s="101" t="s">
        <v>189</v>
      </c>
      <c r="I37" s="101"/>
      <c r="J37" s="101"/>
      <c r="K37" s="101"/>
      <c r="L37" s="101"/>
    </row>
    <row r="38" spans="1:12" x14ac:dyDescent="0.25">
      <c r="A38" s="39" t="s">
        <v>85</v>
      </c>
      <c r="B38" s="101"/>
      <c r="C38" s="101"/>
      <c r="D38" s="101"/>
      <c r="E38" s="101"/>
      <c r="F38" s="101"/>
      <c r="G38" s="101"/>
      <c r="H38" s="101" t="s">
        <v>189</v>
      </c>
      <c r="I38" s="101"/>
      <c r="J38" s="101"/>
      <c r="K38" s="101"/>
      <c r="L38" s="101"/>
    </row>
    <row r="39" spans="1:12" x14ac:dyDescent="0.25">
      <c r="A39" s="39" t="s">
        <v>60</v>
      </c>
      <c r="B39" s="101" t="s">
        <v>189</v>
      </c>
      <c r="C39" s="101"/>
      <c r="D39" s="101"/>
      <c r="E39" s="101"/>
      <c r="F39" s="101"/>
      <c r="G39" s="101" t="s">
        <v>189</v>
      </c>
      <c r="H39" s="101" t="s">
        <v>189</v>
      </c>
      <c r="I39" s="101"/>
      <c r="J39" s="101"/>
      <c r="K39" s="101"/>
      <c r="L39" s="101"/>
    </row>
  </sheetData>
  <sheetProtection algorithmName="SHA-512" hashValue="aHtj+uBb74xjHiWTLN7A+E2Ob8SQeKLY4ieg0G9bEifon+KkRUObewWazTeg8Xb9MLgeKNMjpQGlVxlnPc2qfw==" saltValue="kqhTd9eim/1d9O7vPhY2T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27" t="s">
        <v>1</v>
      </c>
      <c r="B2" s="101" t="s">
        <v>189</v>
      </c>
      <c r="C2" s="101" t="s">
        <v>189</v>
      </c>
      <c r="D2" s="101" t="s">
        <v>189</v>
      </c>
      <c r="E2" s="101" t="s">
        <v>189</v>
      </c>
      <c r="F2" s="101" t="s">
        <v>189</v>
      </c>
      <c r="G2" s="101" t="s">
        <v>189</v>
      </c>
      <c r="H2" s="101" t="s">
        <v>189</v>
      </c>
      <c r="I2" s="101"/>
      <c r="J2" s="101"/>
      <c r="K2" s="101"/>
      <c r="L2" s="101"/>
    </row>
    <row r="3" spans="1:12" x14ac:dyDescent="0.25">
      <c r="A3" s="27" t="s">
        <v>2</v>
      </c>
      <c r="B3" s="101" t="s">
        <v>189</v>
      </c>
      <c r="C3" s="101" t="s">
        <v>189</v>
      </c>
      <c r="D3" s="101" t="s">
        <v>189</v>
      </c>
      <c r="E3" s="101" t="s">
        <v>189</v>
      </c>
      <c r="F3" s="101" t="s">
        <v>189</v>
      </c>
      <c r="G3" s="101" t="s">
        <v>189</v>
      </c>
      <c r="H3" s="101" t="s">
        <v>189</v>
      </c>
      <c r="I3" s="101"/>
      <c r="J3" s="101"/>
      <c r="K3" s="101"/>
      <c r="L3" s="101"/>
    </row>
    <row r="4" spans="1:12" x14ac:dyDescent="0.25">
      <c r="A4" s="27" t="s">
        <v>3</v>
      </c>
      <c r="B4" s="101" t="s">
        <v>189</v>
      </c>
      <c r="C4" s="101" t="s">
        <v>189</v>
      </c>
      <c r="D4" s="101" t="s">
        <v>189</v>
      </c>
      <c r="E4" s="101" t="s">
        <v>189</v>
      </c>
      <c r="F4" s="101" t="s">
        <v>189</v>
      </c>
      <c r="G4" s="101" t="s">
        <v>189</v>
      </c>
      <c r="H4" s="101" t="s">
        <v>189</v>
      </c>
      <c r="I4" s="101"/>
      <c r="J4" s="101"/>
      <c r="K4" s="101"/>
      <c r="L4" s="101"/>
    </row>
    <row r="5" spans="1:12" x14ac:dyDescent="0.25">
      <c r="A5" s="27" t="s">
        <v>4</v>
      </c>
      <c r="B5" s="101" t="s">
        <v>189</v>
      </c>
      <c r="C5" s="101" t="s">
        <v>189</v>
      </c>
      <c r="D5" s="101" t="s">
        <v>189</v>
      </c>
      <c r="E5" s="101" t="s">
        <v>189</v>
      </c>
      <c r="F5" s="101" t="s">
        <v>189</v>
      </c>
      <c r="G5" s="101" t="s">
        <v>189</v>
      </c>
      <c r="H5" s="101" t="s">
        <v>189</v>
      </c>
      <c r="I5" s="101"/>
      <c r="J5" s="101"/>
      <c r="K5" s="101"/>
      <c r="L5" s="101"/>
    </row>
    <row r="6" spans="1:12" x14ac:dyDescent="0.25">
      <c r="A6" s="27" t="s">
        <v>5</v>
      </c>
      <c r="B6" s="101" t="s">
        <v>189</v>
      </c>
      <c r="C6" s="101" t="s">
        <v>189</v>
      </c>
      <c r="D6" s="101" t="s">
        <v>189</v>
      </c>
      <c r="E6" s="101" t="s">
        <v>189</v>
      </c>
      <c r="F6" s="101" t="s">
        <v>189</v>
      </c>
      <c r="G6" s="101" t="s">
        <v>189</v>
      </c>
      <c r="H6" s="101" t="s">
        <v>189</v>
      </c>
      <c r="I6" s="101"/>
      <c r="J6" s="101"/>
      <c r="K6" s="101"/>
      <c r="L6" s="101"/>
    </row>
    <row r="7" spans="1:12" x14ac:dyDescent="0.25">
      <c r="A7" s="27" t="s">
        <v>53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 t="s">
        <v>189</v>
      </c>
      <c r="J7" s="101"/>
      <c r="K7" s="101"/>
      <c r="L7" s="101" t="s">
        <v>189</v>
      </c>
    </row>
    <row r="8" spans="1:12" x14ac:dyDescent="0.25">
      <c r="A8" s="27" t="s">
        <v>54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 t="s">
        <v>189</v>
      </c>
      <c r="J8" s="101"/>
      <c r="K8" s="101"/>
      <c r="L8" s="101" t="s">
        <v>189</v>
      </c>
    </row>
    <row r="9" spans="1:12" x14ac:dyDescent="0.25">
      <c r="A9" s="27" t="s">
        <v>55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 t="s">
        <v>189</v>
      </c>
      <c r="J9" s="101"/>
      <c r="K9" s="101"/>
      <c r="L9" s="101" t="s">
        <v>189</v>
      </c>
    </row>
    <row r="10" spans="1:12" x14ac:dyDescent="0.25">
      <c r="A10" s="27" t="s">
        <v>56</v>
      </c>
      <c r="B10" s="101"/>
      <c r="C10" s="101" t="s">
        <v>189</v>
      </c>
      <c r="D10" s="101"/>
      <c r="E10" s="101"/>
      <c r="F10" s="101"/>
      <c r="G10" s="101"/>
      <c r="H10" s="101" t="s">
        <v>189</v>
      </c>
      <c r="I10" s="101" t="s">
        <v>189</v>
      </c>
      <c r="J10" s="101"/>
      <c r="K10" s="101"/>
      <c r="L10" s="101" t="s">
        <v>189</v>
      </c>
    </row>
    <row r="11" spans="1:12" x14ac:dyDescent="0.25">
      <c r="A11" s="27" t="s">
        <v>49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 t="s">
        <v>189</v>
      </c>
      <c r="K11" s="101" t="s">
        <v>189</v>
      </c>
      <c r="L11" s="101"/>
    </row>
    <row r="12" spans="1:12" x14ac:dyDescent="0.25">
      <c r="A12" s="27" t="s">
        <v>50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 t="s">
        <v>189</v>
      </c>
      <c r="L12" s="101"/>
    </row>
    <row r="13" spans="1:12" x14ac:dyDescent="0.25">
      <c r="A13" s="27" t="s">
        <v>51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 t="s">
        <v>189</v>
      </c>
      <c r="L13" s="101"/>
    </row>
    <row r="14" spans="1:12" x14ac:dyDescent="0.25">
      <c r="A14" s="27" t="s">
        <v>52</v>
      </c>
      <c r="B14" s="101"/>
      <c r="C14" s="101" t="s">
        <v>189</v>
      </c>
      <c r="D14" s="101"/>
      <c r="E14" s="101"/>
      <c r="F14" s="101"/>
      <c r="G14" s="101"/>
      <c r="H14" s="101"/>
      <c r="I14" s="101"/>
      <c r="J14" s="101"/>
      <c r="K14" s="101" t="s">
        <v>189</v>
      </c>
      <c r="L14" s="101"/>
    </row>
  </sheetData>
  <sheetProtection algorithmName="SHA-512" hashValue="qP/gpOTKtZi+5oHEtt5zDuk6RoKMOpOTJhwpoa3WrVuXL8BHKQKW1ziYE8ynY7lFbQRvgG/AiO/07l+VjwG6Ag==" saltValue="clwlV5KV4ifkkCfYkBdsF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22" t="s">
        <v>32</v>
      </c>
      <c r="C2" s="27" t="s">
        <v>171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22"/>
      <c r="C3" s="27" t="s">
        <v>170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22"/>
      <c r="C4" s="27" t="s">
        <v>169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22" t="s">
        <v>1</v>
      </c>
      <c r="C5" s="27" t="s">
        <v>171</v>
      </c>
      <c r="D5" s="102">
        <v>2.17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22"/>
      <c r="C6" s="27" t="s">
        <v>170</v>
      </c>
      <c r="D6" s="102">
        <v>2.17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22"/>
      <c r="C7" s="27" t="s">
        <v>169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22" t="s">
        <v>2</v>
      </c>
      <c r="C8" s="27" t="s">
        <v>171</v>
      </c>
      <c r="D8" s="102">
        <v>1</v>
      </c>
      <c r="E8" s="102">
        <v>2.48</v>
      </c>
      <c r="F8" s="102">
        <v>1</v>
      </c>
      <c r="G8" s="102">
        <v>1</v>
      </c>
      <c r="H8" s="102">
        <v>1</v>
      </c>
    </row>
    <row r="9" spans="1:10" x14ac:dyDescent="0.25">
      <c r="B9" s="122"/>
      <c r="C9" s="27" t="s">
        <v>170</v>
      </c>
      <c r="D9" s="102">
        <v>1</v>
      </c>
      <c r="E9" s="102">
        <v>2.48</v>
      </c>
      <c r="F9" s="102">
        <v>1</v>
      </c>
      <c r="G9" s="102">
        <v>1</v>
      </c>
      <c r="H9" s="102">
        <v>1</v>
      </c>
    </row>
    <row r="10" spans="1:10" x14ac:dyDescent="0.25">
      <c r="B10" s="122"/>
      <c r="C10" s="27" t="s">
        <v>169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22" t="s">
        <v>3</v>
      </c>
      <c r="C11" s="27" t="s">
        <v>171</v>
      </c>
      <c r="D11" s="102">
        <v>1</v>
      </c>
      <c r="E11" s="102">
        <v>1</v>
      </c>
      <c r="F11" s="102">
        <v>1.82</v>
      </c>
      <c r="G11" s="102">
        <v>1</v>
      </c>
      <c r="H11" s="102">
        <v>1</v>
      </c>
    </row>
    <row r="12" spans="1:10" x14ac:dyDescent="0.25">
      <c r="B12" s="122"/>
      <c r="C12" s="27" t="s">
        <v>170</v>
      </c>
      <c r="D12" s="102">
        <v>1</v>
      </c>
      <c r="E12" s="102">
        <v>1</v>
      </c>
      <c r="F12" s="102">
        <v>1.82</v>
      </c>
      <c r="G12" s="102">
        <v>1</v>
      </c>
      <c r="H12" s="102">
        <v>1</v>
      </c>
    </row>
    <row r="13" spans="1:10" x14ac:dyDescent="0.25">
      <c r="B13" s="122"/>
      <c r="C13" s="27" t="s">
        <v>169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22" t="s">
        <v>4</v>
      </c>
      <c r="C14" s="27" t="s">
        <v>171</v>
      </c>
      <c r="D14" s="102">
        <v>1</v>
      </c>
      <c r="E14" s="102">
        <v>1</v>
      </c>
      <c r="F14" s="102">
        <v>1</v>
      </c>
      <c r="G14" s="102">
        <v>1.82</v>
      </c>
      <c r="H14" s="102">
        <v>1</v>
      </c>
    </row>
    <row r="15" spans="1:10" x14ac:dyDescent="0.25">
      <c r="B15" s="122"/>
      <c r="C15" s="27" t="s">
        <v>170</v>
      </c>
      <c r="D15" s="102">
        <v>1</v>
      </c>
      <c r="E15" s="102">
        <v>1</v>
      </c>
      <c r="F15" s="102">
        <v>1</v>
      </c>
      <c r="G15" s="102">
        <v>1.82</v>
      </c>
      <c r="H15" s="102">
        <v>1</v>
      </c>
    </row>
    <row r="16" spans="1:10" x14ac:dyDescent="0.25">
      <c r="B16" s="122"/>
      <c r="C16" s="27" t="s">
        <v>169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167</v>
      </c>
      <c r="C17" s="27" t="s">
        <v>169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214</v>
      </c>
      <c r="B19" s="122" t="s">
        <v>32</v>
      </c>
      <c r="C19" s="27" t="s">
        <v>171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22"/>
      <c r="C20" s="27" t="s">
        <v>170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22"/>
      <c r="C21" s="27" t="s">
        <v>169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22" t="s">
        <v>1</v>
      </c>
      <c r="C22" s="27" t="s">
        <v>171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22"/>
      <c r="C23" s="27" t="s">
        <v>170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22"/>
      <c r="C24" s="27" t="s">
        <v>169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22" t="s">
        <v>2</v>
      </c>
      <c r="C25" s="27" t="s">
        <v>171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22"/>
      <c r="C26" s="27" t="s">
        <v>170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22"/>
      <c r="C27" s="27" t="s">
        <v>169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22" t="s">
        <v>3</v>
      </c>
      <c r="C28" s="27" t="s">
        <v>171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22"/>
      <c r="C29" s="27" t="s">
        <v>170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22"/>
      <c r="C30" s="27" t="s">
        <v>169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22" t="s">
        <v>4</v>
      </c>
      <c r="C31" s="27" t="s">
        <v>171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22"/>
      <c r="C32" s="27" t="s">
        <v>170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22"/>
      <c r="C33" s="27" t="s">
        <v>169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167</v>
      </c>
      <c r="C34" s="27" t="s">
        <v>169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215</v>
      </c>
      <c r="B36" s="122" t="s">
        <v>32</v>
      </c>
      <c r="C36" s="27" t="s">
        <v>171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22"/>
      <c r="C37" s="27" t="s">
        <v>170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22"/>
      <c r="C38" s="27" t="s">
        <v>169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22" t="s">
        <v>1</v>
      </c>
      <c r="C39" s="27" t="s">
        <v>171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22"/>
      <c r="C40" s="27" t="s">
        <v>170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22"/>
      <c r="C41" s="27" t="s">
        <v>169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22" t="s">
        <v>2</v>
      </c>
      <c r="C42" s="27" t="s">
        <v>171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22"/>
      <c r="C43" s="27" t="s">
        <v>170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22"/>
      <c r="C44" s="27" t="s">
        <v>169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22" t="s">
        <v>3</v>
      </c>
      <c r="C45" s="27" t="s">
        <v>171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22"/>
      <c r="C46" s="27" t="s">
        <v>170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22"/>
      <c r="C47" s="27" t="s">
        <v>169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22" t="s">
        <v>4</v>
      </c>
      <c r="C48" s="27" t="s">
        <v>171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22"/>
      <c r="C49" s="27" t="s">
        <v>170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22"/>
      <c r="C50" s="27" t="s">
        <v>169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167</v>
      </c>
      <c r="C51" s="27" t="s">
        <v>169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267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22" t="s">
        <v>32</v>
      </c>
      <c r="C55" s="27" t="s">
        <v>171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22"/>
      <c r="C56" s="27" t="s">
        <v>170</v>
      </c>
      <c r="D56" s="102">
        <f t="shared" ref="D56:H68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22"/>
      <c r="C57" s="27" t="s">
        <v>169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22" t="s">
        <v>1</v>
      </c>
      <c r="C58" s="27" t="s">
        <v>171</v>
      </c>
      <c r="D58" s="102">
        <v>1.84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22"/>
      <c r="C59" s="27" t="s">
        <v>170</v>
      </c>
      <c r="D59" s="102">
        <v>1.84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22"/>
      <c r="C60" s="27" t="s">
        <v>169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1"/>
        <v>1</v>
      </c>
    </row>
    <row r="61" spans="1:8" x14ac:dyDescent="0.25">
      <c r="B61" s="122" t="s">
        <v>2</v>
      </c>
      <c r="C61" s="27" t="s">
        <v>171</v>
      </c>
      <c r="D61" s="102">
        <f t="shared" si="2"/>
        <v>1</v>
      </c>
      <c r="E61" s="102">
        <v>1.99</v>
      </c>
      <c r="F61" s="102">
        <f t="shared" si="2"/>
        <v>1</v>
      </c>
      <c r="G61" s="102">
        <f t="shared" si="2"/>
        <v>1</v>
      </c>
      <c r="H61" s="102">
        <f t="shared" si="1"/>
        <v>1</v>
      </c>
    </row>
    <row r="62" spans="1:8" x14ac:dyDescent="0.25">
      <c r="B62" s="122"/>
      <c r="C62" s="27" t="s">
        <v>170</v>
      </c>
      <c r="D62" s="102">
        <f t="shared" si="2"/>
        <v>1</v>
      </c>
      <c r="E62" s="102">
        <v>1.99</v>
      </c>
      <c r="F62" s="102">
        <f t="shared" si="2"/>
        <v>1</v>
      </c>
      <c r="G62" s="102">
        <f t="shared" si="2"/>
        <v>1</v>
      </c>
      <c r="H62" s="102">
        <f t="shared" si="1"/>
        <v>1</v>
      </c>
    </row>
    <row r="63" spans="1:8" x14ac:dyDescent="0.25">
      <c r="B63" s="122"/>
      <c r="C63" s="27" t="s">
        <v>169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1"/>
        <v>1</v>
      </c>
    </row>
    <row r="64" spans="1:8" x14ac:dyDescent="0.25">
      <c r="B64" s="122" t="s">
        <v>3</v>
      </c>
      <c r="C64" s="27" t="s">
        <v>171</v>
      </c>
      <c r="D64" s="102">
        <f t="shared" si="2"/>
        <v>1</v>
      </c>
      <c r="E64" s="102">
        <f t="shared" si="2"/>
        <v>1</v>
      </c>
      <c r="F64" s="102">
        <v>1.36</v>
      </c>
      <c r="G64" s="102">
        <f t="shared" si="2"/>
        <v>1</v>
      </c>
      <c r="H64" s="102">
        <f t="shared" si="1"/>
        <v>1</v>
      </c>
    </row>
    <row r="65" spans="1:8" x14ac:dyDescent="0.25">
      <c r="B65" s="122"/>
      <c r="C65" s="27" t="s">
        <v>170</v>
      </c>
      <c r="D65" s="102">
        <f t="shared" si="2"/>
        <v>1</v>
      </c>
      <c r="E65" s="102">
        <f t="shared" si="2"/>
        <v>1</v>
      </c>
      <c r="F65" s="102">
        <v>1.36</v>
      </c>
      <c r="G65" s="102">
        <f t="shared" si="2"/>
        <v>1</v>
      </c>
      <c r="H65" s="102">
        <f t="shared" si="1"/>
        <v>1</v>
      </c>
    </row>
    <row r="66" spans="1:8" x14ac:dyDescent="0.25">
      <c r="B66" s="122"/>
      <c r="C66" s="27" t="s">
        <v>169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1"/>
        <v>1</v>
      </c>
    </row>
    <row r="67" spans="1:8" x14ac:dyDescent="0.25">
      <c r="B67" s="122" t="s">
        <v>4</v>
      </c>
      <c r="C67" s="27" t="s">
        <v>171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1.36</v>
      </c>
      <c r="H67" s="102">
        <f t="shared" si="1"/>
        <v>1</v>
      </c>
    </row>
    <row r="68" spans="1:8" x14ac:dyDescent="0.25">
      <c r="B68" s="122"/>
      <c r="C68" s="27" t="s">
        <v>170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1.36</v>
      </c>
      <c r="H68" s="102">
        <f t="shared" si="1"/>
        <v>1</v>
      </c>
    </row>
    <row r="69" spans="1:8" x14ac:dyDescent="0.25">
      <c r="B69" s="122"/>
      <c r="C69" s="27" t="s">
        <v>169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167</v>
      </c>
      <c r="C70" s="27" t="s">
        <v>169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312</v>
      </c>
      <c r="B72" s="122" t="s">
        <v>32</v>
      </c>
      <c r="C72" s="27" t="s">
        <v>171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22"/>
      <c r="C73" s="27" t="s">
        <v>170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22"/>
      <c r="C74" s="27" t="s">
        <v>169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22" t="s">
        <v>1</v>
      </c>
      <c r="C75" s="27" t="s">
        <v>171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22"/>
      <c r="C76" s="27" t="s">
        <v>170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22"/>
      <c r="C77" s="27" t="s">
        <v>169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22" t="s">
        <v>2</v>
      </c>
      <c r="C78" s="27" t="s">
        <v>171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22"/>
      <c r="C79" s="27" t="s">
        <v>170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22"/>
      <c r="C80" s="27" t="s">
        <v>169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22" t="s">
        <v>3</v>
      </c>
      <c r="C81" s="27" t="s">
        <v>171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22"/>
      <c r="C82" s="27" t="s">
        <v>170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22"/>
      <c r="C83" s="27" t="s">
        <v>169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22" t="s">
        <v>4</v>
      </c>
      <c r="C84" s="27" t="s">
        <v>171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22"/>
      <c r="C85" s="27" t="s">
        <v>170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22"/>
      <c r="C86" s="27" t="s">
        <v>169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167</v>
      </c>
      <c r="C87" s="27" t="s">
        <v>169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313</v>
      </c>
      <c r="B89" s="122" t="s">
        <v>32</v>
      </c>
      <c r="C89" s="27" t="s">
        <v>171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22"/>
      <c r="C90" s="27" t="s">
        <v>170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22"/>
      <c r="C91" s="27" t="s">
        <v>169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22" t="s">
        <v>1</v>
      </c>
      <c r="C92" s="27" t="s">
        <v>171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22"/>
      <c r="C93" s="27" t="s">
        <v>170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22"/>
      <c r="C94" s="27" t="s">
        <v>169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22" t="s">
        <v>2</v>
      </c>
      <c r="C95" s="27" t="s">
        <v>171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22"/>
      <c r="C96" s="27" t="s">
        <v>170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22"/>
      <c r="C97" s="27" t="s">
        <v>169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22" t="s">
        <v>3</v>
      </c>
      <c r="C98" s="27" t="s">
        <v>171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22"/>
      <c r="C99" s="27" t="s">
        <v>170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22"/>
      <c r="C100" s="27" t="s">
        <v>169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22" t="s">
        <v>4</v>
      </c>
      <c r="C101" s="27" t="s">
        <v>171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22"/>
      <c r="C102" s="27" t="s">
        <v>170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22"/>
      <c r="C103" s="27" t="s">
        <v>169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268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22" t="s">
        <v>32</v>
      </c>
      <c r="C108" s="27" t="s">
        <v>171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22"/>
      <c r="C109" s="27" t="s">
        <v>170</v>
      </c>
      <c r="D109" s="102">
        <f t="shared" ref="D109:H121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22"/>
      <c r="C110" s="27" t="s">
        <v>169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22" t="s">
        <v>1</v>
      </c>
      <c r="C111" s="27" t="s">
        <v>171</v>
      </c>
      <c r="D111" s="102">
        <v>2.56</v>
      </c>
      <c r="E111" s="102">
        <f t="shared" ref="E111:G112" si="9">IF(E58=1,1,E58*0.9)</f>
        <v>1</v>
      </c>
      <c r="F111" s="102">
        <f t="shared" si="9"/>
        <v>1</v>
      </c>
      <c r="G111" s="102">
        <f t="shared" si="9"/>
        <v>1</v>
      </c>
      <c r="H111" s="102">
        <f t="shared" si="8"/>
        <v>1</v>
      </c>
    </row>
    <row r="112" spans="1:8" x14ac:dyDescent="0.25">
      <c r="B112" s="122"/>
      <c r="C112" s="27" t="s">
        <v>170</v>
      </c>
      <c r="D112" s="102">
        <v>2.56</v>
      </c>
      <c r="E112" s="102">
        <f t="shared" si="9"/>
        <v>1</v>
      </c>
      <c r="F112" s="102">
        <f t="shared" si="9"/>
        <v>1</v>
      </c>
      <c r="G112" s="102">
        <f t="shared" si="9"/>
        <v>1</v>
      </c>
      <c r="H112" s="102">
        <f t="shared" si="8"/>
        <v>1</v>
      </c>
    </row>
    <row r="113" spans="1:8" x14ac:dyDescent="0.25">
      <c r="B113" s="122"/>
      <c r="C113" s="27" t="s">
        <v>169</v>
      </c>
      <c r="D113" s="102">
        <f t="shared" ref="D113:G121" si="10">IF(D60=1,1,D60*0.9)</f>
        <v>1</v>
      </c>
      <c r="E113" s="102">
        <f t="shared" si="10"/>
        <v>1</v>
      </c>
      <c r="F113" s="102">
        <f t="shared" si="10"/>
        <v>1</v>
      </c>
      <c r="G113" s="102">
        <f t="shared" si="10"/>
        <v>1</v>
      </c>
      <c r="H113" s="102">
        <f t="shared" si="8"/>
        <v>1</v>
      </c>
    </row>
    <row r="114" spans="1:8" x14ac:dyDescent="0.25">
      <c r="B114" s="122" t="s">
        <v>2</v>
      </c>
      <c r="C114" s="27" t="s">
        <v>171</v>
      </c>
      <c r="D114" s="102">
        <f t="shared" si="10"/>
        <v>1</v>
      </c>
      <c r="E114" s="102">
        <v>3.09</v>
      </c>
      <c r="F114" s="102">
        <f t="shared" si="10"/>
        <v>1</v>
      </c>
      <c r="G114" s="102">
        <f t="shared" si="10"/>
        <v>1</v>
      </c>
      <c r="H114" s="102">
        <f t="shared" si="8"/>
        <v>1</v>
      </c>
    </row>
    <row r="115" spans="1:8" x14ac:dyDescent="0.25">
      <c r="B115" s="122"/>
      <c r="C115" s="27" t="s">
        <v>170</v>
      </c>
      <c r="D115" s="102">
        <f t="shared" si="10"/>
        <v>1</v>
      </c>
      <c r="E115" s="102">
        <v>3.09</v>
      </c>
      <c r="F115" s="102">
        <f t="shared" si="10"/>
        <v>1</v>
      </c>
      <c r="G115" s="102">
        <f t="shared" si="10"/>
        <v>1</v>
      </c>
      <c r="H115" s="102">
        <f t="shared" si="8"/>
        <v>1</v>
      </c>
    </row>
    <row r="116" spans="1:8" x14ac:dyDescent="0.25">
      <c r="B116" s="122"/>
      <c r="C116" s="27" t="s">
        <v>169</v>
      </c>
      <c r="D116" s="102">
        <f t="shared" si="10"/>
        <v>1</v>
      </c>
      <c r="E116" s="102">
        <f t="shared" si="10"/>
        <v>1</v>
      </c>
      <c r="F116" s="102">
        <f t="shared" si="10"/>
        <v>1</v>
      </c>
      <c r="G116" s="102">
        <f t="shared" si="10"/>
        <v>1</v>
      </c>
      <c r="H116" s="102">
        <f t="shared" si="8"/>
        <v>1</v>
      </c>
    </row>
    <row r="117" spans="1:8" x14ac:dyDescent="0.25">
      <c r="B117" s="122" t="s">
        <v>3</v>
      </c>
      <c r="C117" s="27" t="s">
        <v>171</v>
      </c>
      <c r="D117" s="102">
        <f t="shared" si="10"/>
        <v>1</v>
      </c>
      <c r="E117" s="102">
        <f t="shared" si="10"/>
        <v>1</v>
      </c>
      <c r="F117" s="102">
        <v>2.4500000000000002</v>
      </c>
      <c r="G117" s="102">
        <f t="shared" si="10"/>
        <v>1</v>
      </c>
      <c r="H117" s="102">
        <f t="shared" si="8"/>
        <v>1</v>
      </c>
    </row>
    <row r="118" spans="1:8" x14ac:dyDescent="0.25">
      <c r="B118" s="122"/>
      <c r="C118" s="27" t="s">
        <v>170</v>
      </c>
      <c r="D118" s="102">
        <f t="shared" si="10"/>
        <v>1</v>
      </c>
      <c r="E118" s="102">
        <f t="shared" si="10"/>
        <v>1</v>
      </c>
      <c r="F118" s="102">
        <v>2.4500000000000002</v>
      </c>
      <c r="G118" s="102">
        <f t="shared" si="10"/>
        <v>1</v>
      </c>
      <c r="H118" s="102">
        <f t="shared" si="8"/>
        <v>1</v>
      </c>
    </row>
    <row r="119" spans="1:8" x14ac:dyDescent="0.25">
      <c r="B119" s="122"/>
      <c r="C119" s="27" t="s">
        <v>169</v>
      </c>
      <c r="D119" s="102">
        <f t="shared" si="10"/>
        <v>1</v>
      </c>
      <c r="E119" s="102">
        <f t="shared" si="10"/>
        <v>1</v>
      </c>
      <c r="F119" s="102">
        <f t="shared" si="10"/>
        <v>1</v>
      </c>
      <c r="G119" s="102">
        <f t="shared" si="10"/>
        <v>1</v>
      </c>
      <c r="H119" s="102">
        <f t="shared" si="8"/>
        <v>1</v>
      </c>
    </row>
    <row r="120" spans="1:8" x14ac:dyDescent="0.25">
      <c r="B120" s="122" t="s">
        <v>4</v>
      </c>
      <c r="C120" s="27" t="s">
        <v>171</v>
      </c>
      <c r="D120" s="102">
        <f t="shared" si="10"/>
        <v>1</v>
      </c>
      <c r="E120" s="102">
        <f t="shared" si="10"/>
        <v>1</v>
      </c>
      <c r="F120" s="102">
        <f t="shared" si="10"/>
        <v>1</v>
      </c>
      <c r="G120" s="102">
        <v>2.4500000000000002</v>
      </c>
      <c r="H120" s="102">
        <f t="shared" si="8"/>
        <v>1</v>
      </c>
    </row>
    <row r="121" spans="1:8" x14ac:dyDescent="0.25">
      <c r="B121" s="122"/>
      <c r="C121" s="27" t="s">
        <v>170</v>
      </c>
      <c r="D121" s="102">
        <f t="shared" si="10"/>
        <v>1</v>
      </c>
      <c r="E121" s="102">
        <f t="shared" si="10"/>
        <v>1</v>
      </c>
      <c r="F121" s="102">
        <f t="shared" si="10"/>
        <v>1</v>
      </c>
      <c r="G121" s="102">
        <v>2.4500000000000002</v>
      </c>
      <c r="H121" s="102">
        <f t="shared" si="8"/>
        <v>1</v>
      </c>
    </row>
    <row r="122" spans="1:8" x14ac:dyDescent="0.25">
      <c r="B122" s="122"/>
      <c r="C122" s="27" t="s">
        <v>169</v>
      </c>
      <c r="D122" s="102">
        <f t="shared" ref="D122:H123" si="11">IF(D16=1,1,D16*1.05)</f>
        <v>1</v>
      </c>
      <c r="E122" s="102">
        <f t="shared" si="11"/>
        <v>1</v>
      </c>
      <c r="F122" s="102">
        <f t="shared" si="11"/>
        <v>1</v>
      </c>
      <c r="G122" s="102">
        <f t="shared" si="11"/>
        <v>1</v>
      </c>
      <c r="H122" s="102">
        <f t="shared" si="11"/>
        <v>1</v>
      </c>
    </row>
    <row r="123" spans="1:8" ht="13" x14ac:dyDescent="0.25">
      <c r="B123" s="76" t="s">
        <v>167</v>
      </c>
      <c r="C123" s="27" t="s">
        <v>169</v>
      </c>
      <c r="D123" s="102">
        <f t="shared" si="11"/>
        <v>1.1025</v>
      </c>
      <c r="E123" s="102">
        <f t="shared" si="11"/>
        <v>1.1025</v>
      </c>
      <c r="F123" s="102">
        <f t="shared" si="11"/>
        <v>1.1025</v>
      </c>
      <c r="G123" s="102">
        <f t="shared" si="11"/>
        <v>1.1025</v>
      </c>
      <c r="H123" s="102">
        <f t="shared" si="11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315</v>
      </c>
      <c r="B125" s="122" t="s">
        <v>32</v>
      </c>
      <c r="C125" s="27" t="s">
        <v>171</v>
      </c>
      <c r="D125" s="102">
        <f>IF(D19=1,1,D19*1.05)</f>
        <v>1</v>
      </c>
      <c r="E125" s="102">
        <f t="shared" ref="E125:H125" si="12">IF(E19=1,1,E19*1.05)</f>
        <v>1</v>
      </c>
      <c r="F125" s="102">
        <f t="shared" si="12"/>
        <v>1</v>
      </c>
      <c r="G125" s="102">
        <f t="shared" si="12"/>
        <v>1</v>
      </c>
      <c r="H125" s="102">
        <f t="shared" si="12"/>
        <v>1</v>
      </c>
    </row>
    <row r="126" spans="1:8" x14ac:dyDescent="0.25">
      <c r="B126" s="122"/>
      <c r="C126" s="27" t="s">
        <v>170</v>
      </c>
      <c r="D126" s="102">
        <f t="shared" ref="D126:H140" si="13">IF(D20=1,1,D20*1.05)</f>
        <v>1</v>
      </c>
      <c r="E126" s="102">
        <f t="shared" si="13"/>
        <v>1</v>
      </c>
      <c r="F126" s="102">
        <f t="shared" si="13"/>
        <v>1</v>
      </c>
      <c r="G126" s="102">
        <f t="shared" si="13"/>
        <v>1</v>
      </c>
      <c r="H126" s="102">
        <f t="shared" si="13"/>
        <v>1</v>
      </c>
    </row>
    <row r="127" spans="1:8" x14ac:dyDescent="0.25">
      <c r="B127" s="122"/>
      <c r="C127" s="27" t="s">
        <v>169</v>
      </c>
      <c r="D127" s="102">
        <f t="shared" si="13"/>
        <v>1</v>
      </c>
      <c r="E127" s="102">
        <f t="shared" si="13"/>
        <v>1</v>
      </c>
      <c r="F127" s="102">
        <f t="shared" si="13"/>
        <v>1</v>
      </c>
      <c r="G127" s="102">
        <f t="shared" si="13"/>
        <v>1</v>
      </c>
      <c r="H127" s="102">
        <f t="shared" si="13"/>
        <v>1</v>
      </c>
    </row>
    <row r="128" spans="1:8" x14ac:dyDescent="0.25">
      <c r="B128" s="122" t="s">
        <v>1</v>
      </c>
      <c r="C128" s="27" t="s">
        <v>171</v>
      </c>
      <c r="D128" s="102">
        <f t="shared" si="13"/>
        <v>1</v>
      </c>
      <c r="E128" s="102">
        <f t="shared" si="13"/>
        <v>1</v>
      </c>
      <c r="F128" s="102">
        <f t="shared" si="13"/>
        <v>1</v>
      </c>
      <c r="G128" s="102">
        <f t="shared" si="13"/>
        <v>1</v>
      </c>
      <c r="H128" s="102">
        <f t="shared" si="13"/>
        <v>1</v>
      </c>
    </row>
    <row r="129" spans="1:8" x14ac:dyDescent="0.25">
      <c r="B129" s="122"/>
      <c r="C129" s="27" t="s">
        <v>170</v>
      </c>
      <c r="D129" s="102">
        <f t="shared" si="13"/>
        <v>1</v>
      </c>
      <c r="E129" s="102">
        <f t="shared" si="13"/>
        <v>1</v>
      </c>
      <c r="F129" s="102">
        <f t="shared" si="13"/>
        <v>1</v>
      </c>
      <c r="G129" s="102">
        <f t="shared" si="13"/>
        <v>1</v>
      </c>
      <c r="H129" s="102">
        <f t="shared" si="13"/>
        <v>1</v>
      </c>
    </row>
    <row r="130" spans="1:8" x14ac:dyDescent="0.25">
      <c r="B130" s="122"/>
      <c r="C130" s="27" t="s">
        <v>169</v>
      </c>
      <c r="D130" s="102">
        <f t="shared" si="13"/>
        <v>1</v>
      </c>
      <c r="E130" s="102">
        <f t="shared" si="13"/>
        <v>1</v>
      </c>
      <c r="F130" s="102">
        <f t="shared" si="13"/>
        <v>1</v>
      </c>
      <c r="G130" s="102">
        <f t="shared" si="13"/>
        <v>1</v>
      </c>
      <c r="H130" s="102">
        <f t="shared" si="13"/>
        <v>1</v>
      </c>
    </row>
    <row r="131" spans="1:8" x14ac:dyDescent="0.25">
      <c r="B131" s="122" t="s">
        <v>2</v>
      </c>
      <c r="C131" s="27" t="s">
        <v>171</v>
      </c>
      <c r="D131" s="102">
        <f t="shared" si="13"/>
        <v>1</v>
      </c>
      <c r="E131" s="102">
        <f t="shared" si="13"/>
        <v>1</v>
      </c>
      <c r="F131" s="102">
        <f t="shared" si="13"/>
        <v>1</v>
      </c>
      <c r="G131" s="102">
        <f t="shared" si="13"/>
        <v>1</v>
      </c>
      <c r="H131" s="102">
        <f t="shared" si="13"/>
        <v>1</v>
      </c>
    </row>
    <row r="132" spans="1:8" x14ac:dyDescent="0.25">
      <c r="B132" s="122"/>
      <c r="C132" s="27" t="s">
        <v>170</v>
      </c>
      <c r="D132" s="102">
        <f t="shared" si="13"/>
        <v>1</v>
      </c>
      <c r="E132" s="102">
        <f t="shared" si="13"/>
        <v>1</v>
      </c>
      <c r="F132" s="102">
        <f t="shared" si="13"/>
        <v>1</v>
      </c>
      <c r="G132" s="102">
        <f t="shared" si="13"/>
        <v>1</v>
      </c>
      <c r="H132" s="102">
        <f t="shared" si="13"/>
        <v>1</v>
      </c>
    </row>
    <row r="133" spans="1:8" x14ac:dyDescent="0.25">
      <c r="B133" s="122"/>
      <c r="C133" s="27" t="s">
        <v>169</v>
      </c>
      <c r="D133" s="102">
        <f t="shared" si="13"/>
        <v>1</v>
      </c>
      <c r="E133" s="102">
        <f t="shared" si="13"/>
        <v>1</v>
      </c>
      <c r="F133" s="102">
        <f t="shared" si="13"/>
        <v>1</v>
      </c>
      <c r="G133" s="102">
        <f t="shared" si="13"/>
        <v>1</v>
      </c>
      <c r="H133" s="102">
        <f t="shared" si="13"/>
        <v>1</v>
      </c>
    </row>
    <row r="134" spans="1:8" x14ac:dyDescent="0.25">
      <c r="B134" s="122" t="s">
        <v>3</v>
      </c>
      <c r="C134" s="27" t="s">
        <v>171</v>
      </c>
      <c r="D134" s="102">
        <f t="shared" si="13"/>
        <v>1</v>
      </c>
      <c r="E134" s="102">
        <f t="shared" si="13"/>
        <v>1</v>
      </c>
      <c r="F134" s="102">
        <f t="shared" si="13"/>
        <v>1</v>
      </c>
      <c r="G134" s="102">
        <f t="shared" si="13"/>
        <v>1</v>
      </c>
      <c r="H134" s="102">
        <f t="shared" si="13"/>
        <v>1</v>
      </c>
    </row>
    <row r="135" spans="1:8" x14ac:dyDescent="0.25">
      <c r="B135" s="122"/>
      <c r="C135" s="27" t="s">
        <v>170</v>
      </c>
      <c r="D135" s="102">
        <f t="shared" si="13"/>
        <v>1</v>
      </c>
      <c r="E135" s="102">
        <f t="shared" si="13"/>
        <v>1</v>
      </c>
      <c r="F135" s="102">
        <f t="shared" si="13"/>
        <v>1</v>
      </c>
      <c r="G135" s="102">
        <f t="shared" si="13"/>
        <v>1</v>
      </c>
      <c r="H135" s="102">
        <f t="shared" si="13"/>
        <v>1</v>
      </c>
    </row>
    <row r="136" spans="1:8" x14ac:dyDescent="0.25">
      <c r="B136" s="122"/>
      <c r="C136" s="27" t="s">
        <v>169</v>
      </c>
      <c r="D136" s="102">
        <f t="shared" si="13"/>
        <v>1</v>
      </c>
      <c r="E136" s="102">
        <f t="shared" si="13"/>
        <v>1</v>
      </c>
      <c r="F136" s="102">
        <f t="shared" si="13"/>
        <v>1</v>
      </c>
      <c r="G136" s="102">
        <f t="shared" si="13"/>
        <v>1</v>
      </c>
      <c r="H136" s="102">
        <f t="shared" si="13"/>
        <v>1</v>
      </c>
    </row>
    <row r="137" spans="1:8" x14ac:dyDescent="0.25">
      <c r="B137" s="122" t="s">
        <v>4</v>
      </c>
      <c r="C137" s="27" t="s">
        <v>171</v>
      </c>
      <c r="D137" s="102">
        <f t="shared" si="13"/>
        <v>1</v>
      </c>
      <c r="E137" s="102">
        <f t="shared" si="13"/>
        <v>1</v>
      </c>
      <c r="F137" s="102">
        <f t="shared" si="13"/>
        <v>1</v>
      </c>
      <c r="G137" s="102">
        <f t="shared" si="13"/>
        <v>1</v>
      </c>
      <c r="H137" s="102">
        <f t="shared" si="13"/>
        <v>1</v>
      </c>
    </row>
    <row r="138" spans="1:8" x14ac:dyDescent="0.25">
      <c r="B138" s="122"/>
      <c r="C138" s="27" t="s">
        <v>170</v>
      </c>
      <c r="D138" s="102">
        <f t="shared" si="13"/>
        <v>1</v>
      </c>
      <c r="E138" s="102">
        <f t="shared" si="13"/>
        <v>1</v>
      </c>
      <c r="F138" s="102">
        <f t="shared" si="13"/>
        <v>1</v>
      </c>
      <c r="G138" s="102">
        <f t="shared" si="13"/>
        <v>1</v>
      </c>
      <c r="H138" s="102">
        <f t="shared" si="13"/>
        <v>1</v>
      </c>
    </row>
    <row r="139" spans="1:8" x14ac:dyDescent="0.25">
      <c r="B139" s="122"/>
      <c r="C139" s="27" t="s">
        <v>169</v>
      </c>
      <c r="D139" s="102">
        <f t="shared" si="13"/>
        <v>1</v>
      </c>
      <c r="E139" s="102">
        <f t="shared" si="13"/>
        <v>1</v>
      </c>
      <c r="F139" s="102">
        <f t="shared" si="13"/>
        <v>1</v>
      </c>
      <c r="G139" s="102">
        <f t="shared" si="13"/>
        <v>1</v>
      </c>
      <c r="H139" s="102">
        <f t="shared" si="13"/>
        <v>1</v>
      </c>
    </row>
    <row r="140" spans="1:8" ht="13" x14ac:dyDescent="0.25">
      <c r="B140" s="76" t="s">
        <v>167</v>
      </c>
      <c r="C140" s="27" t="s">
        <v>169</v>
      </c>
      <c r="D140" s="102">
        <f t="shared" si="13"/>
        <v>1</v>
      </c>
      <c r="E140" s="102">
        <f t="shared" si="13"/>
        <v>1</v>
      </c>
      <c r="F140" s="102">
        <f t="shared" si="13"/>
        <v>1</v>
      </c>
      <c r="G140" s="102">
        <f t="shared" si="13"/>
        <v>1</v>
      </c>
      <c r="H140" s="102">
        <f t="shared" si="13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316</v>
      </c>
      <c r="B142" s="122" t="s">
        <v>32</v>
      </c>
      <c r="C142" s="27" t="s">
        <v>171</v>
      </c>
      <c r="D142" s="102">
        <f>IF(D36=1,1,D36*1.05)</f>
        <v>1</v>
      </c>
      <c r="E142" s="102">
        <f t="shared" ref="E142:H142" si="14">IF(E36=1,1,E36*1.05)</f>
        <v>1</v>
      </c>
      <c r="F142" s="102">
        <f t="shared" si="14"/>
        <v>1</v>
      </c>
      <c r="G142" s="102">
        <f t="shared" si="14"/>
        <v>1</v>
      </c>
      <c r="H142" s="102">
        <f t="shared" si="14"/>
        <v>1</v>
      </c>
    </row>
    <row r="143" spans="1:8" x14ac:dyDescent="0.25">
      <c r="B143" s="122"/>
      <c r="C143" s="27" t="s">
        <v>170</v>
      </c>
      <c r="D143" s="102">
        <f t="shared" ref="D143:H157" si="15">IF(D37=1,1,D37*1.05)</f>
        <v>1</v>
      </c>
      <c r="E143" s="102">
        <f t="shared" si="15"/>
        <v>1</v>
      </c>
      <c r="F143" s="102">
        <f t="shared" si="15"/>
        <v>1</v>
      </c>
      <c r="G143" s="102">
        <f t="shared" si="15"/>
        <v>1</v>
      </c>
      <c r="H143" s="102">
        <f t="shared" si="15"/>
        <v>1</v>
      </c>
    </row>
    <row r="144" spans="1:8" x14ac:dyDescent="0.25">
      <c r="B144" s="122"/>
      <c r="C144" s="27" t="s">
        <v>169</v>
      </c>
      <c r="D144" s="102">
        <f t="shared" si="15"/>
        <v>1</v>
      </c>
      <c r="E144" s="102">
        <f t="shared" si="15"/>
        <v>1</v>
      </c>
      <c r="F144" s="102">
        <f t="shared" si="15"/>
        <v>1</v>
      </c>
      <c r="G144" s="102">
        <f t="shared" si="15"/>
        <v>1</v>
      </c>
      <c r="H144" s="102">
        <f t="shared" si="15"/>
        <v>1</v>
      </c>
    </row>
    <row r="145" spans="2:8" x14ac:dyDescent="0.25">
      <c r="B145" s="122" t="s">
        <v>1</v>
      </c>
      <c r="C145" s="27" t="s">
        <v>171</v>
      </c>
      <c r="D145" s="102">
        <f t="shared" si="15"/>
        <v>1</v>
      </c>
      <c r="E145" s="102">
        <f t="shared" si="15"/>
        <v>1</v>
      </c>
      <c r="F145" s="102">
        <f t="shared" si="15"/>
        <v>1</v>
      </c>
      <c r="G145" s="102">
        <f t="shared" si="15"/>
        <v>1</v>
      </c>
      <c r="H145" s="102">
        <f t="shared" si="15"/>
        <v>1</v>
      </c>
    </row>
    <row r="146" spans="2:8" x14ac:dyDescent="0.25">
      <c r="B146" s="122"/>
      <c r="C146" s="27" t="s">
        <v>170</v>
      </c>
      <c r="D146" s="102">
        <f t="shared" si="15"/>
        <v>1</v>
      </c>
      <c r="E146" s="102">
        <f t="shared" si="15"/>
        <v>1</v>
      </c>
      <c r="F146" s="102">
        <f t="shared" si="15"/>
        <v>1</v>
      </c>
      <c r="G146" s="102">
        <f t="shared" si="15"/>
        <v>1</v>
      </c>
      <c r="H146" s="102">
        <f t="shared" si="15"/>
        <v>1</v>
      </c>
    </row>
    <row r="147" spans="2:8" x14ac:dyDescent="0.25">
      <c r="B147" s="122"/>
      <c r="C147" s="27" t="s">
        <v>169</v>
      </c>
      <c r="D147" s="102">
        <f t="shared" si="15"/>
        <v>1</v>
      </c>
      <c r="E147" s="102">
        <f t="shared" si="15"/>
        <v>1</v>
      </c>
      <c r="F147" s="102">
        <f t="shared" si="15"/>
        <v>1</v>
      </c>
      <c r="G147" s="102">
        <f t="shared" si="15"/>
        <v>1</v>
      </c>
      <c r="H147" s="102">
        <f t="shared" si="15"/>
        <v>1</v>
      </c>
    </row>
    <row r="148" spans="2:8" x14ac:dyDescent="0.25">
      <c r="B148" s="122" t="s">
        <v>2</v>
      </c>
      <c r="C148" s="27" t="s">
        <v>171</v>
      </c>
      <c r="D148" s="102">
        <f t="shared" si="15"/>
        <v>1</v>
      </c>
      <c r="E148" s="102">
        <f t="shared" si="15"/>
        <v>1</v>
      </c>
      <c r="F148" s="102">
        <f t="shared" si="15"/>
        <v>1</v>
      </c>
      <c r="G148" s="102">
        <f t="shared" si="15"/>
        <v>1</v>
      </c>
      <c r="H148" s="102">
        <f t="shared" si="15"/>
        <v>1</v>
      </c>
    </row>
    <row r="149" spans="2:8" x14ac:dyDescent="0.25">
      <c r="B149" s="122"/>
      <c r="C149" s="27" t="s">
        <v>170</v>
      </c>
      <c r="D149" s="102">
        <f t="shared" si="15"/>
        <v>1</v>
      </c>
      <c r="E149" s="102">
        <f t="shared" si="15"/>
        <v>1</v>
      </c>
      <c r="F149" s="102">
        <f t="shared" si="15"/>
        <v>1</v>
      </c>
      <c r="G149" s="102">
        <f t="shared" si="15"/>
        <v>1</v>
      </c>
      <c r="H149" s="102">
        <f t="shared" si="15"/>
        <v>1</v>
      </c>
    </row>
    <row r="150" spans="2:8" x14ac:dyDescent="0.25">
      <c r="B150" s="122"/>
      <c r="C150" s="27" t="s">
        <v>169</v>
      </c>
      <c r="D150" s="102">
        <f t="shared" si="15"/>
        <v>1</v>
      </c>
      <c r="E150" s="102">
        <f t="shared" si="15"/>
        <v>1</v>
      </c>
      <c r="F150" s="102">
        <f t="shared" si="15"/>
        <v>1</v>
      </c>
      <c r="G150" s="102">
        <f t="shared" si="15"/>
        <v>1</v>
      </c>
      <c r="H150" s="102">
        <f t="shared" si="15"/>
        <v>1</v>
      </c>
    </row>
    <row r="151" spans="2:8" x14ac:dyDescent="0.25">
      <c r="B151" s="122" t="s">
        <v>3</v>
      </c>
      <c r="C151" s="27" t="s">
        <v>171</v>
      </c>
      <c r="D151" s="102">
        <f t="shared" si="15"/>
        <v>1</v>
      </c>
      <c r="E151" s="102">
        <f t="shared" si="15"/>
        <v>1</v>
      </c>
      <c r="F151" s="102">
        <f t="shared" si="15"/>
        <v>1</v>
      </c>
      <c r="G151" s="102">
        <f t="shared" si="15"/>
        <v>1</v>
      </c>
      <c r="H151" s="102">
        <f t="shared" si="15"/>
        <v>1</v>
      </c>
    </row>
    <row r="152" spans="2:8" x14ac:dyDescent="0.25">
      <c r="B152" s="122"/>
      <c r="C152" s="27" t="s">
        <v>170</v>
      </c>
      <c r="D152" s="102">
        <f t="shared" si="15"/>
        <v>1</v>
      </c>
      <c r="E152" s="102">
        <f t="shared" si="15"/>
        <v>1</v>
      </c>
      <c r="F152" s="102">
        <f t="shared" si="15"/>
        <v>1</v>
      </c>
      <c r="G152" s="102">
        <f t="shared" si="15"/>
        <v>1</v>
      </c>
      <c r="H152" s="102">
        <f t="shared" si="15"/>
        <v>1</v>
      </c>
    </row>
    <row r="153" spans="2:8" x14ac:dyDescent="0.25">
      <c r="B153" s="122"/>
      <c r="C153" s="27" t="s">
        <v>169</v>
      </c>
      <c r="D153" s="102">
        <f t="shared" si="15"/>
        <v>1</v>
      </c>
      <c r="E153" s="102">
        <f t="shared" si="15"/>
        <v>1</v>
      </c>
      <c r="F153" s="102">
        <f t="shared" si="15"/>
        <v>1</v>
      </c>
      <c r="G153" s="102">
        <f t="shared" si="15"/>
        <v>1</v>
      </c>
      <c r="H153" s="102">
        <f t="shared" si="15"/>
        <v>1</v>
      </c>
    </row>
    <row r="154" spans="2:8" x14ac:dyDescent="0.25">
      <c r="B154" s="122" t="s">
        <v>4</v>
      </c>
      <c r="C154" s="27" t="s">
        <v>171</v>
      </c>
      <c r="D154" s="102">
        <f t="shared" si="15"/>
        <v>1</v>
      </c>
      <c r="E154" s="102">
        <f t="shared" si="15"/>
        <v>1</v>
      </c>
      <c r="F154" s="102">
        <f t="shared" si="15"/>
        <v>1</v>
      </c>
      <c r="G154" s="102">
        <f t="shared" si="15"/>
        <v>1</v>
      </c>
      <c r="H154" s="102">
        <f t="shared" si="15"/>
        <v>1</v>
      </c>
    </row>
    <row r="155" spans="2:8" x14ac:dyDescent="0.25">
      <c r="B155" s="122"/>
      <c r="C155" s="27" t="s">
        <v>170</v>
      </c>
      <c r="D155" s="102">
        <f t="shared" si="15"/>
        <v>1</v>
      </c>
      <c r="E155" s="102">
        <f t="shared" si="15"/>
        <v>1</v>
      </c>
      <c r="F155" s="102">
        <f t="shared" si="15"/>
        <v>1</v>
      </c>
      <c r="G155" s="102">
        <f t="shared" si="15"/>
        <v>1</v>
      </c>
      <c r="H155" s="102">
        <f t="shared" si="15"/>
        <v>1</v>
      </c>
    </row>
    <row r="156" spans="2:8" x14ac:dyDescent="0.25">
      <c r="B156" s="122"/>
      <c r="C156" s="27" t="s">
        <v>169</v>
      </c>
      <c r="D156" s="102">
        <f t="shared" si="15"/>
        <v>1</v>
      </c>
      <c r="E156" s="102">
        <f t="shared" si="15"/>
        <v>1</v>
      </c>
      <c r="F156" s="102">
        <f t="shared" si="15"/>
        <v>1</v>
      </c>
      <c r="G156" s="102">
        <f t="shared" si="15"/>
        <v>1</v>
      </c>
      <c r="H156" s="102">
        <f t="shared" si="15"/>
        <v>1</v>
      </c>
    </row>
    <row r="157" spans="2:8" ht="13" x14ac:dyDescent="0.25">
      <c r="B157" s="76" t="s">
        <v>167</v>
      </c>
      <c r="C157" s="27" t="s">
        <v>169</v>
      </c>
      <c r="D157" s="102">
        <f t="shared" si="15"/>
        <v>1</v>
      </c>
      <c r="E157" s="102">
        <f t="shared" si="15"/>
        <v>1</v>
      </c>
      <c r="F157" s="102">
        <f t="shared" si="15"/>
        <v>1</v>
      </c>
      <c r="G157" s="102">
        <f t="shared" si="15"/>
        <v>1</v>
      </c>
      <c r="H157" s="102">
        <f t="shared" si="15"/>
        <v>1</v>
      </c>
    </row>
  </sheetData>
  <sheetProtection algorithmName="SHA-512" hashValue="3MNi0HHfsvbKBTuSA5lQSLhlW//BMbBefosk4swt5SLv2tmpBbkcGSlWseFBRMQQOk+e3uORbQ5FcRsh4E4JvA==" saltValue="9yz037DEjTrccL9vy4gweA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9" zoomScale="85" zoomScaleNormal="85" workbookViewId="0">
      <selection activeCell="E90" sqref="E90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76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77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78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222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223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10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13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14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27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15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267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76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77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78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300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301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10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13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14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27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15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268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76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77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78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308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309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10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13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14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27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15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4">
        <v>1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4">
        <v>1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4">
        <v>1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267</v>
      </c>
      <c r="H110" s="106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229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230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231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229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230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231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229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230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231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229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230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231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17</v>
      </c>
      <c r="C129" s="31" t="s">
        <v>228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229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230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231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229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230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231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229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65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66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16</v>
      </c>
      <c r="C144" s="31" t="s">
        <v>228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229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65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66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229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65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66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229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65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66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17</v>
      </c>
      <c r="C156" s="31" t="s">
        <v>228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229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65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66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23</v>
      </c>
      <c r="C160" s="31" t="s">
        <v>228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229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65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66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238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238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238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5">
        <f>IF(D66=1,1,D66*0.9)</f>
        <v>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162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163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164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5">
        <f t="shared" si="9"/>
        <v>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162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163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164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5">
        <f t="shared" si="9"/>
        <v>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162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163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164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162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163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164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162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163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164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162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163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164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162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163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164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162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163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164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162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163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164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162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163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164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268</v>
      </c>
      <c r="H220" s="106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229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230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231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229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230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231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229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230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231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229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230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231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229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230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231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229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230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231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229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65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66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229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65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66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229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65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66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229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65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66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229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65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66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229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65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66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238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238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238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5">
        <f>IF(D66=1,1,D66*1.1)</f>
        <v>1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5">
        <f t="shared" si="23"/>
        <v>1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5">
        <f t="shared" si="23"/>
        <v>1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MBta6JwcN4aprXgE/6TMmpGZPA4pG7IVPUgKb9CMlkSlLUZb++bcBUuHPKxJylRrVSnAyg+0kX1qjB7uB3jCdQ==" saltValue="bhFmTLnxXPc7o3gdjKF6F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4" t="s">
        <v>244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245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131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61</v>
      </c>
      <c r="C8" s="104">
        <v>1</v>
      </c>
      <c r="D8" s="104">
        <v>1</v>
      </c>
      <c r="E8" s="104">
        <v>1</v>
      </c>
      <c r="F8" s="104">
        <v>0.80800000000000005</v>
      </c>
      <c r="G8" s="104">
        <v>0.80800000000000005</v>
      </c>
    </row>
    <row r="9" spans="1:7" ht="14.25" customHeight="1" x14ac:dyDescent="0.25">
      <c r="B9" s="72" t="s">
        <v>330</v>
      </c>
      <c r="C9" s="104">
        <v>1</v>
      </c>
      <c r="D9" s="104">
        <v>1</v>
      </c>
      <c r="E9" s="104">
        <v>0.88</v>
      </c>
      <c r="F9" s="104">
        <v>0.88</v>
      </c>
      <c r="G9" s="104">
        <v>1</v>
      </c>
    </row>
    <row r="10" spans="1:7" ht="14.25" customHeight="1" x14ac:dyDescent="0.25">
      <c r="B10" s="72" t="s">
        <v>60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247</v>
      </c>
    </row>
    <row r="13" spans="1:7" ht="14.25" customHeight="1" x14ac:dyDescent="0.3">
      <c r="A13" s="83"/>
      <c r="B13" s="45" t="s">
        <v>190</v>
      </c>
      <c r="C13" s="104">
        <v>1</v>
      </c>
      <c r="D13" s="104">
        <v>1.39</v>
      </c>
      <c r="E13" s="104">
        <v>1</v>
      </c>
      <c r="F13" s="104">
        <v>1</v>
      </c>
      <c r="G13" s="104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248</v>
      </c>
    </row>
    <row r="16" spans="1:7" ht="14.25" customHeight="1" x14ac:dyDescent="0.3">
      <c r="A16" s="96" t="s">
        <v>233</v>
      </c>
      <c r="B16" s="72" t="s">
        <v>249</v>
      </c>
      <c r="C16" s="104">
        <v>1.024</v>
      </c>
      <c r="D16" s="104">
        <v>1.024</v>
      </c>
      <c r="E16" s="104">
        <v>1.024</v>
      </c>
      <c r="F16" s="104">
        <v>1.024</v>
      </c>
      <c r="G16" s="104">
        <v>1.024</v>
      </c>
    </row>
    <row r="17" spans="1:7" ht="14.25" customHeight="1" x14ac:dyDescent="0.3">
      <c r="A17" s="29"/>
      <c r="B17" s="72" t="s">
        <v>250</v>
      </c>
      <c r="C17" s="104">
        <v>1.024</v>
      </c>
      <c r="D17" s="104">
        <v>1.024</v>
      </c>
      <c r="E17" s="104">
        <v>1.024</v>
      </c>
      <c r="F17" s="104">
        <v>1.024</v>
      </c>
      <c r="G17" s="104">
        <v>1.024</v>
      </c>
    </row>
    <row r="18" spans="1:7" ht="14.25" customHeight="1" x14ac:dyDescent="0.3">
      <c r="A18" s="96" t="s">
        <v>70</v>
      </c>
      <c r="B18" s="45" t="s">
        <v>251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</row>
    <row r="19" spans="1:7" ht="14.25" customHeight="1" x14ac:dyDescent="0.25"/>
    <row r="20" spans="1:7" s="79" customFormat="1" ht="14.25" customHeight="1" x14ac:dyDescent="0.3">
      <c r="A20" s="78" t="s">
        <v>252</v>
      </c>
    </row>
    <row r="21" spans="1:7" s="83" customFormat="1" ht="14.25" customHeight="1" x14ac:dyDescent="0.3">
      <c r="C21" s="43" t="s">
        <v>49</v>
      </c>
      <c r="D21" s="43" t="s">
        <v>50</v>
      </c>
      <c r="E21" s="43" t="s">
        <v>51</v>
      </c>
      <c r="F21" s="43" t="s">
        <v>52</v>
      </c>
    </row>
    <row r="22" spans="1:7" x14ac:dyDescent="0.25">
      <c r="B22" s="45" t="s">
        <v>192</v>
      </c>
      <c r="C22" s="104">
        <v>1.52</v>
      </c>
      <c r="D22" s="104">
        <v>1</v>
      </c>
      <c r="E22" s="104">
        <v>1</v>
      </c>
      <c r="F22" s="104">
        <v>1</v>
      </c>
    </row>
    <row r="24" spans="1:7" s="106" customFormat="1" ht="13" x14ac:dyDescent="0.3">
      <c r="A24" s="106" t="s">
        <v>267</v>
      </c>
    </row>
    <row r="25" spans="1:7" ht="13" x14ac:dyDescent="0.3">
      <c r="A25" s="78" t="s">
        <v>242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25</v>
      </c>
      <c r="B26" s="41"/>
      <c r="C26" s="29" t="s">
        <v>1</v>
      </c>
      <c r="D26" s="29" t="s">
        <v>2</v>
      </c>
      <c r="E26" s="29" t="s">
        <v>3</v>
      </c>
      <c r="F26" s="29" t="s">
        <v>4</v>
      </c>
      <c r="G26" s="29" t="s">
        <v>5</v>
      </c>
    </row>
    <row r="27" spans="1:7" x14ac:dyDescent="0.25">
      <c r="B27" s="45" t="s">
        <v>318</v>
      </c>
      <c r="C27" s="104" t="s">
        <v>244</v>
      </c>
      <c r="D27" s="104">
        <f t="shared" ref="D27:G27" si="0">D3*0.9</f>
        <v>40.5</v>
      </c>
      <c r="E27" s="104">
        <f t="shared" si="0"/>
        <v>325.44000000000005</v>
      </c>
      <c r="F27" s="104">
        <f t="shared" si="0"/>
        <v>157.22999999999999</v>
      </c>
      <c r="G27" s="104">
        <f t="shared" si="0"/>
        <v>157.22999999999999</v>
      </c>
    </row>
    <row r="28" spans="1:7" ht="13" x14ac:dyDescent="0.3">
      <c r="A28" s="29"/>
      <c r="B28" s="72" t="s">
        <v>278</v>
      </c>
      <c r="C28" s="104">
        <v>1.014</v>
      </c>
      <c r="D28" s="104">
        <v>1.014</v>
      </c>
      <c r="E28" s="104">
        <v>1.014</v>
      </c>
      <c r="F28" s="104">
        <v>1.014</v>
      </c>
      <c r="G28" s="104">
        <v>1.014</v>
      </c>
    </row>
    <row r="29" spans="1:7" ht="13" x14ac:dyDescent="0.3">
      <c r="A29" s="83" t="s">
        <v>319</v>
      </c>
    </row>
    <row r="30" spans="1:7" x14ac:dyDescent="0.25">
      <c r="B30" s="72" t="s">
        <v>279</v>
      </c>
      <c r="C30" s="104">
        <f>IF(C6=1,1,C6*0.9)</f>
        <v>1</v>
      </c>
      <c r="D30" s="104">
        <f t="shared" ref="D30:G30" si="1">IF(D6=1,1,D6*0.9)</f>
        <v>1</v>
      </c>
      <c r="E30" s="104">
        <f>E6*0.9</f>
        <v>0.80100000000000005</v>
      </c>
      <c r="F30" s="104">
        <f>F6*0.9</f>
        <v>0.80100000000000005</v>
      </c>
      <c r="G30" s="104">
        <f t="shared" si="1"/>
        <v>1</v>
      </c>
    </row>
    <row r="31" spans="1:7" x14ac:dyDescent="0.25">
      <c r="B31" s="72" t="s">
        <v>280</v>
      </c>
      <c r="C31" s="104">
        <f>IF(C7=1,1,C7*0.9)</f>
        <v>1</v>
      </c>
      <c r="D31" s="104">
        <f>IF(D7=1,1,D7*0.9)</f>
        <v>1</v>
      </c>
      <c r="E31" s="104">
        <v>0.85</v>
      </c>
      <c r="F31" s="104">
        <v>0.85</v>
      </c>
      <c r="G31" s="104">
        <f>IF(G7=1,1,G7*0.9)</f>
        <v>1</v>
      </c>
    </row>
    <row r="32" spans="1:7" x14ac:dyDescent="0.25">
      <c r="B32" s="72" t="s">
        <v>369</v>
      </c>
      <c r="C32" s="104">
        <f>IF(C8=1,1,C8*0.9)</f>
        <v>1</v>
      </c>
      <c r="D32" s="104">
        <f>IF(D8=1,1,D8*0.9)</f>
        <v>1</v>
      </c>
      <c r="E32" s="104">
        <v>1</v>
      </c>
      <c r="F32" s="121">
        <v>0.39500000000000002</v>
      </c>
      <c r="G32" s="121">
        <v>0.39500000000000002</v>
      </c>
    </row>
    <row r="33" spans="1:7" x14ac:dyDescent="0.25">
      <c r="B33" s="72" t="s">
        <v>331</v>
      </c>
      <c r="C33" s="104">
        <f t="shared" ref="C33:G33" si="2">IF(C9=1,1,C9*0.9)</f>
        <v>1</v>
      </c>
      <c r="D33" s="104">
        <f t="shared" si="2"/>
        <v>1</v>
      </c>
      <c r="E33" s="104">
        <v>0.85</v>
      </c>
      <c r="F33" s="104">
        <v>0.85</v>
      </c>
      <c r="G33" s="104">
        <f t="shared" si="2"/>
        <v>1</v>
      </c>
    </row>
    <row r="34" spans="1:7" x14ac:dyDescent="0.25">
      <c r="B34" s="72" t="s">
        <v>281</v>
      </c>
      <c r="C34" s="104">
        <f>IF(C10=1,1,C10*0.9)</f>
        <v>1</v>
      </c>
      <c r="D34" s="104">
        <f>IF(D10=1,1,D10*0.9)</f>
        <v>1</v>
      </c>
      <c r="E34" s="104">
        <f>IF(E10=1,1,E10*0.9)</f>
        <v>1</v>
      </c>
      <c r="F34" s="104">
        <f>IF(F10=1,1,F10*0.9)</f>
        <v>1</v>
      </c>
      <c r="G34" s="104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320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282</v>
      </c>
      <c r="C37" s="104">
        <v>1</v>
      </c>
      <c r="D37" s="104">
        <v>1.1100000000000001</v>
      </c>
      <c r="E37" s="104">
        <v>1</v>
      </c>
      <c r="F37" s="104">
        <v>1</v>
      </c>
      <c r="G37" s="104">
        <v>1</v>
      </c>
    </row>
    <row r="38" spans="1:7" ht="13" x14ac:dyDescent="0.3">
      <c r="A38" s="83"/>
      <c r="B38" s="45"/>
    </row>
    <row r="39" spans="1:7" ht="13" x14ac:dyDescent="0.3">
      <c r="A39" s="78" t="s">
        <v>248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233</v>
      </c>
      <c r="B40" s="72" t="s">
        <v>283</v>
      </c>
      <c r="C40" s="104">
        <v>1.016</v>
      </c>
      <c r="D40" s="104">
        <v>1.016</v>
      </c>
      <c r="E40" s="104">
        <v>1.016</v>
      </c>
      <c r="F40" s="104">
        <v>1.016</v>
      </c>
      <c r="G40" s="104">
        <v>1.016</v>
      </c>
    </row>
    <row r="41" spans="1:7" ht="13" x14ac:dyDescent="0.3">
      <c r="A41" s="29"/>
      <c r="B41" s="72" t="s">
        <v>284</v>
      </c>
      <c r="C41" s="104">
        <v>1.016</v>
      </c>
      <c r="D41" s="104">
        <v>1.016</v>
      </c>
      <c r="E41" s="104">
        <v>1.016</v>
      </c>
      <c r="F41" s="104">
        <v>1.016</v>
      </c>
      <c r="G41" s="104">
        <v>1.016</v>
      </c>
    </row>
    <row r="42" spans="1:7" ht="13" x14ac:dyDescent="0.3">
      <c r="A42" s="96" t="s">
        <v>70</v>
      </c>
      <c r="B42" s="45" t="s">
        <v>285</v>
      </c>
      <c r="C42" s="104">
        <f t="shared" ref="C42:G42" si="3">IF(C18=1,1,C18*0.9)</f>
        <v>1</v>
      </c>
      <c r="D42" s="104">
        <f t="shared" si="3"/>
        <v>1</v>
      </c>
      <c r="E42" s="104">
        <f t="shared" si="3"/>
        <v>1</v>
      </c>
      <c r="F42" s="104">
        <f t="shared" si="3"/>
        <v>1</v>
      </c>
      <c r="G42" s="104">
        <f t="shared" si="3"/>
        <v>1</v>
      </c>
    </row>
    <row r="44" spans="1:7" ht="13" x14ac:dyDescent="0.3">
      <c r="A44" s="78" t="s">
        <v>321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49</v>
      </c>
      <c r="D45" s="43" t="s">
        <v>50</v>
      </c>
      <c r="E45" s="43" t="s">
        <v>51</v>
      </c>
      <c r="F45" s="43" t="s">
        <v>52</v>
      </c>
      <c r="G45" s="83"/>
    </row>
    <row r="46" spans="1:7" x14ac:dyDescent="0.25">
      <c r="B46" s="45" t="s">
        <v>286</v>
      </c>
      <c r="C46" s="104">
        <f>C22*0.9</f>
        <v>1.3680000000000001</v>
      </c>
      <c r="D46" s="104">
        <v>1</v>
      </c>
      <c r="E46" s="104">
        <v>1</v>
      </c>
      <c r="F46" s="104">
        <v>1</v>
      </c>
    </row>
    <row r="48" spans="1:7" s="106" customFormat="1" ht="13" x14ac:dyDescent="0.3">
      <c r="A48" s="106" t="s">
        <v>268</v>
      </c>
    </row>
    <row r="49" spans="1:7" ht="13" x14ac:dyDescent="0.3">
      <c r="A49" s="78" t="s">
        <v>242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25</v>
      </c>
      <c r="B50" s="41"/>
      <c r="C50" s="29" t="s">
        <v>1</v>
      </c>
      <c r="D50" s="29" t="s">
        <v>2</v>
      </c>
      <c r="E50" s="29" t="s">
        <v>3</v>
      </c>
      <c r="F50" s="29" t="s">
        <v>4</v>
      </c>
      <c r="G50" s="29" t="s">
        <v>5</v>
      </c>
    </row>
    <row r="51" spans="1:7" x14ac:dyDescent="0.25">
      <c r="B51" s="45" t="s">
        <v>287</v>
      </c>
      <c r="C51" s="104" t="s">
        <v>244</v>
      </c>
      <c r="D51" s="104">
        <f t="shared" ref="D51:G51" si="4">D3*1.05</f>
        <v>47.25</v>
      </c>
      <c r="E51" s="104">
        <f t="shared" si="4"/>
        <v>379.68000000000006</v>
      </c>
      <c r="F51" s="104">
        <f t="shared" si="4"/>
        <v>183.435</v>
      </c>
      <c r="G51" s="104">
        <f t="shared" si="4"/>
        <v>183.435</v>
      </c>
    </row>
    <row r="52" spans="1:7" ht="13" x14ac:dyDescent="0.3">
      <c r="A52" s="29"/>
      <c r="B52" s="72" t="s">
        <v>288</v>
      </c>
      <c r="C52" s="104">
        <v>1.0349999999999999</v>
      </c>
      <c r="D52" s="104">
        <v>1.0349999999999999</v>
      </c>
      <c r="E52" s="104">
        <v>1.0349999999999999</v>
      </c>
      <c r="F52" s="104">
        <v>1.0349999999999999</v>
      </c>
      <c r="G52" s="104">
        <v>1.0349999999999999</v>
      </c>
    </row>
    <row r="53" spans="1:7" ht="13" x14ac:dyDescent="0.3">
      <c r="A53" s="83" t="s">
        <v>324</v>
      </c>
    </row>
    <row r="54" spans="1:7" x14ac:dyDescent="0.25">
      <c r="B54" s="72" t="s">
        <v>289</v>
      </c>
      <c r="C54" s="104">
        <f>IF(C6=1,1,C6*1.1)</f>
        <v>1</v>
      </c>
      <c r="D54" s="104">
        <f t="shared" ref="D54:G54" si="5">IF(D6=1,1,D6*1.1)</f>
        <v>1</v>
      </c>
      <c r="E54" s="104">
        <f>E6*1.05</f>
        <v>0.93450000000000011</v>
      </c>
      <c r="F54" s="104">
        <f>F6*1.05</f>
        <v>0.93450000000000011</v>
      </c>
      <c r="G54" s="104">
        <f t="shared" si="5"/>
        <v>1</v>
      </c>
    </row>
    <row r="55" spans="1:7" x14ac:dyDescent="0.25">
      <c r="B55" s="72" t="s">
        <v>290</v>
      </c>
      <c r="C55" s="104">
        <f>IF(C7=1,1,C7*1.1)</f>
        <v>1</v>
      </c>
      <c r="D55" s="104">
        <f>IF(D7=1,1,D7*1.1)</f>
        <v>1</v>
      </c>
      <c r="E55" s="104">
        <v>0.91</v>
      </c>
      <c r="F55" s="104">
        <v>0.91</v>
      </c>
      <c r="G55" s="104">
        <f>IF(G7=1,1,G7*1.1)</f>
        <v>1</v>
      </c>
    </row>
    <row r="56" spans="1:7" x14ac:dyDescent="0.25">
      <c r="B56" s="72" t="s">
        <v>370</v>
      </c>
      <c r="C56" s="104">
        <f>IF(C8=1,1,C8*1.1)</f>
        <v>1</v>
      </c>
      <c r="D56" s="104">
        <f>IF(D8=1,1,D8*1.1)</f>
        <v>1</v>
      </c>
      <c r="E56" s="121">
        <v>1</v>
      </c>
      <c r="F56" s="121">
        <v>0.95599999999999996</v>
      </c>
      <c r="G56" s="121">
        <v>0.95599999999999996</v>
      </c>
    </row>
    <row r="57" spans="1:7" x14ac:dyDescent="0.25">
      <c r="B57" s="72" t="s">
        <v>332</v>
      </c>
      <c r="C57" s="104">
        <f t="shared" ref="C57:G58" si="6">IF(C9=1,1,C9*1.1)</f>
        <v>1</v>
      </c>
      <c r="D57" s="104">
        <f t="shared" si="6"/>
        <v>1</v>
      </c>
      <c r="E57" s="104">
        <v>0.91</v>
      </c>
      <c r="F57" s="104">
        <v>0.91</v>
      </c>
      <c r="G57" s="104">
        <f t="shared" si="6"/>
        <v>1</v>
      </c>
    </row>
    <row r="58" spans="1:7" x14ac:dyDescent="0.25">
      <c r="B58" s="72" t="s">
        <v>291</v>
      </c>
      <c r="C58" s="104">
        <f t="shared" si="6"/>
        <v>1</v>
      </c>
      <c r="D58" s="104">
        <f t="shared" si="6"/>
        <v>1</v>
      </c>
      <c r="E58" s="104">
        <f t="shared" si="6"/>
        <v>1</v>
      </c>
      <c r="F58" s="104">
        <f t="shared" si="6"/>
        <v>1</v>
      </c>
      <c r="G58" s="104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322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292</v>
      </c>
      <c r="C61" s="104">
        <v>1</v>
      </c>
      <c r="D61" s="104">
        <v>1.74</v>
      </c>
      <c r="E61" s="104">
        <v>1</v>
      </c>
      <c r="F61" s="104">
        <v>1</v>
      </c>
      <c r="G61" s="104">
        <v>1</v>
      </c>
    </row>
    <row r="62" spans="1:7" ht="13" x14ac:dyDescent="0.3">
      <c r="A62" s="83"/>
      <c r="B62" s="45"/>
    </row>
    <row r="63" spans="1:7" ht="13" x14ac:dyDescent="0.3">
      <c r="A63" s="78" t="s">
        <v>248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233</v>
      </c>
      <c r="B64" s="72" t="s">
        <v>293</v>
      </c>
      <c r="C64" s="104">
        <v>1.0309999999999999</v>
      </c>
      <c r="D64" s="104">
        <v>1.0309999999999999</v>
      </c>
      <c r="E64" s="104">
        <v>1.0309999999999999</v>
      </c>
      <c r="F64" s="104">
        <v>1.0309999999999999</v>
      </c>
      <c r="G64" s="104">
        <v>1.0309999999999999</v>
      </c>
    </row>
    <row r="65" spans="1:7" ht="13" x14ac:dyDescent="0.3">
      <c r="A65" s="29"/>
      <c r="B65" s="72" t="s">
        <v>294</v>
      </c>
      <c r="C65" s="104">
        <v>1.0309999999999999</v>
      </c>
      <c r="D65" s="104">
        <v>1.0309999999999999</v>
      </c>
      <c r="E65" s="104">
        <v>1.0309999999999999</v>
      </c>
      <c r="F65" s="104">
        <v>1.0309999999999999</v>
      </c>
      <c r="G65" s="104">
        <v>1.0309999999999999</v>
      </c>
    </row>
    <row r="66" spans="1:7" ht="13" x14ac:dyDescent="0.3">
      <c r="A66" s="96" t="s">
        <v>70</v>
      </c>
      <c r="B66" s="45" t="s">
        <v>295</v>
      </c>
      <c r="C66" s="104">
        <f t="shared" ref="C66:G66" si="7">IF(C18=1,1,C18*1.1)</f>
        <v>1</v>
      </c>
      <c r="D66" s="104">
        <f t="shared" si="7"/>
        <v>1</v>
      </c>
      <c r="E66" s="104">
        <f t="shared" si="7"/>
        <v>1</v>
      </c>
      <c r="F66" s="104">
        <f t="shared" si="7"/>
        <v>1</v>
      </c>
      <c r="G66" s="104">
        <f t="shared" si="7"/>
        <v>1</v>
      </c>
    </row>
    <row r="68" spans="1:7" ht="13" x14ac:dyDescent="0.3">
      <c r="A68" s="78" t="s">
        <v>323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49</v>
      </c>
      <c r="D69" s="43" t="s">
        <v>50</v>
      </c>
      <c r="E69" s="43" t="s">
        <v>51</v>
      </c>
      <c r="F69" s="43" t="s">
        <v>52</v>
      </c>
      <c r="G69" s="83"/>
    </row>
    <row r="70" spans="1:7" x14ac:dyDescent="0.25">
      <c r="B70" s="45" t="s">
        <v>296</v>
      </c>
      <c r="C70" s="104">
        <f>C22*1.1</f>
        <v>1.6720000000000002</v>
      </c>
      <c r="D70" s="104">
        <v>1</v>
      </c>
      <c r="E70" s="104">
        <v>1</v>
      </c>
      <c r="F70" s="104">
        <v>1</v>
      </c>
    </row>
  </sheetData>
  <sheetProtection algorithmName="SHA-512" hashValue="Gok1+XNQCZ9BtROW/89CBqpa36mnAfsBs7FzatfVXjxwTkaGCHleOrhZyUtvRYwiJdBYMEb5ykn/pHp4pTYuFg==" saltValue="pwLQWwAnBBRe+gYzLN7A5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C14" sqref="C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254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86</v>
      </c>
      <c r="B4" s="72" t="s">
        <v>253</v>
      </c>
      <c r="C4" s="104">
        <f>1-0.76</f>
        <v>0.24</v>
      </c>
      <c r="D4" s="104">
        <v>0</v>
      </c>
      <c r="E4" s="104">
        <f>1-0.76</f>
        <v>0.24</v>
      </c>
      <c r="F4" s="104">
        <v>0</v>
      </c>
    </row>
    <row r="5" spans="1:6" ht="15.75" customHeight="1" x14ac:dyDescent="0.25">
      <c r="A5" s="72"/>
      <c r="B5" s="72" t="s">
        <v>254</v>
      </c>
      <c r="C5" s="121">
        <v>1</v>
      </c>
      <c r="D5" s="121">
        <v>1</v>
      </c>
      <c r="E5" s="121">
        <v>1</v>
      </c>
      <c r="F5" s="121">
        <v>1</v>
      </c>
    </row>
    <row r="6" spans="1:6" ht="15.75" customHeight="1" x14ac:dyDescent="0.25">
      <c r="A6" s="72" t="s">
        <v>182</v>
      </c>
      <c r="B6" s="72" t="s">
        <v>253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254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202</v>
      </c>
      <c r="B8" s="72" t="s">
        <v>253</v>
      </c>
      <c r="C8" s="104">
        <v>0.61</v>
      </c>
      <c r="D8" s="104">
        <v>0.61</v>
      </c>
      <c r="E8" s="104">
        <v>0</v>
      </c>
      <c r="F8" s="104">
        <v>0</v>
      </c>
    </row>
    <row r="9" spans="1:6" ht="15.75" customHeight="1" x14ac:dyDescent="0.25">
      <c r="A9" s="72"/>
      <c r="B9" s="72" t="s">
        <v>254</v>
      </c>
      <c r="C9" s="104">
        <v>1</v>
      </c>
      <c r="D9" s="104">
        <v>1</v>
      </c>
      <c r="E9" s="104">
        <v>1</v>
      </c>
      <c r="F9" s="104">
        <v>1</v>
      </c>
    </row>
    <row r="10" spans="1:6" ht="15.75" customHeight="1" x14ac:dyDescent="0.25">
      <c r="A10" s="72" t="s">
        <v>57</v>
      </c>
      <c r="B10" s="72" t="s">
        <v>253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254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34</v>
      </c>
      <c r="B12" s="72" t="s">
        <v>253</v>
      </c>
      <c r="C12" s="104">
        <v>0.35</v>
      </c>
      <c r="D12" s="104">
        <v>0.35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254</v>
      </c>
      <c r="C13" s="104">
        <v>1</v>
      </c>
      <c r="D13" s="104">
        <v>1</v>
      </c>
      <c r="E13" s="104">
        <v>0</v>
      </c>
      <c r="F13" s="104">
        <v>0</v>
      </c>
    </row>
    <row r="14" spans="1:6" ht="15.75" customHeight="1" x14ac:dyDescent="0.25">
      <c r="A14" s="72" t="s">
        <v>59</v>
      </c>
      <c r="B14" s="72" t="s">
        <v>253</v>
      </c>
      <c r="C14" s="104">
        <f>1-0.93*0.39</f>
        <v>0.63729999999999998</v>
      </c>
      <c r="D14" s="104">
        <f>1-0.93*0.39</f>
        <v>0.63729999999999998</v>
      </c>
      <c r="E14" s="104">
        <v>0</v>
      </c>
      <c r="F14" s="104">
        <v>0</v>
      </c>
    </row>
    <row r="15" spans="1:6" ht="15.75" customHeight="1" x14ac:dyDescent="0.25">
      <c r="A15" s="72"/>
      <c r="B15" s="72" t="s">
        <v>254</v>
      </c>
      <c r="C15" s="104">
        <v>1</v>
      </c>
      <c r="D15" s="104">
        <v>1</v>
      </c>
      <c r="E15" s="104">
        <v>1</v>
      </c>
      <c r="F15" s="104">
        <v>1</v>
      </c>
    </row>
    <row r="17" spans="1:6" s="106" customFormat="1" ht="15.75" customHeight="1" x14ac:dyDescent="0.3">
      <c r="A17" s="106" t="s">
        <v>267</v>
      </c>
    </row>
    <row r="18" spans="1:6" ht="15.75" customHeight="1" x14ac:dyDescent="0.3">
      <c r="A18" s="41" t="s">
        <v>69</v>
      </c>
      <c r="B18" s="29"/>
      <c r="C18" s="29" t="s">
        <v>9</v>
      </c>
      <c r="D18" s="29" t="s">
        <v>12</v>
      </c>
      <c r="E18" s="29" t="s">
        <v>11</v>
      </c>
      <c r="F18" s="41" t="s">
        <v>26</v>
      </c>
    </row>
    <row r="19" spans="1:6" ht="15.75" customHeight="1" x14ac:dyDescent="0.25">
      <c r="A19" s="72" t="s">
        <v>29</v>
      </c>
      <c r="B19" s="72" t="s">
        <v>253</v>
      </c>
      <c r="C19" s="104">
        <f>1-0.94</f>
        <v>6.0000000000000053E-2</v>
      </c>
      <c r="D19" s="104">
        <f>1-0.94</f>
        <v>6.0000000000000053E-2</v>
      </c>
      <c r="E19" s="104">
        <f t="shared" ref="E19:F19" si="0">E2*0.9</f>
        <v>0</v>
      </c>
      <c r="F19" s="104">
        <f t="shared" si="0"/>
        <v>0</v>
      </c>
    </row>
    <row r="20" spans="1:6" ht="15.75" customHeight="1" x14ac:dyDescent="0.25">
      <c r="A20" s="72"/>
      <c r="B20" s="72" t="s">
        <v>254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86</v>
      </c>
      <c r="B21" s="72" t="s">
        <v>253</v>
      </c>
      <c r="C21" s="121">
        <f>1-0.97</f>
        <v>3.0000000000000027E-2</v>
      </c>
      <c r="D21" s="121">
        <v>0</v>
      </c>
      <c r="E21" s="121">
        <f>1-0.97</f>
        <v>3.0000000000000027E-2</v>
      </c>
      <c r="F21" s="121">
        <v>0</v>
      </c>
    </row>
    <row r="22" spans="1:6" ht="15.75" customHeight="1" x14ac:dyDescent="0.25">
      <c r="A22" s="72"/>
      <c r="B22" s="72" t="s">
        <v>254</v>
      </c>
      <c r="C22" s="121">
        <v>1</v>
      </c>
      <c r="D22" s="121">
        <v>1</v>
      </c>
      <c r="E22" s="121">
        <v>1</v>
      </c>
      <c r="F22" s="121">
        <v>1</v>
      </c>
    </row>
    <row r="23" spans="1:6" ht="15.75" customHeight="1" x14ac:dyDescent="0.25">
      <c r="A23" s="72" t="s">
        <v>182</v>
      </c>
      <c r="B23" s="72" t="s">
        <v>253</v>
      </c>
      <c r="C23" s="104">
        <f>1-0.86</f>
        <v>0.14000000000000001</v>
      </c>
      <c r="D23" s="104">
        <f>1-0.86</f>
        <v>0.14000000000000001</v>
      </c>
      <c r="E23" s="104">
        <f t="shared" ref="E23:F23" si="1">E6*0.9</f>
        <v>0</v>
      </c>
      <c r="F23" s="104">
        <f t="shared" si="1"/>
        <v>0</v>
      </c>
    </row>
    <row r="24" spans="1:6" ht="15.75" customHeight="1" x14ac:dyDescent="0.25">
      <c r="A24" s="72"/>
      <c r="B24" s="72" t="s">
        <v>254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202</v>
      </c>
      <c r="B25" s="72" t="s">
        <v>253</v>
      </c>
      <c r="C25" s="104">
        <f>1-0.86</f>
        <v>0.14000000000000001</v>
      </c>
      <c r="D25" s="104">
        <f>1-0.86</f>
        <v>0.14000000000000001</v>
      </c>
      <c r="E25" s="104">
        <f t="shared" ref="E25:F25" si="2">E8*0.9</f>
        <v>0</v>
      </c>
      <c r="F25" s="104">
        <f t="shared" si="2"/>
        <v>0</v>
      </c>
    </row>
    <row r="26" spans="1:6" ht="15.75" customHeight="1" x14ac:dyDescent="0.25">
      <c r="A26" s="72"/>
      <c r="B26" s="72" t="s">
        <v>254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57</v>
      </c>
      <c r="B27" s="72" t="s">
        <v>253</v>
      </c>
      <c r="C27" s="104">
        <f>1-0.77</f>
        <v>0.22999999999999998</v>
      </c>
      <c r="D27" s="104">
        <f>1-0.77</f>
        <v>0.22999999999999998</v>
      </c>
      <c r="E27" s="104">
        <f t="shared" ref="E27:F27" si="3">E12*0.9</f>
        <v>0</v>
      </c>
      <c r="F27" s="104">
        <f t="shared" si="3"/>
        <v>0</v>
      </c>
    </row>
    <row r="28" spans="1:6" ht="15.75" customHeight="1" x14ac:dyDescent="0.25">
      <c r="A28" s="72"/>
      <c r="B28" s="72" t="s">
        <v>254</v>
      </c>
      <c r="C28" s="104">
        <v>1</v>
      </c>
      <c r="D28" s="104">
        <v>1</v>
      </c>
      <c r="E28" s="104">
        <v>1</v>
      </c>
      <c r="F28" s="104">
        <v>1</v>
      </c>
    </row>
    <row r="29" spans="1:6" ht="15.75" customHeight="1" x14ac:dyDescent="0.25">
      <c r="A29" s="72" t="s">
        <v>34</v>
      </c>
      <c r="B29" s="72" t="s">
        <v>253</v>
      </c>
      <c r="C29" s="104">
        <f>1-0.77</f>
        <v>0.22999999999999998</v>
      </c>
      <c r="D29" s="104">
        <f>1-0.77</f>
        <v>0.22999999999999998</v>
      </c>
      <c r="E29" s="104">
        <f t="shared" ref="E29:F29" si="4">E12*0.9</f>
        <v>0</v>
      </c>
      <c r="F29" s="104">
        <f t="shared" si="4"/>
        <v>0</v>
      </c>
    </row>
    <row r="30" spans="1:6" ht="15.75" customHeight="1" x14ac:dyDescent="0.25">
      <c r="A30" s="72"/>
      <c r="B30" s="72" t="s">
        <v>254</v>
      </c>
      <c r="C30" s="104">
        <v>1</v>
      </c>
      <c r="D30" s="104">
        <v>1</v>
      </c>
      <c r="E30" s="104">
        <v>1</v>
      </c>
      <c r="F30" s="104">
        <v>1</v>
      </c>
    </row>
    <row r="31" spans="1:6" ht="15.75" customHeight="1" x14ac:dyDescent="0.25">
      <c r="A31" s="72" t="s">
        <v>59</v>
      </c>
      <c r="B31" s="72" t="s">
        <v>253</v>
      </c>
      <c r="C31" s="104">
        <f>1-0.98*0.86</f>
        <v>0.15720000000000001</v>
      </c>
      <c r="D31" s="104">
        <f>1-0.98*0.86</f>
        <v>0.15720000000000001</v>
      </c>
      <c r="E31" s="104">
        <f t="shared" ref="E31:F31" si="5">E14*0.9</f>
        <v>0</v>
      </c>
      <c r="F31" s="104">
        <f t="shared" si="5"/>
        <v>0</v>
      </c>
    </row>
    <row r="32" spans="1:6" ht="15.75" customHeight="1" x14ac:dyDescent="0.25">
      <c r="A32" s="72"/>
      <c r="B32" s="72" t="s">
        <v>254</v>
      </c>
      <c r="C32" s="104">
        <v>1</v>
      </c>
      <c r="D32" s="104">
        <v>1</v>
      </c>
      <c r="E32" s="104">
        <v>1</v>
      </c>
      <c r="F32" s="104">
        <v>1</v>
      </c>
    </row>
    <row r="34" spans="1:6" s="106" customFormat="1" ht="15.75" customHeight="1" x14ac:dyDescent="0.3">
      <c r="A34" s="106" t="s">
        <v>268</v>
      </c>
    </row>
    <row r="35" spans="1:6" ht="15.75" customHeight="1" x14ac:dyDescent="0.3">
      <c r="A35" s="41" t="s">
        <v>69</v>
      </c>
      <c r="B35" s="29"/>
      <c r="C35" s="29" t="s">
        <v>9</v>
      </c>
      <c r="D35" s="29" t="s">
        <v>12</v>
      </c>
      <c r="E35" s="29" t="s">
        <v>11</v>
      </c>
      <c r="F35" s="41" t="s">
        <v>26</v>
      </c>
    </row>
    <row r="36" spans="1:6" ht="15.75" customHeight="1" x14ac:dyDescent="0.25">
      <c r="A36" s="72" t="s">
        <v>29</v>
      </c>
      <c r="B36" s="72" t="s">
        <v>253</v>
      </c>
      <c r="C36" s="104">
        <f>1-0.54</f>
        <v>0.45999999999999996</v>
      </c>
      <c r="D36" s="104">
        <f>1-0.54</f>
        <v>0.45999999999999996</v>
      </c>
      <c r="E36" s="104">
        <f t="shared" ref="E36:F36" si="6">E2*1.1</f>
        <v>0</v>
      </c>
      <c r="F36" s="104">
        <f t="shared" si="6"/>
        <v>0</v>
      </c>
    </row>
    <row r="37" spans="1:6" ht="15.75" customHeight="1" x14ac:dyDescent="0.25">
      <c r="A37" s="72"/>
      <c r="B37" s="72" t="s">
        <v>254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86</v>
      </c>
      <c r="B38" s="72" t="s">
        <v>253</v>
      </c>
      <c r="C38" s="121">
        <f>1-0.6</f>
        <v>0.4</v>
      </c>
      <c r="D38" s="121">
        <v>0</v>
      </c>
      <c r="E38" s="121">
        <f>1-0.6</f>
        <v>0.4</v>
      </c>
      <c r="F38" s="121">
        <v>0</v>
      </c>
    </row>
    <row r="39" spans="1:6" ht="15.75" customHeight="1" x14ac:dyDescent="0.25">
      <c r="A39" s="72"/>
      <c r="B39" s="72" t="s">
        <v>254</v>
      </c>
      <c r="C39" s="121">
        <v>1</v>
      </c>
      <c r="D39" s="121">
        <v>1</v>
      </c>
      <c r="E39" s="121">
        <v>1</v>
      </c>
      <c r="F39" s="121">
        <v>1</v>
      </c>
    </row>
    <row r="40" spans="1:6" ht="15.75" customHeight="1" x14ac:dyDescent="0.25">
      <c r="A40" s="72" t="s">
        <v>182</v>
      </c>
      <c r="B40" s="72" t="s">
        <v>253</v>
      </c>
      <c r="C40" s="104">
        <f>1-0.17</f>
        <v>0.83</v>
      </c>
      <c r="D40" s="104">
        <f>1-0.17</f>
        <v>0.83</v>
      </c>
      <c r="E40" s="104">
        <f t="shared" ref="E40:F40" si="7">E6*1.1</f>
        <v>0</v>
      </c>
      <c r="F40" s="104">
        <f t="shared" si="7"/>
        <v>0</v>
      </c>
    </row>
    <row r="41" spans="1:6" ht="15.75" customHeight="1" x14ac:dyDescent="0.25">
      <c r="A41" s="72"/>
      <c r="B41" s="72" t="s">
        <v>254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202</v>
      </c>
      <c r="B42" s="72" t="s">
        <v>253</v>
      </c>
      <c r="C42" s="104">
        <f>1-0.17</f>
        <v>0.83</v>
      </c>
      <c r="D42" s="104">
        <f>1-0.17</f>
        <v>0.83</v>
      </c>
      <c r="E42" s="104">
        <f t="shared" ref="E42:F42" si="8">E8*1.1</f>
        <v>0</v>
      </c>
      <c r="F42" s="104">
        <f t="shared" si="8"/>
        <v>0</v>
      </c>
    </row>
    <row r="43" spans="1:6" ht="15.75" customHeight="1" x14ac:dyDescent="0.25">
      <c r="A43" s="72"/>
      <c r="B43" s="72" t="s">
        <v>254</v>
      </c>
      <c r="C43" s="104">
        <v>1</v>
      </c>
      <c r="D43" s="104">
        <v>1</v>
      </c>
      <c r="E43" s="104">
        <v>1</v>
      </c>
      <c r="F43" s="104">
        <v>1</v>
      </c>
    </row>
    <row r="44" spans="1:6" ht="15.75" customHeight="1" x14ac:dyDescent="0.25">
      <c r="A44" s="72" t="s">
        <v>57</v>
      </c>
      <c r="B44" s="72" t="s">
        <v>253</v>
      </c>
      <c r="C44" s="104">
        <f>1-0.55</f>
        <v>0.44999999999999996</v>
      </c>
      <c r="D44" s="104">
        <f>1-0.55</f>
        <v>0.44999999999999996</v>
      </c>
      <c r="E44" s="104">
        <f t="shared" ref="E44:F44" si="9">E10*1.1</f>
        <v>0</v>
      </c>
      <c r="F44" s="104">
        <f t="shared" si="9"/>
        <v>0</v>
      </c>
    </row>
    <row r="45" spans="1:6" ht="15.75" customHeight="1" x14ac:dyDescent="0.25">
      <c r="A45" s="72"/>
      <c r="B45" s="72" t="s">
        <v>254</v>
      </c>
      <c r="C45" s="104">
        <v>1</v>
      </c>
      <c r="D45" s="104">
        <v>1</v>
      </c>
      <c r="E45" s="104">
        <v>1</v>
      </c>
      <c r="F45" s="104">
        <v>1</v>
      </c>
    </row>
    <row r="46" spans="1:6" ht="15.75" customHeight="1" x14ac:dyDescent="0.25">
      <c r="A46" s="72" t="s">
        <v>34</v>
      </c>
      <c r="B46" s="72" t="s">
        <v>253</v>
      </c>
      <c r="C46" s="104">
        <f>1-0.55</f>
        <v>0.44999999999999996</v>
      </c>
      <c r="D46" s="104">
        <f>1-0.55</f>
        <v>0.44999999999999996</v>
      </c>
      <c r="E46" s="104">
        <f t="shared" ref="E46:F46" si="10">E12*1.1</f>
        <v>0</v>
      </c>
      <c r="F46" s="104">
        <f t="shared" si="10"/>
        <v>0</v>
      </c>
    </row>
    <row r="47" spans="1:6" ht="15.75" customHeight="1" x14ac:dyDescent="0.25">
      <c r="A47" s="72"/>
      <c r="B47" s="72" t="s">
        <v>254</v>
      </c>
      <c r="C47" s="104">
        <v>1</v>
      </c>
      <c r="D47" s="104">
        <v>1</v>
      </c>
      <c r="E47" s="104">
        <v>1</v>
      </c>
      <c r="F47" s="104">
        <v>1</v>
      </c>
    </row>
    <row r="48" spans="1:6" ht="15.75" customHeight="1" x14ac:dyDescent="0.25">
      <c r="A48" s="72" t="s">
        <v>59</v>
      </c>
      <c r="B48" s="72" t="s">
        <v>253</v>
      </c>
      <c r="C48" s="104">
        <f>1-0.88*0.17</f>
        <v>0.85040000000000004</v>
      </c>
      <c r="D48" s="104">
        <f>1-0.88*0.17</f>
        <v>0.85040000000000004</v>
      </c>
      <c r="E48" s="104">
        <f t="shared" ref="E48:F48" si="11">E14*1.1</f>
        <v>0</v>
      </c>
      <c r="F48" s="104">
        <f t="shared" si="11"/>
        <v>0</v>
      </c>
    </row>
    <row r="49" spans="1:6" ht="15.75" customHeight="1" x14ac:dyDescent="0.25">
      <c r="A49" s="72"/>
      <c r="B49" s="72" t="s">
        <v>254</v>
      </c>
      <c r="C49" s="104">
        <v>1</v>
      </c>
      <c r="D49" s="104">
        <v>1</v>
      </c>
      <c r="E49" s="104">
        <v>1</v>
      </c>
      <c r="F49" s="104">
        <v>1</v>
      </c>
    </row>
  </sheetData>
  <sheetProtection algorithmName="SHA-512" hashValue="kK8xysIiwaZBe6JdL6sY+7hCHUwalJJ4E91CK5lDBLC0HVn6JDyPMlYtp5B/1zJtxZBEkoYIBoVYhL3VpCGCgw==" saltValue="2MGYFnUIxC1XkYGDGfzv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zoomScale="70" zoomScaleNormal="70" workbookViewId="0">
      <selection activeCell="L14" sqref="L14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</v>
      </c>
      <c r="D1" s="82" t="s">
        <v>2</v>
      </c>
      <c r="E1" s="82" t="s">
        <v>3</v>
      </c>
      <c r="F1" s="82" t="s">
        <v>4</v>
      </c>
      <c r="G1" s="82" t="s">
        <v>5</v>
      </c>
      <c r="H1" s="82" t="s">
        <v>49</v>
      </c>
      <c r="I1" s="82" t="s">
        <v>50</v>
      </c>
      <c r="J1" s="82" t="s">
        <v>51</v>
      </c>
      <c r="K1" s="82" t="s">
        <v>52</v>
      </c>
      <c r="L1" s="82" t="s">
        <v>53</v>
      </c>
      <c r="M1" s="82" t="s">
        <v>54</v>
      </c>
      <c r="N1" s="82" t="s">
        <v>55</v>
      </c>
      <c r="O1" s="8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04">
        <v>0.92</v>
      </c>
      <c r="D3" s="104">
        <v>0.92</v>
      </c>
      <c r="E3" s="104">
        <v>0.92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183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201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184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185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182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202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57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131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34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132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59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330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04">
        <v>1</v>
      </c>
      <c r="D18" s="104">
        <v>1</v>
      </c>
      <c r="E18" s="104">
        <v>0.97599999999999998</v>
      </c>
      <c r="F18" s="104">
        <v>0.97599999999999998</v>
      </c>
      <c r="G18" s="104">
        <v>0.97599999999999998</v>
      </c>
      <c r="H18" s="104">
        <v>0.97599999999999998</v>
      </c>
      <c r="I18" s="104">
        <v>0.97599999999999998</v>
      </c>
      <c r="J18" s="104">
        <v>0.97599999999999998</v>
      </c>
      <c r="K18" s="104">
        <v>0.97599999999999998</v>
      </c>
      <c r="L18" s="104">
        <v>0.97599999999999998</v>
      </c>
      <c r="M18" s="104">
        <v>0.97599999999999998</v>
      </c>
      <c r="N18" s="104">
        <v>0.97599999999999998</v>
      </c>
      <c r="O18" s="104">
        <v>0.97599999999999998</v>
      </c>
    </row>
    <row r="19" spans="1:15" x14ac:dyDescent="0.25">
      <c r="B19" s="72" t="s">
        <v>64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62</v>
      </c>
      <c r="C20" s="104">
        <v>1</v>
      </c>
      <c r="D20" s="104">
        <v>1</v>
      </c>
      <c r="E20" s="104">
        <v>0.97599999999999998</v>
      </c>
      <c r="F20" s="104">
        <v>0.97599999999999998</v>
      </c>
      <c r="G20" s="104">
        <v>0.97599999999999998</v>
      </c>
      <c r="H20" s="104">
        <v>0.97599999999999998</v>
      </c>
      <c r="I20" s="104">
        <v>0.97599999999999998</v>
      </c>
      <c r="J20" s="104">
        <v>0.97599999999999998</v>
      </c>
      <c r="K20" s="104">
        <v>0.97599999999999998</v>
      </c>
      <c r="L20" s="104">
        <v>0.97599999999999998</v>
      </c>
      <c r="M20" s="104">
        <v>0.97599999999999998</v>
      </c>
      <c r="N20" s="104">
        <v>0.97599999999999998</v>
      </c>
      <c r="O20" s="104">
        <v>0.97599999999999998</v>
      </c>
    </row>
    <row r="21" spans="1:15" x14ac:dyDescent="0.25">
      <c r="B21" s="72" t="s">
        <v>47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267</v>
      </c>
    </row>
    <row r="24" spans="1:15" ht="26" x14ac:dyDescent="0.3">
      <c r="A24" s="29"/>
      <c r="B24" s="29"/>
      <c r="C24" s="82" t="s">
        <v>1</v>
      </c>
      <c r="D24" s="82" t="s">
        <v>2</v>
      </c>
      <c r="E24" s="82" t="s">
        <v>3</v>
      </c>
      <c r="F24" s="82" t="s">
        <v>4</v>
      </c>
      <c r="G24" s="82" t="s">
        <v>5</v>
      </c>
      <c r="H24" s="82" t="s">
        <v>49</v>
      </c>
      <c r="I24" s="82" t="s">
        <v>50</v>
      </c>
      <c r="J24" s="82" t="s">
        <v>51</v>
      </c>
      <c r="K24" s="82" t="s">
        <v>52</v>
      </c>
      <c r="L24" s="82" t="s">
        <v>53</v>
      </c>
      <c r="M24" s="82" t="s">
        <v>54</v>
      </c>
      <c r="N24" s="82" t="s">
        <v>55</v>
      </c>
      <c r="O24" s="8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04">
        <v>0.87</v>
      </c>
      <c r="D26" s="104">
        <v>0.87</v>
      </c>
      <c r="E26" s="104">
        <v>0.87</v>
      </c>
      <c r="F26" s="104">
        <f t="shared" ref="F26:O26" si="1">IF(F3=1,1,F3*0.9)</f>
        <v>1</v>
      </c>
      <c r="G26" s="104">
        <f t="shared" si="1"/>
        <v>1</v>
      </c>
      <c r="H26" s="104">
        <f t="shared" si="1"/>
        <v>1</v>
      </c>
      <c r="I26" s="104">
        <f t="shared" si="1"/>
        <v>1</v>
      </c>
      <c r="J26" s="104">
        <f t="shared" si="1"/>
        <v>1</v>
      </c>
      <c r="K26" s="104">
        <f t="shared" si="1"/>
        <v>1</v>
      </c>
      <c r="L26" s="104">
        <f t="shared" si="1"/>
        <v>1</v>
      </c>
      <c r="M26" s="104">
        <f t="shared" si="1"/>
        <v>1</v>
      </c>
      <c r="N26" s="104">
        <f t="shared" si="1"/>
        <v>1</v>
      </c>
      <c r="O26" s="104">
        <f t="shared" si="1"/>
        <v>1</v>
      </c>
    </row>
    <row r="27" spans="1:15" x14ac:dyDescent="0.25">
      <c r="B27" s="45" t="s">
        <v>183</v>
      </c>
      <c r="C27" s="104">
        <f t="shared" ref="C27:O34" si="2">IF(C4=1,1,C4*0.9)</f>
        <v>1</v>
      </c>
      <c r="D27" s="104">
        <f t="shared" si="2"/>
        <v>1</v>
      </c>
      <c r="E27" s="104">
        <f t="shared" si="2"/>
        <v>1</v>
      </c>
      <c r="F27" s="104">
        <f t="shared" si="2"/>
        <v>1</v>
      </c>
      <c r="G27" s="104">
        <f t="shared" si="2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2"/>
        <v>1</v>
      </c>
      <c r="M27" s="104">
        <f t="shared" si="2"/>
        <v>1</v>
      </c>
      <c r="N27" s="104">
        <f t="shared" si="2"/>
        <v>1</v>
      </c>
      <c r="O27" s="104">
        <f t="shared" si="2"/>
        <v>1</v>
      </c>
    </row>
    <row r="28" spans="1:15" x14ac:dyDescent="0.25">
      <c r="B28" s="45" t="s">
        <v>201</v>
      </c>
      <c r="C28" s="104">
        <f t="shared" si="2"/>
        <v>1</v>
      </c>
      <c r="D28" s="104">
        <f t="shared" si="2"/>
        <v>1</v>
      </c>
      <c r="E28" s="104">
        <f t="shared" si="2"/>
        <v>1</v>
      </c>
      <c r="F28" s="104">
        <f t="shared" si="2"/>
        <v>1</v>
      </c>
      <c r="G28" s="104">
        <f t="shared" si="2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2"/>
        <v>1</v>
      </c>
      <c r="M28" s="104">
        <f t="shared" si="2"/>
        <v>1</v>
      </c>
      <c r="N28" s="104">
        <f t="shared" si="2"/>
        <v>1</v>
      </c>
      <c r="O28" s="104">
        <f t="shared" si="2"/>
        <v>1</v>
      </c>
    </row>
    <row r="29" spans="1:15" x14ac:dyDescent="0.25">
      <c r="B29" s="45" t="s">
        <v>184</v>
      </c>
      <c r="C29" s="104">
        <f t="shared" si="2"/>
        <v>1</v>
      </c>
      <c r="D29" s="104">
        <f t="shared" si="2"/>
        <v>1</v>
      </c>
      <c r="E29" s="104">
        <f t="shared" si="2"/>
        <v>1</v>
      </c>
      <c r="F29" s="104">
        <f t="shared" si="2"/>
        <v>1</v>
      </c>
      <c r="G29" s="104">
        <f t="shared" si="2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2"/>
        <v>1</v>
      </c>
      <c r="M29" s="104">
        <f t="shared" si="2"/>
        <v>1</v>
      </c>
      <c r="N29" s="104">
        <f t="shared" si="2"/>
        <v>1</v>
      </c>
      <c r="O29" s="104">
        <f t="shared" si="2"/>
        <v>1</v>
      </c>
    </row>
    <row r="30" spans="1:15" x14ac:dyDescent="0.25">
      <c r="B30" s="45" t="s">
        <v>185</v>
      </c>
      <c r="C30" s="104">
        <f t="shared" si="2"/>
        <v>1</v>
      </c>
      <c r="D30" s="104">
        <f t="shared" si="2"/>
        <v>1</v>
      </c>
      <c r="E30" s="104">
        <f t="shared" si="2"/>
        <v>1</v>
      </c>
      <c r="F30" s="104">
        <f t="shared" si="2"/>
        <v>1</v>
      </c>
      <c r="G30" s="104">
        <f t="shared" si="2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2"/>
        <v>1</v>
      </c>
      <c r="M30" s="104">
        <f t="shared" si="2"/>
        <v>1</v>
      </c>
      <c r="N30" s="104">
        <f t="shared" si="2"/>
        <v>1</v>
      </c>
      <c r="O30" s="104">
        <f t="shared" si="2"/>
        <v>1</v>
      </c>
    </row>
    <row r="31" spans="1:15" x14ac:dyDescent="0.25">
      <c r="B31" s="72" t="s">
        <v>182</v>
      </c>
      <c r="C31" s="104">
        <f t="shared" si="2"/>
        <v>1</v>
      </c>
      <c r="D31" s="104">
        <f t="shared" si="2"/>
        <v>1</v>
      </c>
      <c r="E31" s="104">
        <f t="shared" si="2"/>
        <v>1</v>
      </c>
      <c r="F31" s="104">
        <f t="shared" si="2"/>
        <v>1</v>
      </c>
      <c r="G31" s="104">
        <f t="shared" si="2"/>
        <v>1</v>
      </c>
      <c r="H31" s="104">
        <f t="shared" si="2"/>
        <v>1</v>
      </c>
      <c r="I31" s="104">
        <f t="shared" si="2"/>
        <v>1</v>
      </c>
      <c r="J31" s="104">
        <f t="shared" si="2"/>
        <v>1</v>
      </c>
      <c r="K31" s="104">
        <f t="shared" si="2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202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  <c r="H32" s="104">
        <f t="shared" si="2"/>
        <v>1</v>
      </c>
      <c r="I32" s="104">
        <f t="shared" si="2"/>
        <v>1</v>
      </c>
      <c r="J32" s="104">
        <f t="shared" si="2"/>
        <v>1</v>
      </c>
      <c r="K32" s="104">
        <f t="shared" si="2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57</v>
      </c>
      <c r="C33" s="104">
        <f t="shared" si="2"/>
        <v>1</v>
      </c>
      <c r="D33" s="104">
        <f t="shared" si="2"/>
        <v>1</v>
      </c>
      <c r="E33" s="104">
        <f t="shared" si="2"/>
        <v>1</v>
      </c>
      <c r="F33" s="104">
        <f t="shared" si="2"/>
        <v>1</v>
      </c>
      <c r="G33" s="104">
        <f t="shared" si="2"/>
        <v>1</v>
      </c>
      <c r="H33" s="104">
        <f t="shared" si="2"/>
        <v>1</v>
      </c>
      <c r="I33" s="104">
        <f t="shared" si="2"/>
        <v>1</v>
      </c>
      <c r="J33" s="104">
        <f t="shared" si="2"/>
        <v>1</v>
      </c>
      <c r="K33" s="104">
        <f t="shared" si="2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131</v>
      </c>
      <c r="C34" s="104">
        <f t="shared" si="2"/>
        <v>1</v>
      </c>
      <c r="D34" s="104">
        <f t="shared" si="2"/>
        <v>1</v>
      </c>
      <c r="E34" s="104">
        <v>0.62</v>
      </c>
      <c r="F34" s="104">
        <v>0.62</v>
      </c>
      <c r="G34" s="104">
        <v>1</v>
      </c>
      <c r="H34" s="104">
        <f t="shared" si="2"/>
        <v>1</v>
      </c>
      <c r="I34" s="104">
        <f t="shared" si="2"/>
        <v>1</v>
      </c>
      <c r="J34" s="104">
        <f t="shared" si="2"/>
        <v>1</v>
      </c>
      <c r="K34" s="104">
        <f t="shared" si="2"/>
        <v>1</v>
      </c>
      <c r="L34" s="104">
        <f t="shared" si="2"/>
        <v>1</v>
      </c>
      <c r="M34" s="104">
        <f t="shared" si="2"/>
        <v>1</v>
      </c>
      <c r="N34" s="104">
        <f t="shared" si="2"/>
        <v>1</v>
      </c>
      <c r="O34" s="104">
        <f t="shared" si="2"/>
        <v>1</v>
      </c>
    </row>
    <row r="35" spans="1:15" x14ac:dyDescent="0.25">
      <c r="B35" s="45" t="s">
        <v>34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132</v>
      </c>
      <c r="C36" s="104">
        <f t="shared" ref="C36:O38" si="3">IF(C13=1,1,C13*0.9)</f>
        <v>1</v>
      </c>
      <c r="D36" s="104">
        <f t="shared" si="3"/>
        <v>1</v>
      </c>
      <c r="E36" s="104">
        <v>0.62</v>
      </c>
      <c r="F36" s="104">
        <v>0.62</v>
      </c>
      <c r="G36" s="104">
        <v>0.62</v>
      </c>
      <c r="H36" s="104">
        <f t="shared" si="3"/>
        <v>1</v>
      </c>
      <c r="I36" s="104">
        <f t="shared" si="3"/>
        <v>1</v>
      </c>
      <c r="J36" s="104">
        <f t="shared" si="3"/>
        <v>1</v>
      </c>
      <c r="K36" s="104">
        <f t="shared" si="3"/>
        <v>1</v>
      </c>
      <c r="L36" s="104">
        <f t="shared" si="3"/>
        <v>1</v>
      </c>
      <c r="M36" s="104">
        <f t="shared" si="3"/>
        <v>1</v>
      </c>
      <c r="N36" s="104">
        <f t="shared" si="3"/>
        <v>1</v>
      </c>
      <c r="O36" s="104">
        <f t="shared" si="3"/>
        <v>1</v>
      </c>
    </row>
    <row r="37" spans="1:15" x14ac:dyDescent="0.25">
      <c r="B37" s="45" t="s">
        <v>59</v>
      </c>
      <c r="C37" s="104">
        <f t="shared" si="3"/>
        <v>1</v>
      </c>
      <c r="D37" s="104">
        <f t="shared" si="3"/>
        <v>1</v>
      </c>
      <c r="E37" s="104">
        <f t="shared" si="3"/>
        <v>1</v>
      </c>
      <c r="F37" s="104">
        <f t="shared" si="3"/>
        <v>1</v>
      </c>
      <c r="G37" s="104">
        <f t="shared" si="3"/>
        <v>1</v>
      </c>
      <c r="H37" s="104">
        <f t="shared" si="3"/>
        <v>1</v>
      </c>
      <c r="I37" s="104">
        <f t="shared" si="3"/>
        <v>1</v>
      </c>
      <c r="J37" s="104">
        <f t="shared" si="3"/>
        <v>1</v>
      </c>
      <c r="K37" s="104">
        <f t="shared" si="3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330</v>
      </c>
      <c r="C38" s="104">
        <f t="shared" si="3"/>
        <v>1</v>
      </c>
      <c r="D38" s="104">
        <f t="shared" si="3"/>
        <v>1</v>
      </c>
      <c r="E38" s="104">
        <v>0.3</v>
      </c>
      <c r="F38" s="104">
        <v>0.3</v>
      </c>
      <c r="G38" s="104">
        <f t="shared" si="3"/>
        <v>1</v>
      </c>
      <c r="H38" s="104">
        <f t="shared" si="3"/>
        <v>1</v>
      </c>
      <c r="I38" s="104">
        <f t="shared" si="3"/>
        <v>1</v>
      </c>
      <c r="J38" s="104">
        <f t="shared" si="3"/>
        <v>1</v>
      </c>
      <c r="K38" s="104">
        <f t="shared" si="3"/>
        <v>1</v>
      </c>
      <c r="L38" s="104">
        <f t="shared" si="3"/>
        <v>1</v>
      </c>
      <c r="M38" s="104">
        <f t="shared" si="3"/>
        <v>1</v>
      </c>
      <c r="N38" s="104">
        <f t="shared" si="3"/>
        <v>1</v>
      </c>
      <c r="O38" s="104">
        <f t="shared" si="3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04">
        <f t="shared" ref="C41:D44" si="4">IF(C18=1,1,C18*0.9)</f>
        <v>1</v>
      </c>
      <c r="D41" s="104">
        <f t="shared" si="4"/>
        <v>1</v>
      </c>
      <c r="E41" s="104">
        <v>0.97499999999999998</v>
      </c>
      <c r="F41" s="104">
        <v>0.97499999999999998</v>
      </c>
      <c r="G41" s="104">
        <v>0.97499999999999998</v>
      </c>
      <c r="H41" s="104">
        <v>0.97499999999999998</v>
      </c>
      <c r="I41" s="104">
        <v>0.97499999999999998</v>
      </c>
      <c r="J41" s="104">
        <v>0.97499999999999998</v>
      </c>
      <c r="K41" s="104">
        <v>0.97499999999999998</v>
      </c>
      <c r="L41" s="104">
        <v>0.97499999999999998</v>
      </c>
      <c r="M41" s="104">
        <v>0.97499999999999998</v>
      </c>
      <c r="N41" s="104">
        <v>0.97499999999999998</v>
      </c>
      <c r="O41" s="104">
        <v>0.97499999999999998</v>
      </c>
    </row>
    <row r="42" spans="1:15" x14ac:dyDescent="0.25">
      <c r="B42" s="72" t="s">
        <v>64</v>
      </c>
      <c r="C42" s="104">
        <f t="shared" si="4"/>
        <v>1</v>
      </c>
      <c r="D42" s="104">
        <f t="shared" si="4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62</v>
      </c>
      <c r="C43" s="104">
        <f t="shared" si="4"/>
        <v>1</v>
      </c>
      <c r="D43" s="104">
        <f t="shared" si="4"/>
        <v>1</v>
      </c>
      <c r="E43" s="104">
        <v>0.97499999999999998</v>
      </c>
      <c r="F43" s="104">
        <v>0.97499999999999998</v>
      </c>
      <c r="G43" s="104">
        <v>0.97499999999999998</v>
      </c>
      <c r="H43" s="104">
        <v>0.97499999999999998</v>
      </c>
      <c r="I43" s="104">
        <v>0.97499999999999998</v>
      </c>
      <c r="J43" s="104">
        <v>0.97499999999999998</v>
      </c>
      <c r="K43" s="104">
        <v>0.97499999999999998</v>
      </c>
      <c r="L43" s="104">
        <v>0.97499999999999998</v>
      </c>
      <c r="M43" s="104">
        <v>0.97499999999999998</v>
      </c>
      <c r="N43" s="104">
        <v>0.97499999999999998</v>
      </c>
      <c r="O43" s="104">
        <v>0.97499999999999998</v>
      </c>
    </row>
    <row r="44" spans="1:15" x14ac:dyDescent="0.25">
      <c r="B44" s="72" t="s">
        <v>47</v>
      </c>
      <c r="C44" s="104">
        <f t="shared" si="4"/>
        <v>1</v>
      </c>
      <c r="D44" s="104">
        <f t="shared" si="4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268</v>
      </c>
    </row>
    <row r="47" spans="1:15" ht="26" x14ac:dyDescent="0.3">
      <c r="A47" s="29"/>
      <c r="B47" s="29"/>
      <c r="C47" s="82" t="s">
        <v>1</v>
      </c>
      <c r="D47" s="82" t="s">
        <v>2</v>
      </c>
      <c r="E47" s="82" t="s">
        <v>3</v>
      </c>
      <c r="F47" s="82" t="s">
        <v>4</v>
      </c>
      <c r="G47" s="82" t="s">
        <v>5</v>
      </c>
      <c r="H47" s="82" t="s">
        <v>49</v>
      </c>
      <c r="I47" s="82" t="s">
        <v>50</v>
      </c>
      <c r="J47" s="82" t="s">
        <v>51</v>
      </c>
      <c r="K47" s="82" t="s">
        <v>52</v>
      </c>
      <c r="L47" s="82" t="s">
        <v>53</v>
      </c>
      <c r="M47" s="82" t="s">
        <v>54</v>
      </c>
      <c r="N47" s="82" t="s">
        <v>55</v>
      </c>
      <c r="O47" s="8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04">
        <v>0.99</v>
      </c>
      <c r="D49" s="104">
        <v>0.99</v>
      </c>
      <c r="E49" s="104">
        <v>0.99</v>
      </c>
      <c r="F49" s="104">
        <f t="shared" ref="F49:O49" si="5">IF(F3=1,1,F3*1.05)</f>
        <v>1</v>
      </c>
      <c r="G49" s="104">
        <f t="shared" si="5"/>
        <v>1</v>
      </c>
      <c r="H49" s="104">
        <f t="shared" si="5"/>
        <v>1</v>
      </c>
      <c r="I49" s="104">
        <f t="shared" si="5"/>
        <v>1</v>
      </c>
      <c r="J49" s="104">
        <f t="shared" si="5"/>
        <v>1</v>
      </c>
      <c r="K49" s="104">
        <f t="shared" si="5"/>
        <v>1</v>
      </c>
      <c r="L49" s="104">
        <f t="shared" si="5"/>
        <v>1</v>
      </c>
      <c r="M49" s="104">
        <f t="shared" si="5"/>
        <v>1</v>
      </c>
      <c r="N49" s="104">
        <f t="shared" si="5"/>
        <v>1</v>
      </c>
      <c r="O49" s="104">
        <f t="shared" si="5"/>
        <v>1</v>
      </c>
    </row>
    <row r="50" spans="1:15" x14ac:dyDescent="0.25">
      <c r="B50" s="45" t="s">
        <v>183</v>
      </c>
      <c r="C50" s="104">
        <f t="shared" ref="C50:O57" si="6">IF(C4=1,1,C4*1.05)</f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  <c r="G50" s="104">
        <f t="shared" si="6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6"/>
        <v>1</v>
      </c>
      <c r="M50" s="104">
        <f t="shared" si="6"/>
        <v>1</v>
      </c>
      <c r="N50" s="104">
        <f t="shared" si="6"/>
        <v>1</v>
      </c>
      <c r="O50" s="104">
        <f t="shared" si="6"/>
        <v>1</v>
      </c>
    </row>
    <row r="51" spans="1:15" x14ac:dyDescent="0.25">
      <c r="B51" s="45" t="s">
        <v>201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  <c r="G51" s="104">
        <f t="shared" si="6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6"/>
        <v>1</v>
      </c>
      <c r="M51" s="104">
        <f t="shared" si="6"/>
        <v>1</v>
      </c>
      <c r="N51" s="104">
        <f t="shared" si="6"/>
        <v>1</v>
      </c>
      <c r="O51" s="104">
        <f t="shared" si="6"/>
        <v>1</v>
      </c>
    </row>
    <row r="52" spans="1:15" x14ac:dyDescent="0.25">
      <c r="B52" s="45" t="s">
        <v>184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  <c r="G52" s="104">
        <f t="shared" si="6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6"/>
        <v>1</v>
      </c>
      <c r="M52" s="104">
        <f t="shared" si="6"/>
        <v>1</v>
      </c>
      <c r="N52" s="104">
        <f t="shared" si="6"/>
        <v>1</v>
      </c>
      <c r="O52" s="104">
        <f t="shared" si="6"/>
        <v>1</v>
      </c>
    </row>
    <row r="53" spans="1:15" x14ac:dyDescent="0.25">
      <c r="B53" s="45" t="s">
        <v>185</v>
      </c>
      <c r="C53" s="104">
        <f t="shared" si="6"/>
        <v>1</v>
      </c>
      <c r="D53" s="104">
        <f t="shared" si="6"/>
        <v>1</v>
      </c>
      <c r="E53" s="104">
        <f t="shared" si="6"/>
        <v>1</v>
      </c>
      <c r="F53" s="104">
        <f t="shared" si="6"/>
        <v>1</v>
      </c>
      <c r="G53" s="104">
        <f t="shared" si="6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6"/>
        <v>1</v>
      </c>
      <c r="M53" s="104">
        <f t="shared" si="6"/>
        <v>1</v>
      </c>
      <c r="N53" s="104">
        <f t="shared" si="6"/>
        <v>1</v>
      </c>
      <c r="O53" s="104">
        <f t="shared" si="6"/>
        <v>1</v>
      </c>
    </row>
    <row r="54" spans="1:15" x14ac:dyDescent="0.25">
      <c r="B54" s="72" t="s">
        <v>182</v>
      </c>
      <c r="C54" s="104">
        <f t="shared" si="6"/>
        <v>1</v>
      </c>
      <c r="D54" s="104">
        <f t="shared" si="6"/>
        <v>1</v>
      </c>
      <c r="E54" s="104">
        <f t="shared" si="6"/>
        <v>1</v>
      </c>
      <c r="F54" s="104">
        <f t="shared" si="6"/>
        <v>1</v>
      </c>
      <c r="G54" s="104">
        <f t="shared" si="6"/>
        <v>1</v>
      </c>
      <c r="H54" s="104">
        <f t="shared" si="6"/>
        <v>1</v>
      </c>
      <c r="I54" s="104">
        <f t="shared" si="6"/>
        <v>1</v>
      </c>
      <c r="J54" s="104">
        <f t="shared" si="6"/>
        <v>1</v>
      </c>
      <c r="K54" s="104">
        <f t="shared" si="6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202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  <c r="H55" s="104">
        <f t="shared" si="6"/>
        <v>1</v>
      </c>
      <c r="I55" s="104">
        <f t="shared" si="6"/>
        <v>1</v>
      </c>
      <c r="J55" s="104">
        <f t="shared" si="6"/>
        <v>1</v>
      </c>
      <c r="K55" s="104">
        <f t="shared" si="6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57</v>
      </c>
      <c r="C56" s="104">
        <f t="shared" si="6"/>
        <v>1</v>
      </c>
      <c r="D56" s="104">
        <f t="shared" si="6"/>
        <v>1</v>
      </c>
      <c r="E56" s="104">
        <f t="shared" si="6"/>
        <v>1</v>
      </c>
      <c r="F56" s="104">
        <f t="shared" si="6"/>
        <v>1</v>
      </c>
      <c r="G56" s="104">
        <f t="shared" si="6"/>
        <v>1</v>
      </c>
      <c r="H56" s="104">
        <f t="shared" si="6"/>
        <v>1</v>
      </c>
      <c r="I56" s="104">
        <f t="shared" si="6"/>
        <v>1</v>
      </c>
      <c r="J56" s="104">
        <f t="shared" si="6"/>
        <v>1</v>
      </c>
      <c r="K56" s="104">
        <f t="shared" si="6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131</v>
      </c>
      <c r="C57" s="104">
        <f t="shared" si="6"/>
        <v>1</v>
      </c>
      <c r="D57" s="104">
        <f t="shared" si="6"/>
        <v>1</v>
      </c>
      <c r="E57" s="104">
        <v>0.77</v>
      </c>
      <c r="F57" s="104">
        <v>0.77</v>
      </c>
      <c r="G57" s="104">
        <f t="shared" si="6"/>
        <v>1</v>
      </c>
      <c r="H57" s="104">
        <f t="shared" si="6"/>
        <v>1</v>
      </c>
      <c r="I57" s="104">
        <f t="shared" si="6"/>
        <v>1</v>
      </c>
      <c r="J57" s="104">
        <f t="shared" si="6"/>
        <v>1</v>
      </c>
      <c r="K57" s="104">
        <f t="shared" si="6"/>
        <v>1</v>
      </c>
      <c r="L57" s="104">
        <f t="shared" si="6"/>
        <v>1</v>
      </c>
      <c r="M57" s="104">
        <f t="shared" si="6"/>
        <v>1</v>
      </c>
      <c r="N57" s="104">
        <f t="shared" si="6"/>
        <v>1</v>
      </c>
      <c r="O57" s="104">
        <f t="shared" si="6"/>
        <v>1</v>
      </c>
    </row>
    <row r="58" spans="1:15" x14ac:dyDescent="0.25">
      <c r="B58" s="45" t="s">
        <v>34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132</v>
      </c>
      <c r="C59" s="104">
        <f t="shared" ref="C59:O61" si="7">IF(C13=1,1,C13*1.05)</f>
        <v>1</v>
      </c>
      <c r="D59" s="104">
        <f t="shared" si="7"/>
        <v>1</v>
      </c>
      <c r="E59" s="104">
        <v>0.77</v>
      </c>
      <c r="F59" s="104">
        <v>0.77</v>
      </c>
      <c r="G59" s="104">
        <v>0.77</v>
      </c>
      <c r="H59" s="104">
        <f t="shared" si="7"/>
        <v>1</v>
      </c>
      <c r="I59" s="104">
        <f t="shared" si="7"/>
        <v>1</v>
      </c>
      <c r="J59" s="104">
        <f t="shared" si="7"/>
        <v>1</v>
      </c>
      <c r="K59" s="104">
        <f t="shared" si="7"/>
        <v>1</v>
      </c>
      <c r="L59" s="104">
        <f t="shared" si="7"/>
        <v>1</v>
      </c>
      <c r="M59" s="104">
        <f t="shared" si="7"/>
        <v>1</v>
      </c>
      <c r="N59" s="104">
        <f t="shared" si="7"/>
        <v>1</v>
      </c>
      <c r="O59" s="104">
        <f t="shared" si="7"/>
        <v>1</v>
      </c>
    </row>
    <row r="60" spans="1:15" x14ac:dyDescent="0.25">
      <c r="B60" s="45" t="s">
        <v>59</v>
      </c>
      <c r="C60" s="104">
        <f t="shared" si="7"/>
        <v>1</v>
      </c>
      <c r="D60" s="104">
        <f t="shared" si="7"/>
        <v>1</v>
      </c>
      <c r="E60" s="104">
        <f t="shared" si="7"/>
        <v>1</v>
      </c>
      <c r="F60" s="104">
        <f t="shared" si="7"/>
        <v>1</v>
      </c>
      <c r="G60" s="104">
        <f t="shared" si="7"/>
        <v>1</v>
      </c>
      <c r="H60" s="104">
        <f t="shared" si="7"/>
        <v>1</v>
      </c>
      <c r="I60" s="104">
        <f t="shared" si="7"/>
        <v>1</v>
      </c>
      <c r="J60" s="104">
        <f t="shared" si="7"/>
        <v>1</v>
      </c>
      <c r="K60" s="104">
        <f t="shared" si="7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330</v>
      </c>
      <c r="C61" s="104">
        <f t="shared" si="7"/>
        <v>1</v>
      </c>
      <c r="D61" s="104">
        <f t="shared" si="7"/>
        <v>1</v>
      </c>
      <c r="E61" s="104">
        <v>0.44</v>
      </c>
      <c r="F61" s="104">
        <v>0.44</v>
      </c>
      <c r="G61" s="104">
        <f t="shared" si="7"/>
        <v>1</v>
      </c>
      <c r="H61" s="104">
        <f t="shared" si="7"/>
        <v>1</v>
      </c>
      <c r="I61" s="104">
        <f t="shared" si="7"/>
        <v>1</v>
      </c>
      <c r="J61" s="104">
        <f t="shared" si="7"/>
        <v>1</v>
      </c>
      <c r="K61" s="104">
        <f t="shared" si="7"/>
        <v>1</v>
      </c>
      <c r="L61" s="104">
        <f t="shared" si="7"/>
        <v>1</v>
      </c>
      <c r="M61" s="104">
        <f t="shared" si="7"/>
        <v>1</v>
      </c>
      <c r="N61" s="104">
        <f t="shared" si="7"/>
        <v>1</v>
      </c>
      <c r="O61" s="104">
        <f t="shared" si="7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04">
        <f t="shared" ref="C64:D67" si="8">IF(C18=1,1,C18*1.05)</f>
        <v>1</v>
      </c>
      <c r="D64" s="104">
        <f t="shared" si="8"/>
        <v>1</v>
      </c>
      <c r="E64" s="104">
        <v>0.97799999999999998</v>
      </c>
      <c r="F64" s="104">
        <v>0.97799999999999998</v>
      </c>
      <c r="G64" s="104">
        <v>0.97799999999999998</v>
      </c>
      <c r="H64" s="104">
        <v>0.97799999999999998</v>
      </c>
      <c r="I64" s="104">
        <v>0.97799999999999998</v>
      </c>
      <c r="J64" s="104">
        <v>0.97799999999999998</v>
      </c>
      <c r="K64" s="104">
        <v>0.97799999999999998</v>
      </c>
      <c r="L64" s="104">
        <v>0.97799999999999998</v>
      </c>
      <c r="M64" s="104">
        <v>0.97799999999999998</v>
      </c>
      <c r="N64" s="104">
        <v>0.97799999999999998</v>
      </c>
      <c r="O64" s="104">
        <v>0.97799999999999998</v>
      </c>
    </row>
    <row r="65" spans="2:15" x14ac:dyDescent="0.25">
      <c r="B65" s="72" t="s">
        <v>64</v>
      </c>
      <c r="C65" s="104">
        <f t="shared" si="8"/>
        <v>1</v>
      </c>
      <c r="D65" s="104">
        <f t="shared" si="8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62</v>
      </c>
      <c r="C66" s="104">
        <f t="shared" si="8"/>
        <v>1</v>
      </c>
      <c r="D66" s="104">
        <f t="shared" si="8"/>
        <v>1</v>
      </c>
      <c r="E66" s="104">
        <v>0.97799999999999998</v>
      </c>
      <c r="F66" s="104">
        <v>0.97799999999999998</v>
      </c>
      <c r="G66" s="104">
        <v>0.97799999999999998</v>
      </c>
      <c r="H66" s="104">
        <v>0.97799999999999998</v>
      </c>
      <c r="I66" s="104">
        <v>0.97799999999999998</v>
      </c>
      <c r="J66" s="104">
        <v>0.97799999999999998</v>
      </c>
      <c r="K66" s="104">
        <v>0.97799999999999998</v>
      </c>
      <c r="L66" s="104">
        <v>0.97799999999999998</v>
      </c>
      <c r="M66" s="104">
        <v>0.97799999999999998</v>
      </c>
      <c r="N66" s="104">
        <v>0.97799999999999998</v>
      </c>
      <c r="O66" s="104">
        <v>0.97799999999999998</v>
      </c>
    </row>
    <row r="67" spans="2:15" x14ac:dyDescent="0.25">
      <c r="B67" s="72" t="s">
        <v>47</v>
      </c>
      <c r="C67" s="104">
        <f t="shared" si="8"/>
        <v>1</v>
      </c>
      <c r="D67" s="104">
        <f t="shared" si="8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1H36YeFo+tYWK8ppDEqRt9VLAlN4fhiSrdsiceTY84S0a72cFwg9qXz4yszhjj9aJElQkYzzqKoVekKKS4PDuQ==" saltValue="rTLJ2c1Dod8ZlB3HOpXo6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</v>
      </c>
      <c r="D1" s="29" t="s">
        <v>2</v>
      </c>
      <c r="E1" s="29" t="s">
        <v>3</v>
      </c>
      <c r="F1" s="29" t="s">
        <v>4</v>
      </c>
      <c r="G1" s="29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258</v>
      </c>
      <c r="B4" s="45"/>
      <c r="C4" s="97"/>
      <c r="D4" s="97"/>
      <c r="E4" s="97"/>
      <c r="F4" s="97"/>
      <c r="G4" s="97"/>
    </row>
    <row r="5" spans="1:7" x14ac:dyDescent="0.25">
      <c r="B5" s="72" t="s">
        <v>178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269</v>
      </c>
    </row>
    <row r="8" spans="1:7" ht="13" x14ac:dyDescent="0.3">
      <c r="A8" s="29"/>
      <c r="B8" s="41"/>
      <c r="C8" s="29" t="s">
        <v>1</v>
      </c>
      <c r="D8" s="29" t="s">
        <v>2</v>
      </c>
      <c r="E8" s="29" t="s">
        <v>3</v>
      </c>
      <c r="F8" s="29" t="s">
        <v>4</v>
      </c>
      <c r="G8" s="29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275</v>
      </c>
      <c r="B11" s="45"/>
      <c r="C11" s="97"/>
      <c r="D11" s="97"/>
      <c r="E11" s="97"/>
      <c r="F11" s="97"/>
      <c r="G11" s="97"/>
    </row>
    <row r="12" spans="1:7" x14ac:dyDescent="0.25">
      <c r="B12" s="72" t="s">
        <v>178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270</v>
      </c>
    </row>
    <row r="15" spans="1:7" ht="13" x14ac:dyDescent="0.3">
      <c r="A15" s="29"/>
      <c r="B15" s="41"/>
      <c r="C15" s="29" t="s">
        <v>1</v>
      </c>
      <c r="D15" s="29" t="s">
        <v>2</v>
      </c>
      <c r="E15" s="29" t="s">
        <v>3</v>
      </c>
      <c r="F15" s="29" t="s">
        <v>4</v>
      </c>
      <c r="G15" s="29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277</v>
      </c>
      <c r="B18" s="45"/>
      <c r="C18" s="97"/>
      <c r="D18" s="97"/>
      <c r="E18" s="97"/>
      <c r="F18" s="97"/>
      <c r="G18" s="97"/>
    </row>
    <row r="19" spans="1:7" x14ac:dyDescent="0.25">
      <c r="B19" s="72" t="s">
        <v>178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pIb1smc9c9vieqMVqGfjGRP/0yeZPkwGSWVPteaFMUTrOrQlst0ccF2avHomBI6Fcg18AdtBzMkmRxgt7VY7pw==" saltValue="2A8mjH/k+VxE/j04qTRg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zoomScale="70" zoomScaleNormal="70" workbookViewId="0">
      <selection activeCell="F18" sqref="F18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262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263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263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65</v>
      </c>
      <c r="C7" s="39" t="s">
        <v>261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263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263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65</v>
      </c>
      <c r="C11" s="39" t="s">
        <v>261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263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330</v>
      </c>
      <c r="B13" s="39" t="s">
        <v>66</v>
      </c>
      <c r="C13" s="39" t="s">
        <v>261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263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65</v>
      </c>
      <c r="C15" s="39" t="s">
        <v>261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263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263</v>
      </c>
      <c r="D18" s="104">
        <v>0</v>
      </c>
      <c r="E18" s="104">
        <v>0</v>
      </c>
      <c r="F18" s="104">
        <f>MIN(MAX(1-0.89/(1-frac_sam_6_11months+(frac_sam_6_11months*0.89)),0),1)</f>
        <v>0.10845784237982603</v>
      </c>
      <c r="G18" s="104">
        <f>MIN(MAX(1-0.89/(1-frac_sam_12_23months+(frac_sam_12_23months*0.89)),0),1)</f>
        <v>0.10901055997751219</v>
      </c>
      <c r="H18" s="104">
        <f>MIN(MAX(1-0.89/(1-frac_sam_24_59months+(frac_sam_24_59months*0.89)),0),1)</f>
        <v>0.10928137311800357</v>
      </c>
    </row>
    <row r="19" spans="1:8" x14ac:dyDescent="0.25">
      <c r="B19" s="39" t="s">
        <v>65</v>
      </c>
      <c r="C19" s="39" t="s">
        <v>261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263</v>
      </c>
      <c r="D20" s="104">
        <v>0</v>
      </c>
      <c r="E20" s="104">
        <v>0</v>
      </c>
      <c r="F20" s="104">
        <f>MIN(MAX(1-0.89/(1-frac_mam_6_11months+(frac_mam_6_11months*0.89)),0),1)</f>
        <v>0.1046795744409692</v>
      </c>
      <c r="G20" s="104">
        <f>MIN(MAX(1-0.89/(1-frac_mam_12_23months+(frac_mam_12_23months*0.89)),0),1)</f>
        <v>0.10581499250070592</v>
      </c>
      <c r="H20" s="104">
        <f>MIN(MAX(1-0.89/(1-frac_mam_24_59months+(frac_mam_24_59months*0.89)),0),1)</f>
        <v>0.10780844504922549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262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262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262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262</v>
      </c>
      <c r="D28" s="104">
        <v>0.3</v>
      </c>
      <c r="E28" s="104">
        <v>0.3</v>
      </c>
      <c r="F28" s="104">
        <v>0.3</v>
      </c>
      <c r="G28" s="104">
        <v>0.3</v>
      </c>
      <c r="H28" s="104">
        <v>0.3</v>
      </c>
    </row>
    <row r="29" spans="1:8" x14ac:dyDescent="0.25">
      <c r="C29" s="39" t="s">
        <v>263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262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263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262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263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262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263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262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263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262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263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16</v>
      </c>
      <c r="C45" s="39" t="s">
        <v>261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262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263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262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262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262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269</v>
      </c>
      <c r="B55" s="111"/>
      <c r="C55" s="111"/>
    </row>
    <row r="56" spans="1:8" ht="13" x14ac:dyDescent="0.3">
      <c r="A56" s="29" t="s">
        <v>69</v>
      </c>
      <c r="B56" s="29" t="s">
        <v>259</v>
      </c>
      <c r="C56" s="96" t="s">
        <v>260</v>
      </c>
      <c r="D56" s="29" t="s">
        <v>1</v>
      </c>
      <c r="E56" s="29" t="s">
        <v>2</v>
      </c>
      <c r="F56" s="29" t="s">
        <v>3</v>
      </c>
      <c r="G56" s="29" t="s">
        <v>4</v>
      </c>
      <c r="H56" s="29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262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263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263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65</v>
      </c>
      <c r="C62" s="39" t="s">
        <v>261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263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263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65</v>
      </c>
      <c r="C66" s="39" t="s">
        <v>261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263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330</v>
      </c>
      <c r="B68" s="39" t="s">
        <v>66</v>
      </c>
      <c r="C68" s="39" t="s">
        <v>261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263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65</v>
      </c>
      <c r="C70" s="39" t="s">
        <v>261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263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263</v>
      </c>
      <c r="D73" s="104">
        <f t="shared" si="2"/>
        <v>0</v>
      </c>
      <c r="E73" s="104">
        <f t="shared" si="2"/>
        <v>0</v>
      </c>
      <c r="F73" s="104">
        <f>MIN(MAX(1-0.99/(1-frac_sam_6_11months+(frac_sam_6_11months*0.99)),0),1)</f>
        <v>9.8442967462329944E-3</v>
      </c>
      <c r="G73" s="104">
        <f>MIN(MAX(1-0.99/(1-frac_sam_12_23months+(frac_sam_12_23months*0.99)),0),1)</f>
        <v>9.9000452880145806E-3</v>
      </c>
      <c r="H73" s="104">
        <f>MIN(MAX(1-0.99/(1-frac_sam_24_59months+(frac_sam_24_59months*0.99)),0),1)</f>
        <v>9.9273831696513604E-3</v>
      </c>
    </row>
    <row r="74" spans="1:8" x14ac:dyDescent="0.25">
      <c r="B74" s="39" t="s">
        <v>65</v>
      </c>
      <c r="C74" s="39" t="s">
        <v>261</v>
      </c>
      <c r="D74" s="104">
        <f t="shared" si="2"/>
        <v>0</v>
      </c>
      <c r="E74" s="104">
        <f t="shared" si="2"/>
        <v>0</v>
      </c>
      <c r="F74" s="104">
        <v>1</v>
      </c>
      <c r="G74" s="104">
        <v>1</v>
      </c>
      <c r="H74" s="104">
        <v>1</v>
      </c>
    </row>
    <row r="75" spans="1:8" x14ac:dyDescent="0.25">
      <c r="C75" s="39" t="s">
        <v>263</v>
      </c>
      <c r="D75" s="104">
        <f t="shared" si="2"/>
        <v>0</v>
      </c>
      <c r="E75" s="104">
        <f t="shared" si="2"/>
        <v>0</v>
      </c>
      <c r="F75" s="104">
        <f>MIN(MAX(1-0.99/(1-frac_mam_6_11months+(frac_mam_6_11months*0.99)),0),1)</f>
        <v>9.4648875339096161E-3</v>
      </c>
      <c r="G75" s="104">
        <f>MIN(MAX(1-0.99/(1-frac_mam_12_23months+(frac_mam_12_23months*0.99)),0),1)</f>
        <v>9.5785983927034746E-3</v>
      </c>
      <c r="H75" s="104">
        <f>MIN(MAX(1-0.99/(1-frac_mam_24_59months+(frac_mam_24_59months*0.99)),0),1)</f>
        <v>9.7788770816137349E-3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262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262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262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262</v>
      </c>
      <c r="D83" s="104">
        <v>7.0000000000000007E-2</v>
      </c>
      <c r="E83" s="104">
        <v>7.0000000000000007E-2</v>
      </c>
      <c r="F83" s="104">
        <v>7.0000000000000007E-2</v>
      </c>
      <c r="G83" s="104">
        <v>7.0000000000000007E-2</v>
      </c>
      <c r="H83" s="104">
        <v>7.0000000000000007E-2</v>
      </c>
    </row>
    <row r="84" spans="1:8" x14ac:dyDescent="0.25">
      <c r="C84" s="39" t="s">
        <v>263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262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263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262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263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262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263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262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263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262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263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16</v>
      </c>
      <c r="C100" s="39" t="s">
        <v>261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262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263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262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262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262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270</v>
      </c>
      <c r="B110" s="111"/>
      <c r="C110" s="111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29" t="s">
        <v>1</v>
      </c>
      <c r="E111" s="29" t="s">
        <v>2</v>
      </c>
      <c r="F111" s="29" t="s">
        <v>3</v>
      </c>
      <c r="G111" s="29" t="s">
        <v>4</v>
      </c>
      <c r="H111" s="29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262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263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263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65</v>
      </c>
      <c r="C117" s="39" t="s">
        <v>261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263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263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65</v>
      </c>
      <c r="C121" s="39" t="s">
        <v>261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263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330</v>
      </c>
      <c r="B123" s="39" t="s">
        <v>66</v>
      </c>
      <c r="C123" s="39" t="s">
        <v>261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263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65</v>
      </c>
      <c r="C125" s="39" t="s">
        <v>261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263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263</v>
      </c>
      <c r="D128" s="104">
        <f t="shared" si="9"/>
        <v>0</v>
      </c>
      <c r="E128" s="104">
        <f t="shared" si="9"/>
        <v>0</v>
      </c>
      <c r="F128" s="104">
        <f>MIN(MAX(1-0.8/(1-frac_sam_6_11months+(frac_sam_6_11months*0.8)),0),1)</f>
        <v>0.1974760415732103</v>
      </c>
      <c r="G128" s="104">
        <f>MIN(MAX(1-0.8/(1-frac_sam_12_23months+(frac_sam_12_23months*0.8)),0),1)</f>
        <v>0.19838146543966784</v>
      </c>
      <c r="H128" s="104">
        <f>MIN(MAX(1-0.8/(1-frac_sam_24_59months+(frac_sam_24_59months*0.8)),0),1)</f>
        <v>0.19882475677586242</v>
      </c>
    </row>
    <row r="129" spans="1:8" x14ac:dyDescent="0.25">
      <c r="B129" s="39" t="s">
        <v>65</v>
      </c>
      <c r="C129" s="39" t="s">
        <v>261</v>
      </c>
      <c r="D129" s="104">
        <f t="shared" si="9"/>
        <v>0</v>
      </c>
      <c r="E129" s="104">
        <f t="shared" si="9"/>
        <v>0</v>
      </c>
      <c r="F129" s="104">
        <v>1</v>
      </c>
      <c r="G129" s="104">
        <v>1</v>
      </c>
      <c r="H129" s="104">
        <v>1</v>
      </c>
    </row>
    <row r="130" spans="1:8" x14ac:dyDescent="0.25">
      <c r="C130" s="39" t="s">
        <v>263</v>
      </c>
      <c r="D130" s="104">
        <f t="shared" si="9"/>
        <v>0</v>
      </c>
      <c r="E130" s="104">
        <f t="shared" si="9"/>
        <v>0</v>
      </c>
      <c r="F130" s="104">
        <f>MIN(MAX(1-0.8/(1-frac_mam_6_11months+(frac_mam_6_11months*0.8)),0),1)</f>
        <v>0.19126197969113667</v>
      </c>
      <c r="G130" s="104">
        <f>MIN(MAX(1-0.8/(1-frac_mam_12_23months+(frac_mam_12_23months*0.8)),0),1)</f>
        <v>0.19313393967166625</v>
      </c>
      <c r="H130" s="104">
        <f>MIN(MAX(1-0.8/(1-frac_mam_24_59months+(frac_mam_24_59months*0.8)),0),1)</f>
        <v>0.19641106564514077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04">
        <f t="shared" ref="D131" si="10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262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04">
        <f t="shared" ref="D133" si="11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262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04">
        <f t="shared" ref="D135" si="12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262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262</v>
      </c>
      <c r="D138" s="104">
        <v>0.51</v>
      </c>
      <c r="E138" s="104">
        <v>0.51</v>
      </c>
      <c r="F138" s="104">
        <v>0.51</v>
      </c>
      <c r="G138" s="104">
        <v>0.51</v>
      </c>
      <c r="H138" s="104">
        <v>0.51</v>
      </c>
    </row>
    <row r="139" spans="1:8" x14ac:dyDescent="0.25">
      <c r="C139" s="39" t="s">
        <v>263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262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263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262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263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262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263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262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263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04">
        <f t="shared" ref="D152:H153" si="13">IF($C97="Affected fraction",D97,IF(D97=1,1,D97*0.9))</f>
        <v>0</v>
      </c>
      <c r="E152" s="104">
        <f t="shared" si="13"/>
        <v>1</v>
      </c>
      <c r="F152" s="104">
        <f t="shared" si="13"/>
        <v>1</v>
      </c>
      <c r="G152" s="104">
        <f t="shared" si="13"/>
        <v>1</v>
      </c>
      <c r="H152" s="104">
        <f t="shared" si="13"/>
        <v>1</v>
      </c>
    </row>
    <row r="153" spans="1:8" x14ac:dyDescent="0.25">
      <c r="C153" s="39" t="s">
        <v>262</v>
      </c>
      <c r="D153" s="104">
        <f t="shared" si="13"/>
        <v>0</v>
      </c>
      <c r="E153" s="104">
        <f t="shared" si="13"/>
        <v>0</v>
      </c>
      <c r="F153" s="104">
        <f t="shared" si="13"/>
        <v>0</v>
      </c>
      <c r="G153" s="104">
        <f t="shared" si="13"/>
        <v>0</v>
      </c>
      <c r="H153" s="104">
        <f t="shared" si="13"/>
        <v>0</v>
      </c>
    </row>
    <row r="154" spans="1:8" x14ac:dyDescent="0.25">
      <c r="C154" s="39" t="s">
        <v>263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16</v>
      </c>
      <c r="C155" s="39" t="s">
        <v>261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262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263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262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262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262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X00FxclSNSjJirmMy+z7qEOva6bgZMAswwg9/Zx2Czg7XdgCu39+BpOdZzILyc/8IAiCsVCp13t6IIjdq7Xvvg==" saltValue="yzgPEUxGLJUP683C8Cv0I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zoomScale="85" zoomScaleNormal="85" workbookViewId="0">
      <selection activeCell="D20" sqref="D20:G20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29" t="s">
        <v>53</v>
      </c>
      <c r="E1" s="29" t="s">
        <v>54</v>
      </c>
      <c r="F1" s="29" t="s">
        <v>55</v>
      </c>
      <c r="G1" s="29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262</v>
      </c>
      <c r="D3" s="104">
        <v>0</v>
      </c>
      <c r="E3" s="104">
        <v>0</v>
      </c>
      <c r="F3" s="104">
        <v>0</v>
      </c>
      <c r="G3" s="104">
        <v>0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262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262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8" spans="1:8" x14ac:dyDescent="0.25">
      <c r="A8" s="27" t="s">
        <v>59</v>
      </c>
      <c r="B8" s="27" t="s">
        <v>371</v>
      </c>
      <c r="C8" s="31" t="s">
        <v>261</v>
      </c>
      <c r="D8" s="104">
        <v>1</v>
      </c>
      <c r="E8" s="104">
        <v>1</v>
      </c>
      <c r="F8" s="104">
        <v>1</v>
      </c>
      <c r="G8" s="104">
        <v>1</v>
      </c>
      <c r="H8" s="31"/>
    </row>
    <row r="9" spans="1:8" x14ac:dyDescent="0.25">
      <c r="C9" s="27" t="s">
        <v>157</v>
      </c>
      <c r="D9" s="104">
        <v>0.09</v>
      </c>
      <c r="E9" s="104">
        <v>0.09</v>
      </c>
      <c r="F9" s="104">
        <v>0.09</v>
      </c>
      <c r="G9" s="104">
        <v>0.09</v>
      </c>
      <c r="H9" s="31"/>
    </row>
    <row r="11" spans="1:8" s="106" customFormat="1" ht="13" x14ac:dyDescent="0.3">
      <c r="A11" s="106" t="s">
        <v>269</v>
      </c>
    </row>
    <row r="12" spans="1:8" ht="13" x14ac:dyDescent="0.3">
      <c r="A12" s="41" t="s">
        <v>69</v>
      </c>
      <c r="B12" s="41" t="s">
        <v>259</v>
      </c>
      <c r="C12" s="41"/>
      <c r="D12" s="29" t="s">
        <v>53</v>
      </c>
      <c r="E12" s="29" t="s">
        <v>54</v>
      </c>
      <c r="F12" s="29" t="s">
        <v>55</v>
      </c>
      <c r="G12" s="29" t="s">
        <v>56</v>
      </c>
    </row>
    <row r="13" spans="1:8" x14ac:dyDescent="0.25">
      <c r="A13" s="31" t="s">
        <v>86</v>
      </c>
      <c r="B13" s="27" t="s">
        <v>41</v>
      </c>
      <c r="C13" s="31" t="s">
        <v>261</v>
      </c>
      <c r="D13" s="104">
        <f>IF($C2="Affected fraction",D2,IF(D2=1,1,D2*0.9))</f>
        <v>1</v>
      </c>
      <c r="E13" s="104">
        <f t="shared" ref="E13:G13" si="0">IF($C2="Affected fraction",E2,IF(E2=1,1,E2*0.9))</f>
        <v>1</v>
      </c>
      <c r="F13" s="104">
        <f t="shared" si="0"/>
        <v>1</v>
      </c>
      <c r="G13" s="104">
        <f t="shared" si="0"/>
        <v>1</v>
      </c>
    </row>
    <row r="14" spans="1:8" x14ac:dyDescent="0.25">
      <c r="C14" s="27" t="s">
        <v>262</v>
      </c>
      <c r="D14" s="104">
        <v>0</v>
      </c>
      <c r="E14" s="104">
        <v>0</v>
      </c>
      <c r="F14" s="104">
        <v>0</v>
      </c>
      <c r="G14" s="104">
        <v>0</v>
      </c>
    </row>
    <row r="15" spans="1:8" x14ac:dyDescent="0.25">
      <c r="A15" s="31" t="s">
        <v>87</v>
      </c>
      <c r="B15" s="27" t="s">
        <v>41</v>
      </c>
      <c r="C15" s="31" t="s">
        <v>261</v>
      </c>
      <c r="D15" s="104">
        <f t="shared" ref="D15:G18" si="1">IF($C4="Affected fraction",D4,IF(D4=1,1,D4*0.9))</f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262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7" spans="1:7" x14ac:dyDescent="0.25">
      <c r="A17" s="31" t="s">
        <v>88</v>
      </c>
      <c r="B17" s="27" t="s">
        <v>41</v>
      </c>
      <c r="C17" s="31" t="s">
        <v>261</v>
      </c>
      <c r="D17" s="104">
        <f t="shared" si="1"/>
        <v>1</v>
      </c>
      <c r="E17" s="104">
        <f t="shared" si="1"/>
        <v>1</v>
      </c>
      <c r="F17" s="104">
        <f t="shared" si="1"/>
        <v>1</v>
      </c>
      <c r="G17" s="104">
        <f t="shared" si="1"/>
        <v>1</v>
      </c>
    </row>
    <row r="18" spans="1:7" x14ac:dyDescent="0.25">
      <c r="C18" s="27" t="s">
        <v>262</v>
      </c>
      <c r="D18" s="104">
        <f t="shared" si="1"/>
        <v>0.53100000000000003</v>
      </c>
      <c r="E18" s="104">
        <f t="shared" si="1"/>
        <v>0.53100000000000003</v>
      </c>
      <c r="F18" s="104">
        <f t="shared" si="1"/>
        <v>0.53100000000000003</v>
      </c>
      <c r="G18" s="104">
        <f t="shared" si="1"/>
        <v>0.53100000000000003</v>
      </c>
    </row>
    <row r="19" spans="1:7" x14ac:dyDescent="0.25">
      <c r="A19" s="27" t="s">
        <v>59</v>
      </c>
      <c r="B19" s="27" t="s">
        <v>371</v>
      </c>
      <c r="C19" s="31" t="s">
        <v>261</v>
      </c>
      <c r="D19" s="104">
        <f t="shared" ref="D19:G19" si="2">IF($C8="Affected fraction",D8,IF(D8=1,1,D8*0.9))</f>
        <v>1</v>
      </c>
      <c r="E19" s="104">
        <f t="shared" si="2"/>
        <v>1</v>
      </c>
      <c r="F19" s="104">
        <f t="shared" si="2"/>
        <v>1</v>
      </c>
      <c r="G19" s="104">
        <f t="shared" si="2"/>
        <v>1</v>
      </c>
    </row>
    <row r="20" spans="1:7" x14ac:dyDescent="0.25">
      <c r="C20" s="27" t="s">
        <v>157</v>
      </c>
      <c r="D20" s="104">
        <v>0.02</v>
      </c>
      <c r="E20" s="104">
        <v>0.02</v>
      </c>
      <c r="F20" s="104">
        <v>0.02</v>
      </c>
      <c r="G20" s="104">
        <v>0.02</v>
      </c>
    </row>
    <row r="22" spans="1:7" s="106" customFormat="1" ht="13" x14ac:dyDescent="0.3">
      <c r="A22" s="106" t="s">
        <v>270</v>
      </c>
    </row>
    <row r="23" spans="1:7" ht="13" x14ac:dyDescent="0.3">
      <c r="A23" s="41" t="s">
        <v>69</v>
      </c>
      <c r="B23" s="41" t="s">
        <v>259</v>
      </c>
      <c r="C23" s="41"/>
      <c r="D23" s="29" t="s">
        <v>53</v>
      </c>
      <c r="E23" s="29" t="s">
        <v>54</v>
      </c>
      <c r="F23" s="29" t="s">
        <v>55</v>
      </c>
      <c r="G23" s="29" t="s">
        <v>56</v>
      </c>
    </row>
    <row r="24" spans="1:7" x14ac:dyDescent="0.25">
      <c r="A24" s="31" t="s">
        <v>86</v>
      </c>
      <c r="B24" s="27" t="s">
        <v>41</v>
      </c>
      <c r="C24" s="31" t="s">
        <v>261</v>
      </c>
      <c r="D24" s="104">
        <f>IF($C2="Affected fraction",D2,IF(D2=1,1,D2*1.05))</f>
        <v>1</v>
      </c>
      <c r="E24" s="104">
        <f t="shared" ref="E24:G24" si="3">IF($C2="Affected fraction",E2,IF(E2=1,1,E2*1.05))</f>
        <v>1</v>
      </c>
      <c r="F24" s="104">
        <f t="shared" si="3"/>
        <v>1</v>
      </c>
      <c r="G24" s="104">
        <f t="shared" si="3"/>
        <v>1</v>
      </c>
    </row>
    <row r="25" spans="1:7" x14ac:dyDescent="0.25">
      <c r="C25" s="27" t="s">
        <v>262</v>
      </c>
      <c r="D25" s="104">
        <v>0</v>
      </c>
      <c r="E25" s="104">
        <v>0</v>
      </c>
      <c r="F25" s="104">
        <v>0</v>
      </c>
      <c r="G25" s="104">
        <v>0</v>
      </c>
    </row>
    <row r="26" spans="1:7" x14ac:dyDescent="0.25">
      <c r="A26" s="31" t="s">
        <v>87</v>
      </c>
      <c r="B26" s="27" t="s">
        <v>41</v>
      </c>
      <c r="C26" s="31" t="s">
        <v>261</v>
      </c>
      <c r="D26" s="104">
        <f t="shared" ref="D26:G26" si="4">IF($C4="Affected fraction",D4,IF(D4=1,1,D4*1.05))</f>
        <v>1</v>
      </c>
      <c r="E26" s="104">
        <f t="shared" si="4"/>
        <v>1</v>
      </c>
      <c r="F26" s="104">
        <f t="shared" si="4"/>
        <v>1</v>
      </c>
      <c r="G26" s="104">
        <f t="shared" si="4"/>
        <v>1</v>
      </c>
    </row>
    <row r="27" spans="1:7" x14ac:dyDescent="0.25">
      <c r="C27" s="27" t="s">
        <v>262</v>
      </c>
      <c r="D27" s="104">
        <f>IF($C5="Affected fraction",D5,IF(D5=1,1,D5*1.1))</f>
        <v>0.64900000000000002</v>
      </c>
      <c r="E27" s="104">
        <f t="shared" ref="E27:G27" si="5">IF($C5="Affected fraction",E5,IF(E5=1,1,E5*1.1))</f>
        <v>0.64900000000000002</v>
      </c>
      <c r="F27" s="104">
        <f t="shared" si="5"/>
        <v>0.64900000000000002</v>
      </c>
      <c r="G27" s="104">
        <f t="shared" si="5"/>
        <v>0.64900000000000002</v>
      </c>
    </row>
    <row r="28" spans="1:7" x14ac:dyDescent="0.25">
      <c r="A28" s="31" t="s">
        <v>88</v>
      </c>
      <c r="B28" s="27" t="s">
        <v>41</v>
      </c>
      <c r="C28" s="31" t="s">
        <v>261</v>
      </c>
      <c r="D28" s="104">
        <f t="shared" ref="D28:G28" si="6">IF($C6="Affected fraction",D6,IF(D6=1,1,D6*1.05))</f>
        <v>1</v>
      </c>
      <c r="E28" s="104">
        <f t="shared" si="6"/>
        <v>1</v>
      </c>
      <c r="F28" s="104">
        <f t="shared" si="6"/>
        <v>1</v>
      </c>
      <c r="G28" s="104">
        <f t="shared" si="6"/>
        <v>1</v>
      </c>
    </row>
    <row r="29" spans="1:7" x14ac:dyDescent="0.25">
      <c r="C29" s="27" t="s">
        <v>262</v>
      </c>
      <c r="D29" s="104">
        <f>IF($C7="Affected fraction",D7,IF(D7=1,1,D7*1.1))</f>
        <v>0.64900000000000002</v>
      </c>
      <c r="E29" s="104">
        <f t="shared" ref="E29:G29" si="7">IF($C7="Affected fraction",E7,IF(E7=1,1,E7*1.1))</f>
        <v>0.64900000000000002</v>
      </c>
      <c r="F29" s="104">
        <f t="shared" si="7"/>
        <v>0.64900000000000002</v>
      </c>
      <c r="G29" s="104">
        <f t="shared" si="7"/>
        <v>0.64900000000000002</v>
      </c>
    </row>
    <row r="30" spans="1:7" x14ac:dyDescent="0.25">
      <c r="A30" s="27" t="s">
        <v>59</v>
      </c>
      <c r="B30" s="27" t="s">
        <v>371</v>
      </c>
      <c r="C30" s="31" t="s">
        <v>261</v>
      </c>
      <c r="D30" s="104">
        <f t="shared" ref="D30:G30" si="8">IF($C8="Affected fraction",D8,IF(D8=1,1,D8*1.05))</f>
        <v>1</v>
      </c>
      <c r="E30" s="104">
        <f t="shared" si="8"/>
        <v>1</v>
      </c>
      <c r="F30" s="104">
        <f t="shared" si="8"/>
        <v>1</v>
      </c>
      <c r="G30" s="104">
        <f t="shared" si="8"/>
        <v>1</v>
      </c>
    </row>
    <row r="31" spans="1:7" x14ac:dyDescent="0.25">
      <c r="C31" s="27" t="s">
        <v>157</v>
      </c>
      <c r="D31" s="104">
        <v>0.14000000000000001</v>
      </c>
      <c r="E31" s="104">
        <v>0.14000000000000001</v>
      </c>
      <c r="F31" s="104">
        <v>0.14000000000000001</v>
      </c>
      <c r="G31" s="104">
        <v>0.14000000000000001</v>
      </c>
    </row>
  </sheetData>
  <sheetProtection algorithmName="SHA-512" hashValue="9gpYHKgj6UpVVviN7uxazCUWSTWVQZxWndpvCAxXJ0y6bbqG2bj+A9gvoQzXvuQCJzoAAyx1qKZvUYataGoRuA==" saltValue="kap3hl33opxMDisBGx+up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2025-06-19T03:13:52Z</dcterms:modified>
</cp:coreProperties>
</file>