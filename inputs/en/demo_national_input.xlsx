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n\"/>
    </mc:Choice>
  </mc:AlternateContent>
  <xr:revisionPtr revIDLastSave="0" documentId="13_ncr:1_{CAA60A23-FCEA-46CF-ACB2-E570A676CED1}" xr6:coauthVersionLast="47" xr6:coauthVersionMax="47" xr10:uidLastSave="{00000000-0000-0000-0000-000000000000}"/>
  <bookViews>
    <workbookView xWindow="-110" yWindow="-110" windowWidth="19420" windowHeight="10420" tabRatio="904" firstSheet="8" activeTab="26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r:id="rId6"/>
    <sheet name="Economic input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9" i="72" l="1"/>
  <c r="G159" i="72"/>
  <c r="F159" i="72"/>
  <c r="E159" i="72"/>
  <c r="D159" i="72"/>
  <c r="H142" i="72"/>
  <c r="G142" i="72"/>
  <c r="F142" i="72"/>
  <c r="E142" i="72"/>
  <c r="H141" i="72"/>
  <c r="G141" i="72"/>
  <c r="F141" i="72"/>
  <c r="E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E116" i="72"/>
  <c r="D116" i="72"/>
  <c r="H101" i="72"/>
  <c r="H158" i="72" s="1"/>
  <c r="G101" i="72"/>
  <c r="G158" i="72" s="1"/>
  <c r="F101" i="72"/>
  <c r="F158" i="72" s="1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D141" i="72" s="1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H116" i="72" s="1"/>
  <c r="G59" i="72"/>
  <c r="G116" i="72" s="1"/>
  <c r="F59" i="72"/>
  <c r="F116" i="72" s="1"/>
  <c r="E59" i="72"/>
  <c r="D59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7" authorId="0" shapeId="0" xr:uid="{F2B4A6CD-9B40-4C67-884F-FE9002BEAED9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<sst xmlns="http://schemas.openxmlformats.org/spreadsheetml/2006/main" count="2163" uniqueCount="373">
  <si>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</si>
  <si>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</si>
  <si>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</si>
  <si>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</si>
  <si>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</si>
  <si>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</si>
  <si>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</si>
  <si>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</si>
  <si>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</si>
  <si>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</si>
  <si>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</si>
  <si>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</si>
  <si>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</si>
  <si>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</si>
  <si>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</si>
  <si>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</si>
  <si>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</si>
  <si>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</si>
  <si>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</si>
  <si>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</si>
  <si>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</si>
  <si>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</si>
  <si>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</si>
  <si>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</si>
  <si>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</si>
  <si>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</si>
  <si>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</si>
  <si>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</si>
  <si>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</si>
  <si>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</si>
  <si>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</si>
  <si>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</si>
  <si>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</si>
  <si>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</si>
  <si>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</si>
  <si>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</si>
  <si>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</si>
  <si>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</si>
  <si>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</si>
  <si>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</si>
  <si>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</si>
  <si>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</si>
  <si>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</si>
  <si>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</si>
  <si>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</si>
  <si>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</si>
  <si>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</si>
  <si>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</si>
  <si>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</si>
  <si>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</si>
  <si>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</si>
  <si>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</si>
  <si>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</si>
  <si>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</si>
  <si>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</si>
  <si>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</si>
  <si>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</si>
  <si>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</si>
  <si>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</si>
  <si>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</si>
  <si>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</si>
  <si>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</si>
  <si>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</si>
  <si>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</si>
  <si>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</si>
  <si>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</si>
  <si>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</si>
  <si>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</si>
  <si>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</si>
  <si>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</si>
  <si>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</si>
  <si>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</si>
  <si>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</si>
  <si>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</si>
  <si>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</si>
  <si>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</si>
  <si>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</si>
  <si>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</si>
  <si>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</si>
  <si>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</si>
  <si>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</si>
  <si>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</si>
  <si>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</si>
  <si>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</si>
  <si>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</si>
  <si>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</si>
  <si>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</si>
  <si>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</si>
  <si>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</si>
  <si>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</si>
  <si>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</si>
  <si>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</si>
  <si>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</si>
  <si>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</si>
  <si>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</si>
  <si>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</si>
  <si>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</si>
  <si>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</si>
  <si>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</si>
  <si>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</si>
  <si>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</si>
  <si>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</si>
  <si>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</si>
  <si>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</si>
  <si>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</si>
  <si>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</si>
  <si>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</si>
  <si>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</si>
  <si>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</si>
  <si>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</si>
  <si>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</si>
  <si>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</si>
  <si>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</si>
  <si>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</si>
  <si>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</si>
  <si>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</si>
  <si>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</si>
  <si>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</si>
  <si>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</si>
  <si>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</si>
  <si>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</si>
  <si>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</si>
  <si>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</si>
  <si>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</si>
  <si>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</si>
  <si>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</si>
  <si>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</si>
  <si>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</si>
  <si>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</si>
  <si>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</si>
  <si>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</si>
  <si>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</si>
  <si>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</si>
  <si>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</si>
  <si>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</si>
  <si>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</si>
  <si>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</si>
  <si>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</si>
  <si>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</si>
  <si>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</si>
  <si>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</si>
  <si>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</si>
  <si>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</si>
  <si>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</si>
  <si>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</si>
  <si>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</si>
  <si>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</si>
  <si>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</si>
  <si>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</si>
  <si>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</si>
  <si>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</si>
  <si>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</si>
  <si>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</si>
  <si>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</si>
  <si>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</si>
  <si>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</si>
  <si>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</si>
  <si>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</si>
  <si>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</si>
  <si>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</si>
  <si>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</si>
  <si>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</si>
  <si>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</si>
  <si>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</si>
  <si>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</si>
  <si>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</si>
  <si>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</si>
  <si>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</si>
  <si>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</si>
  <si>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</si>
  <si>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</si>
  <si>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</si>
  <si>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</si>
  <si>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</si>
  <si>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</si>
  <si>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</si>
  <si>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</si>
  <si>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</si>
  <si>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</si>
  <si>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</si>
  <si>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</si>
  <si>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</si>
  <si>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</si>
  <si>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</si>
  <si>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</si>
  <si>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</si>
  <si>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</si>
  <si>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</si>
  <si>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</si>
  <si>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</si>
  <si>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</si>
  <si>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</si>
  <si>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</si>
  <si>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</si>
  <si>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</si>
  <si>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</si>
  <si>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</si>
  <si>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</si>
  <si>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</si>
  <si>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</si>
  <si>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</si>
  <si>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</si>
  <si>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</si>
  <si>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</si>
  <si>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</si>
  <si>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</si>
  <si>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</si>
  <si>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</si>
  <si>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</si>
  <si>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</si>
  <si>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</si>
  <si>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</si>
  <si>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</si>
  <si>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</si>
  <si>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</si>
  <si>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</si>
  <si>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</si>
  <si>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</si>
  <si>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</si>
  <si>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</si>
  <si>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</si>
  <si>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</si>
  <si>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</si>
  <si>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</si>
  <si>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</si>
  <si>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</si>
  <si>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</si>
  <si>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</si>
  <si>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</si>
  <si>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</si>
  <si>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</si>
  <si>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</si>
  <si>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</si>
  <si>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</si>
  <si>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</si>
  <si>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</si>
  <si>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</si>
  <si>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</si>
  <si>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</si>
  <si>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</si>
  <si>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</si>
  <si>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</si>
  <si>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</si>
  <si>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</si>
  <si>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</si>
  <si>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</si>
  <si>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</si>
  <si>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</si>
  <si>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</si>
  <si>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</si>
  <si>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</si>
  <si>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</si>
  <si>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</si>
  <si>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</si>
  <si>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</si>
  <si>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</si>
  <si>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</si>
  <si>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</si>
  <si>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</si>
  <si>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</si>
  <si>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</si>
  <si>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</si>
  <si>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</si>
  <si>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</si>
  <si>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</si>
  <si>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</si>
  <si>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</si>
  <si>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</si>
  <si>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</si>
  <si>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</si>
  <si>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</si>
  <si>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</si>
  <si>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</si>
  <si>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</si>
  <si>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</si>
  <si>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</si>
  <si>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</si>
  <si>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</si>
  <si>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</si>
  <si>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</si>
  <si>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</si>
  <si>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</si>
  <si>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</si>
  <si>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</si>
  <si>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</si>
  <si>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</si>
  <si>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</si>
  <si>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</si>
  <si>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</si>
  <si>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</si>
  <si>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</si>
  <si>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</si>
  <si>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</si>
  <si>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</si>
  <si>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</si>
  <si>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</si>
  <si>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</si>
  <si>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</si>
  <si>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</si>
  <si>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</si>
  <si>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</si>
  <si>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</si>
  <si>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</si>
  <si>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</si>
  <si>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</si>
  <si>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</si>
  <si>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</si>
  <si>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</si>
  <si>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</si>
  <si>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</si>
  <si>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</si>
  <si>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</si>
  <si>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</si>
  <si>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</si>
  <si>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</si>
  <si>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</si>
  <si>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</si>
  <si>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</si>
  <si>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</si>
  <si>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</si>
  <si>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</si>
  <si>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</si>
  <si>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</si>
  <si>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</si>
  <si>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</si>
  <si>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Max-increase per annum</t>
  </si>
  <si>
    <t>Max-decrease per annum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</si>
  <si>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</si>
  <si>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</si>
  <si>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</si>
  <si>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</si>
  <si>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</si>
  <si>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</si>
  <si>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</si>
  <si>
    <t>GDP per capita</t>
  </si>
  <si>
    <t>Female labor force participation</t>
  </si>
  <si>
    <t>Labor share of GDP</t>
  </si>
  <si>
    <t>Percentage of lifetime earning actually realized</t>
  </si>
  <si>
    <t>Value</t>
  </si>
  <si>
    <t>Increase in IQ points due to early breastfeeding</t>
  </si>
  <si>
    <t>Number of people left alive (starting with 100,000 births)</t>
  </si>
  <si>
    <t>GDP growth rate per annum</t>
  </si>
  <si>
    <t>Discounting (costs)</t>
  </si>
  <si>
    <t>Discounting (benefits)</t>
  </si>
  <si>
    <t>Starting age for workforce productivity</t>
  </si>
  <si>
    <t>Ending age for workforce productivity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</si>
  <si>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</si>
  <si>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</si>
  <si>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</si>
  <si>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</si>
  <si>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</si>
  <si>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earnings due per one point increase in IQ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</si>
  <si>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</si>
  <si>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</si>
  <si>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</si>
  <si>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</si>
  <si>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</si>
  <si>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</si>
  <si>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</si>
  <si>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</si>
  <si>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</si>
  <si>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</si>
  <si>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</si>
  <si>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</si>
  <si>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</si>
  <si>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</si>
  <si>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</si>
  <si>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</si>
  <si>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Percentage of stillbirths to include in productivity loss</t>
  </si>
  <si>
    <t>Cash transfers - lower</t>
  </si>
  <si>
    <t>Cash transfers - upper</t>
  </si>
  <si>
    <t>Stillbirths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</si>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</sst>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329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GW3Sk704oYstFwPzuqiFazTBAKkTKEvFm0NnVSf28E4blyTmH3FKH40jniO/OhCPOfgLemRdY9koq83XblsjqQ==" saltValue="9O/uKZuQoSCESoQZ0qsD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11"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2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333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328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327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32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139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137</v>
      </c>
      <c r="B10" s="45" t="s">
        <v>142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141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74</v>
      </c>
      <c r="B13" s="45" t="s">
        <v>143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165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F14" sqref="F14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355</v>
      </c>
      <c r="B1" s="29" t="s">
        <v>338</v>
      </c>
    </row>
    <row r="2" spans="1:2" x14ac:dyDescent="0.25">
      <c r="A2" s="27" t="s">
        <v>334</v>
      </c>
      <c r="B2" s="117">
        <v>3000.4442305317302</v>
      </c>
    </row>
    <row r="3" spans="1:2" x14ac:dyDescent="0.25">
      <c r="A3" s="27" t="s">
        <v>341</v>
      </c>
      <c r="B3" s="119">
        <v>0.03</v>
      </c>
    </row>
    <row r="4" spans="1:2" x14ac:dyDescent="0.25">
      <c r="A4" s="27" t="s">
        <v>336</v>
      </c>
      <c r="B4" s="119">
        <v>0.43146000000000001</v>
      </c>
    </row>
    <row r="5" spans="1:2" x14ac:dyDescent="0.25">
      <c r="A5" s="27" t="s">
        <v>342</v>
      </c>
      <c r="B5" s="119">
        <v>0.03</v>
      </c>
    </row>
    <row r="6" spans="1:2" x14ac:dyDescent="0.25">
      <c r="A6" s="27" t="s">
        <v>343</v>
      </c>
      <c r="B6" s="119">
        <v>0.03</v>
      </c>
    </row>
    <row r="7" spans="1:2" x14ac:dyDescent="0.25">
      <c r="A7" s="27" t="s">
        <v>344</v>
      </c>
      <c r="B7" s="115">
        <v>18</v>
      </c>
    </row>
    <row r="8" spans="1:2" x14ac:dyDescent="0.25">
      <c r="A8" s="27" t="s">
        <v>345</v>
      </c>
      <c r="B8" s="115">
        <v>65</v>
      </c>
    </row>
    <row r="9" spans="1:2" x14ac:dyDescent="0.25">
      <c r="A9" s="27" t="s">
        <v>335</v>
      </c>
      <c r="B9" s="119">
        <v>0.73801000000000005</v>
      </c>
    </row>
    <row r="10" spans="1:2" x14ac:dyDescent="0.25">
      <c r="A10" s="27" t="s">
        <v>337</v>
      </c>
      <c r="B10" s="119">
        <v>0.9</v>
      </c>
    </row>
    <row r="11" spans="1:2" x14ac:dyDescent="0.25">
      <c r="A11" s="27" t="s">
        <v>346</v>
      </c>
      <c r="B11" s="119">
        <v>0.66</v>
      </c>
    </row>
    <row r="12" spans="1:2" x14ac:dyDescent="0.25">
      <c r="A12" s="27" t="s">
        <v>347</v>
      </c>
      <c r="B12" s="119">
        <f>0.025</f>
        <v>2.5000000000000001E-2</v>
      </c>
    </row>
    <row r="13" spans="1:2" x14ac:dyDescent="0.25">
      <c r="A13" s="27" t="s">
        <v>348</v>
      </c>
      <c r="B13" s="119">
        <f>0.075</f>
        <v>7.4999999999999997E-2</v>
      </c>
    </row>
    <row r="14" spans="1:2" x14ac:dyDescent="0.25">
      <c r="A14" s="27" t="s">
        <v>349</v>
      </c>
      <c r="B14" s="118">
        <v>1.2190322671178365E-4</v>
      </c>
    </row>
    <row r="15" spans="1:2" x14ac:dyDescent="0.25">
      <c r="A15" s="27" t="s">
        <v>350</v>
      </c>
      <c r="B15" s="115">
        <v>0.5</v>
      </c>
    </row>
    <row r="16" spans="1:2" x14ac:dyDescent="0.25">
      <c r="A16" s="27" t="s">
        <v>339</v>
      </c>
      <c r="B16" s="115">
        <v>0.8</v>
      </c>
    </row>
    <row r="17" spans="1:15" x14ac:dyDescent="0.25">
      <c r="A17" s="27" t="s">
        <v>351</v>
      </c>
      <c r="B17" s="116">
        <v>1.0666666666666666E-2</v>
      </c>
    </row>
    <row r="18" spans="1:15" x14ac:dyDescent="0.25">
      <c r="A18" t="s">
        <v>368</v>
      </c>
      <c r="B18" s="119">
        <v>0.5</v>
      </c>
    </row>
    <row r="21" spans="1:15" ht="13" x14ac:dyDescent="0.3">
      <c r="A21" s="29" t="s">
        <v>352</v>
      </c>
      <c r="B21" s="27" t="s">
        <v>353</v>
      </c>
      <c r="C21" s="27" t="s">
        <v>354</v>
      </c>
      <c r="D21" s="27" t="s">
        <v>356</v>
      </c>
      <c r="E21" s="27" t="s">
        <v>357</v>
      </c>
      <c r="F21" s="27" t="s">
        <v>358</v>
      </c>
      <c r="G21" s="27" t="s">
        <v>359</v>
      </c>
      <c r="H21" s="27" t="s">
        <v>360</v>
      </c>
      <c r="I21" s="27" t="s">
        <v>361</v>
      </c>
      <c r="J21" s="27" t="s">
        <v>362</v>
      </c>
      <c r="K21" s="27" t="s">
        <v>363</v>
      </c>
      <c r="L21" s="27" t="s">
        <v>364</v>
      </c>
      <c r="M21" s="27" t="s">
        <v>365</v>
      </c>
      <c r="N21" s="27" t="s">
        <v>366</v>
      </c>
      <c r="O21" s="27" t="s">
        <v>367</v>
      </c>
    </row>
    <row r="22" spans="1:15" x14ac:dyDescent="0.25">
      <c r="A22" s="27" t="s">
        <v>340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325</v>
      </c>
      <c r="G1" s="40" t="s">
        <v>326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330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1" sqref="B11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330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144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168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193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194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190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131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132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84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58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330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67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28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85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60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32</v>
      </c>
      <c r="B18" s="39" t="s">
        <v>29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86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182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202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57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88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87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59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37</v>
      </c>
      <c r="B27" s="39" t="s">
        <v>192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183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201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184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185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35</v>
      </c>
      <c r="B33" s="39" t="s">
        <v>63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64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62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47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34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83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82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81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79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80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D17" sqref="D17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39" t="s">
        <v>29</v>
      </c>
      <c r="B2" s="100"/>
      <c r="C2" s="100"/>
      <c r="D2" s="100"/>
      <c r="E2" s="100"/>
      <c r="F2" s="100"/>
      <c r="G2" s="100"/>
      <c r="H2" s="100"/>
      <c r="I2" s="100" t="s">
        <v>189</v>
      </c>
      <c r="J2" s="100"/>
      <c r="K2" s="100"/>
      <c r="L2" s="100"/>
    </row>
    <row r="3" spans="1:12" x14ac:dyDescent="0.25">
      <c r="A3" s="39" t="s">
        <v>86</v>
      </c>
      <c r="B3" s="100"/>
      <c r="C3" s="100"/>
      <c r="D3" s="100"/>
      <c r="E3" s="100"/>
      <c r="F3" s="100"/>
      <c r="G3" s="100"/>
      <c r="H3" s="100" t="s">
        <v>189</v>
      </c>
      <c r="I3" s="100" t="s">
        <v>189</v>
      </c>
      <c r="J3" s="100"/>
      <c r="K3" s="100"/>
      <c r="L3" s="100"/>
    </row>
    <row r="4" spans="1:12" x14ac:dyDescent="0.25">
      <c r="A4" s="39" t="s">
        <v>61</v>
      </c>
      <c r="B4" s="100" t="s">
        <v>189</v>
      </c>
      <c r="C4" s="100"/>
      <c r="D4" s="100" t="s">
        <v>189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144</v>
      </c>
      <c r="B5" s="100"/>
      <c r="C5" s="100" t="s">
        <v>189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192</v>
      </c>
      <c r="B6" s="100"/>
      <c r="C6" s="100"/>
      <c r="D6" s="100"/>
      <c r="E6" s="100"/>
      <c r="F6" s="100"/>
      <c r="G6" s="100"/>
      <c r="H6" s="100"/>
      <c r="I6" s="100"/>
      <c r="J6" s="100" t="s">
        <v>189</v>
      </c>
      <c r="K6" s="100" t="s">
        <v>189</v>
      </c>
      <c r="L6" s="100"/>
    </row>
    <row r="7" spans="1:12" x14ac:dyDescent="0.25">
      <c r="A7" s="39" t="s">
        <v>63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/>
      <c r="J7" s="100"/>
      <c r="K7" s="100"/>
      <c r="L7" s="100"/>
    </row>
    <row r="8" spans="1:12" x14ac:dyDescent="0.25">
      <c r="A8" s="39" t="s">
        <v>64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/>
      <c r="J8" s="100"/>
      <c r="K8" s="100"/>
      <c r="L8" s="100"/>
    </row>
    <row r="9" spans="1:12" x14ac:dyDescent="0.25">
      <c r="A9" s="39" t="s">
        <v>62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/>
      <c r="J9" s="100"/>
      <c r="K9" s="100"/>
      <c r="L9" s="100"/>
    </row>
    <row r="10" spans="1:12" x14ac:dyDescent="0.25">
      <c r="A10" s="45" t="s">
        <v>183</v>
      </c>
      <c r="B10" s="100"/>
      <c r="C10" s="100" t="s">
        <v>189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201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184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185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182</v>
      </c>
      <c r="B14" s="100"/>
      <c r="C14" s="100" t="s">
        <v>189</v>
      </c>
      <c r="D14" s="100"/>
      <c r="E14" s="100"/>
      <c r="F14" s="100"/>
      <c r="G14" s="100"/>
      <c r="H14" s="100"/>
      <c r="I14" s="100" t="s">
        <v>189</v>
      </c>
      <c r="J14" s="100"/>
      <c r="K14" s="100"/>
      <c r="L14" s="100"/>
    </row>
    <row r="15" spans="1:12" x14ac:dyDescent="0.25">
      <c r="A15" s="72" t="s">
        <v>202</v>
      </c>
      <c r="B15" s="100"/>
      <c r="C15" s="100" t="s">
        <v>189</v>
      </c>
      <c r="D15" s="100"/>
      <c r="E15" s="100"/>
      <c r="F15" s="100"/>
      <c r="G15" s="100"/>
      <c r="H15" s="100"/>
      <c r="I15" s="100" t="s">
        <v>189</v>
      </c>
      <c r="J15" s="100"/>
      <c r="K15" s="100"/>
      <c r="L15" s="100"/>
    </row>
    <row r="16" spans="1:12" x14ac:dyDescent="0.25">
      <c r="A16" s="39" t="s">
        <v>57</v>
      </c>
      <c r="B16" s="100"/>
      <c r="C16" s="100" t="s">
        <v>189</v>
      </c>
      <c r="D16" s="100"/>
      <c r="E16" s="100"/>
      <c r="F16" s="100"/>
      <c r="G16" s="100"/>
      <c r="H16" s="100" t="s">
        <v>189</v>
      </c>
      <c r="I16" s="100" t="s">
        <v>189</v>
      </c>
      <c r="J16" s="100"/>
      <c r="K16" s="100"/>
      <c r="L16" s="100"/>
    </row>
    <row r="17" spans="1:12" x14ac:dyDescent="0.25">
      <c r="A17" s="39" t="s">
        <v>47</v>
      </c>
      <c r="B17" s="100"/>
      <c r="C17" s="100" t="s">
        <v>189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168</v>
      </c>
      <c r="B18" s="100" t="s">
        <v>189</v>
      </c>
      <c r="C18" s="100"/>
      <c r="D18" s="100"/>
      <c r="E18" s="100"/>
      <c r="F18" s="100" t="s">
        <v>189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193</v>
      </c>
      <c r="B19" s="100" t="s">
        <v>189</v>
      </c>
      <c r="C19" s="100"/>
      <c r="D19" s="100"/>
      <c r="E19" s="100"/>
      <c r="F19" s="100" t="s">
        <v>189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194</v>
      </c>
      <c r="B20" s="100" t="s">
        <v>189</v>
      </c>
      <c r="C20" s="100"/>
      <c r="D20" s="100"/>
      <c r="E20" s="100"/>
      <c r="F20" s="100" t="s">
        <v>189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190</v>
      </c>
      <c r="B21" s="100"/>
      <c r="C21" s="100"/>
      <c r="D21" s="100"/>
      <c r="E21" s="100"/>
      <c r="F21" s="100"/>
      <c r="G21" s="100"/>
      <c r="H21" s="100" t="s">
        <v>189</v>
      </c>
      <c r="I21" s="100" t="s">
        <v>189</v>
      </c>
      <c r="J21" s="100"/>
      <c r="K21" s="100"/>
      <c r="L21" s="100"/>
    </row>
    <row r="22" spans="1:12" x14ac:dyDescent="0.25">
      <c r="A22" s="39" t="s">
        <v>131</v>
      </c>
      <c r="B22" s="100" t="s">
        <v>189</v>
      </c>
      <c r="C22" s="100" t="s">
        <v>189</v>
      </c>
      <c r="D22" s="100" t="s">
        <v>189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34</v>
      </c>
      <c r="B23" s="100"/>
      <c r="C23" s="100" t="s">
        <v>189</v>
      </c>
      <c r="D23" s="100"/>
      <c r="E23" s="100"/>
      <c r="F23" s="100"/>
      <c r="G23" s="100"/>
      <c r="H23" s="100"/>
      <c r="I23" s="100" t="s">
        <v>189</v>
      </c>
      <c r="J23" s="100"/>
      <c r="K23" s="100"/>
      <c r="L23" s="100"/>
    </row>
    <row r="24" spans="1:12" x14ac:dyDescent="0.25">
      <c r="A24" s="39" t="s">
        <v>88</v>
      </c>
      <c r="B24" s="100"/>
      <c r="C24" s="100"/>
      <c r="D24" s="100"/>
      <c r="E24" s="100"/>
      <c r="F24" s="100"/>
      <c r="G24" s="100"/>
      <c r="H24" s="100" t="s">
        <v>189</v>
      </c>
      <c r="I24" s="100"/>
      <c r="J24" s="100"/>
      <c r="K24" s="100"/>
      <c r="L24" s="100"/>
    </row>
    <row r="25" spans="1:12" x14ac:dyDescent="0.25">
      <c r="A25" s="39" t="s">
        <v>87</v>
      </c>
      <c r="B25" s="100"/>
      <c r="C25" s="100"/>
      <c r="D25" s="100"/>
      <c r="E25" s="100"/>
      <c r="F25" s="100"/>
      <c r="G25" s="100"/>
      <c r="H25" s="100" t="s">
        <v>189</v>
      </c>
      <c r="I25" s="100"/>
      <c r="J25" s="100"/>
      <c r="K25" s="100"/>
      <c r="L25" s="100"/>
    </row>
    <row r="26" spans="1:12" x14ac:dyDescent="0.25">
      <c r="A26" s="39" t="s">
        <v>132</v>
      </c>
      <c r="B26" s="100"/>
      <c r="C26" s="100" t="s">
        <v>189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59</v>
      </c>
      <c r="B27" s="100"/>
      <c r="C27" s="100" t="s">
        <v>189</v>
      </c>
      <c r="D27" s="100"/>
      <c r="E27" s="100"/>
      <c r="F27" s="100"/>
      <c r="G27" s="100"/>
      <c r="H27" s="100"/>
      <c r="I27" s="100" t="s">
        <v>189</v>
      </c>
      <c r="J27" s="100"/>
      <c r="K27" s="100"/>
      <c r="L27" s="100" t="s">
        <v>189</v>
      </c>
    </row>
    <row r="28" spans="1:12" x14ac:dyDescent="0.25">
      <c r="A28" s="39" t="s">
        <v>84</v>
      </c>
      <c r="B28" s="100"/>
      <c r="C28" s="100"/>
      <c r="D28" s="100"/>
      <c r="E28" s="100"/>
      <c r="F28" s="100"/>
      <c r="G28" s="100"/>
      <c r="H28" s="100" t="s">
        <v>189</v>
      </c>
      <c r="I28" s="100"/>
      <c r="J28" s="100"/>
      <c r="K28" s="100"/>
      <c r="L28" s="100"/>
    </row>
    <row r="29" spans="1:12" x14ac:dyDescent="0.25">
      <c r="A29" s="39" t="s">
        <v>58</v>
      </c>
      <c r="B29" s="100" t="s">
        <v>189</v>
      </c>
      <c r="C29" s="100"/>
      <c r="D29" s="100" t="s">
        <v>189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330</v>
      </c>
      <c r="B30" s="100" t="s">
        <v>189</v>
      </c>
      <c r="C30" s="100" t="s">
        <v>189</v>
      </c>
      <c r="D30" s="100" t="s">
        <v>189</v>
      </c>
      <c r="E30" s="100"/>
      <c r="F30" s="100"/>
      <c r="G30" s="100"/>
      <c r="H30" s="100" t="s">
        <v>189</v>
      </c>
      <c r="I30" s="100"/>
      <c r="J30" s="100"/>
      <c r="K30" s="100"/>
      <c r="L30" s="100"/>
    </row>
    <row r="31" spans="1:12" x14ac:dyDescent="0.25">
      <c r="A31" s="39" t="s">
        <v>67</v>
      </c>
      <c r="B31" s="100"/>
      <c r="C31" s="100"/>
      <c r="D31" s="100"/>
      <c r="E31" s="100" t="s">
        <v>189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28</v>
      </c>
      <c r="B32" s="100"/>
      <c r="C32" s="100"/>
      <c r="D32" s="100"/>
      <c r="E32" s="100"/>
      <c r="F32" s="100"/>
      <c r="G32" s="100" t="s">
        <v>189</v>
      </c>
      <c r="H32" s="100" t="s">
        <v>189</v>
      </c>
      <c r="I32" s="100"/>
      <c r="J32" s="100"/>
      <c r="K32" s="100"/>
      <c r="L32" s="100"/>
    </row>
    <row r="33" spans="1:12" x14ac:dyDescent="0.25">
      <c r="A33" s="39" t="s">
        <v>83</v>
      </c>
      <c r="B33" s="100"/>
      <c r="C33" s="100"/>
      <c r="D33" s="100"/>
      <c r="E33" s="100"/>
      <c r="F33" s="100"/>
      <c r="G33" s="100" t="s">
        <v>189</v>
      </c>
      <c r="H33" s="100" t="s">
        <v>189</v>
      </c>
      <c r="I33" s="100"/>
      <c r="J33" s="100"/>
      <c r="K33" s="100"/>
      <c r="L33" s="100"/>
    </row>
    <row r="34" spans="1:12" x14ac:dyDescent="0.25">
      <c r="A34" s="39" t="s">
        <v>82</v>
      </c>
      <c r="B34" s="100"/>
      <c r="C34" s="100"/>
      <c r="D34" s="100"/>
      <c r="E34" s="100"/>
      <c r="F34" s="100"/>
      <c r="G34" s="100" t="s">
        <v>189</v>
      </c>
      <c r="H34" s="100" t="s">
        <v>189</v>
      </c>
      <c r="I34" s="100"/>
      <c r="J34" s="100"/>
      <c r="K34" s="100"/>
      <c r="L34" s="100"/>
    </row>
    <row r="35" spans="1:12" x14ac:dyDescent="0.25">
      <c r="A35" s="39" t="s">
        <v>81</v>
      </c>
      <c r="B35" s="100"/>
      <c r="C35" s="100"/>
      <c r="D35" s="100"/>
      <c r="E35" s="100"/>
      <c r="F35" s="100"/>
      <c r="G35" s="100" t="s">
        <v>189</v>
      </c>
      <c r="H35" s="100" t="s">
        <v>189</v>
      </c>
      <c r="I35" s="100"/>
      <c r="J35" s="100"/>
      <c r="K35" s="100"/>
      <c r="L35" s="100"/>
    </row>
    <row r="36" spans="1:12" x14ac:dyDescent="0.25">
      <c r="A36" s="39" t="s">
        <v>79</v>
      </c>
      <c r="B36" s="100"/>
      <c r="C36" s="100"/>
      <c r="D36" s="100"/>
      <c r="E36" s="100"/>
      <c r="F36" s="100"/>
      <c r="G36" s="100" t="s">
        <v>189</v>
      </c>
      <c r="H36" s="100" t="s">
        <v>189</v>
      </c>
      <c r="I36" s="100"/>
      <c r="J36" s="100"/>
      <c r="K36" s="100"/>
      <c r="L36" s="100"/>
    </row>
    <row r="37" spans="1:12" x14ac:dyDescent="0.25">
      <c r="A37" s="39" t="s">
        <v>80</v>
      </c>
      <c r="B37" s="100"/>
      <c r="C37" s="100"/>
      <c r="D37" s="100"/>
      <c r="E37" s="100"/>
      <c r="F37" s="100"/>
      <c r="G37" s="100" t="s">
        <v>189</v>
      </c>
      <c r="H37" s="100" t="s">
        <v>189</v>
      </c>
      <c r="I37" s="100"/>
      <c r="J37" s="100"/>
      <c r="K37" s="100"/>
      <c r="L37" s="100"/>
    </row>
    <row r="38" spans="1:12" x14ac:dyDescent="0.25">
      <c r="A38" s="39" t="s">
        <v>85</v>
      </c>
      <c r="B38" s="100"/>
      <c r="C38" s="100"/>
      <c r="D38" s="100"/>
      <c r="E38" s="100"/>
      <c r="F38" s="100"/>
      <c r="G38" s="100"/>
      <c r="H38" s="100" t="s">
        <v>189</v>
      </c>
      <c r="I38" s="100"/>
      <c r="J38" s="100"/>
      <c r="K38" s="100"/>
      <c r="L38" s="100"/>
    </row>
    <row r="39" spans="1:12" x14ac:dyDescent="0.25">
      <c r="A39" s="39" t="s">
        <v>60</v>
      </c>
      <c r="B39" s="100" t="s">
        <v>189</v>
      </c>
      <c r="C39" s="100"/>
      <c r="D39" s="100"/>
      <c r="E39" s="100"/>
      <c r="F39" s="100"/>
      <c r="G39" s="100" t="s">
        <v>189</v>
      </c>
      <c r="H39" s="100" t="s">
        <v>189</v>
      </c>
      <c r="I39" s="100"/>
      <c r="J39" s="100"/>
      <c r="K39" s="100"/>
      <c r="L39" s="100"/>
    </row>
  </sheetData>
  <sheetProtection algorithmName="SHA-512" hashValue="aHtj+uBb74xjHiWTLN7A+E2Ob8SQeKLY4ieg0G9bEifon+KkRUObewWazTeg8Xb9MLgeKNMjpQGlVxlnPc2qfw==" saltValue="kqhTd9eim/1d9O7vPhY2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27" t="s">
        <v>1</v>
      </c>
      <c r="B2" s="100" t="s">
        <v>189</v>
      </c>
      <c r="C2" s="100" t="s">
        <v>189</v>
      </c>
      <c r="D2" s="100" t="s">
        <v>189</v>
      </c>
      <c r="E2" s="100" t="s">
        <v>189</v>
      </c>
      <c r="F2" s="100" t="s">
        <v>189</v>
      </c>
      <c r="G2" s="100" t="s">
        <v>189</v>
      </c>
      <c r="H2" s="100" t="s">
        <v>189</v>
      </c>
      <c r="I2" s="100"/>
      <c r="J2" s="100"/>
      <c r="K2" s="100"/>
      <c r="L2" s="100"/>
    </row>
    <row r="3" spans="1:12" x14ac:dyDescent="0.25">
      <c r="A3" s="27" t="s">
        <v>2</v>
      </c>
      <c r="B3" s="100" t="s">
        <v>189</v>
      </c>
      <c r="C3" s="100" t="s">
        <v>189</v>
      </c>
      <c r="D3" s="100" t="s">
        <v>189</v>
      </c>
      <c r="E3" s="100" t="s">
        <v>189</v>
      </c>
      <c r="F3" s="100" t="s">
        <v>189</v>
      </c>
      <c r="G3" s="100" t="s">
        <v>189</v>
      </c>
      <c r="H3" s="100" t="s">
        <v>189</v>
      </c>
      <c r="I3" s="100"/>
      <c r="J3" s="100"/>
      <c r="K3" s="100"/>
      <c r="L3" s="100"/>
    </row>
    <row r="4" spans="1:12" x14ac:dyDescent="0.25">
      <c r="A4" s="27" t="s">
        <v>3</v>
      </c>
      <c r="B4" s="100" t="s">
        <v>189</v>
      </c>
      <c r="C4" s="100" t="s">
        <v>189</v>
      </c>
      <c r="D4" s="100" t="s">
        <v>189</v>
      </c>
      <c r="E4" s="100" t="s">
        <v>189</v>
      </c>
      <c r="F4" s="100" t="s">
        <v>189</v>
      </c>
      <c r="G4" s="100" t="s">
        <v>189</v>
      </c>
      <c r="H4" s="100" t="s">
        <v>189</v>
      </c>
      <c r="I4" s="100"/>
      <c r="J4" s="100"/>
      <c r="K4" s="100"/>
      <c r="L4" s="100"/>
    </row>
    <row r="5" spans="1:12" x14ac:dyDescent="0.25">
      <c r="A5" s="27" t="s">
        <v>4</v>
      </c>
      <c r="B5" s="100" t="s">
        <v>189</v>
      </c>
      <c r="C5" s="100" t="s">
        <v>189</v>
      </c>
      <c r="D5" s="100" t="s">
        <v>189</v>
      </c>
      <c r="E5" s="100" t="s">
        <v>189</v>
      </c>
      <c r="F5" s="100" t="s">
        <v>189</v>
      </c>
      <c r="G5" s="100" t="s">
        <v>189</v>
      </c>
      <c r="H5" s="100" t="s">
        <v>189</v>
      </c>
      <c r="I5" s="100"/>
      <c r="J5" s="100"/>
      <c r="K5" s="100"/>
      <c r="L5" s="100"/>
    </row>
    <row r="6" spans="1:12" x14ac:dyDescent="0.25">
      <c r="A6" s="27" t="s">
        <v>5</v>
      </c>
      <c r="B6" s="100" t="s">
        <v>189</v>
      </c>
      <c r="C6" s="100" t="s">
        <v>189</v>
      </c>
      <c r="D6" s="100" t="s">
        <v>189</v>
      </c>
      <c r="E6" s="100" t="s">
        <v>189</v>
      </c>
      <c r="F6" s="100" t="s">
        <v>189</v>
      </c>
      <c r="G6" s="100" t="s">
        <v>189</v>
      </c>
      <c r="H6" s="100" t="s">
        <v>189</v>
      </c>
      <c r="I6" s="100"/>
      <c r="J6" s="100"/>
      <c r="K6" s="100"/>
      <c r="L6" s="100"/>
    </row>
    <row r="7" spans="1:12" x14ac:dyDescent="0.25">
      <c r="A7" s="27" t="s">
        <v>53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 t="s">
        <v>189</v>
      </c>
      <c r="J7" s="100"/>
      <c r="K7" s="100"/>
      <c r="L7" s="100" t="s">
        <v>189</v>
      </c>
    </row>
    <row r="8" spans="1:12" x14ac:dyDescent="0.25">
      <c r="A8" s="27" t="s">
        <v>54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 t="s">
        <v>189</v>
      </c>
      <c r="J8" s="100"/>
      <c r="K8" s="100"/>
      <c r="L8" s="100" t="s">
        <v>189</v>
      </c>
    </row>
    <row r="9" spans="1:12" x14ac:dyDescent="0.25">
      <c r="A9" s="27" t="s">
        <v>55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 t="s">
        <v>189</v>
      </c>
      <c r="J9" s="100"/>
      <c r="K9" s="100"/>
      <c r="L9" s="100" t="s">
        <v>189</v>
      </c>
    </row>
    <row r="10" spans="1:12" x14ac:dyDescent="0.25">
      <c r="A10" s="27" t="s">
        <v>56</v>
      </c>
      <c r="B10" s="100"/>
      <c r="C10" s="100" t="s">
        <v>189</v>
      </c>
      <c r="D10" s="100"/>
      <c r="E10" s="100"/>
      <c r="F10" s="100"/>
      <c r="G10" s="100"/>
      <c r="H10" s="100" t="s">
        <v>189</v>
      </c>
      <c r="I10" s="100" t="s">
        <v>189</v>
      </c>
      <c r="J10" s="100"/>
      <c r="K10" s="100"/>
      <c r="L10" s="100" t="s">
        <v>189</v>
      </c>
    </row>
    <row r="11" spans="1:12" x14ac:dyDescent="0.25">
      <c r="A11" s="27" t="s">
        <v>49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 t="s">
        <v>189</v>
      </c>
      <c r="K11" s="100" t="s">
        <v>189</v>
      </c>
      <c r="L11" s="100"/>
    </row>
    <row r="12" spans="1:12" x14ac:dyDescent="0.25">
      <c r="A12" s="27" t="s">
        <v>50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 t="s">
        <v>189</v>
      </c>
      <c r="L12" s="100"/>
    </row>
    <row r="13" spans="1:12" x14ac:dyDescent="0.25">
      <c r="A13" s="27" t="s">
        <v>51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 t="s">
        <v>189</v>
      </c>
      <c r="L13" s="100"/>
    </row>
    <row r="14" spans="1:12" x14ac:dyDescent="0.25">
      <c r="A14" s="27" t="s">
        <v>52</v>
      </c>
      <c r="B14" s="100"/>
      <c r="C14" s="100" t="s">
        <v>189</v>
      </c>
      <c r="D14" s="100"/>
      <c r="E14" s="100"/>
      <c r="F14" s="100"/>
      <c r="G14" s="100"/>
      <c r="H14" s="100"/>
      <c r="I14" s="100"/>
      <c r="J14" s="100"/>
      <c r="K14" s="100" t="s">
        <v>189</v>
      </c>
      <c r="L14" s="100"/>
    </row>
  </sheetData>
  <sheetProtection algorithmName="SHA-512" hashValue="qP/gpOTKtZi+5oHEtt5zDuk6RoKMOpOTJhwpoa3WrVuXL8BHKQKW1ziYE8ynY7lFbQRvgG/AiO/07l+VjwG6Ag==" saltValue="clwlV5KV4ifkkCfYkBds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25" t="s">
        <v>32</v>
      </c>
      <c r="C2" s="27" t="s">
        <v>171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170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169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</v>
      </c>
      <c r="C5" s="27" t="s">
        <v>171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170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169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2</v>
      </c>
      <c r="C8" s="27" t="s">
        <v>171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170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169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3</v>
      </c>
      <c r="C11" s="27" t="s">
        <v>171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170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169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4</v>
      </c>
      <c r="C14" s="27" t="s">
        <v>171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170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169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167</v>
      </c>
      <c r="C17" s="27" t="s">
        <v>169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214</v>
      </c>
      <c r="B19" s="125" t="s">
        <v>32</v>
      </c>
      <c r="C19" s="27" t="s">
        <v>171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170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169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</v>
      </c>
      <c r="C22" s="27" t="s">
        <v>171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170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169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2</v>
      </c>
      <c r="C25" s="27" t="s">
        <v>171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170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169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3</v>
      </c>
      <c r="C28" s="27" t="s">
        <v>171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170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169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4</v>
      </c>
      <c r="C31" s="27" t="s">
        <v>171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170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169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167</v>
      </c>
      <c r="C34" s="27" t="s">
        <v>169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215</v>
      </c>
      <c r="B36" s="125" t="s">
        <v>32</v>
      </c>
      <c r="C36" s="27" t="s">
        <v>171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170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169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</v>
      </c>
      <c r="C39" s="27" t="s">
        <v>171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170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169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2</v>
      </c>
      <c r="C42" s="27" t="s">
        <v>171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170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169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3</v>
      </c>
      <c r="C45" s="27" t="s">
        <v>171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170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169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4</v>
      </c>
      <c r="C48" s="27" t="s">
        <v>171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170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169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167</v>
      </c>
      <c r="C51" s="27" t="s">
        <v>169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267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25" t="s">
        <v>32</v>
      </c>
      <c r="C55" s="27" t="s">
        <v>171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170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169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</v>
      </c>
      <c r="C58" s="27" t="s">
        <v>171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170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169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2</v>
      </c>
      <c r="C61" s="27" t="s">
        <v>171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170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169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3</v>
      </c>
      <c r="C64" s="27" t="s">
        <v>171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170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169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4</v>
      </c>
      <c r="C67" s="27" t="s">
        <v>171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170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169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167</v>
      </c>
      <c r="C70" s="27" t="s">
        <v>169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312</v>
      </c>
      <c r="B72" s="125" t="s">
        <v>32</v>
      </c>
      <c r="C72" s="27" t="s">
        <v>171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170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169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</v>
      </c>
      <c r="C75" s="27" t="s">
        <v>171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170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169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2</v>
      </c>
      <c r="C78" s="27" t="s">
        <v>171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170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169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3</v>
      </c>
      <c r="C81" s="27" t="s">
        <v>171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170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169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4</v>
      </c>
      <c r="C84" s="27" t="s">
        <v>171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170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169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167</v>
      </c>
      <c r="C87" s="27" t="s">
        <v>169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313</v>
      </c>
      <c r="B89" s="125" t="s">
        <v>32</v>
      </c>
      <c r="C89" s="27" t="s">
        <v>171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170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169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</v>
      </c>
      <c r="C92" s="27" t="s">
        <v>171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170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169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2</v>
      </c>
      <c r="C95" s="27" t="s">
        <v>171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170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169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3</v>
      </c>
      <c r="C98" s="27" t="s">
        <v>171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170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169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4</v>
      </c>
      <c r="C101" s="27" t="s">
        <v>171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170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169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268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25" t="s">
        <v>32</v>
      </c>
      <c r="C108" s="27" t="s">
        <v>171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170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169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</v>
      </c>
      <c r="C111" s="27" t="s">
        <v>171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170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169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2</v>
      </c>
      <c r="C114" s="27" t="s">
        <v>171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170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169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3</v>
      </c>
      <c r="C117" s="27" t="s">
        <v>171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170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169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4</v>
      </c>
      <c r="C120" s="27" t="s">
        <v>171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170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169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315</v>
      </c>
      <c r="B125" s="125" t="s">
        <v>32</v>
      </c>
      <c r="C125" s="27" t="s">
        <v>171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170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169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</v>
      </c>
      <c r="C128" s="27" t="s">
        <v>171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170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169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2</v>
      </c>
      <c r="C131" s="27" t="s">
        <v>171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170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169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3</v>
      </c>
      <c r="C134" s="27" t="s">
        <v>171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170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169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4</v>
      </c>
      <c r="C137" s="27" t="s">
        <v>171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170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169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316</v>
      </c>
      <c r="B142" s="125" t="s">
        <v>32</v>
      </c>
      <c r="C142" s="27" t="s">
        <v>171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170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169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</v>
      </c>
      <c r="C145" s="27" t="s">
        <v>171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170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169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2</v>
      </c>
      <c r="C148" s="27" t="s">
        <v>171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170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169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3</v>
      </c>
      <c r="C151" s="27" t="s">
        <v>171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170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169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4</v>
      </c>
      <c r="C154" s="27" t="s">
        <v>171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170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169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76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77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78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222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223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13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14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27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15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267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76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77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78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300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301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13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14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27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15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268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76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77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78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308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309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13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14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27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15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267</v>
      </c>
      <c r="H110" s="105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229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230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231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229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230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231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229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230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231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229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230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231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17</v>
      </c>
      <c r="C129" s="31" t="s">
        <v>228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229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230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231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229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230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231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229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65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66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16</v>
      </c>
      <c r="C144" s="31" t="s">
        <v>228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229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65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66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229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65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66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229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65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66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17</v>
      </c>
      <c r="C156" s="31" t="s">
        <v>228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229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65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66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23</v>
      </c>
      <c r="C160" s="31" t="s">
        <v>228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229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65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66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238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238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238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162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163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164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162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163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164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162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163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164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162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163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164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162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163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164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162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163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164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162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163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164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162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163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164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162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163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164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162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163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164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268</v>
      </c>
      <c r="H220" s="105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229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230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231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229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230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231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229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230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231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229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230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231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229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230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231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229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230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231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229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65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66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229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65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66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229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65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66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229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65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66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229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65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66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229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65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66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238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238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238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3" t="s">
        <v>244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245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131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61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330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60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247</v>
      </c>
    </row>
    <row r="13" spans="1:7" ht="14.25" customHeight="1" x14ac:dyDescent="0.3">
      <c r="A13" s="83"/>
      <c r="B13" s="45" t="s">
        <v>190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248</v>
      </c>
    </row>
    <row r="16" spans="1:7" ht="14.25" customHeight="1" x14ac:dyDescent="0.3">
      <c r="A16" s="96" t="s">
        <v>233</v>
      </c>
      <c r="B16" s="72" t="s">
        <v>249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250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70</v>
      </c>
      <c r="B18" s="45" t="s">
        <v>251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252</v>
      </c>
    </row>
    <row r="21" spans="1:7" s="83" customFormat="1" ht="14.25" customHeight="1" x14ac:dyDescent="0.3">
      <c r="C21" s="43" t="s">
        <v>49</v>
      </c>
      <c r="D21" s="43" t="s">
        <v>50</v>
      </c>
      <c r="E21" s="43" t="s">
        <v>51</v>
      </c>
      <c r="F21" s="43" t="s">
        <v>52</v>
      </c>
    </row>
    <row r="22" spans="1:7" x14ac:dyDescent="0.25">
      <c r="B22" s="45" t="s">
        <v>192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267</v>
      </c>
    </row>
    <row r="25" spans="1:7" ht="13" x14ac:dyDescent="0.3">
      <c r="A25" s="78" t="s">
        <v>242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25</v>
      </c>
      <c r="B26" s="41"/>
      <c r="C26" s="29" t="s">
        <v>1</v>
      </c>
      <c r="D26" s="29" t="s">
        <v>2</v>
      </c>
      <c r="E26" s="29" t="s">
        <v>3</v>
      </c>
      <c r="F26" s="29" t="s">
        <v>4</v>
      </c>
      <c r="G26" s="29" t="s">
        <v>5</v>
      </c>
    </row>
    <row r="27" spans="1:7" x14ac:dyDescent="0.25">
      <c r="B27" s="45" t="s">
        <v>318</v>
      </c>
      <c r="C27" s="103" t="s">
        <v>244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278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319</v>
      </c>
    </row>
    <row r="30" spans="1:7" x14ac:dyDescent="0.25">
      <c r="B30" s="72" t="s">
        <v>279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280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369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331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281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320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282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248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233</v>
      </c>
      <c r="B40" s="72" t="s">
        <v>283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284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70</v>
      </c>
      <c r="B42" s="45" t="s">
        <v>285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321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49</v>
      </c>
      <c r="D45" s="43" t="s">
        <v>50</v>
      </c>
      <c r="E45" s="43" t="s">
        <v>51</v>
      </c>
      <c r="F45" s="43" t="s">
        <v>52</v>
      </c>
      <c r="G45" s="83"/>
    </row>
    <row r="46" spans="1:7" x14ac:dyDescent="0.25">
      <c r="B46" s="45" t="s">
        <v>286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268</v>
      </c>
    </row>
    <row r="49" spans="1:7" ht="13" x14ac:dyDescent="0.3">
      <c r="A49" s="78" t="s">
        <v>242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25</v>
      </c>
      <c r="B50" s="41"/>
      <c r="C50" s="29" t="s">
        <v>1</v>
      </c>
      <c r="D50" s="29" t="s">
        <v>2</v>
      </c>
      <c r="E50" s="29" t="s">
        <v>3</v>
      </c>
      <c r="F50" s="29" t="s">
        <v>4</v>
      </c>
      <c r="G50" s="29" t="s">
        <v>5</v>
      </c>
    </row>
    <row r="51" spans="1:7" x14ac:dyDescent="0.25">
      <c r="B51" s="45" t="s">
        <v>287</v>
      </c>
      <c r="C51" s="103" t="s">
        <v>244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288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324</v>
      </c>
    </row>
    <row r="54" spans="1:7" x14ac:dyDescent="0.25">
      <c r="B54" s="72" t="s">
        <v>289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290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370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332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291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322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292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248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233</v>
      </c>
      <c r="B64" s="72" t="s">
        <v>293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294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70</v>
      </c>
      <c r="B66" s="45" t="s">
        <v>295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323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49</v>
      </c>
      <c r="D69" s="43" t="s">
        <v>50</v>
      </c>
      <c r="E69" s="43" t="s">
        <v>51</v>
      </c>
      <c r="F69" s="43" t="s">
        <v>52</v>
      </c>
      <c r="G69" s="83"/>
    </row>
    <row r="70" spans="1:7" x14ac:dyDescent="0.25">
      <c r="B70" s="45" t="s">
        <v>296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Gok1+XNQCZ9BtROW/89CBqpa36mnAfsBs7FzatfVXjxwTkaGCHleOrhZyUtvRYwiJdBYMEb5ykn/pHp4pTYuFg==" saltValue="pwLQWwAnBBRe+gYzLN7A5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254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86</v>
      </c>
      <c r="B4" s="72" t="s">
        <v>253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254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182</v>
      </c>
      <c r="B6" s="72" t="s">
        <v>253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254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202</v>
      </c>
      <c r="B8" s="72" t="s">
        <v>253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254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57</v>
      </c>
      <c r="B10" s="72" t="s">
        <v>253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254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34</v>
      </c>
      <c r="B12" s="72" t="s">
        <v>253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254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59</v>
      </c>
      <c r="B14" s="72" t="s">
        <v>253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254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267</v>
      </c>
    </row>
    <row r="18" spans="1:6" ht="15.75" customHeight="1" x14ac:dyDescent="0.3">
      <c r="A18" s="41" t="s">
        <v>69</v>
      </c>
      <c r="B18" s="29"/>
      <c r="C18" s="29" t="s">
        <v>9</v>
      </c>
      <c r="D18" s="29" t="s">
        <v>12</v>
      </c>
      <c r="E18" s="29" t="s">
        <v>11</v>
      </c>
      <c r="F18" s="41" t="s">
        <v>26</v>
      </c>
    </row>
    <row r="19" spans="1:6" ht="15.75" customHeight="1" x14ac:dyDescent="0.25">
      <c r="A19" s="72" t="s">
        <v>29</v>
      </c>
      <c r="B19" s="72" t="s">
        <v>253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254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86</v>
      </c>
      <c r="B21" s="72" t="s">
        <v>253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254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182</v>
      </c>
      <c r="B23" s="72" t="s">
        <v>253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254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202</v>
      </c>
      <c r="B25" s="72" t="s">
        <v>253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254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57</v>
      </c>
      <c r="B27" s="72" t="s">
        <v>253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254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34</v>
      </c>
      <c r="B29" s="72" t="s">
        <v>253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254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59</v>
      </c>
      <c r="B31" s="72" t="s">
        <v>253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254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268</v>
      </c>
    </row>
    <row r="35" spans="1:6" ht="15.75" customHeight="1" x14ac:dyDescent="0.3">
      <c r="A35" s="41" t="s">
        <v>69</v>
      </c>
      <c r="B35" s="29"/>
      <c r="C35" s="29" t="s">
        <v>9</v>
      </c>
      <c r="D35" s="29" t="s">
        <v>12</v>
      </c>
      <c r="E35" s="29" t="s">
        <v>11</v>
      </c>
      <c r="F35" s="41" t="s">
        <v>26</v>
      </c>
    </row>
    <row r="36" spans="1:6" ht="15.75" customHeight="1" x14ac:dyDescent="0.25">
      <c r="A36" s="72" t="s">
        <v>29</v>
      </c>
      <c r="B36" s="72" t="s">
        <v>253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254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86</v>
      </c>
      <c r="B38" s="72" t="s">
        <v>253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254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182</v>
      </c>
      <c r="B40" s="72" t="s">
        <v>253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254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202</v>
      </c>
      <c r="B42" s="72" t="s">
        <v>253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254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57</v>
      </c>
      <c r="B44" s="72" t="s">
        <v>253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254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34</v>
      </c>
      <c r="B46" s="72" t="s">
        <v>253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254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59</v>
      </c>
      <c r="B48" s="72" t="s">
        <v>253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254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kK8xysIiwaZBe6JdL6sY+7hCHUwalJJ4E91CK5lDBLC0HVn6JDyPMlYtp5B/1zJtxZBEkoYIBoVYhL3VpCGCgw==" saltValue="2MGYFnUIxC1XkYGDGfzv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</v>
      </c>
      <c r="D1" s="122" t="s">
        <v>2</v>
      </c>
      <c r="E1" s="122" t="s">
        <v>3</v>
      </c>
      <c r="F1" s="122" t="s">
        <v>4</v>
      </c>
      <c r="G1" s="122" t="s">
        <v>5</v>
      </c>
      <c r="H1" s="122" t="s">
        <v>49</v>
      </c>
      <c r="I1" s="122" t="s">
        <v>50</v>
      </c>
      <c r="J1" s="122" t="s">
        <v>51</v>
      </c>
      <c r="K1" s="122" t="s">
        <v>52</v>
      </c>
      <c r="L1" s="122" t="s">
        <v>53</v>
      </c>
      <c r="M1" s="122" t="s">
        <v>54</v>
      </c>
      <c r="N1" s="122" t="s">
        <v>55</v>
      </c>
      <c r="O1" s="12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183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201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184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185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182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202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57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131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34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132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59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330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64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62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47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267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</v>
      </c>
      <c r="D24" s="122" t="s">
        <v>2</v>
      </c>
      <c r="E24" s="122" t="s">
        <v>3</v>
      </c>
      <c r="F24" s="122" t="s">
        <v>4</v>
      </c>
      <c r="G24" s="122" t="s">
        <v>5</v>
      </c>
      <c r="H24" s="122" t="s">
        <v>49</v>
      </c>
      <c r="I24" s="122" t="s">
        <v>50</v>
      </c>
      <c r="J24" s="122" t="s">
        <v>51</v>
      </c>
      <c r="K24" s="122" t="s">
        <v>52</v>
      </c>
      <c r="L24" s="122" t="s">
        <v>53</v>
      </c>
      <c r="M24" s="122" t="s">
        <v>54</v>
      </c>
      <c r="N24" s="122" t="s">
        <v>55</v>
      </c>
      <c r="O24" s="12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183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201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184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185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182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202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57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131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34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132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59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330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64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62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47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268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</v>
      </c>
      <c r="D47" s="122" t="s">
        <v>2</v>
      </c>
      <c r="E47" s="122" t="s">
        <v>3</v>
      </c>
      <c r="F47" s="122" t="s">
        <v>4</v>
      </c>
      <c r="G47" s="122" t="s">
        <v>5</v>
      </c>
      <c r="H47" s="122" t="s">
        <v>49</v>
      </c>
      <c r="I47" s="122" t="s">
        <v>50</v>
      </c>
      <c r="J47" s="122" t="s">
        <v>51</v>
      </c>
      <c r="K47" s="122" t="s">
        <v>52</v>
      </c>
      <c r="L47" s="122" t="s">
        <v>53</v>
      </c>
      <c r="M47" s="122" t="s">
        <v>54</v>
      </c>
      <c r="N47" s="122" t="s">
        <v>55</v>
      </c>
      <c r="O47" s="12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183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201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184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185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182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202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57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131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34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132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59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330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64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62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47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i7cIT6kv3q7nW7X02tarLfrVOYnKb+sbacXfh+N9jjaMM2PBCZKltNi8AZjWO/xSlleqTPNW+Fg1kWgeuExuWw==" saltValue="z466I5u30G0a3Y603P0E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258</v>
      </c>
      <c r="B4" s="45"/>
      <c r="C4" s="123"/>
      <c r="D4" s="123"/>
      <c r="E4" s="123"/>
      <c r="F4" s="123"/>
      <c r="G4" s="123"/>
    </row>
    <row r="5" spans="1:7" x14ac:dyDescent="0.25">
      <c r="B5" s="72" t="s">
        <v>178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269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</v>
      </c>
      <c r="D8" s="4" t="s">
        <v>2</v>
      </c>
      <c r="E8" s="4" t="s">
        <v>3</v>
      </c>
      <c r="F8" s="4" t="s">
        <v>4</v>
      </c>
      <c r="G8" s="4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275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178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270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</v>
      </c>
      <c r="D15" s="4" t="s">
        <v>2</v>
      </c>
      <c r="E15" s="4" t="s">
        <v>3</v>
      </c>
      <c r="F15" s="4" t="s">
        <v>4</v>
      </c>
      <c r="G15" s="4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277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178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rVuqzQyVoPJLRFpF0aq9w+oCqrUTVCoWUlxEZGiVOuR37AL3IOgiCgVRwkeQ0pO7fDEFE+sUhmuiNiaZdMriUA==" saltValue="SEkYwcm2GbgzDaOnzTt1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tabSelected="1" zoomScale="70" zoomScaleNormal="70" workbookViewId="0">
      <selection activeCell="D22" sqref="D22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262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263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263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65</v>
      </c>
      <c r="C7" s="39" t="s">
        <v>261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263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263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65</v>
      </c>
      <c r="C11" s="39" t="s">
        <v>261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263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330</v>
      </c>
      <c r="B13" s="39" t="s">
        <v>66</v>
      </c>
      <c r="C13" s="39" t="s">
        <v>261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263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65</v>
      </c>
      <c r="C15" s="39" t="s">
        <v>261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263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372</v>
      </c>
      <c r="C17" s="39" t="s">
        <v>261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262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61</v>
      </c>
      <c r="B19" s="39" t="s">
        <v>66</v>
      </c>
      <c r="C19" s="39" t="s">
        <v>261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263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65</v>
      </c>
      <c r="C21" s="39" t="s">
        <v>261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263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62</v>
      </c>
      <c r="B23" s="39" t="s">
        <v>27</v>
      </c>
      <c r="C23" s="39" t="s">
        <v>261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262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63</v>
      </c>
      <c r="B25" s="39" t="s">
        <v>27</v>
      </c>
      <c r="C25" s="39" t="s">
        <v>261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262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64</v>
      </c>
      <c r="B27" s="39" t="s">
        <v>27</v>
      </c>
      <c r="C27" s="39" t="s">
        <v>261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262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79</v>
      </c>
      <c r="B29" s="39" t="s">
        <v>71</v>
      </c>
      <c r="C29" s="39" t="s">
        <v>261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262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263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80</v>
      </c>
      <c r="B32" s="39" t="s">
        <v>71</v>
      </c>
      <c r="C32" s="39" t="s">
        <v>261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262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263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81</v>
      </c>
      <c r="B35" s="39" t="s">
        <v>71</v>
      </c>
      <c r="C35" s="39" t="s">
        <v>261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262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263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82</v>
      </c>
      <c r="B38" s="39" t="s">
        <v>71</v>
      </c>
      <c r="C38" s="39" t="s">
        <v>261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262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263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83</v>
      </c>
      <c r="B41" s="39" t="s">
        <v>71</v>
      </c>
      <c r="C41" s="39" t="s">
        <v>261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262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263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60</v>
      </c>
      <c r="B44" s="39" t="s">
        <v>71</v>
      </c>
      <c r="C44" s="39" t="s">
        <v>261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262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263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16</v>
      </c>
      <c r="C47" s="39" t="s">
        <v>261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262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263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84</v>
      </c>
      <c r="B50" s="39" t="s">
        <v>71</v>
      </c>
      <c r="C50" s="39" t="s">
        <v>261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262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85</v>
      </c>
      <c r="B52" s="39" t="s">
        <v>71</v>
      </c>
      <c r="C52" s="39" t="s">
        <v>261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262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190</v>
      </c>
      <c r="B54" s="39" t="s">
        <v>13</v>
      </c>
      <c r="C54" s="39" t="s">
        <v>261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262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269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69</v>
      </c>
      <c r="B58" s="29" t="s">
        <v>259</v>
      </c>
      <c r="C58" s="96" t="s">
        <v>260</v>
      </c>
      <c r="D58" s="4" t="s">
        <v>1</v>
      </c>
      <c r="E58" s="4" t="s">
        <v>2</v>
      </c>
      <c r="F58" s="4" t="s">
        <v>3</v>
      </c>
      <c r="G58" s="4" t="s">
        <v>4</v>
      </c>
      <c r="H58" s="4" t="s">
        <v>5</v>
      </c>
    </row>
    <row r="59" spans="1:8" x14ac:dyDescent="0.25">
      <c r="A59" s="39" t="s">
        <v>28</v>
      </c>
      <c r="B59" s="39" t="s">
        <v>71</v>
      </c>
      <c r="C59" s="39" t="s">
        <v>261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262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263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58</v>
      </c>
      <c r="B62" s="39" t="s">
        <v>66</v>
      </c>
      <c r="C62" s="39" t="s">
        <v>261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263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65</v>
      </c>
      <c r="C64" s="39" t="s">
        <v>261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263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131</v>
      </c>
      <c r="B66" s="39" t="s">
        <v>66</v>
      </c>
      <c r="C66" s="39" t="s">
        <v>261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263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65</v>
      </c>
      <c r="C68" s="39" t="s">
        <v>261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263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330</v>
      </c>
      <c r="B70" s="39" t="s">
        <v>66</v>
      </c>
      <c r="C70" s="39" t="s">
        <v>261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263</v>
      </c>
      <c r="D71" s="120">
        <f>IF($C14="Affected fraction",D14,IF(D14=1,1,D14*0.9))</f>
        <v>0</v>
      </c>
      <c r="E71" s="120">
        <f>IF($C14="Affected fraction",E14,IF(E14=1,1,E14*0.9))</f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65</v>
      </c>
      <c r="C72" s="39" t="s">
        <v>261</v>
      </c>
      <c r="D72" s="120">
        <f>IF($C15="Affected fraction",D15,IF(D15=1,1,D15*0.9))</f>
        <v>0</v>
      </c>
      <c r="E72" s="120">
        <f>IF($C15="Affected fraction",E15,IF(E15=1,1,E15*0.9))</f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263</v>
      </c>
      <c r="D73" s="120">
        <f>IF($C16="Affected fraction",D16,IF(D16=1,1,D16*0.9))</f>
        <v>0</v>
      </c>
      <c r="E73" s="120">
        <f>IF($C16="Affected fraction",E16,IF(E16=1,1,E16*0.9))</f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372</v>
      </c>
      <c r="C74" s="39" t="s">
        <v>261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262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61</v>
      </c>
      <c r="B76" s="39" t="s">
        <v>66</v>
      </c>
      <c r="C76" s="39" t="s">
        <v>261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263</v>
      </c>
      <c r="D77" s="120">
        <f>IF($C20="Affected fraction",D20,IF(D20=1,1,D20*0.9))</f>
        <v>0</v>
      </c>
      <c r="E77" s="120">
        <f>IF($C20="Affected fraction",E20,IF(E20=1,1,E20*0.9))</f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65</v>
      </c>
      <c r="C78" s="39" t="s">
        <v>261</v>
      </c>
      <c r="D78" s="120">
        <f>IF($C21="Affected fraction",D21,IF(D21=1,1,D21*0.9))</f>
        <v>0</v>
      </c>
      <c r="E78" s="120">
        <f>IF($C21="Affected fraction",E21,IF(E21=1,1,E21*0.9))</f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263</v>
      </c>
      <c r="D79" s="120">
        <f>IF($C22="Affected fraction",D22,IF(D22=1,1,D22*0.9))</f>
        <v>0</v>
      </c>
      <c r="E79" s="120">
        <f>IF($C22="Affected fraction",E22,IF(E22=1,1,E22*0.9))</f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62</v>
      </c>
      <c r="B80" s="39" t="s">
        <v>27</v>
      </c>
      <c r="C80" s="39" t="s">
        <v>261</v>
      </c>
      <c r="D80" s="120">
        <f>IF($C23="Affected fraction",D23,IF(D23=1,1,D23*0.9))</f>
        <v>1</v>
      </c>
      <c r="E80" s="120">
        <f>IF($C23="Affected fraction",E23,IF(E23=1,1,E23*0.9))</f>
        <v>0</v>
      </c>
      <c r="F80" s="120">
        <f>IF($C23="Affected fraction",F23,IF(F23=1,1,F23*0.9))</f>
        <v>0</v>
      </c>
      <c r="G80" s="120">
        <f>IF($C23="Affected fraction",G23,IF(G23=1,1,G23*0.9))</f>
        <v>0</v>
      </c>
      <c r="H80" s="120">
        <f>IF($C23="Affected fraction",H23,IF(H23=1,1,H23*0.9))</f>
        <v>0</v>
      </c>
    </row>
    <row r="81" spans="1:8" x14ac:dyDescent="0.25">
      <c r="C81" s="39" t="s">
        <v>262</v>
      </c>
      <c r="D81" s="120">
        <v>0.11</v>
      </c>
      <c r="E81" s="120">
        <f>IF($C24="Affected fraction",E24,IF(E24=1,1,E24*0.9))</f>
        <v>0</v>
      </c>
      <c r="F81" s="120">
        <f>IF($C24="Affected fraction",F24,IF(F24=1,1,F24*0.9))</f>
        <v>0</v>
      </c>
      <c r="G81" s="120">
        <f>IF($C24="Affected fraction",G24,IF(G24=1,1,G24*0.9))</f>
        <v>0</v>
      </c>
      <c r="H81" s="120">
        <f>IF($C24="Affected fraction",H24,IF(H24=1,1,H24*0.9))</f>
        <v>0</v>
      </c>
    </row>
    <row r="82" spans="1:8" x14ac:dyDescent="0.25">
      <c r="A82" s="39" t="s">
        <v>63</v>
      </c>
      <c r="B82" s="39" t="s">
        <v>27</v>
      </c>
      <c r="C82" s="39" t="s">
        <v>261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>IF($C25="Affected fraction",F25,IF(F25=1,1,F25*0.9))</f>
        <v>0</v>
      </c>
      <c r="G82" s="120">
        <f>IF($C25="Affected fraction",G25,IF(G25=1,1,G25*0.9))</f>
        <v>0</v>
      </c>
      <c r="H82" s="120">
        <f>IF($C25="Affected fraction",H25,IF(H25=1,1,H25*0.9))</f>
        <v>0</v>
      </c>
    </row>
    <row r="83" spans="1:8" x14ac:dyDescent="0.25">
      <c r="C83" s="39" t="s">
        <v>262</v>
      </c>
      <c r="D83" s="120">
        <v>0.11</v>
      </c>
      <c r="E83" s="120">
        <f>IF($C26="Affected fraction",E26,IF(E26=1,1,E26*0.9))</f>
        <v>0</v>
      </c>
      <c r="F83" s="120">
        <f>IF($C26="Affected fraction",F26,IF(F26=1,1,F26*0.9))</f>
        <v>0</v>
      </c>
      <c r="G83" s="120">
        <f>IF($C26="Affected fraction",G26,IF(G26=1,1,G26*0.9))</f>
        <v>0</v>
      </c>
      <c r="H83" s="120">
        <f>IF($C26="Affected fraction",H26,IF(H26=1,1,H26*0.9))</f>
        <v>0</v>
      </c>
    </row>
    <row r="84" spans="1:8" x14ac:dyDescent="0.25">
      <c r="A84" s="39" t="s">
        <v>64</v>
      </c>
      <c r="B84" s="39" t="s">
        <v>27</v>
      </c>
      <c r="C84" s="39" t="s">
        <v>261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>IF($C27="Affected fraction",F27,IF(F27=1,1,F27*0.9))</f>
        <v>0</v>
      </c>
      <c r="G84" s="120">
        <f>IF($C27="Affected fraction",G27,IF(G27=1,1,G27*0.9))</f>
        <v>0</v>
      </c>
      <c r="H84" s="120">
        <f>IF($C27="Affected fraction",H27,IF(H27=1,1,H27*0.9))</f>
        <v>0</v>
      </c>
    </row>
    <row r="85" spans="1:8" x14ac:dyDescent="0.25">
      <c r="C85" s="39" t="s">
        <v>262</v>
      </c>
      <c r="D85" s="120">
        <v>0.11</v>
      </c>
      <c r="E85" s="120">
        <f>IF($C28="Affected fraction",E28,IF(E28=1,1,E28*0.9))</f>
        <v>0</v>
      </c>
      <c r="F85" s="120">
        <f>IF($C28="Affected fraction",F28,IF(F28=1,1,F28*0.9))</f>
        <v>0</v>
      </c>
      <c r="G85" s="120">
        <f>IF($C28="Affected fraction",G28,IF(G28=1,1,G28*0.9))</f>
        <v>0</v>
      </c>
      <c r="H85" s="120">
        <f>IF($C28="Affected fraction",H28,IF(H28=1,1,H28*0.9))</f>
        <v>0</v>
      </c>
    </row>
    <row r="86" spans="1:8" x14ac:dyDescent="0.25">
      <c r="A86" s="39" t="s">
        <v>79</v>
      </c>
      <c r="B86" s="39" t="s">
        <v>71</v>
      </c>
      <c r="C86" s="39" t="s">
        <v>261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262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263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80</v>
      </c>
      <c r="B89" s="39" t="s">
        <v>71</v>
      </c>
      <c r="C89" s="39" t="s">
        <v>261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262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263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81</v>
      </c>
      <c r="B92" s="39" t="s">
        <v>71</v>
      </c>
      <c r="C92" s="39" t="s">
        <v>261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262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263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82</v>
      </c>
      <c r="B95" s="39" t="s">
        <v>71</v>
      </c>
      <c r="C95" s="39" t="s">
        <v>261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262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263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83</v>
      </c>
      <c r="B98" s="39" t="s">
        <v>71</v>
      </c>
      <c r="C98" s="39" t="s">
        <v>261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262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263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60</v>
      </c>
      <c r="B101" s="39" t="s">
        <v>71</v>
      </c>
      <c r="C101" s="39" t="s">
        <v>261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262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263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16</v>
      </c>
      <c r="C104" s="39" t="s">
        <v>261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262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263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84</v>
      </c>
      <c r="B107" s="39" t="s">
        <v>71</v>
      </c>
      <c r="C107" s="39" t="s">
        <v>261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262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85</v>
      </c>
      <c r="B109" s="39" t="s">
        <v>71</v>
      </c>
      <c r="C109" s="39" t="s">
        <v>261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262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190</v>
      </c>
      <c r="B111" s="39" t="s">
        <v>13</v>
      </c>
      <c r="C111" s="39" t="s">
        <v>261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262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270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69</v>
      </c>
      <c r="B115" s="29" t="s">
        <v>259</v>
      </c>
      <c r="C115" s="96" t="s">
        <v>260</v>
      </c>
      <c r="D115" s="4" t="s">
        <v>1</v>
      </c>
      <c r="E115" s="4" t="s">
        <v>2</v>
      </c>
      <c r="F115" s="4" t="s">
        <v>3</v>
      </c>
      <c r="G115" s="4" t="s">
        <v>4</v>
      </c>
      <c r="H115" s="4" t="s">
        <v>5</v>
      </c>
    </row>
    <row r="116" spans="1:8" x14ac:dyDescent="0.25">
      <c r="A116" s="39" t="s">
        <v>28</v>
      </c>
      <c r="B116" s="39" t="s">
        <v>71</v>
      </c>
      <c r="C116" s="39" t="s">
        <v>261</v>
      </c>
      <c r="D116" s="120">
        <f>IF($C2="Affected fraction",D2,IF(D2=1,1,D2*1.05))</f>
        <v>0</v>
      </c>
      <c r="E116" s="120">
        <f>IF($C2="Affected fraction",E2,IF(E2=1,1,E2*1.05))</f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262</v>
      </c>
      <c r="D117" s="120">
        <f>IF($C3="Affected fraction",D3,IF(D3=1,1,D3*1.05))</f>
        <v>0</v>
      </c>
      <c r="E117" s="120">
        <f>IF($C3="Affected fraction",E3,IF(E3=1,1,E3*1.05))</f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263</v>
      </c>
      <c r="D118" s="120">
        <f>IF($C4="Affected fraction",D4,IF(D4=1,1,D4*1.05))</f>
        <v>0</v>
      </c>
      <c r="E118" s="120">
        <f>IF($C4="Affected fraction",E4,IF(E4=1,1,E4*1.05))</f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58</v>
      </c>
      <c r="B119" s="39" t="s">
        <v>66</v>
      </c>
      <c r="C119" s="39" t="s">
        <v>261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263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65</v>
      </c>
      <c r="C121" s="39" t="s">
        <v>261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263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131</v>
      </c>
      <c r="B123" s="39" t="s">
        <v>66</v>
      </c>
      <c r="C123" s="39" t="s">
        <v>261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263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65</v>
      </c>
      <c r="C125" s="39" t="s">
        <v>261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263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330</v>
      </c>
      <c r="B127" s="39" t="s">
        <v>66</v>
      </c>
      <c r="C127" s="39" t="s">
        <v>261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263</v>
      </c>
      <c r="D128" s="120">
        <f>IF($C14="Affected fraction",D14,IF(D14=1,1,D14*1.05))</f>
        <v>0</v>
      </c>
      <c r="E128" s="120">
        <f>IF($C14="Affected fraction",E14,IF(E14=1,1,E14*1.05))</f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65</v>
      </c>
      <c r="C129" s="39" t="s">
        <v>261</v>
      </c>
      <c r="D129" s="120">
        <f>IF($C15="Affected fraction",D15,IF(D15=1,1,D15*1.05))</f>
        <v>0</v>
      </c>
      <c r="E129" s="120">
        <f>IF($C15="Affected fraction",E15,IF(E15=1,1,E15*1.05))</f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263</v>
      </c>
      <c r="D130" s="120">
        <f>IF($C16="Affected fraction",D16,IF(D16=1,1,D16*1.05))</f>
        <v>0</v>
      </c>
      <c r="E130" s="120">
        <f>IF($C16="Affected fraction",E16,IF(E16=1,1,E16*1.05))</f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372</v>
      </c>
      <c r="C131" s="39" t="s">
        <v>261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262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61</v>
      </c>
      <c r="B133" s="39" t="s">
        <v>66</v>
      </c>
      <c r="C133" s="39" t="s">
        <v>261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263</v>
      </c>
      <c r="D134" s="120">
        <f>IF($C20="Affected fraction",D20,IF(D20=1,1,D20*1.05))</f>
        <v>0</v>
      </c>
      <c r="E134" s="120">
        <f>IF($C20="Affected fraction",E20,IF(E20=1,1,E20*1.05))</f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65</v>
      </c>
      <c r="C135" s="39" t="s">
        <v>261</v>
      </c>
      <c r="D135" s="120">
        <f>IF($C21="Affected fraction",D21,IF(D21=1,1,D21*1.05))</f>
        <v>0</v>
      </c>
      <c r="E135" s="120">
        <f>IF($C21="Affected fraction",E21,IF(E21=1,1,E21*1.05))</f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263</v>
      </c>
      <c r="D136" s="120">
        <f>IF($C22="Affected fraction",D22,IF(D22=1,1,D22*1.05))</f>
        <v>0</v>
      </c>
      <c r="E136" s="120">
        <f>IF($C22="Affected fraction",E22,IF(E22=1,1,E22*1.05))</f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62</v>
      </c>
      <c r="B137" s="39" t="s">
        <v>27</v>
      </c>
      <c r="C137" s="39" t="s">
        <v>261</v>
      </c>
      <c r="D137" s="120">
        <f>IF($C80="Affected fraction",D80,IF(D80=1,1,D80*0.9))</f>
        <v>1</v>
      </c>
      <c r="E137" s="120">
        <f>IF($C23="Affected fraction",E23,IF(E23=1,1,E23*1.05))</f>
        <v>0</v>
      </c>
      <c r="F137" s="120">
        <f>IF($C23="Affected fraction",F23,IF(F23=1,1,F23*1.05))</f>
        <v>0</v>
      </c>
      <c r="G137" s="120">
        <f>IF($C23="Affected fraction",G23,IF(G23=1,1,G23*1.05))</f>
        <v>0</v>
      </c>
      <c r="H137" s="120">
        <f>IF($C23="Affected fraction",H23,IF(H23=1,1,H23*1.05))</f>
        <v>0</v>
      </c>
    </row>
    <row r="138" spans="1:8" x14ac:dyDescent="0.25">
      <c r="C138" s="39" t="s">
        <v>262</v>
      </c>
      <c r="D138" s="120">
        <v>0.16</v>
      </c>
      <c r="E138" s="120">
        <f>IF($C24="Affected fraction",E24,IF(E24=1,1,E24*1.05))</f>
        <v>0</v>
      </c>
      <c r="F138" s="120">
        <f>IF($C24="Affected fraction",F24,IF(F24=1,1,F24*1.05))</f>
        <v>0</v>
      </c>
      <c r="G138" s="120">
        <f>IF($C24="Affected fraction",G24,IF(G24=1,1,G24*1.05))</f>
        <v>0</v>
      </c>
      <c r="H138" s="120">
        <f>IF($C24="Affected fraction",H24,IF(H24=1,1,H24*1.05))</f>
        <v>0</v>
      </c>
    </row>
    <row r="139" spans="1:8" x14ac:dyDescent="0.25">
      <c r="A139" s="39" t="s">
        <v>63</v>
      </c>
      <c r="B139" s="39" t="s">
        <v>27</v>
      </c>
      <c r="C139" s="39" t="s">
        <v>261</v>
      </c>
      <c r="D139" s="120">
        <f>IF($C82="Affected fraction",D82,IF(D82=1,1,D82*0.9))</f>
        <v>1</v>
      </c>
      <c r="E139" s="120">
        <f>IF($C25="Affected fraction",E25,IF(E25=1,1,E25*1.05))</f>
        <v>0</v>
      </c>
      <c r="F139" s="120">
        <f>IF($C25="Affected fraction",F25,IF(F25=1,1,F25*1.05))</f>
        <v>0</v>
      </c>
      <c r="G139" s="120">
        <f>IF($C25="Affected fraction",G25,IF(G25=1,1,G25*1.05))</f>
        <v>0</v>
      </c>
      <c r="H139" s="120">
        <f>IF($C25="Affected fraction",H25,IF(H25=1,1,H25*1.05))</f>
        <v>0</v>
      </c>
    </row>
    <row r="140" spans="1:8" x14ac:dyDescent="0.25">
      <c r="C140" s="39" t="s">
        <v>262</v>
      </c>
      <c r="D140" s="120">
        <v>0.16</v>
      </c>
      <c r="E140" s="120">
        <f>IF($C26="Affected fraction",E26,IF(E26=1,1,E26*1.05))</f>
        <v>0</v>
      </c>
      <c r="F140" s="120">
        <f>IF($C26="Affected fraction",F26,IF(F26=1,1,F26*1.05))</f>
        <v>0</v>
      </c>
      <c r="G140" s="120">
        <f>IF($C26="Affected fraction",G26,IF(G26=1,1,G26*1.05))</f>
        <v>0</v>
      </c>
      <c r="H140" s="120">
        <f>IF($C26="Affected fraction",H26,IF(H26=1,1,H26*1.05))</f>
        <v>0</v>
      </c>
    </row>
    <row r="141" spans="1:8" x14ac:dyDescent="0.25">
      <c r="A141" s="39" t="s">
        <v>64</v>
      </c>
      <c r="B141" s="39" t="s">
        <v>27</v>
      </c>
      <c r="C141" s="39" t="s">
        <v>261</v>
      </c>
      <c r="D141" s="120">
        <f>IF($C84="Affected fraction",D84,IF(D84=1,1,D84*0.9))</f>
        <v>1</v>
      </c>
      <c r="E141" s="120">
        <f>IF($C27="Affected fraction",E27,IF(E27=1,1,E27*1.05))</f>
        <v>0</v>
      </c>
      <c r="F141" s="120">
        <f>IF($C27="Affected fraction",F27,IF(F27=1,1,F27*1.05))</f>
        <v>0</v>
      </c>
      <c r="G141" s="120">
        <f>IF($C27="Affected fraction",G27,IF(G27=1,1,G27*1.05))</f>
        <v>0</v>
      </c>
      <c r="H141" s="120">
        <f>IF($C27="Affected fraction",H27,IF(H27=1,1,H27*1.05))</f>
        <v>0</v>
      </c>
    </row>
    <row r="142" spans="1:8" x14ac:dyDescent="0.25">
      <c r="C142" s="39" t="s">
        <v>262</v>
      </c>
      <c r="D142" s="120">
        <v>0.16</v>
      </c>
      <c r="E142" s="120">
        <f>IF($C28="Affected fraction",E28,IF(E28=1,1,E28*1.05))</f>
        <v>0</v>
      </c>
      <c r="F142" s="120">
        <f>IF($C28="Affected fraction",F28,IF(F28=1,1,F28*1.05))</f>
        <v>0</v>
      </c>
      <c r="G142" s="120">
        <f>IF($C28="Affected fraction",G28,IF(G28=1,1,G28*1.05))</f>
        <v>0</v>
      </c>
      <c r="H142" s="120">
        <f>IF($C28="Affected fraction",H28,IF(H28=1,1,H28*1.05))</f>
        <v>0</v>
      </c>
    </row>
    <row r="143" spans="1:8" x14ac:dyDescent="0.25">
      <c r="A143" s="39" t="s">
        <v>79</v>
      </c>
      <c r="B143" s="39" t="s">
        <v>71</v>
      </c>
      <c r="C143" s="39" t="s">
        <v>261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262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263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80</v>
      </c>
      <c r="B146" s="39" t="s">
        <v>71</v>
      </c>
      <c r="C146" s="39" t="s">
        <v>261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262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263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81</v>
      </c>
      <c r="B149" s="39" t="s">
        <v>71</v>
      </c>
      <c r="C149" s="39" t="s">
        <v>261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262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263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82</v>
      </c>
      <c r="B152" s="39" t="s">
        <v>71</v>
      </c>
      <c r="C152" s="39" t="s">
        <v>261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262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263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83</v>
      </c>
      <c r="B155" s="39" t="s">
        <v>71</v>
      </c>
      <c r="C155" s="39" t="s">
        <v>261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262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263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60</v>
      </c>
      <c r="B158" s="39" t="s">
        <v>71</v>
      </c>
      <c r="C158" s="39" t="s">
        <v>261</v>
      </c>
      <c r="D158" s="120">
        <f t="shared" ref="D158:H159" si="0">IF($C101="Affected fraction",D101,IF(D101=1,1,D101*0.9))</f>
        <v>0</v>
      </c>
      <c r="E158" s="120">
        <f t="shared" si="0"/>
        <v>1</v>
      </c>
      <c r="F158" s="120">
        <f t="shared" si="0"/>
        <v>1</v>
      </c>
      <c r="G158" s="120">
        <f t="shared" si="0"/>
        <v>1</v>
      </c>
      <c r="H158" s="120">
        <f t="shared" si="0"/>
        <v>1</v>
      </c>
    </row>
    <row r="159" spans="1:8" x14ac:dyDescent="0.25">
      <c r="C159" s="39" t="s">
        <v>262</v>
      </c>
      <c r="D159" s="120">
        <f t="shared" si="0"/>
        <v>0</v>
      </c>
      <c r="E159" s="120">
        <f t="shared" si="0"/>
        <v>0</v>
      </c>
      <c r="F159" s="120">
        <f t="shared" si="0"/>
        <v>0</v>
      </c>
      <c r="G159" s="120">
        <f t="shared" si="0"/>
        <v>0</v>
      </c>
      <c r="H159" s="120">
        <f t="shared" si="0"/>
        <v>0</v>
      </c>
    </row>
    <row r="160" spans="1:8" x14ac:dyDescent="0.25">
      <c r="C160" s="39" t="s">
        <v>263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16</v>
      </c>
      <c r="C161" s="39" t="s">
        <v>261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262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263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84</v>
      </c>
      <c r="B164" s="39" t="s">
        <v>71</v>
      </c>
      <c r="C164" s="39" t="s">
        <v>261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262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85</v>
      </c>
      <c r="B166" s="39" t="s">
        <v>71</v>
      </c>
      <c r="C166" s="39" t="s">
        <v>261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262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190</v>
      </c>
      <c r="B168" s="39" t="s">
        <v>13</v>
      </c>
      <c r="C168" s="39" t="s">
        <v>261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262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htB++4+zcUsj5pC+zNbKGsxR8YtgpfbyKY+StXWZ5HucH056rku8V/Sdbi1ZGducByV0785Y2OXiJOontrOycg==" saltValue="ip0HV7FWP81mcywkNdub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4" t="s">
        <v>53</v>
      </c>
      <c r="E1" s="4" t="s">
        <v>54</v>
      </c>
      <c r="F1" s="4" t="s">
        <v>55</v>
      </c>
      <c r="G1" s="4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262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262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262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59</v>
      </c>
      <c r="B8" s="27" t="s">
        <v>371</v>
      </c>
      <c r="C8" s="31" t="s">
        <v>261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157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269</v>
      </c>
      <c r="D11" s="121"/>
      <c r="E11" s="121"/>
      <c r="F11" s="121"/>
      <c r="G11" s="121"/>
    </row>
    <row r="12" spans="1:8" ht="13" x14ac:dyDescent="0.3">
      <c r="A12" s="41" t="s">
        <v>69</v>
      </c>
      <c r="B12" s="41" t="s">
        <v>259</v>
      </c>
      <c r="C12" s="41"/>
      <c r="D12" s="4" t="s">
        <v>53</v>
      </c>
      <c r="E12" s="4" t="s">
        <v>54</v>
      </c>
      <c r="F12" s="4" t="s">
        <v>55</v>
      </c>
      <c r="G12" s="4" t="s">
        <v>56</v>
      </c>
    </row>
    <row r="13" spans="1:8" x14ac:dyDescent="0.25">
      <c r="A13" s="31" t="s">
        <v>86</v>
      </c>
      <c r="B13" s="27" t="s">
        <v>41</v>
      </c>
      <c r="C13" s="31" t="s">
        <v>261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262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87</v>
      </c>
      <c r="B15" s="27" t="s">
        <v>41</v>
      </c>
      <c r="C15" s="31" t="s">
        <v>261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262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88</v>
      </c>
      <c r="B17" s="27" t="s">
        <v>41</v>
      </c>
      <c r="C17" s="31" t="s">
        <v>261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262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59</v>
      </c>
      <c r="B19" s="27" t="s">
        <v>371</v>
      </c>
      <c r="C19" s="31" t="s">
        <v>261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157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270</v>
      </c>
      <c r="D22" s="121"/>
      <c r="E22" s="121"/>
      <c r="F22" s="121"/>
      <c r="G22" s="121"/>
    </row>
    <row r="23" spans="1:7" ht="13" x14ac:dyDescent="0.3">
      <c r="A23" s="41" t="s">
        <v>69</v>
      </c>
      <c r="B23" s="41" t="s">
        <v>259</v>
      </c>
      <c r="C23" s="41"/>
      <c r="D23" s="4" t="s">
        <v>53</v>
      </c>
      <c r="E23" s="4" t="s">
        <v>54</v>
      </c>
      <c r="F23" s="4" t="s">
        <v>55</v>
      </c>
      <c r="G23" s="4" t="s">
        <v>56</v>
      </c>
    </row>
    <row r="24" spans="1:7" x14ac:dyDescent="0.25">
      <c r="A24" s="31" t="s">
        <v>86</v>
      </c>
      <c r="B24" s="27" t="s">
        <v>41</v>
      </c>
      <c r="C24" s="31" t="s">
        <v>261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262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87</v>
      </c>
      <c r="B26" s="27" t="s">
        <v>41</v>
      </c>
      <c r="C26" s="31" t="s">
        <v>261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262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88</v>
      </c>
      <c r="B28" s="27" t="s">
        <v>41</v>
      </c>
      <c r="C28" s="31" t="s">
        <v>261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262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59</v>
      </c>
      <c r="B30" s="27" t="s">
        <v>371</v>
      </c>
      <c r="C30" s="31" t="s">
        <v>261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157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7v+xT3HE4DTdn2m/TKE9JoCT74mm8FFVZ/OmM96OW9foawqxWGpLAJM9JjX4vMcnTKKxe10k/1jKFDMta/1wAQ==" saltValue="rTdJePnzjeafb4gtl5II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2025-07-29T04:58:27Z</dcterms:modified>
</cp:coreProperties>
</file>