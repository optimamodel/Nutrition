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4F582223-8E85-4934-8F2D-8B55F321E4BA}" xr6:coauthVersionLast="47" xr6:coauthVersionMax="47" xr10:uidLastSave="{00000000-0000-0000-0000-000000000000}"/>
  <bookViews>
    <workbookView xWindow="-110" yWindow="-110" windowWidth="19420" windowHeight="10420" tabRatio="904" firstSheet="3" activeTab="6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7" authorId="0" shapeId="0" xr:uid="{DB719202-E5BE-4173-8B17-2802F46949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Horton and Ross, 2003</t>
        </r>
      </text>
    </comment>
    <comment ref="A18" authorId="0" shapeId="0" xr:uid="{D3B1AD23-502F-4AD6-8AB4-FF451410E7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Horton and Ross, 2003</t>
        </r>
      </text>
    </comment>
    <comment ref="A19" authorId="0" shapeId="0" xr:uid="{E35C8CA0-55D6-421E-A593-EE282CCF196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Age share * manual labor</t>
        </r>
      </text>
    </comment>
    <comment ref="A20" authorId="0" shapeId="0" xr:uid="{7770DBB3-B612-4263-95F3-2733373A769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Horton and Ross, 2003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<sst xmlns="http://schemas.openxmlformats.org/spreadsheetml/2006/main" count="2121" uniqueCount="370">
  <si>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</si>
  <si>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</si>
  <si>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</si>
  <si>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</si>
  <si>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</si>
  <si>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</si>
  <si>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</si>
  <si>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</si>
  <si>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</si>
  <si>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</si>
  <si>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</si>
  <si>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</si>
  <si>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</si>
  <si>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</si>
  <si>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</si>
  <si>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</si>
  <si>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</si>
  <si>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</si>
  <si>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</si>
  <si>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</si>
  <si>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</si>
  <si>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</si>
  <si>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</si>
  <si>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</si>
  <si>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</si>
  <si>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</si>
  <si>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</si>
  <si>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</si>
  <si>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</si>
  <si>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</si>
  <si>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</si>
  <si>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</si>
  <si>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</si>
  <si>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</si>
  <si>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</si>
  <si>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</si>
  <si>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</si>
  <si>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</si>
  <si>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</si>
  <si>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</si>
  <si>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</si>
  <si>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</si>
  <si>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</si>
  <si>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</si>
  <si>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</si>
  <si>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</si>
  <si>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</si>
  <si>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</si>
  <si>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</si>
  <si>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</si>
  <si>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</si>
  <si>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</si>
  <si>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</si>
  <si>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</si>
  <si>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</si>
  <si>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</si>
  <si>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</si>
  <si>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</si>
  <si>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</si>
  <si>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</si>
  <si>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</si>
  <si>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</si>
  <si>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</si>
  <si>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</si>
  <si>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</si>
  <si>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</si>
  <si>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</si>
  <si>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</si>
  <si>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</si>
  <si>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</si>
  <si>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</si>
  <si>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</si>
  <si>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</si>
  <si>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</si>
  <si>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</si>
  <si>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</si>
  <si>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</si>
  <si>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</si>
  <si>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</si>
  <si>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</si>
  <si>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</si>
  <si>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</si>
  <si>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</si>
  <si>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</si>
  <si>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</si>
  <si>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</si>
  <si>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</si>
  <si>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</si>
  <si>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</si>
  <si>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</si>
  <si>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</si>
  <si>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</si>
  <si>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</si>
  <si>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</si>
  <si>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</si>
  <si>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</si>
  <si>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</si>
  <si>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</si>
  <si>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</si>
  <si>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</si>
  <si>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</si>
  <si>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</si>
  <si>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</si>
  <si>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</si>
  <si>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</si>
  <si>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</si>
  <si>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</si>
  <si>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</si>
  <si>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</si>
  <si>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</si>
  <si>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</si>
  <si>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</si>
  <si>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</si>
  <si>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</si>
  <si>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</si>
  <si>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</si>
  <si>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</si>
  <si>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</si>
  <si>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</si>
  <si>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</si>
  <si>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</si>
  <si>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</si>
  <si>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</si>
  <si>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</si>
  <si>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</si>
  <si>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</si>
  <si>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</si>
  <si>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</si>
  <si>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</si>
  <si>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</si>
  <si>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</si>
  <si>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</si>
  <si>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</si>
  <si>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</si>
  <si>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</si>
  <si>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</si>
  <si>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</si>
  <si>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</si>
  <si>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</si>
  <si>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</si>
  <si>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</si>
  <si>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</si>
  <si>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</si>
  <si>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</si>
  <si>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</si>
  <si>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</si>
  <si>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</si>
  <si>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</si>
  <si>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</si>
  <si>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</si>
  <si>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</si>
  <si>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</si>
  <si>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</si>
  <si>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</si>
  <si>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</si>
  <si>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</si>
  <si>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</si>
  <si>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</si>
  <si>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</si>
  <si>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</si>
  <si>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</si>
  <si>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</si>
  <si>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</si>
  <si>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</si>
  <si>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</si>
  <si>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</si>
  <si>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</si>
  <si>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</si>
  <si>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</si>
  <si>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</si>
  <si>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</si>
  <si>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</si>
  <si>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</si>
  <si>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</si>
  <si>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</si>
  <si>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</si>
  <si>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</si>
  <si>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</si>
  <si>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</si>
  <si>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</si>
  <si>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</si>
  <si>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</si>
  <si>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</si>
  <si>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</si>
  <si>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</si>
  <si>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</si>
  <si>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</si>
  <si>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</si>
  <si>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</si>
  <si>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</si>
  <si>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</si>
  <si>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</si>
  <si>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</si>
  <si>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</si>
  <si>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</si>
  <si>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</si>
  <si>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</si>
  <si>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</si>
  <si>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</si>
  <si>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</si>
  <si>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</si>
  <si>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</si>
  <si>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</si>
  <si>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</si>
  <si>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</si>
  <si>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</si>
  <si>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</si>
  <si>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</si>
  <si>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</si>
  <si>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</si>
  <si>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</si>
  <si>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</si>
  <si>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</si>
  <si>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</si>
  <si>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</si>
  <si>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</si>
  <si>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</si>
  <si>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</si>
  <si>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</si>
  <si>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</si>
  <si>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</si>
  <si>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</si>
  <si>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</si>
  <si>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</si>
  <si>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</si>
  <si>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</si>
  <si>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</si>
  <si>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</si>
  <si>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</si>
  <si>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</si>
  <si>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</si>
  <si>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</si>
  <si>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</si>
  <si>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</si>
  <si>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</si>
  <si>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</si>
  <si>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</si>
  <si>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</si>
  <si>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</si>
  <si>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</si>
  <si>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</si>
  <si>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</si>
  <si>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</si>
  <si>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</si>
  <si>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</si>
  <si>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</si>
  <si>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</si>
  <si>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</si>
  <si>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</si>
  <si>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</si>
  <si>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</si>
  <si>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</si>
  <si>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</si>
  <si>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</si>
  <si>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</si>
  <si>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</si>
  <si>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</si>
  <si>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</si>
  <si>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</si>
  <si>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</si>
  <si>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</si>
  <si>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</si>
  <si>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</si>
  <si>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</si>
  <si>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</si>
  <si>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</si>
  <si>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</si>
  <si>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</si>
  <si>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</si>
  <si>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</si>
  <si>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</si>
  <si>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</si>
  <si>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</si>
  <si>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</si>
  <si>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</si>
  <si>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</si>
  <si>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</si>
  <si>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</si>
  <si>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</si>
  <si>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</si>
  <si>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</si>
  <si>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</si>
  <si>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</si>
  <si>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</si>
  <si>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</si>
  <si>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</si>
  <si>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</si>
  <si>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</si>
  <si>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</si>
  <si>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</si>
  <si>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</si>
  <si>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</si>
  <si>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</si>
  <si>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</si>
  <si>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</si>
  <si>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</si>
  <si>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</si>
  <si>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</si>
  <si>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</si>
  <si>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</si>
  <si>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</si>
  <si>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</si>
  <si>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</si>
  <si>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</si>
  <si>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</si>
  <si>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</si>
  <si>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</si>
  <si>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</si>
  <si>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</si>
  <si>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</si>
  <si>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</si>
  <si>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</si>
  <si>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</si>
  <si>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</si>
  <si>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</si>
  <si>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</si>
  <si>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</si>
  <si>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</si>
  <si>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</si>
  <si>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</si>
  <si>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</si>
  <si>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</si>
  <si>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</si>
  <si>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</si>
  <si>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</si>
  <si>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Type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</si>
  <si>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</si>
  <si>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</si>
  <si>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</si>
  <si>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</si>
  <si>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</si>
  <si>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</si>
  <si>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</si>
  <si>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</si>
  <si>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</si>
  <si>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Life expectancy at birth</t>
  </si>
  <si>
    <t>GDP growth rate</t>
  </si>
  <si>
    <t>GDP per capita</t>
  </si>
  <si>
    <t>Age for end of productivity</t>
  </si>
  <si>
    <t>Age start productivity</t>
  </si>
  <si>
    <t>Female labor force participation</t>
  </si>
  <si>
    <t>Proportion of pregnancy to apply benefits to</t>
  </si>
  <si>
    <t>Increase in earnings due to increase in one IQ pt</t>
  </si>
  <si>
    <t>Labor share of GDP</t>
  </si>
  <si>
    <t>Gains in productivity from averted childhood anemia</t>
  </si>
  <si>
    <t>Wage Share in GDP for manual occupations</t>
  </si>
  <si>
    <t>Gains productivity in light labour</t>
  </si>
  <si>
    <t>Blue-Collar Share employment in total employment</t>
  </si>
  <si>
    <t>Wage Share of Heavy manual labor</t>
  </si>
  <si>
    <t>Gains in productivity in heavy labor</t>
  </si>
  <si>
    <t>Percentage of lifetime earning actually realized</t>
  </si>
  <si>
    <t>Percentage of lower lifetime earning of a stunted individual</t>
  </si>
  <si>
    <t>Productivity gains due to averted low birth weight</t>
  </si>
  <si>
    <t>5-9 years</t>
  </si>
  <si>
    <t>10-14 years</t>
  </si>
  <si>
    <t>15-19 years</t>
  </si>
  <si>
    <t>20-24 years</t>
  </si>
  <si>
    <t>25-29 years</t>
  </si>
  <si>
    <t>30-34 years</t>
  </si>
  <si>
    <t>35-39 years</t>
  </si>
  <si>
    <t>40-44 years</t>
  </si>
  <si>
    <t>45-49 years</t>
  </si>
  <si>
    <t>50-54 years</t>
  </si>
  <si>
    <t>55-59 years</t>
  </si>
  <si>
    <t>60-64 years</t>
  </si>
  <si>
    <t>65-69 years</t>
  </si>
  <si>
    <t>Age</t>
  </si>
  <si>
    <t>Number of people</t>
  </si>
  <si>
    <t>Value</t>
  </si>
  <si>
    <t>Increase in IQ due to early breastfeeding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</si>
</sst>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2" fontId="4" fillId="2" borderId="1" xfId="725" applyNumberFormat="1" applyFill="1" applyBorder="1" applyAlignment="1" applyProtection="1">
      <alignment horizontal="right"/>
      <protection locked="0"/>
    </xf>
    <xf numFmtId="9" fontId="4" fillId="2" borderId="1" xfId="10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13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330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8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334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329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328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N24"/>
  <sheetViews>
    <sheetView tabSelected="1" zoomScale="80" zoomScaleNormal="80" workbookViewId="0">
      <selection activeCell="G10" sqref="G10"/>
    </sheetView>
  </sheetViews>
  <sheetFormatPr defaultColWidth="8.81640625" defaultRowHeight="12.5" x14ac:dyDescent="0.25"/>
  <cols>
    <col min="1" max="1" width="43.1796875" style="27" customWidth="1"/>
    <col min="2" max="2" width="15.26953125" style="27" customWidth="1"/>
    <col min="3" max="14" width="10.453125" style="27" bestFit="1" customWidth="1"/>
    <col min="15" max="16384" width="8.81640625" style="27"/>
  </cols>
  <sheetData>
    <row r="1" spans="1:2" ht="13" x14ac:dyDescent="0.3">
      <c r="A1" s="29" t="s">
        <v>325</v>
      </c>
      <c r="B1" s="29" t="s">
        <v>368</v>
      </c>
    </row>
    <row r="2" spans="1:2" x14ac:dyDescent="0.25">
      <c r="A2" s="27" t="s">
        <v>335</v>
      </c>
      <c r="B2" s="117">
        <v>61.643000000000001</v>
      </c>
    </row>
    <row r="3" spans="1:2" x14ac:dyDescent="0.25">
      <c r="A3" s="27" t="s">
        <v>336</v>
      </c>
      <c r="B3" s="116">
        <v>0.03</v>
      </c>
    </row>
    <row r="4" spans="1:2" x14ac:dyDescent="0.25">
      <c r="A4" s="27" t="s">
        <v>337</v>
      </c>
      <c r="B4" s="120">
        <v>3000.4442305317302</v>
      </c>
    </row>
    <row r="5" spans="1:2" x14ac:dyDescent="0.25">
      <c r="A5" s="27" t="s">
        <v>350</v>
      </c>
      <c r="B5" s="118">
        <v>0.9</v>
      </c>
    </row>
    <row r="6" spans="1:2" x14ac:dyDescent="0.25">
      <c r="A6" s="27" t="s">
        <v>338</v>
      </c>
      <c r="B6" s="116">
        <v>65</v>
      </c>
    </row>
    <row r="7" spans="1:2" x14ac:dyDescent="0.25">
      <c r="A7" s="27" t="s">
        <v>339</v>
      </c>
      <c r="B7" s="116">
        <v>18</v>
      </c>
    </row>
    <row r="8" spans="1:2" x14ac:dyDescent="0.25">
      <c r="A8" s="27" t="s">
        <v>340</v>
      </c>
      <c r="B8" s="118">
        <v>0.73801000000000005</v>
      </c>
    </row>
    <row r="9" spans="1:2" x14ac:dyDescent="0.25">
      <c r="A9" s="27" t="s">
        <v>341</v>
      </c>
      <c r="B9" s="116">
        <v>0.5</v>
      </c>
    </row>
    <row r="10" spans="1:2" x14ac:dyDescent="0.25">
      <c r="A10" s="27" t="s">
        <v>369</v>
      </c>
      <c r="B10" s="116">
        <v>0.8</v>
      </c>
    </row>
    <row r="11" spans="1:2" x14ac:dyDescent="0.25">
      <c r="A11" s="27" t="s">
        <v>342</v>
      </c>
      <c r="B11" s="119">
        <v>1.0666666666666666E-2</v>
      </c>
    </row>
    <row r="12" spans="1:2" x14ac:dyDescent="0.25">
      <c r="A12" s="27" t="s">
        <v>343</v>
      </c>
      <c r="B12" s="118">
        <v>0.43146000000000001</v>
      </c>
    </row>
    <row r="13" spans="1:2" x14ac:dyDescent="0.25">
      <c r="A13" s="27" t="s">
        <v>351</v>
      </c>
      <c r="B13" s="118">
        <v>0.66</v>
      </c>
    </row>
    <row r="14" spans="1:2" x14ac:dyDescent="0.25">
      <c r="A14" s="27" t="s">
        <v>344</v>
      </c>
      <c r="B14" s="116">
        <v>2.5000000000000001E-2</v>
      </c>
    </row>
    <row r="15" spans="1:2" x14ac:dyDescent="0.25">
      <c r="A15" s="27" t="s">
        <v>352</v>
      </c>
      <c r="B15" s="116">
        <v>7.4999999999999997E-2</v>
      </c>
    </row>
    <row r="16" spans="1:2" x14ac:dyDescent="0.25">
      <c r="A16" s="27" t="s">
        <v>345</v>
      </c>
      <c r="B16" s="118">
        <v>0.43146000000000001</v>
      </c>
    </row>
    <row r="17" spans="1:14" x14ac:dyDescent="0.25">
      <c r="A17" s="27" t="s">
        <v>346</v>
      </c>
      <c r="B17" s="116">
        <v>0.05</v>
      </c>
    </row>
    <row r="18" spans="1:14" x14ac:dyDescent="0.25">
      <c r="A18" s="27" t="s">
        <v>347</v>
      </c>
      <c r="B18" s="116">
        <v>0.6</v>
      </c>
    </row>
    <row r="19" spans="1:14" x14ac:dyDescent="0.25">
      <c r="A19" s="27" t="s">
        <v>348</v>
      </c>
      <c r="B19" s="118">
        <v>7.8482379409307718E-2</v>
      </c>
    </row>
    <row r="20" spans="1:14" x14ac:dyDescent="0.25">
      <c r="A20" s="27" t="s">
        <v>349</v>
      </c>
      <c r="B20" s="116">
        <v>0.12</v>
      </c>
    </row>
    <row r="23" spans="1:14" x14ac:dyDescent="0.25">
      <c r="A23" s="27" t="s">
        <v>366</v>
      </c>
      <c r="B23" s="27" t="s">
        <v>353</v>
      </c>
      <c r="C23" s="27" t="s">
        <v>354</v>
      </c>
      <c r="D23" s="27" t="s">
        <v>355</v>
      </c>
      <c r="E23" s="27" t="s">
        <v>356</v>
      </c>
      <c r="F23" s="27" t="s">
        <v>357</v>
      </c>
      <c r="G23" s="27" t="s">
        <v>358</v>
      </c>
      <c r="H23" s="27" t="s">
        <v>359</v>
      </c>
      <c r="I23" s="27" t="s">
        <v>360</v>
      </c>
      <c r="J23" s="27" t="s">
        <v>361</v>
      </c>
      <c r="K23" s="27" t="s">
        <v>362</v>
      </c>
      <c r="L23" s="27" t="s">
        <v>363</v>
      </c>
      <c r="M23" s="27" t="s">
        <v>364</v>
      </c>
      <c r="N23" s="27" t="s">
        <v>365</v>
      </c>
    </row>
    <row r="24" spans="1:14" x14ac:dyDescent="0.25">
      <c r="A24" s="27" t="s">
        <v>367</v>
      </c>
      <c r="B24" s="120">
        <v>94009.684729999994</v>
      </c>
      <c r="C24" s="120">
        <v>93793.063160000005</v>
      </c>
      <c r="D24" s="120">
        <v>93619.879589999997</v>
      </c>
      <c r="E24" s="120">
        <v>93002.658559999996</v>
      </c>
      <c r="F24" s="120">
        <v>92072.362380000006</v>
      </c>
      <c r="G24" s="120">
        <v>90934.833880000006</v>
      </c>
      <c r="H24" s="120">
        <v>89533.178140000004</v>
      </c>
      <c r="I24" s="120">
        <v>87597.276540000006</v>
      </c>
      <c r="J24" s="120">
        <v>84803.133549999999</v>
      </c>
      <c r="K24" s="120">
        <v>80890.356390000001</v>
      </c>
      <c r="L24" s="120">
        <v>75378.861269999994</v>
      </c>
      <c r="M24" s="120">
        <v>67914.972120000006</v>
      </c>
      <c r="N24" s="120">
        <v>58238.404139999999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326</v>
      </c>
      <c r="G1" s="40" t="s">
        <v>327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331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331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331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331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1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21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21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21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21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21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21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21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21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21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21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21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21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21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21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21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21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21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21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21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21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21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21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21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21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21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21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21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21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21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21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21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21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21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21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21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21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21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21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21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21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21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21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21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21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1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21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21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21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21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21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21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21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21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21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21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21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21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21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21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21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21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21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21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21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21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21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21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21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21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21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21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21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21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21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21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21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21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21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21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21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21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21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21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21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21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21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21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21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21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1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21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21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21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21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21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21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21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21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21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21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21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21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21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21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21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21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21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21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21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21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21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21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21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21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21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21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21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21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21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21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21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21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21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21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21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21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21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21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21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21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21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21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21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21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331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332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333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QAVwj9PWadQcYcL52alW/JJQquT7j6uGPCclqgaz9+O8krRpbbsh1HExJbjXqiYNshQdlMMFo0ZnrWFakvrKaA==" saltValue="caoeAy2KJFZFYGAg6OW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VNqV9laeHLEmOvMS2HGD5bmuz3IT62zAHDRQ56J67ZOBCPkqTbLk45H+TOI55sQOIALXqxS0CNWqR8cFOBHQ/Q==" saltValue="hKf7DQYsC+E7vW3zy5NT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331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331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331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331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0.1046795744409692</v>
      </c>
      <c r="G20" s="104">
        <f>MIN(MAX(1-0.89/(1-frac_mam_12_23months+(frac_mam_12_23months*0.89)),0),1)</f>
        <v>0.10581499250070592</v>
      </c>
      <c r="H20" s="104">
        <f>MIN(MAX(1-0.89/(1-frac_mam_24_59months+(frac_mam_24_59months*0.89)),0),1)</f>
        <v>0.10780844504922549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331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9.4648875339096161E-3</v>
      </c>
      <c r="G75" s="104">
        <f>MIN(MAX(1-0.99/(1-frac_mam_12_23months+(frac_mam_12_23months*0.99)),0),1)</f>
        <v>9.5785983927034746E-3</v>
      </c>
      <c r="H75" s="104">
        <f>MIN(MAX(1-0.99/(1-frac_mam_24_59months+(frac_mam_24_59months*0.99)),0),1)</f>
        <v>9.7788770816137349E-3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331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0.19126197969113667</v>
      </c>
      <c r="G130" s="104">
        <f>MIN(MAX(1-0.8/(1-frac_mam_12_23months+(frac_mam_12_23months*0.8)),0),1)</f>
        <v>0.19313393967166625</v>
      </c>
      <c r="H130" s="104">
        <f>MIN(MAX(1-0.8/(1-frac_mam_24_59months+(frac_mam_24_59months*0.8)),0),1)</f>
        <v>0.19641106564514077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2025-04-01T02:48:31Z</dcterms:modified>
</cp:coreProperties>
</file>