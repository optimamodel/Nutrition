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en\"/>
    </mc:Choice>
  </mc:AlternateContent>
  <xr:revisionPtr revIDLastSave="0" documentId="13_ncr:1_{C5334AFE-B073-4A24-86F7-1E023E31AA0B}" xr6:coauthVersionLast="47" xr6:coauthVersionMax="47" xr10:uidLastSave="{00000000-0000-0000-0000-000000000000}"/>
  <bookViews>
    <workbookView xWindow="-110" yWindow="-110" windowWidth="19420" windowHeight="10300" tabRatio="904" firstSheet="8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9" i="72" l="1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B6371D6E-7D64-4A19-A4DA-D81C3077BC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<sst xmlns="http://schemas.openxmlformats.org/spreadsheetml/2006/main" count="2167" uniqueCount="373">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</sst>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7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3" zoomScale="70" zoomScaleNormal="70" workbookViewId="0">
      <selection activeCell="B32" sqref="B32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A2" sqref="A2:B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58</v>
      </c>
      <c r="B5" s="62" t="s">
        <v>330</v>
      </c>
      <c r="C5" s="62"/>
    </row>
    <row r="6" spans="1:3" x14ac:dyDescent="0.25">
      <c r="A6" s="66" t="s">
        <v>132</v>
      </c>
      <c r="B6" s="67" t="s">
        <v>330</v>
      </c>
      <c r="C6" s="67"/>
    </row>
    <row r="7" spans="1:3" x14ac:dyDescent="0.25">
      <c r="A7" s="66" t="s">
        <v>60</v>
      </c>
      <c r="B7" s="67" t="s">
        <v>330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9" sqref="F9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 t="s">
        <v>189</v>
      </c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F4" sqref="F4:H4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262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61</v>
      </c>
      <c r="B19" s="39" t="s">
        <v>66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65</v>
      </c>
      <c r="C21" s="39" t="s">
        <v>261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263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62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63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64</v>
      </c>
      <c r="B27" s="39" t="s">
        <v>27</v>
      </c>
      <c r="C27" s="39" t="s">
        <v>261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262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79</v>
      </c>
      <c r="B29" s="39" t="s">
        <v>71</v>
      </c>
      <c r="C29" s="39" t="s">
        <v>261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262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263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80</v>
      </c>
      <c r="B32" s="39" t="s">
        <v>71</v>
      </c>
      <c r="C32" s="39" t="s">
        <v>261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262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263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81</v>
      </c>
      <c r="B35" s="39" t="s">
        <v>71</v>
      </c>
      <c r="C35" s="39" t="s">
        <v>261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262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263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82</v>
      </c>
      <c r="B38" s="39" t="s">
        <v>71</v>
      </c>
      <c r="C38" s="39" t="s">
        <v>261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262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263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83</v>
      </c>
      <c r="B41" s="39" t="s">
        <v>71</v>
      </c>
      <c r="C41" s="39" t="s">
        <v>261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262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263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60</v>
      </c>
      <c r="B44" s="39" t="s">
        <v>71</v>
      </c>
      <c r="C44" s="39" t="s">
        <v>261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262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263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16</v>
      </c>
      <c r="C47" s="39" t="s">
        <v>261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262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263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84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85</v>
      </c>
      <c r="B52" s="39" t="s">
        <v>71</v>
      </c>
      <c r="C52" s="39" t="s">
        <v>261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262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190</v>
      </c>
      <c r="B54" s="39" t="s">
        <v>13</v>
      </c>
      <c r="C54" s="39" t="s">
        <v>261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262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269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69</v>
      </c>
      <c r="B58" s="29" t="s">
        <v>259</v>
      </c>
      <c r="C58" s="96" t="s">
        <v>260</v>
      </c>
      <c r="D58" s="4" t="s">
        <v>1</v>
      </c>
      <c r="E58" s="4" t="s">
        <v>2</v>
      </c>
      <c r="F58" s="4" t="s">
        <v>3</v>
      </c>
      <c r="G58" s="4" t="s">
        <v>4</v>
      </c>
      <c r="H58" s="4" t="s">
        <v>5</v>
      </c>
    </row>
    <row r="59" spans="1:8" x14ac:dyDescent="0.25">
      <c r="A59" s="39" t="s">
        <v>28</v>
      </c>
      <c r="B59" s="39" t="s">
        <v>71</v>
      </c>
      <c r="C59" s="39" t="s">
        <v>261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262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263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58</v>
      </c>
      <c r="B62" s="39" t="s">
        <v>66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65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131</v>
      </c>
      <c r="B66" s="39" t="s">
        <v>66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65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330</v>
      </c>
      <c r="B70" s="39" t="s">
        <v>66</v>
      </c>
      <c r="C70" s="39" t="s">
        <v>261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263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65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261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262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61</v>
      </c>
      <c r="B76" s="39" t="s">
        <v>66</v>
      </c>
      <c r="C76" s="39" t="s">
        <v>261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263</v>
      </c>
      <c r="D77" s="120">
        <f t="shared" ref="D77:E80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65</v>
      </c>
      <c r="C78" s="39" t="s">
        <v>261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263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62</v>
      </c>
      <c r="B80" s="39" t="s">
        <v>27</v>
      </c>
      <c r="C80" s="39" t="s">
        <v>261</v>
      </c>
      <c r="D80" s="120">
        <f t="shared" si="1"/>
        <v>1</v>
      </c>
      <c r="E80" s="120">
        <f t="shared" si="1"/>
        <v>0</v>
      </c>
      <c r="F80" s="120">
        <f t="shared" ref="F80:H85" si="2">IF($C23="Affected fraction",F23,IF(F23=1,1,F23*0.9))</f>
        <v>0</v>
      </c>
      <c r="G80" s="120">
        <f t="shared" si="2"/>
        <v>0</v>
      </c>
      <c r="H80" s="120">
        <f t="shared" si="2"/>
        <v>0</v>
      </c>
    </row>
    <row r="81" spans="1:8" x14ac:dyDescent="0.25">
      <c r="C81" s="39" t="s">
        <v>262</v>
      </c>
      <c r="D81" s="120">
        <v>0.11</v>
      </c>
      <c r="E81" s="120">
        <f>IF($C24="Affected fraction",E24,IF(E24=1,1,E24*0.9))</f>
        <v>0</v>
      </c>
      <c r="F81" s="120">
        <f t="shared" si="2"/>
        <v>0</v>
      </c>
      <c r="G81" s="120">
        <f t="shared" si="2"/>
        <v>0</v>
      </c>
      <c r="H81" s="120">
        <f t="shared" si="2"/>
        <v>0</v>
      </c>
    </row>
    <row r="82" spans="1:8" x14ac:dyDescent="0.25">
      <c r="A82" s="39" t="s">
        <v>63</v>
      </c>
      <c r="B82" s="39" t="s">
        <v>27</v>
      </c>
      <c r="C82" s="39" t="s">
        <v>261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2"/>
        <v>0</v>
      </c>
      <c r="G82" s="120">
        <f t="shared" si="2"/>
        <v>0</v>
      </c>
      <c r="H82" s="120">
        <f t="shared" si="2"/>
        <v>0</v>
      </c>
    </row>
    <row r="83" spans="1:8" x14ac:dyDescent="0.25">
      <c r="C83" s="39" t="s">
        <v>262</v>
      </c>
      <c r="D83" s="120">
        <v>0.11</v>
      </c>
      <c r="E83" s="120">
        <f>IF($C26="Affected fraction",E26,IF(E26=1,1,E26*0.9))</f>
        <v>0</v>
      </c>
      <c r="F83" s="120">
        <f t="shared" si="2"/>
        <v>0</v>
      </c>
      <c r="G83" s="120">
        <f t="shared" si="2"/>
        <v>0</v>
      </c>
      <c r="H83" s="120">
        <f t="shared" si="2"/>
        <v>0</v>
      </c>
    </row>
    <row r="84" spans="1:8" x14ac:dyDescent="0.25">
      <c r="A84" s="39" t="s">
        <v>64</v>
      </c>
      <c r="B84" s="39" t="s">
        <v>27</v>
      </c>
      <c r="C84" s="39" t="s">
        <v>261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2"/>
        <v>0</v>
      </c>
      <c r="G84" s="120">
        <f t="shared" si="2"/>
        <v>0</v>
      </c>
      <c r="H84" s="120">
        <f t="shared" si="2"/>
        <v>0</v>
      </c>
    </row>
    <row r="85" spans="1:8" x14ac:dyDescent="0.25">
      <c r="C85" s="39" t="s">
        <v>262</v>
      </c>
      <c r="D85" s="120">
        <v>0.11</v>
      </c>
      <c r="E85" s="120">
        <f>IF($C28="Affected fraction",E28,IF(E28=1,1,E28*0.9))</f>
        <v>0</v>
      </c>
      <c r="F85" s="120">
        <f t="shared" si="2"/>
        <v>0</v>
      </c>
      <c r="G85" s="120">
        <f t="shared" si="2"/>
        <v>0</v>
      </c>
      <c r="H85" s="120">
        <f t="shared" si="2"/>
        <v>0</v>
      </c>
    </row>
    <row r="86" spans="1:8" x14ac:dyDescent="0.25">
      <c r="A86" s="39" t="s">
        <v>79</v>
      </c>
      <c r="B86" s="39" t="s">
        <v>71</v>
      </c>
      <c r="C86" s="39" t="s">
        <v>261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262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263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80</v>
      </c>
      <c r="B89" s="39" t="s">
        <v>71</v>
      </c>
      <c r="C89" s="39" t="s">
        <v>261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262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263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81</v>
      </c>
      <c r="B92" s="39" t="s">
        <v>71</v>
      </c>
      <c r="C92" s="39" t="s">
        <v>261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262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263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82</v>
      </c>
      <c r="B95" s="39" t="s">
        <v>71</v>
      </c>
      <c r="C95" s="39" t="s">
        <v>261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262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263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83</v>
      </c>
      <c r="B98" s="39" t="s">
        <v>71</v>
      </c>
      <c r="C98" s="39" t="s">
        <v>261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262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263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60</v>
      </c>
      <c r="B101" s="39" t="s">
        <v>71</v>
      </c>
      <c r="C101" s="39" t="s">
        <v>261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262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263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16</v>
      </c>
      <c r="C104" s="39" t="s">
        <v>261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262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263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84</v>
      </c>
      <c r="B107" s="39" t="s">
        <v>71</v>
      </c>
      <c r="C107" s="39" t="s">
        <v>261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262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85</v>
      </c>
      <c r="B109" s="39" t="s">
        <v>71</v>
      </c>
      <c r="C109" s="39" t="s">
        <v>261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262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190</v>
      </c>
      <c r="B111" s="39" t="s">
        <v>13</v>
      </c>
      <c r="C111" s="39" t="s">
        <v>261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262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270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69</v>
      </c>
      <c r="B115" s="29" t="s">
        <v>259</v>
      </c>
      <c r="C115" s="96" t="s">
        <v>260</v>
      </c>
      <c r="D115" s="4" t="s">
        <v>1</v>
      </c>
      <c r="E115" s="4" t="s">
        <v>2</v>
      </c>
      <c r="F115" s="4" t="s">
        <v>3</v>
      </c>
      <c r="G115" s="4" t="s">
        <v>4</v>
      </c>
      <c r="H115" s="4" t="s">
        <v>5</v>
      </c>
    </row>
    <row r="116" spans="1:8" x14ac:dyDescent="0.25">
      <c r="A116" s="39" t="s">
        <v>28</v>
      </c>
      <c r="B116" s="39" t="s">
        <v>71</v>
      </c>
      <c r="C116" s="39" t="s">
        <v>261</v>
      </c>
      <c r="D116" s="120">
        <f t="shared" ref="D116:E118" si="3">IF($C2="Affected fraction",D2,IF(D2=1,1,D2*1.05))</f>
        <v>0</v>
      </c>
      <c r="E116" s="120">
        <f t="shared" si="3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262</v>
      </c>
      <c r="D117" s="120">
        <f t="shared" si="3"/>
        <v>0</v>
      </c>
      <c r="E117" s="120">
        <f t="shared" si="3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263</v>
      </c>
      <c r="D118" s="120">
        <f t="shared" si="3"/>
        <v>0</v>
      </c>
      <c r="E118" s="120">
        <f t="shared" si="3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58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131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65</v>
      </c>
      <c r="C125" s="39" t="s">
        <v>261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263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330</v>
      </c>
      <c r="B127" s="39" t="s">
        <v>66</v>
      </c>
      <c r="C127" s="39" t="s">
        <v>261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263</v>
      </c>
      <c r="D128" s="120">
        <f t="shared" ref="D128:E130" si="4">IF($C14="Affected fraction",D14,IF(D14=1,1,D14*1.05))</f>
        <v>0</v>
      </c>
      <c r="E128" s="120">
        <f t="shared" si="4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65</v>
      </c>
      <c r="C129" s="39" t="s">
        <v>261</v>
      </c>
      <c r="D129" s="120">
        <f t="shared" si="4"/>
        <v>0</v>
      </c>
      <c r="E129" s="120">
        <f t="shared" si="4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263</v>
      </c>
      <c r="D130" s="120">
        <f t="shared" si="4"/>
        <v>0</v>
      </c>
      <c r="E130" s="120">
        <f t="shared" si="4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261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262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61</v>
      </c>
      <c r="B133" s="39" t="s">
        <v>66</v>
      </c>
      <c r="C133" s="39" t="s">
        <v>261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263</v>
      </c>
      <c r="D134" s="120">
        <f t="shared" ref="D134:E136" si="5">IF($C20="Affected fraction",D20,IF(D20=1,1,D20*1.05))</f>
        <v>0</v>
      </c>
      <c r="E134" s="120">
        <f t="shared" si="5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65</v>
      </c>
      <c r="C135" s="39" t="s">
        <v>261</v>
      </c>
      <c r="D135" s="120">
        <f t="shared" si="5"/>
        <v>0</v>
      </c>
      <c r="E135" s="120">
        <f t="shared" si="5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263</v>
      </c>
      <c r="D136" s="120">
        <f t="shared" si="5"/>
        <v>0</v>
      </c>
      <c r="E136" s="120">
        <f t="shared" si="5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62</v>
      </c>
      <c r="B137" s="39" t="s">
        <v>27</v>
      </c>
      <c r="C137" s="39" t="s">
        <v>261</v>
      </c>
      <c r="D137" s="120">
        <f>IF($C80="Affected fraction",D80,IF(D80=1,1,D80*0.9))</f>
        <v>1</v>
      </c>
      <c r="E137" s="120">
        <f t="shared" ref="E137:H142" si="6">IF($C23="Affected fraction",E23,IF(E23=1,1,E23*1.05))</f>
        <v>0</v>
      </c>
      <c r="F137" s="120">
        <f t="shared" si="6"/>
        <v>0</v>
      </c>
      <c r="G137" s="120">
        <f t="shared" si="6"/>
        <v>0</v>
      </c>
      <c r="H137" s="120">
        <f t="shared" si="6"/>
        <v>0</v>
      </c>
    </row>
    <row r="138" spans="1:8" x14ac:dyDescent="0.25">
      <c r="C138" s="39" t="s">
        <v>262</v>
      </c>
      <c r="D138" s="120">
        <v>0.16</v>
      </c>
      <c r="E138" s="120">
        <f t="shared" si="6"/>
        <v>0</v>
      </c>
      <c r="F138" s="120">
        <f t="shared" si="6"/>
        <v>0</v>
      </c>
      <c r="G138" s="120">
        <f t="shared" si="6"/>
        <v>0</v>
      </c>
      <c r="H138" s="120">
        <f t="shared" si="6"/>
        <v>0</v>
      </c>
    </row>
    <row r="139" spans="1:8" x14ac:dyDescent="0.25">
      <c r="A139" s="39" t="s">
        <v>63</v>
      </c>
      <c r="B139" s="39" t="s">
        <v>27</v>
      </c>
      <c r="C139" s="39" t="s">
        <v>261</v>
      </c>
      <c r="D139" s="120">
        <f>IF($C82="Affected fraction",D82,IF(D82=1,1,D82*0.9))</f>
        <v>1</v>
      </c>
      <c r="E139" s="120">
        <f t="shared" si="6"/>
        <v>0</v>
      </c>
      <c r="F139" s="120">
        <f t="shared" si="6"/>
        <v>0</v>
      </c>
      <c r="G139" s="120">
        <f t="shared" si="6"/>
        <v>0</v>
      </c>
      <c r="H139" s="120">
        <f t="shared" si="6"/>
        <v>0</v>
      </c>
    </row>
    <row r="140" spans="1:8" x14ac:dyDescent="0.25">
      <c r="C140" s="39" t="s">
        <v>262</v>
      </c>
      <c r="D140" s="120">
        <v>0.16</v>
      </c>
      <c r="E140" s="120">
        <f t="shared" si="6"/>
        <v>0</v>
      </c>
      <c r="F140" s="120">
        <f t="shared" si="6"/>
        <v>0</v>
      </c>
      <c r="G140" s="120">
        <f t="shared" si="6"/>
        <v>0</v>
      </c>
      <c r="H140" s="120">
        <f t="shared" si="6"/>
        <v>0</v>
      </c>
    </row>
    <row r="141" spans="1:8" x14ac:dyDescent="0.25">
      <c r="A141" s="39" t="s">
        <v>64</v>
      </c>
      <c r="B141" s="39" t="s">
        <v>27</v>
      </c>
      <c r="C141" s="39" t="s">
        <v>261</v>
      </c>
      <c r="D141" s="120">
        <f>IF($C84="Affected fraction",D84,IF(D84=1,1,D84*0.9))</f>
        <v>1</v>
      </c>
      <c r="E141" s="120">
        <f t="shared" si="6"/>
        <v>0</v>
      </c>
      <c r="F141" s="120">
        <f t="shared" si="6"/>
        <v>0</v>
      </c>
      <c r="G141" s="120">
        <f t="shared" si="6"/>
        <v>0</v>
      </c>
      <c r="H141" s="120">
        <f t="shared" si="6"/>
        <v>0</v>
      </c>
    </row>
    <row r="142" spans="1:8" x14ac:dyDescent="0.25">
      <c r="C142" s="39" t="s">
        <v>262</v>
      </c>
      <c r="D142" s="120">
        <v>0.16</v>
      </c>
      <c r="E142" s="120">
        <f t="shared" si="6"/>
        <v>0</v>
      </c>
      <c r="F142" s="120">
        <f t="shared" si="6"/>
        <v>0</v>
      </c>
      <c r="G142" s="120">
        <f t="shared" si="6"/>
        <v>0</v>
      </c>
      <c r="H142" s="120">
        <f t="shared" si="6"/>
        <v>0</v>
      </c>
    </row>
    <row r="143" spans="1:8" x14ac:dyDescent="0.25">
      <c r="A143" s="39" t="s">
        <v>79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80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81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82</v>
      </c>
      <c r="B152" s="39" t="s">
        <v>71</v>
      </c>
      <c r="C152" s="39" t="s">
        <v>261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262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263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83</v>
      </c>
      <c r="B155" s="39" t="s">
        <v>71</v>
      </c>
      <c r="C155" s="39" t="s">
        <v>261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60</v>
      </c>
      <c r="B158" s="39" t="s">
        <v>71</v>
      </c>
      <c r="C158" s="39" t="s">
        <v>261</v>
      </c>
      <c r="D158" s="120">
        <f t="shared" ref="D158:H159" si="7">IF($C101="Affected fraction",D101,IF(D101=1,1,D101*0.9))</f>
        <v>0</v>
      </c>
      <c r="E158" s="120">
        <f t="shared" si="7"/>
        <v>1</v>
      </c>
      <c r="F158" s="120">
        <f t="shared" si="7"/>
        <v>1</v>
      </c>
      <c r="G158" s="120">
        <f t="shared" si="7"/>
        <v>1</v>
      </c>
      <c r="H158" s="120">
        <f t="shared" si="7"/>
        <v>1</v>
      </c>
    </row>
    <row r="159" spans="1:8" x14ac:dyDescent="0.25">
      <c r="C159" s="39" t="s">
        <v>262</v>
      </c>
      <c r="D159" s="120">
        <f t="shared" si="7"/>
        <v>0</v>
      </c>
      <c r="E159" s="120">
        <f t="shared" si="7"/>
        <v>0</v>
      </c>
      <c r="F159" s="120">
        <f t="shared" si="7"/>
        <v>0</v>
      </c>
      <c r="G159" s="120">
        <f t="shared" si="7"/>
        <v>0</v>
      </c>
      <c r="H159" s="120">
        <f t="shared" si="7"/>
        <v>0</v>
      </c>
    </row>
    <row r="160" spans="1:8" x14ac:dyDescent="0.25">
      <c r="C160" s="39" t="s">
        <v>263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16</v>
      </c>
      <c r="C161" s="39" t="s">
        <v>261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262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263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84</v>
      </c>
      <c r="B164" s="39" t="s">
        <v>71</v>
      </c>
      <c r="C164" s="39" t="s">
        <v>261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262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85</v>
      </c>
      <c r="B166" s="39" t="s">
        <v>71</v>
      </c>
      <c r="C166" s="39" t="s">
        <v>261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262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190</v>
      </c>
      <c r="B168" s="39" t="s">
        <v>13</v>
      </c>
      <c r="C168" s="39" t="s">
        <v>261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262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tfbptCFgUGWhqCgsq7mzSLNCC8FXTwO9JYSECmZEndLoTwqpwmYFXfgiTUF7BiZrADPucq6u3JEhWbvx1G7Wnw==" saltValue="Pv5xaVWAeQUxu0oXL3Uc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2026-04-09T03:17:51Z</dcterms:modified>
</cp:coreProperties>
</file>