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C8882F4-08D5-40A6-B24D-333D0BEA637E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<sst xmlns="http://schemas.openxmlformats.org/spreadsheetml/2006/main" count="2092" uniqueCount="341">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</sst>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6963092.5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6.6199999999999995E-2</v>
      </c>
    </row>
    <row r="24" spans="1:3" ht="15" customHeight="1" x14ac:dyDescent="0.25">
      <c r="B24" s="15" t="s">
        <v>22</v>
      </c>
      <c r="C24" s="45">
        <v>0.53720000000000001</v>
      </c>
    </row>
    <row r="25" spans="1:3" ht="15" customHeight="1" x14ac:dyDescent="0.25">
      <c r="B25" s="15" t="s">
        <v>23</v>
      </c>
      <c r="C25" s="45">
        <v>0.36980000000000002</v>
      </c>
    </row>
    <row r="26" spans="1:3" ht="15" customHeight="1" x14ac:dyDescent="0.25">
      <c r="B26" s="15" t="s">
        <v>24</v>
      </c>
      <c r="C26" s="45">
        <v>2.6800000000000001E-2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2.0429400000000002</v>
      </c>
    </row>
    <row r="38" spans="1:5" ht="15" customHeight="1" x14ac:dyDescent="0.25">
      <c r="B38" s="11" t="s">
        <v>34</v>
      </c>
      <c r="C38" s="43">
        <v>4.0702199999999999</v>
      </c>
      <c r="D38" s="12"/>
      <c r="E38" s="13"/>
    </row>
    <row r="39" spans="1:5" ht="15" customHeight="1" x14ac:dyDescent="0.25">
      <c r="B39" s="11" t="s">
        <v>35</v>
      </c>
      <c r="C39" s="43">
        <v>5.0548999999999999</v>
      </c>
      <c r="D39" s="12"/>
      <c r="E39" s="12"/>
    </row>
    <row r="40" spans="1:5" ht="15" customHeight="1" x14ac:dyDescent="0.25">
      <c r="B40" s="11" t="s">
        <v>36</v>
      </c>
      <c r="C40" s="100">
        <v>0.14000000000000001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3.29203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5.1054000000000004E-3</v>
      </c>
      <c r="D45" s="12"/>
    </row>
    <row r="46" spans="1:5" ht="15.75" customHeight="1" x14ac:dyDescent="0.25">
      <c r="B46" s="11" t="s">
        <v>41</v>
      </c>
      <c r="C46" s="45">
        <v>5.4856500000000002E-2</v>
      </c>
      <c r="D46" s="12"/>
    </row>
    <row r="47" spans="1:5" ht="15.75" customHeight="1" x14ac:dyDescent="0.25">
      <c r="B47" s="11" t="s">
        <v>42</v>
      </c>
      <c r="C47" s="45">
        <v>7.6146699999999998E-2</v>
      </c>
      <c r="D47" s="12"/>
      <c r="E47" s="13"/>
    </row>
    <row r="48" spans="1:5" ht="15" customHeight="1" x14ac:dyDescent="0.25">
      <c r="B48" s="11" t="s">
        <v>43</v>
      </c>
      <c r="C48" s="46">
        <v>0.86389139999999998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0.65602400000000005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5.8061866999999899E-2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1571687.7788</v>
      </c>
      <c r="C2" s="49">
        <v>3790000</v>
      </c>
      <c r="D2" s="49">
        <v>6645000</v>
      </c>
      <c r="E2" s="49">
        <v>1018000</v>
      </c>
      <c r="F2" s="49">
        <v>747000</v>
      </c>
      <c r="G2" s="17">
        <f t="shared" ref="G2:G13" si="0">C2+D2+E2+F2</f>
        <v>12200000</v>
      </c>
      <c r="H2" s="17">
        <f t="shared" ref="H2:H13" si="1">(B2 + stillbirth*B2/(1000-stillbirth))/(1-abortion)</f>
        <v>1791907.8539579196</v>
      </c>
      <c r="I2" s="17">
        <f t="shared" ref="I2:I13" si="2">G2-H2</f>
        <v>10408092.146042081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1534500.4380000001</v>
      </c>
      <c r="C3" s="50">
        <v>3913000</v>
      </c>
      <c r="D3" s="50">
        <v>6632000</v>
      </c>
      <c r="E3" s="50">
        <v>1019000</v>
      </c>
      <c r="F3" s="50">
        <v>790000</v>
      </c>
      <c r="G3" s="17">
        <f t="shared" si="0"/>
        <v>12354000</v>
      </c>
      <c r="H3" s="17">
        <f t="shared" si="1"/>
        <v>1749509.9369249276</v>
      </c>
      <c r="I3" s="17">
        <f t="shared" si="2"/>
        <v>10604490.063075073</v>
      </c>
    </row>
    <row r="4" spans="1:9" ht="15.75" customHeight="1" x14ac:dyDescent="0.25">
      <c r="A4" s="5">
        <f t="shared" si="3"/>
        <v>2026</v>
      </c>
      <c r="B4" s="49">
        <v>1507675.1151999999</v>
      </c>
      <c r="C4" s="50">
        <v>4056000</v>
      </c>
      <c r="D4" s="50">
        <v>6684000</v>
      </c>
      <c r="E4" s="50">
        <v>1023000</v>
      </c>
      <c r="F4" s="50">
        <v>833000</v>
      </c>
      <c r="G4" s="17">
        <f t="shared" si="0"/>
        <v>12596000</v>
      </c>
      <c r="H4" s="17">
        <f t="shared" si="1"/>
        <v>1718925.9320998872</v>
      </c>
      <c r="I4" s="17">
        <f t="shared" si="2"/>
        <v>10877074.067900114</v>
      </c>
    </row>
    <row r="5" spans="1:9" ht="15.75" customHeight="1" x14ac:dyDescent="0.25">
      <c r="A5" s="5">
        <f t="shared" si="3"/>
        <v>2027</v>
      </c>
      <c r="B5" s="49">
        <v>1480584.4916000001</v>
      </c>
      <c r="C5" s="50">
        <v>4221000</v>
      </c>
      <c r="D5" s="50">
        <v>6808000</v>
      </c>
      <c r="E5" s="50">
        <v>1030000</v>
      </c>
      <c r="F5" s="50">
        <v>875000</v>
      </c>
      <c r="G5" s="17">
        <f t="shared" si="0"/>
        <v>12934000</v>
      </c>
      <c r="H5" s="17">
        <f t="shared" si="1"/>
        <v>1688039.45333976</v>
      </c>
      <c r="I5" s="17">
        <f t="shared" si="2"/>
        <v>11245960.546660241</v>
      </c>
    </row>
    <row r="6" spans="1:9" ht="15.75" customHeight="1" x14ac:dyDescent="0.25">
      <c r="A6" s="5">
        <f t="shared" si="3"/>
        <v>2028</v>
      </c>
      <c r="B6" s="49">
        <v>1453225.6584000001</v>
      </c>
      <c r="C6" s="50">
        <v>4385000</v>
      </c>
      <c r="D6" s="50">
        <v>6989000</v>
      </c>
      <c r="E6" s="50">
        <v>1041000</v>
      </c>
      <c r="F6" s="50">
        <v>915000</v>
      </c>
      <c r="G6" s="17">
        <f t="shared" si="0"/>
        <v>13330000</v>
      </c>
      <c r="H6" s="17">
        <f t="shared" si="1"/>
        <v>1656847.1842724038</v>
      </c>
      <c r="I6" s="17">
        <f t="shared" si="2"/>
        <v>11673152.815727595</v>
      </c>
    </row>
    <row r="7" spans="1:9" ht="15.75" customHeight="1" x14ac:dyDescent="0.25">
      <c r="A7" s="5">
        <f t="shared" si="3"/>
        <v>2029</v>
      </c>
      <c r="B7" s="49">
        <v>1425627.2575999999</v>
      </c>
      <c r="C7" s="50">
        <v>4515000</v>
      </c>
      <c r="D7" s="50">
        <v>7201000</v>
      </c>
      <c r="E7" s="50">
        <v>1056000</v>
      </c>
      <c r="F7" s="50">
        <v>947000</v>
      </c>
      <c r="G7" s="17">
        <f t="shared" si="0"/>
        <v>13719000</v>
      </c>
      <c r="H7" s="17">
        <f t="shared" si="1"/>
        <v>1625381.7801270862</v>
      </c>
      <c r="I7" s="17">
        <f t="shared" si="2"/>
        <v>12093618.219872914</v>
      </c>
    </row>
    <row r="8" spans="1:9" ht="15.75" customHeight="1" x14ac:dyDescent="0.25">
      <c r="A8" s="5">
        <f t="shared" si="3"/>
        <v>2030</v>
      </c>
      <c r="B8" s="49">
        <v>1397837.12</v>
      </c>
      <c r="C8" s="50">
        <v>4590000</v>
      </c>
      <c r="D8" s="50">
        <v>7430000</v>
      </c>
      <c r="E8" s="50">
        <v>1077000</v>
      </c>
      <c r="F8" s="50">
        <v>970000</v>
      </c>
      <c r="G8" s="17">
        <f t="shared" si="0"/>
        <v>14067000</v>
      </c>
      <c r="H8" s="17">
        <f t="shared" si="1"/>
        <v>1593697.7736089267</v>
      </c>
      <c r="I8" s="17">
        <f t="shared" si="2"/>
        <v>12473302.226391073</v>
      </c>
    </row>
    <row r="9" spans="1:9" ht="15.75" customHeight="1" x14ac:dyDescent="0.25">
      <c r="A9" s="5">
        <f t="shared" si="3"/>
        <v>2031</v>
      </c>
      <c r="B9" s="49">
        <v>1373001.3115999999</v>
      </c>
      <c r="C9" s="50">
        <v>4704285.7142857146</v>
      </c>
      <c r="D9" s="50">
        <v>7542142.8571428573</v>
      </c>
      <c r="E9" s="50">
        <v>1085428.5714285709</v>
      </c>
      <c r="F9" s="50">
        <v>1001857.142857143</v>
      </c>
      <c r="G9" s="17">
        <f t="shared" si="0"/>
        <v>14333714.285714285</v>
      </c>
      <c r="H9" s="17">
        <f t="shared" si="1"/>
        <v>1565382.0478447846</v>
      </c>
      <c r="I9" s="17">
        <f t="shared" si="2"/>
        <v>12768332.237869501</v>
      </c>
    </row>
    <row r="10" spans="1:9" ht="15.75" customHeight="1" x14ac:dyDescent="0.25">
      <c r="A10" s="5">
        <f t="shared" si="3"/>
        <v>2032</v>
      </c>
      <c r="B10" s="49">
        <v>1349930.0078285709</v>
      </c>
      <c r="C10" s="50">
        <v>4817326.5306122452</v>
      </c>
      <c r="D10" s="50">
        <v>7672163.2653061226</v>
      </c>
      <c r="E10" s="50">
        <v>1094918.3673469389</v>
      </c>
      <c r="F10" s="50">
        <v>1032122.448979592</v>
      </c>
      <c r="G10" s="17">
        <f t="shared" si="0"/>
        <v>14616530.612244898</v>
      </c>
      <c r="H10" s="17">
        <f t="shared" si="1"/>
        <v>1539078.063690478</v>
      </c>
      <c r="I10" s="17">
        <f t="shared" si="2"/>
        <v>13077452.54855442</v>
      </c>
    </row>
    <row r="11" spans="1:9" ht="15.75" customHeight="1" x14ac:dyDescent="0.25">
      <c r="A11" s="5">
        <f t="shared" si="3"/>
        <v>2033</v>
      </c>
      <c r="B11" s="49">
        <v>1327394.9924897959</v>
      </c>
      <c r="C11" s="50">
        <v>4926087.4635568513</v>
      </c>
      <c r="D11" s="50">
        <v>7813329.4460641397</v>
      </c>
      <c r="E11" s="50">
        <v>1105192.4198250731</v>
      </c>
      <c r="F11" s="50">
        <v>1060568.513119533</v>
      </c>
      <c r="G11" s="17">
        <f t="shared" si="0"/>
        <v>14905177.842565598</v>
      </c>
      <c r="H11" s="17">
        <f t="shared" si="1"/>
        <v>1513385.5110605629</v>
      </c>
      <c r="I11" s="17">
        <f t="shared" si="2"/>
        <v>13391792.331505034</v>
      </c>
    </row>
    <row r="12" spans="1:9" ht="15.75" customHeight="1" x14ac:dyDescent="0.25">
      <c r="A12" s="5">
        <f t="shared" si="3"/>
        <v>2034</v>
      </c>
      <c r="B12" s="49">
        <v>1305510.778331195</v>
      </c>
      <c r="C12" s="50">
        <v>5026814.2440649727</v>
      </c>
      <c r="D12" s="50">
        <v>7956947.9383590166</v>
      </c>
      <c r="E12" s="50">
        <v>1115934.194085798</v>
      </c>
      <c r="F12" s="50">
        <v>1087078.300708038</v>
      </c>
      <c r="G12" s="17">
        <f t="shared" si="0"/>
        <v>15186774.677217826</v>
      </c>
      <c r="H12" s="17">
        <f t="shared" si="1"/>
        <v>1488434.9478778201</v>
      </c>
      <c r="I12" s="17">
        <f t="shared" si="2"/>
        <v>13698339.729340006</v>
      </c>
    </row>
    <row r="13" spans="1:9" ht="15.75" customHeight="1" x14ac:dyDescent="0.25">
      <c r="A13" s="5">
        <f t="shared" si="3"/>
        <v>2035</v>
      </c>
      <c r="B13" s="49">
        <v>1284408.6526070801</v>
      </c>
      <c r="C13" s="50">
        <v>5118501.9932171116</v>
      </c>
      <c r="D13" s="50">
        <v>8095226.2152674478</v>
      </c>
      <c r="E13" s="50">
        <v>1126639.078955197</v>
      </c>
      <c r="F13" s="50">
        <v>1111660.9150949011</v>
      </c>
      <c r="G13" s="17">
        <f t="shared" si="0"/>
        <v>15452028.202534659</v>
      </c>
      <c r="H13" s="17">
        <f t="shared" si="1"/>
        <v>1464376.0569643083</v>
      </c>
      <c r="I13" s="17">
        <f t="shared" si="2"/>
        <v>13987652.145570351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4.6752803568092062E-2</v>
      </c>
    </row>
    <row r="5" spans="1:8" ht="15.75" customHeight="1" x14ac:dyDescent="0.25">
      <c r="B5" s="19" t="s">
        <v>70</v>
      </c>
      <c r="C5" s="101">
        <v>1.486391252078507E-2</v>
      </c>
    </row>
    <row r="6" spans="1:8" ht="15.75" customHeight="1" x14ac:dyDescent="0.25">
      <c r="B6" s="19" t="s">
        <v>71</v>
      </c>
      <c r="C6" s="101">
        <v>0.14551007546207789</v>
      </c>
    </row>
    <row r="7" spans="1:8" ht="15.75" customHeight="1" x14ac:dyDescent="0.25">
      <c r="B7" s="19" t="s">
        <v>72</v>
      </c>
      <c r="C7" s="101">
        <v>0.42786403328093642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0.26668257443021021</v>
      </c>
    </row>
    <row r="10" spans="1:8" ht="15.75" customHeight="1" x14ac:dyDescent="0.25">
      <c r="B10" s="19" t="s">
        <v>75</v>
      </c>
      <c r="C10" s="101">
        <v>9.8326600737898548E-2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4.3202474008016599E-2</v>
      </c>
      <c r="D14" s="55">
        <v>4.3202474008016599E-2</v>
      </c>
      <c r="E14" s="55">
        <v>4.3202474008016599E-2</v>
      </c>
      <c r="F14" s="55">
        <v>4.3202474008016599E-2</v>
      </c>
    </row>
    <row r="15" spans="1:8" ht="15.75" customHeight="1" x14ac:dyDescent="0.25">
      <c r="B15" s="19" t="s">
        <v>82</v>
      </c>
      <c r="C15" s="101">
        <v>0.26782995296083062</v>
      </c>
      <c r="D15" s="101">
        <v>0.26782995296083062</v>
      </c>
      <c r="E15" s="101">
        <v>0.26782995296083062</v>
      </c>
      <c r="F15" s="101">
        <v>0.26782995296083062</v>
      </c>
    </row>
    <row r="16" spans="1:8" ht="15.75" customHeight="1" x14ac:dyDescent="0.25">
      <c r="B16" s="19" t="s">
        <v>83</v>
      </c>
      <c r="C16" s="101">
        <v>4.2749525377323093E-2</v>
      </c>
      <c r="D16" s="101">
        <v>4.2749525377323093E-2</v>
      </c>
      <c r="E16" s="101">
        <v>4.2749525377323093E-2</v>
      </c>
      <c r="F16" s="101">
        <v>4.2749525377323093E-2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2.758573967160316E-2</v>
      </c>
      <c r="D19" s="101">
        <v>2.758573967160316E-2</v>
      </c>
      <c r="E19" s="101">
        <v>2.758573967160316E-2</v>
      </c>
      <c r="F19" s="101">
        <v>2.758573967160316E-2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0.55258383183639626</v>
      </c>
      <c r="D21" s="101">
        <v>0.55258383183639626</v>
      </c>
      <c r="E21" s="101">
        <v>0.55258383183639626</v>
      </c>
      <c r="F21" s="101">
        <v>0.55258383183639626</v>
      </c>
    </row>
    <row r="22" spans="1:8" ht="15.75" customHeight="1" x14ac:dyDescent="0.25">
      <c r="B22" s="19" t="s">
        <v>89</v>
      </c>
      <c r="C22" s="101">
        <v>6.6048476145830384E-2</v>
      </c>
      <c r="D22" s="101">
        <v>6.6048476145830384E-2</v>
      </c>
      <c r="E22" s="101">
        <v>6.6048476145830384E-2</v>
      </c>
      <c r="F22" s="101">
        <v>6.6048476145830384E-2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5.4251238E-2</v>
      </c>
    </row>
    <row r="27" spans="1:8" ht="15.75" customHeight="1" x14ac:dyDescent="0.25">
      <c r="B27" s="19" t="s">
        <v>92</v>
      </c>
      <c r="C27" s="101">
        <v>5.8146800999999977E-2</v>
      </c>
    </row>
    <row r="28" spans="1:8" ht="15.75" customHeight="1" x14ac:dyDescent="0.25">
      <c r="B28" s="19" t="s">
        <v>93</v>
      </c>
      <c r="C28" s="101">
        <v>0.119033663</v>
      </c>
    </row>
    <row r="29" spans="1:8" ht="15.75" customHeight="1" x14ac:dyDescent="0.25">
      <c r="B29" s="19" t="s">
        <v>94</v>
      </c>
      <c r="C29" s="101">
        <v>0.13263193700000001</v>
      </c>
    </row>
    <row r="30" spans="1:8" ht="15.75" customHeight="1" x14ac:dyDescent="0.25">
      <c r="B30" s="19" t="s">
        <v>95</v>
      </c>
      <c r="C30" s="101">
        <v>7.9118254999999998E-2</v>
      </c>
    </row>
    <row r="31" spans="1:8" ht="15.75" customHeight="1" x14ac:dyDescent="0.25">
      <c r="B31" s="19" t="s">
        <v>96</v>
      </c>
      <c r="C31" s="101">
        <v>6.4364179999999993E-2</v>
      </c>
    </row>
    <row r="32" spans="1:8" ht="15.75" customHeight="1" x14ac:dyDescent="0.25">
      <c r="B32" s="19" t="s">
        <v>97</v>
      </c>
      <c r="C32" s="101">
        <v>0.129985237</v>
      </c>
    </row>
    <row r="33" spans="2:3" ht="15.75" customHeight="1" x14ac:dyDescent="0.25">
      <c r="B33" s="19" t="s">
        <v>98</v>
      </c>
      <c r="C33" s="101">
        <v>0.123796236</v>
      </c>
    </row>
    <row r="34" spans="2:3" ht="15.75" customHeight="1" x14ac:dyDescent="0.25">
      <c r="B34" s="19" t="s">
        <v>99</v>
      </c>
      <c r="C34" s="101">
        <v>0.23867245300000001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0.32705093667774998</v>
      </c>
      <c r="D14" s="54">
        <v>0.304200778575</v>
      </c>
      <c r="E14" s="54">
        <v>0.304200778575</v>
      </c>
      <c r="F14" s="54">
        <v>0.151503929698</v>
      </c>
      <c r="G14" s="54">
        <v>0.151503929698</v>
      </c>
      <c r="H14" s="45">
        <v>0.24</v>
      </c>
      <c r="I14" s="55">
        <v>0.24</v>
      </c>
      <c r="J14" s="55">
        <v>0.24</v>
      </c>
      <c r="K14" s="55">
        <v>0.24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0.21455326368308428</v>
      </c>
      <c r="D15" s="52">
        <f t="shared" si="0"/>
        <v>0.19956301156388581</v>
      </c>
      <c r="E15" s="52">
        <f t="shared" si="0"/>
        <v>0.19956301156388581</v>
      </c>
      <c r="F15" s="52">
        <f t="shared" si="0"/>
        <v>9.9390213976200764E-2</v>
      </c>
      <c r="G15" s="52">
        <f t="shared" si="0"/>
        <v>9.9390213976200764E-2</v>
      </c>
      <c r="H15" s="52">
        <f t="shared" si="0"/>
        <v>0.15744576000000002</v>
      </c>
      <c r="I15" s="52">
        <f t="shared" si="0"/>
        <v>0.15744576000000002</v>
      </c>
      <c r="J15" s="52">
        <f t="shared" si="0"/>
        <v>0.15744576000000002</v>
      </c>
      <c r="K15" s="52">
        <f t="shared" si="0"/>
        <v>0.15744576000000002</v>
      </c>
      <c r="L15" s="52">
        <f t="shared" si="0"/>
        <v>0.15285359200000001</v>
      </c>
      <c r="M15" s="52">
        <f t="shared" si="0"/>
        <v>0.15285359200000001</v>
      </c>
      <c r="N15" s="52">
        <f t="shared" si="0"/>
        <v>0.15285359200000001</v>
      </c>
      <c r="O15" s="52">
        <f t="shared" si="0"/>
        <v>0.15285359200000001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87.39822860468739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40.538396857225337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874.83688528420214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8.6803164574109992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13.67069630102125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13.67069630102125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13.67069630102125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13.67069630102125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13.67069630102125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13.67069630102125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1.3774621009165959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20.029543337029391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20.029543337029391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91.743451097569121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23.936529507758561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4.6909106979920177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19.231364691512582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180.67794505128731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2.06475002220103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3.0253476710734959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0.89418530000000007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3.9942731514207441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0.89817219082531452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2024-03-28T03:04:34Z</dcterms:modified>
</cp:coreProperties>
</file>