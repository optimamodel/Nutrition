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0DCFEF6A-F2C7-4EF3-8E79-AC8CC8DE3606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A39" i="2"/>
  <c r="I38" i="2"/>
  <c r="H38" i="2"/>
  <c r="G38" i="2"/>
  <c r="A37" i="2"/>
  <c r="A36" i="2"/>
  <c r="A35" i="2"/>
  <c r="A34" i="2"/>
  <c r="A33" i="2"/>
  <c r="A32" i="2"/>
  <c r="A29" i="2"/>
  <c r="A28" i="2"/>
  <c r="A27" i="2"/>
  <c r="A26" i="2"/>
  <c r="A25" i="2"/>
  <c r="A24" i="2"/>
  <c r="A21" i="2"/>
  <c r="A20" i="2"/>
  <c r="A19" i="2"/>
  <c r="A18" i="2"/>
  <c r="A17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A3" i="2"/>
  <c r="H2" i="2"/>
  <c r="I2" i="2" s="1"/>
  <c r="G2" i="2"/>
  <c r="A2" i="2"/>
  <c r="A31" i="2" s="1"/>
  <c r="C33" i="1"/>
  <c r="C20" i="1"/>
  <c r="A4" i="2" l="1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<sst xmlns="http://schemas.openxmlformats.org/spreadsheetml/2006/main" count="2094" uniqueCount="341">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</sst>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6963092.5</v>
      </c>
    </row>
    <row r="8" spans="1:3" ht="15" customHeight="1" x14ac:dyDescent="0.25">
      <c r="B8" s="5" t="s">
        <v>8</v>
      </c>
      <c r="C8" s="44">
        <v>0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0.91188728330000002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6.6199999999999995E-2</v>
      </c>
    </row>
    <row r="24" spans="1:3" ht="15" customHeight="1" x14ac:dyDescent="0.25">
      <c r="B24" s="15" t="s">
        <v>22</v>
      </c>
      <c r="C24" s="45">
        <v>0.53720000000000001</v>
      </c>
    </row>
    <row r="25" spans="1:3" ht="15" customHeight="1" x14ac:dyDescent="0.25">
      <c r="B25" s="15" t="s">
        <v>23</v>
      </c>
      <c r="C25" s="45">
        <v>0.36980000000000002</v>
      </c>
    </row>
    <row r="26" spans="1:3" ht="15" customHeight="1" x14ac:dyDescent="0.25">
      <c r="B26" s="15" t="s">
        <v>24</v>
      </c>
      <c r="C26" s="45">
        <v>2.6800000000000001E-2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0.57290349526853401</v>
      </c>
    </row>
    <row r="30" spans="1:3" ht="14.25" customHeight="1" x14ac:dyDescent="0.25">
      <c r="B30" s="25" t="s">
        <v>27</v>
      </c>
      <c r="C30" s="99">
        <v>2.97816918362898E-2</v>
      </c>
    </row>
    <row r="31" spans="1:3" ht="14.25" customHeight="1" x14ac:dyDescent="0.25">
      <c r="B31" s="25" t="s">
        <v>28</v>
      </c>
      <c r="C31" s="99">
        <v>2.5306962187057899E-2</v>
      </c>
    </row>
    <row r="32" spans="1:3" ht="14.25" customHeight="1" x14ac:dyDescent="0.25">
      <c r="B32" s="25" t="s">
        <v>29</v>
      </c>
      <c r="C32" s="99">
        <v>0.37200785070811798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2.0429400000000002</v>
      </c>
    </row>
    <row r="38" spans="1:5" ht="15" customHeight="1" x14ac:dyDescent="0.25">
      <c r="B38" s="11" t="s">
        <v>34</v>
      </c>
      <c r="C38" s="43">
        <v>4.0702199999999999</v>
      </c>
      <c r="D38" s="12"/>
      <c r="E38" s="13"/>
    </row>
    <row r="39" spans="1:5" ht="15" customHeight="1" x14ac:dyDescent="0.25">
      <c r="B39" s="11" t="s">
        <v>35</v>
      </c>
      <c r="C39" s="43">
        <v>5.0548999999999999</v>
      </c>
      <c r="D39" s="12"/>
      <c r="E39" s="12"/>
    </row>
    <row r="40" spans="1:5" ht="15" customHeight="1" x14ac:dyDescent="0.25">
      <c r="B40" s="11" t="s">
        <v>36</v>
      </c>
      <c r="C40" s="100">
        <v>0.14000000000000001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3.29203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5.1054000000000004E-3</v>
      </c>
      <c r="D45" s="12"/>
    </row>
    <row r="46" spans="1:5" ht="15.75" customHeight="1" x14ac:dyDescent="0.25">
      <c r="B46" s="11" t="s">
        <v>41</v>
      </c>
      <c r="C46" s="45">
        <v>5.4856500000000002E-2</v>
      </c>
      <c r="D46" s="12"/>
    </row>
    <row r="47" spans="1:5" ht="15.75" customHeight="1" x14ac:dyDescent="0.25">
      <c r="B47" s="11" t="s">
        <v>42</v>
      </c>
      <c r="C47" s="45">
        <v>7.6146699999999998E-2</v>
      </c>
      <c r="D47" s="12"/>
      <c r="E47" s="13"/>
    </row>
    <row r="48" spans="1:5" ht="15" customHeight="1" x14ac:dyDescent="0.25">
      <c r="B48" s="11" t="s">
        <v>43</v>
      </c>
      <c r="C48" s="46">
        <v>0.86389139999999998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0.65602400000000005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5.8061866999999899E-2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1350768</v>
      </c>
      <c r="C2" s="49">
        <v>4685569</v>
      </c>
      <c r="D2" s="49">
        <v>7209348.5</v>
      </c>
      <c r="E2" s="49">
        <v>11338987.5</v>
      </c>
      <c r="F2" s="49">
        <v>10143948.5</v>
      </c>
      <c r="G2" s="17">
        <f t="shared" ref="G2:G13" si="0">C2+D2+E2+F2</f>
        <v>33377853.5</v>
      </c>
      <c r="H2" s="17">
        <f t="shared" ref="H2:H13" si="1">(B2 + stillbirth*B2/(1000-stillbirth))/(1-abortion)</f>
        <v>1540033.4727569565</v>
      </c>
      <c r="I2" s="17">
        <f t="shared" ref="I2:I13" si="2">G2-H2</f>
        <v>31837820.027243044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1325577</v>
      </c>
      <c r="C3" s="50">
        <v>4786787</v>
      </c>
      <c r="D3" s="50">
        <v>7149837.5</v>
      </c>
      <c r="E3" s="50">
        <v>10848007.5</v>
      </c>
      <c r="F3" s="50">
        <v>10303998</v>
      </c>
      <c r="G3" s="17">
        <f t="shared" si="0"/>
        <v>33088630</v>
      </c>
      <c r="H3" s="17">
        <f t="shared" si="1"/>
        <v>1511312.7870343006</v>
      </c>
      <c r="I3" s="17">
        <f t="shared" si="2"/>
        <v>31577317.212965701</v>
      </c>
    </row>
    <row r="4" spans="1:9" ht="15.75" customHeight="1" x14ac:dyDescent="0.25">
      <c r="A4" s="5">
        <f t="shared" si="3"/>
        <v>2026</v>
      </c>
      <c r="B4" s="49">
        <v>1303000</v>
      </c>
      <c r="C4" s="50">
        <v>4957172.0000000009</v>
      </c>
      <c r="D4" s="50">
        <v>7133499.4999999991</v>
      </c>
      <c r="E4" s="50">
        <v>10301067.5</v>
      </c>
      <c r="F4" s="50">
        <v>10462854.5</v>
      </c>
      <c r="G4" s="17">
        <f t="shared" si="0"/>
        <v>32854593.5</v>
      </c>
      <c r="H4" s="17">
        <f t="shared" si="1"/>
        <v>1485572.3669810907</v>
      </c>
      <c r="I4" s="17">
        <f t="shared" si="2"/>
        <v>31369021.133018911</v>
      </c>
    </row>
    <row r="5" spans="1:9" ht="15.75" customHeight="1" x14ac:dyDescent="0.25">
      <c r="A5" s="5">
        <f t="shared" si="3"/>
        <v>2027</v>
      </c>
      <c r="B5" s="49">
        <v>1286673</v>
      </c>
      <c r="C5" s="50">
        <v>5132287</v>
      </c>
      <c r="D5" s="50">
        <v>7190280</v>
      </c>
      <c r="E5" s="50">
        <v>9712646.5</v>
      </c>
      <c r="F5" s="50">
        <v>10662288</v>
      </c>
      <c r="G5" s="17">
        <f t="shared" si="0"/>
        <v>32697501.5</v>
      </c>
      <c r="H5" s="17">
        <f t="shared" si="1"/>
        <v>1466957.6777748743</v>
      </c>
      <c r="I5" s="17">
        <f t="shared" si="2"/>
        <v>31230543.822225127</v>
      </c>
    </row>
    <row r="6" spans="1:9" ht="15.75" customHeight="1" x14ac:dyDescent="0.25">
      <c r="A6" s="5">
        <f t="shared" si="3"/>
        <v>2028</v>
      </c>
      <c r="B6" s="49">
        <v>1276566</v>
      </c>
      <c r="C6" s="50">
        <v>5262409.5</v>
      </c>
      <c r="D6" s="50">
        <v>7311412.0000000009</v>
      </c>
      <c r="E6" s="50">
        <v>9140396</v>
      </c>
      <c r="F6" s="50">
        <v>10859380.5</v>
      </c>
      <c r="G6" s="17">
        <f t="shared" si="0"/>
        <v>32573598</v>
      </c>
      <c r="H6" s="17">
        <f t="shared" si="1"/>
        <v>1455434.5159075849</v>
      </c>
      <c r="I6" s="17">
        <f t="shared" si="2"/>
        <v>31118163.484092414</v>
      </c>
    </row>
    <row r="7" spans="1:9" ht="15.75" customHeight="1" x14ac:dyDescent="0.25">
      <c r="A7" s="5">
        <f t="shared" si="3"/>
        <v>2029</v>
      </c>
      <c r="B7" s="49">
        <v>1263399</v>
      </c>
      <c r="C7" s="50">
        <v>5382070.5</v>
      </c>
      <c r="D7" s="50">
        <v>7464300</v>
      </c>
      <c r="E7" s="50">
        <v>8613622</v>
      </c>
      <c r="F7" s="50">
        <v>11021835</v>
      </c>
      <c r="G7" s="17">
        <f t="shared" si="0"/>
        <v>32481827.5</v>
      </c>
      <c r="H7" s="17">
        <f t="shared" si="1"/>
        <v>1440422.5962176081</v>
      </c>
      <c r="I7" s="17">
        <f t="shared" si="2"/>
        <v>31041404.90378239</v>
      </c>
    </row>
    <row r="8" spans="1:9" ht="15.75" customHeight="1" x14ac:dyDescent="0.25">
      <c r="A8" s="5">
        <f t="shared" si="3"/>
        <v>2030</v>
      </c>
      <c r="B8" s="49">
        <v>1257994</v>
      </c>
      <c r="C8" s="50">
        <v>5502009</v>
      </c>
      <c r="D8" s="50">
        <v>7610365</v>
      </c>
      <c r="E8" s="50">
        <v>8124190</v>
      </c>
      <c r="F8" s="50">
        <v>11086661</v>
      </c>
      <c r="G8" s="17">
        <f t="shared" si="0"/>
        <v>32323225</v>
      </c>
      <c r="H8" s="17">
        <f t="shared" si="1"/>
        <v>1434260.2641811285</v>
      </c>
      <c r="I8" s="17">
        <f t="shared" si="2"/>
        <v>30888964.73581887</v>
      </c>
    </row>
    <row r="9" spans="1:9" ht="15.75" customHeight="1" x14ac:dyDescent="0.25">
      <c r="A9" s="5">
        <f t="shared" si="3"/>
        <v>2031</v>
      </c>
      <c r="B9" s="49">
        <v>1255046</v>
      </c>
      <c r="C9" s="50">
        <v>5535549.5</v>
      </c>
      <c r="D9" s="50">
        <v>7774902.5000000009</v>
      </c>
      <c r="E9" s="50">
        <v>7726413.5</v>
      </c>
      <c r="F9" s="50">
        <v>11103576.5</v>
      </c>
      <c r="G9" s="17">
        <f t="shared" si="0"/>
        <v>32140442</v>
      </c>
      <c r="H9" s="17">
        <f t="shared" si="1"/>
        <v>1430899.1994552191</v>
      </c>
      <c r="I9" s="17">
        <f t="shared" si="2"/>
        <v>30709542.80054478</v>
      </c>
    </row>
    <row r="10" spans="1:9" ht="15.75" customHeight="1" x14ac:dyDescent="0.25">
      <c r="A10" s="5">
        <f t="shared" si="3"/>
        <v>2032</v>
      </c>
      <c r="B10" s="49">
        <v>1257264</v>
      </c>
      <c r="C10" s="50">
        <v>5442679.5</v>
      </c>
      <c r="D10" s="50">
        <v>7987433.5</v>
      </c>
      <c r="E10" s="50">
        <v>7457928.9999999991</v>
      </c>
      <c r="F10" s="50">
        <v>11044765</v>
      </c>
      <c r="G10" s="17">
        <f t="shared" si="0"/>
        <v>31932807</v>
      </c>
      <c r="H10" s="17">
        <f t="shared" si="1"/>
        <v>1433427.9788181998</v>
      </c>
      <c r="I10" s="17">
        <f t="shared" si="2"/>
        <v>30499379.021181799</v>
      </c>
    </row>
    <row r="11" spans="1:9" ht="15.75" customHeight="1" x14ac:dyDescent="0.25">
      <c r="A11" s="5">
        <f t="shared" si="3"/>
        <v>2033</v>
      </c>
      <c r="B11" s="49">
        <v>1265473</v>
      </c>
      <c r="C11" s="50">
        <v>5275096.5</v>
      </c>
      <c r="D11" s="50">
        <v>8196037.5</v>
      </c>
      <c r="E11" s="50">
        <v>7324548</v>
      </c>
      <c r="F11" s="50">
        <v>10800772</v>
      </c>
      <c r="G11" s="17">
        <f t="shared" si="0"/>
        <v>31596454</v>
      </c>
      <c r="H11" s="17">
        <f t="shared" si="1"/>
        <v>1442787.1987418742</v>
      </c>
      <c r="I11" s="17">
        <f t="shared" si="2"/>
        <v>30153666.801258124</v>
      </c>
    </row>
    <row r="12" spans="1:9" ht="15.75" customHeight="1" x14ac:dyDescent="0.25">
      <c r="A12" s="5">
        <f t="shared" si="3"/>
        <v>2034</v>
      </c>
      <c r="B12" s="49">
        <v>1276978</v>
      </c>
      <c r="C12" s="50">
        <v>5061462.5</v>
      </c>
      <c r="D12" s="50">
        <v>8398011</v>
      </c>
      <c r="E12" s="50">
        <v>7270444</v>
      </c>
      <c r="F12" s="50">
        <v>10427515</v>
      </c>
      <c r="G12" s="17">
        <f t="shared" si="0"/>
        <v>31157432.5</v>
      </c>
      <c r="H12" s="17">
        <f t="shared" si="1"/>
        <v>1455904.2440850188</v>
      </c>
      <c r="I12" s="17">
        <f t="shared" si="2"/>
        <v>29701528.255914982</v>
      </c>
    </row>
    <row r="13" spans="1:9" ht="15.75" customHeight="1" x14ac:dyDescent="0.25">
      <c r="A13" s="5">
        <f t="shared" si="3"/>
        <v>2035</v>
      </c>
      <c r="B13" s="49">
        <v>1293215</v>
      </c>
      <c r="C13" s="50">
        <v>4813165.5</v>
      </c>
      <c r="D13" s="50">
        <v>8611971</v>
      </c>
      <c r="E13" s="50">
        <v>7239173.0000000009</v>
      </c>
      <c r="F13" s="50">
        <v>9980190.4999999981</v>
      </c>
      <c r="G13" s="17">
        <f t="shared" si="0"/>
        <v>30644500</v>
      </c>
      <c r="H13" s="17">
        <f t="shared" si="1"/>
        <v>1474416.3227670386</v>
      </c>
      <c r="I13" s="17">
        <f t="shared" si="2"/>
        <v>29170083.677232962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4.6752803568092062E-2</v>
      </c>
    </row>
    <row r="5" spans="1:8" ht="15.75" customHeight="1" x14ac:dyDescent="0.25">
      <c r="B5" s="19" t="s">
        <v>70</v>
      </c>
      <c r="C5" s="101">
        <v>1.486391252078507E-2</v>
      </c>
    </row>
    <row r="6" spans="1:8" ht="15.75" customHeight="1" x14ac:dyDescent="0.25">
      <c r="B6" s="19" t="s">
        <v>71</v>
      </c>
      <c r="C6" s="101">
        <v>0.14551007546207789</v>
      </c>
    </row>
    <row r="7" spans="1:8" ht="15.75" customHeight="1" x14ac:dyDescent="0.25">
      <c r="B7" s="19" t="s">
        <v>72</v>
      </c>
      <c r="C7" s="101">
        <v>0.42786403328093642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0.26668257443021021</v>
      </c>
    </row>
    <row r="10" spans="1:8" ht="15.75" customHeight="1" x14ac:dyDescent="0.25">
      <c r="B10" s="19" t="s">
        <v>75</v>
      </c>
      <c r="C10" s="101">
        <v>9.8326600737898548E-2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4.3202474008016599E-2</v>
      </c>
      <c r="D14" s="55">
        <v>4.3202474008016599E-2</v>
      </c>
      <c r="E14" s="55">
        <v>4.3202474008016599E-2</v>
      </c>
      <c r="F14" s="55">
        <v>4.3202474008016599E-2</v>
      </c>
    </row>
    <row r="15" spans="1:8" ht="15.75" customHeight="1" x14ac:dyDescent="0.25">
      <c r="B15" s="19" t="s">
        <v>82</v>
      </c>
      <c r="C15" s="101">
        <v>0.26782995296083062</v>
      </c>
      <c r="D15" s="101">
        <v>0.26782995296083062</v>
      </c>
      <c r="E15" s="101">
        <v>0.26782995296083062</v>
      </c>
      <c r="F15" s="101">
        <v>0.26782995296083062</v>
      </c>
    </row>
    <row r="16" spans="1:8" ht="15.75" customHeight="1" x14ac:dyDescent="0.25">
      <c r="B16" s="19" t="s">
        <v>83</v>
      </c>
      <c r="C16" s="101">
        <v>4.2749525377323093E-2</v>
      </c>
      <c r="D16" s="101">
        <v>4.2749525377323093E-2</v>
      </c>
      <c r="E16" s="101">
        <v>4.2749525377323093E-2</v>
      </c>
      <c r="F16" s="101">
        <v>4.2749525377323093E-2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2.758573967160316E-2</v>
      </c>
      <c r="D19" s="101">
        <v>2.758573967160316E-2</v>
      </c>
      <c r="E19" s="101">
        <v>2.758573967160316E-2</v>
      </c>
      <c r="F19" s="101">
        <v>2.758573967160316E-2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0.55258383183639626</v>
      </c>
      <c r="D21" s="101">
        <v>0.55258383183639626</v>
      </c>
      <c r="E21" s="101">
        <v>0.55258383183639626</v>
      </c>
      <c r="F21" s="101">
        <v>0.55258383183639626</v>
      </c>
    </row>
    <row r="22" spans="1:8" ht="15.75" customHeight="1" x14ac:dyDescent="0.25">
      <c r="B22" s="19" t="s">
        <v>89</v>
      </c>
      <c r="C22" s="101">
        <v>6.6048476145830384E-2</v>
      </c>
      <c r="D22" s="101">
        <v>6.6048476145830384E-2</v>
      </c>
      <c r="E22" s="101">
        <v>6.6048476145830384E-2</v>
      </c>
      <c r="F22" s="101">
        <v>6.6048476145830384E-2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5.4251238E-2</v>
      </c>
    </row>
    <row r="27" spans="1:8" ht="15.75" customHeight="1" x14ac:dyDescent="0.25">
      <c r="B27" s="19" t="s">
        <v>92</v>
      </c>
      <c r="C27" s="101">
        <v>5.8146800999999977E-2</v>
      </c>
    </row>
    <row r="28" spans="1:8" ht="15.75" customHeight="1" x14ac:dyDescent="0.25">
      <c r="B28" s="19" t="s">
        <v>93</v>
      </c>
      <c r="C28" s="101">
        <v>0.119033663</v>
      </c>
    </row>
    <row r="29" spans="1:8" ht="15.75" customHeight="1" x14ac:dyDescent="0.25">
      <c r="B29" s="19" t="s">
        <v>94</v>
      </c>
      <c r="C29" s="101">
        <v>0.13263193700000001</v>
      </c>
    </row>
    <row r="30" spans="1:8" ht="15.75" customHeight="1" x14ac:dyDescent="0.25">
      <c r="B30" s="19" t="s">
        <v>95</v>
      </c>
      <c r="C30" s="101">
        <v>7.9118254999999998E-2</v>
      </c>
    </row>
    <row r="31" spans="1:8" ht="15.75" customHeight="1" x14ac:dyDescent="0.25">
      <c r="B31" s="19" t="s">
        <v>96</v>
      </c>
      <c r="C31" s="101">
        <v>6.4364179999999993E-2</v>
      </c>
    </row>
    <row r="32" spans="1:8" ht="15.75" customHeight="1" x14ac:dyDescent="0.25">
      <c r="B32" s="19" t="s">
        <v>97</v>
      </c>
      <c r="C32" s="101">
        <v>0.129985237</v>
      </c>
    </row>
    <row r="33" spans="2:3" ht="15.75" customHeight="1" x14ac:dyDescent="0.25">
      <c r="B33" s="19" t="s">
        <v>98</v>
      </c>
      <c r="C33" s="101">
        <v>0.123796236</v>
      </c>
    </row>
    <row r="34" spans="2:3" ht="15.75" customHeight="1" x14ac:dyDescent="0.25">
      <c r="B34" s="19" t="s">
        <v>99</v>
      </c>
      <c r="C34" s="101">
        <v>0.23867245300000001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104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105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109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110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0.32705093667774998</v>
      </c>
      <c r="D14" s="54">
        <v>0.304200778575</v>
      </c>
      <c r="E14" s="54">
        <v>0.304200778575</v>
      </c>
      <c r="F14" s="54">
        <v>0.151503929698</v>
      </c>
      <c r="G14" s="54">
        <v>0.151503929698</v>
      </c>
      <c r="H14" s="45">
        <v>0.24</v>
      </c>
      <c r="I14" s="55">
        <v>0.24</v>
      </c>
      <c r="J14" s="55">
        <v>0.24</v>
      </c>
      <c r="K14" s="55">
        <v>0.24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0.21455326368308428</v>
      </c>
      <c r="D15" s="52">
        <f t="shared" si="0"/>
        <v>0.19956301156388581</v>
      </c>
      <c r="E15" s="52">
        <f t="shared" si="0"/>
        <v>0.19956301156388581</v>
      </c>
      <c r="F15" s="52">
        <f t="shared" si="0"/>
        <v>9.9390213976200764E-2</v>
      </c>
      <c r="G15" s="52">
        <f t="shared" si="0"/>
        <v>9.9390213976200764E-2</v>
      </c>
      <c r="H15" s="52">
        <f t="shared" si="0"/>
        <v>0.15744576000000002</v>
      </c>
      <c r="I15" s="52">
        <f t="shared" si="0"/>
        <v>0.15744576000000002</v>
      </c>
      <c r="J15" s="52">
        <f t="shared" si="0"/>
        <v>0.15744576000000002</v>
      </c>
      <c r="K15" s="52">
        <f t="shared" si="0"/>
        <v>0.15744576000000002</v>
      </c>
      <c r="L15" s="52">
        <f t="shared" si="0"/>
        <v>0.15285359200000001</v>
      </c>
      <c r="M15" s="52">
        <f t="shared" si="0"/>
        <v>0.15285359200000001</v>
      </c>
      <c r="N15" s="52">
        <f t="shared" si="0"/>
        <v>0.15285359200000001</v>
      </c>
      <c r="O15" s="52">
        <f t="shared" si="0"/>
        <v>0.15285359200000001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0.43399436200000002</v>
      </c>
      <c r="D2" s="53">
        <v>0.23404619600000001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0.27557090400000001</v>
      </c>
      <c r="D3" s="53">
        <v>0.28600471399999999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0.20970329800000001</v>
      </c>
      <c r="D4" s="53">
        <v>0.320885694</v>
      </c>
      <c r="E4" s="53">
        <v>0.65853112884615395</v>
      </c>
      <c r="F4" s="53">
        <v>0.32869853269230798</v>
      </c>
      <c r="G4" s="53">
        <v>0</v>
      </c>
    </row>
    <row r="5" spans="1:7" x14ac:dyDescent="0.25">
      <c r="B5" s="3" t="s">
        <v>122</v>
      </c>
      <c r="C5" s="52">
        <v>8.0731462000000004E-2</v>
      </c>
      <c r="D5" s="52">
        <v>0.15906339</v>
      </c>
      <c r="E5" s="52">
        <f>1-SUM(E2:E4)</f>
        <v>0.34146887115384605</v>
      </c>
      <c r="F5" s="52">
        <f>1-SUM(F2:F4)</f>
        <v>0.67130146730769202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87.39822860468739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40.538396857225337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874.83688528420214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9.2089477296673294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13.67069630102125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13.67069630102125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13.67069630102125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13.67069630102125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13.67069630102125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13.67069630102125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1.3774621009165959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20.029543337029391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0.89418530000000007</v>
      </c>
      <c r="C19" s="98">
        <v>0.95</v>
      </c>
      <c r="D19" s="56">
        <v>20.029543337029391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0.94275019999999998</v>
      </c>
      <c r="C21" s="98">
        <v>0.95</v>
      </c>
      <c r="D21" s="56">
        <v>91.743451097569121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23.936529507758561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4.6909106979920177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19.231364691512582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180.67794505128731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2.06475002220103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3.0253476710734959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3.9942731514207441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205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4.3175231182999992E-2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1.8503670506999994E-2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2.6433815009999993E-2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04253A-0A86-4982-91DC-DBF63710A99C}"/>
</file>

<file path=customXml/itemProps2.xml><?xml version="1.0" encoding="utf-8"?>
<ds:datastoreItem xmlns:ds="http://schemas.openxmlformats.org/officeDocument/2006/customXml" ds:itemID="{949C187A-F6D0-4951-AD22-90D981BAA4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2024-04-11T00:41:46Z</dcterms:modified>
</cp:coreProperties>
</file>