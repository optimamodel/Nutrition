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Tharindu Documents\WB_multi_country 2025_R1\Databooks_R1\"/>
    </mc:Choice>
  </mc:AlternateContent>
  <xr:revisionPtr revIDLastSave="0" documentId="8_{49803E63-6BEB-4C02-A6CF-5D8E6AC84F83}" xr6:coauthVersionLast="47" xr6:coauthVersionMax="47" xr10:uidLastSave="{00000000-0000-0000-0000-000000000000}"/>
  <bookViews>
    <workbookView xWindow="-110" yWindow="-110" windowWidth="19420" windowHeight="1030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25" l="1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E158" i="27"/>
  <c r="D158" i="27"/>
  <c r="H142" i="27"/>
  <c r="G142" i="27"/>
  <c r="F142" i="27"/>
  <c r="E142" i="27"/>
  <c r="H141" i="27"/>
  <c r="G141" i="27"/>
  <c r="F141" i="27"/>
  <c r="E141" i="27"/>
  <c r="D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F101" i="27"/>
  <c r="F158" i="27" s="1"/>
  <c r="E101" i="27"/>
  <c r="D101" i="27"/>
  <c r="H85" i="27"/>
  <c r="G85" i="27"/>
  <c r="F85" i="27"/>
  <c r="E85" i="27"/>
  <c r="H84" i="27"/>
  <c r="G84" i="27"/>
  <c r="F84" i="27"/>
  <c r="E84" i="27"/>
  <c r="D84" i="27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A40" i="2"/>
  <c r="H39" i="2"/>
  <c r="G39" i="2"/>
  <c r="I39" i="2" s="1"/>
  <c r="H38" i="2"/>
  <c r="G38" i="2"/>
  <c r="I38" i="2" s="1"/>
  <c r="A37" i="2"/>
  <c r="A34" i="2"/>
  <c r="A31" i="2"/>
  <c r="A25" i="2"/>
  <c r="A24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H8" i="2"/>
  <c r="G8" i="2"/>
  <c r="I8" i="2" s="1"/>
  <c r="H7" i="2"/>
  <c r="G7" i="2"/>
  <c r="I7" i="2" s="1"/>
  <c r="H6" i="2"/>
  <c r="G6" i="2"/>
  <c r="I6" i="2" s="1"/>
  <c r="H5" i="2"/>
  <c r="G5" i="2"/>
  <c r="H4" i="2"/>
  <c r="G4" i="2"/>
  <c r="I4" i="2" s="1"/>
  <c r="H3" i="2"/>
  <c r="G3" i="2"/>
  <c r="H2" i="2"/>
  <c r="G2" i="2"/>
  <c r="I2" i="2" s="1"/>
  <c r="A2" i="2"/>
  <c r="A39" i="2" s="1"/>
  <c r="C33" i="1"/>
  <c r="C20" i="1"/>
  <c r="A35" i="2" l="1"/>
  <c r="A36" i="2"/>
  <c r="A19" i="2"/>
  <c r="A22" i="2"/>
  <c r="I3" i="2"/>
  <c r="I9" i="2"/>
  <c r="A23" i="2"/>
  <c r="A26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<sst xmlns="http://schemas.openxmlformats.org/spreadsheetml/2006/main" count="2169" uniqueCount="373">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</sst>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3234401</v>
      </c>
    </row>
    <row r="8" spans="1:3" ht="15" customHeight="1" x14ac:dyDescent="0.25">
      <c r="B8" s="5" t="s">
        <v>8</v>
      </c>
      <c r="C8" s="44">
        <v>0.54400000000000004</v>
      </c>
    </row>
    <row r="9" spans="1:3" ht="15" customHeight="1" x14ac:dyDescent="0.25">
      <c r="B9" s="5" t="s">
        <v>9</v>
      </c>
      <c r="C9" s="45">
        <v>0.83</v>
      </c>
    </row>
    <row r="10" spans="1:3" ht="15" customHeight="1" x14ac:dyDescent="0.25">
      <c r="B10" s="5" t="s">
        <v>10</v>
      </c>
      <c r="C10" s="45">
        <v>0.32603321079999997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0.19700000000000001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9.5700000000000007E-2</v>
      </c>
    </row>
    <row r="24" spans="1:3" ht="15" customHeight="1" x14ac:dyDescent="0.25">
      <c r="B24" s="15" t="s">
        <v>22</v>
      </c>
      <c r="C24" s="45">
        <v>0.50319999999999998</v>
      </c>
    </row>
    <row r="25" spans="1:3" ht="15" customHeight="1" x14ac:dyDescent="0.25">
      <c r="B25" s="15" t="s">
        <v>23</v>
      </c>
      <c r="C25" s="45">
        <v>0.32229999999999998</v>
      </c>
    </row>
    <row r="26" spans="1:3" ht="15" customHeight="1" x14ac:dyDescent="0.25">
      <c r="B26" s="15" t="s">
        <v>24</v>
      </c>
      <c r="C26" s="45">
        <v>7.8799999999999995E-2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0.25571203379649299</v>
      </c>
    </row>
    <row r="30" spans="1:3" ht="14.25" customHeight="1" x14ac:dyDescent="0.25">
      <c r="B30" s="25" t="s">
        <v>27</v>
      </c>
      <c r="C30" s="97">
        <v>3.3819814705800401E-2</v>
      </c>
    </row>
    <row r="31" spans="1:3" ht="14.25" customHeight="1" x14ac:dyDescent="0.25">
      <c r="B31" s="25" t="s">
        <v>28</v>
      </c>
      <c r="C31" s="97">
        <v>7.04524288623571E-2</v>
      </c>
    </row>
    <row r="32" spans="1:3" ht="14.25" customHeight="1" x14ac:dyDescent="0.25">
      <c r="B32" s="25" t="s">
        <v>29</v>
      </c>
      <c r="C32" s="97">
        <v>0.64001572263535</v>
      </c>
    </row>
    <row r="33" spans="1:5" ht="13.25" customHeight="1" x14ac:dyDescent="0.25">
      <c r="B33" s="27" t="s">
        <v>30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24.560659999999999</v>
      </c>
    </row>
    <row r="38" spans="1:5" ht="15" customHeight="1" x14ac:dyDescent="0.25">
      <c r="B38" s="11" t="s">
        <v>34</v>
      </c>
      <c r="C38" s="43">
        <v>40.190779999999997</v>
      </c>
      <c r="D38" s="12"/>
      <c r="E38" s="13"/>
    </row>
    <row r="39" spans="1:5" ht="15" customHeight="1" x14ac:dyDescent="0.25">
      <c r="B39" s="11" t="s">
        <v>35</v>
      </c>
      <c r="C39" s="43">
        <v>57.691830000000003</v>
      </c>
      <c r="D39" s="12"/>
      <c r="E39" s="12"/>
    </row>
    <row r="40" spans="1:5" ht="15" customHeight="1" x14ac:dyDescent="0.25">
      <c r="B40" s="11" t="s">
        <v>36</v>
      </c>
      <c r="C40" s="98">
        <v>1.35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14.23291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6.5190999999999999E-3</v>
      </c>
      <c r="D45" s="12"/>
    </row>
    <row r="46" spans="1:5" ht="15.75" customHeight="1" x14ac:dyDescent="0.25">
      <c r="B46" s="11" t="s">
        <v>41</v>
      </c>
      <c r="C46" s="45">
        <v>7.0119699999999993E-2</v>
      </c>
      <c r="D46" s="12"/>
    </row>
    <row r="47" spans="1:5" ht="15.75" customHeight="1" x14ac:dyDescent="0.25">
      <c r="B47" s="11" t="s">
        <v>42</v>
      </c>
      <c r="C47" s="45">
        <v>0.16534509999999999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2.7040000000000002</v>
      </c>
      <c r="D51" s="12"/>
    </row>
    <row r="52" spans="1:4" ht="15" customHeight="1" x14ac:dyDescent="0.25">
      <c r="B52" s="11" t="s">
        <v>46</v>
      </c>
      <c r="C52" s="98">
        <v>2.7040000000000002</v>
      </c>
    </row>
    <row r="53" spans="1:4" ht="15.75" customHeight="1" x14ac:dyDescent="0.25">
      <c r="B53" s="11" t="s">
        <v>47</v>
      </c>
      <c r="C53" s="98">
        <v>7.7220000000000004</v>
      </c>
    </row>
    <row r="54" spans="1:4" ht="15.75" customHeight="1" x14ac:dyDescent="0.25">
      <c r="B54" s="11" t="s">
        <v>48</v>
      </c>
      <c r="C54" s="98">
        <v>7.2539999999999996</v>
      </c>
    </row>
    <row r="55" spans="1:4" ht="15.75" customHeight="1" x14ac:dyDescent="0.25">
      <c r="B55" s="11" t="s">
        <v>49</v>
      </c>
      <c r="C55" s="98">
        <v>2.3919999999999999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0.50240399999999996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0.1124687551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697518</v>
      </c>
      <c r="C2" s="49">
        <v>1205367</v>
      </c>
      <c r="D2" s="49">
        <v>1876721</v>
      </c>
      <c r="E2" s="49">
        <v>1371379</v>
      </c>
      <c r="F2" s="49">
        <v>940599.5</v>
      </c>
      <c r="G2" s="17">
        <f t="shared" ref="G2:G13" si="0">C2+D2+E2+F2</f>
        <v>5394066.5</v>
      </c>
      <c r="H2" s="17">
        <f t="shared" ref="H2:H13" si="1">(B2 + stillbirth*B2/(1000-stillbirth))/(1-abortion)</f>
        <v>804078.46736807865</v>
      </c>
      <c r="I2" s="17">
        <f t="shared" ref="I2:I13" si="2">G2-H2</f>
        <v>4589988.0326319216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708934</v>
      </c>
      <c r="C3" s="50">
        <v>1240877</v>
      </c>
      <c r="D3" s="50">
        <v>1936420</v>
      </c>
      <c r="E3" s="50">
        <v>1414164</v>
      </c>
      <c r="F3" s="50">
        <v>979882.00000000012</v>
      </c>
      <c r="G3" s="17">
        <f t="shared" si="0"/>
        <v>5571343</v>
      </c>
      <c r="H3" s="17">
        <f t="shared" si="1"/>
        <v>817238.50020375312</v>
      </c>
      <c r="I3" s="17">
        <f t="shared" si="2"/>
        <v>4754104.4997962471</v>
      </c>
    </row>
    <row r="4" spans="1:9" ht="15.75" customHeight="1" x14ac:dyDescent="0.25">
      <c r="A4" s="5">
        <f t="shared" si="3"/>
        <v>2026</v>
      </c>
      <c r="B4" s="49">
        <v>721060</v>
      </c>
      <c r="C4" s="50">
        <v>1273193.5</v>
      </c>
      <c r="D4" s="50">
        <v>1999374.5</v>
      </c>
      <c r="E4" s="50">
        <v>1457775.5</v>
      </c>
      <c r="F4" s="50">
        <v>1019339</v>
      </c>
      <c r="G4" s="17">
        <f t="shared" si="0"/>
        <v>5749682.5</v>
      </c>
      <c r="H4" s="17">
        <f t="shared" si="1"/>
        <v>831217.00039343338</v>
      </c>
      <c r="I4" s="17">
        <f t="shared" si="2"/>
        <v>4918465.4996065665</v>
      </c>
    </row>
    <row r="5" spans="1:9" ht="15.75" customHeight="1" x14ac:dyDescent="0.25">
      <c r="A5" s="5">
        <f t="shared" si="3"/>
        <v>2027</v>
      </c>
      <c r="B5" s="49">
        <v>732320</v>
      </c>
      <c r="C5" s="50">
        <v>1302392.5</v>
      </c>
      <c r="D5" s="50">
        <v>2064803.5</v>
      </c>
      <c r="E5" s="50">
        <v>1502422</v>
      </c>
      <c r="F5" s="50">
        <v>1058988</v>
      </c>
      <c r="G5" s="17">
        <f t="shared" si="0"/>
        <v>5928606</v>
      </c>
      <c r="H5" s="17">
        <f t="shared" si="1"/>
        <v>844197.2009654108</v>
      </c>
      <c r="I5" s="17">
        <f t="shared" si="2"/>
        <v>5084408.799034589</v>
      </c>
    </row>
    <row r="6" spans="1:9" ht="15.75" customHeight="1" x14ac:dyDescent="0.25">
      <c r="A6" s="5">
        <f t="shared" si="3"/>
        <v>2028</v>
      </c>
      <c r="B6" s="49">
        <v>740015</v>
      </c>
      <c r="C6" s="50">
        <v>1328640</v>
      </c>
      <c r="D6" s="50">
        <v>2131190</v>
      </c>
      <c r="E6" s="50">
        <v>1548727.5</v>
      </c>
      <c r="F6" s="50">
        <v>1098644.5</v>
      </c>
      <c r="G6" s="17">
        <f t="shared" si="0"/>
        <v>6107202</v>
      </c>
      <c r="H6" s="17">
        <f t="shared" si="1"/>
        <v>853067.77320354281</v>
      </c>
      <c r="I6" s="17">
        <f t="shared" si="2"/>
        <v>5254134.2267964575</v>
      </c>
    </row>
    <row r="7" spans="1:9" ht="15.75" customHeight="1" x14ac:dyDescent="0.25">
      <c r="A7" s="5">
        <f t="shared" si="3"/>
        <v>2029</v>
      </c>
      <c r="B7" s="49">
        <v>751998</v>
      </c>
      <c r="C7" s="50">
        <v>1351686</v>
      </c>
      <c r="D7" s="50">
        <v>2197879.5</v>
      </c>
      <c r="E7" s="50">
        <v>1596789</v>
      </c>
      <c r="F7" s="50">
        <v>1138666.5</v>
      </c>
      <c r="G7" s="17">
        <f t="shared" si="0"/>
        <v>6285021</v>
      </c>
      <c r="H7" s="17">
        <f t="shared" si="1"/>
        <v>866881.4271515006</v>
      </c>
      <c r="I7" s="17">
        <f t="shared" si="2"/>
        <v>5418139.5728484998</v>
      </c>
    </row>
    <row r="8" spans="1:9" ht="15.75" customHeight="1" x14ac:dyDescent="0.25">
      <c r="A8" s="5">
        <f t="shared" si="3"/>
        <v>2030</v>
      </c>
      <c r="B8" s="49">
        <v>761909</v>
      </c>
      <c r="C8" s="50">
        <v>1372085.5</v>
      </c>
      <c r="D8" s="50">
        <v>2264786.5</v>
      </c>
      <c r="E8" s="50">
        <v>1646270.5</v>
      </c>
      <c r="F8" s="50">
        <v>1179329.5</v>
      </c>
      <c r="G8" s="17">
        <f t="shared" si="0"/>
        <v>6462472</v>
      </c>
      <c r="H8" s="17">
        <f t="shared" si="1"/>
        <v>878306.53975086741</v>
      </c>
      <c r="I8" s="17">
        <f t="shared" si="2"/>
        <v>5584165.4602491325</v>
      </c>
    </row>
    <row r="9" spans="1:9" ht="15.75" customHeight="1" x14ac:dyDescent="0.25">
      <c r="A9" s="5">
        <f t="shared" si="3"/>
        <v>2031</v>
      </c>
      <c r="B9" s="49">
        <v>771640</v>
      </c>
      <c r="C9" s="50">
        <v>1390872.5</v>
      </c>
      <c r="D9" s="50">
        <v>2331783</v>
      </c>
      <c r="E9" s="50">
        <v>1696890</v>
      </c>
      <c r="F9" s="50">
        <v>1220279</v>
      </c>
      <c r="G9" s="17">
        <f t="shared" si="0"/>
        <v>6639824.5</v>
      </c>
      <c r="H9" s="17">
        <f t="shared" si="1"/>
        <v>889524.15358442976</v>
      </c>
      <c r="I9" s="17">
        <f t="shared" si="2"/>
        <v>5750300.34641557</v>
      </c>
    </row>
    <row r="10" spans="1:9" ht="15.75" customHeight="1" x14ac:dyDescent="0.25">
      <c r="A10" s="5">
        <f t="shared" si="3"/>
        <v>2032</v>
      </c>
      <c r="B10" s="49">
        <v>779405</v>
      </c>
      <c r="C10" s="50">
        <v>1408983</v>
      </c>
      <c r="D10" s="50">
        <v>2397684.5</v>
      </c>
      <c r="E10" s="50">
        <v>1748798.5</v>
      </c>
      <c r="F10" s="50">
        <v>1260696</v>
      </c>
      <c r="G10" s="17">
        <f t="shared" si="0"/>
        <v>6816162</v>
      </c>
      <c r="H10" s="17">
        <f t="shared" si="1"/>
        <v>898475.41978704114</v>
      </c>
      <c r="I10" s="17">
        <f t="shared" si="2"/>
        <v>5917686.5802129591</v>
      </c>
    </row>
    <row r="11" spans="1:9" ht="15.75" customHeight="1" x14ac:dyDescent="0.25">
      <c r="A11" s="5">
        <f t="shared" si="3"/>
        <v>2033</v>
      </c>
      <c r="B11" s="49">
        <v>786522</v>
      </c>
      <c r="C11" s="50">
        <v>1428060</v>
      </c>
      <c r="D11" s="50">
        <v>2461095.5</v>
      </c>
      <c r="E11" s="50">
        <v>1802191</v>
      </c>
      <c r="F11" s="50">
        <v>1300859</v>
      </c>
      <c r="G11" s="17">
        <f t="shared" si="0"/>
        <v>6992205.5</v>
      </c>
      <c r="H11" s="17">
        <f t="shared" si="1"/>
        <v>906679.69043275726</v>
      </c>
      <c r="I11" s="17">
        <f t="shared" si="2"/>
        <v>6085525.8095672429</v>
      </c>
    </row>
    <row r="12" spans="1:9" ht="15.75" customHeight="1" x14ac:dyDescent="0.25">
      <c r="A12" s="5">
        <f t="shared" si="3"/>
        <v>2034</v>
      </c>
      <c r="B12" s="49">
        <v>794523</v>
      </c>
      <c r="C12" s="50">
        <v>1449438.5</v>
      </c>
      <c r="D12" s="50">
        <v>2520444</v>
      </c>
      <c r="E12" s="50">
        <v>1857475.5</v>
      </c>
      <c r="F12" s="50">
        <v>1341751</v>
      </c>
      <c r="G12" s="17">
        <f t="shared" si="0"/>
        <v>7169109</v>
      </c>
      <c r="H12" s="17">
        <f t="shared" si="1"/>
        <v>915903.01057275664</v>
      </c>
      <c r="I12" s="17">
        <f t="shared" si="2"/>
        <v>6253205.9894272434</v>
      </c>
    </row>
    <row r="13" spans="1:9" ht="15.75" customHeight="1" x14ac:dyDescent="0.25">
      <c r="A13" s="5">
        <f t="shared" si="3"/>
        <v>2035</v>
      </c>
      <c r="B13" s="49">
        <v>802366</v>
      </c>
      <c r="C13" s="50">
        <v>1472354.5</v>
      </c>
      <c r="D13" s="50">
        <v>2574791.5</v>
      </c>
      <c r="E13" s="50">
        <v>1915645.5</v>
      </c>
      <c r="F13" s="50">
        <v>1383505.5</v>
      </c>
      <c r="G13" s="17">
        <f t="shared" si="0"/>
        <v>7346297</v>
      </c>
      <c r="H13" s="17">
        <f t="shared" si="1"/>
        <v>924944.19290721649</v>
      </c>
      <c r="I13" s="17">
        <f t="shared" si="2"/>
        <v>6421352.807092784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9.0967995857898585E-3</v>
      </c>
    </row>
    <row r="4" spans="1:8" ht="15.75" customHeight="1" x14ac:dyDescent="0.25">
      <c r="B4" s="19" t="s">
        <v>69</v>
      </c>
      <c r="C4" s="99">
        <v>6.4092908854742933E-2</v>
      </c>
    </row>
    <row r="5" spans="1:8" ht="15.75" customHeight="1" x14ac:dyDescent="0.25">
      <c r="B5" s="19" t="s">
        <v>70</v>
      </c>
      <c r="C5" s="99">
        <v>9.1282258767163948E-2</v>
      </c>
    </row>
    <row r="6" spans="1:8" ht="15.75" customHeight="1" x14ac:dyDescent="0.25">
      <c r="B6" s="19" t="s">
        <v>71</v>
      </c>
      <c r="C6" s="99">
        <v>0.25451199617035808</v>
      </c>
    </row>
    <row r="7" spans="1:8" ht="15.75" customHeight="1" x14ac:dyDescent="0.25">
      <c r="B7" s="19" t="s">
        <v>72</v>
      </c>
      <c r="C7" s="99">
        <v>0.39199030171442639</v>
      </c>
    </row>
    <row r="8" spans="1:8" ht="15.75" customHeight="1" x14ac:dyDescent="0.25">
      <c r="B8" s="19" t="s">
        <v>73</v>
      </c>
      <c r="C8" s="99">
        <v>1.5420714712771921E-3</v>
      </c>
    </row>
    <row r="9" spans="1:8" ht="15.75" customHeight="1" x14ac:dyDescent="0.25">
      <c r="B9" s="19" t="s">
        <v>74</v>
      </c>
      <c r="C9" s="99">
        <v>6.391594819168625E-2</v>
      </c>
    </row>
    <row r="10" spans="1:8" ht="15.75" customHeight="1" x14ac:dyDescent="0.25">
      <c r="B10" s="19" t="s">
        <v>75</v>
      </c>
      <c r="C10" s="99">
        <v>0.1235677152445553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0.13996090768757741</v>
      </c>
      <c r="D14" s="55">
        <v>0.13996090768757741</v>
      </c>
      <c r="E14" s="55">
        <v>0.13996090768757741</v>
      </c>
      <c r="F14" s="55">
        <v>0.13996090768757741</v>
      </c>
    </row>
    <row r="15" spans="1:8" ht="15.75" customHeight="1" x14ac:dyDescent="0.25">
      <c r="B15" s="19" t="s">
        <v>82</v>
      </c>
      <c r="C15" s="99">
        <v>0.1825969991650476</v>
      </c>
      <c r="D15" s="99">
        <v>0.1825969991650476</v>
      </c>
      <c r="E15" s="99">
        <v>0.1825969991650476</v>
      </c>
      <c r="F15" s="99">
        <v>0.1825969991650476</v>
      </c>
    </row>
    <row r="16" spans="1:8" ht="15.75" customHeight="1" x14ac:dyDescent="0.25">
      <c r="B16" s="19" t="s">
        <v>83</v>
      </c>
      <c r="C16" s="99">
        <v>1.688769665810308E-2</v>
      </c>
      <c r="D16" s="99">
        <v>1.688769665810308E-2</v>
      </c>
      <c r="E16" s="99">
        <v>1.688769665810308E-2</v>
      </c>
      <c r="F16" s="99">
        <v>1.688769665810308E-2</v>
      </c>
    </row>
    <row r="17" spans="1:8" ht="15.75" customHeight="1" x14ac:dyDescent="0.25">
      <c r="B17" s="19" t="s">
        <v>84</v>
      </c>
      <c r="C17" s="99">
        <v>1.7773095567990671E-3</v>
      </c>
      <c r="D17" s="99">
        <v>1.7773095567990671E-3</v>
      </c>
      <c r="E17" s="99">
        <v>1.7773095567990671E-3</v>
      </c>
      <c r="F17" s="99">
        <v>1.7773095567990671E-3</v>
      </c>
    </row>
    <row r="18" spans="1:8" ht="15.75" customHeight="1" x14ac:dyDescent="0.25">
      <c r="B18" s="19" t="s">
        <v>85</v>
      </c>
      <c r="C18" s="99">
        <v>0.1345228179711539</v>
      </c>
      <c r="D18" s="99">
        <v>0.1345228179711539</v>
      </c>
      <c r="E18" s="99">
        <v>0.1345228179711539</v>
      </c>
      <c r="F18" s="99">
        <v>0.1345228179711539</v>
      </c>
    </row>
    <row r="19" spans="1:8" ht="15.75" customHeight="1" x14ac:dyDescent="0.25">
      <c r="B19" s="19" t="s">
        <v>86</v>
      </c>
      <c r="C19" s="99">
        <v>2.3061119344817509E-2</v>
      </c>
      <c r="D19" s="99">
        <v>2.3061119344817509E-2</v>
      </c>
      <c r="E19" s="99">
        <v>2.3061119344817509E-2</v>
      </c>
      <c r="F19" s="99">
        <v>2.3061119344817509E-2</v>
      </c>
    </row>
    <row r="20" spans="1:8" ht="15.75" customHeight="1" x14ac:dyDescent="0.25">
      <c r="B20" s="19" t="s">
        <v>87</v>
      </c>
      <c r="C20" s="99">
        <v>0.23695712210512701</v>
      </c>
      <c r="D20" s="99">
        <v>0.23695712210512701</v>
      </c>
      <c r="E20" s="99">
        <v>0.23695712210512701</v>
      </c>
      <c r="F20" s="99">
        <v>0.23695712210512701</v>
      </c>
    </row>
    <row r="21" spans="1:8" ht="15.75" customHeight="1" x14ac:dyDescent="0.25">
      <c r="B21" s="19" t="s">
        <v>88</v>
      </c>
      <c r="C21" s="99">
        <v>0.1034812689154867</v>
      </c>
      <c r="D21" s="99">
        <v>0.1034812689154867</v>
      </c>
      <c r="E21" s="99">
        <v>0.1034812689154867</v>
      </c>
      <c r="F21" s="99">
        <v>0.1034812689154867</v>
      </c>
    </row>
    <row r="22" spans="1:8" ht="15.75" customHeight="1" x14ac:dyDescent="0.25">
      <c r="B22" s="19" t="s">
        <v>89</v>
      </c>
      <c r="C22" s="99">
        <v>0.1607547585958877</v>
      </c>
      <c r="D22" s="99">
        <v>0.1607547585958877</v>
      </c>
      <c r="E22" s="99">
        <v>0.1607547585958877</v>
      </c>
      <c r="F22" s="99">
        <v>0.1607547585958877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8.1868175000000001E-2</v>
      </c>
    </row>
    <row r="27" spans="1:8" ht="15.75" customHeight="1" x14ac:dyDescent="0.25">
      <c r="B27" s="19" t="s">
        <v>92</v>
      </c>
      <c r="C27" s="99">
        <v>8.1904539999999998E-3</v>
      </c>
    </row>
    <row r="28" spans="1:8" ht="15.75" customHeight="1" x14ac:dyDescent="0.25">
      <c r="B28" s="19" t="s">
        <v>93</v>
      </c>
      <c r="C28" s="99">
        <v>0.143739488</v>
      </c>
    </row>
    <row r="29" spans="1:8" ht="15.75" customHeight="1" x14ac:dyDescent="0.25">
      <c r="B29" s="19" t="s">
        <v>94</v>
      </c>
      <c r="C29" s="99">
        <v>0.15393818500000001</v>
      </c>
    </row>
    <row r="30" spans="1:8" ht="15.75" customHeight="1" x14ac:dyDescent="0.25">
      <c r="B30" s="19" t="s">
        <v>95</v>
      </c>
      <c r="C30" s="99">
        <v>9.7379692000000004E-2</v>
      </c>
    </row>
    <row r="31" spans="1:8" ht="15.75" customHeight="1" x14ac:dyDescent="0.25">
      <c r="B31" s="19" t="s">
        <v>96</v>
      </c>
      <c r="C31" s="99">
        <v>9.8883503999999997E-2</v>
      </c>
    </row>
    <row r="32" spans="1:8" ht="15.75" customHeight="1" x14ac:dyDescent="0.25">
      <c r="B32" s="19" t="s">
        <v>97</v>
      </c>
      <c r="C32" s="99">
        <v>1.7031174E-2</v>
      </c>
    </row>
    <row r="33" spans="2:3" ht="15.75" customHeight="1" x14ac:dyDescent="0.25">
      <c r="B33" s="19" t="s">
        <v>98</v>
      </c>
      <c r="C33" s="99">
        <v>7.6512073999999999E-2</v>
      </c>
    </row>
    <row r="34" spans="2:3" ht="15.75" customHeight="1" x14ac:dyDescent="0.25">
      <c r="B34" s="19" t="s">
        <v>99</v>
      </c>
      <c r="C34" s="99">
        <v>0.32245725400000003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0.4568322256346693</v>
      </c>
      <c r="D2" s="52">
        <f>IFERROR(1-_xlfn.NORM.DIST(_xlfn.NORM.INV(SUM(D4:D5), 0, 1) + 1, 0, 1, TRUE), "")</f>
        <v>0.4568322256346693</v>
      </c>
      <c r="E2" s="52">
        <f>IFERROR(1-_xlfn.NORM.DIST(_xlfn.NORM.INV(SUM(E4:E5), 0, 1) + 1, 0, 1, TRUE), "")</f>
        <v>0.36539808671294383</v>
      </c>
      <c r="F2" s="52">
        <f>IFERROR(1-_xlfn.NORM.DIST(_xlfn.NORM.INV(SUM(F4:F5), 0, 1) + 1, 0, 1, TRUE), "")</f>
        <v>0.21797617679540382</v>
      </c>
      <c r="G2" s="52">
        <f>IFERROR(1-_xlfn.NORM.DIST(_xlfn.NORM.INV(SUM(G4:G5), 0, 1) + 1, 0, 1, TRUE), "")</f>
        <v>0.25543171912396501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0.35685937436533072</v>
      </c>
      <c r="D3" s="52">
        <f>IFERROR(_xlfn.NORM.DIST(_xlfn.NORM.INV(SUM(D4:D5), 0, 1) + 1, 0, 1, TRUE) - SUM(D4:D5), "")</f>
        <v>0.35685937436533072</v>
      </c>
      <c r="E3" s="52">
        <f>IFERROR(_xlfn.NORM.DIST(_xlfn.NORM.INV(SUM(E4:E5), 0, 1) + 1, 0, 1, TRUE) - SUM(E4:E5), "")</f>
        <v>0.37866841328705619</v>
      </c>
      <c r="F3" s="52">
        <f>IFERROR(_xlfn.NORM.DIST(_xlfn.NORM.INV(SUM(F4:F5), 0, 1) + 1, 0, 1, TRUE) - SUM(F4:F5), "")</f>
        <v>0.36945952320459619</v>
      </c>
      <c r="G3" s="52">
        <f>IFERROR(_xlfn.NORM.DIST(_xlfn.NORM.INV(SUM(G4:G5), 0, 1) + 1, 0, 1, TRUE) - SUM(G4:G5), "")</f>
        <v>0.37858328087603499</v>
      </c>
    </row>
    <row r="4" spans="1:15" ht="15.75" customHeight="1" x14ac:dyDescent="0.25">
      <c r="B4" s="5" t="s">
        <v>104</v>
      </c>
      <c r="C4" s="45">
        <v>0.1191277</v>
      </c>
      <c r="D4" s="53">
        <v>0.1191277</v>
      </c>
      <c r="E4" s="53">
        <v>0.1706712</v>
      </c>
      <c r="F4" s="53">
        <v>0.24477189999999999</v>
      </c>
      <c r="G4" s="53">
        <v>0.2499488</v>
      </c>
    </row>
    <row r="5" spans="1:15" ht="15.75" customHeight="1" x14ac:dyDescent="0.25">
      <c r="B5" s="5" t="s">
        <v>105</v>
      </c>
      <c r="C5" s="45">
        <v>6.7180699999999996E-2</v>
      </c>
      <c r="D5" s="53">
        <v>6.7180699999999996E-2</v>
      </c>
      <c r="E5" s="53">
        <v>8.5262299999999999E-2</v>
      </c>
      <c r="F5" s="53">
        <v>0.16779240000000001</v>
      </c>
      <c r="G5" s="53">
        <v>0.11603620000000001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0.73659125910134149</v>
      </c>
      <c r="D8" s="52">
        <f>IFERROR(1-_xlfn.NORM.DIST(_xlfn.NORM.INV(SUM(D10:D11), 0, 1) + 1, 0, 1, TRUE), "")</f>
        <v>0.73659125910134149</v>
      </c>
      <c r="E8" s="52">
        <f>IFERROR(1-_xlfn.NORM.DIST(_xlfn.NORM.INV(SUM(E10:E11), 0, 1) + 1, 0, 1, TRUE), "")</f>
        <v>0.73545572398549219</v>
      </c>
      <c r="F8" s="52">
        <f>IFERROR(1-_xlfn.NORM.DIST(_xlfn.NORM.INV(SUM(F10:F11), 0, 1) + 1, 0, 1, TRUE), "")</f>
        <v>0.73094151101687888</v>
      </c>
      <c r="G8" s="52">
        <f>IFERROR(1-_xlfn.NORM.DIST(_xlfn.NORM.INV(SUM(G10:G11), 0, 1) + 1, 0, 1, TRUE), "")</f>
        <v>0.78897733079998378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0.2121607408986585</v>
      </c>
      <c r="D9" s="52">
        <f>IFERROR(_xlfn.NORM.DIST(_xlfn.NORM.INV(SUM(D10:D11), 0, 1) + 1, 0, 1, TRUE) - SUM(D10:D11), "")</f>
        <v>0.2121607408986585</v>
      </c>
      <c r="E9" s="52">
        <f>IFERROR(_xlfn.NORM.DIST(_xlfn.NORM.INV(SUM(E10:E11), 0, 1) + 1, 0, 1, TRUE) - SUM(E10:E11), "")</f>
        <v>0.2129298760145078</v>
      </c>
      <c r="F9" s="52">
        <f>IFERROR(_xlfn.NORM.DIST(_xlfn.NORM.INV(SUM(F10:F11), 0, 1) + 1, 0, 1, TRUE) - SUM(F10:F11), "")</f>
        <v>0.21597488898312106</v>
      </c>
      <c r="G9" s="52">
        <f>IFERROR(_xlfn.NORM.DIST(_xlfn.NORM.INV(SUM(G10:G11), 0, 1) + 1, 0, 1, TRUE) - SUM(G10:G11), "")</f>
        <v>0.17531896920001622</v>
      </c>
    </row>
    <row r="10" spans="1:15" ht="15.75" customHeight="1" x14ac:dyDescent="0.25">
      <c r="B10" s="5" t="s">
        <v>109</v>
      </c>
      <c r="C10" s="45">
        <v>2.7563299999999999E-2</v>
      </c>
      <c r="D10" s="53">
        <v>2.7563299999999999E-2</v>
      </c>
      <c r="E10" s="53">
        <v>4.14823E-2</v>
      </c>
      <c r="F10" s="53">
        <v>3.5414500000000002E-2</v>
      </c>
      <c r="G10" s="53">
        <v>2.1985500000000002E-2</v>
      </c>
    </row>
    <row r="11" spans="1:15" ht="15.75" customHeight="1" x14ac:dyDescent="0.25">
      <c r="B11" s="5" t="s">
        <v>110</v>
      </c>
      <c r="C11" s="45">
        <v>2.36847E-2</v>
      </c>
      <c r="D11" s="53">
        <v>2.36847E-2</v>
      </c>
      <c r="E11" s="53">
        <v>1.01321E-2</v>
      </c>
      <c r="F11" s="53">
        <v>1.76691E-2</v>
      </c>
      <c r="G11" s="53">
        <v>1.37182E-2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0.68039410399999989</v>
      </c>
      <c r="D14" s="54">
        <v>0.6725565473509999</v>
      </c>
      <c r="E14" s="54">
        <v>0.6725565473509999</v>
      </c>
      <c r="F14" s="54">
        <v>0.61939207375200001</v>
      </c>
      <c r="G14" s="54">
        <v>0.61939207375200001</v>
      </c>
      <c r="H14" s="45">
        <v>0.39100000000000001</v>
      </c>
      <c r="I14" s="55">
        <v>0.39100000000000001</v>
      </c>
      <c r="J14" s="55">
        <v>0.39100000000000001</v>
      </c>
      <c r="K14" s="55">
        <v>0.39100000000000001</v>
      </c>
      <c r="L14" s="45">
        <v>0.33</v>
      </c>
      <c r="M14" s="55">
        <v>0.33</v>
      </c>
      <c r="N14" s="55">
        <v>0.33</v>
      </c>
      <c r="O14" s="55">
        <v>0.33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0.3418327194260159</v>
      </c>
      <c r="D15" s="52">
        <f t="shared" si="0"/>
        <v>0.33789509961533171</v>
      </c>
      <c r="E15" s="52">
        <f t="shared" si="0"/>
        <v>0.33789509961533171</v>
      </c>
      <c r="F15" s="52">
        <f t="shared" si="0"/>
        <v>0.31118505542129976</v>
      </c>
      <c r="G15" s="52">
        <f t="shared" si="0"/>
        <v>0.31118505542129976</v>
      </c>
      <c r="H15" s="52">
        <f t="shared" si="0"/>
        <v>0.19643996399999999</v>
      </c>
      <c r="I15" s="52">
        <f t="shared" si="0"/>
        <v>0.19643996399999999</v>
      </c>
      <c r="J15" s="52">
        <f t="shared" si="0"/>
        <v>0.19643996399999999</v>
      </c>
      <c r="K15" s="52">
        <f t="shared" si="0"/>
        <v>0.19643996399999999</v>
      </c>
      <c r="L15" s="52">
        <f t="shared" si="0"/>
        <v>0.16579331999999999</v>
      </c>
      <c r="M15" s="52">
        <f t="shared" si="0"/>
        <v>0.16579331999999999</v>
      </c>
      <c r="N15" s="52">
        <f t="shared" si="0"/>
        <v>0.16579331999999999</v>
      </c>
      <c r="O15" s="52">
        <f t="shared" si="0"/>
        <v>0.16579331999999999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0.90592820000000007</v>
      </c>
      <c r="D2" s="53">
        <v>0.64176169999999999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2.7448899999999998E-2</v>
      </c>
      <c r="D3" s="53">
        <v>0.1020122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2.36939E-2</v>
      </c>
      <c r="D4" s="53">
        <v>0.22018969999999999</v>
      </c>
      <c r="E4" s="53">
        <v>0.94635409999999998</v>
      </c>
      <c r="F4" s="53">
        <v>0.6304708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4.2928999999999884E-2</v>
      </c>
      <c r="D5" s="52">
        <f t="shared" si="0"/>
        <v>3.6036399999999968E-2</v>
      </c>
      <c r="E5" s="52">
        <f>1-SUM(E2:E4)</f>
        <v>5.3645900000000024E-2</v>
      </c>
      <c r="F5" s="52">
        <f>1-SUM(F2:F4)</f>
        <v>0.3695292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1456.9015701544499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0.33787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0.52536000000000005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1.0857408838744073E-2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93725.690520000004</v>
      </c>
      <c r="C22" s="107">
        <v>93075.482359999995</v>
      </c>
      <c r="D22" s="107">
        <v>92685.731390000001</v>
      </c>
      <c r="E22" s="107">
        <v>91944.631710000001</v>
      </c>
      <c r="F22" s="107">
        <v>90885.834950000004</v>
      </c>
      <c r="G22" s="107">
        <v>89549.660919999995</v>
      </c>
      <c r="H22" s="107">
        <v>87692.624419999993</v>
      </c>
      <c r="I22" s="107">
        <v>85113.098379999996</v>
      </c>
      <c r="J22" s="107">
        <v>81570.902390000003</v>
      </c>
      <c r="K22" s="107">
        <v>77104.123989999993</v>
      </c>
      <c r="L22" s="107">
        <v>71433.730750000002</v>
      </c>
      <c r="M22" s="107">
        <v>64670.832759999998</v>
      </c>
      <c r="N22" s="107">
        <v>56426.834710000003</v>
      </c>
      <c r="O22" s="107">
        <v>46824.934529999999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19.75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19.75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6.41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2.1291837256908908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0.2139553248340432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0.78848199824391296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0.25</v>
      </c>
      <c r="C9" s="96">
        <v>0.95</v>
      </c>
      <c r="D9" s="56">
        <v>0.20568905243790248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0.72482939999999996</v>
      </c>
      <c r="C10" s="96">
        <v>0.95</v>
      </c>
      <c r="D10" s="56">
        <v>14.26897757170995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14.26897757170995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14.26897757170995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14.26897757170995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0.79139999999999999</v>
      </c>
      <c r="C14" s="96">
        <v>0.95</v>
      </c>
      <c r="D14" s="56">
        <v>2.7125243790248388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14.26897757170995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0.80843429999999994</v>
      </c>
      <c r="C16" s="96">
        <v>0.95</v>
      </c>
      <c r="D16" s="56">
        <v>2.1562548532894295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</v>
      </c>
      <c r="C17" s="96">
        <v>0.95</v>
      </c>
      <c r="D17" s="56">
        <v>0.58636119533868591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0.46</v>
      </c>
      <c r="C18" s="96">
        <v>0.95</v>
      </c>
      <c r="D18" s="56">
        <v>6.4149273229070838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0.64176169999999999</v>
      </c>
      <c r="C19" s="96">
        <v>0.95</v>
      </c>
      <c r="D19" s="56">
        <v>3.0133371170447369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7.2638561333206297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6.41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0.71545519999999996</v>
      </c>
      <c r="C23" s="96">
        <v>0.95</v>
      </c>
      <c r="D23" s="56">
        <v>4.7084773800389677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0.59945256852146001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5.5E-2</v>
      </c>
      <c r="C26" s="96">
        <v>0.95</v>
      </c>
      <c r="D26" s="56">
        <v>4.6280036798528057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8.8360724993186164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0.66792069999999992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0.23221729999999999</v>
      </c>
      <c r="C29" s="96">
        <v>0.95</v>
      </c>
      <c r="D29" s="56">
        <v>112.4872415972974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57.448392612859095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154.26678932842685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0.67400000000000004</v>
      </c>
      <c r="C32" s="96">
        <v>0.95</v>
      </c>
      <c r="D32" s="56">
        <v>1.208423183072677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0.18154609999999999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0.73697869999999999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5.3560000000000001E-4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0.3439854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0.33500000000000002</v>
      </c>
      <c r="C38" s="96">
        <v>0.95</v>
      </c>
      <c r="D38" s="56">
        <v>1.1570009199632014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5.8497136845734818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2.7040000000000002</v>
      </c>
      <c r="C2" s="21">
        <f>'Baseline year population inputs'!C52</f>
        <v>2.7040000000000002</v>
      </c>
      <c r="D2" s="21">
        <f>'Baseline year population inputs'!C53</f>
        <v>7.7220000000000004</v>
      </c>
      <c r="E2" s="21">
        <f>'Baseline year population inputs'!C54</f>
        <v>7.2539999999999996</v>
      </c>
      <c r="F2" s="21">
        <f>'Baseline year population inputs'!C55</f>
        <v>2.3919999999999999</v>
      </c>
    </row>
    <row r="3" spans="1:6" ht="15.75" customHeight="1" x14ac:dyDescent="0.25">
      <c r="A3" s="3" t="s">
        <v>197</v>
      </c>
      <c r="B3" s="21">
        <f>frac_mam_1month * 2.6</f>
        <v>7.1664580000000005E-2</v>
      </c>
      <c r="C3" s="21">
        <f>frac_mam_1_5months * 2.6</f>
        <v>7.1664580000000005E-2</v>
      </c>
      <c r="D3" s="21">
        <f>frac_mam_6_11months * 2.6</f>
        <v>0.10785398</v>
      </c>
      <c r="E3" s="21">
        <f>frac_mam_12_23months * 2.6</f>
        <v>9.2077700000000012E-2</v>
      </c>
      <c r="F3" s="21">
        <f>frac_mam_24_59months * 2.6</f>
        <v>5.7162300000000006E-2</v>
      </c>
    </row>
    <row r="4" spans="1:6" ht="15.75" customHeight="1" x14ac:dyDescent="0.25">
      <c r="A4" s="3" t="s">
        <v>198</v>
      </c>
      <c r="B4" s="21">
        <f>frac_sam_1month * 2.6</f>
        <v>6.1580219999999998E-2</v>
      </c>
      <c r="C4" s="21">
        <f>frac_sam_1_5months * 2.6</f>
        <v>6.1580219999999998E-2</v>
      </c>
      <c r="D4" s="21">
        <f>frac_sam_6_11months * 2.6</f>
        <v>2.6343459999999999E-2</v>
      </c>
      <c r="E4" s="21">
        <f>frac_sam_12_23months * 2.6</f>
        <v>4.593966E-2</v>
      </c>
      <c r="F4" s="21">
        <f>frac_sam_24_59months * 2.6</f>
        <v>3.5667320000000002E-2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0.54400000000000004</v>
      </c>
      <c r="F2" s="60">
        <f>food_insecure</f>
        <v>0.54400000000000004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0.54400000000000004</v>
      </c>
      <c r="F5" s="60">
        <f>food_insecure</f>
        <v>0.54400000000000004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5.8996363636363645E-2</v>
      </c>
      <c r="D7" s="60">
        <f>diarrhoea_1_5mo*frac_diarrhea_severe</f>
        <v>5.8996363636363645E-2</v>
      </c>
      <c r="E7" s="60">
        <f>diarrhoea_6_11mo*frac_diarrhea_severe</f>
        <v>0.16848000000000002</v>
      </c>
      <c r="F7" s="60">
        <f>diarrhoea_12_23mo*frac_diarrhea_severe</f>
        <v>0.15826909090909091</v>
      </c>
      <c r="G7" s="60">
        <f>diarrhoea_24_59mo*frac_diarrhea_severe</f>
        <v>5.2189090909090914E-2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0.54400000000000004</v>
      </c>
      <c r="F8" s="60">
        <f>food_insecure</f>
        <v>0.54400000000000004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0.54400000000000004</v>
      </c>
      <c r="F9" s="60">
        <f>food_insecure</f>
        <v>0.54400000000000004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5.8996363636363645E-2</v>
      </c>
      <c r="D12" s="60">
        <f>diarrhoea_1_5mo*frac_diarrhea_severe</f>
        <v>5.8996363636363645E-2</v>
      </c>
      <c r="E12" s="60">
        <f>diarrhoea_6_11mo*frac_diarrhea_severe</f>
        <v>0.16848000000000002</v>
      </c>
      <c r="F12" s="60">
        <f>diarrhoea_12_23mo*frac_diarrhea_severe</f>
        <v>0.15826909090909091</v>
      </c>
      <c r="G12" s="60">
        <f>diarrhoea_24_59mo*frac_diarrhea_severe</f>
        <v>5.2189090909090914E-2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0.54400000000000004</v>
      </c>
      <c r="I15" s="60">
        <f t="shared" si="0"/>
        <v>0.54400000000000004</v>
      </c>
      <c r="J15" s="60">
        <f t="shared" si="0"/>
        <v>0.54400000000000004</v>
      </c>
      <c r="K15" s="60">
        <f t="shared" si="0"/>
        <v>0.54400000000000004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0.54400000000000004</v>
      </c>
      <c r="I16" s="60">
        <f t="shared" si="0"/>
        <v>0.54400000000000004</v>
      </c>
      <c r="J16" s="60">
        <f t="shared" si="0"/>
        <v>0.54400000000000004</v>
      </c>
      <c r="K16" s="60">
        <f t="shared" si="0"/>
        <v>0.54400000000000004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0.83</v>
      </c>
      <c r="I19" s="60">
        <f>frac_malaria_risk</f>
        <v>0.83</v>
      </c>
      <c r="J19" s="60">
        <f>frac_malaria_risk</f>
        <v>0.83</v>
      </c>
      <c r="K19" s="60">
        <f>frac_malaria_risk</f>
        <v>0.83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0.19700000000000001</v>
      </c>
      <c r="M24" s="60">
        <f>famplan_unmet_need</f>
        <v>0.19700000000000001</v>
      </c>
      <c r="N24" s="60">
        <f>famplan_unmet_need</f>
        <v>0.19700000000000001</v>
      </c>
      <c r="O24" s="60">
        <f>famplan_unmet_need</f>
        <v>0.19700000000000001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0.40723769270620802</v>
      </c>
      <c r="M25" s="60">
        <f>(1-food_insecure)*(0.49)+food_insecure*(0.7)</f>
        <v>0.60424</v>
      </c>
      <c r="N25" s="60">
        <f>(1-food_insecure)*(0.49)+food_insecure*(0.7)</f>
        <v>0.60424</v>
      </c>
      <c r="O25" s="60">
        <f>(1-food_insecure)*(0.49)+food_insecure*(0.7)</f>
        <v>0.60424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0.174530439731232</v>
      </c>
      <c r="M26" s="60">
        <f>(1-food_insecure)*(0.21)+food_insecure*(0.3)</f>
        <v>0.25895999999999997</v>
      </c>
      <c r="N26" s="60">
        <f>(1-food_insecure)*(0.21)+food_insecure*(0.3)</f>
        <v>0.25895999999999997</v>
      </c>
      <c r="O26" s="60">
        <f>(1-food_insecure)*(0.21)+food_insecure*(0.3)</f>
        <v>0.25895999999999997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9.2198656762559991E-2</v>
      </c>
      <c r="M27" s="60">
        <f>(1-food_insecure)*(0.3)</f>
        <v>0.13679999999999998</v>
      </c>
      <c r="N27" s="60">
        <f>(1-food_insecure)*(0.3)</f>
        <v>0.13679999999999998</v>
      </c>
      <c r="O27" s="60">
        <f>(1-food_insecure)*(0.3)</f>
        <v>0.13679999999999998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0.83</v>
      </c>
      <c r="D34" s="60">
        <f t="shared" si="4"/>
        <v>0.83</v>
      </c>
      <c r="E34" s="60">
        <f t="shared" si="4"/>
        <v>0.83</v>
      </c>
      <c r="F34" s="60">
        <f t="shared" si="4"/>
        <v>0.83</v>
      </c>
      <c r="G34" s="60">
        <f t="shared" si="4"/>
        <v>0.83</v>
      </c>
      <c r="H34" s="60">
        <f t="shared" si="4"/>
        <v>0.83</v>
      </c>
      <c r="I34" s="60">
        <f t="shared" si="4"/>
        <v>0.83</v>
      </c>
      <c r="J34" s="60">
        <f t="shared" si="4"/>
        <v>0.83</v>
      </c>
      <c r="K34" s="60">
        <f t="shared" si="4"/>
        <v>0.83</v>
      </c>
      <c r="L34" s="60">
        <f t="shared" si="4"/>
        <v>0.83</v>
      </c>
      <c r="M34" s="60">
        <f t="shared" si="4"/>
        <v>0.83</v>
      </c>
      <c r="N34" s="60">
        <f t="shared" si="4"/>
        <v>0.83</v>
      </c>
      <c r="O34" s="60">
        <f t="shared" si="4"/>
        <v>0.83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9b9DvQJo3G6KJNUNq8X2QehGOtFR5U6yKm/syA6NM1J0lvXdCmzZlnKyhbrPClx1ZNPC01gUAZ+jhIfjrbLLQ==" saltValue="1U2JdgVE5zlYBKfyTDTw3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nHqzSn11/I1WCwvgSV/aFkE4DJCKbxU6E+/fckfwuo9TSYYFU2r03FX6SuodzE0Icw7QU7yQRDXQkg8mnkbQw==" saltValue="YhMnDcTLXSaovyjlmfHDMw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sHld8DXHNvBPvgOxgonJEdNr45oJ9dhGm4EyeRR/kJgZwuRtQOqpKRwAGWgbK7p0KPrU1sXLs5MI5cYHa/DMFQ==" saltValue="ExAPAhIxQbwU8rsTTgoi4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+Rt7ZWqFE4X26qXz/KjecTkQKgctzAjXiAuwem7Q53yDZR2yMdoSjy31bFNSh3+37+vm43wZuMN9UQUzoZI9/g==" saltValue="DN4zRpZshXPaqZQnWOz1eg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2026-04-06T07:36:41Z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