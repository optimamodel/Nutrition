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A75B2EB-257E-45E5-8902-FC0B833A2B0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<sst xmlns="http://schemas.openxmlformats.org/spreadsheetml/2006/main" count="2103" uniqueCount="341">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</sst>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3297990.21875</v>
      </c>
    </row>
    <row r="8" spans="1:3" ht="15" customHeight="1" x14ac:dyDescent="0.25">
      <c r="B8" s="5" t="s">
        <v>8</v>
      </c>
      <c r="C8" s="44">
        <v>0.57499999999999996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9">
        <v>3.3819814705800401E-2</v>
      </c>
    </row>
    <row r="31" spans="1:3" ht="14.25" customHeight="1" x14ac:dyDescent="0.25">
      <c r="B31" s="25" t="s">
        <v>28</v>
      </c>
      <c r="C31" s="99">
        <v>7.04524288623571E-2</v>
      </c>
    </row>
    <row r="32" spans="1:3" ht="14.25" customHeight="1" x14ac:dyDescent="0.25">
      <c r="B32" s="25" t="s">
        <v>29</v>
      </c>
      <c r="C32" s="99">
        <v>0.64001572263535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101">
        <v>6.4092908854742933E-2</v>
      </c>
    </row>
    <row r="5" spans="1:8" ht="15.75" customHeight="1" x14ac:dyDescent="0.25">
      <c r="B5" s="19" t="s">
        <v>70</v>
      </c>
      <c r="C5" s="101">
        <v>9.1282258767163948E-2</v>
      </c>
    </row>
    <row r="6" spans="1:8" ht="15.75" customHeight="1" x14ac:dyDescent="0.25">
      <c r="B6" s="19" t="s">
        <v>71</v>
      </c>
      <c r="C6" s="101">
        <v>0.25451199617035808</v>
      </c>
    </row>
    <row r="7" spans="1:8" ht="15.75" customHeight="1" x14ac:dyDescent="0.25">
      <c r="B7" s="19" t="s">
        <v>72</v>
      </c>
      <c r="C7" s="101">
        <v>0.39199030171442639</v>
      </c>
    </row>
    <row r="8" spans="1:8" ht="15.75" customHeight="1" x14ac:dyDescent="0.25">
      <c r="B8" s="19" t="s">
        <v>73</v>
      </c>
      <c r="C8" s="101">
        <v>1.5420714712771921E-3</v>
      </c>
    </row>
    <row r="9" spans="1:8" ht="15.75" customHeight="1" x14ac:dyDescent="0.25">
      <c r="B9" s="19" t="s">
        <v>74</v>
      </c>
      <c r="C9" s="101">
        <v>6.391594819168625E-2</v>
      </c>
    </row>
    <row r="10" spans="1:8" ht="15.75" customHeight="1" x14ac:dyDescent="0.25">
      <c r="B10" s="19" t="s">
        <v>75</v>
      </c>
      <c r="C10" s="101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83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84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85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86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87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89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101">
        <v>8.1904539999999998E-3</v>
      </c>
    </row>
    <row r="28" spans="1:8" ht="15.75" customHeight="1" x14ac:dyDescent="0.25">
      <c r="B28" s="19" t="s">
        <v>93</v>
      </c>
      <c r="C28" s="101">
        <v>0.143739488</v>
      </c>
    </row>
    <row r="29" spans="1:8" ht="15.75" customHeight="1" x14ac:dyDescent="0.25">
      <c r="B29" s="19" t="s">
        <v>94</v>
      </c>
      <c r="C29" s="101">
        <v>0.15393818500000001</v>
      </c>
    </row>
    <row r="30" spans="1:8" ht="15.75" customHeight="1" x14ac:dyDescent="0.25">
      <c r="B30" s="19" t="s">
        <v>95</v>
      </c>
      <c r="C30" s="101">
        <v>9.7379692000000004E-2</v>
      </c>
    </row>
    <row r="31" spans="1:8" ht="15.75" customHeight="1" x14ac:dyDescent="0.25">
      <c r="B31" s="19" t="s">
        <v>96</v>
      </c>
      <c r="C31" s="101">
        <v>9.8883503999999997E-2</v>
      </c>
    </row>
    <row r="32" spans="1:8" ht="15.75" customHeight="1" x14ac:dyDescent="0.25">
      <c r="B32" s="19" t="s">
        <v>97</v>
      </c>
      <c r="C32" s="101">
        <v>1.7031174E-2</v>
      </c>
    </row>
    <row r="33" spans="2:3" ht="15.75" customHeight="1" x14ac:dyDescent="0.25">
      <c r="B33" s="19" t="s">
        <v>98</v>
      </c>
      <c r="C33" s="101">
        <v>7.6512073999999999E-2</v>
      </c>
    </row>
    <row r="34" spans="2:3" ht="15.75" customHeight="1" x14ac:dyDescent="0.25">
      <c r="B34" s="19" t="s">
        <v>99</v>
      </c>
      <c r="C34" s="101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39.694784016169571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44.74391570258959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126.9573536787713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0.40779590398884003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0.72482939999999996</v>
      </c>
      <c r="C10" s="98">
        <v>0.95</v>
      </c>
      <c r="D10" s="56">
        <v>14.26897757170995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14.26897757170995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14.26897757170995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14.26897757170995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0.72482939999999996</v>
      </c>
      <c r="C14" s="98">
        <v>0.95</v>
      </c>
      <c r="D14" s="56">
        <v>14.26897757170995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14.26897757170995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0.80843429999999994</v>
      </c>
      <c r="C16" s="98">
        <v>0.95</v>
      </c>
      <c r="D16" s="56">
        <v>0.32525745301380288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0.64176169999999999</v>
      </c>
      <c r="C18" s="98">
        <v>0.95</v>
      </c>
      <c r="D18" s="56">
        <v>3.0133371170447369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0.64176169999999999</v>
      </c>
      <c r="C19" s="98">
        <v>0.95</v>
      </c>
      <c r="D19" s="56">
        <v>3.0133371170447369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3.4535387086730069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24.366673580157041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0.71545519999999996</v>
      </c>
      <c r="C23" s="98">
        <v>0.95</v>
      </c>
      <c r="D23" s="56">
        <v>4.7084773800389677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0.59945256852146001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0.72482939999999996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20.578639540376962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0.66792069999999992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0.23221729999999999</v>
      </c>
      <c r="C29" s="98">
        <v>0.95</v>
      </c>
      <c r="D29" s="56">
        <v>71.801996499827609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1.824558777781067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0.64797125932125421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0.18154609999999999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0.73697869999999999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5.3560000000000001E-4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0.3439854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0.38511820000000002</v>
      </c>
      <c r="C38" s="98">
        <v>0.95</v>
      </c>
      <c r="D38" s="56">
        <v>4.7630130644995639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205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0.10900696063684545</v>
      </c>
      <c r="G18" s="90">
        <f>MIN(MAX(1-0.89/(1-frac_sam_12_23months+(frac_sam_12_23months*0.89)),0),1)</f>
        <v>0.10826682651227604</v>
      </c>
      <c r="H18" s="90">
        <f>MIN(MAX(1-0.89/(1-frac_sam_24_59months+(frac_sam_24_59months*0.89)),0),1)</f>
        <v>0.10865495854976148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0.10592026679114219</v>
      </c>
      <c r="G20" s="90">
        <f>MIN(MAX(1-0.89/(1-frac_mam_12_23months+(frac_mam_12_23months*0.89)),0),1)</f>
        <v>0.10651936129124939</v>
      </c>
      <c r="H20" s="90">
        <f>MIN(MAX(1-0.89/(1-frac_mam_24_59months+(frac_mam_24_59months*0.89)),0),1)</f>
        <v>0.10784240160324932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9.899682045684588E-3</v>
      </c>
      <c r="G73" s="90">
        <f>MIN(MAX(1-0.99/(1-frac_sam_12_23months+(frac_sam_12_23months*0.99)),0),1)</f>
        <v>9.8250449970256337E-3</v>
      </c>
      <c r="H73" s="90">
        <f>MIN(MAX(1-0.99/(1-frac_sam_24_59months+(frac_sam_24_59months*0.99)),0),1)</f>
        <v>9.8641711867317738E-3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9.5891548019624295E-3</v>
      </c>
      <c r="G75" s="90">
        <f>MIN(MAX(1-0.99/(1-frac_mam_12_23months+(frac_mam_12_23months*0.99)),0),1)</f>
        <v>9.6492722415180143E-3</v>
      </c>
      <c r="H75" s="90">
        <f>MIN(MAX(1-0.99/(1-frac_mam_24_59months+(frac_mam_24_59months*0.99)),0),1)</f>
        <v>9.7822956866181476E-3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0.19837557222707236</v>
      </c>
      <c r="G128" s="90">
        <f>MIN(MAX(1-0.8/(1-frac_sam_12_23months+(frac_sam_12_23months*0.8)),0),1)</f>
        <v>0.19716291826381904</v>
      </c>
      <c r="H128" s="90">
        <f>MIN(MAX(1-0.8/(1-frac_sam_24_59months+(frac_sam_24_59months*0.8)),0),1)</f>
        <v>0.1977990493838514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0.19330730633471371</v>
      </c>
      <c r="G130" s="90">
        <f>MIN(MAX(1-0.8/(1-frac_mam_12_23months+(frac_mam_12_23months*0.8)),0),1)</f>
        <v>0.19429325972933686</v>
      </c>
      <c r="H130" s="90">
        <f>MIN(MAX(1-0.8/(1-frac_mam_24_59months+(frac_mam_24_59months*0.8)),0),1)</f>
        <v>0.19646678409634999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2024-06-18T06:57:52Z</dcterms:modified>
</cp:coreProperties>
</file>