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82D153B-8889-4DAC-B573-5760E971411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<sst xmlns="http://schemas.openxmlformats.org/spreadsheetml/2006/main" count="2169" uniqueCount="373">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</sst>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3234401</v>
      </c>
    </row>
    <row r="8" spans="1:3" ht="15" customHeight="1" x14ac:dyDescent="0.25">
      <c r="B8" s="5" t="s">
        <v>8</v>
      </c>
      <c r="C8" s="44">
        <v>0.54400000000000004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7">
        <v>3.3819814705800401E-2</v>
      </c>
    </row>
    <row r="31" spans="1:3" ht="14.25" customHeight="1" x14ac:dyDescent="0.25">
      <c r="B31" s="25" t="s">
        <v>28</v>
      </c>
      <c r="C31" s="97">
        <v>7.04524288623571E-2</v>
      </c>
    </row>
    <row r="32" spans="1:3" ht="14.25" customHeight="1" x14ac:dyDescent="0.25">
      <c r="B32" s="25" t="s">
        <v>29</v>
      </c>
      <c r="C32" s="97">
        <v>0.64001572263535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98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2.7040000000000002</v>
      </c>
      <c r="D51" s="12"/>
    </row>
    <row r="52" spans="1:4" ht="15" customHeight="1" x14ac:dyDescent="0.25">
      <c r="B52" s="11" t="s">
        <v>46</v>
      </c>
      <c r="C52" s="98">
        <v>2.7040000000000002</v>
      </c>
    </row>
    <row r="53" spans="1:4" ht="15.75" customHeight="1" x14ac:dyDescent="0.25">
      <c r="B53" s="11" t="s">
        <v>47</v>
      </c>
      <c r="C53" s="98">
        <v>7.7220000000000004</v>
      </c>
    </row>
    <row r="54" spans="1:4" ht="15.75" customHeight="1" x14ac:dyDescent="0.25">
      <c r="B54" s="11" t="s">
        <v>48</v>
      </c>
      <c r="C54" s="98">
        <v>7.2539999999999996</v>
      </c>
    </row>
    <row r="55" spans="1:4" ht="15.75" customHeight="1" x14ac:dyDescent="0.25">
      <c r="B55" s="11" t="s">
        <v>49</v>
      </c>
      <c r="C55" s="98">
        <v>2.3919999999999999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0.1124687551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99">
        <v>6.4092908854742933E-2</v>
      </c>
    </row>
    <row r="5" spans="1:8" ht="15.75" customHeight="1" x14ac:dyDescent="0.25">
      <c r="B5" s="19" t="s">
        <v>70</v>
      </c>
      <c r="C5" s="99">
        <v>9.1282258767163948E-2</v>
      </c>
    </row>
    <row r="6" spans="1:8" ht="15.75" customHeight="1" x14ac:dyDescent="0.25">
      <c r="B6" s="19" t="s">
        <v>71</v>
      </c>
      <c r="C6" s="99">
        <v>0.25451199617035808</v>
      </c>
    </row>
    <row r="7" spans="1:8" ht="15.75" customHeight="1" x14ac:dyDescent="0.25">
      <c r="B7" s="19" t="s">
        <v>72</v>
      </c>
      <c r="C7" s="99">
        <v>0.39199030171442639</v>
      </c>
    </row>
    <row r="8" spans="1:8" ht="15.75" customHeight="1" x14ac:dyDescent="0.25">
      <c r="B8" s="19" t="s">
        <v>73</v>
      </c>
      <c r="C8" s="99">
        <v>1.5420714712771921E-3</v>
      </c>
    </row>
    <row r="9" spans="1:8" ht="15.75" customHeight="1" x14ac:dyDescent="0.25">
      <c r="B9" s="19" t="s">
        <v>74</v>
      </c>
      <c r="C9" s="99">
        <v>6.391594819168625E-2</v>
      </c>
    </row>
    <row r="10" spans="1:8" ht="15.75" customHeight="1" x14ac:dyDescent="0.25">
      <c r="B10" s="19" t="s">
        <v>75</v>
      </c>
      <c r="C10" s="99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99">
        <v>0.1825969991650476</v>
      </c>
      <c r="D15" s="99">
        <v>0.1825969991650476</v>
      </c>
      <c r="E15" s="99">
        <v>0.1825969991650476</v>
      </c>
      <c r="F15" s="99">
        <v>0.1825969991650476</v>
      </c>
    </row>
    <row r="16" spans="1:8" ht="15.75" customHeight="1" x14ac:dyDescent="0.25">
      <c r="B16" s="19" t="s">
        <v>83</v>
      </c>
      <c r="C16" s="99">
        <v>1.688769665810308E-2</v>
      </c>
      <c r="D16" s="99">
        <v>1.688769665810308E-2</v>
      </c>
      <c r="E16" s="99">
        <v>1.688769665810308E-2</v>
      </c>
      <c r="F16" s="99">
        <v>1.688769665810308E-2</v>
      </c>
    </row>
    <row r="17" spans="1:8" ht="15.75" customHeight="1" x14ac:dyDescent="0.25">
      <c r="B17" s="19" t="s">
        <v>84</v>
      </c>
      <c r="C17" s="99">
        <v>1.7773095567990671E-3</v>
      </c>
      <c r="D17" s="99">
        <v>1.7773095567990671E-3</v>
      </c>
      <c r="E17" s="99">
        <v>1.7773095567990671E-3</v>
      </c>
      <c r="F17" s="99">
        <v>1.7773095567990671E-3</v>
      </c>
    </row>
    <row r="18" spans="1:8" ht="15.75" customHeight="1" x14ac:dyDescent="0.25">
      <c r="B18" s="19" t="s">
        <v>85</v>
      </c>
      <c r="C18" s="99">
        <v>0.1345228179711539</v>
      </c>
      <c r="D18" s="99">
        <v>0.1345228179711539</v>
      </c>
      <c r="E18" s="99">
        <v>0.1345228179711539</v>
      </c>
      <c r="F18" s="99">
        <v>0.1345228179711539</v>
      </c>
    </row>
    <row r="19" spans="1:8" ht="15.75" customHeight="1" x14ac:dyDescent="0.25">
      <c r="B19" s="19" t="s">
        <v>86</v>
      </c>
      <c r="C19" s="99">
        <v>2.3061119344817509E-2</v>
      </c>
      <c r="D19" s="99">
        <v>2.3061119344817509E-2</v>
      </c>
      <c r="E19" s="99">
        <v>2.3061119344817509E-2</v>
      </c>
      <c r="F19" s="99">
        <v>2.3061119344817509E-2</v>
      </c>
    </row>
    <row r="20" spans="1:8" ht="15.75" customHeight="1" x14ac:dyDescent="0.25">
      <c r="B20" s="19" t="s">
        <v>87</v>
      </c>
      <c r="C20" s="99">
        <v>0.23695712210512701</v>
      </c>
      <c r="D20" s="99">
        <v>0.23695712210512701</v>
      </c>
      <c r="E20" s="99">
        <v>0.23695712210512701</v>
      </c>
      <c r="F20" s="99">
        <v>0.23695712210512701</v>
      </c>
    </row>
    <row r="21" spans="1:8" ht="15.75" customHeight="1" x14ac:dyDescent="0.25">
      <c r="B21" s="19" t="s">
        <v>88</v>
      </c>
      <c r="C21" s="99">
        <v>0.1034812689154867</v>
      </c>
      <c r="D21" s="99">
        <v>0.1034812689154867</v>
      </c>
      <c r="E21" s="99">
        <v>0.1034812689154867</v>
      </c>
      <c r="F21" s="99">
        <v>0.1034812689154867</v>
      </c>
    </row>
    <row r="22" spans="1:8" ht="15.75" customHeight="1" x14ac:dyDescent="0.25">
      <c r="B22" s="19" t="s">
        <v>89</v>
      </c>
      <c r="C22" s="99">
        <v>0.1607547585958877</v>
      </c>
      <c r="D22" s="99">
        <v>0.1607547585958877</v>
      </c>
      <c r="E22" s="99">
        <v>0.1607547585958877</v>
      </c>
      <c r="F22" s="99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99">
        <v>8.1904539999999998E-3</v>
      </c>
    </row>
    <row r="28" spans="1:8" ht="15.75" customHeight="1" x14ac:dyDescent="0.25">
      <c r="B28" s="19" t="s">
        <v>93</v>
      </c>
      <c r="C28" s="99">
        <v>0.143739488</v>
      </c>
    </row>
    <row r="29" spans="1:8" ht="15.75" customHeight="1" x14ac:dyDescent="0.25">
      <c r="B29" s="19" t="s">
        <v>94</v>
      </c>
      <c r="C29" s="99">
        <v>0.15393818500000001</v>
      </c>
    </row>
    <row r="30" spans="1:8" ht="15.75" customHeight="1" x14ac:dyDescent="0.25">
      <c r="B30" s="19" t="s">
        <v>95</v>
      </c>
      <c r="C30" s="99">
        <v>9.7379692000000004E-2</v>
      </c>
    </row>
    <row r="31" spans="1:8" ht="15.75" customHeight="1" x14ac:dyDescent="0.25">
      <c r="B31" s="19" t="s">
        <v>96</v>
      </c>
      <c r="C31" s="99">
        <v>9.8883503999999997E-2</v>
      </c>
    </row>
    <row r="32" spans="1:8" ht="15.75" customHeight="1" x14ac:dyDescent="0.25">
      <c r="B32" s="19" t="s">
        <v>97</v>
      </c>
      <c r="C32" s="99">
        <v>1.7031174E-2</v>
      </c>
    </row>
    <row r="33" spans="2:3" ht="15.75" customHeight="1" x14ac:dyDescent="0.25">
      <c r="B33" s="19" t="s">
        <v>98</v>
      </c>
      <c r="C33" s="99">
        <v>7.6512073999999999E-2</v>
      </c>
    </row>
    <row r="34" spans="2:3" ht="15.75" customHeight="1" x14ac:dyDescent="0.25">
      <c r="B34" s="19" t="s">
        <v>99</v>
      </c>
      <c r="C34" s="99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1456.9015701544499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0.33787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0.52536000000000005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1.0857408838744073E-2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93725.690520000004</v>
      </c>
      <c r="C22" s="107">
        <v>93075.482359999995</v>
      </c>
      <c r="D22" s="107">
        <v>92685.731390000001</v>
      </c>
      <c r="E22" s="107">
        <v>91944.631710000001</v>
      </c>
      <c r="F22" s="107">
        <v>90885.834950000004</v>
      </c>
      <c r="G22" s="107">
        <v>89549.660919999995</v>
      </c>
      <c r="H22" s="107">
        <v>87692.624419999993</v>
      </c>
      <c r="I22" s="107">
        <v>85113.098379999996</v>
      </c>
      <c r="J22" s="107">
        <v>81570.902390000003</v>
      </c>
      <c r="K22" s="107">
        <v>77104.123989999993</v>
      </c>
      <c r="L22" s="107">
        <v>71433.730750000002</v>
      </c>
      <c r="M22" s="107">
        <v>64670.832759999998</v>
      </c>
      <c r="N22" s="107">
        <v>56426.834710000003</v>
      </c>
      <c r="O22" s="107">
        <v>46824.934529999999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6.41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0.20568905243790248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0.72482939999999996</v>
      </c>
      <c r="C10" s="96">
        <v>0.95</v>
      </c>
      <c r="D10" s="56">
        <v>14.26897757170995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14.26897757170995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14.26897757170995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14.26897757170995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0.79139999999999999</v>
      </c>
      <c r="C14" s="96">
        <v>0.95</v>
      </c>
      <c r="D14" s="56">
        <v>2.7125243790248388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14.26897757170995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0.80843429999999994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0.46</v>
      </c>
      <c r="C18" s="96">
        <v>0.95</v>
      </c>
      <c r="D18" s="56">
        <v>6.4149273229070838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0.64176169999999999</v>
      </c>
      <c r="C19" s="96">
        <v>0.95</v>
      </c>
      <c r="D19" s="56">
        <v>3.0133371170447369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6.41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0.71545519999999996</v>
      </c>
      <c r="C23" s="96">
        <v>0.95</v>
      </c>
      <c r="D23" s="56">
        <v>4.7084773800389677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0.59945256852146001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5.5E-2</v>
      </c>
      <c r="C26" s="96">
        <v>0.95</v>
      </c>
      <c r="D26" s="56">
        <v>4.6280036798528057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0.66792069999999992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0.23221729999999999</v>
      </c>
      <c r="C29" s="96">
        <v>0.95</v>
      </c>
      <c r="D29" s="56">
        <v>112.4872415972974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154.26678932842685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0.67400000000000004</v>
      </c>
      <c r="C32" s="96">
        <v>0.95</v>
      </c>
      <c r="D32" s="56">
        <v>1.208423183072677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0.18154609999999999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0.73697869999999999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5.3560000000000001E-4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0.3439854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0.33500000000000002</v>
      </c>
      <c r="C38" s="96">
        <v>0.95</v>
      </c>
      <c r="D38" s="56">
        <v>1.1570009199632014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2.7040000000000002</v>
      </c>
      <c r="C2" s="21">
        <f>'Baseline year population inputs'!C52</f>
        <v>2.7040000000000002</v>
      </c>
      <c r="D2" s="21">
        <f>'Baseline year population inputs'!C53</f>
        <v>7.7220000000000004</v>
      </c>
      <c r="E2" s="21">
        <f>'Baseline year population inputs'!C54</f>
        <v>7.2539999999999996</v>
      </c>
      <c r="F2" s="21">
        <f>'Baseline year population inputs'!C55</f>
        <v>2.3919999999999999</v>
      </c>
    </row>
    <row r="3" spans="1:6" ht="15.75" customHeight="1" x14ac:dyDescent="0.25">
      <c r="A3" s="3" t="s">
        <v>197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198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