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D9A34F6-9AA4-434B-87E3-91937999BCD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I13" i="2" s="1"/>
  <c r="G13" i="2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40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<sst xmlns="http://schemas.openxmlformats.org/spreadsheetml/2006/main" count="2103" uniqueCount="341">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</sst>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976081.4765625</v>
      </c>
    </row>
    <row r="8" spans="1:3" ht="15" customHeight="1" x14ac:dyDescent="0.25">
      <c r="B8" s="5" t="s">
        <v>8</v>
      </c>
      <c r="C8" s="44">
        <v>4.0000000000000001E-3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101">
        <v>4.9121595087840433E-2</v>
      </c>
    </row>
    <row r="5" spans="1:8" ht="15.75" customHeight="1" x14ac:dyDescent="0.25">
      <c r="B5" s="19" t="s">
        <v>70</v>
      </c>
      <c r="C5" s="101">
        <v>5.8054994194500588E-2</v>
      </c>
    </row>
    <row r="6" spans="1:8" ht="15.75" customHeight="1" x14ac:dyDescent="0.25">
      <c r="B6" s="19" t="s">
        <v>71</v>
      </c>
      <c r="C6" s="101">
        <v>0.2258224774177521</v>
      </c>
    </row>
    <row r="7" spans="1:8" ht="15.75" customHeight="1" x14ac:dyDescent="0.25">
      <c r="B7" s="19" t="s">
        <v>72</v>
      </c>
      <c r="C7" s="101">
        <v>0.41603395839660451</v>
      </c>
    </row>
    <row r="8" spans="1:8" ht="15.75" customHeight="1" x14ac:dyDescent="0.25">
      <c r="B8" s="19" t="s">
        <v>73</v>
      </c>
      <c r="C8" s="101">
        <v>7.6059992394000723E-4</v>
      </c>
    </row>
    <row r="9" spans="1:8" ht="15.75" customHeight="1" x14ac:dyDescent="0.25">
      <c r="B9" s="19" t="s">
        <v>74</v>
      </c>
      <c r="C9" s="101">
        <v>0.12002648799735111</v>
      </c>
    </row>
    <row r="10" spans="1:8" ht="15.75" customHeight="1" x14ac:dyDescent="0.25">
      <c r="B10" s="19" t="s">
        <v>75</v>
      </c>
      <c r="C10" s="101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83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87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89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101">
        <v>4.7339935000000007E-2</v>
      </c>
    </row>
    <row r="28" spans="1:8" ht="15.75" customHeight="1" x14ac:dyDescent="0.25">
      <c r="B28" s="19" t="s">
        <v>93</v>
      </c>
      <c r="C28" s="101">
        <v>4.6576617000000001E-2</v>
      </c>
    </row>
    <row r="29" spans="1:8" ht="15.75" customHeight="1" x14ac:dyDescent="0.25">
      <c r="B29" s="19" t="s">
        <v>94</v>
      </c>
      <c r="C29" s="101">
        <v>0.21685436999999999</v>
      </c>
    </row>
    <row r="30" spans="1:8" ht="15.75" customHeight="1" x14ac:dyDescent="0.25">
      <c r="B30" s="19" t="s">
        <v>95</v>
      </c>
      <c r="C30" s="101">
        <v>7.5345098999999999E-2</v>
      </c>
    </row>
    <row r="31" spans="1:8" ht="15.75" customHeight="1" x14ac:dyDescent="0.25">
      <c r="B31" s="19" t="s">
        <v>96</v>
      </c>
      <c r="C31" s="101">
        <v>9.5101964999999997E-2</v>
      </c>
    </row>
    <row r="32" spans="1:8" ht="15.75" customHeight="1" x14ac:dyDescent="0.25">
      <c r="B32" s="19" t="s">
        <v>97</v>
      </c>
      <c r="C32" s="101">
        <v>2.7365589999999999E-2</v>
      </c>
    </row>
    <row r="33" spans="2:3" ht="15.75" customHeight="1" x14ac:dyDescent="0.25">
      <c r="B33" s="19" t="s">
        <v>98</v>
      </c>
      <c r="C33" s="101">
        <v>0.17758110599999999</v>
      </c>
    </row>
    <row r="34" spans="2:3" ht="15.75" customHeight="1" x14ac:dyDescent="0.25">
      <c r="B34" s="19" t="s">
        <v>99</v>
      </c>
      <c r="C34" s="101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74.474474607257392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40.248726453010633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672.22235357576801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1.4548957086199481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0.81492059999999999</v>
      </c>
      <c r="C10" s="98">
        <v>0.95</v>
      </c>
      <c r="D10" s="56">
        <v>13.38102589680655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13.38102589680655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13.38102589680655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13.38102589680655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0.81492059999999999</v>
      </c>
      <c r="C14" s="98">
        <v>0.95</v>
      </c>
      <c r="D14" s="56">
        <v>13.38102589680655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13.38102589680655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1.087791696701897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0.1093624</v>
      </c>
      <c r="C18" s="98">
        <v>0.95</v>
      </c>
      <c r="D18" s="56">
        <v>15.41953529560689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0.1093624</v>
      </c>
      <c r="C19" s="98">
        <v>0.95</v>
      </c>
      <c r="D19" s="56">
        <v>15.41953529560689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14.364074593948059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4.5098666953578306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0.90352332409703906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0.81492059999999999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18.944297777473771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0.53186440000000001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0.51067689999999999</v>
      </c>
      <c r="C29" s="98">
        <v>0.95</v>
      </c>
      <c r="D29" s="56">
        <v>151.1814173381797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0.99377439103014453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2.3735892615904222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0.48324859999999997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0.19111349999999999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4.2315E-3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0.80348219999999992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4.9763674348897871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205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0.10871683745654948</v>
      </c>
      <c r="G18" s="90">
        <f>MIN(MAX(1-0.89/(1-frac_sam_12_23months+(frac_sam_12_23months*0.89)),0),1)</f>
        <v>0.10962202386459485</v>
      </c>
      <c r="H18" s="90">
        <f>MIN(MAX(1-0.89/(1-frac_sam_24_59months+(frac_sam_24_59months*0.89)),0),1)</f>
        <v>0.109580163485404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0.10767538819963129</v>
      </c>
      <c r="G20" s="90">
        <f>MIN(MAX(1-0.89/(1-frac_mam_12_23months+(frac_mam_12_23months*0.89)),0),1)</f>
        <v>0.10890140196462339</v>
      </c>
      <c r="H20" s="90">
        <f>MIN(MAX(1-0.89/(1-frac_mam_24_59months+(frac_mam_24_59months*0.89)),0),1)</f>
        <v>0.1087061845280537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9.8704118395016582E-3</v>
      </c>
      <c r="G73" s="90">
        <f>MIN(MAX(1-0.99/(1-frac_sam_12_23months+(frac_sam_12_23months*0.99)),0),1)</f>
        <v>9.9617924454941109E-3</v>
      </c>
      <c r="H73" s="90">
        <f>MIN(MAX(1-0.99/(1-frac_sam_24_59months+(frac_sam_24_59months*0.99)),0),1)</f>
        <v>9.9575628209728206E-3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9.7654837497509472E-3</v>
      </c>
      <c r="G75" s="90">
        <f>MIN(MAX(1-0.99/(1-frac_mam_12_23months+(frac_mam_12_23months*0.99)),0),1)</f>
        <v>9.8890303427427995E-3</v>
      </c>
      <c r="H75" s="90">
        <f>MIN(MAX(1-0.99/(1-frac_mam_24_59months+(frac_mam_24_59months*0.99)),0),1)</f>
        <v>9.8693374071109341E-3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0.19790042415025566</v>
      </c>
      <c r="G128" s="90">
        <f>MIN(MAX(1-0.8/(1-frac_sam_12_23months+(frac_sam_12_23months*0.8)),0),1)</f>
        <v>0.19938205104227646</v>
      </c>
      <c r="H128" s="90">
        <f>MIN(MAX(1-0.8/(1-frac_sam_24_59months+(frac_sam_24_59months*0.8)),0),1)</f>
        <v>0.19931358755233675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0.19619270243047815</v>
      </c>
      <c r="G130" s="90">
        <f>MIN(MAX(1-0.8/(1-frac_mam_12_23months+(frac_mam_12_23months*0.8)),0),1)</f>
        <v>0.19820272329643229</v>
      </c>
      <c r="H130" s="90">
        <f>MIN(MAX(1-0.8/(1-frac_mam_24_59months+(frac_mam_24_59months*0.8)),0),1)</f>
        <v>0.19788297252939679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2024-06-18T06:54:54Z</dcterms:modified>
</cp:coreProperties>
</file>