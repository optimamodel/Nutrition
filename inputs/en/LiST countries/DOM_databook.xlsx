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CABEB98-6053-4DBC-90D2-B79C1ADFB426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<sst xmlns="http://schemas.openxmlformats.org/spreadsheetml/2006/main" count="2102" uniqueCount="341">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</sst>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976081.4765625</v>
      </c>
    </row>
    <row r="8" spans="1:3" ht="15" customHeight="1" x14ac:dyDescent="0.25">
      <c r="B8" s="5" t="s">
        <v>8</v>
      </c>
      <c r="C8" s="44">
        <v>4.0000000000000001E-3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0.74188087463378904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0.19980000000000001</v>
      </c>
    </row>
    <row r="24" spans="1:3" ht="15" customHeight="1" x14ac:dyDescent="0.25">
      <c r="B24" s="15" t="s">
        <v>22</v>
      </c>
      <c r="C24" s="45">
        <v>0.54990000000000006</v>
      </c>
    </row>
    <row r="25" spans="1:3" ht="15" customHeight="1" x14ac:dyDescent="0.25">
      <c r="B25" s="15" t="s">
        <v>23</v>
      </c>
      <c r="C25" s="45">
        <v>0.2286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22.94744</v>
      </c>
    </row>
    <row r="38" spans="1:5" ht="15" customHeight="1" x14ac:dyDescent="0.25">
      <c r="B38" s="11" t="s">
        <v>34</v>
      </c>
      <c r="C38" s="43">
        <v>27.293320000000001</v>
      </c>
      <c r="D38" s="12"/>
      <c r="E38" s="13"/>
    </row>
    <row r="39" spans="1:5" ht="15" customHeight="1" x14ac:dyDescent="0.25">
      <c r="B39" s="11" t="s">
        <v>35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100">
        <v>1.07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7.1934E-3</v>
      </c>
      <c r="D45" s="12"/>
    </row>
    <row r="46" spans="1:5" ht="15.75" customHeight="1" x14ac:dyDescent="0.25">
      <c r="B46" s="11" t="s">
        <v>41</v>
      </c>
      <c r="C46" s="45">
        <v>7.7292600000000003E-2</v>
      </c>
      <c r="D46" s="12"/>
    </row>
    <row r="47" spans="1:5" ht="15.75" customHeight="1" x14ac:dyDescent="0.25">
      <c r="B47" s="11" t="s">
        <v>42</v>
      </c>
      <c r="C47" s="45">
        <v>7.4160100000000007E-2</v>
      </c>
      <c r="D47" s="12"/>
      <c r="E47" s="13"/>
    </row>
    <row r="48" spans="1:5" ht="15" customHeight="1" x14ac:dyDescent="0.25">
      <c r="B48" s="11" t="s">
        <v>43</v>
      </c>
      <c r="C48" s="46">
        <v>0.84135389999999999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0.54774599999999996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0.11294179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199286</v>
      </c>
      <c r="C2" s="49">
        <v>574685.5</v>
      </c>
      <c r="D2" s="49">
        <v>924747.5</v>
      </c>
      <c r="E2" s="49">
        <v>848266.5</v>
      </c>
      <c r="F2" s="49">
        <v>618807</v>
      </c>
      <c r="G2" s="17">
        <f t="shared" ref="G2:G13" si="0">C2+D2+E2+F2</f>
        <v>2966506.5</v>
      </c>
      <c r="H2" s="17">
        <f t="shared" ref="H2:H13" si="1">(B2 + stillbirth*B2/(1000-stillbirth))/(1-abortion)</f>
        <v>229377.50407132352</v>
      </c>
      <c r="I2" s="17">
        <f t="shared" ref="I2:I13" si="2">G2-H2</f>
        <v>2737128.9959286763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196763</v>
      </c>
      <c r="C3" s="50">
        <v>578978.5</v>
      </c>
      <c r="D3" s="50">
        <v>921572.50000000012</v>
      </c>
      <c r="E3" s="50">
        <v>857041.5</v>
      </c>
      <c r="F3" s="50">
        <v>631056.5</v>
      </c>
      <c r="G3" s="17">
        <f t="shared" si="0"/>
        <v>2988649</v>
      </c>
      <c r="H3" s="17">
        <f t="shared" si="1"/>
        <v>226473.53970467483</v>
      </c>
      <c r="I3" s="17">
        <f t="shared" si="2"/>
        <v>2762175.4602953251</v>
      </c>
    </row>
    <row r="4" spans="1:9" ht="15.75" customHeight="1" x14ac:dyDescent="0.25">
      <c r="A4" s="5">
        <f t="shared" si="3"/>
        <v>2026</v>
      </c>
      <c r="B4" s="49">
        <v>195224</v>
      </c>
      <c r="C4" s="50">
        <v>584372.99999999988</v>
      </c>
      <c r="D4" s="50">
        <v>917752</v>
      </c>
      <c r="E4" s="50">
        <v>864820.99999999988</v>
      </c>
      <c r="F4" s="50">
        <v>642427</v>
      </c>
      <c r="G4" s="17">
        <f t="shared" si="0"/>
        <v>3009373</v>
      </c>
      <c r="H4" s="17">
        <f t="shared" si="1"/>
        <v>224702.15597091647</v>
      </c>
      <c r="I4" s="17">
        <f t="shared" si="2"/>
        <v>2784670.8440290834</v>
      </c>
    </row>
    <row r="5" spans="1:9" ht="15.75" customHeight="1" x14ac:dyDescent="0.25">
      <c r="A5" s="5">
        <f t="shared" si="3"/>
        <v>2027</v>
      </c>
      <c r="B5" s="49">
        <v>193545</v>
      </c>
      <c r="C5" s="50">
        <v>590099.5</v>
      </c>
      <c r="D5" s="50">
        <v>914244.5</v>
      </c>
      <c r="E5" s="50">
        <v>870898</v>
      </c>
      <c r="F5" s="50">
        <v>652907</v>
      </c>
      <c r="G5" s="17">
        <f t="shared" si="0"/>
        <v>3028149</v>
      </c>
      <c r="H5" s="17">
        <f t="shared" si="1"/>
        <v>222769.63271621845</v>
      </c>
      <c r="I5" s="17">
        <f t="shared" si="2"/>
        <v>2805379.3672837815</v>
      </c>
    </row>
    <row r="6" spans="1:9" ht="15.75" customHeight="1" x14ac:dyDescent="0.25">
      <c r="A6" s="5">
        <f t="shared" si="3"/>
        <v>2028</v>
      </c>
      <c r="B6" s="49">
        <v>192411</v>
      </c>
      <c r="C6" s="50">
        <v>594292.5</v>
      </c>
      <c r="D6" s="50">
        <v>913481</v>
      </c>
      <c r="E6" s="50">
        <v>874335</v>
      </c>
      <c r="F6" s="50">
        <v>663103</v>
      </c>
      <c r="G6" s="17">
        <f t="shared" si="0"/>
        <v>3045211.5</v>
      </c>
      <c r="H6" s="17">
        <f t="shared" si="1"/>
        <v>221464.40259660702</v>
      </c>
      <c r="I6" s="17">
        <f t="shared" si="2"/>
        <v>2823747.0974033931</v>
      </c>
    </row>
    <row r="7" spans="1:9" ht="15.75" customHeight="1" x14ac:dyDescent="0.25">
      <c r="A7" s="5">
        <f t="shared" si="3"/>
        <v>2029</v>
      </c>
      <c r="B7" s="49">
        <v>190496</v>
      </c>
      <c r="C7" s="50">
        <v>596116</v>
      </c>
      <c r="D7" s="50">
        <v>915194</v>
      </c>
      <c r="E7" s="50">
        <v>875765</v>
      </c>
      <c r="F7" s="50">
        <v>673393.5</v>
      </c>
      <c r="G7" s="17">
        <f t="shared" si="0"/>
        <v>3060468.5</v>
      </c>
      <c r="H7" s="17">
        <f t="shared" si="1"/>
        <v>219260.24414946782</v>
      </c>
      <c r="I7" s="17">
        <f t="shared" si="2"/>
        <v>2841208.2558505321</v>
      </c>
    </row>
    <row r="8" spans="1:9" ht="15.75" customHeight="1" x14ac:dyDescent="0.25">
      <c r="A8" s="5">
        <f t="shared" si="3"/>
        <v>2030</v>
      </c>
      <c r="B8" s="49">
        <v>189213</v>
      </c>
      <c r="C8" s="50">
        <v>596113</v>
      </c>
      <c r="D8" s="50">
        <v>917443.5</v>
      </c>
      <c r="E8" s="50">
        <v>876790.5</v>
      </c>
      <c r="F8" s="50">
        <v>684282.5</v>
      </c>
      <c r="G8" s="17">
        <f t="shared" si="0"/>
        <v>3074629.5</v>
      </c>
      <c r="H8" s="17">
        <f t="shared" si="1"/>
        <v>217783.51553971347</v>
      </c>
      <c r="I8" s="17">
        <f t="shared" si="2"/>
        <v>2856845.9844602863</v>
      </c>
    </row>
    <row r="9" spans="1:9" ht="15.75" customHeight="1" x14ac:dyDescent="0.25">
      <c r="A9" s="5">
        <f t="shared" si="3"/>
        <v>2031</v>
      </c>
      <c r="B9" s="49">
        <v>187724</v>
      </c>
      <c r="C9" s="50">
        <v>595226.50000000012</v>
      </c>
      <c r="D9" s="50">
        <v>919998.5</v>
      </c>
      <c r="E9" s="50">
        <v>877315</v>
      </c>
      <c r="F9" s="50">
        <v>695652.5</v>
      </c>
      <c r="G9" s="17">
        <f t="shared" si="0"/>
        <v>3088192.5</v>
      </c>
      <c r="H9" s="17">
        <f t="shared" si="1"/>
        <v>216069.68163486212</v>
      </c>
      <c r="I9" s="17">
        <f t="shared" si="2"/>
        <v>2872122.818365138</v>
      </c>
    </row>
    <row r="10" spans="1:9" ht="15.75" customHeight="1" x14ac:dyDescent="0.25">
      <c r="A10" s="5">
        <f t="shared" si="3"/>
        <v>2032</v>
      </c>
      <c r="B10" s="49">
        <v>186859</v>
      </c>
      <c r="C10" s="50">
        <v>594289.5</v>
      </c>
      <c r="D10" s="50">
        <v>923004</v>
      </c>
      <c r="E10" s="50">
        <v>876905</v>
      </c>
      <c r="F10" s="50">
        <v>706882.5</v>
      </c>
      <c r="G10" s="17">
        <f t="shared" si="0"/>
        <v>3101081</v>
      </c>
      <c r="H10" s="17">
        <f t="shared" si="1"/>
        <v>215074.06959477055</v>
      </c>
      <c r="I10" s="17">
        <f t="shared" si="2"/>
        <v>2886006.9304052293</v>
      </c>
    </row>
    <row r="11" spans="1:9" ht="15.75" customHeight="1" x14ac:dyDescent="0.25">
      <c r="A11" s="5">
        <f t="shared" si="3"/>
        <v>2033</v>
      </c>
      <c r="B11" s="49">
        <v>185274</v>
      </c>
      <c r="C11" s="50">
        <v>592887.49999999988</v>
      </c>
      <c r="D11" s="50">
        <v>926364.5</v>
      </c>
      <c r="E11" s="50">
        <v>875613</v>
      </c>
      <c r="F11" s="50">
        <v>717156</v>
      </c>
      <c r="G11" s="17">
        <f t="shared" si="0"/>
        <v>3112021</v>
      </c>
      <c r="H11" s="17">
        <f t="shared" si="1"/>
        <v>213249.74001841771</v>
      </c>
      <c r="I11" s="17">
        <f t="shared" si="2"/>
        <v>2898771.2599815824</v>
      </c>
    </row>
    <row r="12" spans="1:9" ht="15.75" customHeight="1" x14ac:dyDescent="0.25">
      <c r="A12" s="5">
        <f t="shared" si="3"/>
        <v>2034</v>
      </c>
      <c r="B12" s="49">
        <v>184479</v>
      </c>
      <c r="C12" s="50">
        <v>590198.5</v>
      </c>
      <c r="D12" s="50">
        <v>930236</v>
      </c>
      <c r="E12" s="50">
        <v>873477.5</v>
      </c>
      <c r="F12" s="50">
        <v>726508</v>
      </c>
      <c r="G12" s="17">
        <f t="shared" si="0"/>
        <v>3120420</v>
      </c>
      <c r="H12" s="17">
        <f t="shared" si="1"/>
        <v>212334.69773879595</v>
      </c>
      <c r="I12" s="17">
        <f t="shared" si="2"/>
        <v>2908085.302261204</v>
      </c>
    </row>
    <row r="13" spans="1:9" ht="15.75" customHeight="1" x14ac:dyDescent="0.25">
      <c r="A13" s="5">
        <f t="shared" si="3"/>
        <v>2035</v>
      </c>
      <c r="B13" s="49">
        <v>183478</v>
      </c>
      <c r="C13" s="50">
        <v>586491.5</v>
      </c>
      <c r="D13" s="50">
        <v>934685</v>
      </c>
      <c r="E13" s="50">
        <v>870904.5</v>
      </c>
      <c r="F13" s="50">
        <v>735640.5</v>
      </c>
      <c r="G13" s="17">
        <f t="shared" si="0"/>
        <v>3127721.5</v>
      </c>
      <c r="H13" s="17">
        <f t="shared" si="1"/>
        <v>211182.55016407726</v>
      </c>
      <c r="I13" s="17">
        <f t="shared" si="2"/>
        <v>2916538.9498359226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6.0485993951400526E-3</v>
      </c>
    </row>
    <row r="4" spans="1:8" ht="15.75" customHeight="1" x14ac:dyDescent="0.25">
      <c r="B4" s="19" t="s">
        <v>69</v>
      </c>
      <c r="C4" s="101">
        <v>4.9121595087840433E-2</v>
      </c>
    </row>
    <row r="5" spans="1:8" ht="15.75" customHeight="1" x14ac:dyDescent="0.25">
      <c r="B5" s="19" t="s">
        <v>70</v>
      </c>
      <c r="C5" s="101">
        <v>5.8054994194500588E-2</v>
      </c>
    </row>
    <row r="6" spans="1:8" ht="15.75" customHeight="1" x14ac:dyDescent="0.25">
      <c r="B6" s="19" t="s">
        <v>71</v>
      </c>
      <c r="C6" s="101">
        <v>0.2258224774177521</v>
      </c>
    </row>
    <row r="7" spans="1:8" ht="15.75" customHeight="1" x14ac:dyDescent="0.25">
      <c r="B7" s="19" t="s">
        <v>72</v>
      </c>
      <c r="C7" s="101">
        <v>0.41603395839660451</v>
      </c>
    </row>
    <row r="8" spans="1:8" ht="15.75" customHeight="1" x14ac:dyDescent="0.25">
      <c r="B8" s="19" t="s">
        <v>73</v>
      </c>
      <c r="C8" s="101">
        <v>7.6059992394000723E-4</v>
      </c>
    </row>
    <row r="9" spans="1:8" ht="15.75" customHeight="1" x14ac:dyDescent="0.25">
      <c r="B9" s="19" t="s">
        <v>74</v>
      </c>
      <c r="C9" s="101">
        <v>0.12002648799735111</v>
      </c>
    </row>
    <row r="10" spans="1:8" ht="15.75" customHeight="1" x14ac:dyDescent="0.25">
      <c r="B10" s="19" t="s">
        <v>75</v>
      </c>
      <c r="C10" s="101">
        <v>0.1241312875868712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82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83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87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88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89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5.8856121999999997E-2</v>
      </c>
    </row>
    <row r="27" spans="1:8" ht="15.75" customHeight="1" x14ac:dyDescent="0.25">
      <c r="B27" s="19" t="s">
        <v>92</v>
      </c>
      <c r="C27" s="101">
        <v>4.7339935000000007E-2</v>
      </c>
    </row>
    <row r="28" spans="1:8" ht="15.75" customHeight="1" x14ac:dyDescent="0.25">
      <c r="B28" s="19" t="s">
        <v>93</v>
      </c>
      <c r="C28" s="101">
        <v>4.6576617000000001E-2</v>
      </c>
    </row>
    <row r="29" spans="1:8" ht="15.75" customHeight="1" x14ac:dyDescent="0.25">
      <c r="B29" s="19" t="s">
        <v>94</v>
      </c>
      <c r="C29" s="101">
        <v>0.21685436999999999</v>
      </c>
    </row>
    <row r="30" spans="1:8" ht="15.75" customHeight="1" x14ac:dyDescent="0.25">
      <c r="B30" s="19" t="s">
        <v>95</v>
      </c>
      <c r="C30" s="101">
        <v>7.5345098999999999E-2</v>
      </c>
    </row>
    <row r="31" spans="1:8" ht="15.75" customHeight="1" x14ac:dyDescent="0.25">
      <c r="B31" s="19" t="s">
        <v>96</v>
      </c>
      <c r="C31" s="101">
        <v>9.5101964999999997E-2</v>
      </c>
    </row>
    <row r="32" spans="1:8" ht="15.75" customHeight="1" x14ac:dyDescent="0.25">
      <c r="B32" s="19" t="s">
        <v>97</v>
      </c>
      <c r="C32" s="101">
        <v>2.7365589999999999E-2</v>
      </c>
    </row>
    <row r="33" spans="2:3" ht="15.75" customHeight="1" x14ac:dyDescent="0.25">
      <c r="B33" s="19" t="s">
        <v>98</v>
      </c>
      <c r="C33" s="101">
        <v>0.17758110599999999</v>
      </c>
    </row>
    <row r="34" spans="2:3" ht="15.75" customHeight="1" x14ac:dyDescent="0.25">
      <c r="B34" s="19" t="s">
        <v>99</v>
      </c>
      <c r="C34" s="101">
        <v>0.25497919600000002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104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109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110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122</v>
      </c>
      <c r="C5" s="52">
        <v>9.2070600000000002E-2</v>
      </c>
      <c r="D5" s="52">
        <v>0.25303680000000001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74.474474607257392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0.52707542744394598</v>
      </c>
      <c r="C3" s="98">
        <v>0.95</v>
      </c>
      <c r="D3" s="56">
        <v>40.248726453010633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672.22235357576801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1.4548957086199481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0.81492059999999999</v>
      </c>
      <c r="C10" s="98">
        <v>0.95</v>
      </c>
      <c r="D10" s="56">
        <v>13.38102589680655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0.81492059999999999</v>
      </c>
      <c r="C11" s="98">
        <v>0.95</v>
      </c>
      <c r="D11" s="56">
        <v>13.38102589680655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0.81492059999999999</v>
      </c>
      <c r="C12" s="98">
        <v>0.95</v>
      </c>
      <c r="D12" s="56">
        <v>13.38102589680655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0.81492059999999999</v>
      </c>
      <c r="C13" s="98">
        <v>0.95</v>
      </c>
      <c r="D13" s="56">
        <v>13.38102589680655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0.81492059999999999</v>
      </c>
      <c r="C14" s="98">
        <v>0.95</v>
      </c>
      <c r="D14" s="56">
        <v>13.38102589680655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0.81492059999999999</v>
      </c>
      <c r="C15" s="98">
        <v>0.95</v>
      </c>
      <c r="D15" s="56">
        <v>13.38102589680655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1.087791696701897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0.22506840845062301</v>
      </c>
      <c r="C18" s="98">
        <v>0.95</v>
      </c>
      <c r="D18" s="56">
        <v>15.41953529560689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0.88681790000000005</v>
      </c>
      <c r="C19" s="98">
        <v>0.95</v>
      </c>
      <c r="D19" s="56">
        <v>15.41953529560689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0.80348219999999992</v>
      </c>
      <c r="C21" s="98">
        <v>0.95</v>
      </c>
      <c r="D21" s="56">
        <v>14.364074593948059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23.284771098275488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4.5098666953578306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0.95322034994027405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0.81492059999999999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18.944297777473771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0.78153990483881797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151.1814173381797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0.99377439103014453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2.3735892615904222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0.51067689999999999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0.53186440000000001</v>
      </c>
      <c r="C38" s="98">
        <v>0.95</v>
      </c>
      <c r="D38" s="56">
        <v>4.9763674348897871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205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4.0000000000000001E-3</v>
      </c>
      <c r="E2" s="60">
        <f>food_insecure</f>
        <v>4.0000000000000001E-3</v>
      </c>
      <c r="F2" s="60">
        <f>food_insecure</f>
        <v>4.0000000000000001E-3</v>
      </c>
      <c r="G2" s="60">
        <f>food_insecure</f>
        <v>4.0000000000000001E-3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4.0000000000000001E-3</v>
      </c>
      <c r="F5" s="60">
        <f>food_insecure</f>
        <v>4.0000000000000001E-3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4.0000000000000001E-3</v>
      </c>
      <c r="F8" s="60">
        <f>food_insecure</f>
        <v>4.0000000000000001E-3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4.0000000000000001E-3</v>
      </c>
      <c r="F9" s="60">
        <f>food_insecure</f>
        <v>4.0000000000000001E-3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4.0000000000000001E-3</v>
      </c>
      <c r="I15" s="60">
        <f>food_insecure</f>
        <v>4.0000000000000001E-3</v>
      </c>
      <c r="J15" s="60">
        <f>food_insecure</f>
        <v>4.0000000000000001E-3</v>
      </c>
      <c r="K15" s="60">
        <f>food_insecure</f>
        <v>4.0000000000000001E-3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0.12669519149475097</v>
      </c>
      <c r="M25" s="60">
        <f>(1-food_insecure)*(0.49)+food_insecure*(0.7)</f>
        <v>0.49084</v>
      </c>
      <c r="N25" s="60">
        <f>(1-food_insecure)*(0.49)+food_insecure*(0.7)</f>
        <v>0.49084</v>
      </c>
      <c r="O25" s="60">
        <f>(1-food_insecure)*(0.49)+food_insecure*(0.7)</f>
        <v>0.49084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5.4297939212036128E-2</v>
      </c>
      <c r="M26" s="60">
        <f>(1-food_insecure)*(0.21)+food_insecure*(0.3)</f>
        <v>0.21035999999999999</v>
      </c>
      <c r="N26" s="60">
        <f>(1-food_insecure)*(0.21)+food_insecure*(0.3)</f>
        <v>0.21035999999999999</v>
      </c>
      <c r="O26" s="60">
        <f>(1-food_insecure)*(0.21)+food_insecure*(0.3)</f>
        <v>0.21035999999999999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7.7125994659423838E-2</v>
      </c>
      <c r="M27" s="60">
        <f>(1-food_insecure)*(0.3)</f>
        <v>0.29880000000000001</v>
      </c>
      <c r="N27" s="60">
        <f>(1-food_insecure)*(0.3)</f>
        <v>0.29880000000000001</v>
      </c>
      <c r="O27" s="60">
        <f>(1-food_insecure)*(0.3)</f>
        <v>0.29880000000000001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2024-05-09T01:46:09Z</dcterms:modified>
</cp:coreProperties>
</file>