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BBD52F12-393E-4F4C-ABB5-BD8381198378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H38" i="2"/>
  <c r="G38" i="2"/>
  <c r="I38" i="2" s="1"/>
  <c r="A37" i="2"/>
  <c r="A36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6" i="2" l="1"/>
  <c r="I12" i="2"/>
  <c r="A35" i="2"/>
  <c r="A19" i="2"/>
  <c r="A22" i="2"/>
  <c r="I39" i="2"/>
  <c r="I3" i="2"/>
  <c r="I9" i="2"/>
  <c r="A23" i="2"/>
  <c r="A24" i="2"/>
  <c r="I4" i="2"/>
  <c r="A25" i="2"/>
  <c r="A26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<sst xmlns="http://schemas.openxmlformats.org/spreadsheetml/2006/main" count="2169" uniqueCount="373">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</sst>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1225084.5</v>
      </c>
    </row>
    <row r="8" spans="1:3" ht="15" customHeight="1" x14ac:dyDescent="0.25">
      <c r="B8" s="5" t="s">
        <v>8</v>
      </c>
      <c r="C8" s="44">
        <v>0.24199999999999999</v>
      </c>
    </row>
    <row r="9" spans="1:3" ht="15" customHeight="1" x14ac:dyDescent="0.25">
      <c r="B9" s="5" t="s">
        <v>9</v>
      </c>
      <c r="C9" s="45">
        <v>7.2000000000000008E-2</v>
      </c>
    </row>
    <row r="10" spans="1:3" ht="15" customHeight="1" x14ac:dyDescent="0.25">
      <c r="B10" s="5" t="s">
        <v>10</v>
      </c>
      <c r="C10" s="45">
        <v>0.78792312620000005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7.2900000000000006E-2</v>
      </c>
    </row>
    <row r="24" spans="1:3" ht="15" customHeight="1" x14ac:dyDescent="0.25">
      <c r="B24" s="15" t="s">
        <v>22</v>
      </c>
      <c r="C24" s="45">
        <v>0.45440000000000003</v>
      </c>
    </row>
    <row r="25" spans="1:3" ht="15" customHeight="1" x14ac:dyDescent="0.25">
      <c r="B25" s="15" t="s">
        <v>23</v>
      </c>
      <c r="C25" s="45">
        <v>0.37469999999999998</v>
      </c>
    </row>
    <row r="26" spans="1:3" ht="15" customHeight="1" x14ac:dyDescent="0.25">
      <c r="B26" s="15" t="s">
        <v>24</v>
      </c>
      <c r="C26" s="45">
        <v>9.8000000000000004E-2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0.313922160131612</v>
      </c>
    </row>
    <row r="30" spans="1:3" ht="14.25" customHeight="1" x14ac:dyDescent="0.25">
      <c r="B30" s="25" t="s">
        <v>27</v>
      </c>
      <c r="C30" s="97">
        <v>4.8182353063125502E-2</v>
      </c>
    </row>
    <row r="31" spans="1:3" ht="14.25" customHeight="1" x14ac:dyDescent="0.25">
      <c r="B31" s="25" t="s">
        <v>28</v>
      </c>
      <c r="C31" s="97">
        <v>7.3364831683659995E-2</v>
      </c>
    </row>
    <row r="32" spans="1:3" ht="14.25" customHeight="1" x14ac:dyDescent="0.25">
      <c r="B32" s="25" t="s">
        <v>29</v>
      </c>
      <c r="C32" s="97">
        <v>0.56453065512160205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24.281790000000001</v>
      </c>
    </row>
    <row r="38" spans="1:5" ht="15" customHeight="1" x14ac:dyDescent="0.25">
      <c r="B38" s="11" t="s">
        <v>34</v>
      </c>
      <c r="C38" s="43">
        <v>45.410170000000001</v>
      </c>
      <c r="D38" s="12"/>
      <c r="E38" s="13"/>
    </row>
    <row r="39" spans="1:5" ht="15" customHeight="1" x14ac:dyDescent="0.25">
      <c r="B39" s="11" t="s">
        <v>35</v>
      </c>
      <c r="C39" s="43">
        <v>58.632680000000001</v>
      </c>
      <c r="D39" s="12"/>
      <c r="E39" s="12"/>
    </row>
    <row r="40" spans="1:5" ht="15" customHeight="1" x14ac:dyDescent="0.25">
      <c r="B40" s="11" t="s">
        <v>36</v>
      </c>
      <c r="C40" s="98">
        <v>3.5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17.717009999999998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7.1995999999999996E-3</v>
      </c>
      <c r="D45" s="12"/>
    </row>
    <row r="46" spans="1:5" ht="15.75" customHeight="1" x14ac:dyDescent="0.25">
      <c r="B46" s="11" t="s">
        <v>41</v>
      </c>
      <c r="C46" s="45">
        <v>7.7358700000000002E-2</v>
      </c>
      <c r="D46" s="12"/>
    </row>
    <row r="47" spans="1:5" ht="15.75" customHeight="1" x14ac:dyDescent="0.25">
      <c r="B47" s="11" t="s">
        <v>42</v>
      </c>
      <c r="C47" s="45">
        <v>7.4154299999999992E-2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5.59</v>
      </c>
      <c r="D51" s="12"/>
    </row>
    <row r="52" spans="1:4" ht="15" customHeight="1" x14ac:dyDescent="0.25">
      <c r="B52" s="11" t="s">
        <v>46</v>
      </c>
      <c r="C52" s="98">
        <v>5.59</v>
      </c>
    </row>
    <row r="53" spans="1:4" ht="15.75" customHeight="1" x14ac:dyDescent="0.25">
      <c r="B53" s="11" t="s">
        <v>47</v>
      </c>
      <c r="C53" s="98">
        <v>9.984</v>
      </c>
    </row>
    <row r="54" spans="1:4" ht="15.75" customHeight="1" x14ac:dyDescent="0.25">
      <c r="B54" s="11" t="s">
        <v>48</v>
      </c>
      <c r="C54" s="98">
        <v>8.2159999999999993</v>
      </c>
    </row>
    <row r="55" spans="1:4" ht="15.75" customHeight="1" x14ac:dyDescent="0.25">
      <c r="B55" s="11" t="s">
        <v>49</v>
      </c>
      <c r="C55" s="98">
        <v>3.952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0.455787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258339.99999999997</v>
      </c>
      <c r="C2" s="49">
        <v>578448</v>
      </c>
      <c r="D2" s="49">
        <v>1061950.5</v>
      </c>
      <c r="E2" s="49">
        <v>900684.50000000012</v>
      </c>
      <c r="F2" s="49">
        <v>653982.5</v>
      </c>
      <c r="G2" s="17">
        <f t="shared" ref="G2:G13" si="0">C2+D2+E2+F2</f>
        <v>3195065.5</v>
      </c>
      <c r="H2" s="17">
        <f t="shared" ref="H2:H13" si="1">(B2 + stillbirth*B2/(1000-stillbirth))/(1-abortion)</f>
        <v>298863.14311335247</v>
      </c>
      <c r="I2" s="17">
        <f t="shared" ref="I2:I13" si="2">G2-H2</f>
        <v>2896202.3568866476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257433</v>
      </c>
      <c r="C3" s="50">
        <v>582883.5</v>
      </c>
      <c r="D3" s="50">
        <v>1068437.5</v>
      </c>
      <c r="E3" s="50">
        <v>916601.5</v>
      </c>
      <c r="F3" s="50">
        <v>673184</v>
      </c>
      <c r="G3" s="17">
        <f t="shared" si="0"/>
        <v>3241106.5</v>
      </c>
      <c r="H3" s="17">
        <f t="shared" si="1"/>
        <v>297813.87133660942</v>
      </c>
      <c r="I3" s="17">
        <f t="shared" si="2"/>
        <v>2943292.6286633904</v>
      </c>
    </row>
    <row r="4" spans="1:9" ht="15.75" customHeight="1" x14ac:dyDescent="0.25">
      <c r="A4" s="5">
        <f t="shared" si="3"/>
        <v>2026</v>
      </c>
      <c r="B4" s="49">
        <v>256749.00000000003</v>
      </c>
      <c r="C4" s="50">
        <v>587626</v>
      </c>
      <c r="D4" s="50">
        <v>1075087</v>
      </c>
      <c r="E4" s="50">
        <v>930932</v>
      </c>
      <c r="F4" s="50">
        <v>692991</v>
      </c>
      <c r="G4" s="17">
        <f t="shared" si="0"/>
        <v>3286636</v>
      </c>
      <c r="H4" s="17">
        <f t="shared" si="1"/>
        <v>297022.57928005786</v>
      </c>
      <c r="I4" s="17">
        <f t="shared" si="2"/>
        <v>2989613.4207199421</v>
      </c>
    </row>
    <row r="5" spans="1:9" ht="15.75" customHeight="1" x14ac:dyDescent="0.25">
      <c r="A5" s="5">
        <f t="shared" si="3"/>
        <v>2027</v>
      </c>
      <c r="B5" s="49">
        <v>256091.99999999997</v>
      </c>
      <c r="C5" s="50">
        <v>591713.5</v>
      </c>
      <c r="D5" s="50">
        <v>1082083</v>
      </c>
      <c r="E5" s="50">
        <v>943804</v>
      </c>
      <c r="F5" s="50">
        <v>713430.00000000012</v>
      </c>
      <c r="G5" s="17">
        <f t="shared" si="0"/>
        <v>3331030.5</v>
      </c>
      <c r="H5" s="17">
        <f t="shared" si="1"/>
        <v>296262.52243626484</v>
      </c>
      <c r="I5" s="17">
        <f t="shared" si="2"/>
        <v>3034767.9775637351</v>
      </c>
    </row>
    <row r="6" spans="1:9" ht="15.75" customHeight="1" x14ac:dyDescent="0.25">
      <c r="A6" s="5">
        <f t="shared" si="3"/>
        <v>2028</v>
      </c>
      <c r="B6" s="49">
        <v>255064</v>
      </c>
      <c r="C6" s="50">
        <v>594138</v>
      </c>
      <c r="D6" s="50">
        <v>1089389.5</v>
      </c>
      <c r="E6" s="50">
        <v>955103.49999999988</v>
      </c>
      <c r="F6" s="50">
        <v>734595.5</v>
      </c>
      <c r="G6" s="17">
        <f t="shared" si="0"/>
        <v>3373226.5</v>
      </c>
      <c r="H6" s="17">
        <f t="shared" si="1"/>
        <v>295073.27063197392</v>
      </c>
      <c r="I6" s="17">
        <f t="shared" si="2"/>
        <v>3078153.2293680259</v>
      </c>
    </row>
    <row r="7" spans="1:9" ht="15.75" customHeight="1" x14ac:dyDescent="0.25">
      <c r="A7" s="5">
        <f t="shared" si="3"/>
        <v>2029</v>
      </c>
      <c r="B7" s="49">
        <v>254577</v>
      </c>
      <c r="C7" s="50">
        <v>595634.5</v>
      </c>
      <c r="D7" s="50">
        <v>1096786</v>
      </c>
      <c r="E7" s="50">
        <v>965028.5</v>
      </c>
      <c r="F7" s="50">
        <v>756310.5</v>
      </c>
      <c r="G7" s="17">
        <f t="shared" si="0"/>
        <v>3413759.5</v>
      </c>
      <c r="H7" s="17">
        <f t="shared" si="1"/>
        <v>294509.87994258705</v>
      </c>
      <c r="I7" s="17">
        <f t="shared" si="2"/>
        <v>3119249.6200574129</v>
      </c>
    </row>
    <row r="8" spans="1:9" ht="15.75" customHeight="1" x14ac:dyDescent="0.25">
      <c r="A8" s="5">
        <f t="shared" si="3"/>
        <v>2030</v>
      </c>
      <c r="B8" s="49">
        <v>253947</v>
      </c>
      <c r="C8" s="50">
        <v>596781.5</v>
      </c>
      <c r="D8" s="50">
        <v>1103797.5</v>
      </c>
      <c r="E8" s="50">
        <v>974322</v>
      </c>
      <c r="F8" s="50">
        <v>778306.49999999988</v>
      </c>
      <c r="G8" s="17">
        <f t="shared" si="0"/>
        <v>3453207.5</v>
      </c>
      <c r="H8" s="17">
        <f t="shared" si="1"/>
        <v>293781.05831155274</v>
      </c>
      <c r="I8" s="17">
        <f t="shared" si="2"/>
        <v>3159426.4416884473</v>
      </c>
    </row>
    <row r="9" spans="1:9" ht="15.75" customHeight="1" x14ac:dyDescent="0.25">
      <c r="A9" s="5">
        <f t="shared" si="3"/>
        <v>2031</v>
      </c>
      <c r="B9" s="49">
        <v>253198</v>
      </c>
      <c r="C9" s="50">
        <v>597016.5</v>
      </c>
      <c r="D9" s="50">
        <v>1111568</v>
      </c>
      <c r="E9" s="50">
        <v>982868.5</v>
      </c>
      <c r="F9" s="50">
        <v>799955.5</v>
      </c>
      <c r="G9" s="17">
        <f t="shared" si="0"/>
        <v>3491408.5</v>
      </c>
      <c r="H9" s="17">
        <f t="shared" si="1"/>
        <v>292914.5703724341</v>
      </c>
      <c r="I9" s="17">
        <f t="shared" si="2"/>
        <v>3198493.9296275657</v>
      </c>
    </row>
    <row r="10" spans="1:9" ht="15.75" customHeight="1" x14ac:dyDescent="0.25">
      <c r="A10" s="5">
        <f t="shared" si="3"/>
        <v>2032</v>
      </c>
      <c r="B10" s="49">
        <v>252417</v>
      </c>
      <c r="C10" s="50">
        <v>596808.5</v>
      </c>
      <c r="D10" s="50">
        <v>1120063.9999999998</v>
      </c>
      <c r="E10" s="50">
        <v>990466.5</v>
      </c>
      <c r="F10" s="50">
        <v>820468.5</v>
      </c>
      <c r="G10" s="17">
        <f t="shared" si="0"/>
        <v>3527807.5</v>
      </c>
      <c r="H10" s="17">
        <f t="shared" si="1"/>
        <v>292011.06292189792</v>
      </c>
      <c r="I10" s="17">
        <f t="shared" si="2"/>
        <v>3235796.437078102</v>
      </c>
    </row>
    <row r="11" spans="1:9" ht="15.75" customHeight="1" x14ac:dyDescent="0.25">
      <c r="A11" s="5">
        <f t="shared" si="3"/>
        <v>2033</v>
      </c>
      <c r="B11" s="49">
        <v>251322</v>
      </c>
      <c r="C11" s="50">
        <v>597084.5</v>
      </c>
      <c r="D11" s="50">
        <v>1127411</v>
      </c>
      <c r="E11" s="50">
        <v>997968.5</v>
      </c>
      <c r="F11" s="50">
        <v>839601</v>
      </c>
      <c r="G11" s="17">
        <f t="shared" si="0"/>
        <v>3562065</v>
      </c>
      <c r="H11" s="17">
        <f t="shared" si="1"/>
        <v>290744.30151557631</v>
      </c>
      <c r="I11" s="17">
        <f t="shared" si="2"/>
        <v>3271320.6984844236</v>
      </c>
    </row>
    <row r="12" spans="1:9" ht="15.75" customHeight="1" x14ac:dyDescent="0.25">
      <c r="A12" s="5">
        <f t="shared" si="3"/>
        <v>2034</v>
      </c>
      <c r="B12" s="49">
        <v>250216</v>
      </c>
      <c r="C12" s="50">
        <v>597073.5</v>
      </c>
      <c r="D12" s="50">
        <v>1133998.5000000002</v>
      </c>
      <c r="E12" s="50">
        <v>1005676.5</v>
      </c>
      <c r="F12" s="50">
        <v>857306</v>
      </c>
      <c r="G12" s="17">
        <f t="shared" si="0"/>
        <v>3594054.5</v>
      </c>
      <c r="H12" s="17">
        <f t="shared" si="1"/>
        <v>289464.81465220486</v>
      </c>
      <c r="I12" s="17">
        <f t="shared" si="2"/>
        <v>3304589.685347795</v>
      </c>
    </row>
    <row r="13" spans="1:9" ht="15.75" customHeight="1" x14ac:dyDescent="0.25">
      <c r="A13" s="5">
        <f t="shared" si="3"/>
        <v>2035</v>
      </c>
      <c r="B13" s="49">
        <v>249230</v>
      </c>
      <c r="C13" s="50">
        <v>595997.5</v>
      </c>
      <c r="D13" s="50">
        <v>1140516.9999999998</v>
      </c>
      <c r="E13" s="50">
        <v>1013401.5</v>
      </c>
      <c r="F13" s="50">
        <v>873553.5</v>
      </c>
      <c r="G13" s="17">
        <f t="shared" si="0"/>
        <v>3623469.5</v>
      </c>
      <c r="H13" s="17">
        <f t="shared" si="1"/>
        <v>288324.15095664957</v>
      </c>
      <c r="I13" s="17">
        <f t="shared" si="2"/>
        <v>3335145.3490433507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1.457150145715014E-2</v>
      </c>
    </row>
    <row r="4" spans="1:8" ht="15.75" customHeight="1" x14ac:dyDescent="0.25">
      <c r="B4" s="19" t="s">
        <v>69</v>
      </c>
      <c r="C4" s="99">
        <v>5.6389805638980627E-2</v>
      </c>
    </row>
    <row r="5" spans="1:8" ht="15.75" customHeight="1" x14ac:dyDescent="0.25">
      <c r="B5" s="19" t="s">
        <v>70</v>
      </c>
      <c r="C5" s="99">
        <v>9.5235509523551004E-2</v>
      </c>
    </row>
    <row r="6" spans="1:8" ht="15.75" customHeight="1" x14ac:dyDescent="0.25">
      <c r="B6" s="19" t="s">
        <v>71</v>
      </c>
      <c r="C6" s="99">
        <v>0.24108282410828241</v>
      </c>
    </row>
    <row r="7" spans="1:8" ht="15.75" customHeight="1" x14ac:dyDescent="0.25">
      <c r="B7" s="19" t="s">
        <v>72</v>
      </c>
      <c r="C7" s="99">
        <v>0.38396373839637371</v>
      </c>
    </row>
    <row r="8" spans="1:8" ht="15.75" customHeight="1" x14ac:dyDescent="0.25">
      <c r="B8" s="19" t="s">
        <v>73</v>
      </c>
      <c r="C8" s="99">
        <v>4.505000450500056E-3</v>
      </c>
    </row>
    <row r="9" spans="1:8" ht="15.75" customHeight="1" x14ac:dyDescent="0.25">
      <c r="B9" s="19" t="s">
        <v>74</v>
      </c>
      <c r="C9" s="99">
        <v>7.3147507314750781E-2</v>
      </c>
    </row>
    <row r="10" spans="1:8" ht="15.75" customHeight="1" x14ac:dyDescent="0.25">
      <c r="B10" s="19" t="s">
        <v>75</v>
      </c>
      <c r="C10" s="99">
        <v>0.1311041131104114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0.21106080706727851</v>
      </c>
      <c r="D14" s="55">
        <v>0.21106080706727851</v>
      </c>
      <c r="E14" s="55">
        <v>0.21106080706727851</v>
      </c>
      <c r="F14" s="55">
        <v>0.21106080706727851</v>
      </c>
    </row>
    <row r="15" spans="1:8" ht="15.75" customHeight="1" x14ac:dyDescent="0.25">
      <c r="B15" s="19" t="s">
        <v>82</v>
      </c>
      <c r="C15" s="99">
        <v>0.41237195447993258</v>
      </c>
      <c r="D15" s="99">
        <v>0.41237195447993258</v>
      </c>
      <c r="E15" s="99">
        <v>0.41237195447993258</v>
      </c>
      <c r="F15" s="99">
        <v>0.41237195447993258</v>
      </c>
    </row>
    <row r="16" spans="1:8" ht="15.75" customHeight="1" x14ac:dyDescent="0.25">
      <c r="B16" s="19" t="s">
        <v>83</v>
      </c>
      <c r="C16" s="99">
        <v>4.0164812369605563E-2</v>
      </c>
      <c r="D16" s="99">
        <v>4.0164812369605563E-2</v>
      </c>
      <c r="E16" s="99">
        <v>4.0164812369605563E-2</v>
      </c>
      <c r="F16" s="99">
        <v>4.0164812369605563E-2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9.8733560397260348E-4</v>
      </c>
      <c r="D18" s="99">
        <v>9.8733560397260348E-4</v>
      </c>
      <c r="E18" s="99">
        <v>9.8733560397260348E-4</v>
      </c>
      <c r="F18" s="99">
        <v>9.8733560397260348E-4</v>
      </c>
    </row>
    <row r="19" spans="1:8" ht="15.75" customHeight="1" x14ac:dyDescent="0.25">
      <c r="B19" s="19" t="s">
        <v>86</v>
      </c>
      <c r="C19" s="99">
        <v>2.6499715031151418E-2</v>
      </c>
      <c r="D19" s="99">
        <v>2.6499715031151418E-2</v>
      </c>
      <c r="E19" s="99">
        <v>2.6499715031151418E-2</v>
      </c>
      <c r="F19" s="99">
        <v>2.6499715031151418E-2</v>
      </c>
    </row>
    <row r="20" spans="1:8" ht="15.75" customHeight="1" x14ac:dyDescent="0.25">
      <c r="B20" s="19" t="s">
        <v>87</v>
      </c>
      <c r="C20" s="99">
        <v>5.7101080443523709E-2</v>
      </c>
      <c r="D20" s="99">
        <v>5.7101080443523709E-2</v>
      </c>
      <c r="E20" s="99">
        <v>5.7101080443523709E-2</v>
      </c>
      <c r="F20" s="99">
        <v>5.7101080443523709E-2</v>
      </c>
    </row>
    <row r="21" spans="1:8" ht="15.75" customHeight="1" x14ac:dyDescent="0.25">
      <c r="B21" s="19" t="s">
        <v>88</v>
      </c>
      <c r="C21" s="99">
        <v>0.1063705702456989</v>
      </c>
      <c r="D21" s="99">
        <v>0.1063705702456989</v>
      </c>
      <c r="E21" s="99">
        <v>0.1063705702456989</v>
      </c>
      <c r="F21" s="99">
        <v>0.1063705702456989</v>
      </c>
    </row>
    <row r="22" spans="1:8" ht="15.75" customHeight="1" x14ac:dyDescent="0.25">
      <c r="B22" s="19" t="s">
        <v>89</v>
      </c>
      <c r="C22" s="99">
        <v>0.14544372475883671</v>
      </c>
      <c r="D22" s="99">
        <v>0.14544372475883671</v>
      </c>
      <c r="E22" s="99">
        <v>0.14544372475883671</v>
      </c>
      <c r="F22" s="99">
        <v>0.14544372475883671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0.103712281</v>
      </c>
    </row>
    <row r="27" spans="1:8" ht="15.75" customHeight="1" x14ac:dyDescent="0.25">
      <c r="B27" s="19" t="s">
        <v>92</v>
      </c>
      <c r="C27" s="99">
        <v>0.109547722</v>
      </c>
    </row>
    <row r="28" spans="1:8" ht="15.75" customHeight="1" x14ac:dyDescent="0.25">
      <c r="B28" s="19" t="s">
        <v>93</v>
      </c>
      <c r="C28" s="99">
        <v>6.2347139000000003E-2</v>
      </c>
    </row>
    <row r="29" spans="1:8" ht="15.75" customHeight="1" x14ac:dyDescent="0.25">
      <c r="B29" s="19" t="s">
        <v>94</v>
      </c>
      <c r="C29" s="99">
        <v>0.20200695599999999</v>
      </c>
    </row>
    <row r="30" spans="1:8" ht="15.75" customHeight="1" x14ac:dyDescent="0.25">
      <c r="B30" s="19" t="s">
        <v>95</v>
      </c>
      <c r="C30" s="99">
        <v>0.123504</v>
      </c>
    </row>
    <row r="31" spans="1:8" ht="15.75" customHeight="1" x14ac:dyDescent="0.25">
      <c r="B31" s="19" t="s">
        <v>96</v>
      </c>
      <c r="C31" s="99">
        <v>0.126081523</v>
      </c>
    </row>
    <row r="32" spans="1:8" ht="15.75" customHeight="1" x14ac:dyDescent="0.25">
      <c r="B32" s="19" t="s">
        <v>97</v>
      </c>
      <c r="C32" s="99">
        <v>1.7896931000000001E-2</v>
      </c>
    </row>
    <row r="33" spans="2:3" ht="15.75" customHeight="1" x14ac:dyDescent="0.25">
      <c r="B33" s="19" t="s">
        <v>98</v>
      </c>
      <c r="C33" s="99">
        <v>0.13369104100000001</v>
      </c>
    </row>
    <row r="34" spans="2:3" ht="15.75" customHeight="1" x14ac:dyDescent="0.25">
      <c r="B34" s="19" t="s">
        <v>99</v>
      </c>
      <c r="C34" s="99">
        <v>0.12121240799999999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0.52282654412950691</v>
      </c>
      <c r="D2" s="52">
        <f>IFERROR(1-_xlfn.NORM.DIST(_xlfn.NORM.INV(SUM(D4:D5), 0, 1) + 1, 0, 1, TRUE), "")</f>
        <v>0.52282654412950691</v>
      </c>
      <c r="E2" s="52">
        <f>IFERROR(1-_xlfn.NORM.DIST(_xlfn.NORM.INV(SUM(E4:E5), 0, 1) + 1, 0, 1, TRUE), "")</f>
        <v>0.56565441419134599</v>
      </c>
      <c r="F2" s="52">
        <f>IFERROR(1-_xlfn.NORM.DIST(_xlfn.NORM.INV(SUM(F4:F5), 0, 1) + 1, 0, 1, TRUE), "")</f>
        <v>0.41214044466243571</v>
      </c>
      <c r="G2" s="52">
        <f>IFERROR(1-_xlfn.NORM.DIST(_xlfn.NORM.INV(SUM(G4:G5), 0, 1) + 1, 0, 1, TRUE), "")</f>
        <v>0.37776664499865675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0.33197445587049312</v>
      </c>
      <c r="D3" s="52">
        <f>IFERROR(_xlfn.NORM.DIST(_xlfn.NORM.INV(SUM(D4:D5), 0, 1) + 1, 0, 1, TRUE) - SUM(D4:D5), "")</f>
        <v>0.33197445587049312</v>
      </c>
      <c r="E3" s="52">
        <f>IFERROR(_xlfn.NORM.DIST(_xlfn.NORM.INV(SUM(E4:E5), 0, 1) + 1, 0, 1, TRUE) - SUM(E4:E5), "")</f>
        <v>0.31240108580865406</v>
      </c>
      <c r="F3" s="52">
        <f>IFERROR(_xlfn.NORM.DIST(_xlfn.NORM.INV(SUM(F4:F5), 0, 1) + 1, 0, 1, TRUE) - SUM(F4:F5), "")</f>
        <v>0.36956255533756427</v>
      </c>
      <c r="G3" s="52">
        <f>IFERROR(_xlfn.NORM.DIST(_xlfn.NORM.INV(SUM(G4:G5), 0, 1) + 1, 0, 1, TRUE) - SUM(G4:G5), "")</f>
        <v>0.37671105500134328</v>
      </c>
    </row>
    <row r="4" spans="1:15" ht="15.75" customHeight="1" x14ac:dyDescent="0.25">
      <c r="B4" s="5" t="s">
        <v>104</v>
      </c>
      <c r="C4" s="45">
        <v>7.2916499999999995E-2</v>
      </c>
      <c r="D4" s="53">
        <v>7.2916499999999995E-2</v>
      </c>
      <c r="E4" s="53">
        <v>9.6801600000000002E-2</v>
      </c>
      <c r="F4" s="53">
        <v>0.13684399999999999</v>
      </c>
      <c r="G4" s="53">
        <v>0.16139909999999999</v>
      </c>
    </row>
    <row r="5" spans="1:15" ht="15.75" customHeight="1" x14ac:dyDescent="0.25">
      <c r="B5" s="5" t="s">
        <v>105</v>
      </c>
      <c r="C5" s="45">
        <v>7.22825E-2</v>
      </c>
      <c r="D5" s="53">
        <v>7.22825E-2</v>
      </c>
      <c r="E5" s="53">
        <v>2.5142899999999999E-2</v>
      </c>
      <c r="F5" s="53">
        <v>8.1453000000000012E-2</v>
      </c>
      <c r="G5" s="53">
        <v>8.4123199999999995E-2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0.66140786356424619</v>
      </c>
      <c r="D8" s="52">
        <f>IFERROR(1-_xlfn.NORM.DIST(_xlfn.NORM.INV(SUM(D10:D11), 0, 1) + 1, 0, 1, TRUE), "")</f>
        <v>0.66140786356424619</v>
      </c>
      <c r="E8" s="52">
        <f>IFERROR(1-_xlfn.NORM.DIST(_xlfn.NORM.INV(SUM(E10:E11), 0, 1) + 1, 0, 1, TRUE), "")</f>
        <v>0.65979688502469769</v>
      </c>
      <c r="F8" s="52">
        <f>IFERROR(1-_xlfn.NORM.DIST(_xlfn.NORM.INV(SUM(F10:F11), 0, 1) + 1, 0, 1, TRUE), "")</f>
        <v>0.74864000436299494</v>
      </c>
      <c r="G8" s="52">
        <f>IFERROR(1-_xlfn.NORM.DIST(_xlfn.NORM.INV(SUM(G10:G11), 0, 1) + 1, 0, 1, TRUE), "")</f>
        <v>0.84624001077781252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0.26024953643575388</v>
      </c>
      <c r="D9" s="52">
        <f>IFERROR(_xlfn.NORM.DIST(_xlfn.NORM.INV(SUM(D10:D11), 0, 1) + 1, 0, 1, TRUE) - SUM(D10:D11), "")</f>
        <v>0.26024953643575388</v>
      </c>
      <c r="E9" s="52">
        <f>IFERROR(_xlfn.NORM.DIST(_xlfn.NORM.INV(SUM(E10:E11), 0, 1) + 1, 0, 1, TRUE) - SUM(E10:E11), "")</f>
        <v>0.2612147149753023</v>
      </c>
      <c r="F9" s="52">
        <f>IFERROR(_xlfn.NORM.DIST(_xlfn.NORM.INV(SUM(F10:F11), 0, 1) + 1, 0, 1, TRUE) - SUM(F10:F11), "")</f>
        <v>0.20392169563700507</v>
      </c>
      <c r="G9" s="52">
        <f>IFERROR(_xlfn.NORM.DIST(_xlfn.NORM.INV(SUM(G10:G11), 0, 1) + 1, 0, 1, TRUE) - SUM(G10:G11), "")</f>
        <v>0.13209108922218746</v>
      </c>
    </row>
    <row r="10" spans="1:15" ht="15.75" customHeight="1" x14ac:dyDescent="0.25">
      <c r="B10" s="5" t="s">
        <v>109</v>
      </c>
      <c r="C10" s="45">
        <v>5.5282699999999997E-2</v>
      </c>
      <c r="D10" s="53">
        <v>5.5282699999999997E-2</v>
      </c>
      <c r="E10" s="53">
        <v>6.7739999999999995E-2</v>
      </c>
      <c r="F10" s="53">
        <v>3.5547700000000002E-2</v>
      </c>
      <c r="G10" s="53">
        <v>1.7248099999999999E-2</v>
      </c>
    </row>
    <row r="11" spans="1:15" ht="15.75" customHeight="1" x14ac:dyDescent="0.25">
      <c r="B11" s="5" t="s">
        <v>110</v>
      </c>
      <c r="C11" s="45">
        <v>2.3059900000000001E-2</v>
      </c>
      <c r="D11" s="53">
        <v>2.3059900000000001E-2</v>
      </c>
      <c r="E11" s="53">
        <v>1.12484E-2</v>
      </c>
      <c r="F11" s="53">
        <v>1.1890599999999999E-2</v>
      </c>
      <c r="G11" s="53">
        <v>4.4207999999999999E-3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0.83306406925000009</v>
      </c>
      <c r="D14" s="54">
        <v>0.81199289555200016</v>
      </c>
      <c r="E14" s="54">
        <v>0.81199289555200016</v>
      </c>
      <c r="F14" s="54">
        <v>0.67868807884899995</v>
      </c>
      <c r="G14" s="54">
        <v>0.67868807884899995</v>
      </c>
      <c r="H14" s="45">
        <v>0.504</v>
      </c>
      <c r="I14" s="55">
        <v>0.504</v>
      </c>
      <c r="J14" s="55">
        <v>0.504</v>
      </c>
      <c r="K14" s="55">
        <v>0.504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0.37969977293124979</v>
      </c>
      <c r="D15" s="52">
        <f t="shared" si="0"/>
        <v>0.37009580588495949</v>
      </c>
      <c r="E15" s="52">
        <f t="shared" si="0"/>
        <v>0.37009580588495949</v>
      </c>
      <c r="F15" s="52">
        <f t="shared" si="0"/>
        <v>0.30933720339434911</v>
      </c>
      <c r="G15" s="52">
        <f t="shared" si="0"/>
        <v>0.30933720339434911</v>
      </c>
      <c r="H15" s="52">
        <f t="shared" si="0"/>
        <v>0.229716648</v>
      </c>
      <c r="I15" s="52">
        <f t="shared" si="0"/>
        <v>0.229716648</v>
      </c>
      <c r="J15" s="52">
        <f t="shared" si="0"/>
        <v>0.229716648</v>
      </c>
      <c r="K15" s="52">
        <f t="shared" si="0"/>
        <v>0.229716648</v>
      </c>
      <c r="L15" s="52">
        <f t="shared" si="0"/>
        <v>0.20966202</v>
      </c>
      <c r="M15" s="52">
        <f t="shared" si="0"/>
        <v>0.20966202</v>
      </c>
      <c r="N15" s="52">
        <f t="shared" si="0"/>
        <v>0.20966202</v>
      </c>
      <c r="O15" s="52">
        <f t="shared" si="0"/>
        <v>0.20966202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0.64467859999999999</v>
      </c>
      <c r="D2" s="53">
        <v>0.30287550000000002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0.13002649999999999</v>
      </c>
      <c r="D3" s="53">
        <v>0.11225300000000001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0.19975219999999999</v>
      </c>
      <c r="D4" s="53">
        <v>0.53624519999999998</v>
      </c>
      <c r="E4" s="53">
        <v>0.91649709999999995</v>
      </c>
      <c r="F4" s="53">
        <v>0.52460410000000002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2.5542699999999918E-2</v>
      </c>
      <c r="D5" s="52">
        <f t="shared" si="0"/>
        <v>4.8626300000000011E-2</v>
      </c>
      <c r="E5" s="52">
        <f>1-SUM(E2:E4)</f>
        <v>8.3502900000000047E-2</v>
      </c>
      <c r="F5" s="52">
        <f>1-SUM(F2:F4)</f>
        <v>0.47539589999999998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1748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0.50552999999999992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0.62619999999999998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2.2238260162964832E-2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93636.709489999994</v>
      </c>
      <c r="C22" s="107">
        <v>93049.663109999994</v>
      </c>
      <c r="D22" s="107">
        <v>92618.028040000005</v>
      </c>
      <c r="E22" s="107">
        <v>91974.285229999994</v>
      </c>
      <c r="F22" s="107">
        <v>91065.814599999998</v>
      </c>
      <c r="G22" s="107">
        <v>89932.625249999997</v>
      </c>
      <c r="H22" s="107">
        <v>88468.640010000003</v>
      </c>
      <c r="I22" s="107">
        <v>86499.739419999998</v>
      </c>
      <c r="J22" s="107">
        <v>83751.840920000002</v>
      </c>
      <c r="K22" s="107">
        <v>80160.81972</v>
      </c>
      <c r="L22" s="107">
        <v>75357.937409999999</v>
      </c>
      <c r="M22" s="107">
        <v>69181.632500000007</v>
      </c>
      <c r="N22" s="107">
        <v>60972.206489999997</v>
      </c>
      <c r="O22" s="107">
        <v>50993.801610000002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21.195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0.44994896638918952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2.9310961239067201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0.32855565777368906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0.43240960000000001</v>
      </c>
      <c r="C10" s="96">
        <v>0.95</v>
      </c>
      <c r="D10" s="56">
        <v>15.05570683744001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15.05570683744001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15.05570683744001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15.05570683744001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0.43240960000000001</v>
      </c>
      <c r="C14" s="96">
        <v>0.95</v>
      </c>
      <c r="D14" s="56">
        <v>15.05570683744001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15.05570683744001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5.8835597567123799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0.14000000000000001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0.182</v>
      </c>
      <c r="C18" s="96">
        <v>0.95</v>
      </c>
      <c r="D18" s="56">
        <v>21.195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0.30287550000000002</v>
      </c>
      <c r="C19" s="96">
        <v>0.95</v>
      </c>
      <c r="D19" s="56">
        <v>1.8074989747168151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21.195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0.30650460000000002</v>
      </c>
      <c r="C23" s="96">
        <v>0.95</v>
      </c>
      <c r="D23" s="56">
        <v>4.9354522743270124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0.28426940885284802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1.6E-2</v>
      </c>
      <c r="C26" s="96">
        <v>0.95</v>
      </c>
      <c r="D26" s="56">
        <v>4.4421306161984946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4.0650280224179349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0.39322339999999989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0.19176319999999999</v>
      </c>
      <c r="C29" s="96">
        <v>0.95</v>
      </c>
      <c r="D29" s="56">
        <v>206.81375092158379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124.66848615801089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0.18079999999999999</v>
      </c>
      <c r="C31" s="96">
        <v>0.95</v>
      </c>
      <c r="D31" s="56">
        <v>123.05968780269725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0.2</v>
      </c>
      <c r="C32" s="96">
        <v>0.95</v>
      </c>
      <c r="D32" s="56">
        <v>1.5917274986535743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0.2258269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0.63865939999999999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1.9524400000000001E-2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0.18938730000000001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5.2999999999999999E-2</v>
      </c>
      <c r="C38" s="96">
        <v>0.95</v>
      </c>
      <c r="D38" s="56">
        <v>2.4500000000000002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5.59</v>
      </c>
      <c r="C2" s="21">
        <f>'Baseline year population inputs'!C52</f>
        <v>5.59</v>
      </c>
      <c r="D2" s="21">
        <f>'Baseline year population inputs'!C53</f>
        <v>9.984</v>
      </c>
      <c r="E2" s="21">
        <f>'Baseline year population inputs'!C54</f>
        <v>8.2159999999999993</v>
      </c>
      <c r="F2" s="21">
        <f>'Baseline year population inputs'!C55</f>
        <v>3.952</v>
      </c>
    </row>
    <row r="3" spans="1:6" ht="15.75" customHeight="1" x14ac:dyDescent="0.25">
      <c r="A3" s="3" t="s">
        <v>197</v>
      </c>
      <c r="B3" s="21">
        <f>frac_mam_1month * 2.6</f>
        <v>0.14373501999999999</v>
      </c>
      <c r="C3" s="21">
        <f>frac_mam_1_5months * 2.6</f>
        <v>0.14373501999999999</v>
      </c>
      <c r="D3" s="21">
        <f>frac_mam_6_11months * 2.6</f>
        <v>0.176124</v>
      </c>
      <c r="E3" s="21">
        <f>frac_mam_12_23months * 2.6</f>
        <v>9.242402000000001E-2</v>
      </c>
      <c r="F3" s="21">
        <f>frac_mam_24_59months * 2.6</f>
        <v>4.4845059999999999E-2</v>
      </c>
    </row>
    <row r="4" spans="1:6" ht="15.75" customHeight="1" x14ac:dyDescent="0.25">
      <c r="A4" s="3" t="s">
        <v>198</v>
      </c>
      <c r="B4" s="21">
        <f>frac_sam_1month * 2.6</f>
        <v>5.9955740000000007E-2</v>
      </c>
      <c r="C4" s="21">
        <f>frac_sam_1_5months * 2.6</f>
        <v>5.9955740000000007E-2</v>
      </c>
      <c r="D4" s="21">
        <f>frac_sam_6_11months * 2.6</f>
        <v>2.9245840000000002E-2</v>
      </c>
      <c r="E4" s="21">
        <f>frac_sam_12_23months * 2.6</f>
        <v>3.0915559999999998E-2</v>
      </c>
      <c r="F4" s="21">
        <f>frac_sam_24_59months * 2.6</f>
        <v>1.149408E-2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0.24199999999999999</v>
      </c>
      <c r="F2" s="60">
        <f>food_insecure</f>
        <v>0.24199999999999999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0.24199999999999999</v>
      </c>
      <c r="F5" s="60">
        <f>food_insecure</f>
        <v>0.24199999999999999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0.10830624999999999</v>
      </c>
      <c r="D7" s="60">
        <f>diarrhoea_1_5mo*frac_diarrhea_severe</f>
        <v>0.10830624999999999</v>
      </c>
      <c r="E7" s="60">
        <f>diarrhoea_6_11mo*frac_diarrhea_severe</f>
        <v>0.19344</v>
      </c>
      <c r="F7" s="60">
        <f>diarrhoea_12_23mo*frac_diarrhea_severe</f>
        <v>0.15918499999999999</v>
      </c>
      <c r="G7" s="60">
        <f>diarrhoea_24_59mo*frac_diarrhea_severe</f>
        <v>7.6569999999999999E-2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0.24199999999999999</v>
      </c>
      <c r="F8" s="60">
        <f>food_insecure</f>
        <v>0.24199999999999999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0.24199999999999999</v>
      </c>
      <c r="F9" s="60">
        <f>food_insecure</f>
        <v>0.24199999999999999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0.10830624999999999</v>
      </c>
      <c r="D12" s="60">
        <f>diarrhoea_1_5mo*frac_diarrhea_severe</f>
        <v>0.10830624999999999</v>
      </c>
      <c r="E12" s="60">
        <f>diarrhoea_6_11mo*frac_diarrhea_severe</f>
        <v>0.19344</v>
      </c>
      <c r="F12" s="60">
        <f>diarrhoea_12_23mo*frac_diarrhea_severe</f>
        <v>0.15918499999999999</v>
      </c>
      <c r="G12" s="60">
        <f>diarrhoea_24_59mo*frac_diarrhea_severe</f>
        <v>7.6569999999999999E-2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0.24199999999999999</v>
      </c>
      <c r="I15" s="60">
        <f t="shared" si="0"/>
        <v>0.24199999999999999</v>
      </c>
      <c r="J15" s="60">
        <f t="shared" si="0"/>
        <v>0.24199999999999999</v>
      </c>
      <c r="K15" s="60">
        <f t="shared" si="0"/>
        <v>0.24199999999999999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0.24199999999999999</v>
      </c>
      <c r="I16" s="60">
        <f t="shared" si="0"/>
        <v>0.24199999999999999</v>
      </c>
      <c r="J16" s="60">
        <f t="shared" si="0"/>
        <v>0.24199999999999999</v>
      </c>
      <c r="K16" s="60">
        <f t="shared" si="0"/>
        <v>0.24199999999999999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7.2000000000000008E-2</v>
      </c>
      <c r="I19" s="60">
        <f>frac_malaria_risk</f>
        <v>7.2000000000000008E-2</v>
      </c>
      <c r="J19" s="60">
        <f>frac_malaria_risk</f>
        <v>7.2000000000000008E-2</v>
      </c>
      <c r="K19" s="60">
        <f>frac_malaria_risk</f>
        <v>7.2000000000000008E-2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0.38</v>
      </c>
      <c r="M24" s="60">
        <f>famplan_unmet_need</f>
        <v>0.38</v>
      </c>
      <c r="N24" s="60">
        <f>famplan_unmet_need</f>
        <v>0.38</v>
      </c>
      <c r="O24" s="60">
        <f>famplan_unmet_need</f>
        <v>0.38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0.11469541488851596</v>
      </c>
      <c r="M25" s="60">
        <f>(1-food_insecure)*(0.49)+food_insecure*(0.7)</f>
        <v>0.54081999999999997</v>
      </c>
      <c r="N25" s="60">
        <f>(1-food_insecure)*(0.49)+food_insecure*(0.7)</f>
        <v>0.54081999999999997</v>
      </c>
      <c r="O25" s="60">
        <f>(1-food_insecure)*(0.49)+food_insecure*(0.7)</f>
        <v>0.54081999999999997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4.9155177809363987E-2</v>
      </c>
      <c r="M26" s="60">
        <f>(1-food_insecure)*(0.21)+food_insecure*(0.3)</f>
        <v>0.23177999999999999</v>
      </c>
      <c r="N26" s="60">
        <f>(1-food_insecure)*(0.21)+food_insecure*(0.3)</f>
        <v>0.23177999999999999</v>
      </c>
      <c r="O26" s="60">
        <f>(1-food_insecure)*(0.21)+food_insecure*(0.3)</f>
        <v>0.23177999999999999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4.8226281102119989E-2</v>
      </c>
      <c r="M27" s="60">
        <f>(1-food_insecure)*(0.3)</f>
        <v>0.22739999999999999</v>
      </c>
      <c r="N27" s="60">
        <f>(1-food_insecure)*(0.3)</f>
        <v>0.22739999999999999</v>
      </c>
      <c r="O27" s="60">
        <f>(1-food_insecure)*(0.3)</f>
        <v>0.22739999999999999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0.78792312619999993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7.2000000000000008E-2</v>
      </c>
      <c r="D34" s="60">
        <f t="shared" si="4"/>
        <v>7.2000000000000008E-2</v>
      </c>
      <c r="E34" s="60">
        <f t="shared" si="4"/>
        <v>7.2000000000000008E-2</v>
      </c>
      <c r="F34" s="60">
        <f t="shared" si="4"/>
        <v>7.2000000000000008E-2</v>
      </c>
      <c r="G34" s="60">
        <f t="shared" si="4"/>
        <v>7.2000000000000008E-2</v>
      </c>
      <c r="H34" s="60">
        <f t="shared" si="4"/>
        <v>7.2000000000000008E-2</v>
      </c>
      <c r="I34" s="60">
        <f t="shared" si="4"/>
        <v>7.2000000000000008E-2</v>
      </c>
      <c r="J34" s="60">
        <f t="shared" si="4"/>
        <v>7.2000000000000008E-2</v>
      </c>
      <c r="K34" s="60">
        <f t="shared" si="4"/>
        <v>7.2000000000000008E-2</v>
      </c>
      <c r="L34" s="60">
        <f t="shared" si="4"/>
        <v>7.2000000000000008E-2</v>
      </c>
      <c r="M34" s="60">
        <f t="shared" si="4"/>
        <v>7.2000000000000008E-2</v>
      </c>
      <c r="N34" s="60">
        <f t="shared" si="4"/>
        <v>7.2000000000000008E-2</v>
      </c>
      <c r="O34" s="60">
        <f t="shared" si="4"/>
        <v>7.2000000000000008E-2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