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F3329A0-2BED-40D2-A4BE-B2B72108ACFE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4" i="2"/>
  <c r="A33" i="2"/>
  <c r="A32" i="2"/>
  <c r="A31" i="2"/>
  <c r="A26" i="2"/>
  <c r="A25" i="2"/>
  <c r="A24" i="2"/>
  <c r="A23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9" i="2" l="1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<sst xmlns="http://schemas.openxmlformats.org/spreadsheetml/2006/main" count="2101" uniqueCount="341">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</sst>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238060.677734375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0.17019999999999999</v>
      </c>
    </row>
    <row r="24" spans="1:3" ht="15" customHeight="1" x14ac:dyDescent="0.25">
      <c r="B24" s="15" t="s">
        <v>22</v>
      </c>
      <c r="C24" s="45">
        <v>0.45119999999999999</v>
      </c>
    </row>
    <row r="25" spans="1:3" ht="15" customHeight="1" x14ac:dyDescent="0.25">
      <c r="B25" s="15" t="s">
        <v>23</v>
      </c>
      <c r="C25" s="45">
        <v>0.29249999999999998</v>
      </c>
    </row>
    <row r="26" spans="1:3" ht="15" customHeight="1" x14ac:dyDescent="0.25">
      <c r="B26" s="15" t="s">
        <v>24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28.475850000000001</v>
      </c>
    </row>
    <row r="38" spans="1:5" ht="15" customHeight="1" x14ac:dyDescent="0.25">
      <c r="B38" s="11" t="s">
        <v>34</v>
      </c>
      <c r="C38" s="43">
        <v>57.189909999999998</v>
      </c>
      <c r="D38" s="12"/>
      <c r="E38" s="13"/>
    </row>
    <row r="39" spans="1:5" ht="15" customHeight="1" x14ac:dyDescent="0.25">
      <c r="B39" s="11" t="s">
        <v>35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100">
        <v>2.12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7.9638E-3</v>
      </c>
      <c r="D45" s="12"/>
    </row>
    <row r="46" spans="1:5" ht="15.75" customHeight="1" x14ac:dyDescent="0.25">
      <c r="B46" s="11" t="s">
        <v>41</v>
      </c>
      <c r="C46" s="45">
        <v>8.5570199999999999E-2</v>
      </c>
      <c r="D46" s="12"/>
    </row>
    <row r="47" spans="1:5" ht="15.75" customHeight="1" x14ac:dyDescent="0.25">
      <c r="B47" s="11" t="s">
        <v>42</v>
      </c>
      <c r="C47" s="45">
        <v>7.3427199999999998E-2</v>
      </c>
      <c r="D47" s="12"/>
      <c r="E47" s="13"/>
    </row>
    <row r="48" spans="1:5" ht="15" customHeight="1" x14ac:dyDescent="0.25">
      <c r="B48" s="11" t="s">
        <v>43</v>
      </c>
      <c r="C48" s="46">
        <v>0.83303880000000008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0.42923099999999997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50600</v>
      </c>
      <c r="C2" s="49">
        <v>106331.5</v>
      </c>
      <c r="D2" s="49">
        <v>121703</v>
      </c>
      <c r="E2" s="49">
        <v>122548.5</v>
      </c>
      <c r="F2" s="49">
        <v>64957</v>
      </c>
      <c r="G2" s="17">
        <f t="shared" ref="G2:G13" si="0">C2+D2+E2+F2</f>
        <v>415540</v>
      </c>
      <c r="H2" s="17">
        <f t="shared" ref="H2:H13" si="1">(B2 + stillbirth*B2/(1000-stillbirth))/(1-abortion)</f>
        <v>58376.048780285251</v>
      </c>
      <c r="I2" s="17">
        <f t="shared" ref="I2:I13" si="2">G2-H2</f>
        <v>357163.95121971477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50908</v>
      </c>
      <c r="C3" s="50">
        <v>112095</v>
      </c>
      <c r="D3" s="50">
        <v>123628.5</v>
      </c>
      <c r="E3" s="50">
        <v>124788</v>
      </c>
      <c r="F3" s="50">
        <v>68294.5</v>
      </c>
      <c r="G3" s="17">
        <f t="shared" si="0"/>
        <v>428806</v>
      </c>
      <c r="H3" s="17">
        <f t="shared" si="1"/>
        <v>58731.381251121769</v>
      </c>
      <c r="I3" s="17">
        <f t="shared" si="2"/>
        <v>370074.61874887825</v>
      </c>
    </row>
    <row r="4" spans="1:9" ht="15.75" customHeight="1" x14ac:dyDescent="0.25">
      <c r="A4" s="5">
        <f t="shared" si="3"/>
        <v>2026</v>
      </c>
      <c r="B4" s="49">
        <v>51214</v>
      </c>
      <c r="C4" s="50">
        <v>115975.5</v>
      </c>
      <c r="D4" s="50">
        <v>127281</v>
      </c>
      <c r="E4" s="50">
        <v>126151.5</v>
      </c>
      <c r="F4" s="50">
        <v>72177</v>
      </c>
      <c r="G4" s="17">
        <f t="shared" si="0"/>
        <v>441585</v>
      </c>
      <c r="H4" s="17">
        <f t="shared" si="1"/>
        <v>59084.406368251563</v>
      </c>
      <c r="I4" s="17">
        <f t="shared" si="2"/>
        <v>382500.59363174846</v>
      </c>
    </row>
    <row r="5" spans="1:9" ht="15.75" customHeight="1" x14ac:dyDescent="0.25">
      <c r="A5" s="5">
        <f t="shared" si="3"/>
        <v>2027</v>
      </c>
      <c r="B5" s="49">
        <v>51538</v>
      </c>
      <c r="C5" s="50">
        <v>118932</v>
      </c>
      <c r="D5" s="50">
        <v>132591.5</v>
      </c>
      <c r="E5" s="50">
        <v>126727</v>
      </c>
      <c r="F5" s="50">
        <v>76542</v>
      </c>
      <c r="G5" s="17">
        <f t="shared" si="0"/>
        <v>454792.5</v>
      </c>
      <c r="H5" s="17">
        <f t="shared" si="1"/>
        <v>59458.197668741923</v>
      </c>
      <c r="I5" s="17">
        <f t="shared" si="2"/>
        <v>395334.30233125808</v>
      </c>
    </row>
    <row r="6" spans="1:9" ht="15.75" customHeight="1" x14ac:dyDescent="0.25">
      <c r="A6" s="5">
        <f t="shared" si="3"/>
        <v>2028</v>
      </c>
      <c r="B6" s="49">
        <v>51855</v>
      </c>
      <c r="C6" s="50">
        <v>121150</v>
      </c>
      <c r="D6" s="50">
        <v>139305.5</v>
      </c>
      <c r="E6" s="50">
        <v>126649</v>
      </c>
      <c r="F6" s="50">
        <v>81244</v>
      </c>
      <c r="G6" s="17">
        <f t="shared" si="0"/>
        <v>468348.5</v>
      </c>
      <c r="H6" s="17">
        <f t="shared" si="1"/>
        <v>59823.913231258732</v>
      </c>
      <c r="I6" s="17">
        <f t="shared" si="2"/>
        <v>408524.58676874125</v>
      </c>
    </row>
    <row r="7" spans="1:9" ht="15.75" customHeight="1" x14ac:dyDescent="0.25">
      <c r="A7" s="5">
        <f t="shared" si="3"/>
        <v>2029</v>
      </c>
      <c r="B7" s="49">
        <v>52426</v>
      </c>
      <c r="C7" s="50">
        <v>122777</v>
      </c>
      <c r="D7" s="50">
        <v>147181.5</v>
      </c>
      <c r="E7" s="50">
        <v>126074.5</v>
      </c>
      <c r="F7" s="50">
        <v>86095.5</v>
      </c>
      <c r="G7" s="17">
        <f t="shared" si="0"/>
        <v>482128.5</v>
      </c>
      <c r="H7" s="17">
        <f t="shared" si="1"/>
        <v>60482.662714530328</v>
      </c>
      <c r="I7" s="17">
        <f t="shared" si="2"/>
        <v>421645.83728546969</v>
      </c>
    </row>
    <row r="8" spans="1:9" ht="15.75" customHeight="1" x14ac:dyDescent="0.25">
      <c r="A8" s="5">
        <f t="shared" si="3"/>
        <v>2030</v>
      </c>
      <c r="B8" s="49">
        <v>52783</v>
      </c>
      <c r="C8" s="50">
        <v>123978</v>
      </c>
      <c r="D8" s="50">
        <v>155989.5</v>
      </c>
      <c r="E8" s="50">
        <v>125129.5</v>
      </c>
      <c r="F8" s="50">
        <v>90904.5</v>
      </c>
      <c r="G8" s="17">
        <f t="shared" si="0"/>
        <v>496001.5</v>
      </c>
      <c r="H8" s="17">
        <f t="shared" si="1"/>
        <v>60894.52535118175</v>
      </c>
      <c r="I8" s="17">
        <f t="shared" si="2"/>
        <v>435106.97464881826</v>
      </c>
    </row>
    <row r="9" spans="1:9" ht="15.75" customHeight="1" x14ac:dyDescent="0.25">
      <c r="A9" s="5">
        <f t="shared" si="3"/>
        <v>2031</v>
      </c>
      <c r="B9" s="49">
        <v>53278</v>
      </c>
      <c r="C9" s="50">
        <v>125763</v>
      </c>
      <c r="D9" s="50">
        <v>164650.5</v>
      </c>
      <c r="E9" s="50">
        <v>123920.5</v>
      </c>
      <c r="F9" s="50">
        <v>95485.5</v>
      </c>
      <c r="G9" s="17">
        <f t="shared" si="0"/>
        <v>509819.5</v>
      </c>
      <c r="H9" s="17">
        <f t="shared" si="1"/>
        <v>61465.595393597578</v>
      </c>
      <c r="I9" s="17">
        <f t="shared" si="2"/>
        <v>448353.90460640244</v>
      </c>
    </row>
    <row r="10" spans="1:9" ht="15.75" customHeight="1" x14ac:dyDescent="0.25">
      <c r="A10" s="5">
        <f t="shared" si="3"/>
        <v>2032</v>
      </c>
      <c r="B10" s="49">
        <v>53428</v>
      </c>
      <c r="C10" s="50">
        <v>128114.5</v>
      </c>
      <c r="D10" s="50">
        <v>172867</v>
      </c>
      <c r="E10" s="50">
        <v>122791.5</v>
      </c>
      <c r="F10" s="50">
        <v>99690</v>
      </c>
      <c r="G10" s="17">
        <f t="shared" si="0"/>
        <v>523463</v>
      </c>
      <c r="H10" s="17">
        <f t="shared" si="1"/>
        <v>61638.646921602376</v>
      </c>
      <c r="I10" s="17">
        <f t="shared" si="2"/>
        <v>461824.35307839763</v>
      </c>
    </row>
    <row r="11" spans="1:9" ht="15.75" customHeight="1" x14ac:dyDescent="0.25">
      <c r="A11" s="5">
        <f t="shared" si="3"/>
        <v>2033</v>
      </c>
      <c r="B11" s="49">
        <v>53504</v>
      </c>
      <c r="C11" s="50">
        <v>130137.5</v>
      </c>
      <c r="D11" s="50">
        <v>181066</v>
      </c>
      <c r="E11" s="50">
        <v>122245.5</v>
      </c>
      <c r="F11" s="50">
        <v>103401.5</v>
      </c>
      <c r="G11" s="17">
        <f t="shared" si="0"/>
        <v>536850.5</v>
      </c>
      <c r="H11" s="17">
        <f t="shared" si="1"/>
        <v>61726.326362458145</v>
      </c>
      <c r="I11" s="17">
        <f t="shared" si="2"/>
        <v>475124.17363754183</v>
      </c>
    </row>
    <row r="12" spans="1:9" ht="15.75" customHeight="1" x14ac:dyDescent="0.25">
      <c r="A12" s="5">
        <f t="shared" si="3"/>
        <v>2034</v>
      </c>
      <c r="B12" s="49">
        <v>53932</v>
      </c>
      <c r="C12" s="50">
        <v>131880</v>
      </c>
      <c r="D12" s="50">
        <v>188794.5</v>
      </c>
      <c r="E12" s="50">
        <v>122729.5</v>
      </c>
      <c r="F12" s="50">
        <v>106478.5</v>
      </c>
      <c r="G12" s="17">
        <f t="shared" si="0"/>
        <v>549882.5</v>
      </c>
      <c r="H12" s="17">
        <f t="shared" si="1"/>
        <v>62220.100055698502</v>
      </c>
      <c r="I12" s="17">
        <f t="shared" si="2"/>
        <v>487662.39994430152</v>
      </c>
    </row>
    <row r="13" spans="1:9" ht="15.75" customHeight="1" x14ac:dyDescent="0.25">
      <c r="A13" s="5">
        <f t="shared" si="3"/>
        <v>2035</v>
      </c>
      <c r="B13" s="49">
        <v>54215</v>
      </c>
      <c r="C13" s="50">
        <v>133347.5</v>
      </c>
      <c r="D13" s="50">
        <v>195619</v>
      </c>
      <c r="E13" s="50">
        <v>124666</v>
      </c>
      <c r="F13" s="50">
        <v>108802</v>
      </c>
      <c r="G13" s="17">
        <f t="shared" si="0"/>
        <v>562434.5</v>
      </c>
      <c r="H13" s="17">
        <f t="shared" si="1"/>
        <v>62546.590605200887</v>
      </c>
      <c r="I13" s="17">
        <f t="shared" si="2"/>
        <v>499887.90939479909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7.305099269490082E-3</v>
      </c>
    </row>
    <row r="4" spans="1:8" ht="15.75" customHeight="1" x14ac:dyDescent="0.25">
      <c r="B4" s="19" t="s">
        <v>69</v>
      </c>
      <c r="C4" s="101">
        <v>5.32383946761604E-2</v>
      </c>
    </row>
    <row r="5" spans="1:8" ht="15.75" customHeight="1" x14ac:dyDescent="0.25">
      <c r="B5" s="19" t="s">
        <v>70</v>
      </c>
      <c r="C5" s="101">
        <v>6.7692193230780781E-2</v>
      </c>
    </row>
    <row r="6" spans="1:8" ht="15.75" customHeight="1" x14ac:dyDescent="0.25">
      <c r="B6" s="19" t="s">
        <v>71</v>
      </c>
      <c r="C6" s="101">
        <v>0.24032487596751251</v>
      </c>
    </row>
    <row r="7" spans="1:8" ht="15.75" customHeight="1" x14ac:dyDescent="0.25">
      <c r="B7" s="19" t="s">
        <v>72</v>
      </c>
      <c r="C7" s="101">
        <v>0.4413514558648543</v>
      </c>
    </row>
    <row r="8" spans="1:8" ht="15.75" customHeight="1" x14ac:dyDescent="0.25">
      <c r="B8" s="19" t="s">
        <v>73</v>
      </c>
      <c r="C8" s="101">
        <v>7.862699213730083E-3</v>
      </c>
    </row>
    <row r="9" spans="1:8" ht="15.75" customHeight="1" x14ac:dyDescent="0.25">
      <c r="B9" s="19" t="s">
        <v>74</v>
      </c>
      <c r="C9" s="101">
        <v>7.0404592959540754E-2</v>
      </c>
    </row>
    <row r="10" spans="1:8" ht="15.75" customHeight="1" x14ac:dyDescent="0.25">
      <c r="B10" s="19" t="s">
        <v>75</v>
      </c>
      <c r="C10" s="101">
        <v>0.1118206888179311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82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83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84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85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86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87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88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89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8.6943652999999996E-2</v>
      </c>
    </row>
    <row r="27" spans="1:8" ht="15.75" customHeight="1" x14ac:dyDescent="0.25">
      <c r="B27" s="19" t="s">
        <v>92</v>
      </c>
      <c r="C27" s="101">
        <v>8.5220880000000006E-3</v>
      </c>
    </row>
    <row r="28" spans="1:8" ht="15.75" customHeight="1" x14ac:dyDescent="0.25">
      <c r="B28" s="19" t="s">
        <v>93</v>
      </c>
      <c r="C28" s="101">
        <v>0.152896541</v>
      </c>
    </row>
    <row r="29" spans="1:8" ht="15.75" customHeight="1" x14ac:dyDescent="0.25">
      <c r="B29" s="19" t="s">
        <v>94</v>
      </c>
      <c r="C29" s="101">
        <v>0.16599547100000001</v>
      </c>
    </row>
    <row r="30" spans="1:8" ht="15.75" customHeight="1" x14ac:dyDescent="0.25">
      <c r="B30" s="19" t="s">
        <v>95</v>
      </c>
      <c r="C30" s="101">
        <v>0.10566703099999999</v>
      </c>
    </row>
    <row r="31" spans="1:8" ht="15.75" customHeight="1" x14ac:dyDescent="0.25">
      <c r="B31" s="19" t="s">
        <v>96</v>
      </c>
      <c r="C31" s="101">
        <v>0.108493031</v>
      </c>
    </row>
    <row r="32" spans="1:8" ht="15.75" customHeight="1" x14ac:dyDescent="0.25">
      <c r="B32" s="19" t="s">
        <v>97</v>
      </c>
      <c r="C32" s="101">
        <v>1.8539073999999999E-2</v>
      </c>
    </row>
    <row r="33" spans="2:3" ht="15.75" customHeight="1" x14ac:dyDescent="0.25">
      <c r="B33" s="19" t="s">
        <v>98</v>
      </c>
      <c r="C33" s="101">
        <v>8.3873541999999995E-2</v>
      </c>
    </row>
    <row r="34" spans="2:3" ht="15.75" customHeight="1" x14ac:dyDescent="0.25">
      <c r="B34" s="19" t="s">
        <v>99</v>
      </c>
      <c r="C34" s="101">
        <v>0.26906956999999998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122</v>
      </c>
      <c r="C5" s="52">
        <v>3.33065256880734E-2</v>
      </c>
      <c r="D5" s="52">
        <v>3.1888914678899101E-2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0.99400898758412304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0.70706266146872643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0.36424440136267727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8.6999999999999994E-2</v>
      </c>
      <c r="C10" s="98">
        <v>0.95</v>
      </c>
      <c r="D10" s="56">
        <v>13.67055113600504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13.67055113600504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13.67055113600504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13.67055113600504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8.6999999999999994E-2</v>
      </c>
      <c r="C14" s="98">
        <v>0.95</v>
      </c>
      <c r="D14" s="56">
        <v>13.67055113600504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13.67055113600504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0.27600000000000002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23.936202886472088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0.63700000000000001</v>
      </c>
      <c r="C23" s="98">
        <v>0.95</v>
      </c>
      <c r="D23" s="56">
        <v>4.6908199698568867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0.48123363019999998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8.6999999999999994E-2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0.40400000000000003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0.40699999999999997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0.08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0.24221039999999999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0.40781970000000001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2E-3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0.10464021985061334</v>
      </c>
      <c r="G18" s="90">
        <f>MIN(MAX(1-0.89/(1-frac_sam_12_23months+(frac_sam_12_23months*0.89)),0),1)</f>
        <v>0.10579430344369589</v>
      </c>
      <c r="H18" s="90">
        <f>MIN(MAX(1-0.89/(1-frac_sam_24_59months+(frac_sam_24_59months*0.89)),0),1)</f>
        <v>0.10797291671796916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9.970044044997084E-2</v>
      </c>
      <c r="G20" s="90">
        <f>MIN(MAX(1-0.89/(1-frac_mam_12_23months+(frac_mam_12_23months*0.89)),0),1)</f>
        <v>0.10176089059770355</v>
      </c>
      <c r="H20" s="90">
        <f>MIN(MAX(1-0.89/(1-frac_mam_24_59months+(frac_mam_24_59months*0.89)),0),1)</f>
        <v>0.10537269197979415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9.4609509190748398E-3</v>
      </c>
      <c r="G73" s="90">
        <f>MIN(MAX(1-0.99/(1-frac_sam_12_23months+(frac_sam_12_23months*0.99)),0),1)</f>
        <v>9.576524057445579E-3</v>
      </c>
      <c r="H73" s="90">
        <f>MIN(MAX(1-0.99/(1-frac_sam_24_59months+(frac_sam_24_59months*0.99)),0),1)</f>
        <v>9.7954376098877693E-3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8.9693148191467564E-3</v>
      </c>
      <c r="G75" s="90">
        <f>MIN(MAX(1-0.99/(1-frac_mam_12_23months+(frac_mam_12_23months*0.99)),0),1)</f>
        <v>9.1737849290419726E-3</v>
      </c>
      <c r="H75" s="90">
        <f>MIN(MAX(1-0.99/(1-frac_mam_24_59months+(frac_mam_24_59months*0.99)),0),1)</f>
        <v>9.5342712730064338E-3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0.19119702548901507</v>
      </c>
      <c r="G128" s="90">
        <f>MIN(MAX(1-0.8/(1-frac_sam_12_23months+(frac_sam_12_23months*0.8)),0),1)</f>
        <v>0.19309986478292651</v>
      </c>
      <c r="H128" s="90">
        <f>MIN(MAX(1-0.8/(1-frac_sam_24_59months+(frac_sam_24_59months*0.8)),0),1)</f>
        <v>0.19668091060796145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0.1830063125368252</v>
      </c>
      <c r="G130" s="90">
        <f>MIN(MAX(1-0.8/(1-frac_mam_12_23months+(frac_mam_12_23months*0.8)),0),1)</f>
        <v>0.18643188425466561</v>
      </c>
      <c r="H130" s="90">
        <f>MIN(MAX(1-0.8/(1-frac_mam_24_59months+(frac_mam_24_59months*0.8)),0),1)</f>
        <v>0.19240518690713748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2024-08-06T06:31:23Z</dcterms:modified>
</cp:coreProperties>
</file>