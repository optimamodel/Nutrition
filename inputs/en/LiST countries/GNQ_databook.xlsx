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87E0FAB-B2C2-4B26-973A-DAF0D5F2476A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I39" i="2"/>
  <c r="H39" i="2"/>
  <c r="G39" i="2"/>
  <c r="A39" i="2"/>
  <c r="I38" i="2"/>
  <c r="H38" i="2"/>
  <c r="G38" i="2"/>
  <c r="A37" i="2"/>
  <c r="A34" i="2"/>
  <c r="A29" i="2"/>
  <c r="A26" i="2"/>
  <c r="A21" i="2"/>
  <c r="A18" i="2"/>
  <c r="A17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A3" i="2"/>
  <c r="I2" i="2"/>
  <c r="H2" i="2"/>
  <c r="G2" i="2"/>
  <c r="A2" i="2"/>
  <c r="A32" i="2" s="1"/>
  <c r="C33" i="1"/>
  <c r="C20" i="1"/>
  <c r="A25" i="2" l="1"/>
  <c r="A33" i="2"/>
  <c r="A19" i="2"/>
  <c r="A27" i="2"/>
  <c r="A35" i="2"/>
  <c r="A20" i="2"/>
  <c r="A28" i="2"/>
  <c r="A36" i="2"/>
  <c r="A6" i="2"/>
  <c r="A7" i="2" s="1"/>
  <c r="A8" i="2" s="1"/>
  <c r="A9" i="2" s="1"/>
  <c r="A10" i="2" s="1"/>
  <c r="A11" i="2" s="1"/>
  <c r="A12" i="2" s="1"/>
  <c r="A13" i="2" s="1"/>
  <c r="A14" i="2"/>
  <c r="A22" i="2"/>
  <c r="A38" i="2"/>
  <c r="A40" i="2"/>
  <c r="A4" i="2"/>
  <c r="A5" i="2" s="1"/>
  <c r="A30" i="2"/>
  <c r="A15" i="2"/>
  <c r="A23" i="2"/>
  <c r="A31" i="2"/>
  <c r="A16" i="2"/>
  <c r="A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<sst xmlns="http://schemas.openxmlformats.org/spreadsheetml/2006/main" count="2103" uniqueCount="341">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</sst>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238060.677734375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0.97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0.79500000000000004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0.17019999999999999</v>
      </c>
    </row>
    <row r="24" spans="1:3" ht="15" customHeight="1" x14ac:dyDescent="0.25">
      <c r="B24" s="15" t="s">
        <v>22</v>
      </c>
      <c r="C24" s="45">
        <v>0.45119999999999999</v>
      </c>
    </row>
    <row r="25" spans="1:3" ht="15" customHeight="1" x14ac:dyDescent="0.25">
      <c r="B25" s="15" t="s">
        <v>23</v>
      </c>
      <c r="C25" s="45">
        <v>0.29249999999999998</v>
      </c>
    </row>
    <row r="26" spans="1:3" ht="15" customHeight="1" x14ac:dyDescent="0.25">
      <c r="B26" s="15" t="s">
        <v>24</v>
      </c>
      <c r="C26" s="45">
        <v>8.6099999999999996E-2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0.20134766316932501</v>
      </c>
    </row>
    <row r="30" spans="1:3" ht="14.25" customHeight="1" x14ac:dyDescent="0.25">
      <c r="B30" s="25" t="s">
        <v>27</v>
      </c>
      <c r="C30" s="99">
        <v>3.7040067899888597E-2</v>
      </c>
    </row>
    <row r="31" spans="1:3" ht="14.25" customHeight="1" x14ac:dyDescent="0.25">
      <c r="B31" s="25" t="s">
        <v>28</v>
      </c>
      <c r="C31" s="99">
        <v>9.42970158051466E-2</v>
      </c>
    </row>
    <row r="32" spans="1:3" ht="14.25" customHeight="1" x14ac:dyDescent="0.25">
      <c r="B32" s="25" t="s">
        <v>29</v>
      </c>
      <c r="C32" s="99">
        <v>0.66731525312564</v>
      </c>
    </row>
    <row r="33" spans="1:5" ht="13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28.475850000000001</v>
      </c>
    </row>
    <row r="38" spans="1:5" ht="15" customHeight="1" x14ac:dyDescent="0.25">
      <c r="B38" s="11" t="s">
        <v>34</v>
      </c>
      <c r="C38" s="43">
        <v>57.189909999999998</v>
      </c>
      <c r="D38" s="12"/>
      <c r="E38" s="13"/>
    </row>
    <row r="39" spans="1:5" ht="15" customHeight="1" x14ac:dyDescent="0.25">
      <c r="B39" s="11" t="s">
        <v>35</v>
      </c>
      <c r="C39" s="43">
        <v>76.775000000000006</v>
      </c>
      <c r="D39" s="12"/>
      <c r="E39" s="12"/>
    </row>
    <row r="40" spans="1:5" ht="15" customHeight="1" x14ac:dyDescent="0.25">
      <c r="B40" s="11" t="s">
        <v>36</v>
      </c>
      <c r="C40" s="100">
        <v>2.12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15.00699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7.9638E-3</v>
      </c>
      <c r="D45" s="12"/>
    </row>
    <row r="46" spans="1:5" ht="15.75" customHeight="1" x14ac:dyDescent="0.25">
      <c r="B46" s="11" t="s">
        <v>41</v>
      </c>
      <c r="C46" s="45">
        <v>8.5570199999999999E-2</v>
      </c>
      <c r="D46" s="12"/>
    </row>
    <row r="47" spans="1:5" ht="15.75" customHeight="1" x14ac:dyDescent="0.25">
      <c r="B47" s="11" t="s">
        <v>42</v>
      </c>
      <c r="C47" s="45">
        <v>7.3427199999999998E-2</v>
      </c>
      <c r="D47" s="12"/>
      <c r="E47" s="13"/>
    </row>
    <row r="48" spans="1:5" ht="15" customHeight="1" x14ac:dyDescent="0.25">
      <c r="B48" s="11" t="s">
        <v>43</v>
      </c>
      <c r="C48" s="46">
        <v>0.83303880000000008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0.42923099999999997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50600</v>
      </c>
      <c r="C2" s="49">
        <v>106331.5</v>
      </c>
      <c r="D2" s="49">
        <v>121703</v>
      </c>
      <c r="E2" s="49">
        <v>122548.5</v>
      </c>
      <c r="F2" s="49">
        <v>64957</v>
      </c>
      <c r="G2" s="17">
        <f t="shared" ref="G2:G13" si="0">C2+D2+E2+F2</f>
        <v>415540</v>
      </c>
      <c r="H2" s="17">
        <f t="shared" ref="H2:H13" si="1">(B2 + stillbirth*B2/(1000-stillbirth))/(1-abortion)</f>
        <v>58376.048780285251</v>
      </c>
      <c r="I2" s="17">
        <f t="shared" ref="I2:I13" si="2">G2-H2</f>
        <v>357163.95121971477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50908</v>
      </c>
      <c r="C3" s="50">
        <v>112095</v>
      </c>
      <c r="D3" s="50">
        <v>123628.5</v>
      </c>
      <c r="E3" s="50">
        <v>124788</v>
      </c>
      <c r="F3" s="50">
        <v>68294.5</v>
      </c>
      <c r="G3" s="17">
        <f t="shared" si="0"/>
        <v>428806</v>
      </c>
      <c r="H3" s="17">
        <f t="shared" si="1"/>
        <v>58731.381251121769</v>
      </c>
      <c r="I3" s="17">
        <f t="shared" si="2"/>
        <v>370074.61874887825</v>
      </c>
    </row>
    <row r="4" spans="1:9" ht="15.75" customHeight="1" x14ac:dyDescent="0.25">
      <c r="A4" s="5">
        <f t="shared" si="3"/>
        <v>2026</v>
      </c>
      <c r="B4" s="49">
        <v>51214</v>
      </c>
      <c r="C4" s="50">
        <v>115975.5</v>
      </c>
      <c r="D4" s="50">
        <v>127281</v>
      </c>
      <c r="E4" s="50">
        <v>126151.5</v>
      </c>
      <c r="F4" s="50">
        <v>72177</v>
      </c>
      <c r="G4" s="17">
        <f t="shared" si="0"/>
        <v>441585</v>
      </c>
      <c r="H4" s="17">
        <f t="shared" si="1"/>
        <v>59084.406368251563</v>
      </c>
      <c r="I4" s="17">
        <f t="shared" si="2"/>
        <v>382500.59363174846</v>
      </c>
    </row>
    <row r="5" spans="1:9" ht="15.75" customHeight="1" x14ac:dyDescent="0.25">
      <c r="A5" s="5">
        <f t="shared" si="3"/>
        <v>2027</v>
      </c>
      <c r="B5" s="49">
        <v>51538</v>
      </c>
      <c r="C5" s="50">
        <v>118932</v>
      </c>
      <c r="D5" s="50">
        <v>132591.5</v>
      </c>
      <c r="E5" s="50">
        <v>126727</v>
      </c>
      <c r="F5" s="50">
        <v>76542</v>
      </c>
      <c r="G5" s="17">
        <f t="shared" si="0"/>
        <v>454792.5</v>
      </c>
      <c r="H5" s="17">
        <f t="shared" si="1"/>
        <v>59458.197668741923</v>
      </c>
      <c r="I5" s="17">
        <f t="shared" si="2"/>
        <v>395334.30233125808</v>
      </c>
    </row>
    <row r="6" spans="1:9" ht="15.75" customHeight="1" x14ac:dyDescent="0.25">
      <c r="A6" s="5">
        <f t="shared" si="3"/>
        <v>2028</v>
      </c>
      <c r="B6" s="49">
        <v>51855</v>
      </c>
      <c r="C6" s="50">
        <v>121150</v>
      </c>
      <c r="D6" s="50">
        <v>139305.5</v>
      </c>
      <c r="E6" s="50">
        <v>126649</v>
      </c>
      <c r="F6" s="50">
        <v>81244</v>
      </c>
      <c r="G6" s="17">
        <f t="shared" si="0"/>
        <v>468348.5</v>
      </c>
      <c r="H6" s="17">
        <f t="shared" si="1"/>
        <v>59823.913231258732</v>
      </c>
      <c r="I6" s="17">
        <f t="shared" si="2"/>
        <v>408524.58676874125</v>
      </c>
    </row>
    <row r="7" spans="1:9" ht="15.75" customHeight="1" x14ac:dyDescent="0.25">
      <c r="A7" s="5">
        <f t="shared" si="3"/>
        <v>2029</v>
      </c>
      <c r="B7" s="49">
        <v>52426</v>
      </c>
      <c r="C7" s="50">
        <v>122777</v>
      </c>
      <c r="D7" s="50">
        <v>147181.5</v>
      </c>
      <c r="E7" s="50">
        <v>126074.5</v>
      </c>
      <c r="F7" s="50">
        <v>86095.5</v>
      </c>
      <c r="G7" s="17">
        <f t="shared" si="0"/>
        <v>482128.5</v>
      </c>
      <c r="H7" s="17">
        <f t="shared" si="1"/>
        <v>60482.662714530328</v>
      </c>
      <c r="I7" s="17">
        <f t="shared" si="2"/>
        <v>421645.83728546969</v>
      </c>
    </row>
    <row r="8" spans="1:9" ht="15.75" customHeight="1" x14ac:dyDescent="0.25">
      <c r="A8" s="5">
        <f t="shared" si="3"/>
        <v>2030</v>
      </c>
      <c r="B8" s="49">
        <v>52783</v>
      </c>
      <c r="C8" s="50">
        <v>123978</v>
      </c>
      <c r="D8" s="50">
        <v>155989.5</v>
      </c>
      <c r="E8" s="50">
        <v>125129.5</v>
      </c>
      <c r="F8" s="50">
        <v>90904.5</v>
      </c>
      <c r="G8" s="17">
        <f t="shared" si="0"/>
        <v>496001.5</v>
      </c>
      <c r="H8" s="17">
        <f t="shared" si="1"/>
        <v>60894.52535118175</v>
      </c>
      <c r="I8" s="17">
        <f t="shared" si="2"/>
        <v>435106.97464881826</v>
      </c>
    </row>
    <row r="9" spans="1:9" ht="15.75" customHeight="1" x14ac:dyDescent="0.25">
      <c r="A9" s="5">
        <f t="shared" si="3"/>
        <v>2031</v>
      </c>
      <c r="B9" s="49">
        <v>53278</v>
      </c>
      <c r="C9" s="50">
        <v>125763</v>
      </c>
      <c r="D9" s="50">
        <v>164650.5</v>
      </c>
      <c r="E9" s="50">
        <v>123920.5</v>
      </c>
      <c r="F9" s="50">
        <v>95485.5</v>
      </c>
      <c r="G9" s="17">
        <f t="shared" si="0"/>
        <v>509819.5</v>
      </c>
      <c r="H9" s="17">
        <f t="shared" si="1"/>
        <v>61465.595393597578</v>
      </c>
      <c r="I9" s="17">
        <f t="shared" si="2"/>
        <v>448353.90460640244</v>
      </c>
    </row>
    <row r="10" spans="1:9" ht="15.75" customHeight="1" x14ac:dyDescent="0.25">
      <c r="A10" s="5">
        <f t="shared" si="3"/>
        <v>2032</v>
      </c>
      <c r="B10" s="49">
        <v>53428</v>
      </c>
      <c r="C10" s="50">
        <v>128114.5</v>
      </c>
      <c r="D10" s="50">
        <v>172867</v>
      </c>
      <c r="E10" s="50">
        <v>122791.5</v>
      </c>
      <c r="F10" s="50">
        <v>99690</v>
      </c>
      <c r="G10" s="17">
        <f t="shared" si="0"/>
        <v>523463</v>
      </c>
      <c r="H10" s="17">
        <f t="shared" si="1"/>
        <v>61638.646921602376</v>
      </c>
      <c r="I10" s="17">
        <f t="shared" si="2"/>
        <v>461824.35307839763</v>
      </c>
    </row>
    <row r="11" spans="1:9" ht="15.75" customHeight="1" x14ac:dyDescent="0.25">
      <c r="A11" s="5">
        <f t="shared" si="3"/>
        <v>2033</v>
      </c>
      <c r="B11" s="49">
        <v>53504</v>
      </c>
      <c r="C11" s="50">
        <v>130137.5</v>
      </c>
      <c r="D11" s="50">
        <v>181066</v>
      </c>
      <c r="E11" s="50">
        <v>122245.5</v>
      </c>
      <c r="F11" s="50">
        <v>103401.5</v>
      </c>
      <c r="G11" s="17">
        <f t="shared" si="0"/>
        <v>536850.5</v>
      </c>
      <c r="H11" s="17">
        <f t="shared" si="1"/>
        <v>61726.326362458145</v>
      </c>
      <c r="I11" s="17">
        <f t="shared" si="2"/>
        <v>475124.17363754183</v>
      </c>
    </row>
    <row r="12" spans="1:9" ht="15.75" customHeight="1" x14ac:dyDescent="0.25">
      <c r="A12" s="5">
        <f t="shared" si="3"/>
        <v>2034</v>
      </c>
      <c r="B12" s="49">
        <v>53932</v>
      </c>
      <c r="C12" s="50">
        <v>131880</v>
      </c>
      <c r="D12" s="50">
        <v>188794.5</v>
      </c>
      <c r="E12" s="50">
        <v>122729.5</v>
      </c>
      <c r="F12" s="50">
        <v>106478.5</v>
      </c>
      <c r="G12" s="17">
        <f t="shared" si="0"/>
        <v>549882.5</v>
      </c>
      <c r="H12" s="17">
        <f t="shared" si="1"/>
        <v>62220.100055698502</v>
      </c>
      <c r="I12" s="17">
        <f t="shared" si="2"/>
        <v>487662.39994430152</v>
      </c>
    </row>
    <row r="13" spans="1:9" ht="15.75" customHeight="1" x14ac:dyDescent="0.25">
      <c r="A13" s="5">
        <f t="shared" si="3"/>
        <v>2035</v>
      </c>
      <c r="B13" s="49">
        <v>54215</v>
      </c>
      <c r="C13" s="50">
        <v>133347.5</v>
      </c>
      <c r="D13" s="50">
        <v>195619</v>
      </c>
      <c r="E13" s="50">
        <v>124666</v>
      </c>
      <c r="F13" s="50">
        <v>108802</v>
      </c>
      <c r="G13" s="17">
        <f t="shared" si="0"/>
        <v>562434.5</v>
      </c>
      <c r="H13" s="17">
        <f t="shared" si="1"/>
        <v>62546.590605200887</v>
      </c>
      <c r="I13" s="17">
        <f t="shared" si="2"/>
        <v>499887.90939479909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7.305099269490082E-3</v>
      </c>
    </row>
    <row r="4" spans="1:8" ht="15.75" customHeight="1" x14ac:dyDescent="0.25">
      <c r="B4" s="19" t="s">
        <v>69</v>
      </c>
      <c r="C4" s="101">
        <v>5.32383946761604E-2</v>
      </c>
    </row>
    <row r="5" spans="1:8" ht="15.75" customHeight="1" x14ac:dyDescent="0.25">
      <c r="B5" s="19" t="s">
        <v>70</v>
      </c>
      <c r="C5" s="101">
        <v>6.7692193230780781E-2</v>
      </c>
    </row>
    <row r="6" spans="1:8" ht="15.75" customHeight="1" x14ac:dyDescent="0.25">
      <c r="B6" s="19" t="s">
        <v>71</v>
      </c>
      <c r="C6" s="101">
        <v>0.24032487596751251</v>
      </c>
    </row>
    <row r="7" spans="1:8" ht="15.75" customHeight="1" x14ac:dyDescent="0.25">
      <c r="B7" s="19" t="s">
        <v>72</v>
      </c>
      <c r="C7" s="101">
        <v>0.4413514558648543</v>
      </c>
    </row>
    <row r="8" spans="1:8" ht="15.75" customHeight="1" x14ac:dyDescent="0.25">
      <c r="B8" s="19" t="s">
        <v>73</v>
      </c>
      <c r="C8" s="101">
        <v>7.862699213730083E-3</v>
      </c>
    </row>
    <row r="9" spans="1:8" ht="15.75" customHeight="1" x14ac:dyDescent="0.25">
      <c r="B9" s="19" t="s">
        <v>74</v>
      </c>
      <c r="C9" s="101">
        <v>7.0404592959540754E-2</v>
      </c>
    </row>
    <row r="10" spans="1:8" ht="15.75" customHeight="1" x14ac:dyDescent="0.25">
      <c r="B10" s="19" t="s">
        <v>75</v>
      </c>
      <c r="C10" s="101">
        <v>0.1118206888179311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0.1469392595461291</v>
      </c>
      <c r="D14" s="55">
        <v>0.1469392595461291</v>
      </c>
      <c r="E14" s="55">
        <v>0.1469392595461291</v>
      </c>
      <c r="F14" s="55">
        <v>0.1469392595461291</v>
      </c>
    </row>
    <row r="15" spans="1:8" ht="15.75" customHeight="1" x14ac:dyDescent="0.25">
      <c r="B15" s="19" t="s">
        <v>82</v>
      </c>
      <c r="C15" s="101">
        <v>0.23712937024363909</v>
      </c>
      <c r="D15" s="101">
        <v>0.23712937024363909</v>
      </c>
      <c r="E15" s="101">
        <v>0.23712937024363909</v>
      </c>
      <c r="F15" s="101">
        <v>0.23712937024363909</v>
      </c>
    </row>
    <row r="16" spans="1:8" ht="15.75" customHeight="1" x14ac:dyDescent="0.25">
      <c r="B16" s="19" t="s">
        <v>83</v>
      </c>
      <c r="C16" s="101">
        <v>3.7117086195434149E-2</v>
      </c>
      <c r="D16" s="101">
        <v>3.7117086195434149E-2</v>
      </c>
      <c r="E16" s="101">
        <v>3.7117086195434149E-2</v>
      </c>
      <c r="F16" s="101">
        <v>3.7117086195434149E-2</v>
      </c>
    </row>
    <row r="17" spans="1:8" ht="15.75" customHeight="1" x14ac:dyDescent="0.25">
      <c r="B17" s="19" t="s">
        <v>84</v>
      </c>
      <c r="C17" s="101">
        <v>6.4691924277210433E-2</v>
      </c>
      <c r="D17" s="101">
        <v>6.4691924277210433E-2</v>
      </c>
      <c r="E17" s="101">
        <v>6.4691924277210433E-2</v>
      </c>
      <c r="F17" s="101">
        <v>6.4691924277210433E-2</v>
      </c>
    </row>
    <row r="18" spans="1:8" ht="15.75" customHeight="1" x14ac:dyDescent="0.25">
      <c r="B18" s="19" t="s">
        <v>85</v>
      </c>
      <c r="C18" s="101">
        <v>0.1268361424234847</v>
      </c>
      <c r="D18" s="101">
        <v>0.1268361424234847</v>
      </c>
      <c r="E18" s="101">
        <v>0.1268361424234847</v>
      </c>
      <c r="F18" s="101">
        <v>0.1268361424234847</v>
      </c>
    </row>
    <row r="19" spans="1:8" ht="15.75" customHeight="1" x14ac:dyDescent="0.25">
      <c r="B19" s="19" t="s">
        <v>86</v>
      </c>
      <c r="C19" s="101">
        <v>1.7499491580409809E-2</v>
      </c>
      <c r="D19" s="101">
        <v>1.7499491580409809E-2</v>
      </c>
      <c r="E19" s="101">
        <v>1.7499491580409809E-2</v>
      </c>
      <c r="F19" s="101">
        <v>1.7499491580409809E-2</v>
      </c>
    </row>
    <row r="20" spans="1:8" ht="15.75" customHeight="1" x14ac:dyDescent="0.25">
      <c r="B20" s="19" t="s">
        <v>87</v>
      </c>
      <c r="C20" s="101">
        <v>0.25313723606834909</v>
      </c>
      <c r="D20" s="101">
        <v>0.25313723606834909</v>
      </c>
      <c r="E20" s="101">
        <v>0.25313723606834909</v>
      </c>
      <c r="F20" s="101">
        <v>0.25313723606834909</v>
      </c>
    </row>
    <row r="21" spans="1:8" ht="15.75" customHeight="1" x14ac:dyDescent="0.25">
      <c r="B21" s="19" t="s">
        <v>88</v>
      </c>
      <c r="C21" s="101">
        <v>3.6213588278603132E-2</v>
      </c>
      <c r="D21" s="101">
        <v>3.6213588278603132E-2</v>
      </c>
      <c r="E21" s="101">
        <v>3.6213588278603132E-2</v>
      </c>
      <c r="F21" s="101">
        <v>3.6213588278603132E-2</v>
      </c>
    </row>
    <row r="22" spans="1:8" ht="15.75" customHeight="1" x14ac:dyDescent="0.25">
      <c r="B22" s="19" t="s">
        <v>89</v>
      </c>
      <c r="C22" s="101">
        <v>8.043590138674063E-2</v>
      </c>
      <c r="D22" s="101">
        <v>8.043590138674063E-2</v>
      </c>
      <c r="E22" s="101">
        <v>8.043590138674063E-2</v>
      </c>
      <c r="F22" s="101">
        <v>8.043590138674063E-2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8.6943652999999996E-2</v>
      </c>
    </row>
    <row r="27" spans="1:8" ht="15.75" customHeight="1" x14ac:dyDescent="0.25">
      <c r="B27" s="19" t="s">
        <v>92</v>
      </c>
      <c r="C27" s="101">
        <v>8.5220880000000006E-3</v>
      </c>
    </row>
    <row r="28" spans="1:8" ht="15.75" customHeight="1" x14ac:dyDescent="0.25">
      <c r="B28" s="19" t="s">
        <v>93</v>
      </c>
      <c r="C28" s="101">
        <v>0.152896541</v>
      </c>
    </row>
    <row r="29" spans="1:8" ht="15.75" customHeight="1" x14ac:dyDescent="0.25">
      <c r="B29" s="19" t="s">
        <v>94</v>
      </c>
      <c r="C29" s="101">
        <v>0.16599547100000001</v>
      </c>
    </row>
    <row r="30" spans="1:8" ht="15.75" customHeight="1" x14ac:dyDescent="0.25">
      <c r="B30" s="19" t="s">
        <v>95</v>
      </c>
      <c r="C30" s="101">
        <v>0.10566703099999999</v>
      </c>
    </row>
    <row r="31" spans="1:8" ht="15.75" customHeight="1" x14ac:dyDescent="0.25">
      <c r="B31" s="19" t="s">
        <v>96</v>
      </c>
      <c r="C31" s="101">
        <v>0.108493031</v>
      </c>
    </row>
    <row r="32" spans="1:8" ht="15.75" customHeight="1" x14ac:dyDescent="0.25">
      <c r="B32" s="19" t="s">
        <v>97</v>
      </c>
      <c r="C32" s="101">
        <v>1.8539073999999999E-2</v>
      </c>
    </row>
    <row r="33" spans="2:3" ht="15.75" customHeight="1" x14ac:dyDescent="0.25">
      <c r="B33" s="19" t="s">
        <v>98</v>
      </c>
      <c r="C33" s="101">
        <v>8.3873541999999995E-2</v>
      </c>
    </row>
    <row r="34" spans="2:3" ht="15.75" customHeight="1" x14ac:dyDescent="0.25">
      <c r="B34" s="19" t="s">
        <v>99</v>
      </c>
      <c r="C34" s="101">
        <v>0.26906956999999998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0.50953995542750519</v>
      </c>
      <c r="D2" s="52">
        <f>IFERROR(1-_xlfn.NORM.DIST(_xlfn.NORM.INV(SUM(D4:D5), 0, 1) + 1, 0, 1, TRUE), "")</f>
        <v>0.50953995542750519</v>
      </c>
      <c r="E2" s="52">
        <f>IFERROR(1-_xlfn.NORM.DIST(_xlfn.NORM.INV(SUM(E4:E5), 0, 1) + 1, 0, 1, TRUE), "")</f>
        <v>0.45726442673768541</v>
      </c>
      <c r="F2" s="52">
        <f>IFERROR(1-_xlfn.NORM.DIST(_xlfn.NORM.INV(SUM(F4:F5), 0, 1) + 1, 0, 1, TRUE), "")</f>
        <v>0.273217895604146</v>
      </c>
      <c r="G2" s="52">
        <f>IFERROR(1-_xlfn.NORM.DIST(_xlfn.NORM.INV(SUM(G4:G5), 0, 1) + 1, 0, 1, TRUE), "")</f>
        <v>0.24689419187813511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0.33752242709676672</v>
      </c>
      <c r="D3" s="52">
        <f>IFERROR(_xlfn.NORM.DIST(_xlfn.NORM.INV(SUM(D4:D5), 0, 1) + 1, 0, 1, TRUE) - SUM(D4:D5), "")</f>
        <v>0.33752242709676672</v>
      </c>
      <c r="E3" s="52">
        <f>IFERROR(_xlfn.NORM.DIST(_xlfn.NORM.INV(SUM(E4:E5), 0, 1) + 1, 0, 1, TRUE) - SUM(E4:E5), "")</f>
        <v>0.3567191761749357</v>
      </c>
      <c r="F3" s="52">
        <f>IFERROR(_xlfn.NORM.DIST(_xlfn.NORM.INV(SUM(F4:F5), 0, 1) + 1, 0, 1, TRUE) - SUM(F4:F5), "")</f>
        <v>0.38105796847352402</v>
      </c>
      <c r="G3" s="52">
        <f>IFERROR(_xlfn.NORM.DIST(_xlfn.NORM.INV(SUM(G4:G5), 0, 1) + 1, 0, 1, TRUE) - SUM(G4:G5), "")</f>
        <v>0.3769922799665249</v>
      </c>
    </row>
    <row r="4" spans="1:15" ht="15.75" customHeight="1" x14ac:dyDescent="0.25">
      <c r="B4" s="5" t="s">
        <v>104</v>
      </c>
      <c r="C4" s="45">
        <v>8.6413381553398005E-2</v>
      </c>
      <c r="D4" s="53">
        <v>8.6413381553398005E-2</v>
      </c>
      <c r="E4" s="53">
        <v>0.109043224271845</v>
      </c>
      <c r="F4" s="53">
        <v>0.19479344854368899</v>
      </c>
      <c r="G4" s="53">
        <v>0.20103954563106799</v>
      </c>
    </row>
    <row r="5" spans="1:15" ht="15.75" customHeight="1" x14ac:dyDescent="0.25">
      <c r="B5" s="5" t="s">
        <v>105</v>
      </c>
      <c r="C5" s="45">
        <v>6.6524235922330102E-2</v>
      </c>
      <c r="D5" s="53">
        <v>6.6524235922330102E-2</v>
      </c>
      <c r="E5" s="53">
        <v>7.6973172815533897E-2</v>
      </c>
      <c r="F5" s="53">
        <v>0.15093068737864099</v>
      </c>
      <c r="G5" s="53">
        <v>0.175073982524272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0.56574426610890027</v>
      </c>
      <c r="D8" s="52">
        <f>IFERROR(1-_xlfn.NORM.DIST(_xlfn.NORM.INV(SUM(D10:D11), 0, 1) + 1, 0, 1, TRUE), "")</f>
        <v>0.56574426610890027</v>
      </c>
      <c r="E8" s="52">
        <f>IFERROR(1-_xlfn.NORM.DIST(_xlfn.NORM.INV(SUM(E10:E11), 0, 1) + 1, 0, 1, TRUE), "")</f>
        <v>0.50038622545710587</v>
      </c>
      <c r="F8" s="52">
        <f>IFERROR(1-_xlfn.NORM.DIST(_xlfn.NORM.INV(SUM(F10:F11), 0, 1) + 1, 0, 1, TRUE), "")</f>
        <v>0.5575703209535523</v>
      </c>
      <c r="G8" s="52">
        <f>IFERROR(1-_xlfn.NORM.DIST(_xlfn.NORM.INV(SUM(G10:G11), 0, 1) + 1, 0, 1, TRUE), "")</f>
        <v>0.68909847974462624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0.31235742224061419</v>
      </c>
      <c r="D9" s="52">
        <f>IFERROR(_xlfn.NORM.DIST(_xlfn.NORM.INV(SUM(D10:D11), 0, 1) + 1, 0, 1, TRUE) - SUM(D10:D11), "")</f>
        <v>0.31235742224061419</v>
      </c>
      <c r="E9" s="52">
        <f>IFERROR(_xlfn.NORM.DIST(_xlfn.NORM.INV(SUM(E10:E11), 0, 1) + 1, 0, 1, TRUE) - SUM(E10:E11), "")</f>
        <v>0.34119266483415678</v>
      </c>
      <c r="F9" s="52">
        <f>IFERROR(_xlfn.NORM.DIST(_xlfn.NORM.INV(SUM(F10:F11), 0, 1) + 1, 0, 1, TRUE) - SUM(F10:F11), "")</f>
        <v>0.31628614409499123</v>
      </c>
      <c r="G9" s="52">
        <f>IFERROR(_xlfn.NORM.DIST(_xlfn.NORM.INV(SUM(G10:G11), 0, 1) + 1, 0, 1, TRUE) - SUM(G10:G11), "")</f>
        <v>0.24322173578935435</v>
      </c>
    </row>
    <row r="10" spans="1:15" ht="15.75" customHeight="1" x14ac:dyDescent="0.25">
      <c r="B10" s="5" t="s">
        <v>109</v>
      </c>
      <c r="C10" s="45">
        <v>7.2982497087378709E-2</v>
      </c>
      <c r="D10" s="53">
        <v>7.2982497087378709E-2</v>
      </c>
      <c r="E10" s="53">
        <v>0.104001338834951</v>
      </c>
      <c r="F10" s="53">
        <v>8.3386476699029211E-2</v>
      </c>
      <c r="G10" s="53">
        <v>4.7021185436893202E-2</v>
      </c>
    </row>
    <row r="11" spans="1:15" ht="15.75" customHeight="1" x14ac:dyDescent="0.25">
      <c r="B11" s="5" t="s">
        <v>110</v>
      </c>
      <c r="C11" s="45">
        <v>4.8915814563106813E-2</v>
      </c>
      <c r="D11" s="53">
        <v>4.8915814563106813E-2</v>
      </c>
      <c r="E11" s="53">
        <v>5.4419770873786397E-2</v>
      </c>
      <c r="F11" s="53">
        <v>4.2757058252427198E-2</v>
      </c>
      <c r="G11" s="53">
        <v>2.0658599029126201E-2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0.48720162700000003</v>
      </c>
      <c r="D14" s="54">
        <v>0.481282526652</v>
      </c>
      <c r="E14" s="54">
        <v>0.481282526652</v>
      </c>
      <c r="F14" s="54">
        <v>0.54058460914799999</v>
      </c>
      <c r="G14" s="54">
        <v>0.54058460914799999</v>
      </c>
      <c r="H14" s="45">
        <v>0.52100000000000002</v>
      </c>
      <c r="I14" s="55">
        <v>0.52100000000000002</v>
      </c>
      <c r="J14" s="55">
        <v>0.52100000000000002</v>
      </c>
      <c r="K14" s="55">
        <v>0.52100000000000002</v>
      </c>
      <c r="L14" s="45">
        <v>0.42799999999999999</v>
      </c>
      <c r="M14" s="55">
        <v>0.42799999999999999</v>
      </c>
      <c r="N14" s="55">
        <v>0.42799999999999999</v>
      </c>
      <c r="O14" s="55">
        <v>0.42799999999999999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0.20912204155883699</v>
      </c>
      <c r="D15" s="52">
        <f t="shared" si="0"/>
        <v>0.20658138019736461</v>
      </c>
      <c r="E15" s="52">
        <f t="shared" si="0"/>
        <v>0.20658138019736461</v>
      </c>
      <c r="F15" s="52">
        <f t="shared" si="0"/>
        <v>0.23203567236920516</v>
      </c>
      <c r="G15" s="52">
        <f t="shared" si="0"/>
        <v>0.23203567236920516</v>
      </c>
      <c r="H15" s="52">
        <f t="shared" si="0"/>
        <v>0.223629351</v>
      </c>
      <c r="I15" s="52">
        <f t="shared" si="0"/>
        <v>0.223629351</v>
      </c>
      <c r="J15" s="52">
        <f t="shared" si="0"/>
        <v>0.223629351</v>
      </c>
      <c r="K15" s="52">
        <f t="shared" si="0"/>
        <v>0.223629351</v>
      </c>
      <c r="L15" s="52">
        <f t="shared" si="0"/>
        <v>0.18371086799999997</v>
      </c>
      <c r="M15" s="52">
        <f t="shared" si="0"/>
        <v>0.18371086799999997</v>
      </c>
      <c r="N15" s="52">
        <f t="shared" si="0"/>
        <v>0.18371086799999997</v>
      </c>
      <c r="O15" s="52">
        <f t="shared" si="0"/>
        <v>0.18371086799999997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0.45676642935779799</v>
      </c>
      <c r="D2" s="53">
        <v>0.28061695596330299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0.38675512568807302</v>
      </c>
      <c r="D3" s="53">
        <v>0.41258372201834898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0.123171924770642</v>
      </c>
      <c r="D4" s="53">
        <v>0.27491040733944999</v>
      </c>
      <c r="E4" s="53">
        <v>0.95196375229357699</v>
      </c>
      <c r="F4" s="53">
        <v>0.70327111743119308</v>
      </c>
      <c r="G4" s="53">
        <v>0</v>
      </c>
    </row>
    <row r="5" spans="1:7" x14ac:dyDescent="0.25">
      <c r="B5" s="3" t="s">
        <v>122</v>
      </c>
      <c r="C5" s="52">
        <v>3.33065256880734E-2</v>
      </c>
      <c r="D5" s="52">
        <v>3.1888914678899101E-2</v>
      </c>
      <c r="E5" s="52">
        <f>1-SUM(E2:E4)</f>
        <v>4.8036247706423008E-2</v>
      </c>
      <c r="F5" s="52">
        <f>1-SUM(F2:F4)</f>
        <v>0.29672888256880692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87.391752012908441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40.53825169220913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874.73534732467272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0.99400898758412304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8.6999999999999994E-2</v>
      </c>
      <c r="C10" s="98">
        <v>0.95</v>
      </c>
      <c r="D10" s="56">
        <v>13.67055113600504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13.67055113600504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13.67055113600504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13.67055113600504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8.6999999999999994E-2</v>
      </c>
      <c r="C14" s="98">
        <v>0.95</v>
      </c>
      <c r="D14" s="56">
        <v>13.67055113600504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13.67055113600504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0.27600000000000002</v>
      </c>
      <c r="C16" s="98">
        <v>0.95</v>
      </c>
      <c r="D16" s="56">
        <v>1.3773362239396929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20.02723308412703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20.02723308412703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10.32305644607259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23.936202886472088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0.63700000000000001</v>
      </c>
      <c r="C23" s="98">
        <v>0.95</v>
      </c>
      <c r="D23" s="56">
        <v>4.6908199698568867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0.48123363019999998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8.6999999999999994E-2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19.219496467459528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0.40400000000000003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0.40699999999999997</v>
      </c>
      <c r="C29" s="98">
        <v>0.95</v>
      </c>
      <c r="D29" s="56">
        <v>180.6631632031546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1.304771366326084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0.08</v>
      </c>
      <c r="C32" s="98">
        <v>0.95</v>
      </c>
      <c r="D32" s="56">
        <v>3.0250294891780638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0.24221039999999999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0.40781970000000001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2E-3</v>
      </c>
      <c r="C38" s="98">
        <v>0.95</v>
      </c>
      <c r="D38" s="56">
        <v>6.1461020173279026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0.18975449242718465</v>
      </c>
      <c r="C3" s="21">
        <f>frac_mam_1_5months * 2.6</f>
        <v>0.18975449242718465</v>
      </c>
      <c r="D3" s="21">
        <f>frac_mam_6_11months * 2.6</f>
        <v>0.27040348097087258</v>
      </c>
      <c r="E3" s="21">
        <f>frac_mam_12_23months * 2.6</f>
        <v>0.21680483941747594</v>
      </c>
      <c r="F3" s="21">
        <f>frac_mam_24_59months * 2.6</f>
        <v>0.12225508213592233</v>
      </c>
    </row>
    <row r="4" spans="1:6" ht="15.75" customHeight="1" x14ac:dyDescent="0.25">
      <c r="A4" s="3" t="s">
        <v>205</v>
      </c>
      <c r="B4" s="21">
        <f>frac_sam_1month * 2.6</f>
        <v>0.12718111786407771</v>
      </c>
      <c r="C4" s="21">
        <f>frac_sam_1_5months * 2.6</f>
        <v>0.12718111786407771</v>
      </c>
      <c r="D4" s="21">
        <f>frac_sam_6_11months * 2.6</f>
        <v>0.14149140427184465</v>
      </c>
      <c r="E4" s="21">
        <f>frac_sam_12_23months * 2.6</f>
        <v>0.11116835145631072</v>
      </c>
      <c r="F4" s="21">
        <f>frac_sam_24_59months * 2.6</f>
        <v>5.3712357475728126E-2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0.97</v>
      </c>
      <c r="I19" s="60">
        <f>frac_malaria_risk</f>
        <v>0.97</v>
      </c>
      <c r="J19" s="60">
        <f>frac_malaria_risk</f>
        <v>0.97</v>
      </c>
      <c r="K19" s="60">
        <f>frac_malaria_risk</f>
        <v>0.97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0.79500000000000004</v>
      </c>
      <c r="M24" s="60">
        <f>famplan_unmet_need</f>
        <v>0.79500000000000004</v>
      </c>
      <c r="N24" s="60">
        <f>famplan_unmet_need</f>
        <v>0.79500000000000004</v>
      </c>
      <c r="O24" s="60">
        <f>famplan_unmet_need</f>
        <v>0.79500000000000004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0.33236672209398005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0.14244288089742002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0.19915718620860001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0.97</v>
      </c>
      <c r="D34" s="60">
        <f t="shared" si="3"/>
        <v>0.97</v>
      </c>
      <c r="E34" s="60">
        <f t="shared" si="3"/>
        <v>0.97</v>
      </c>
      <c r="F34" s="60">
        <f t="shared" si="3"/>
        <v>0.97</v>
      </c>
      <c r="G34" s="60">
        <f t="shared" si="3"/>
        <v>0.97</v>
      </c>
      <c r="H34" s="60">
        <f t="shared" si="3"/>
        <v>0.97</v>
      </c>
      <c r="I34" s="60">
        <f t="shared" si="3"/>
        <v>0.97</v>
      </c>
      <c r="J34" s="60">
        <f t="shared" si="3"/>
        <v>0.97</v>
      </c>
      <c r="K34" s="60">
        <f t="shared" si="3"/>
        <v>0.97</v>
      </c>
      <c r="L34" s="60">
        <f t="shared" si="3"/>
        <v>0.97</v>
      </c>
      <c r="M34" s="60">
        <f t="shared" si="3"/>
        <v>0.97</v>
      </c>
      <c r="N34" s="60">
        <f t="shared" si="3"/>
        <v>0.97</v>
      </c>
      <c r="O34" s="60">
        <f t="shared" si="3"/>
        <v>0.97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0.10464021985061334</v>
      </c>
      <c r="G18" s="90">
        <f>MIN(MAX(1-0.89/(1-frac_sam_12_23months+(frac_sam_12_23months*0.89)),0),1)</f>
        <v>0.10579430344369589</v>
      </c>
      <c r="H18" s="90">
        <f>MIN(MAX(1-0.89/(1-frac_sam_24_59months+(frac_sam_24_59months*0.89)),0),1)</f>
        <v>0.10797291671796916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9.970044044997084E-2</v>
      </c>
      <c r="G20" s="90">
        <f>MIN(MAX(1-0.89/(1-frac_mam_12_23months+(frac_mam_12_23months*0.89)),0),1)</f>
        <v>0.10176089059770355</v>
      </c>
      <c r="H20" s="90">
        <f>MIN(MAX(1-0.89/(1-frac_mam_24_59months+(frac_mam_24_59months*0.89)),0),1)</f>
        <v>0.10537269197979415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9.4609509190748398E-3</v>
      </c>
      <c r="G73" s="90">
        <f>MIN(MAX(1-0.99/(1-frac_sam_12_23months+(frac_sam_12_23months*0.99)),0),1)</f>
        <v>9.576524057445579E-3</v>
      </c>
      <c r="H73" s="90">
        <f>MIN(MAX(1-0.99/(1-frac_sam_24_59months+(frac_sam_24_59months*0.99)),0),1)</f>
        <v>9.7954376098877693E-3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8.9693148191467564E-3</v>
      </c>
      <c r="G75" s="90">
        <f>MIN(MAX(1-0.99/(1-frac_mam_12_23months+(frac_mam_12_23months*0.99)),0),1)</f>
        <v>9.1737849290419726E-3</v>
      </c>
      <c r="H75" s="90">
        <f>MIN(MAX(1-0.99/(1-frac_mam_24_59months+(frac_mam_24_59months*0.99)),0),1)</f>
        <v>9.5342712730064338E-3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0.19119702548901507</v>
      </c>
      <c r="G128" s="90">
        <f>MIN(MAX(1-0.8/(1-frac_sam_12_23months+(frac_sam_12_23months*0.8)),0),1)</f>
        <v>0.19309986478292651</v>
      </c>
      <c r="H128" s="90">
        <f>MIN(MAX(1-0.8/(1-frac_sam_24_59months+(frac_sam_24_59months*0.8)),0),1)</f>
        <v>0.19668091060796145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0.1830063125368252</v>
      </c>
      <c r="G130" s="90">
        <f>MIN(MAX(1-0.8/(1-frac_mam_12_23months+(frac_mam_12_23months*0.8)),0),1)</f>
        <v>0.18643188425466561</v>
      </c>
      <c r="H130" s="90">
        <f>MIN(MAX(1-0.8/(1-frac_mam_24_59months+(frac_mam_24_59months*0.8)),0),1)</f>
        <v>0.19240518690713748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2024-06-18T06:55:01Z</dcterms:modified>
</cp:coreProperties>
</file>