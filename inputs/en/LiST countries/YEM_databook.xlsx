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Testing June 2025\Databooks\"/>
    </mc:Choice>
  </mc:AlternateContent>
  <xr:revisionPtr revIDLastSave="0" documentId="8_{F188C229-EAA3-42EB-8852-42857980222E}" xr6:coauthVersionLast="47" xr6:coauthVersionMax="47" xr10:uidLastSave="{00000000-0000-0000-0000-000000000000}"/>
  <bookViews>
    <workbookView xWindow="-110" yWindow="-110" windowWidth="19420" windowHeight="10420" tabRatio="961" firstSheet="5" activeTab="10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input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Odds ratios" sheetId="23" state="hidden" r:id="rId21"/>
    <sheet name="Programs birth outcomes" sheetId="24" state="hidden" r:id="rId22"/>
    <sheet name="Birth outcome risks" sheetId="21" state="hidden" r:id="rId23"/>
    <sheet name="Relative risks" sheetId="22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D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H39" i="2"/>
  <c r="G39" i="2"/>
  <c r="I39" i="2" s="1"/>
  <c r="H38" i="2"/>
  <c r="G38" i="2"/>
  <c r="A31" i="2"/>
  <c r="A26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4" i="2" l="1"/>
  <c r="I8" i="2"/>
  <c r="I12" i="2"/>
  <c r="A25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<sst xmlns="http://schemas.openxmlformats.org/spreadsheetml/2006/main" count="2159" uniqueCount="372">
  <si>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</si>
  <si>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</si>
  <si>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</si>
  <si>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</si>
  <si>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</si>
  <si>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</si>
  <si>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</si>
  <si>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</si>
  <si>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</si>
  <si>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</si>
  <si>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</si>
  <si>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</si>
  <si>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</si>
  <si>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</si>
  <si>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</si>
  <si>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</si>
  <si>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</si>
  <si>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</si>
  <si>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</si>
  <si>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</si>
  <si>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</si>
  <si>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</si>
  <si>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</si>
  <si>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</si>
  <si>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</si>
  <si>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</si>
  <si>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</si>
  <si>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</si>
  <si>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</si>
  <si>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</si>
  <si>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</si>
  <si>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</si>
  <si>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</si>
  <si>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</si>
  <si>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</si>
  <si>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</si>
  <si>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</si>
  <si>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</si>
  <si>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</si>
  <si>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</si>
  <si>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</si>
  <si>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</si>
  <si>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</si>
  <si>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</si>
  <si>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</si>
  <si>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</si>
  <si>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</si>
  <si>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</si>
  <si>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</si>
  <si>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</si>
  <si>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</si>
  <si>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</si>
  <si>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</si>
  <si>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</si>
  <si>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</si>
  <si>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</si>
  <si>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</si>
  <si>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</si>
  <si>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</si>
  <si>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</si>
  <si>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</si>
  <si>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</si>
  <si>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</si>
  <si>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</si>
  <si>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</si>
  <si>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</si>
  <si>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</si>
  <si>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</si>
  <si>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</si>
  <si>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</si>
  <si>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</si>
  <si>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</si>
  <si>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</si>
  <si>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</si>
  <si>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</si>
  <si>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</si>
  <si>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</si>
  <si>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</si>
  <si>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</si>
  <si>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</si>
  <si>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</si>
  <si>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</si>
  <si>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</si>
  <si>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</si>
  <si>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</si>
  <si>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</si>
  <si>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</si>
  <si>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</si>
  <si>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</si>
  <si>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</si>
  <si>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</si>
  <si>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</si>
  <si>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</si>
  <si>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</si>
  <si>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</si>
  <si>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</si>
  <si>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</si>
  <si>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</si>
  <si>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</si>
  <si>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</si>
  <si>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</si>
  <si>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</si>
  <si>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</si>
  <si>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</si>
  <si>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</si>
  <si>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</si>
  <si>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</si>
  <si>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</si>
  <si>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</si>
  <si>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</si>
  <si>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</si>
  <si>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</si>
  <si>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</si>
  <si>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</si>
  <si>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</si>
  <si>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</si>
  <si>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</si>
  <si>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</si>
  <si>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</si>
  <si>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</si>
  <si>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</si>
  <si>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</si>
  <si>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</si>
  <si>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</si>
  <si>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</si>
  <si>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</si>
  <si>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</si>
  <si>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</si>
  <si>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</si>
  <si>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</si>
  <si>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</si>
  <si>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</si>
  <si>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</si>
  <si>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</si>
  <si>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</si>
  <si>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Cost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</si>
  <si>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</si>
  <si>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</si>
  <si>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</si>
  <si>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</si>
  <si>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</si>
  <si>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</si>
  <si>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</si>
  <si>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</si>
  <si>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</si>
  <si>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</si>
  <si>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</si>
  <si>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</si>
  <si>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</si>
  <si>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</si>
  <si>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</si>
  <si>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</si>
  <si>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</si>
  <si>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</si>
  <si>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</si>
  <si>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</si>
  <si>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</si>
  <si>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</si>
  <si>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</si>
  <si>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</si>
  <si>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</si>
  <si>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</si>
  <si>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</si>
  <si>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</si>
  <si>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</si>
  <si>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</si>
  <si>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</si>
  <si>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</si>
  <si>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</si>
  <si>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</si>
  <si>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</si>
  <si>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</si>
  <si>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</si>
  <si>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</si>
  <si>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</si>
  <si>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</si>
  <si>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</si>
  <si>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</si>
  <si>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</si>
  <si>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</si>
  <si>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</si>
  <si>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</si>
  <si>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</si>
  <si>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</si>
  <si>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</si>
  <si>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</si>
  <si>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</si>
  <si>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</si>
  <si>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</si>
  <si>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</si>
  <si>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</si>
  <si>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</si>
  <si>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</si>
  <si>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</si>
  <si>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</si>
  <si>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</si>
  <si>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</si>
  <si>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</si>
  <si>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</si>
  <si>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</si>
  <si>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</si>
  <si>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</si>
  <si>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</si>
  <si>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</si>
  <si>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</si>
  <si>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</si>
  <si>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</si>
  <si>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</si>
  <si>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</si>
  <si>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</si>
  <si>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</si>
  <si>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</si>
  <si>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</si>
  <si>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</si>
  <si>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</si>
  <si>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</si>
  <si>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</si>
  <si>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</si>
  <si>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</si>
  <si>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</si>
  <si>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</si>
  <si>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</si>
  <si>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</si>
  <si>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</si>
  <si>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</si>
  <si>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</si>
  <si>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</si>
  <si>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</si>
  <si>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</si>
  <si>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</si>
  <si>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</si>
  <si>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</si>
  <si>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</si>
  <si>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</si>
  <si>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</si>
  <si>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</si>
  <si>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</si>
  <si>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</si>
  <si>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</si>
  <si>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</si>
  <si>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</si>
  <si>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</si>
  <si>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</si>
  <si>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</si>
  <si>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</si>
  <si>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</si>
  <si>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</si>
  <si>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</si>
  <si>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</si>
  <si>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</si>
  <si>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</si>
  <si>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</si>
  <si>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</si>
  <si>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</si>
  <si>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</si>
  <si>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</si>
  <si>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</si>
  <si>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</si>
  <si>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</si>
  <si>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</si>
  <si>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</si>
  <si>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</si>
  <si>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</si>
  <si>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</si>
  <si>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</si>
  <si>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</si>
  <si>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</si>
  <si>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</si>
  <si>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</si>
  <si>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</si>
  <si>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</si>
  <si>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</si>
  <si>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</si>
  <si>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</si>
  <si>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</si>
  <si>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</si>
  <si>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</si>
  <si>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</si>
  <si>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</si>
  <si>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</si>
  <si>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</si>
  <si>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</si>
  <si>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</si>
  <si>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</si>
  <si>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</si>
  <si>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</si>
  <si>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</si>
  <si>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</si>
  <si>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</si>
  <si>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</si>
  <si>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</si>
  <si>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</si>
  <si>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</si>
  <si>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</si>
  <si>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</si>
  <si>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</si>
  <si>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</si>
  <si>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</si>
  <si>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</si>
  <si>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</si>
  <si>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</si>
  <si>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</si>
  <si>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</si>
  <si>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</si>
  <si>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</si>
  <si>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</si>
  <si>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</si>
  <si>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</si>
  <si>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</si>
  <si>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</si>
  <si>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</si>
  <si>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</si>
  <si>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</si>
  <si>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</si>
  <si>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</si>
  <si>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</si>
  <si>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</si>
  <si>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</si>
  <si>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</si>
  <si>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</si>
  <si>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</si>
  <si>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</si>
  <si>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</si>
  <si>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</si>
  <si>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</si>
  <si>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</si>
  <si>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</si>
  <si>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</si>
  <si>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</si>
  <si>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</si>
  <si>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</si>
  <si>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</si>
  <si>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</si>
  <si>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</si>
  <si>
    <t>Parameter</t>
  </si>
  <si>
    <t>Value</t>
  </si>
  <si>
    <t>GDP per capita</t>
  </si>
  <si>
    <t>GDP growth rate per annum</t>
  </si>
  <si>
    <t>Labor share of GDP</t>
  </si>
  <si>
    <t>Discounting (costs)</t>
  </si>
  <si>
    <t>Discounting (benefits)</t>
  </si>
  <si>
    <t>Starting age for workforce productivity</t>
  </si>
  <si>
    <t>Ending age for workforce productivity</t>
  </si>
  <si>
    <t>Female labor force participation</t>
  </si>
  <si>
    <t>Percentage of lifetime earning actually realized</t>
  </si>
  <si>
    <t>Percentage reduction in lifetime earnings for a stunted individual</t>
  </si>
  <si>
    <t>Percentage loss in productivity due to childhood anemia</t>
  </si>
  <si>
    <t>Percentage loss in productivity due to low birth weight</t>
  </si>
  <si>
    <t>Percentage loss in productivity due to maternal anemia</t>
  </si>
  <si>
    <t>Percentage of pregnancy to apply maternal anemia productivity loss to</t>
  </si>
  <si>
    <t>Increase in IQ points due to early breastfeeding</t>
  </si>
  <si>
    <t>Increase in earnings due per one point increase in IQ</t>
  </si>
  <si>
    <t>Percentage of stillbirths to include in productivity loss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</si>
  <si>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</si>
  <si>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</si>
  <si>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</si>
  <si>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</si>
  <si>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</si>
  <si>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</si>
  <si>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</si>
  <si>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</si>
  <si>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</si>
  <si>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</si>
  <si>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</si>
  <si>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</si>
  <si>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</si>
  <si>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</si>
  <si>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</si>
  <si>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Number of people left alive (starting with 100,000 births)</t>
  </si>
  <si>
    <t>Stillbirths</t>
  </si>
  <si>
    <t>Cash transfers - lower</t>
  </si>
  <si>
    <t>Cash transfers - 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</si>
</sst>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  <numFmt numFmtId="169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6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69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E28" sqref="E28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4780675.4999999991</v>
      </c>
    </row>
    <row r="8" spans="1:3" ht="15" customHeight="1" x14ac:dyDescent="0.25">
      <c r="B8" s="5" t="s">
        <v>8</v>
      </c>
      <c r="C8" s="44">
        <v>0.48599999999999999</v>
      </c>
    </row>
    <row r="9" spans="1:3" ht="15" customHeight="1" x14ac:dyDescent="0.25">
      <c r="B9" s="5" t="s">
        <v>9</v>
      </c>
      <c r="C9" s="45">
        <v>0.47</v>
      </c>
    </row>
    <row r="10" spans="1:3" ht="15" customHeight="1" x14ac:dyDescent="0.25">
      <c r="B10" s="5" t="s">
        <v>10</v>
      </c>
      <c r="C10" s="45">
        <v>0.40195039999999999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0.53100000000000003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8.5299999999999987E-2</v>
      </c>
    </row>
    <row r="24" spans="1:3" ht="15" customHeight="1" x14ac:dyDescent="0.25">
      <c r="B24" s="15" t="s">
        <v>22</v>
      </c>
      <c r="C24" s="45">
        <v>0.48899999999999999</v>
      </c>
    </row>
    <row r="25" spans="1:3" ht="15" customHeight="1" x14ac:dyDescent="0.25">
      <c r="B25" s="15" t="s">
        <v>23</v>
      </c>
      <c r="C25" s="45">
        <v>0.35580000000000001</v>
      </c>
    </row>
    <row r="26" spans="1:3" ht="15" customHeight="1" x14ac:dyDescent="0.25">
      <c r="B26" s="15" t="s">
        <v>24</v>
      </c>
      <c r="C26" s="45">
        <v>0.1099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0.206672123736343</v>
      </c>
    </row>
    <row r="30" spans="1:3" ht="14.25" customHeight="1" x14ac:dyDescent="0.25">
      <c r="B30" s="25" t="s">
        <v>27</v>
      </c>
      <c r="C30" s="99">
        <v>0.111375096799569</v>
      </c>
    </row>
    <row r="31" spans="1:3" ht="14.25" customHeight="1" x14ac:dyDescent="0.25">
      <c r="B31" s="25" t="s">
        <v>28</v>
      </c>
      <c r="C31" s="99">
        <v>0.12654954787338499</v>
      </c>
    </row>
    <row r="32" spans="1:3" ht="14.25" customHeight="1" x14ac:dyDescent="0.25">
      <c r="B32" s="25" t="s">
        <v>29</v>
      </c>
      <c r="C32" s="99">
        <v>0.55540323159070293</v>
      </c>
    </row>
    <row r="33" spans="1:5" ht="13.25" customHeight="1" x14ac:dyDescent="0.25">
      <c r="B33" s="27" t="s">
        <v>30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28.3093</v>
      </c>
    </row>
    <row r="38" spans="1:5" ht="15" customHeight="1" x14ac:dyDescent="0.25">
      <c r="B38" s="11" t="s">
        <v>34</v>
      </c>
      <c r="C38" s="43">
        <v>46.654730000000001</v>
      </c>
      <c r="D38" s="12"/>
      <c r="E38" s="13"/>
    </row>
    <row r="39" spans="1:5" ht="15" customHeight="1" x14ac:dyDescent="0.25">
      <c r="B39" s="11" t="s">
        <v>35</v>
      </c>
      <c r="C39" s="43">
        <v>61.908940000000001</v>
      </c>
      <c r="D39" s="12"/>
      <c r="E39" s="12"/>
    </row>
    <row r="40" spans="1:5" ht="15" customHeight="1" x14ac:dyDescent="0.25">
      <c r="B40" s="11" t="s">
        <v>36</v>
      </c>
      <c r="C40" s="100">
        <v>1.83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23.41929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7.4885000000000004E-3</v>
      </c>
      <c r="D45" s="12"/>
    </row>
    <row r="46" spans="1:5" ht="15.75" customHeight="1" x14ac:dyDescent="0.25">
      <c r="B46" s="11" t="s">
        <v>41</v>
      </c>
      <c r="C46" s="45">
        <v>8.0462399999999989E-2</v>
      </c>
      <c r="D46" s="12"/>
    </row>
    <row r="47" spans="1:5" ht="15.75" customHeight="1" x14ac:dyDescent="0.25">
      <c r="B47" s="11" t="s">
        <v>42</v>
      </c>
      <c r="C47" s="45">
        <v>7.3879500000000001E-2</v>
      </c>
      <c r="D47" s="12"/>
      <c r="E47" s="13"/>
    </row>
    <row r="48" spans="1:5" ht="15" customHeight="1" x14ac:dyDescent="0.25">
      <c r="B48" s="11" t="s">
        <v>43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7.1760000000000002</v>
      </c>
      <c r="D51" s="12"/>
    </row>
    <row r="52" spans="1:4" ht="15" customHeight="1" x14ac:dyDescent="0.25">
      <c r="B52" s="11" t="s">
        <v>46</v>
      </c>
      <c r="C52" s="100">
        <v>7.1760000000000002</v>
      </c>
    </row>
    <row r="53" spans="1:4" ht="15.75" customHeight="1" x14ac:dyDescent="0.25">
      <c r="B53" s="11" t="s">
        <v>47</v>
      </c>
      <c r="C53" s="100">
        <v>11.622</v>
      </c>
    </row>
    <row r="54" spans="1:4" ht="15.75" customHeight="1" x14ac:dyDescent="0.25">
      <c r="B54" s="11" t="s">
        <v>48</v>
      </c>
      <c r="C54" s="100">
        <v>11.986000000000001</v>
      </c>
    </row>
    <row r="55" spans="1:4" ht="15.75" customHeight="1" x14ac:dyDescent="0.25">
      <c r="B55" s="11" t="s">
        <v>49</v>
      </c>
      <c r="C55" s="100">
        <v>6.3526666666666678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0.53084200000000004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1016549</v>
      </c>
      <c r="C2" s="49">
        <v>2270733.5</v>
      </c>
      <c r="D2" s="49">
        <v>3144028</v>
      </c>
      <c r="E2" s="49">
        <v>2560148</v>
      </c>
      <c r="F2" s="49">
        <v>1338816.5</v>
      </c>
      <c r="G2" s="17">
        <f t="shared" ref="G2:G13" si="0">C2+D2+E2+F2</f>
        <v>9313726</v>
      </c>
      <c r="H2" s="17">
        <f t="shared" ref="H2:H13" si="1">(B2 + stillbirth*B2/(1000-stillbirth))/(1-abortion)</f>
        <v>1182871.3247692741</v>
      </c>
      <c r="I2" s="17">
        <f t="shared" ref="I2:I13" si="2">G2-H2</f>
        <v>8130854.6752307257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1014405</v>
      </c>
      <c r="C3" s="50">
        <v>2319414.5</v>
      </c>
      <c r="D3" s="50">
        <v>3189500</v>
      </c>
      <c r="E3" s="50">
        <v>2641868.5</v>
      </c>
      <c r="F3" s="50">
        <v>1417543</v>
      </c>
      <c r="G3" s="17">
        <f t="shared" si="0"/>
        <v>9568326</v>
      </c>
      <c r="H3" s="17">
        <f t="shared" si="1"/>
        <v>1180376.5349260836</v>
      </c>
      <c r="I3" s="17">
        <f t="shared" si="2"/>
        <v>8387949.4650739161</v>
      </c>
    </row>
    <row r="4" spans="1:9" ht="15.75" customHeight="1" x14ac:dyDescent="0.25">
      <c r="A4" s="5">
        <f t="shared" si="3"/>
        <v>2026</v>
      </c>
      <c r="B4" s="49">
        <v>1020679</v>
      </c>
      <c r="C4" s="50">
        <v>2365920</v>
      </c>
      <c r="D4" s="50">
        <v>3248643</v>
      </c>
      <c r="E4" s="50">
        <v>2710005</v>
      </c>
      <c r="F4" s="50">
        <v>1500106</v>
      </c>
      <c r="G4" s="17">
        <f t="shared" si="0"/>
        <v>9824674</v>
      </c>
      <c r="H4" s="17">
        <f t="shared" si="1"/>
        <v>1187677.0533384793</v>
      </c>
      <c r="I4" s="17">
        <f t="shared" si="2"/>
        <v>8636996.9466615207</v>
      </c>
    </row>
    <row r="5" spans="1:9" ht="15.75" customHeight="1" x14ac:dyDescent="0.25">
      <c r="A5" s="5">
        <f t="shared" si="3"/>
        <v>2027</v>
      </c>
      <c r="B5" s="49">
        <v>1021659</v>
      </c>
      <c r="C5" s="50">
        <v>2411228</v>
      </c>
      <c r="D5" s="50">
        <v>3318958</v>
      </c>
      <c r="E5" s="50">
        <v>2766280.5</v>
      </c>
      <c r="F5" s="50">
        <v>1586142</v>
      </c>
      <c r="G5" s="17">
        <f t="shared" si="0"/>
        <v>10082608.5</v>
      </c>
      <c r="H5" s="17">
        <f t="shared" si="1"/>
        <v>1188817.3957108331</v>
      </c>
      <c r="I5" s="17">
        <f t="shared" si="2"/>
        <v>8893791.1042891666</v>
      </c>
    </row>
    <row r="6" spans="1:9" ht="15.75" customHeight="1" x14ac:dyDescent="0.25">
      <c r="A6" s="5">
        <f t="shared" si="3"/>
        <v>2028</v>
      </c>
      <c r="B6" s="49">
        <v>1026999</v>
      </c>
      <c r="C6" s="50">
        <v>2456829</v>
      </c>
      <c r="D6" s="50">
        <v>3392740.5</v>
      </c>
      <c r="E6" s="50">
        <v>2816830</v>
      </c>
      <c r="F6" s="50">
        <v>1674821.5</v>
      </c>
      <c r="G6" s="17">
        <f t="shared" si="0"/>
        <v>10341221</v>
      </c>
      <c r="H6" s="17">
        <f t="shared" si="1"/>
        <v>1195031.0980254957</v>
      </c>
      <c r="I6" s="17">
        <f t="shared" si="2"/>
        <v>9146189.9019745048</v>
      </c>
    </row>
    <row r="7" spans="1:9" ht="15.75" customHeight="1" x14ac:dyDescent="0.25">
      <c r="A7" s="5">
        <f t="shared" si="3"/>
        <v>2029</v>
      </c>
      <c r="B7" s="49">
        <v>1031629</v>
      </c>
      <c r="C7" s="50">
        <v>2501464</v>
      </c>
      <c r="D7" s="50">
        <v>3468303</v>
      </c>
      <c r="E7" s="50">
        <v>2864022.5</v>
      </c>
      <c r="F7" s="50">
        <v>1764366</v>
      </c>
      <c r="G7" s="17">
        <f t="shared" si="0"/>
        <v>10598155.5</v>
      </c>
      <c r="H7" s="17">
        <f t="shared" si="1"/>
        <v>1200418.6339275346</v>
      </c>
      <c r="I7" s="17">
        <f t="shared" si="2"/>
        <v>9397736.8660724647</v>
      </c>
    </row>
    <row r="8" spans="1:9" ht="15.75" customHeight="1" x14ac:dyDescent="0.25">
      <c r="A8" s="5">
        <f t="shared" si="3"/>
        <v>2030</v>
      </c>
      <c r="B8" s="49">
        <v>1034670</v>
      </c>
      <c r="C8" s="50">
        <v>2543658</v>
      </c>
      <c r="D8" s="50">
        <v>3544819</v>
      </c>
      <c r="E8" s="50">
        <v>2908783.5</v>
      </c>
      <c r="F8" s="50">
        <v>1852834.5</v>
      </c>
      <c r="G8" s="17">
        <f t="shared" si="0"/>
        <v>10850095</v>
      </c>
      <c r="H8" s="17">
        <f t="shared" si="1"/>
        <v>1203957.1861258284</v>
      </c>
      <c r="I8" s="17">
        <f t="shared" si="2"/>
        <v>9646137.813874172</v>
      </c>
    </row>
    <row r="9" spans="1:9" ht="15.75" customHeight="1" x14ac:dyDescent="0.25">
      <c r="A9" s="5">
        <f t="shared" si="3"/>
        <v>2031</v>
      </c>
      <c r="B9" s="49">
        <v>1038234</v>
      </c>
      <c r="C9" s="50">
        <v>2581269.5</v>
      </c>
      <c r="D9" s="50">
        <v>3625805</v>
      </c>
      <c r="E9" s="50">
        <v>2948418.5</v>
      </c>
      <c r="F9" s="50">
        <v>1940453</v>
      </c>
      <c r="G9" s="17">
        <f t="shared" si="0"/>
        <v>11095946</v>
      </c>
      <c r="H9" s="17">
        <f t="shared" si="1"/>
        <v>1208104.3087942661</v>
      </c>
      <c r="I9" s="17">
        <f t="shared" si="2"/>
        <v>9887841.6912057344</v>
      </c>
    </row>
    <row r="10" spans="1:9" ht="15.75" customHeight="1" x14ac:dyDescent="0.25">
      <c r="A10" s="5">
        <f t="shared" si="3"/>
        <v>2032</v>
      </c>
      <c r="B10" s="49">
        <v>1044618</v>
      </c>
      <c r="C10" s="50">
        <v>2615007</v>
      </c>
      <c r="D10" s="50">
        <v>3710305</v>
      </c>
      <c r="E10" s="50">
        <v>2984321</v>
      </c>
      <c r="F10" s="50">
        <v>2026872.5</v>
      </c>
      <c r="G10" s="17">
        <f t="shared" si="0"/>
        <v>11336505.5</v>
      </c>
      <c r="H10" s="17">
        <f t="shared" si="1"/>
        <v>1215532.824819885</v>
      </c>
      <c r="I10" s="17">
        <f t="shared" si="2"/>
        <v>10120972.675180115</v>
      </c>
    </row>
    <row r="11" spans="1:9" ht="15.75" customHeight="1" x14ac:dyDescent="0.25">
      <c r="A11" s="5">
        <f t="shared" si="3"/>
        <v>2033</v>
      </c>
      <c r="B11" s="49">
        <v>1043928</v>
      </c>
      <c r="C11" s="50">
        <v>2645546.5</v>
      </c>
      <c r="D11" s="50">
        <v>3794083</v>
      </c>
      <c r="E11" s="50">
        <v>3020924</v>
      </c>
      <c r="F11" s="50">
        <v>2111233</v>
      </c>
      <c r="G11" s="17">
        <f t="shared" si="0"/>
        <v>11571786.5</v>
      </c>
      <c r="H11" s="17">
        <f t="shared" si="1"/>
        <v>1214729.930700575</v>
      </c>
      <c r="I11" s="17">
        <f t="shared" si="2"/>
        <v>10357056.569299426</v>
      </c>
    </row>
    <row r="12" spans="1:9" ht="15.75" customHeight="1" x14ac:dyDescent="0.25">
      <c r="A12" s="5">
        <f t="shared" si="3"/>
        <v>2034</v>
      </c>
      <c r="B12" s="49">
        <v>1047163</v>
      </c>
      <c r="C12" s="50">
        <v>2672100</v>
      </c>
      <c r="D12" s="50">
        <v>3875782</v>
      </c>
      <c r="E12" s="50">
        <v>3061605.5</v>
      </c>
      <c r="F12" s="50">
        <v>2193367.5</v>
      </c>
      <c r="G12" s="17">
        <f t="shared" si="0"/>
        <v>11802855</v>
      </c>
      <c r="H12" s="17">
        <f t="shared" si="1"/>
        <v>1218494.224144008</v>
      </c>
      <c r="I12" s="17">
        <f t="shared" si="2"/>
        <v>10584360.775855992</v>
      </c>
    </row>
    <row r="13" spans="1:9" ht="15.75" customHeight="1" x14ac:dyDescent="0.25">
      <c r="A13" s="5">
        <f t="shared" si="3"/>
        <v>2035</v>
      </c>
      <c r="B13" s="49">
        <v>1048339</v>
      </c>
      <c r="C13" s="50">
        <v>2694213</v>
      </c>
      <c r="D13" s="50">
        <v>3955011.5</v>
      </c>
      <c r="E13" s="50">
        <v>3108206.5</v>
      </c>
      <c r="F13" s="50">
        <v>2271131.5</v>
      </c>
      <c r="G13" s="17">
        <f t="shared" si="0"/>
        <v>12028562.5</v>
      </c>
      <c r="H13" s="17">
        <f t="shared" si="1"/>
        <v>1219862.6349908325</v>
      </c>
      <c r="I13" s="17">
        <f t="shared" si="2"/>
        <v>10808699.865009168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4" zoomScale="115" zoomScaleNormal="115" workbookViewId="0">
      <selection activeCell="E28" sqref="E28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1.9833151046773551E-2</v>
      </c>
    </row>
    <row r="4" spans="1:8" ht="15.75" customHeight="1" x14ac:dyDescent="0.25">
      <c r="B4" s="19" t="s">
        <v>69</v>
      </c>
      <c r="C4" s="101">
        <v>6.3894030924347367E-2</v>
      </c>
    </row>
    <row r="5" spans="1:8" ht="15.75" customHeight="1" x14ac:dyDescent="0.25">
      <c r="B5" s="19" t="s">
        <v>70</v>
      </c>
      <c r="C5" s="101">
        <v>9.4246268158946475E-2</v>
      </c>
    </row>
    <row r="6" spans="1:8" ht="15.75" customHeight="1" x14ac:dyDescent="0.25">
      <c r="B6" s="19" t="s">
        <v>71</v>
      </c>
      <c r="C6" s="101">
        <v>0.23881032694278609</v>
      </c>
    </row>
    <row r="7" spans="1:8" ht="15.75" customHeight="1" x14ac:dyDescent="0.25">
      <c r="B7" s="19" t="s">
        <v>72</v>
      </c>
      <c r="C7" s="101">
        <v>0.3871881532303128</v>
      </c>
    </row>
    <row r="8" spans="1:8" ht="15.75" customHeight="1" x14ac:dyDescent="0.25">
      <c r="B8" s="19" t="s">
        <v>73</v>
      </c>
      <c r="C8" s="101">
        <v>5.8535036070138371E-3</v>
      </c>
    </row>
    <row r="9" spans="1:8" ht="15.75" customHeight="1" x14ac:dyDescent="0.25">
      <c r="B9" s="19" t="s">
        <v>74</v>
      </c>
      <c r="C9" s="101">
        <v>7.3348498268419438E-2</v>
      </c>
    </row>
    <row r="10" spans="1:8" ht="15.75" customHeight="1" x14ac:dyDescent="0.25">
      <c r="B10" s="19" t="s">
        <v>75</v>
      </c>
      <c r="C10" s="101">
        <v>0.1168260678214004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0.1616009186664322</v>
      </c>
      <c r="D14" s="55">
        <v>0.1616009186664322</v>
      </c>
      <c r="E14" s="55">
        <v>0.1616009186664322</v>
      </c>
      <c r="F14" s="55">
        <v>0.1616009186664322</v>
      </c>
    </row>
    <row r="15" spans="1:8" ht="15.75" customHeight="1" x14ac:dyDescent="0.25">
      <c r="B15" s="19" t="s">
        <v>82</v>
      </c>
      <c r="C15" s="101">
        <v>0.27365859402163978</v>
      </c>
      <c r="D15" s="101">
        <v>0.27365859402163978</v>
      </c>
      <c r="E15" s="101">
        <v>0.27365859402163978</v>
      </c>
      <c r="F15" s="101">
        <v>0.27365859402163978</v>
      </c>
    </row>
    <row r="16" spans="1:8" ht="15.75" customHeight="1" x14ac:dyDescent="0.25">
      <c r="B16" s="19" t="s">
        <v>83</v>
      </c>
      <c r="C16" s="101">
        <v>2.222332884681676E-2</v>
      </c>
      <c r="D16" s="101">
        <v>2.222332884681676E-2</v>
      </c>
      <c r="E16" s="101">
        <v>2.222332884681676E-2</v>
      </c>
      <c r="F16" s="101">
        <v>2.222332884681676E-2</v>
      </c>
    </row>
    <row r="17" spans="1:8" ht="15.75" customHeight="1" x14ac:dyDescent="0.25">
      <c r="B17" s="19" t="s">
        <v>84</v>
      </c>
      <c r="C17" s="101">
        <v>0.1003526665338539</v>
      </c>
      <c r="D17" s="101">
        <v>0.1003526665338539</v>
      </c>
      <c r="E17" s="101">
        <v>0.1003526665338539</v>
      </c>
      <c r="F17" s="101">
        <v>0.1003526665338539</v>
      </c>
    </row>
    <row r="18" spans="1:8" ht="15.75" customHeight="1" x14ac:dyDescent="0.25">
      <c r="B18" s="19" t="s">
        <v>85</v>
      </c>
      <c r="C18" s="101">
        <v>2.0039177190359449E-2</v>
      </c>
      <c r="D18" s="101">
        <v>2.0039177190359449E-2</v>
      </c>
      <c r="E18" s="101">
        <v>2.0039177190359449E-2</v>
      </c>
      <c r="F18" s="101">
        <v>2.0039177190359449E-2</v>
      </c>
    </row>
    <row r="19" spans="1:8" ht="15.75" customHeight="1" x14ac:dyDescent="0.25">
      <c r="B19" s="19" t="s">
        <v>86</v>
      </c>
      <c r="C19" s="101">
        <v>9.4281445679250536E-2</v>
      </c>
      <c r="D19" s="101">
        <v>9.4281445679250536E-2</v>
      </c>
      <c r="E19" s="101">
        <v>9.4281445679250536E-2</v>
      </c>
      <c r="F19" s="101">
        <v>9.4281445679250536E-2</v>
      </c>
    </row>
    <row r="20" spans="1:8" ht="15.75" customHeight="1" x14ac:dyDescent="0.25">
      <c r="B20" s="19" t="s">
        <v>87</v>
      </c>
      <c r="C20" s="101">
        <v>2.3085155710167449E-3</v>
      </c>
      <c r="D20" s="101">
        <v>2.3085155710167449E-3</v>
      </c>
      <c r="E20" s="101">
        <v>2.3085155710167449E-3</v>
      </c>
      <c r="F20" s="101">
        <v>2.3085155710167449E-3</v>
      </c>
    </row>
    <row r="21" spans="1:8" ht="15.75" customHeight="1" x14ac:dyDescent="0.25">
      <c r="B21" s="19" t="s">
        <v>88</v>
      </c>
      <c r="C21" s="101">
        <v>0.1079376948710801</v>
      </c>
      <c r="D21" s="101">
        <v>0.1079376948710801</v>
      </c>
      <c r="E21" s="101">
        <v>0.1079376948710801</v>
      </c>
      <c r="F21" s="101">
        <v>0.1079376948710801</v>
      </c>
    </row>
    <row r="22" spans="1:8" ht="15.75" customHeight="1" x14ac:dyDescent="0.25">
      <c r="B22" s="19" t="s">
        <v>89</v>
      </c>
      <c r="C22" s="101">
        <v>0.21759765861955049</v>
      </c>
      <c r="D22" s="101">
        <v>0.21759765861955049</v>
      </c>
      <c r="E22" s="101">
        <v>0.21759765861955049</v>
      </c>
      <c r="F22" s="101">
        <v>0.21759765861955049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4.5856951999999999E-2</v>
      </c>
    </row>
    <row r="27" spans="1:8" ht="15.75" customHeight="1" x14ac:dyDescent="0.25">
      <c r="B27" s="19" t="s">
        <v>92</v>
      </c>
      <c r="C27" s="101">
        <v>2.7671261999999999E-2</v>
      </c>
    </row>
    <row r="28" spans="1:8" ht="15.75" customHeight="1" x14ac:dyDescent="0.25">
      <c r="B28" s="19" t="s">
        <v>93</v>
      </c>
      <c r="C28" s="101">
        <v>0.19152286900000001</v>
      </c>
    </row>
    <row r="29" spans="1:8" ht="15.75" customHeight="1" x14ac:dyDescent="0.25">
      <c r="B29" s="19" t="s">
        <v>94</v>
      </c>
      <c r="C29" s="101">
        <v>0.15015504499999999</v>
      </c>
    </row>
    <row r="30" spans="1:8" ht="15.75" customHeight="1" x14ac:dyDescent="0.25">
      <c r="B30" s="19" t="s">
        <v>95</v>
      </c>
      <c r="C30" s="101">
        <v>5.0148384999999997E-2</v>
      </c>
    </row>
    <row r="31" spans="1:8" ht="15.75" customHeight="1" x14ac:dyDescent="0.25">
      <c r="B31" s="19" t="s">
        <v>96</v>
      </c>
      <c r="C31" s="101">
        <v>3.0652005E-2</v>
      </c>
    </row>
    <row r="32" spans="1:8" ht="15.75" customHeight="1" x14ac:dyDescent="0.25">
      <c r="B32" s="19" t="s">
        <v>97</v>
      </c>
      <c r="C32" s="101">
        <v>8.6489898999999995E-2</v>
      </c>
    </row>
    <row r="33" spans="2:3" ht="15.75" customHeight="1" x14ac:dyDescent="0.25">
      <c r="B33" s="19" t="s">
        <v>98</v>
      </c>
      <c r="C33" s="101">
        <v>0.168218437</v>
      </c>
    </row>
    <row r="34" spans="2:3" ht="15.75" customHeight="1" x14ac:dyDescent="0.25">
      <c r="B34" s="19" t="s">
        <v>99</v>
      </c>
      <c r="C34" s="101">
        <v>0.24928514500000001</v>
      </c>
    </row>
    <row r="35" spans="2:3" ht="15.75" customHeight="1" x14ac:dyDescent="0.25">
      <c r="B35" s="27" t="s">
        <v>30</v>
      </c>
      <c r="C35" s="48">
        <f>SUM(C26:C34)</f>
        <v>0.99999999899999992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E28" sqref="E28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0.42782970117659869</v>
      </c>
      <c r="D2" s="52">
        <f>IFERROR(1-_xlfn.NORM.DIST(_xlfn.NORM.INV(SUM(D4:D5), 0, 1) + 1, 0, 1, TRUE), "")</f>
        <v>0.42782970117659869</v>
      </c>
      <c r="E2" s="52">
        <f>IFERROR(1-_xlfn.NORM.DIST(_xlfn.NORM.INV(SUM(E4:E5), 0, 1) + 1, 0, 1, TRUE), "")</f>
        <v>0.34990422303700064</v>
      </c>
      <c r="F2" s="52">
        <f>IFERROR(1-_xlfn.NORM.DIST(_xlfn.NORM.INV(SUM(F4:F5), 0, 1) + 1, 0, 1, TRUE), "")</f>
        <v>0.20938718272721368</v>
      </c>
      <c r="G2" s="52">
        <f>IFERROR(1-_xlfn.NORM.DIST(_xlfn.NORM.INV(SUM(G4:G5), 0, 1) + 1, 0, 1, TRUE), "")</f>
        <v>0.12626396115884453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0.36551959882340129</v>
      </c>
      <c r="D3" s="52">
        <f>IFERROR(_xlfn.NORM.DIST(_xlfn.NORM.INV(SUM(D4:D5), 0, 1) + 1, 0, 1, TRUE) - SUM(D4:D5), "")</f>
        <v>0.36551959882340129</v>
      </c>
      <c r="E3" s="52">
        <f>IFERROR(_xlfn.NORM.DIST(_xlfn.NORM.INV(SUM(E4:E5), 0, 1) + 1, 0, 1, TRUE) - SUM(E4:E5), "")</f>
        <v>0.38062717696299936</v>
      </c>
      <c r="F3" s="52">
        <f>IFERROR(_xlfn.NORM.DIST(_xlfn.NORM.INV(SUM(F4:F5), 0, 1) + 1, 0, 1, TRUE) - SUM(F4:F5), "")</f>
        <v>0.36652651727278629</v>
      </c>
      <c r="G3" s="52">
        <f>IFERROR(_xlfn.NORM.DIST(_xlfn.NORM.INV(SUM(G4:G5), 0, 1) + 1, 0, 1, TRUE) - SUM(G4:G5), "")</f>
        <v>0.31639513884115544</v>
      </c>
    </row>
    <row r="4" spans="1:15" ht="15.75" customHeight="1" x14ac:dyDescent="0.25">
      <c r="B4" s="5" t="s">
        <v>104</v>
      </c>
      <c r="C4" s="45">
        <v>0.1133638</v>
      </c>
      <c r="D4" s="53">
        <v>0.1133638</v>
      </c>
      <c r="E4" s="53">
        <v>0.1598974</v>
      </c>
      <c r="F4" s="53">
        <v>0.21475839999999999</v>
      </c>
      <c r="G4" s="53">
        <v>0.2754298</v>
      </c>
    </row>
    <row r="5" spans="1:15" ht="15.75" customHeight="1" x14ac:dyDescent="0.25">
      <c r="B5" s="5" t="s">
        <v>105</v>
      </c>
      <c r="C5" s="45">
        <v>9.3286900000000006E-2</v>
      </c>
      <c r="D5" s="53">
        <v>9.3286900000000006E-2</v>
      </c>
      <c r="E5" s="53">
        <v>0.10957119999999999</v>
      </c>
      <c r="F5" s="53">
        <v>0.20932790000000001</v>
      </c>
      <c r="G5" s="53">
        <v>0.28191110000000003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0.43605477751718369</v>
      </c>
      <c r="D8" s="52">
        <f>IFERROR(1-_xlfn.NORM.DIST(_xlfn.NORM.INV(SUM(D10:D11), 0, 1) + 1, 0, 1, TRUE), "")</f>
        <v>0.43605477751718369</v>
      </c>
      <c r="E8" s="52">
        <f>IFERROR(1-_xlfn.NORM.DIST(_xlfn.NORM.INV(SUM(E10:E11), 0, 1) + 1, 0, 1, TRUE), "")</f>
        <v>0.37040139645377845</v>
      </c>
      <c r="F8" s="52">
        <f>IFERROR(1-_xlfn.NORM.DIST(_xlfn.NORM.INV(SUM(F10:F11), 0, 1) + 1, 0, 1, TRUE), "")</f>
        <v>0.43908067971337172</v>
      </c>
      <c r="G8" s="52">
        <f>IFERROR(1-_xlfn.NORM.DIST(_xlfn.NORM.INV(SUM(G10:G11), 0, 1) + 1, 0, 1, TRUE), "")</f>
        <v>0.54928882523301181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0.36321632248281632</v>
      </c>
      <c r="D9" s="52">
        <f>IFERROR(_xlfn.NORM.DIST(_xlfn.NORM.INV(SUM(D10:D11), 0, 1) + 1, 0, 1, TRUE) - SUM(D10:D11), "")</f>
        <v>0.36321632248281632</v>
      </c>
      <c r="E9" s="52">
        <f>IFERROR(_xlfn.NORM.DIST(_xlfn.NORM.INV(SUM(E10:E11), 0, 1) + 1, 0, 1, TRUE) - SUM(E10:E11), "")</f>
        <v>0.37791770354622156</v>
      </c>
      <c r="F9" s="52">
        <f>IFERROR(_xlfn.NORM.DIST(_xlfn.NORM.INV(SUM(F10:F11), 0, 1) + 1, 0, 1, TRUE) - SUM(F10:F11), "")</f>
        <v>0.36233802028662832</v>
      </c>
      <c r="G9" s="52">
        <f>IFERROR(_xlfn.NORM.DIST(_xlfn.NORM.INV(SUM(G10:G11), 0, 1) + 1, 0, 1, TRUE) - SUM(G10:G11), "")</f>
        <v>0.32017597476698823</v>
      </c>
    </row>
    <row r="10" spans="1:15" ht="15.75" customHeight="1" x14ac:dyDescent="0.25">
      <c r="B10" s="5" t="s">
        <v>109</v>
      </c>
      <c r="C10" s="45">
        <v>0.1087987</v>
      </c>
      <c r="D10" s="53">
        <v>0.1087987</v>
      </c>
      <c r="E10" s="53">
        <v>0.14983859999999999</v>
      </c>
      <c r="F10" s="53">
        <v>0.13560929999999999</v>
      </c>
      <c r="G10" s="53">
        <v>9.4634599999999999E-2</v>
      </c>
    </row>
    <row r="11" spans="1:15" ht="15.75" customHeight="1" x14ac:dyDescent="0.25">
      <c r="B11" s="5" t="s">
        <v>110</v>
      </c>
      <c r="C11" s="45">
        <v>9.1930200000000004E-2</v>
      </c>
      <c r="D11" s="53">
        <v>9.1930200000000004E-2</v>
      </c>
      <c r="E11" s="53">
        <v>0.1018423</v>
      </c>
      <c r="F11" s="53">
        <v>6.2972E-2</v>
      </c>
      <c r="G11" s="53">
        <v>3.5900599999999998E-2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0.97213777649999999</v>
      </c>
      <c r="D14" s="54">
        <v>0.97637391212799995</v>
      </c>
      <c r="E14" s="54">
        <v>0.97637391212799995</v>
      </c>
      <c r="F14" s="54">
        <v>0.93586611214799997</v>
      </c>
      <c r="G14" s="54">
        <v>0.93586611214799997</v>
      </c>
      <c r="H14" s="45">
        <v>0.63</v>
      </c>
      <c r="I14" s="55">
        <v>0.63</v>
      </c>
      <c r="J14" s="55">
        <v>0.63</v>
      </c>
      <c r="K14" s="55">
        <v>0.63</v>
      </c>
      <c r="L14" s="45">
        <v>0.70199999999999985</v>
      </c>
      <c r="M14" s="55">
        <v>0.70199999999999985</v>
      </c>
      <c r="N14" s="55">
        <v>0.70199999999999985</v>
      </c>
      <c r="O14" s="55">
        <v>0.70199999999999985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0.51605156155281307</v>
      </c>
      <c r="D15" s="52">
        <f t="shared" si="0"/>
        <v>0.51830028026185182</v>
      </c>
      <c r="E15" s="52">
        <f t="shared" si="0"/>
        <v>0.51830028026185182</v>
      </c>
      <c r="F15" s="52">
        <f t="shared" si="0"/>
        <v>0.49679703870486863</v>
      </c>
      <c r="G15" s="52">
        <f t="shared" si="0"/>
        <v>0.49679703870486863</v>
      </c>
      <c r="H15" s="52">
        <f t="shared" si="0"/>
        <v>0.33443046000000004</v>
      </c>
      <c r="I15" s="52">
        <f t="shared" si="0"/>
        <v>0.33443046000000004</v>
      </c>
      <c r="J15" s="52">
        <f t="shared" si="0"/>
        <v>0.33443046000000004</v>
      </c>
      <c r="K15" s="52">
        <f t="shared" si="0"/>
        <v>0.33443046000000004</v>
      </c>
      <c r="L15" s="52">
        <f t="shared" si="0"/>
        <v>0.37265108399999997</v>
      </c>
      <c r="M15" s="52">
        <f t="shared" si="0"/>
        <v>0.37265108399999997</v>
      </c>
      <c r="N15" s="52">
        <f t="shared" si="0"/>
        <v>0.37265108399999997</v>
      </c>
      <c r="O15" s="52">
        <f t="shared" si="0"/>
        <v>0.37265108399999997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E28" sqref="E28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0.20986089999999999</v>
      </c>
      <c r="D2" s="53">
        <v>8.6708300000000002E-2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0.41966379999999998</v>
      </c>
      <c r="D3" s="53">
        <v>0.27589580000000002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0.30791069999999998</v>
      </c>
      <c r="D4" s="53">
        <v>0.56925510000000001</v>
      </c>
      <c r="E4" s="53">
        <v>0.84019790000000005</v>
      </c>
      <c r="F4" s="53">
        <v>0.62839</v>
      </c>
      <c r="G4" s="53">
        <v>0</v>
      </c>
    </row>
    <row r="5" spans="1:7" x14ac:dyDescent="0.25">
      <c r="B5" s="3" t="s">
        <v>122</v>
      </c>
      <c r="C5" s="52">
        <f t="shared" ref="C5:D5" si="0">1-SUM(C2:C4)</f>
        <v>6.2564600000000081E-2</v>
      </c>
      <c r="D5" s="52">
        <f t="shared" si="0"/>
        <v>6.814079999999989E-2</v>
      </c>
      <c r="E5" s="52">
        <f>1-SUM(E2:E4)</f>
        <v>0.15980209999999995</v>
      </c>
      <c r="F5" s="52">
        <f>1-SUM(F2:F4)</f>
        <v>0.37161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Q18" sqref="Q18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334</v>
      </c>
      <c r="B1" s="105" t="s">
        <v>335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336</v>
      </c>
      <c r="B2" s="109">
        <v>650.27221843476605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337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338</v>
      </c>
      <c r="B4" s="110">
        <v>0.35046999999999995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339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340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341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342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343</v>
      </c>
      <c r="B9" s="110">
        <v>5.2209999999999999E-2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344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345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346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347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348</v>
      </c>
      <c r="B14" s="112">
        <v>1.9218898624999998E-2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349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350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351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352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353</v>
      </c>
      <c r="B21" s="108" t="s">
        <v>354</v>
      </c>
      <c r="C21" s="108" t="s">
        <v>355</v>
      </c>
      <c r="D21" s="108" t="s">
        <v>356</v>
      </c>
      <c r="E21" s="108" t="s">
        <v>357</v>
      </c>
      <c r="F21" s="108" t="s">
        <v>358</v>
      </c>
      <c r="G21" s="108" t="s">
        <v>359</v>
      </c>
      <c r="H21" s="108" t="s">
        <v>360</v>
      </c>
      <c r="I21" s="108" t="s">
        <v>361</v>
      </c>
      <c r="J21" s="108" t="s">
        <v>362</v>
      </c>
      <c r="K21" s="108" t="s">
        <v>363</v>
      </c>
      <c r="L21" s="108" t="s">
        <v>364</v>
      </c>
      <c r="M21" s="108" t="s">
        <v>365</v>
      </c>
      <c r="N21" s="108" t="s">
        <v>366</v>
      </c>
      <c r="O21" s="108" t="s">
        <v>367</v>
      </c>
    </row>
    <row r="22" spans="1:15" x14ac:dyDescent="0.25">
      <c r="A22" s="108" t="s">
        <v>368</v>
      </c>
      <c r="B22" s="109">
        <v>94138.543510000003</v>
      </c>
      <c r="C22" s="109">
        <v>93543.137419999999</v>
      </c>
      <c r="D22" s="109">
        <v>92939.119000000006</v>
      </c>
      <c r="E22" s="109">
        <v>92284.929300000003</v>
      </c>
      <c r="F22" s="109">
        <v>91278.827590000001</v>
      </c>
      <c r="G22" s="109">
        <v>90260.442030000006</v>
      </c>
      <c r="H22" s="109">
        <v>89137.620219999997</v>
      </c>
      <c r="I22" s="109">
        <v>87800.377890000003</v>
      </c>
      <c r="J22" s="109">
        <v>85995.471919999996</v>
      </c>
      <c r="K22" s="109">
        <v>83536.083499999993</v>
      </c>
      <c r="L22" s="109">
        <v>79951.452929999999</v>
      </c>
      <c r="M22" s="109">
        <v>74893.748070000001</v>
      </c>
      <c r="N22" s="109">
        <v>67531.861359999995</v>
      </c>
      <c r="O22" s="109">
        <v>57922.792350000003</v>
      </c>
    </row>
  </sheetData>
  <sheetProtection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E28" sqref="E28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136</v>
      </c>
      <c r="B1" s="36" t="s">
        <v>137</v>
      </c>
      <c r="C1" s="36" t="s">
        <v>138</v>
      </c>
      <c r="D1" s="36" t="s">
        <v>139</v>
      </c>
      <c r="E1" s="36" t="s">
        <v>140</v>
      </c>
    </row>
    <row r="2" spans="1:5" ht="13" x14ac:dyDescent="0.3">
      <c r="A2" s="34" t="s">
        <v>141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142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142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142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142</v>
      </c>
      <c r="E6" s="38" t="str">
        <f>IF(E$7="","",E$7)</f>
        <v/>
      </c>
    </row>
    <row r="7" spans="1:5" x14ac:dyDescent="0.25">
      <c r="B7" s="32" t="s">
        <v>143</v>
      </c>
      <c r="C7" s="31"/>
      <c r="D7" s="30"/>
      <c r="E7" s="47"/>
    </row>
    <row r="9" spans="1:5" ht="13" x14ac:dyDescent="0.3">
      <c r="A9" s="34" t="s">
        <v>144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142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142</v>
      </c>
      <c r="E13" s="38" t="str">
        <f>IF(E$7="","",E$7)</f>
        <v/>
      </c>
    </row>
    <row r="14" spans="1:5" x14ac:dyDescent="0.25">
      <c r="B14" s="32" t="s">
        <v>143</v>
      </c>
      <c r="C14" s="31"/>
      <c r="D14" s="30"/>
      <c r="E14" s="47"/>
    </row>
    <row r="16" spans="1:5" ht="13" x14ac:dyDescent="0.3">
      <c r="A16" s="34" t="s">
        <v>145</v>
      </c>
      <c r="B16" s="32" t="s">
        <v>90</v>
      </c>
      <c r="C16" s="47"/>
      <c r="D16" s="47" t="s">
        <v>142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142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142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142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142</v>
      </c>
      <c r="E20" s="38" t="str">
        <f>IF(E$7="","",E$7)</f>
        <v/>
      </c>
    </row>
    <row r="21" spans="2:5" x14ac:dyDescent="0.25">
      <c r="B21" s="32" t="s">
        <v>143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E28" sqref="E28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1</v>
      </c>
      <c r="B1" s="36" t="s">
        <v>146</v>
      </c>
      <c r="C1" s="40" t="s">
        <v>147</v>
      </c>
      <c r="D1" s="40" t="s">
        <v>148</v>
      </c>
    </row>
    <row r="2" spans="1:4" ht="13" x14ac:dyDescent="0.3">
      <c r="A2" s="40" t="s">
        <v>149</v>
      </c>
      <c r="B2" s="32" t="s">
        <v>150</v>
      </c>
      <c r="C2" s="32" t="s">
        <v>151</v>
      </c>
      <c r="D2" s="47"/>
    </row>
    <row r="3" spans="1:4" ht="13" x14ac:dyDescent="0.3">
      <c r="A3" s="40" t="s">
        <v>152</v>
      </c>
      <c r="B3" s="32" t="s">
        <v>138</v>
      </c>
      <c r="C3" s="32" t="s">
        <v>153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149</v>
      </c>
      <c r="B1" s="22" t="str">
        <f>"Baseline ("&amp;start_year&amp;") coverage"</f>
        <v>Baseline (2024) coverage</v>
      </c>
      <c r="C1" s="22" t="s">
        <v>154</v>
      </c>
      <c r="D1" s="22" t="s">
        <v>155</v>
      </c>
      <c r="E1" s="22" t="s">
        <v>156</v>
      </c>
      <c r="F1" s="22" t="s">
        <v>157</v>
      </c>
      <c r="G1" s="22" t="s">
        <v>158</v>
      </c>
    </row>
    <row r="2" spans="1:7" ht="15.75" customHeight="1" x14ac:dyDescent="0.25">
      <c r="A2" s="5" t="s">
        <v>159</v>
      </c>
      <c r="B2" s="45">
        <v>0</v>
      </c>
      <c r="C2" s="98">
        <v>0.95</v>
      </c>
      <c r="D2" s="56">
        <v>19.75</v>
      </c>
      <c r="E2" s="56" t="s">
        <v>160</v>
      </c>
      <c r="F2" s="98">
        <v>1</v>
      </c>
      <c r="G2" s="98">
        <v>1</v>
      </c>
    </row>
    <row r="3" spans="1:7" ht="15.75" customHeight="1" x14ac:dyDescent="0.25">
      <c r="A3" s="5" t="s">
        <v>161</v>
      </c>
      <c r="B3" s="45">
        <v>0</v>
      </c>
      <c r="C3" s="98">
        <v>0.95</v>
      </c>
      <c r="D3" s="56">
        <v>19.75</v>
      </c>
      <c r="E3" s="56" t="s">
        <v>160</v>
      </c>
      <c r="F3" s="98">
        <v>1</v>
      </c>
      <c r="G3" s="98">
        <v>1</v>
      </c>
    </row>
    <row r="4" spans="1:7" ht="15.75" customHeight="1" x14ac:dyDescent="0.25">
      <c r="A4" s="5" t="s">
        <v>162</v>
      </c>
      <c r="B4" s="98">
        <v>0</v>
      </c>
      <c r="C4" s="98">
        <v>0.95</v>
      </c>
      <c r="D4" s="56">
        <v>7.4289688625382997</v>
      </c>
      <c r="E4" s="56" t="s">
        <v>160</v>
      </c>
      <c r="F4" s="98">
        <v>1</v>
      </c>
      <c r="G4" s="98">
        <v>1</v>
      </c>
    </row>
    <row r="5" spans="1:7" ht="15.75" customHeight="1" x14ac:dyDescent="0.25">
      <c r="A5" s="5" t="s">
        <v>163</v>
      </c>
      <c r="B5" s="98">
        <v>0</v>
      </c>
      <c r="C5" s="98">
        <v>0.95</v>
      </c>
      <c r="D5" s="56">
        <v>0.48</v>
      </c>
      <c r="E5" s="56" t="s">
        <v>160</v>
      </c>
      <c r="F5" s="98">
        <v>1</v>
      </c>
      <c r="G5" s="98">
        <v>1</v>
      </c>
    </row>
    <row r="6" spans="1:7" ht="15.75" customHeight="1" x14ac:dyDescent="0.25">
      <c r="A6" s="5" t="s">
        <v>164</v>
      </c>
      <c r="B6" s="98">
        <v>0</v>
      </c>
      <c r="C6" s="98">
        <v>0.95</v>
      </c>
      <c r="D6" s="56">
        <v>99.99</v>
      </c>
      <c r="E6" s="56" t="s">
        <v>160</v>
      </c>
      <c r="F6" s="98">
        <v>1</v>
      </c>
      <c r="G6" s="98">
        <v>1</v>
      </c>
    </row>
    <row r="7" spans="1:7" ht="15.75" customHeight="1" x14ac:dyDescent="0.25">
      <c r="A7" s="5" t="s">
        <v>165</v>
      </c>
      <c r="B7" s="98">
        <v>0</v>
      </c>
      <c r="C7" s="98">
        <v>0.95</v>
      </c>
      <c r="D7" s="56">
        <v>0.19283527130965261</v>
      </c>
      <c r="E7" s="56" t="s">
        <v>160</v>
      </c>
      <c r="F7" s="98">
        <v>1</v>
      </c>
      <c r="G7" s="98">
        <v>1</v>
      </c>
    </row>
    <row r="8" spans="1:7" ht="15.75" customHeight="1" x14ac:dyDescent="0.25">
      <c r="A8" s="5" t="s">
        <v>166</v>
      </c>
      <c r="B8" s="98">
        <v>0</v>
      </c>
      <c r="C8" s="98">
        <v>0.95</v>
      </c>
      <c r="D8" s="56">
        <v>0.10284547803181469</v>
      </c>
      <c r="E8" s="56" t="s">
        <v>160</v>
      </c>
      <c r="F8" s="98">
        <v>1</v>
      </c>
      <c r="G8" s="98">
        <v>1</v>
      </c>
    </row>
    <row r="9" spans="1:7" ht="15.75" customHeight="1" x14ac:dyDescent="0.25">
      <c r="A9" s="5" t="s">
        <v>167</v>
      </c>
      <c r="B9" s="98">
        <v>0.5</v>
      </c>
      <c r="C9" s="98">
        <v>0.95</v>
      </c>
      <c r="D9" s="56">
        <v>0.4</v>
      </c>
      <c r="E9" s="56" t="s">
        <v>160</v>
      </c>
      <c r="F9" s="98">
        <v>1</v>
      </c>
      <c r="G9" s="98">
        <v>1</v>
      </c>
    </row>
    <row r="10" spans="1:7" ht="15.75" customHeight="1" x14ac:dyDescent="0.25">
      <c r="A10" s="11" t="s">
        <v>168</v>
      </c>
      <c r="B10" s="45">
        <v>5.5304300000000001E-2</v>
      </c>
      <c r="C10" s="98">
        <v>0.95</v>
      </c>
      <c r="D10" s="56">
        <v>13.539057252878379</v>
      </c>
      <c r="E10" s="56" t="s">
        <v>160</v>
      </c>
      <c r="F10" s="98">
        <v>1</v>
      </c>
      <c r="G10" s="98">
        <v>1</v>
      </c>
    </row>
    <row r="11" spans="1:7" ht="15.75" customHeight="1" x14ac:dyDescent="0.25">
      <c r="A11" s="11" t="s">
        <v>169</v>
      </c>
      <c r="B11" s="98">
        <v>0</v>
      </c>
      <c r="C11" s="98">
        <v>0.95</v>
      </c>
      <c r="D11" s="56">
        <v>13.539057252878379</v>
      </c>
      <c r="E11" s="56" t="s">
        <v>160</v>
      </c>
      <c r="F11" s="98">
        <v>1</v>
      </c>
      <c r="G11" s="98">
        <v>1</v>
      </c>
    </row>
    <row r="12" spans="1:7" ht="15.75" customHeight="1" x14ac:dyDescent="0.25">
      <c r="A12" s="11" t="s">
        <v>170</v>
      </c>
      <c r="B12" s="98">
        <v>0</v>
      </c>
      <c r="C12" s="98">
        <v>0.95</v>
      </c>
      <c r="D12" s="56">
        <v>13.539057252878379</v>
      </c>
      <c r="E12" s="56" t="s">
        <v>160</v>
      </c>
      <c r="F12" s="98">
        <v>1</v>
      </c>
      <c r="G12" s="98">
        <v>1</v>
      </c>
    </row>
    <row r="13" spans="1:7" ht="15.75" customHeight="1" x14ac:dyDescent="0.25">
      <c r="A13" s="11" t="s">
        <v>171</v>
      </c>
      <c r="B13" s="98">
        <v>0</v>
      </c>
      <c r="C13" s="98">
        <v>0.95</v>
      </c>
      <c r="D13" s="56">
        <v>13.539057252878379</v>
      </c>
      <c r="E13" s="56" t="s">
        <v>160</v>
      </c>
      <c r="F13" s="98">
        <v>1</v>
      </c>
      <c r="G13" s="98">
        <v>1</v>
      </c>
    </row>
    <row r="14" spans="1:7" ht="15.75" customHeight="1" x14ac:dyDescent="0.25">
      <c r="A14" s="5" t="s">
        <v>172</v>
      </c>
      <c r="B14" s="45">
        <v>5.5304300000000001E-2</v>
      </c>
      <c r="C14" s="98">
        <v>0.95</v>
      </c>
      <c r="D14" s="56">
        <v>13.539057252878379</v>
      </c>
      <c r="E14" s="56" t="s">
        <v>160</v>
      </c>
      <c r="F14" s="98">
        <v>1</v>
      </c>
      <c r="G14" s="98">
        <v>1</v>
      </c>
    </row>
    <row r="15" spans="1:7" ht="15.75" customHeight="1" x14ac:dyDescent="0.25">
      <c r="A15" s="5" t="s">
        <v>173</v>
      </c>
      <c r="B15" s="98">
        <v>0</v>
      </c>
      <c r="C15" s="98">
        <v>0.95</v>
      </c>
      <c r="D15" s="56">
        <v>13.539057252878379</v>
      </c>
      <c r="E15" s="56" t="s">
        <v>160</v>
      </c>
      <c r="F15" s="98">
        <v>1</v>
      </c>
      <c r="G15" s="98">
        <v>1</v>
      </c>
    </row>
    <row r="16" spans="1:7" ht="15.75" customHeight="1" x14ac:dyDescent="0.25">
      <c r="A16" s="5" t="s">
        <v>174</v>
      </c>
      <c r="B16" s="45">
        <v>0</v>
      </c>
      <c r="C16" s="98">
        <v>0.95</v>
      </c>
      <c r="D16" s="56">
        <v>2.5</v>
      </c>
      <c r="E16" s="56" t="s">
        <v>160</v>
      </c>
      <c r="F16" s="98">
        <v>1</v>
      </c>
      <c r="G16" s="98">
        <v>1</v>
      </c>
    </row>
    <row r="17" spans="1:7" ht="15.75" customHeight="1" x14ac:dyDescent="0.25">
      <c r="A17" s="5" t="s">
        <v>175</v>
      </c>
      <c r="B17" s="98">
        <v>0.95</v>
      </c>
      <c r="C17" s="98">
        <v>0.95</v>
      </c>
      <c r="D17" s="56">
        <v>7.992352075384429E-2</v>
      </c>
      <c r="E17" s="56" t="s">
        <v>160</v>
      </c>
      <c r="F17" s="98">
        <v>1</v>
      </c>
      <c r="G17" s="98">
        <v>1</v>
      </c>
    </row>
    <row r="18" spans="1:7" ht="15.9" customHeight="1" x14ac:dyDescent="0.25">
      <c r="A18" s="5" t="s">
        <v>141</v>
      </c>
      <c r="B18" s="98">
        <v>0.28699999999999998</v>
      </c>
      <c r="C18" s="98">
        <v>0.95</v>
      </c>
      <c r="D18" s="56">
        <v>7.4289688625382997</v>
      </c>
      <c r="E18" s="56" t="s">
        <v>160</v>
      </c>
      <c r="F18" s="98">
        <v>1</v>
      </c>
      <c r="G18" s="98">
        <v>1</v>
      </c>
    </row>
    <row r="19" spans="1:7" ht="15.75" customHeight="1" x14ac:dyDescent="0.25">
      <c r="A19" s="5" t="s">
        <v>144</v>
      </c>
      <c r="B19" s="98">
        <v>8.6708300000000002E-2</v>
      </c>
      <c r="C19" s="98">
        <v>0.95</v>
      </c>
      <c r="D19" s="56">
        <v>2.377996240315416</v>
      </c>
      <c r="E19" s="56" t="s">
        <v>160</v>
      </c>
      <c r="F19" s="98">
        <v>1</v>
      </c>
      <c r="G19" s="98">
        <v>1</v>
      </c>
    </row>
    <row r="20" spans="1:7" ht="15.75" customHeight="1" x14ac:dyDescent="0.25">
      <c r="A20" s="5" t="s">
        <v>145</v>
      </c>
      <c r="B20" s="98">
        <v>0</v>
      </c>
      <c r="C20" s="98">
        <v>0.95</v>
      </c>
      <c r="D20" s="56">
        <v>99.99</v>
      </c>
      <c r="E20" s="56" t="s">
        <v>160</v>
      </c>
      <c r="F20" s="98">
        <v>1</v>
      </c>
      <c r="G20" s="98">
        <v>1</v>
      </c>
    </row>
    <row r="21" spans="1:7" ht="15.75" customHeight="1" x14ac:dyDescent="0.25">
      <c r="A21" s="5" t="s">
        <v>176</v>
      </c>
      <c r="B21" s="45">
        <v>0</v>
      </c>
      <c r="C21" s="98">
        <v>0.95</v>
      </c>
      <c r="D21" s="56">
        <v>7.48</v>
      </c>
      <c r="E21" s="56" t="s">
        <v>160</v>
      </c>
      <c r="F21" s="98">
        <v>1</v>
      </c>
      <c r="G21" s="98">
        <v>1</v>
      </c>
    </row>
    <row r="22" spans="1:7" ht="15.75" customHeight="1" x14ac:dyDescent="0.25">
      <c r="A22" s="5" t="s">
        <v>177</v>
      </c>
      <c r="B22" s="98">
        <v>0</v>
      </c>
      <c r="C22" s="98">
        <v>0.95</v>
      </c>
      <c r="D22" s="56">
        <v>7.4289688625382997</v>
      </c>
      <c r="E22" s="56" t="s">
        <v>160</v>
      </c>
      <c r="F22" s="98">
        <v>1</v>
      </c>
      <c r="G22" s="98">
        <v>1</v>
      </c>
    </row>
    <row r="23" spans="1:7" ht="15.75" customHeight="1" x14ac:dyDescent="0.25">
      <c r="A23" s="5" t="s">
        <v>178</v>
      </c>
      <c r="B23" s="98">
        <v>0</v>
      </c>
      <c r="C23" s="98">
        <v>0.95</v>
      </c>
      <c r="D23" s="56">
        <v>4.4606327668435339</v>
      </c>
      <c r="E23" s="56" t="s">
        <v>160</v>
      </c>
      <c r="F23" s="98">
        <v>1</v>
      </c>
      <c r="G23" s="98">
        <v>1</v>
      </c>
    </row>
    <row r="24" spans="1:7" ht="15.75" customHeight="1" x14ac:dyDescent="0.25">
      <c r="A24" s="5" t="s">
        <v>179</v>
      </c>
      <c r="B24" s="45">
        <v>0.21544450643631999</v>
      </c>
      <c r="C24" s="98">
        <v>0.95</v>
      </c>
      <c r="D24" s="56">
        <v>99.99</v>
      </c>
      <c r="E24" s="56" t="s">
        <v>160</v>
      </c>
      <c r="F24" s="98">
        <v>1</v>
      </c>
      <c r="G24" s="98">
        <v>1</v>
      </c>
    </row>
    <row r="25" spans="1:7" ht="15.75" customHeight="1" x14ac:dyDescent="0.25">
      <c r="A25" s="5" t="s">
        <v>180</v>
      </c>
      <c r="B25" s="98">
        <v>0</v>
      </c>
      <c r="C25" s="98">
        <v>0.95</v>
      </c>
      <c r="D25" s="56">
        <v>99.99</v>
      </c>
      <c r="E25" s="56" t="s">
        <v>160</v>
      </c>
      <c r="F25" s="98">
        <v>1</v>
      </c>
      <c r="G25" s="98">
        <v>1</v>
      </c>
    </row>
    <row r="26" spans="1:7" ht="15.75" customHeight="1" x14ac:dyDescent="0.25">
      <c r="A26" s="5" t="s">
        <v>181</v>
      </c>
      <c r="B26" s="45">
        <v>0</v>
      </c>
      <c r="C26" s="98">
        <v>0.95</v>
      </c>
      <c r="D26" s="56">
        <v>2.9567118730808599</v>
      </c>
      <c r="E26" s="56" t="s">
        <v>160</v>
      </c>
      <c r="F26" s="98">
        <v>1</v>
      </c>
      <c r="G26" s="98">
        <v>1</v>
      </c>
    </row>
    <row r="27" spans="1:7" ht="15.75" customHeight="1" x14ac:dyDescent="0.25">
      <c r="A27" s="5" t="s">
        <v>182</v>
      </c>
      <c r="B27" s="45">
        <v>0</v>
      </c>
      <c r="C27" s="98">
        <v>0.95</v>
      </c>
      <c r="D27" s="56">
        <v>17.846880984952122</v>
      </c>
      <c r="E27" s="56" t="s">
        <v>160</v>
      </c>
      <c r="F27" s="98">
        <v>1</v>
      </c>
      <c r="G27" s="98">
        <v>1</v>
      </c>
    </row>
    <row r="28" spans="1:7" ht="15.75" customHeight="1" x14ac:dyDescent="0.25">
      <c r="A28" s="5" t="s">
        <v>183</v>
      </c>
      <c r="B28" s="45">
        <v>0.25274740000000001</v>
      </c>
      <c r="C28" s="98">
        <v>0.95</v>
      </c>
      <c r="D28" s="56">
        <v>99.99</v>
      </c>
      <c r="E28" s="56" t="s">
        <v>160</v>
      </c>
      <c r="F28" s="98">
        <v>1</v>
      </c>
      <c r="G28" s="98">
        <v>1</v>
      </c>
    </row>
    <row r="29" spans="1:7" ht="15.75" customHeight="1" x14ac:dyDescent="0.25">
      <c r="A29" s="5" t="s">
        <v>184</v>
      </c>
      <c r="B29" s="45">
        <v>0.21297360000000001</v>
      </c>
      <c r="C29" s="98">
        <v>0.95</v>
      </c>
      <c r="D29" s="56">
        <v>193.6128732031849</v>
      </c>
      <c r="E29" s="56" t="s">
        <v>160</v>
      </c>
      <c r="F29" s="98">
        <v>1</v>
      </c>
      <c r="G29" s="98">
        <v>1</v>
      </c>
    </row>
    <row r="30" spans="1:7" ht="15.75" customHeight="1" x14ac:dyDescent="0.25">
      <c r="A30" s="5" t="s">
        <v>185</v>
      </c>
      <c r="B30" s="98">
        <v>0</v>
      </c>
      <c r="C30" s="98">
        <v>0.95</v>
      </c>
      <c r="D30" s="56">
        <v>53.05</v>
      </c>
      <c r="E30" s="56" t="s">
        <v>160</v>
      </c>
      <c r="F30" s="98">
        <v>1</v>
      </c>
      <c r="G30" s="98">
        <v>1</v>
      </c>
    </row>
    <row r="31" spans="1:7" ht="15.75" customHeight="1" x14ac:dyDescent="0.25">
      <c r="A31" s="5" t="s">
        <v>150</v>
      </c>
      <c r="B31" s="45">
        <v>0</v>
      </c>
      <c r="C31" s="98">
        <v>0.95</v>
      </c>
      <c r="D31" s="56">
        <v>173.50469037871034</v>
      </c>
      <c r="E31" s="56" t="s">
        <v>160</v>
      </c>
      <c r="F31" s="98">
        <v>1</v>
      </c>
      <c r="G31" s="98">
        <v>1</v>
      </c>
    </row>
    <row r="32" spans="1:7" ht="15.75" customHeight="1" x14ac:dyDescent="0.25">
      <c r="A32" s="5" t="s">
        <v>186</v>
      </c>
      <c r="B32" s="45">
        <v>0.11</v>
      </c>
      <c r="C32" s="98">
        <v>0.95</v>
      </c>
      <c r="D32" s="56">
        <v>0.53033228587019021</v>
      </c>
      <c r="E32" s="56" t="s">
        <v>160</v>
      </c>
      <c r="F32" s="98">
        <v>1</v>
      </c>
      <c r="G32" s="98">
        <v>1</v>
      </c>
    </row>
    <row r="33" spans="1:7" ht="15.75" customHeight="1" x14ac:dyDescent="0.25">
      <c r="A33" s="5" t="s">
        <v>187</v>
      </c>
      <c r="B33" s="45">
        <v>0.4861297</v>
      </c>
      <c r="C33" s="98">
        <v>0.95</v>
      </c>
      <c r="D33" s="56">
        <v>99.99</v>
      </c>
      <c r="E33" s="56" t="s">
        <v>160</v>
      </c>
      <c r="F33" s="98">
        <v>1</v>
      </c>
      <c r="G33" s="98">
        <v>1</v>
      </c>
    </row>
    <row r="34" spans="1:7" ht="15.75" customHeight="1" x14ac:dyDescent="0.25">
      <c r="A34" s="5" t="s">
        <v>188</v>
      </c>
      <c r="B34" s="45">
        <v>0.18614800000000001</v>
      </c>
      <c r="C34" s="98">
        <v>0.95</v>
      </c>
      <c r="D34" s="56">
        <v>99.99</v>
      </c>
      <c r="E34" s="56" t="s">
        <v>160</v>
      </c>
      <c r="F34" s="98">
        <v>1</v>
      </c>
      <c r="G34" s="98">
        <v>1</v>
      </c>
    </row>
    <row r="35" spans="1:7" ht="15.75" customHeight="1" x14ac:dyDescent="0.25">
      <c r="A35" s="5" t="s">
        <v>189</v>
      </c>
      <c r="B35" s="98">
        <v>0</v>
      </c>
      <c r="C35" s="98">
        <v>0.95</v>
      </c>
      <c r="D35" s="56">
        <v>99.99</v>
      </c>
      <c r="E35" s="56" t="s">
        <v>160</v>
      </c>
      <c r="F35" s="98">
        <v>1</v>
      </c>
      <c r="G35" s="98">
        <v>1</v>
      </c>
    </row>
    <row r="36" spans="1:7" ht="15.75" customHeight="1" x14ac:dyDescent="0.25">
      <c r="A36" s="5" t="s">
        <v>190</v>
      </c>
      <c r="B36" s="45">
        <v>4.8132400000000013E-2</v>
      </c>
      <c r="C36" s="98">
        <v>0.95</v>
      </c>
      <c r="D36" s="56">
        <v>99.99</v>
      </c>
      <c r="E36" s="56" t="s">
        <v>160</v>
      </c>
      <c r="F36" s="98">
        <v>1</v>
      </c>
      <c r="G36" s="98">
        <v>1</v>
      </c>
    </row>
    <row r="37" spans="1:7" ht="15.75" customHeight="1" x14ac:dyDescent="0.25">
      <c r="A37" s="5" t="s">
        <v>191</v>
      </c>
      <c r="B37" s="45">
        <v>0.57095980000000002</v>
      </c>
      <c r="C37" s="98">
        <v>0.95</v>
      </c>
      <c r="D37" s="56">
        <v>99.99</v>
      </c>
      <c r="E37" s="56" t="s">
        <v>160</v>
      </c>
      <c r="F37" s="98">
        <v>1</v>
      </c>
      <c r="G37" s="98">
        <v>1</v>
      </c>
    </row>
    <row r="38" spans="1:7" ht="15.75" customHeight="1" x14ac:dyDescent="0.25">
      <c r="A38" s="5" t="s">
        <v>192</v>
      </c>
      <c r="B38" s="45">
        <v>0.11</v>
      </c>
      <c r="C38" s="98">
        <v>0.95</v>
      </c>
      <c r="D38" s="56">
        <v>2.6612563971340846</v>
      </c>
      <c r="E38" s="56" t="s">
        <v>160</v>
      </c>
      <c r="F38" s="98">
        <v>1</v>
      </c>
      <c r="G38" s="98">
        <v>1</v>
      </c>
    </row>
    <row r="39" spans="1:7" ht="15.75" customHeight="1" x14ac:dyDescent="0.25">
      <c r="A39" s="5" t="s">
        <v>193</v>
      </c>
      <c r="B39" s="45">
        <v>0</v>
      </c>
      <c r="C39" s="98">
        <v>0.95</v>
      </c>
      <c r="D39" s="56">
        <v>3.43</v>
      </c>
      <c r="E39" s="56" t="s">
        <v>160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tabSelected="1"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149</v>
      </c>
      <c r="B1" s="4" t="s">
        <v>194</v>
      </c>
      <c r="C1" s="4" t="s">
        <v>195</v>
      </c>
    </row>
    <row r="2" spans="1:3" x14ac:dyDescent="0.25">
      <c r="A2" s="57" t="s">
        <v>172</v>
      </c>
      <c r="B2" s="47" t="s">
        <v>182</v>
      </c>
      <c r="C2" s="47"/>
    </row>
    <row r="3" spans="1:3" x14ac:dyDescent="0.25">
      <c r="A3" s="57" t="s">
        <v>173</v>
      </c>
      <c r="B3" s="47" t="s">
        <v>182</v>
      </c>
      <c r="C3" s="47"/>
    </row>
    <row r="4" spans="1:3" x14ac:dyDescent="0.25">
      <c r="A4" s="57" t="s">
        <v>184</v>
      </c>
      <c r="B4" s="47" t="s">
        <v>177</v>
      </c>
      <c r="C4" s="47"/>
    </row>
    <row r="5" spans="1:3" x14ac:dyDescent="0.25">
      <c r="A5" s="57" t="s">
        <v>184</v>
      </c>
      <c r="B5" s="47" t="s">
        <v>185</v>
      </c>
      <c r="C5" s="47"/>
    </row>
    <row r="6" spans="1:3" x14ac:dyDescent="0.25">
      <c r="A6" s="57" t="s">
        <v>181</v>
      </c>
      <c r="B6" s="58" t="s">
        <v>185</v>
      </c>
      <c r="C6" s="58"/>
    </row>
    <row r="7" spans="1:3" x14ac:dyDescent="0.25">
      <c r="A7" s="57" t="s">
        <v>193</v>
      </c>
      <c r="B7" s="58" t="s">
        <v>185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149</v>
      </c>
    </row>
    <row r="2" spans="1:1" x14ac:dyDescent="0.25">
      <c r="A2" s="33" t="s">
        <v>164</v>
      </c>
    </row>
    <row r="3" spans="1:1" x14ac:dyDescent="0.25">
      <c r="A3" s="33" t="s">
        <v>174</v>
      </c>
    </row>
    <row r="4" spans="1:1" x14ac:dyDescent="0.25">
      <c r="A4" s="33" t="s">
        <v>178</v>
      </c>
    </row>
    <row r="5" spans="1:1" x14ac:dyDescent="0.25">
      <c r="A5" s="33" t="s">
        <v>187</v>
      </c>
    </row>
    <row r="6" spans="1:1" x14ac:dyDescent="0.25">
      <c r="A6" s="33" t="s">
        <v>188</v>
      </c>
    </row>
    <row r="7" spans="1:1" x14ac:dyDescent="0.25">
      <c r="A7" s="33" t="s">
        <v>189</v>
      </c>
    </row>
    <row r="8" spans="1:1" x14ac:dyDescent="0.25">
      <c r="A8" s="33" t="s">
        <v>190</v>
      </c>
    </row>
    <row r="9" spans="1:1" x14ac:dyDescent="0.25">
      <c r="A9" s="33" t="s">
        <v>191</v>
      </c>
    </row>
    <row r="10" spans="1:1" x14ac:dyDescent="0.25">
      <c r="A10" s="33" t="s">
        <v>150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196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7.1760000000000002</v>
      </c>
      <c r="C2" s="21">
        <f>'Baseline year population inputs'!C52</f>
        <v>7.1760000000000002</v>
      </c>
      <c r="D2" s="21">
        <f>'Baseline year population inputs'!C53</f>
        <v>11.622</v>
      </c>
      <c r="E2" s="21">
        <f>'Baseline year population inputs'!C54</f>
        <v>11.986000000000001</v>
      </c>
      <c r="F2" s="21">
        <f>'Baseline year population inputs'!C55</f>
        <v>6.3526666666666678</v>
      </c>
    </row>
    <row r="3" spans="1:6" ht="15.75" customHeight="1" x14ac:dyDescent="0.25">
      <c r="A3" s="3" t="s">
        <v>197</v>
      </c>
      <c r="B3" s="21">
        <f>frac_mam_1month * 2.6</f>
        <v>0.28287662000000002</v>
      </c>
      <c r="C3" s="21">
        <f>frac_mam_1_5months * 2.6</f>
        <v>0.28287662000000002</v>
      </c>
      <c r="D3" s="21">
        <f>frac_mam_6_11months * 2.6</f>
        <v>0.38958035999999996</v>
      </c>
      <c r="E3" s="21">
        <f>frac_mam_12_23months * 2.6</f>
        <v>0.35258417999999997</v>
      </c>
      <c r="F3" s="21">
        <f>frac_mam_24_59months * 2.6</f>
        <v>0.24604996000000001</v>
      </c>
    </row>
    <row r="4" spans="1:6" ht="15.75" customHeight="1" x14ac:dyDescent="0.25">
      <c r="A4" s="3" t="s">
        <v>198</v>
      </c>
      <c r="B4" s="21">
        <f>frac_sam_1month * 2.6</f>
        <v>0.23901852000000001</v>
      </c>
      <c r="C4" s="21">
        <f>frac_sam_1_5months * 2.6</f>
        <v>0.23901852000000001</v>
      </c>
      <c r="D4" s="21">
        <f>frac_sam_6_11months * 2.6</f>
        <v>0.26478997999999998</v>
      </c>
      <c r="E4" s="21">
        <f>frac_sam_12_23months * 2.6</f>
        <v>0.16372720000000002</v>
      </c>
      <c r="F4" s="21">
        <f>frac_sam_24_59months * 2.6</f>
        <v>9.3341560000000004E-2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162</v>
      </c>
      <c r="C2" s="60">
        <v>0</v>
      </c>
      <c r="D2" s="60">
        <v>0</v>
      </c>
      <c r="E2" s="60">
        <f>food_insecure</f>
        <v>0.48599999999999999</v>
      </c>
      <c r="F2" s="60">
        <f>food_insecure</f>
        <v>0.48599999999999999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163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176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177</v>
      </c>
      <c r="C5" s="60">
        <v>0</v>
      </c>
      <c r="D5" s="60">
        <v>0</v>
      </c>
      <c r="E5" s="60">
        <f>food_insecure</f>
        <v>0.48599999999999999</v>
      </c>
      <c r="F5" s="60">
        <f>food_insecure</f>
        <v>0.48599999999999999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181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183</v>
      </c>
      <c r="C7" s="60">
        <f>diarrhoea_1mo*frac_diarrhea_severe</f>
        <v>0.14846896551724137</v>
      </c>
      <c r="D7" s="60">
        <f>diarrhoea_1_5mo*frac_diarrhea_severe</f>
        <v>0.14846896551724137</v>
      </c>
      <c r="E7" s="60">
        <f>diarrhoea_6_11mo*frac_diarrhea_severe</f>
        <v>0.24045517241379305</v>
      </c>
      <c r="F7" s="60">
        <f>diarrhoea_12_23mo*frac_diarrhea_severe</f>
        <v>0.24798620689655168</v>
      </c>
      <c r="G7" s="60">
        <f>diarrhoea_24_59mo*frac_diarrhea_severe</f>
        <v>0.13143448275862069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184</v>
      </c>
      <c r="C8" s="60">
        <v>0</v>
      </c>
      <c r="D8" s="60">
        <v>0</v>
      </c>
      <c r="E8" s="60">
        <f>food_insecure</f>
        <v>0.48599999999999999</v>
      </c>
      <c r="F8" s="60">
        <f>food_insecure</f>
        <v>0.48599999999999999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185</v>
      </c>
      <c r="C9" s="60">
        <v>0</v>
      </c>
      <c r="D9" s="60">
        <v>0</v>
      </c>
      <c r="E9" s="60">
        <f>food_insecure</f>
        <v>0.48599999999999999</v>
      </c>
      <c r="F9" s="60">
        <f>food_insecure</f>
        <v>0.48599999999999999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186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192</v>
      </c>
      <c r="C12" s="60">
        <f>diarrhoea_1mo*frac_diarrhea_severe</f>
        <v>0.14846896551724137</v>
      </c>
      <c r="D12" s="60">
        <f>diarrhoea_1_5mo*frac_diarrhea_severe</f>
        <v>0.14846896551724137</v>
      </c>
      <c r="E12" s="60">
        <f>diarrhoea_6_11mo*frac_diarrhea_severe</f>
        <v>0.24045517241379305</v>
      </c>
      <c r="F12" s="60">
        <f>diarrhoea_12_23mo*frac_diarrhea_severe</f>
        <v>0.24798620689655168</v>
      </c>
      <c r="G12" s="60">
        <f>diarrhoea_24_59mo*frac_diarrhea_severe</f>
        <v>0.13143448275862069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193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159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0.48599999999999999</v>
      </c>
      <c r="I15" s="60">
        <f t="shared" si="0"/>
        <v>0.48599999999999999</v>
      </c>
      <c r="J15" s="60">
        <f t="shared" si="0"/>
        <v>0.48599999999999999</v>
      </c>
      <c r="K15" s="60">
        <f t="shared" si="0"/>
        <v>0.48599999999999999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161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0.48599999999999999</v>
      </c>
      <c r="I16" s="60">
        <f t="shared" si="0"/>
        <v>0.48599999999999999</v>
      </c>
      <c r="J16" s="60">
        <f t="shared" si="0"/>
        <v>0.48599999999999999</v>
      </c>
      <c r="K16" s="60">
        <f t="shared" si="0"/>
        <v>0.48599999999999999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172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173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174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0.47</v>
      </c>
      <c r="I19" s="60">
        <f>frac_malaria_risk</f>
        <v>0.47</v>
      </c>
      <c r="J19" s="60">
        <f>frac_malaria_risk</f>
        <v>0.47</v>
      </c>
      <c r="K19" s="60">
        <f>frac_malaria_risk</f>
        <v>0.47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179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180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182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200</v>
      </c>
      <c r="B24" s="11" t="s">
        <v>164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0.53100000000000003</v>
      </c>
      <c r="M24" s="60">
        <f>famplan_unmet_need</f>
        <v>0.53100000000000003</v>
      </c>
      <c r="N24" s="60">
        <f>famplan_unmet_need</f>
        <v>0.53100000000000003</v>
      </c>
      <c r="O24" s="60">
        <f>famplan_unmet_need</f>
        <v>0.53100000000000003</v>
      </c>
    </row>
    <row r="25" spans="1:15" ht="15.75" customHeight="1" x14ac:dyDescent="0.25">
      <c r="B25" s="11" t="s">
        <v>168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0.35408124617600001</v>
      </c>
      <c r="M25" s="60">
        <f>(1-food_insecure)*(0.49)+food_insecure*(0.7)</f>
        <v>0.59206000000000003</v>
      </c>
      <c r="N25" s="60">
        <f>(1-food_insecure)*(0.49)+food_insecure*(0.7)</f>
        <v>0.59206000000000003</v>
      </c>
      <c r="O25" s="60">
        <f>(1-food_insecure)*(0.49)+food_insecure*(0.7)</f>
        <v>0.59206000000000003</v>
      </c>
    </row>
    <row r="26" spans="1:15" ht="15.75" customHeight="1" x14ac:dyDescent="0.25">
      <c r="B26" s="11" t="s">
        <v>169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0.15174910550399998</v>
      </c>
      <c r="M26" s="60">
        <f>(1-food_insecure)*(0.21)+food_insecure*(0.3)</f>
        <v>0.25373999999999997</v>
      </c>
      <c r="N26" s="60">
        <f>(1-food_insecure)*(0.21)+food_insecure*(0.3)</f>
        <v>0.25373999999999997</v>
      </c>
      <c r="O26" s="60">
        <f>(1-food_insecure)*(0.21)+food_insecure*(0.3)</f>
        <v>0.25373999999999997</v>
      </c>
    </row>
    <row r="27" spans="1:15" ht="15.75" customHeight="1" x14ac:dyDescent="0.25">
      <c r="B27" s="11" t="s">
        <v>170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9.2219248320000002E-2</v>
      </c>
      <c r="M27" s="60">
        <f>(1-food_insecure)*(0.3)</f>
        <v>0.1542</v>
      </c>
      <c r="N27" s="60">
        <f>(1-food_insecure)*(0.3)</f>
        <v>0.1542</v>
      </c>
      <c r="O27" s="60">
        <f>(1-food_insecure)*(0.3)</f>
        <v>0.1542</v>
      </c>
    </row>
    <row r="28" spans="1:15" ht="15.75" customHeight="1" x14ac:dyDescent="0.25">
      <c r="B28" s="11" t="s">
        <v>171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0.40195039999999999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201</v>
      </c>
      <c r="B30" s="5" t="s">
        <v>165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166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167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175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178</v>
      </c>
      <c r="C34" s="60">
        <f t="shared" ref="C34:O34" si="4">frac_malaria_risk</f>
        <v>0.47</v>
      </c>
      <c r="D34" s="60">
        <f t="shared" si="4"/>
        <v>0.47</v>
      </c>
      <c r="E34" s="60">
        <f t="shared" si="4"/>
        <v>0.47</v>
      </c>
      <c r="F34" s="60">
        <f t="shared" si="4"/>
        <v>0.47</v>
      </c>
      <c r="G34" s="60">
        <f t="shared" si="4"/>
        <v>0.47</v>
      </c>
      <c r="H34" s="60">
        <f t="shared" si="4"/>
        <v>0.47</v>
      </c>
      <c r="I34" s="60">
        <f t="shared" si="4"/>
        <v>0.47</v>
      </c>
      <c r="J34" s="60">
        <f t="shared" si="4"/>
        <v>0.47</v>
      </c>
      <c r="K34" s="60">
        <f t="shared" si="4"/>
        <v>0.47</v>
      </c>
      <c r="L34" s="60">
        <f t="shared" si="4"/>
        <v>0.47</v>
      </c>
      <c r="M34" s="60">
        <f t="shared" si="4"/>
        <v>0.47</v>
      </c>
      <c r="N34" s="60">
        <f t="shared" si="4"/>
        <v>0.47</v>
      </c>
      <c r="O34" s="60">
        <f t="shared" si="4"/>
        <v>0.47</v>
      </c>
    </row>
    <row r="35" spans="2:15" ht="15.75" customHeight="1" x14ac:dyDescent="0.25">
      <c r="B35" s="9" t="s">
        <v>187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188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189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wgo7XNr2JxP7Ql6m5BNK+l9KamJ34r23Y5jz1XN8+N7E+d6W6TRCIB4CvUfkpfDjYoTdBm3j/AY5J0WTPLstYw==" saltValue="tqaBG9v2e2aE4iDDli/elQ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160</v>
      </c>
    </row>
    <row r="2" spans="1:1" x14ac:dyDescent="0.25">
      <c r="A2" s="8" t="s">
        <v>202</v>
      </c>
    </row>
    <row r="3" spans="1:1" x14ac:dyDescent="0.25">
      <c r="A3" s="8" t="s">
        <v>203</v>
      </c>
    </row>
    <row r="4" spans="1:1" x14ac:dyDescent="0.25">
      <c r="A4" s="8" t="s">
        <v>204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205</v>
      </c>
      <c r="B1" s="4" t="s">
        <v>206</v>
      </c>
      <c r="C1" s="4" t="s">
        <v>207</v>
      </c>
      <c r="D1" s="4" t="s">
        <v>135</v>
      </c>
      <c r="E1" s="4" t="s">
        <v>208</v>
      </c>
    </row>
    <row r="2" spans="1:5" ht="14" customHeight="1" x14ac:dyDescent="0.3">
      <c r="A2" s="28" t="s">
        <v>209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210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211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212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213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214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215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216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217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199</v>
      </c>
      <c r="B1" s="1" t="s">
        <v>149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162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163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144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145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176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177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181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183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184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185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186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193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159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161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172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173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174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179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182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200</v>
      </c>
      <c r="B27" s="5" t="s">
        <v>164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168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169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171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201</v>
      </c>
      <c r="B33" s="5" t="s">
        <v>165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166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167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175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178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187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188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189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149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15" t="s">
        <v>159</v>
      </c>
      <c r="B2" s="116"/>
      <c r="C2" s="116"/>
      <c r="D2" s="116"/>
      <c r="E2" s="116"/>
      <c r="F2" s="116"/>
      <c r="G2" s="116"/>
      <c r="H2" s="116"/>
      <c r="I2" s="116" t="s">
        <v>142</v>
      </c>
      <c r="J2" s="116"/>
      <c r="K2" s="116"/>
      <c r="L2" s="116"/>
    </row>
    <row r="3" spans="1:12" x14ac:dyDescent="0.25">
      <c r="A3" s="115" t="s">
        <v>161</v>
      </c>
      <c r="B3" s="116"/>
      <c r="C3" s="116"/>
      <c r="D3" s="116"/>
      <c r="E3" s="116"/>
      <c r="F3" s="116"/>
      <c r="G3" s="116"/>
      <c r="H3" s="116" t="s">
        <v>142</v>
      </c>
      <c r="I3" s="116" t="s">
        <v>142</v>
      </c>
      <c r="J3" s="116"/>
      <c r="K3" s="116"/>
      <c r="L3" s="116"/>
    </row>
    <row r="4" spans="1:12" x14ac:dyDescent="0.25">
      <c r="A4" s="115" t="s">
        <v>162</v>
      </c>
      <c r="B4" s="116" t="s">
        <v>142</v>
      </c>
      <c r="C4" s="116"/>
      <c r="D4" s="116" t="s">
        <v>142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163</v>
      </c>
      <c r="B5" s="116"/>
      <c r="C5" s="116" t="s">
        <v>142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164</v>
      </c>
      <c r="B6" s="116"/>
      <c r="C6" s="116"/>
      <c r="D6" s="116"/>
      <c r="E6" s="116"/>
      <c r="F6" s="116"/>
      <c r="G6" s="116"/>
      <c r="H6" s="116"/>
      <c r="I6" s="116"/>
      <c r="J6" s="116" t="s">
        <v>142</v>
      </c>
      <c r="K6" s="116" t="s">
        <v>142</v>
      </c>
      <c r="L6" s="116"/>
    </row>
    <row r="7" spans="1:12" x14ac:dyDescent="0.25">
      <c r="A7" s="115" t="s">
        <v>165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/>
      <c r="J7" s="116"/>
      <c r="K7" s="116"/>
      <c r="L7" s="116"/>
    </row>
    <row r="8" spans="1:12" x14ac:dyDescent="0.25">
      <c r="A8" s="115" t="s">
        <v>166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/>
      <c r="J8" s="116"/>
      <c r="K8" s="116"/>
      <c r="L8" s="116"/>
    </row>
    <row r="9" spans="1:12" x14ac:dyDescent="0.25">
      <c r="A9" s="115" t="s">
        <v>167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/>
      <c r="J9" s="116"/>
      <c r="K9" s="116"/>
      <c r="L9" s="116"/>
    </row>
    <row r="10" spans="1:12" x14ac:dyDescent="0.25">
      <c r="A10" s="115" t="s">
        <v>168</v>
      </c>
      <c r="B10" s="116"/>
      <c r="C10" s="116" t="s">
        <v>142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169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170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171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172</v>
      </c>
      <c r="B14" s="116"/>
      <c r="C14" s="116" t="s">
        <v>142</v>
      </c>
      <c r="D14" s="116"/>
      <c r="E14" s="116"/>
      <c r="F14" s="116"/>
      <c r="G14" s="116"/>
      <c r="H14" s="116"/>
      <c r="I14" s="116" t="s">
        <v>142</v>
      </c>
      <c r="J14" s="116"/>
      <c r="K14" s="116"/>
      <c r="L14" s="116"/>
    </row>
    <row r="15" spans="1:12" x14ac:dyDescent="0.25">
      <c r="A15" s="117" t="s">
        <v>173</v>
      </c>
      <c r="B15" s="116"/>
      <c r="C15" s="116" t="s">
        <v>142</v>
      </c>
      <c r="D15" s="116"/>
      <c r="E15" s="116"/>
      <c r="F15" s="116"/>
      <c r="G15" s="116"/>
      <c r="H15" s="116"/>
      <c r="I15" s="116" t="s">
        <v>142</v>
      </c>
      <c r="J15" s="116"/>
      <c r="K15" s="116"/>
      <c r="L15" s="116"/>
    </row>
    <row r="16" spans="1:12" x14ac:dyDescent="0.25">
      <c r="A16" s="115" t="s">
        <v>174</v>
      </c>
      <c r="B16" s="116"/>
      <c r="C16" s="116" t="s">
        <v>142</v>
      </c>
      <c r="D16" s="116"/>
      <c r="E16" s="116"/>
      <c r="F16" s="116"/>
      <c r="G16" s="116"/>
      <c r="H16" s="116" t="s">
        <v>142</v>
      </c>
      <c r="I16" s="116" t="s">
        <v>142</v>
      </c>
      <c r="J16" s="116"/>
      <c r="K16" s="116"/>
      <c r="L16" s="116"/>
    </row>
    <row r="17" spans="1:12" x14ac:dyDescent="0.25">
      <c r="A17" s="115" t="s">
        <v>175</v>
      </c>
      <c r="B17" s="116"/>
      <c r="C17" s="116" t="s">
        <v>142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141</v>
      </c>
      <c r="B18" s="116" t="s">
        <v>142</v>
      </c>
      <c r="C18" s="116"/>
      <c r="D18" s="116"/>
      <c r="E18" s="116"/>
      <c r="F18" s="116" t="s">
        <v>142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144</v>
      </c>
      <c r="B19" s="116" t="s">
        <v>142</v>
      </c>
      <c r="C19" s="116"/>
      <c r="D19" s="116"/>
      <c r="E19" s="116"/>
      <c r="F19" s="116" t="s">
        <v>142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145</v>
      </c>
      <c r="B20" s="116" t="s">
        <v>142</v>
      </c>
      <c r="C20" s="116"/>
      <c r="D20" s="116"/>
      <c r="E20" s="116"/>
      <c r="F20" s="116" t="s">
        <v>142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176</v>
      </c>
      <c r="B21" s="116"/>
      <c r="C21" s="116"/>
      <c r="D21" s="116"/>
      <c r="E21" s="116"/>
      <c r="F21" s="116"/>
      <c r="G21" s="116"/>
      <c r="H21" s="116" t="s">
        <v>142</v>
      </c>
      <c r="I21" s="116" t="s">
        <v>142</v>
      </c>
      <c r="J21" s="116"/>
      <c r="K21" s="116"/>
      <c r="L21" s="116"/>
    </row>
    <row r="22" spans="1:12" x14ac:dyDescent="0.25">
      <c r="A22" s="115" t="s">
        <v>177</v>
      </c>
      <c r="B22" s="116" t="s">
        <v>142</v>
      </c>
      <c r="C22" s="116" t="s">
        <v>142</v>
      </c>
      <c r="D22" s="116" t="s">
        <v>142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178</v>
      </c>
      <c r="B23" s="116"/>
      <c r="C23" s="116" t="s">
        <v>142</v>
      </c>
      <c r="D23" s="116"/>
      <c r="E23" s="116"/>
      <c r="F23" s="116"/>
      <c r="G23" s="116"/>
      <c r="H23" s="116"/>
      <c r="I23" s="116" t="s">
        <v>142</v>
      </c>
      <c r="J23" s="116"/>
      <c r="K23" s="116"/>
      <c r="L23" s="116"/>
    </row>
    <row r="24" spans="1:12" x14ac:dyDescent="0.25">
      <c r="A24" s="115" t="s">
        <v>179</v>
      </c>
      <c r="B24" s="116"/>
      <c r="C24" s="116"/>
      <c r="D24" s="116"/>
      <c r="E24" s="116"/>
      <c r="F24" s="116"/>
      <c r="G24" s="116"/>
      <c r="H24" s="116" t="s">
        <v>142</v>
      </c>
      <c r="I24" s="116"/>
      <c r="J24" s="116"/>
      <c r="K24" s="116"/>
      <c r="L24" s="116"/>
    </row>
    <row r="25" spans="1:12" x14ac:dyDescent="0.25">
      <c r="A25" s="115" t="s">
        <v>180</v>
      </c>
      <c r="B25" s="116"/>
      <c r="C25" s="116"/>
      <c r="D25" s="116"/>
      <c r="E25" s="116"/>
      <c r="F25" s="116"/>
      <c r="G25" s="116"/>
      <c r="H25" s="116" t="s">
        <v>142</v>
      </c>
      <c r="I25" s="116"/>
      <c r="J25" s="116"/>
      <c r="K25" s="116"/>
      <c r="L25" s="116"/>
    </row>
    <row r="26" spans="1:12" x14ac:dyDescent="0.25">
      <c r="A26" s="115" t="s">
        <v>181</v>
      </c>
      <c r="B26" s="116"/>
      <c r="C26" s="116" t="s">
        <v>142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182</v>
      </c>
      <c r="B27" s="116"/>
      <c r="C27" s="116" t="s">
        <v>142</v>
      </c>
      <c r="D27" s="116"/>
      <c r="E27" s="116"/>
      <c r="F27" s="116"/>
      <c r="G27" s="116"/>
      <c r="H27" s="116"/>
      <c r="I27" s="116" t="s">
        <v>142</v>
      </c>
      <c r="J27" s="116"/>
      <c r="K27" s="116"/>
      <c r="L27" s="116" t="s">
        <v>142</v>
      </c>
    </row>
    <row r="28" spans="1:12" x14ac:dyDescent="0.25">
      <c r="A28" s="115" t="s">
        <v>183</v>
      </c>
      <c r="B28" s="116"/>
      <c r="C28" s="116"/>
      <c r="D28" s="116"/>
      <c r="E28" s="116"/>
      <c r="F28" s="116"/>
      <c r="G28" s="116"/>
      <c r="H28" s="116" t="s">
        <v>142</v>
      </c>
      <c r="I28" s="116"/>
      <c r="J28" s="116"/>
      <c r="K28" s="116"/>
      <c r="L28" s="116"/>
    </row>
    <row r="29" spans="1:12" x14ac:dyDescent="0.25">
      <c r="A29" s="115" t="s">
        <v>184</v>
      </c>
      <c r="B29" s="116" t="s">
        <v>142</v>
      </c>
      <c r="C29" s="116"/>
      <c r="D29" s="116" t="s">
        <v>142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185</v>
      </c>
      <c r="B30" s="116" t="s">
        <v>142</v>
      </c>
      <c r="C30" s="116" t="s">
        <v>142</v>
      </c>
      <c r="D30" s="116" t="s">
        <v>142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150</v>
      </c>
      <c r="B31" s="116"/>
      <c r="C31" s="116"/>
      <c r="D31" s="116"/>
      <c r="E31" s="116" t="s">
        <v>142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186</v>
      </c>
      <c r="B32" s="116"/>
      <c r="C32" s="116"/>
      <c r="D32" s="116"/>
      <c r="E32" s="116"/>
      <c r="F32" s="116"/>
      <c r="G32" s="116" t="s">
        <v>142</v>
      </c>
      <c r="H32" s="116" t="s">
        <v>142</v>
      </c>
      <c r="I32" s="116"/>
      <c r="J32" s="116"/>
      <c r="K32" s="116"/>
      <c r="L32" s="116"/>
    </row>
    <row r="33" spans="1:12" x14ac:dyDescent="0.25">
      <c r="A33" s="115" t="s">
        <v>187</v>
      </c>
      <c r="B33" s="116"/>
      <c r="C33" s="116"/>
      <c r="D33" s="116"/>
      <c r="E33" s="116"/>
      <c r="F33" s="116"/>
      <c r="G33" s="116" t="s">
        <v>142</v>
      </c>
      <c r="H33" s="116" t="s">
        <v>142</v>
      </c>
      <c r="I33" s="116"/>
      <c r="J33" s="116"/>
      <c r="K33" s="116"/>
      <c r="L33" s="116"/>
    </row>
    <row r="34" spans="1:12" x14ac:dyDescent="0.25">
      <c r="A34" s="115" t="s">
        <v>188</v>
      </c>
      <c r="B34" s="116"/>
      <c r="C34" s="116"/>
      <c r="D34" s="116"/>
      <c r="E34" s="116"/>
      <c r="F34" s="116"/>
      <c r="G34" s="116" t="s">
        <v>142</v>
      </c>
      <c r="H34" s="116" t="s">
        <v>142</v>
      </c>
      <c r="I34" s="116"/>
      <c r="J34" s="116"/>
      <c r="K34" s="116"/>
      <c r="L34" s="116"/>
    </row>
    <row r="35" spans="1:12" x14ac:dyDescent="0.25">
      <c r="A35" s="115" t="s">
        <v>189</v>
      </c>
      <c r="B35" s="116"/>
      <c r="C35" s="116"/>
      <c r="D35" s="116"/>
      <c r="E35" s="116"/>
      <c r="F35" s="116"/>
      <c r="G35" s="116" t="s">
        <v>142</v>
      </c>
      <c r="H35" s="116" t="s">
        <v>142</v>
      </c>
      <c r="I35" s="116"/>
      <c r="J35" s="116"/>
      <c r="K35" s="116"/>
      <c r="L35" s="116"/>
    </row>
    <row r="36" spans="1:12" x14ac:dyDescent="0.25">
      <c r="A36" s="115" t="s">
        <v>190</v>
      </c>
      <c r="B36" s="116"/>
      <c r="C36" s="116"/>
      <c r="D36" s="116"/>
      <c r="E36" s="116"/>
      <c r="F36" s="116"/>
      <c r="G36" s="116" t="s">
        <v>142</v>
      </c>
      <c r="H36" s="116" t="s">
        <v>142</v>
      </c>
      <c r="I36" s="116"/>
      <c r="J36" s="116"/>
      <c r="K36" s="116"/>
      <c r="L36" s="116"/>
    </row>
    <row r="37" spans="1:12" x14ac:dyDescent="0.25">
      <c r="A37" s="115" t="s">
        <v>191</v>
      </c>
      <c r="B37" s="116"/>
      <c r="C37" s="116"/>
      <c r="D37" s="116"/>
      <c r="E37" s="116"/>
      <c r="F37" s="116"/>
      <c r="G37" s="116" t="s">
        <v>142</v>
      </c>
      <c r="H37" s="116" t="s">
        <v>142</v>
      </c>
      <c r="I37" s="116"/>
      <c r="J37" s="116"/>
      <c r="K37" s="116"/>
      <c r="L37" s="116"/>
    </row>
    <row r="38" spans="1:12" x14ac:dyDescent="0.25">
      <c r="A38" s="115" t="s">
        <v>192</v>
      </c>
      <c r="B38" s="116"/>
      <c r="C38" s="116"/>
      <c r="D38" s="116"/>
      <c r="E38" s="116"/>
      <c r="F38" s="116"/>
      <c r="G38" s="116"/>
      <c r="H38" s="116" t="s">
        <v>142</v>
      </c>
      <c r="I38" s="116"/>
      <c r="J38" s="116"/>
      <c r="K38" s="116"/>
      <c r="L38" s="116"/>
    </row>
    <row r="39" spans="1:12" x14ac:dyDescent="0.25">
      <c r="A39" s="115" t="s">
        <v>193</v>
      </c>
      <c r="B39" s="116" t="s">
        <v>142</v>
      </c>
      <c r="C39" s="116"/>
      <c r="D39" s="116"/>
      <c r="E39" s="116"/>
      <c r="F39" s="116"/>
      <c r="G39" s="116" t="s">
        <v>142</v>
      </c>
      <c r="H39" s="116" t="s">
        <v>142</v>
      </c>
      <c r="I39" s="116"/>
      <c r="J39" s="116"/>
      <c r="K39" s="116"/>
      <c r="L39" s="116"/>
    </row>
  </sheetData>
  <sheetProtection algorithmName="SHA-512" hashValue="PpWpoVdW19iDLvJ4e413CflgKwgDbvZhfHAZSGUGkQQ6+V9HnAOWg+p+gaHwieH6gthkRXdIc9tFKvP2sDftrA==" saltValue="6DJdExNkvnNmcHBrJ/VGB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H15" sqref="H15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223</v>
      </c>
      <c r="B1" s="108" t="s">
        <v>218</v>
      </c>
      <c r="C1" s="108" t="s">
        <v>111</v>
      </c>
      <c r="D1" s="108" t="s">
        <v>219</v>
      </c>
      <c r="E1" s="108" t="s">
        <v>220</v>
      </c>
      <c r="F1" s="108" t="s">
        <v>118</v>
      </c>
      <c r="G1" s="108" t="s">
        <v>81</v>
      </c>
      <c r="H1" s="108" t="s">
        <v>32</v>
      </c>
      <c r="I1" s="108" t="s">
        <v>221</v>
      </c>
      <c r="J1" s="108" t="s">
        <v>25</v>
      </c>
      <c r="K1" s="108" t="s">
        <v>222</v>
      </c>
      <c r="L1" s="108" t="s">
        <v>369</v>
      </c>
    </row>
    <row r="2" spans="1:12" x14ac:dyDescent="0.25">
      <c r="A2" s="108" t="s">
        <v>67</v>
      </c>
      <c r="B2" s="116" t="s">
        <v>142</v>
      </c>
      <c r="C2" s="116" t="s">
        <v>142</v>
      </c>
      <c r="D2" s="116" t="s">
        <v>142</v>
      </c>
      <c r="E2" s="116" t="s">
        <v>142</v>
      </c>
      <c r="F2" s="116" t="s">
        <v>142</v>
      </c>
      <c r="G2" s="116" t="s">
        <v>142</v>
      </c>
      <c r="H2" s="116" t="s">
        <v>142</v>
      </c>
      <c r="I2" s="116"/>
      <c r="J2" s="116"/>
      <c r="K2" s="116"/>
      <c r="L2" s="116"/>
    </row>
    <row r="3" spans="1:12" x14ac:dyDescent="0.25">
      <c r="A3" s="108" t="s">
        <v>77</v>
      </c>
      <c r="B3" s="116" t="s">
        <v>142</v>
      </c>
      <c r="C3" s="116" t="s">
        <v>142</v>
      </c>
      <c r="D3" s="116" t="s">
        <v>142</v>
      </c>
      <c r="E3" s="116" t="s">
        <v>142</v>
      </c>
      <c r="F3" s="116" t="s">
        <v>142</v>
      </c>
      <c r="G3" s="116" t="s">
        <v>142</v>
      </c>
      <c r="H3" s="116" t="s">
        <v>142</v>
      </c>
      <c r="I3" s="116"/>
      <c r="J3" s="116"/>
      <c r="K3" s="116"/>
      <c r="L3" s="116"/>
    </row>
    <row r="4" spans="1:12" x14ac:dyDescent="0.25">
      <c r="A4" s="108" t="s">
        <v>78</v>
      </c>
      <c r="B4" s="116" t="s">
        <v>142</v>
      </c>
      <c r="C4" s="116" t="s">
        <v>142</v>
      </c>
      <c r="D4" s="116" t="s">
        <v>142</v>
      </c>
      <c r="E4" s="116" t="s">
        <v>142</v>
      </c>
      <c r="F4" s="116" t="s">
        <v>142</v>
      </c>
      <c r="G4" s="116" t="s">
        <v>142</v>
      </c>
      <c r="H4" s="116" t="s">
        <v>142</v>
      </c>
      <c r="I4" s="116"/>
      <c r="J4" s="116"/>
      <c r="K4" s="116"/>
      <c r="L4" s="116"/>
    </row>
    <row r="5" spans="1:12" x14ac:dyDescent="0.25">
      <c r="A5" s="108" t="s">
        <v>79</v>
      </c>
      <c r="B5" s="116" t="s">
        <v>142</v>
      </c>
      <c r="C5" s="116" t="s">
        <v>142</v>
      </c>
      <c r="D5" s="116" t="s">
        <v>142</v>
      </c>
      <c r="E5" s="116" t="s">
        <v>142</v>
      </c>
      <c r="F5" s="116" t="s">
        <v>142</v>
      </c>
      <c r="G5" s="116" t="s">
        <v>142</v>
      </c>
      <c r="H5" s="116" t="s">
        <v>142</v>
      </c>
      <c r="I5" s="116"/>
      <c r="J5" s="116"/>
      <c r="K5" s="116"/>
      <c r="L5" s="116"/>
    </row>
    <row r="6" spans="1:12" x14ac:dyDescent="0.25">
      <c r="A6" s="108" t="s">
        <v>80</v>
      </c>
      <c r="B6" s="116" t="s">
        <v>142</v>
      </c>
      <c r="C6" s="116" t="s">
        <v>142</v>
      </c>
      <c r="D6" s="116" t="s">
        <v>142</v>
      </c>
      <c r="E6" s="116" t="s">
        <v>142</v>
      </c>
      <c r="F6" s="116" t="s">
        <v>142</v>
      </c>
      <c r="G6" s="116" t="s">
        <v>142</v>
      </c>
      <c r="H6" s="116" t="s">
        <v>142</v>
      </c>
      <c r="I6" s="116"/>
      <c r="J6" s="116"/>
      <c r="K6" s="116"/>
      <c r="L6" s="116"/>
    </row>
    <row r="7" spans="1:12" x14ac:dyDescent="0.25">
      <c r="A7" s="108" t="s">
        <v>112</v>
      </c>
      <c r="B7" s="116"/>
      <c r="C7" s="116" t="s">
        <v>142</v>
      </c>
      <c r="D7" s="116"/>
      <c r="E7" s="116"/>
      <c r="F7" s="116"/>
      <c r="G7" s="116"/>
      <c r="H7" s="116" t="s">
        <v>142</v>
      </c>
      <c r="I7" s="116" t="s">
        <v>142</v>
      </c>
      <c r="J7" s="116"/>
      <c r="K7" s="116"/>
      <c r="L7" s="116" t="s">
        <v>142</v>
      </c>
    </row>
    <row r="8" spans="1:12" x14ac:dyDescent="0.25">
      <c r="A8" s="108" t="s">
        <v>113</v>
      </c>
      <c r="B8" s="116"/>
      <c r="C8" s="116" t="s">
        <v>142</v>
      </c>
      <c r="D8" s="116"/>
      <c r="E8" s="116"/>
      <c r="F8" s="116"/>
      <c r="G8" s="116"/>
      <c r="H8" s="116" t="s">
        <v>142</v>
      </c>
      <c r="I8" s="116" t="s">
        <v>142</v>
      </c>
      <c r="J8" s="116"/>
      <c r="K8" s="116"/>
      <c r="L8" s="116" t="s">
        <v>142</v>
      </c>
    </row>
    <row r="9" spans="1:12" x14ac:dyDescent="0.25">
      <c r="A9" s="108" t="s">
        <v>114</v>
      </c>
      <c r="B9" s="116"/>
      <c r="C9" s="116" t="s">
        <v>142</v>
      </c>
      <c r="D9" s="116"/>
      <c r="E9" s="116"/>
      <c r="F9" s="116"/>
      <c r="G9" s="116"/>
      <c r="H9" s="116" t="s">
        <v>142</v>
      </c>
      <c r="I9" s="116" t="s">
        <v>142</v>
      </c>
      <c r="J9" s="116"/>
      <c r="K9" s="116"/>
      <c r="L9" s="116" t="s">
        <v>142</v>
      </c>
    </row>
    <row r="10" spans="1:12" x14ac:dyDescent="0.25">
      <c r="A10" s="108" t="s">
        <v>115</v>
      </c>
      <c r="B10" s="116"/>
      <c r="C10" s="116" t="s">
        <v>142</v>
      </c>
      <c r="D10" s="116"/>
      <c r="E10" s="116"/>
      <c r="F10" s="116"/>
      <c r="G10" s="116"/>
      <c r="H10" s="116" t="s">
        <v>142</v>
      </c>
      <c r="I10" s="116" t="s">
        <v>142</v>
      </c>
      <c r="J10" s="116"/>
      <c r="K10" s="116"/>
      <c r="L10" s="116" t="s">
        <v>142</v>
      </c>
    </row>
    <row r="11" spans="1:12" x14ac:dyDescent="0.25">
      <c r="A11" s="108" t="s">
        <v>58</v>
      </c>
      <c r="B11" s="116"/>
      <c r="C11" s="116" t="s">
        <v>142</v>
      </c>
      <c r="D11" s="116"/>
      <c r="E11" s="116"/>
      <c r="F11" s="116"/>
      <c r="G11" s="116"/>
      <c r="H11" s="116"/>
      <c r="I11" s="116"/>
      <c r="J11" s="116" t="s">
        <v>142</v>
      </c>
      <c r="K11" s="116" t="s">
        <v>142</v>
      </c>
      <c r="L11" s="116"/>
    </row>
    <row r="12" spans="1:12" x14ac:dyDescent="0.25">
      <c r="A12" s="108" t="s">
        <v>59</v>
      </c>
      <c r="B12" s="116"/>
      <c r="C12" s="116" t="s">
        <v>142</v>
      </c>
      <c r="D12" s="116"/>
      <c r="E12" s="116"/>
      <c r="F12" s="116"/>
      <c r="G12" s="116"/>
      <c r="H12" s="116"/>
      <c r="I12" s="116"/>
      <c r="J12" s="116"/>
      <c r="K12" s="116" t="s">
        <v>142</v>
      </c>
      <c r="L12" s="116"/>
    </row>
    <row r="13" spans="1:12" x14ac:dyDescent="0.25">
      <c r="A13" s="108" t="s">
        <v>60</v>
      </c>
      <c r="B13" s="116"/>
      <c r="C13" s="116" t="s">
        <v>142</v>
      </c>
      <c r="D13" s="116"/>
      <c r="E13" s="116"/>
      <c r="F13" s="116"/>
      <c r="G13" s="116"/>
      <c r="H13" s="116"/>
      <c r="I13" s="116"/>
      <c r="J13" s="116"/>
      <c r="K13" s="116" t="s">
        <v>142</v>
      </c>
      <c r="L13" s="116"/>
    </row>
    <row r="14" spans="1:12" x14ac:dyDescent="0.25">
      <c r="A14" s="108" t="s">
        <v>61</v>
      </c>
      <c r="B14" s="116"/>
      <c r="C14" s="116" t="s">
        <v>142</v>
      </c>
      <c r="D14" s="116"/>
      <c r="E14" s="116"/>
      <c r="F14" s="116"/>
      <c r="G14" s="116"/>
      <c r="H14" s="116"/>
      <c r="I14" s="116"/>
      <c r="J14" s="116"/>
      <c r="K14" s="116" t="s">
        <v>142</v>
      </c>
      <c r="L14" s="116"/>
    </row>
  </sheetData>
  <sheetProtection algorithmName="SHA-512" hashValue="f7+GSWgBQp+zgIaGbRM8MuvAIXAsNljN3lrWAwu/eaytrp/6A4IYhPB4cLjzfMvTXu/5ocIYRO7yO0TVFGYCnw==" saltValue="wnJyf+RW4qQkik6uRZECIg==" spinCount="100000" sheet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224</v>
      </c>
      <c r="B1" s="4" t="s">
        <v>137</v>
      </c>
      <c r="C1" s="4" t="s">
        <v>152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x14ac:dyDescent="0.3">
      <c r="A2" s="4" t="s">
        <v>225</v>
      </c>
      <c r="B2" s="125" t="s">
        <v>90</v>
      </c>
      <c r="C2" s="8" t="s">
        <v>138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139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140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67</v>
      </c>
      <c r="C5" s="8" t="s">
        <v>138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139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140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77</v>
      </c>
      <c r="C8" s="8" t="s">
        <v>138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139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140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78</v>
      </c>
      <c r="C11" s="8" t="s">
        <v>138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139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140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79</v>
      </c>
      <c r="C14" s="8" t="s">
        <v>138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139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140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143</v>
      </c>
      <c r="C17" s="8" t="s">
        <v>140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226</v>
      </c>
      <c r="B19" s="125" t="s">
        <v>90</v>
      </c>
      <c r="C19" s="8" t="s">
        <v>138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139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140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67</v>
      </c>
      <c r="C22" s="8" t="s">
        <v>138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139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140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77</v>
      </c>
      <c r="C25" s="8" t="s">
        <v>138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139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140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78</v>
      </c>
      <c r="C28" s="8" t="s">
        <v>138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139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140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79</v>
      </c>
      <c r="C31" s="8" t="s">
        <v>138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139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140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143</v>
      </c>
      <c r="C34" s="8" t="s">
        <v>140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227</v>
      </c>
      <c r="B36" s="125" t="s">
        <v>90</v>
      </c>
      <c r="C36" s="8" t="s">
        <v>138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139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140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67</v>
      </c>
      <c r="C39" s="8" t="s">
        <v>138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139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140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77</v>
      </c>
      <c r="C42" s="8" t="s">
        <v>138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139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140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78</v>
      </c>
      <c r="C45" s="8" t="s">
        <v>138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139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140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79</v>
      </c>
      <c r="C48" s="8" t="s">
        <v>138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139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140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143</v>
      </c>
      <c r="C51" s="8" t="s">
        <v>140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228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224</v>
      </c>
      <c r="B54" s="4" t="s">
        <v>137</v>
      </c>
      <c r="C54" s="4" t="s">
        <v>152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x14ac:dyDescent="0.3">
      <c r="A55" s="4" t="s">
        <v>229</v>
      </c>
      <c r="B55" s="125" t="s">
        <v>90</v>
      </c>
      <c r="C55" s="8" t="s">
        <v>138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139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140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67</v>
      </c>
      <c r="C58" s="8" t="s">
        <v>138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139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140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77</v>
      </c>
      <c r="C61" s="8" t="s">
        <v>138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139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140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78</v>
      </c>
      <c r="C64" s="8" t="s">
        <v>138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139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140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79</v>
      </c>
      <c r="C67" s="8" t="s">
        <v>138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139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140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143</v>
      </c>
      <c r="C70" s="8" t="s">
        <v>140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230</v>
      </c>
      <c r="B72" s="125" t="s">
        <v>90</v>
      </c>
      <c r="C72" s="8" t="s">
        <v>138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139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140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67</v>
      </c>
      <c r="C75" s="8" t="s">
        <v>138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139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140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77</v>
      </c>
      <c r="C78" s="8" t="s">
        <v>138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139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140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78</v>
      </c>
      <c r="C81" s="8" t="s">
        <v>138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139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140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79</v>
      </c>
      <c r="C84" s="8" t="s">
        <v>138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139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140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143</v>
      </c>
      <c r="C87" s="8" t="s">
        <v>140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231</v>
      </c>
      <c r="B89" s="125" t="s">
        <v>90</v>
      </c>
      <c r="C89" s="8" t="s">
        <v>138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139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140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67</v>
      </c>
      <c r="C92" s="8" t="s">
        <v>138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139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140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77</v>
      </c>
      <c r="C95" s="8" t="s">
        <v>138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139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140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78</v>
      </c>
      <c r="C98" s="8" t="s">
        <v>138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139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140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79</v>
      </c>
      <c r="C101" s="8" t="s">
        <v>138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139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140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143</v>
      </c>
      <c r="C104" s="8" t="s">
        <v>140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232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224</v>
      </c>
      <c r="B107" s="4" t="s">
        <v>137</v>
      </c>
      <c r="C107" s="4" t="s">
        <v>152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x14ac:dyDescent="0.3">
      <c r="A108" s="4" t="s">
        <v>233</v>
      </c>
      <c r="B108" s="125" t="s">
        <v>90</v>
      </c>
      <c r="C108" s="8" t="s">
        <v>138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139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140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67</v>
      </c>
      <c r="C111" s="8" t="s">
        <v>138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139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140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77</v>
      </c>
      <c r="C114" s="8" t="s">
        <v>138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139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140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78</v>
      </c>
      <c r="C117" s="8" t="s">
        <v>138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139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140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79</v>
      </c>
      <c r="C120" s="8" t="s">
        <v>138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139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140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143</v>
      </c>
      <c r="C123" s="8" t="s">
        <v>140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234</v>
      </c>
      <c r="B125" s="125" t="s">
        <v>90</v>
      </c>
      <c r="C125" s="8" t="s">
        <v>138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139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140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67</v>
      </c>
      <c r="C128" s="8" t="s">
        <v>138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139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140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77</v>
      </c>
      <c r="C131" s="8" t="s">
        <v>138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139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140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78</v>
      </c>
      <c r="C134" s="8" t="s">
        <v>138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139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140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79</v>
      </c>
      <c r="C137" s="8" t="s">
        <v>138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139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140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143</v>
      </c>
      <c r="C140" s="8" t="s">
        <v>140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235</v>
      </c>
      <c r="B142" s="125" t="s">
        <v>90</v>
      </c>
      <c r="C142" s="8" t="s">
        <v>138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139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140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67</v>
      </c>
      <c r="C145" s="8" t="s">
        <v>138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139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140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77</v>
      </c>
      <c r="C148" s="8" t="s">
        <v>138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139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140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78</v>
      </c>
      <c r="C151" s="8" t="s">
        <v>138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139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140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79</v>
      </c>
      <c r="C154" s="8" t="s">
        <v>138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139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140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143</v>
      </c>
      <c r="C157" s="8" t="s">
        <v>140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H15" sqref="H15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274</v>
      </c>
    </row>
    <row r="2" spans="1:7" ht="14.25" customHeight="1" x14ac:dyDescent="0.3">
      <c r="A2" s="122" t="s">
        <v>196</v>
      </c>
      <c r="B2" s="107"/>
      <c r="C2" s="105" t="s">
        <v>67</v>
      </c>
      <c r="D2" s="105" t="s">
        <v>77</v>
      </c>
      <c r="E2" s="105" t="s">
        <v>78</v>
      </c>
      <c r="F2" s="105" t="s">
        <v>79</v>
      </c>
      <c r="G2" s="105" t="s">
        <v>80</v>
      </c>
    </row>
    <row r="3" spans="1:7" ht="14.25" customHeight="1" x14ac:dyDescent="0.25">
      <c r="B3" s="117" t="s">
        <v>275</v>
      </c>
      <c r="C3" s="118" t="s">
        <v>276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277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278</v>
      </c>
    </row>
    <row r="6" spans="1:7" ht="14.25" customHeight="1" x14ac:dyDescent="0.25">
      <c r="B6" s="117" t="s">
        <v>184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177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162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185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193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279</v>
      </c>
    </row>
    <row r="13" spans="1:7" ht="14.25" customHeight="1" x14ac:dyDescent="0.3">
      <c r="A13" s="123"/>
      <c r="B13" s="117" t="s">
        <v>176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280</v>
      </c>
    </row>
    <row r="16" spans="1:7" ht="14.25" customHeight="1" x14ac:dyDescent="0.3">
      <c r="A16" s="122" t="s">
        <v>265</v>
      </c>
      <c r="B16" s="117" t="s">
        <v>281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282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111</v>
      </c>
      <c r="B18" s="117" t="s">
        <v>283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284</v>
      </c>
    </row>
    <row r="21" spans="1:7" s="123" customFormat="1" ht="14.25" customHeight="1" x14ac:dyDescent="0.3">
      <c r="C21" s="124" t="s">
        <v>58</v>
      </c>
      <c r="D21" s="124" t="s">
        <v>59</v>
      </c>
      <c r="E21" s="124" t="s">
        <v>60</v>
      </c>
      <c r="F21" s="124" t="s">
        <v>61</v>
      </c>
    </row>
    <row r="22" spans="1:7" x14ac:dyDescent="0.25">
      <c r="B22" s="117" t="s">
        <v>164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228</v>
      </c>
    </row>
    <row r="25" spans="1:7" ht="13" x14ac:dyDescent="0.3">
      <c r="A25" s="120" t="s">
        <v>274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196</v>
      </c>
      <c r="B26" s="107"/>
      <c r="C26" s="105" t="s">
        <v>67</v>
      </c>
      <c r="D26" s="105" t="s">
        <v>77</v>
      </c>
      <c r="E26" s="105" t="s">
        <v>78</v>
      </c>
      <c r="F26" s="105" t="s">
        <v>79</v>
      </c>
      <c r="G26" s="105" t="s">
        <v>80</v>
      </c>
    </row>
    <row r="27" spans="1:7" x14ac:dyDescent="0.25">
      <c r="B27" s="117" t="s">
        <v>285</v>
      </c>
      <c r="C27" s="118" t="s">
        <v>276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286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287</v>
      </c>
    </row>
    <row r="30" spans="1:7" x14ac:dyDescent="0.25">
      <c r="B30" s="117" t="s">
        <v>288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370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290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291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293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280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265</v>
      </c>
      <c r="B40" s="117" t="s">
        <v>294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295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111</v>
      </c>
      <c r="B42" s="117" t="s">
        <v>296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297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58</v>
      </c>
      <c r="D45" s="124" t="s">
        <v>59</v>
      </c>
      <c r="E45" s="124" t="s">
        <v>60</v>
      </c>
      <c r="F45" s="124" t="s">
        <v>61</v>
      </c>
      <c r="G45" s="123"/>
    </row>
    <row r="46" spans="1:7" x14ac:dyDescent="0.25">
      <c r="B46" s="117" t="s">
        <v>298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232</v>
      </c>
    </row>
    <row r="49" spans="1:7" ht="13" x14ac:dyDescent="0.3">
      <c r="A49" s="120" t="s">
        <v>274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196</v>
      </c>
      <c r="B50" s="107"/>
      <c r="C50" s="105" t="s">
        <v>67</v>
      </c>
      <c r="D50" s="105" t="s">
        <v>77</v>
      </c>
      <c r="E50" s="105" t="s">
        <v>78</v>
      </c>
      <c r="F50" s="105" t="s">
        <v>79</v>
      </c>
      <c r="G50" s="105" t="s">
        <v>80</v>
      </c>
    </row>
    <row r="51" spans="1:7" x14ac:dyDescent="0.25">
      <c r="B51" s="117" t="s">
        <v>299</v>
      </c>
      <c r="C51" s="118" t="s">
        <v>276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300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301</v>
      </c>
    </row>
    <row r="54" spans="1:7" x14ac:dyDescent="0.25">
      <c r="B54" s="117" t="s">
        <v>302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303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371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304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305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306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307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280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265</v>
      </c>
      <c r="B64" s="117" t="s">
        <v>308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309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111</v>
      </c>
      <c r="B66" s="117" t="s">
        <v>310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311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58</v>
      </c>
      <c r="D69" s="124" t="s">
        <v>59</v>
      </c>
      <c r="E69" s="124" t="s">
        <v>60</v>
      </c>
      <c r="F69" s="124" t="s">
        <v>61</v>
      </c>
      <c r="G69" s="123"/>
    </row>
    <row r="70" spans="1:7" x14ac:dyDescent="0.25">
      <c r="B70" s="117" t="s">
        <v>312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PCqzq1OOUtsic8ocnrXQ8xxuYbKmi8ZJ7Pld9xkgyR+OBHAu/SnU75NY5MNEYJfNv6pIOzYJCmiR0EiwYtlWMw==" saltValue="c4ep8LRP3mzZ6HTD2L1Kj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H15" sqref="H15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149</v>
      </c>
      <c r="B1" s="105"/>
      <c r="C1" s="105" t="s">
        <v>40</v>
      </c>
      <c r="D1" s="105" t="s">
        <v>42</v>
      </c>
      <c r="E1" s="105" t="s">
        <v>41</v>
      </c>
      <c r="F1" s="107" t="s">
        <v>43</v>
      </c>
    </row>
    <row r="2" spans="1:6" ht="15.75" customHeight="1" x14ac:dyDescent="0.25">
      <c r="A2" s="117" t="s">
        <v>159</v>
      </c>
      <c r="B2" s="117" t="s">
        <v>313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314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161</v>
      </c>
      <c r="B4" s="117" t="s">
        <v>313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314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172</v>
      </c>
      <c r="B6" s="117" t="s">
        <v>313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314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173</v>
      </c>
      <c r="B8" s="117" t="s">
        <v>313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314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174</v>
      </c>
      <c r="B10" s="117" t="s">
        <v>313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314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178</v>
      </c>
      <c r="B12" s="117" t="s">
        <v>313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314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182</v>
      </c>
      <c r="B14" s="117" t="s">
        <v>313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314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228</v>
      </c>
    </row>
    <row r="18" spans="1:6" ht="15.75" customHeight="1" x14ac:dyDescent="0.3">
      <c r="A18" s="107" t="s">
        <v>149</v>
      </c>
      <c r="B18" s="105"/>
      <c r="C18" s="105" t="s">
        <v>40</v>
      </c>
      <c r="D18" s="105" t="s">
        <v>42</v>
      </c>
      <c r="E18" s="105" t="s">
        <v>41</v>
      </c>
      <c r="F18" s="107" t="s">
        <v>43</v>
      </c>
    </row>
    <row r="19" spans="1:6" ht="15.75" customHeight="1" x14ac:dyDescent="0.25">
      <c r="A19" s="117" t="s">
        <v>159</v>
      </c>
      <c r="B19" s="117" t="s">
        <v>313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314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161</v>
      </c>
      <c r="B21" s="117" t="s">
        <v>313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314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172</v>
      </c>
      <c r="B23" s="117" t="s">
        <v>313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314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173</v>
      </c>
      <c r="B25" s="117" t="s">
        <v>313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314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174</v>
      </c>
      <c r="B27" s="117" t="s">
        <v>313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314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178</v>
      </c>
      <c r="B29" s="117" t="s">
        <v>313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314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182</v>
      </c>
      <c r="B31" s="117" t="s">
        <v>313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314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232</v>
      </c>
    </row>
    <row r="35" spans="1:6" ht="15.75" customHeight="1" x14ac:dyDescent="0.3">
      <c r="A35" s="107" t="s">
        <v>149</v>
      </c>
      <c r="B35" s="105"/>
      <c r="C35" s="105" t="s">
        <v>40</v>
      </c>
      <c r="D35" s="105" t="s">
        <v>42</v>
      </c>
      <c r="E35" s="105" t="s">
        <v>41</v>
      </c>
      <c r="F35" s="107" t="s">
        <v>43</v>
      </c>
    </row>
    <row r="36" spans="1:6" ht="15.75" customHeight="1" x14ac:dyDescent="0.25">
      <c r="A36" s="117" t="s">
        <v>159</v>
      </c>
      <c r="B36" s="117" t="s">
        <v>313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314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161</v>
      </c>
      <c r="B38" s="117" t="s">
        <v>313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314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172</v>
      </c>
      <c r="B40" s="117" t="s">
        <v>313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314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173</v>
      </c>
      <c r="B42" s="117" t="s">
        <v>313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314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174</v>
      </c>
      <c r="B44" s="117" t="s">
        <v>313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314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178</v>
      </c>
      <c r="B46" s="117" t="s">
        <v>313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314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182</v>
      </c>
      <c r="B48" s="117" t="s">
        <v>313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314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mTJBfDtVD8RS7vF+FLRTdNLzOeUfx+W/IGn0ywVnTUFVxHRPK0jMpUV85xStGAKvVCIherf2LOYrZO35DcOfXA==" saltValue="Ns9bFbdx8mjiboYdwI5AJ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E28" sqref="E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236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237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238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239</v>
      </c>
      <c r="C11" s="74"/>
      <c r="D11" s="75"/>
      <c r="E11" s="75"/>
      <c r="F11" s="75"/>
    </row>
    <row r="12" spans="1:6" ht="15.75" customHeight="1" x14ac:dyDescent="0.3">
      <c r="A12" s="4" t="s">
        <v>240</v>
      </c>
      <c r="C12" s="73"/>
      <c r="D12" s="64"/>
      <c r="E12" s="64"/>
      <c r="F12" s="64"/>
    </row>
    <row r="13" spans="1:6" ht="15.75" customHeight="1" x14ac:dyDescent="0.25">
      <c r="B13" s="11" t="s">
        <v>241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242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228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236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243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244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239</v>
      </c>
      <c r="B38" s="68"/>
      <c r="C38" s="74"/>
      <c r="D38" s="75"/>
      <c r="E38" s="75"/>
      <c r="F38" s="75"/>
    </row>
    <row r="39" spans="1:6" ht="15.75" customHeight="1" x14ac:dyDescent="0.3">
      <c r="A39" s="4" t="s">
        <v>245</v>
      </c>
      <c r="C39" s="73"/>
      <c r="D39" s="64"/>
      <c r="E39" s="64"/>
      <c r="F39" s="64"/>
    </row>
    <row r="40" spans="1:6" ht="15.75" customHeight="1" x14ac:dyDescent="0.25">
      <c r="B40" s="11" t="s">
        <v>246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248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249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232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236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250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251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239</v>
      </c>
      <c r="B65" s="68"/>
      <c r="C65" s="74"/>
      <c r="D65" s="75"/>
      <c r="E65" s="75"/>
      <c r="F65" s="75"/>
    </row>
    <row r="66" spans="1:6" ht="15.75" customHeight="1" x14ac:dyDescent="0.3">
      <c r="A66" s="4" t="s">
        <v>252</v>
      </c>
      <c r="C66" s="73"/>
      <c r="D66" s="64"/>
      <c r="E66" s="64"/>
      <c r="F66" s="64"/>
    </row>
    <row r="67" spans="1:6" ht="15.75" customHeight="1" x14ac:dyDescent="0.25">
      <c r="B67" s="11" t="s">
        <v>253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254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255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256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E28" sqref="E28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257</v>
      </c>
    </row>
    <row r="2" spans="1:16" ht="13" x14ac:dyDescent="0.3">
      <c r="A2" s="39" t="s">
        <v>218</v>
      </c>
      <c r="B2" s="1" t="s">
        <v>258</v>
      </c>
      <c r="C2" s="1" t="s">
        <v>259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81</v>
      </c>
      <c r="C3" s="3" t="s">
        <v>260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261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262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263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261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262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263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261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262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263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261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262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263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262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263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261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262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263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264</v>
      </c>
    </row>
    <row r="29" spans="1:16" ht="13" x14ac:dyDescent="0.3">
      <c r="A29" s="39" t="s">
        <v>265</v>
      </c>
      <c r="B29" s="4" t="s">
        <v>258</v>
      </c>
      <c r="C29" s="4" t="s">
        <v>266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81</v>
      </c>
      <c r="C30" s="3" t="s">
        <v>260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261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197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198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261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197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198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197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198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261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197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198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261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197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198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261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197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198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267</v>
      </c>
    </row>
    <row r="56" spans="1:16" ht="26.4" customHeight="1" x14ac:dyDescent="0.3">
      <c r="A56" s="39" t="s">
        <v>111</v>
      </c>
      <c r="B56" s="4" t="s">
        <v>258</v>
      </c>
      <c r="C56" s="69" t="s">
        <v>268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91</v>
      </c>
      <c r="C57" s="3" t="s">
        <v>269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269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269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271</v>
      </c>
    </row>
    <row r="65" spans="1:16" ht="26.4" customHeight="1" x14ac:dyDescent="0.3">
      <c r="A65" s="39" t="s">
        <v>118</v>
      </c>
      <c r="B65" s="4" t="s">
        <v>258</v>
      </c>
      <c r="C65" s="69" t="s">
        <v>272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273</v>
      </c>
    </row>
    <row r="104" spans="1:16" ht="26.4" customHeight="1" x14ac:dyDescent="0.3">
      <c r="A104" s="39" t="s">
        <v>81</v>
      </c>
      <c r="B104" s="82" t="s">
        <v>122</v>
      </c>
      <c r="C104" s="69" t="s">
        <v>272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228</v>
      </c>
      <c r="H110" s="92"/>
    </row>
    <row r="111" spans="1:16" ht="13" x14ac:dyDescent="0.3">
      <c r="A111" s="67" t="s">
        <v>257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218</v>
      </c>
      <c r="B112" s="1" t="s">
        <v>258</v>
      </c>
      <c r="C112" s="1" t="s">
        <v>259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x14ac:dyDescent="0.3">
      <c r="A113" s="4"/>
      <c r="B113" s="8" t="s">
        <v>81</v>
      </c>
      <c r="C113" s="3" t="s">
        <v>260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261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262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263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261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262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263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261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262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263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261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262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263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261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262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263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261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262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263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264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265</v>
      </c>
      <c r="B139" s="4" t="s">
        <v>258</v>
      </c>
      <c r="C139" s="4" t="s">
        <v>266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x14ac:dyDescent="0.3">
      <c r="A140" s="4"/>
      <c r="B140" s="8" t="s">
        <v>81</v>
      </c>
      <c r="C140" s="3" t="s">
        <v>260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261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197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198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261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197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198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261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197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198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261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197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198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261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197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198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261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197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198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267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111</v>
      </c>
      <c r="B166" s="4" t="s">
        <v>258</v>
      </c>
      <c r="C166" s="69" t="s">
        <v>268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x14ac:dyDescent="0.3">
      <c r="A167" s="4"/>
      <c r="B167" s="8" t="s">
        <v>91</v>
      </c>
      <c r="C167" s="3" t="s">
        <v>269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269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269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271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118</v>
      </c>
      <c r="B175" s="4" t="s">
        <v>258</v>
      </c>
      <c r="C175" s="69" t="s">
        <v>272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273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81</v>
      </c>
      <c r="B214" s="82" t="s">
        <v>122</v>
      </c>
      <c r="C214" s="69" t="s">
        <v>272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232</v>
      </c>
      <c r="H220" s="92"/>
    </row>
    <row r="221" spans="1:9" ht="13" x14ac:dyDescent="0.3">
      <c r="A221" s="67" t="s">
        <v>257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218</v>
      </c>
      <c r="B222" s="1" t="s">
        <v>258</v>
      </c>
      <c r="C222" s="1" t="s">
        <v>259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x14ac:dyDescent="0.3">
      <c r="A223" s="4"/>
      <c r="B223" s="8" t="s">
        <v>81</v>
      </c>
      <c r="C223" s="3" t="s">
        <v>260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261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262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263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261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262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263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261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262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263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261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262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263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261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262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263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261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262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263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264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265</v>
      </c>
      <c r="B249" s="4" t="s">
        <v>258</v>
      </c>
      <c r="C249" s="4" t="s">
        <v>266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x14ac:dyDescent="0.3">
      <c r="A250" s="4"/>
      <c r="B250" s="8" t="s">
        <v>81</v>
      </c>
      <c r="C250" s="3" t="s">
        <v>260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261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197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198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261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197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198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261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197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198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261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197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198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261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197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198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261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197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198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267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111</v>
      </c>
      <c r="B276" s="4" t="s">
        <v>258</v>
      </c>
      <c r="C276" s="69" t="s">
        <v>268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x14ac:dyDescent="0.3">
      <c r="A277" s="4"/>
      <c r="B277" s="8" t="s">
        <v>91</v>
      </c>
      <c r="C277" s="3" t="s">
        <v>269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269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269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271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118</v>
      </c>
      <c r="B285" s="4" t="s">
        <v>258</v>
      </c>
      <c r="C285" s="69" t="s">
        <v>272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273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81</v>
      </c>
      <c r="B324" s="82" t="s">
        <v>122</v>
      </c>
      <c r="C324" s="69" t="s">
        <v>272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x14ac:dyDescent="0.3">
      <c r="A2" s="4" t="s">
        <v>315</v>
      </c>
    </row>
    <row r="3" spans="1:15" x14ac:dyDescent="0.25">
      <c r="B3" s="11" t="s">
        <v>163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168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169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170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171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172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174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177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178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181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182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185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316</v>
      </c>
      <c r="B17" s="11"/>
    </row>
    <row r="18" spans="1:15" x14ac:dyDescent="0.25">
      <c r="B18" s="5" t="s">
        <v>165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166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167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175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228</v>
      </c>
    </row>
    <row r="24" spans="1:15" ht="26.4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x14ac:dyDescent="0.3">
      <c r="A25" s="4" t="s">
        <v>317</v>
      </c>
    </row>
    <row r="26" spans="1:15" x14ac:dyDescent="0.25">
      <c r="B26" s="11" t="s">
        <v>163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168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169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170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171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172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173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174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177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178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181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182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185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318</v>
      </c>
      <c r="B40" s="11"/>
    </row>
    <row r="41" spans="1:15" x14ac:dyDescent="0.25">
      <c r="B41" s="5" t="s">
        <v>165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166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167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175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232</v>
      </c>
    </row>
    <row r="47" spans="1:15" ht="26.4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x14ac:dyDescent="0.3">
      <c r="A48" s="4" t="s">
        <v>319</v>
      </c>
    </row>
    <row r="49" spans="1:15" x14ac:dyDescent="0.25">
      <c r="B49" s="11" t="s">
        <v>163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168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169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170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171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172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173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174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177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178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181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182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185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320</v>
      </c>
      <c r="B63" s="11"/>
    </row>
    <row r="64" spans="1:15" x14ac:dyDescent="0.25">
      <c r="B64" s="5" t="s">
        <v>165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166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167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175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Bm5n0F3ZSMKrCjY+AL4slUg0hXT2hO+5shU+GoRiFXJBcHFkYgPBlqs+Fxx6PFsQewttQOR21aj1fXZcoz8ag==" saltValue="SognIhr+7Tvq4ZYvkkpSZ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x14ac:dyDescent="0.3">
      <c r="A2" s="4" t="s">
        <v>321</v>
      </c>
    </row>
    <row r="3" spans="1:7" x14ac:dyDescent="0.25">
      <c r="B3" s="11" t="s">
        <v>150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322</v>
      </c>
      <c r="B4" s="11"/>
      <c r="C4" s="83"/>
      <c r="D4" s="83"/>
      <c r="E4" s="83"/>
      <c r="F4" s="83"/>
      <c r="G4" s="83"/>
    </row>
    <row r="5" spans="1:7" x14ac:dyDescent="0.25">
      <c r="B5" s="5" t="s">
        <v>151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323</v>
      </c>
    </row>
    <row r="8" spans="1:7" ht="13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x14ac:dyDescent="0.3">
      <c r="A9" s="4" t="s">
        <v>324</v>
      </c>
    </row>
    <row r="10" spans="1:7" x14ac:dyDescent="0.25">
      <c r="B10" s="11" t="s">
        <v>150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325</v>
      </c>
      <c r="B11" s="11"/>
      <c r="C11" s="83"/>
      <c r="D11" s="83"/>
      <c r="E11" s="83"/>
      <c r="F11" s="83"/>
      <c r="G11" s="83"/>
    </row>
    <row r="12" spans="1:7" x14ac:dyDescent="0.25">
      <c r="B12" s="5" t="s">
        <v>151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326</v>
      </c>
    </row>
    <row r="15" spans="1:7" ht="13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x14ac:dyDescent="0.3">
      <c r="A16" s="4" t="s">
        <v>327</v>
      </c>
    </row>
    <row r="17" spans="1:7" x14ac:dyDescent="0.25">
      <c r="B17" s="11" t="s">
        <v>150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328</v>
      </c>
      <c r="B18" s="11"/>
      <c r="C18" s="83"/>
      <c r="D18" s="83"/>
      <c r="E18" s="83"/>
      <c r="F18" s="83"/>
      <c r="G18" s="83"/>
    </row>
    <row r="19" spans="1:7" x14ac:dyDescent="0.25">
      <c r="B19" s="5" t="s">
        <v>151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1Mri6mDNakxTN++LYDkrSlnJ4hCf3+16Ur3JzKHbXsgMLeiOx4246djFaBfqw7/DRWYE8TBQn+gwoEULaV5KRw==" saltValue="hCtPYkilVxJaj3uZrBsg0A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149</v>
      </c>
      <c r="B1" s="4" t="s">
        <v>329</v>
      </c>
      <c r="C1" s="82" t="s">
        <v>330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186</v>
      </c>
      <c r="B2" s="5" t="s">
        <v>81</v>
      </c>
      <c r="C2" s="5" t="s">
        <v>331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332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333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184</v>
      </c>
      <c r="B5" s="5" t="s">
        <v>198</v>
      </c>
      <c r="C5" s="5" t="s">
        <v>331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333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197</v>
      </c>
      <c r="C7" s="5" t="s">
        <v>331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333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177</v>
      </c>
      <c r="B9" s="5" t="s">
        <v>198</v>
      </c>
      <c r="C9" s="5" t="s">
        <v>331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333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197</v>
      </c>
      <c r="C11" s="5" t="s">
        <v>331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333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185</v>
      </c>
      <c r="B13" s="5" t="s">
        <v>198</v>
      </c>
      <c r="C13" s="5" t="s">
        <v>331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333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197</v>
      </c>
      <c r="C15" s="5" t="s">
        <v>331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333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162</v>
      </c>
      <c r="B17" s="5" t="s">
        <v>198</v>
      </c>
      <c r="C17" s="5" t="s">
        <v>331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333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197</v>
      </c>
      <c r="C19" s="5" t="s">
        <v>331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333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167</v>
      </c>
      <c r="B21" s="5" t="s">
        <v>74</v>
      </c>
      <c r="C21" s="5" t="s">
        <v>331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332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165</v>
      </c>
      <c r="B23" s="5" t="s">
        <v>74</v>
      </c>
      <c r="C23" s="5" t="s">
        <v>331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332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166</v>
      </c>
      <c r="B25" s="5" t="s">
        <v>74</v>
      </c>
      <c r="C25" s="5" t="s">
        <v>331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332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190</v>
      </c>
      <c r="B27" s="5" t="s">
        <v>81</v>
      </c>
      <c r="C27" s="5" t="s">
        <v>331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332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333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191</v>
      </c>
      <c r="B30" s="5" t="s">
        <v>81</v>
      </c>
      <c r="C30" s="5" t="s">
        <v>331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332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333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189</v>
      </c>
      <c r="B33" s="5" t="s">
        <v>81</v>
      </c>
      <c r="C33" s="5" t="s">
        <v>331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332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333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188</v>
      </c>
      <c r="B36" s="5" t="s">
        <v>81</v>
      </c>
      <c r="C36" s="5" t="s">
        <v>331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332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333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187</v>
      </c>
      <c r="B39" s="5" t="s">
        <v>81</v>
      </c>
      <c r="C39" s="5" t="s">
        <v>331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332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333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193</v>
      </c>
      <c r="B42" s="5" t="s">
        <v>81</v>
      </c>
      <c r="C42" s="5" t="s">
        <v>331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332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333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331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332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333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183</v>
      </c>
      <c r="B48" s="5" t="s">
        <v>81</v>
      </c>
      <c r="C48" s="5" t="s">
        <v>331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332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192</v>
      </c>
      <c r="B50" s="5" t="s">
        <v>81</v>
      </c>
      <c r="C50" s="5" t="s">
        <v>331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332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176</v>
      </c>
      <c r="B52" s="5" t="s">
        <v>72</v>
      </c>
      <c r="C52" s="5" t="s">
        <v>331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332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323</v>
      </c>
      <c r="B55" s="97"/>
      <c r="C55" s="97"/>
    </row>
    <row r="56" spans="1:8" ht="13" x14ac:dyDescent="0.3">
      <c r="A56" s="4" t="s">
        <v>149</v>
      </c>
      <c r="B56" s="4" t="s">
        <v>329</v>
      </c>
      <c r="C56" s="82" t="s">
        <v>330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186</v>
      </c>
      <c r="B57" s="5" t="s">
        <v>81</v>
      </c>
      <c r="C57" s="5" t="s">
        <v>331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332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333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184</v>
      </c>
      <c r="B60" s="5" t="s">
        <v>198</v>
      </c>
      <c r="C60" s="5" t="s">
        <v>331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333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197</v>
      </c>
      <c r="C62" s="5" t="s">
        <v>331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333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177</v>
      </c>
      <c r="B64" s="5" t="s">
        <v>198</v>
      </c>
      <c r="C64" s="5" t="s">
        <v>331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333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197</v>
      </c>
      <c r="C66" s="5" t="s">
        <v>331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333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185</v>
      </c>
      <c r="B68" s="5" t="s">
        <v>198</v>
      </c>
      <c r="C68" s="5" t="s">
        <v>331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333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197</v>
      </c>
      <c r="C70" s="5" t="s">
        <v>331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333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162</v>
      </c>
      <c r="B72" s="5" t="s">
        <v>198</v>
      </c>
      <c r="C72" s="5" t="s">
        <v>331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333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197</v>
      </c>
      <c r="C74" s="5" t="s">
        <v>331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333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167</v>
      </c>
      <c r="B76" s="5" t="s">
        <v>74</v>
      </c>
      <c r="C76" s="5" t="s">
        <v>331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332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165</v>
      </c>
      <c r="B78" s="5" t="s">
        <v>74</v>
      </c>
      <c r="C78" s="5" t="s">
        <v>331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332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166</v>
      </c>
      <c r="B80" s="5" t="s">
        <v>74</v>
      </c>
      <c r="C80" s="5" t="s">
        <v>331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332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190</v>
      </c>
      <c r="B82" s="5" t="s">
        <v>81</v>
      </c>
      <c r="C82" s="5" t="s">
        <v>331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332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333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191</v>
      </c>
      <c r="B85" s="5" t="s">
        <v>81</v>
      </c>
      <c r="C85" s="5" t="s">
        <v>331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332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333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189</v>
      </c>
      <c r="B88" s="5" t="s">
        <v>81</v>
      </c>
      <c r="C88" s="5" t="s">
        <v>331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332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333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188</v>
      </c>
      <c r="B91" s="5" t="s">
        <v>81</v>
      </c>
      <c r="C91" s="5" t="s">
        <v>331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332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333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187</v>
      </c>
      <c r="B94" s="5" t="s">
        <v>81</v>
      </c>
      <c r="C94" s="5" t="s">
        <v>331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332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333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193</v>
      </c>
      <c r="B97" s="5" t="s">
        <v>81</v>
      </c>
      <c r="C97" s="5" t="s">
        <v>331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332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333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331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332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333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183</v>
      </c>
      <c r="B103" s="5" t="s">
        <v>81</v>
      </c>
      <c r="C103" s="5" t="s">
        <v>331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332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192</v>
      </c>
      <c r="B105" s="5" t="s">
        <v>81</v>
      </c>
      <c r="C105" s="5" t="s">
        <v>331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332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176</v>
      </c>
      <c r="B107" s="5" t="s">
        <v>72</v>
      </c>
      <c r="C107" s="5" t="s">
        <v>331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332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326</v>
      </c>
      <c r="B110" s="97"/>
      <c r="C110" s="97"/>
    </row>
    <row r="111" spans="1:8" ht="13" x14ac:dyDescent="0.3">
      <c r="A111" s="4" t="s">
        <v>149</v>
      </c>
      <c r="B111" s="4" t="s">
        <v>329</v>
      </c>
      <c r="C111" s="82" t="s">
        <v>330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186</v>
      </c>
      <c r="B112" s="5" t="s">
        <v>81</v>
      </c>
      <c r="C112" s="5" t="s">
        <v>331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332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333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184</v>
      </c>
      <c r="B115" s="5" t="s">
        <v>198</v>
      </c>
      <c r="C115" s="5" t="s">
        <v>331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333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197</v>
      </c>
      <c r="C117" s="5" t="s">
        <v>331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333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177</v>
      </c>
      <c r="B119" s="5" t="s">
        <v>198</v>
      </c>
      <c r="C119" s="5" t="s">
        <v>331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333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197</v>
      </c>
      <c r="C121" s="5" t="s">
        <v>331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333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185</v>
      </c>
      <c r="B123" s="5" t="s">
        <v>198</v>
      </c>
      <c r="C123" s="5" t="s">
        <v>331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333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197</v>
      </c>
      <c r="C125" s="5" t="s">
        <v>331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333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162</v>
      </c>
      <c r="B127" s="5" t="s">
        <v>198</v>
      </c>
      <c r="C127" s="5" t="s">
        <v>331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333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197</v>
      </c>
      <c r="C129" s="5" t="s">
        <v>331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333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167</v>
      </c>
      <c r="B131" s="5" t="s">
        <v>74</v>
      </c>
      <c r="C131" s="5" t="s">
        <v>331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332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165</v>
      </c>
      <c r="B133" s="5" t="s">
        <v>74</v>
      </c>
      <c r="C133" s="5" t="s">
        <v>331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332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166</v>
      </c>
      <c r="B135" s="5" t="s">
        <v>74</v>
      </c>
      <c r="C135" s="5" t="s">
        <v>331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332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190</v>
      </c>
      <c r="B137" s="5" t="s">
        <v>81</v>
      </c>
      <c r="C137" s="5" t="s">
        <v>331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332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333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191</v>
      </c>
      <c r="B140" s="5" t="s">
        <v>81</v>
      </c>
      <c r="C140" s="5" t="s">
        <v>331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332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333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189</v>
      </c>
      <c r="B143" s="5" t="s">
        <v>81</v>
      </c>
      <c r="C143" s="5" t="s">
        <v>331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332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333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188</v>
      </c>
      <c r="B146" s="5" t="s">
        <v>81</v>
      </c>
      <c r="C146" s="5" t="s">
        <v>331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332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333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187</v>
      </c>
      <c r="B149" s="5" t="s">
        <v>81</v>
      </c>
      <c r="C149" s="5" t="s">
        <v>331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332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333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193</v>
      </c>
      <c r="B152" s="5" t="s">
        <v>81</v>
      </c>
      <c r="C152" s="5" t="s">
        <v>331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332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333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331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332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333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183</v>
      </c>
      <c r="B158" s="5" t="s">
        <v>81</v>
      </c>
      <c r="C158" s="5" t="s">
        <v>331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332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192</v>
      </c>
      <c r="B160" s="5" t="s">
        <v>81</v>
      </c>
      <c r="C160" s="5" t="s">
        <v>331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332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176</v>
      </c>
      <c r="B162" s="5" t="s">
        <v>72</v>
      </c>
      <c r="C162" s="5" t="s">
        <v>331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332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DnQD/gzWviUpMnBIjfA5Iky2EK8yRnu6zKg+xR66jz8QwkNDqnWON/KDt1e6t59hPXSaScPm1AiTaVLOVOGxug==" saltValue="rSIHZAEaX/p6sgeAYDFDL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149</v>
      </c>
      <c r="B1" s="1" t="s">
        <v>329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161</v>
      </c>
      <c r="B2" s="8" t="s">
        <v>94</v>
      </c>
      <c r="C2" s="3" t="s">
        <v>331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332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180</v>
      </c>
      <c r="B4" s="8" t="s">
        <v>94</v>
      </c>
      <c r="C4" s="3" t="s">
        <v>331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332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179</v>
      </c>
      <c r="B6" s="8" t="s">
        <v>94</v>
      </c>
      <c r="C6" s="3" t="s">
        <v>331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332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182</v>
      </c>
      <c r="B8" s="3" t="s">
        <v>369</v>
      </c>
      <c r="C8" s="3" t="s">
        <v>331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206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323</v>
      </c>
    </row>
    <row r="12" spans="1:8" ht="13" x14ac:dyDescent="0.3">
      <c r="A12" s="1" t="s">
        <v>149</v>
      </c>
      <c r="B12" s="1" t="s">
        <v>329</v>
      </c>
      <c r="C12" s="1"/>
      <c r="D12" s="4" t="s">
        <v>112</v>
      </c>
      <c r="E12" s="4" t="s">
        <v>113</v>
      </c>
      <c r="F12" s="4" t="s">
        <v>114</v>
      </c>
      <c r="G12" s="4" t="s">
        <v>115</v>
      </c>
    </row>
    <row r="13" spans="1:8" x14ac:dyDescent="0.25">
      <c r="A13" s="3" t="s">
        <v>161</v>
      </c>
      <c r="B13" s="8" t="s">
        <v>94</v>
      </c>
      <c r="C13" s="3" t="s">
        <v>331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332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180</v>
      </c>
      <c r="B15" s="8" t="s">
        <v>94</v>
      </c>
      <c r="C15" s="3" t="s">
        <v>331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332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179</v>
      </c>
      <c r="B17" s="8" t="s">
        <v>94</v>
      </c>
      <c r="C17" s="3" t="s">
        <v>331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332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182</v>
      </c>
      <c r="B19" s="3" t="s">
        <v>369</v>
      </c>
      <c r="C19" s="3" t="s">
        <v>331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206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326</v>
      </c>
    </row>
    <row r="23" spans="1:7" ht="13" x14ac:dyDescent="0.3">
      <c r="A23" s="1" t="s">
        <v>149</v>
      </c>
      <c r="B23" s="1" t="s">
        <v>329</v>
      </c>
      <c r="C23" s="1"/>
      <c r="D23" s="4" t="s">
        <v>112</v>
      </c>
      <c r="E23" s="4" t="s">
        <v>113</v>
      </c>
      <c r="F23" s="4" t="s">
        <v>114</v>
      </c>
      <c r="G23" s="4" t="s">
        <v>115</v>
      </c>
    </row>
    <row r="24" spans="1:7" x14ac:dyDescent="0.25">
      <c r="A24" s="3" t="s">
        <v>161</v>
      </c>
      <c r="B24" s="8" t="s">
        <v>94</v>
      </c>
      <c r="C24" s="3" t="s">
        <v>331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332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180</v>
      </c>
      <c r="B26" s="8" t="s">
        <v>94</v>
      </c>
      <c r="C26" s="3" t="s">
        <v>331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332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179</v>
      </c>
      <c r="B28" s="8" t="s">
        <v>94</v>
      </c>
      <c r="C28" s="3" t="s">
        <v>331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332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182</v>
      </c>
      <c r="B30" s="3" t="s">
        <v>369</v>
      </c>
      <c r="C30" s="3" t="s">
        <v>331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206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rBj4/xhupbkAjC3P8LLaOOabRcINjXHoySh1ckSTSXgOjYOIfIAjJmLR21rEgF+VA5vPMQjl2MeTTNpp+BUspw==" saltValue="QX9aSRqCF7tm0vhyOJqcE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inputs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Odds ratios</vt:lpstr>
      <vt:lpstr>Programs birth outcomes</vt:lpstr>
      <vt:lpstr>Birth outcome risks</vt:lpstr>
      <vt:lpstr>Relative risks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Scott</dc:creator>
  <cp:keywords/>
  <dc:description/>
  <cp:lastModifiedBy>Tharindu Wickramaarachchi</cp:lastModifiedBy>
  <cp:revision/>
  <dcterms:created xsi:type="dcterms:W3CDTF">2017-08-01T10:42:13Z</dcterms:created>
  <dcterms:modified xsi:type="dcterms:W3CDTF">2025-06-25T23:20:07Z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