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CC84948-87E2-480D-899B-7174374FC25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<sst xmlns="http://schemas.openxmlformats.org/spreadsheetml/2006/main" count="2103" uniqueCount="341">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</sst>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4795294.9375</v>
      </c>
    </row>
    <row r="8" spans="1:3" ht="15" customHeight="1" x14ac:dyDescent="0.25">
      <c r="B8" s="5" t="s">
        <v>8</v>
      </c>
      <c r="C8" s="44">
        <v>0.188</v>
      </c>
    </row>
    <row r="9" spans="1:3" ht="15" customHeight="1" x14ac:dyDescent="0.25">
      <c r="B9" s="5" t="s">
        <v>9</v>
      </c>
      <c r="C9" s="45">
        <v>0.47</v>
      </c>
    </row>
    <row r="10" spans="1:3" ht="15" customHeight="1" x14ac:dyDescent="0.25">
      <c r="B10" s="5" t="s">
        <v>10</v>
      </c>
      <c r="C10" s="45">
        <v>0.39787429809570302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8.5299999999999987E-2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0.35580000000000001</v>
      </c>
    </row>
    <row r="26" spans="1:3" ht="15" customHeight="1" x14ac:dyDescent="0.25">
      <c r="B26" s="15" t="s">
        <v>24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0.206672123736343</v>
      </c>
    </row>
    <row r="30" spans="1:3" ht="14.25" customHeight="1" x14ac:dyDescent="0.25">
      <c r="B30" s="25" t="s">
        <v>27</v>
      </c>
      <c r="C30" s="99">
        <v>0.111375096799569</v>
      </c>
    </row>
    <row r="31" spans="1:3" ht="14.25" customHeight="1" x14ac:dyDescent="0.25">
      <c r="B31" s="25" t="s">
        <v>28</v>
      </c>
      <c r="C31" s="99">
        <v>0.12654954787338499</v>
      </c>
    </row>
    <row r="32" spans="1:3" ht="14.25" customHeight="1" x14ac:dyDescent="0.25">
      <c r="B32" s="25" t="s">
        <v>29</v>
      </c>
      <c r="C32" s="99">
        <v>0.55540323159070293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28.3093</v>
      </c>
    </row>
    <row r="38" spans="1:5" ht="15" customHeight="1" x14ac:dyDescent="0.25">
      <c r="B38" s="11" t="s">
        <v>34</v>
      </c>
      <c r="C38" s="43">
        <v>46.654730000000001</v>
      </c>
      <c r="D38" s="12"/>
      <c r="E38" s="13"/>
    </row>
    <row r="39" spans="1:5" ht="15" customHeight="1" x14ac:dyDescent="0.25">
      <c r="B39" s="11" t="s">
        <v>35</v>
      </c>
      <c r="C39" s="43">
        <v>61.908940000000001</v>
      </c>
      <c r="D39" s="12"/>
      <c r="E39" s="12"/>
    </row>
    <row r="40" spans="1:5" ht="15" customHeight="1" x14ac:dyDescent="0.25">
      <c r="B40" s="11" t="s">
        <v>36</v>
      </c>
      <c r="C40" s="100">
        <v>1.83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7.4885000000000004E-3</v>
      </c>
      <c r="D45" s="12"/>
    </row>
    <row r="46" spans="1:5" ht="15.75" customHeight="1" x14ac:dyDescent="0.25">
      <c r="B46" s="11" t="s">
        <v>41</v>
      </c>
      <c r="C46" s="45">
        <v>8.0462399999999989E-2</v>
      </c>
      <c r="D46" s="12"/>
    </row>
    <row r="47" spans="1:5" ht="15.75" customHeight="1" x14ac:dyDescent="0.25">
      <c r="B47" s="11" t="s">
        <v>42</v>
      </c>
      <c r="C47" s="45">
        <v>7.3879500000000001E-2</v>
      </c>
      <c r="D47" s="12"/>
      <c r="E47" s="13"/>
    </row>
    <row r="48" spans="1:5" ht="15" customHeight="1" x14ac:dyDescent="0.25">
      <c r="B48" s="11" t="s">
        <v>43</v>
      </c>
      <c r="C48" s="46">
        <v>0.83816959999999996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0.53084200000000004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1.9833151046773551E-2</v>
      </c>
    </row>
    <row r="4" spans="1:8" ht="15.75" customHeight="1" x14ac:dyDescent="0.25">
      <c r="B4" s="19" t="s">
        <v>69</v>
      </c>
      <c r="C4" s="101">
        <v>6.3894030924347367E-2</v>
      </c>
    </row>
    <row r="5" spans="1:8" ht="15.75" customHeight="1" x14ac:dyDescent="0.25">
      <c r="B5" s="19" t="s">
        <v>70</v>
      </c>
      <c r="C5" s="101">
        <v>9.4246268158946475E-2</v>
      </c>
    </row>
    <row r="6" spans="1:8" ht="15.75" customHeight="1" x14ac:dyDescent="0.25">
      <c r="B6" s="19" t="s">
        <v>71</v>
      </c>
      <c r="C6" s="101">
        <v>0.23881032694278609</v>
      </c>
    </row>
    <row r="7" spans="1:8" ht="15.75" customHeight="1" x14ac:dyDescent="0.25">
      <c r="B7" s="19" t="s">
        <v>72</v>
      </c>
      <c r="C7" s="101">
        <v>0.3871881532303128</v>
      </c>
    </row>
    <row r="8" spans="1:8" ht="15.75" customHeight="1" x14ac:dyDescent="0.25">
      <c r="B8" s="19" t="s">
        <v>73</v>
      </c>
      <c r="C8" s="101">
        <v>5.8535036070138371E-3</v>
      </c>
    </row>
    <row r="9" spans="1:8" ht="15.75" customHeight="1" x14ac:dyDescent="0.25">
      <c r="B9" s="19" t="s">
        <v>74</v>
      </c>
      <c r="C9" s="101">
        <v>7.3348498268419438E-2</v>
      </c>
    </row>
    <row r="10" spans="1:8" ht="15.75" customHeight="1" x14ac:dyDescent="0.25">
      <c r="B10" s="19" t="s">
        <v>75</v>
      </c>
      <c r="C10" s="101">
        <v>0.1168260678214004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82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83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84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85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86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87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88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89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4.5856951999999999E-2</v>
      </c>
    </row>
    <row r="27" spans="1:8" ht="15.75" customHeight="1" x14ac:dyDescent="0.25">
      <c r="B27" s="19" t="s">
        <v>92</v>
      </c>
      <c r="C27" s="101">
        <v>2.7671261999999999E-2</v>
      </c>
    </row>
    <row r="28" spans="1:8" ht="15.75" customHeight="1" x14ac:dyDescent="0.25">
      <c r="B28" s="19" t="s">
        <v>93</v>
      </c>
      <c r="C28" s="101">
        <v>0.19152286900000001</v>
      </c>
    </row>
    <row r="29" spans="1:8" ht="15.75" customHeight="1" x14ac:dyDescent="0.25">
      <c r="B29" s="19" t="s">
        <v>94</v>
      </c>
      <c r="C29" s="101">
        <v>0.15015504499999999</v>
      </c>
    </row>
    <row r="30" spans="1:8" ht="15.75" customHeight="1" x14ac:dyDescent="0.25">
      <c r="B30" s="19" t="s">
        <v>95</v>
      </c>
      <c r="C30" s="101">
        <v>5.0148384999999997E-2</v>
      </c>
    </row>
    <row r="31" spans="1:8" ht="15.75" customHeight="1" x14ac:dyDescent="0.25">
      <c r="B31" s="19" t="s">
        <v>96</v>
      </c>
      <c r="C31" s="101">
        <v>3.0652005E-2</v>
      </c>
    </row>
    <row r="32" spans="1:8" ht="15.75" customHeight="1" x14ac:dyDescent="0.25">
      <c r="B32" s="19" t="s">
        <v>97</v>
      </c>
      <c r="C32" s="101">
        <v>8.6489898999999995E-2</v>
      </c>
    </row>
    <row r="33" spans="2:3" ht="15.75" customHeight="1" x14ac:dyDescent="0.25">
      <c r="B33" s="19" t="s">
        <v>98</v>
      </c>
      <c r="C33" s="101">
        <v>0.168218437</v>
      </c>
    </row>
    <row r="34" spans="2:3" ht="15.75" customHeight="1" x14ac:dyDescent="0.25">
      <c r="B34" s="19" t="s">
        <v>99</v>
      </c>
      <c r="C34" s="101">
        <v>0.24928514500000001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104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105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109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110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122</v>
      </c>
      <c r="C5" s="52">
        <v>6.2564599999999998E-2</v>
      </c>
      <c r="D5" s="52">
        <v>6.8140800000000001E-2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37.913661484151682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42.521345352857793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99.033477395463237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0.39315055793818598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5.5304300000000001E-2</v>
      </c>
      <c r="C10" s="98">
        <v>0.95</v>
      </c>
      <c r="D10" s="56">
        <v>13.539057252878379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13.539057252878379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13.539057252878379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13.539057252878379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5.5304300000000001E-2</v>
      </c>
      <c r="C14" s="98">
        <v>0.95</v>
      </c>
      <c r="D14" s="56">
        <v>13.539057252878379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13.539057252878379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0.27829999072845568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8.6708300000000002E-2</v>
      </c>
      <c r="C18" s="98">
        <v>0.95</v>
      </c>
      <c r="D18" s="56">
        <v>2.377996240315416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8.6708300000000002E-2</v>
      </c>
      <c r="C19" s="98">
        <v>0.95</v>
      </c>
      <c r="D19" s="56">
        <v>2.377996240315416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3.202185552868094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23.103382705538191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4.4606327668435339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0.21544450643631999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5.5304300000000001E-2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19.540666812356982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0.25274740000000001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0.21297360000000001</v>
      </c>
      <c r="C29" s="98">
        <v>0.95</v>
      </c>
      <c r="D29" s="56">
        <v>67.736851795235324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4.3271061521497272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0.06</v>
      </c>
      <c r="C32" s="98">
        <v>0.95</v>
      </c>
      <c r="D32" s="56">
        <v>0.54641342226979839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0.4861297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0.18614800000000001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4.8132400000000013E-2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0.57095980000000002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3.9110999999999998E-3</v>
      </c>
      <c r="C38" s="98">
        <v>0.95</v>
      </c>
      <c r="D38" s="56">
        <v>8.7522201431810966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205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0.188</v>
      </c>
      <c r="E2" s="60">
        <f>food_insecure</f>
        <v>0.188</v>
      </c>
      <c r="F2" s="60">
        <f>food_insecure</f>
        <v>0.188</v>
      </c>
      <c r="G2" s="60">
        <f>food_insecure</f>
        <v>0.188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0.188</v>
      </c>
      <c r="F5" s="60">
        <f>food_insecure</f>
        <v>0.188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0.188</v>
      </c>
      <c r="F8" s="60">
        <f>food_insecure</f>
        <v>0.188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0.188</v>
      </c>
      <c r="F9" s="60">
        <f>food_insecure</f>
        <v>0.188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0.188</v>
      </c>
      <c r="I15" s="60">
        <f>food_insecure</f>
        <v>0.188</v>
      </c>
      <c r="J15" s="60">
        <f>food_insecure</f>
        <v>0.188</v>
      </c>
      <c r="K15" s="60">
        <f>food_insecure</f>
        <v>0.188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0.31881351664428714</v>
      </c>
      <c r="M25" s="60">
        <f>(1-food_insecure)*(0.49)+food_insecure*(0.7)</f>
        <v>0.52947999999999995</v>
      </c>
      <c r="N25" s="60">
        <f>(1-food_insecure)*(0.49)+food_insecure*(0.7)</f>
        <v>0.52947999999999995</v>
      </c>
      <c r="O25" s="60">
        <f>(1-food_insecure)*(0.49)+food_insecure*(0.7)</f>
        <v>0.52947999999999995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0.13663436427612308</v>
      </c>
      <c r="M26" s="60">
        <f>(1-food_insecure)*(0.21)+food_insecure*(0.3)</f>
        <v>0.22692000000000001</v>
      </c>
      <c r="N26" s="60">
        <f>(1-food_insecure)*(0.21)+food_insecure*(0.3)</f>
        <v>0.22692000000000001</v>
      </c>
      <c r="O26" s="60">
        <f>(1-food_insecure)*(0.21)+food_insecure*(0.3)</f>
        <v>0.22692000000000001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0.14667782098388674</v>
      </c>
      <c r="M27" s="60">
        <f>(1-food_insecure)*(0.3)</f>
        <v>0.24360000000000001</v>
      </c>
      <c r="N27" s="60">
        <f>(1-food_insecure)*(0.3)</f>
        <v>0.24360000000000001</v>
      </c>
      <c r="O27" s="60">
        <f>(1-food_insecure)*(0.3)</f>
        <v>0.24360000000000001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0.39787429809570307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0.47</v>
      </c>
      <c r="D34" s="60">
        <f t="shared" si="3"/>
        <v>0.47</v>
      </c>
      <c r="E34" s="60">
        <f t="shared" si="3"/>
        <v>0.47</v>
      </c>
      <c r="F34" s="60">
        <f t="shared" si="3"/>
        <v>0.47</v>
      </c>
      <c r="G34" s="60">
        <f t="shared" si="3"/>
        <v>0.47</v>
      </c>
      <c r="H34" s="60">
        <f t="shared" si="3"/>
        <v>0.47</v>
      </c>
      <c r="I34" s="60">
        <f t="shared" si="3"/>
        <v>0.47</v>
      </c>
      <c r="J34" s="60">
        <f t="shared" si="3"/>
        <v>0.47</v>
      </c>
      <c r="K34" s="60">
        <f t="shared" si="3"/>
        <v>0.47</v>
      </c>
      <c r="L34" s="60">
        <f t="shared" si="3"/>
        <v>0.47</v>
      </c>
      <c r="M34" s="60">
        <f t="shared" si="3"/>
        <v>0.47</v>
      </c>
      <c r="N34" s="60">
        <f t="shared" si="3"/>
        <v>0.47</v>
      </c>
      <c r="O34" s="60">
        <f t="shared" si="3"/>
        <v>0.47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9.9916678882432386E-2</v>
      </c>
      <c r="G18" s="90">
        <f>MIN(MAX(1-0.89/(1-frac_sam_12_23months+(frac_sam_12_23months*0.89)),0),1)</f>
        <v>0.10379203915184165</v>
      </c>
      <c r="H18" s="90">
        <f>MIN(MAX(1-0.89/(1-frac_sam_24_59months+(frac_sam_24_59months*0.89)),0),1)</f>
        <v>0.10647139657217564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9.5084967830687428E-2</v>
      </c>
      <c r="G20" s="90">
        <f>MIN(MAX(1-0.89/(1-frac_mam_12_23months+(frac_mam_12_23months*0.89)),0),1)</f>
        <v>9.6522809976443136E-2</v>
      </c>
      <c r="H20" s="90">
        <f>MIN(MAX(1-0.89/(1-frac_mam_24_59months+(frac_mam_24_59months*0.89)),0),1)</f>
        <v>0.10063781412126649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8.9907333696505054E-3</v>
      </c>
      <c r="G73" s="90">
        <f>MIN(MAX(1-0.99/(1-frac_sam_12_23months+(frac_sam_12_23months*0.99)),0),1)</f>
        <v>9.3761843708219939E-3</v>
      </c>
      <c r="H73" s="90">
        <f>MIN(MAX(1-0.99/(1-frac_sam_24_59months+(frac_sam_24_59months*0.99)),0),1)</f>
        <v>9.6444564177207148E-3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8.5143718155271664E-3</v>
      </c>
      <c r="G75" s="90">
        <f>MIN(MAX(1-0.99/(1-frac_mam_12_23months+(frac_mam_12_23months*0.99)),0),1)</f>
        <v>8.6556448594042878E-3</v>
      </c>
      <c r="H75" s="90">
        <f>MIN(MAX(1-0.99/(1-frac_mam_24_59months+(frac_mam_24_59months*0.99)),0),1)</f>
        <v>9.0622300051164117E-3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0.18336643183211521</v>
      </c>
      <c r="G128" s="90">
        <f>MIN(MAX(1-0.8/(1-frac_sam_12_23months+(frac_sam_12_23months*0.8)),0),1)</f>
        <v>0.18979596631819784</v>
      </c>
      <c r="H128" s="90">
        <f>MIN(MAX(1-0.8/(1-frac_sam_24_59months+(frac_sam_24_59months*0.8)),0),1)</f>
        <v>0.1942143624279562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0.1752851771077143</v>
      </c>
      <c r="G130" s="90">
        <f>MIN(MAX(1-0.8/(1-frac_mam_12_23months+(frac_mam_12_23months*0.8)),0),1)</f>
        <v>0.17769763024997143</v>
      </c>
      <c r="H130" s="90">
        <f>MIN(MAX(1-0.8/(1-frac_mam_24_59months+(frac_mam_24_59months*0.8)),0),1)</f>
        <v>0.18456635259016585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2024-06-18T06:57:51Z</dcterms:modified>
</cp:coreProperties>
</file>