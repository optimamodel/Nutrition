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3250553-E2F4-49EA-A277-53BC5485A1D3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H129" i="27" s="1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H38" i="2"/>
  <c r="G38" i="2"/>
  <c r="I38" i="2" s="1"/>
  <c r="A37" i="2"/>
  <c r="A29" i="2"/>
  <c r="A21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H2" i="2"/>
  <c r="G2" i="2"/>
  <c r="I2" i="2" s="1"/>
  <c r="A2" i="2"/>
  <c r="A39" i="2" s="1"/>
  <c r="C33" i="1"/>
  <c r="C20" i="1"/>
  <c r="A19" i="2" l="1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20" i="2"/>
  <c r="A28" i="2"/>
  <c r="A36" i="2"/>
  <c r="A38" i="2"/>
  <c r="A15" i="2"/>
  <c r="A23" i="2"/>
  <c r="A31" i="2"/>
  <c r="A14" i="2"/>
  <c r="A22" i="2"/>
  <c r="A30" i="2"/>
  <c r="A40" i="2"/>
  <c r="A16" i="2"/>
  <c r="A24" i="2"/>
  <c r="A32" i="2"/>
  <c r="A17" i="2"/>
  <c r="A25" i="2"/>
  <c r="A33" i="2"/>
  <c r="A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<sst xmlns="http://schemas.openxmlformats.org/spreadsheetml/2006/main" count="2094" uniqueCount="341">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</sst>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2269547.265625</v>
      </c>
    </row>
    <row r="8" spans="1:3" ht="15" customHeight="1" x14ac:dyDescent="0.25">
      <c r="B8" s="5" t="s">
        <v>8</v>
      </c>
      <c r="C8" s="44">
        <v>0.10199999999999999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8.1799999999999998E-2</v>
      </c>
    </row>
    <row r="24" spans="1:3" ht="15" customHeight="1" x14ac:dyDescent="0.25">
      <c r="B24" s="15" t="s">
        <v>22</v>
      </c>
      <c r="C24" s="45">
        <v>0.59670000000000001</v>
      </c>
    </row>
    <row r="25" spans="1:3" ht="15" customHeight="1" x14ac:dyDescent="0.25">
      <c r="B25" s="15" t="s">
        <v>23</v>
      </c>
      <c r="C25" s="45">
        <v>0.30309999999999998</v>
      </c>
    </row>
    <row r="26" spans="1:3" ht="15" customHeight="1" x14ac:dyDescent="0.25">
      <c r="B26" s="15" t="s">
        <v>24</v>
      </c>
      <c r="C26" s="45">
        <v>1.84E-2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9">
        <v>0.10516916316476101</v>
      </c>
    </row>
    <row r="31" spans="1:3" ht="14.25" customHeight="1" x14ac:dyDescent="0.25">
      <c r="B31" s="25" t="s">
        <v>28</v>
      </c>
      <c r="C31" s="99">
        <v>8.4505866375242988E-2</v>
      </c>
    </row>
    <row r="32" spans="1:3" ht="14.25" customHeight="1" x14ac:dyDescent="0.25">
      <c r="B32" s="25" t="s">
        <v>29</v>
      </c>
      <c r="C32" s="99">
        <v>0.46038333121207198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14.99222</v>
      </c>
    </row>
    <row r="38" spans="1:5" ht="15" customHeight="1" x14ac:dyDescent="0.25">
      <c r="B38" s="11" t="s">
        <v>34</v>
      </c>
      <c r="C38" s="43">
        <v>21.063030000000001</v>
      </c>
      <c r="D38" s="12"/>
      <c r="E38" s="13"/>
    </row>
    <row r="39" spans="1:5" ht="15" customHeight="1" x14ac:dyDescent="0.25">
      <c r="B39" s="11" t="s">
        <v>35</v>
      </c>
      <c r="C39" s="43">
        <v>24.22973</v>
      </c>
      <c r="D39" s="12"/>
      <c r="E39" s="12"/>
    </row>
    <row r="40" spans="1:5" ht="15" customHeight="1" x14ac:dyDescent="0.25">
      <c r="B40" s="11" t="s">
        <v>36</v>
      </c>
      <c r="C40" s="100">
        <v>2.59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10.689030000000001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7.0407000000000004E-3</v>
      </c>
      <c r="D45" s="12"/>
    </row>
    <row r="46" spans="1:5" ht="15.75" customHeight="1" x14ac:dyDescent="0.25">
      <c r="B46" s="11" t="s">
        <v>41</v>
      </c>
      <c r="C46" s="45">
        <v>7.5650899999999993E-2</v>
      </c>
      <c r="D46" s="12"/>
    </row>
    <row r="47" spans="1:5" ht="15.75" customHeight="1" x14ac:dyDescent="0.25">
      <c r="B47" s="11" t="s">
        <v>42</v>
      </c>
      <c r="C47" s="45">
        <v>7.4305499999999997E-2</v>
      </c>
      <c r="D47" s="12"/>
      <c r="E47" s="13"/>
    </row>
    <row r="48" spans="1:5" ht="15" customHeight="1" x14ac:dyDescent="0.25">
      <c r="B48" s="11" t="s">
        <v>43</v>
      </c>
      <c r="C48" s="46">
        <v>0.8430029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0.58011699999999999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8.2114124000000011E-2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1397214</v>
      </c>
      <c r="C2" s="49">
        <v>4000748</v>
      </c>
      <c r="D2" s="49">
        <v>6866531</v>
      </c>
      <c r="E2" s="49">
        <v>8145158</v>
      </c>
      <c r="F2" s="49">
        <v>6523696.5</v>
      </c>
      <c r="G2" s="17">
        <f t="shared" ref="G2:G13" si="0">C2+D2+E2+F2</f>
        <v>25536133.5</v>
      </c>
      <c r="H2" s="17">
        <f t="shared" ref="H2:H13" si="1">(B2 + stillbirth*B2/(1000-stillbirth))/(1-abortion)</f>
        <v>1604897.9845216735</v>
      </c>
      <c r="I2" s="17">
        <f t="shared" ref="I2:I13" si="2">G2-H2</f>
        <v>23931235.515478328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1376256</v>
      </c>
      <c r="C3" s="50">
        <v>3991891</v>
      </c>
      <c r="D3" s="50">
        <v>6763900</v>
      </c>
      <c r="E3" s="50">
        <v>8104387.5</v>
      </c>
      <c r="F3" s="50">
        <v>6616281</v>
      </c>
      <c r="G3" s="17">
        <f t="shared" si="0"/>
        <v>25476459.5</v>
      </c>
      <c r="H3" s="17">
        <f t="shared" si="1"/>
        <v>1580824.7559685633</v>
      </c>
      <c r="I3" s="17">
        <f t="shared" si="2"/>
        <v>23895634.744031437</v>
      </c>
    </row>
    <row r="4" spans="1:9" ht="15.75" customHeight="1" x14ac:dyDescent="0.25">
      <c r="A4" s="5">
        <f t="shared" si="3"/>
        <v>2026</v>
      </c>
      <c r="B4" s="49">
        <v>1360059</v>
      </c>
      <c r="C4" s="50">
        <v>4008039.5</v>
      </c>
      <c r="D4" s="50">
        <v>6686370</v>
      </c>
      <c r="E4" s="50">
        <v>8020638</v>
      </c>
      <c r="F4" s="50">
        <v>6703287.5</v>
      </c>
      <c r="G4" s="17">
        <f t="shared" si="0"/>
        <v>25418335</v>
      </c>
      <c r="H4" s="17">
        <f t="shared" si="1"/>
        <v>1562220.2095960695</v>
      </c>
      <c r="I4" s="17">
        <f t="shared" si="2"/>
        <v>23856114.790403932</v>
      </c>
    </row>
    <row r="5" spans="1:9" ht="15.75" customHeight="1" x14ac:dyDescent="0.25">
      <c r="A5" s="5">
        <f t="shared" si="3"/>
        <v>2027</v>
      </c>
      <c r="B5" s="49">
        <v>1346027</v>
      </c>
      <c r="C5" s="50">
        <v>4041570.5</v>
      </c>
      <c r="D5" s="50">
        <v>6634351.5</v>
      </c>
      <c r="E5" s="50">
        <v>7904814.5</v>
      </c>
      <c r="F5" s="50">
        <v>6785002</v>
      </c>
      <c r="G5" s="17">
        <f t="shared" si="0"/>
        <v>25365738.5</v>
      </c>
      <c r="H5" s="17">
        <f t="shared" si="1"/>
        <v>1546102.4720706739</v>
      </c>
      <c r="I5" s="17">
        <f t="shared" si="2"/>
        <v>23819636.027929325</v>
      </c>
    </row>
    <row r="6" spans="1:9" ht="15.75" customHeight="1" x14ac:dyDescent="0.25">
      <c r="A6" s="5">
        <f t="shared" si="3"/>
        <v>2028</v>
      </c>
      <c r="B6" s="49">
        <v>1328133</v>
      </c>
      <c r="C6" s="50">
        <v>4074767</v>
      </c>
      <c r="D6" s="50">
        <v>6609843.5</v>
      </c>
      <c r="E6" s="50">
        <v>7766252</v>
      </c>
      <c r="F6" s="50">
        <v>6856939</v>
      </c>
      <c r="G6" s="17">
        <f t="shared" si="0"/>
        <v>25307801.5</v>
      </c>
      <c r="H6" s="17">
        <f t="shared" si="1"/>
        <v>1525548.6810729951</v>
      </c>
      <c r="I6" s="17">
        <f t="shared" si="2"/>
        <v>23782252.818927005</v>
      </c>
    </row>
    <row r="7" spans="1:9" ht="15.75" customHeight="1" x14ac:dyDescent="0.25">
      <c r="A7" s="5">
        <f t="shared" si="3"/>
        <v>2029</v>
      </c>
      <c r="B7" s="49">
        <v>1315726</v>
      </c>
      <c r="C7" s="50">
        <v>4105170</v>
      </c>
      <c r="D7" s="50">
        <v>6601373.5</v>
      </c>
      <c r="E7" s="50">
        <v>7609297</v>
      </c>
      <c r="F7" s="50">
        <v>6918044.5</v>
      </c>
      <c r="G7" s="17">
        <f t="shared" si="0"/>
        <v>25233885</v>
      </c>
      <c r="H7" s="17">
        <f t="shared" si="1"/>
        <v>1511297.4859847978</v>
      </c>
      <c r="I7" s="17">
        <f t="shared" si="2"/>
        <v>23722587.514015201</v>
      </c>
    </row>
    <row r="8" spans="1:9" ht="15.75" customHeight="1" x14ac:dyDescent="0.25">
      <c r="A8" s="5">
        <f t="shared" si="3"/>
        <v>2030</v>
      </c>
      <c r="B8" s="49">
        <v>1303184</v>
      </c>
      <c r="C8" s="50">
        <v>4131605</v>
      </c>
      <c r="D8" s="50">
        <v>6593764</v>
      </c>
      <c r="E8" s="50">
        <v>7443792.5</v>
      </c>
      <c r="F8" s="50">
        <v>6975102.5</v>
      </c>
      <c r="G8" s="17">
        <f t="shared" si="0"/>
        <v>25144264</v>
      </c>
      <c r="H8" s="17">
        <f t="shared" si="1"/>
        <v>1496891.2242941256</v>
      </c>
      <c r="I8" s="17">
        <f t="shared" si="2"/>
        <v>23647372.775705874</v>
      </c>
    </row>
    <row r="9" spans="1:9" ht="15.75" customHeight="1" x14ac:dyDescent="0.25">
      <c r="A9" s="5">
        <f t="shared" si="3"/>
        <v>2031</v>
      </c>
      <c r="B9" s="49">
        <v>1286768</v>
      </c>
      <c r="C9" s="50">
        <v>4146815</v>
      </c>
      <c r="D9" s="50">
        <v>6586047.5</v>
      </c>
      <c r="E9" s="50">
        <v>7274823.5</v>
      </c>
      <c r="F9" s="50">
        <v>7027475.5</v>
      </c>
      <c r="G9" s="17">
        <f t="shared" si="0"/>
        <v>25035161.5</v>
      </c>
      <c r="H9" s="17">
        <f t="shared" si="1"/>
        <v>1478035.1254331726</v>
      </c>
      <c r="I9" s="17">
        <f t="shared" si="2"/>
        <v>23557126.374566827</v>
      </c>
    </row>
    <row r="10" spans="1:9" ht="15.75" customHeight="1" x14ac:dyDescent="0.25">
      <c r="A10" s="5">
        <f t="shared" si="3"/>
        <v>2032</v>
      </c>
      <c r="B10" s="49">
        <v>1279652</v>
      </c>
      <c r="C10" s="50">
        <v>4147053.5</v>
      </c>
      <c r="D10" s="50">
        <v>6581579</v>
      </c>
      <c r="E10" s="50">
        <v>7111740</v>
      </c>
      <c r="F10" s="50">
        <v>7073473.5</v>
      </c>
      <c r="G10" s="17">
        <f t="shared" si="0"/>
        <v>24913846</v>
      </c>
      <c r="H10" s="17">
        <f t="shared" si="1"/>
        <v>1469861.3925204931</v>
      </c>
      <c r="I10" s="17">
        <f t="shared" si="2"/>
        <v>23443984.607479505</v>
      </c>
    </row>
    <row r="11" spans="1:9" ht="15.75" customHeight="1" x14ac:dyDescent="0.25">
      <c r="A11" s="5">
        <f t="shared" si="3"/>
        <v>2033</v>
      </c>
      <c r="B11" s="49">
        <v>1269233</v>
      </c>
      <c r="C11" s="50">
        <v>4133069</v>
      </c>
      <c r="D11" s="50">
        <v>6586708.5</v>
      </c>
      <c r="E11" s="50">
        <v>6960547.5</v>
      </c>
      <c r="F11" s="50">
        <v>7110801</v>
      </c>
      <c r="G11" s="17">
        <f t="shared" si="0"/>
        <v>24791126</v>
      </c>
      <c r="H11" s="17">
        <f t="shared" si="1"/>
        <v>1457893.6967339271</v>
      </c>
      <c r="I11" s="17">
        <f t="shared" si="2"/>
        <v>23333232.303266075</v>
      </c>
    </row>
    <row r="12" spans="1:9" ht="15.75" customHeight="1" x14ac:dyDescent="0.25">
      <c r="A12" s="5">
        <f t="shared" si="3"/>
        <v>2034</v>
      </c>
      <c r="B12" s="49">
        <v>1261911</v>
      </c>
      <c r="C12" s="50">
        <v>4110156.0000000009</v>
      </c>
      <c r="D12" s="50">
        <v>6599556.5</v>
      </c>
      <c r="E12" s="50">
        <v>6829277.5</v>
      </c>
      <c r="F12" s="50">
        <v>7132205</v>
      </c>
      <c r="G12" s="17">
        <f t="shared" si="0"/>
        <v>24671195</v>
      </c>
      <c r="H12" s="17">
        <f t="shared" si="1"/>
        <v>1449483.3436722863</v>
      </c>
      <c r="I12" s="17">
        <f t="shared" si="2"/>
        <v>23221711.656327713</v>
      </c>
    </row>
    <row r="13" spans="1:9" ht="15.75" customHeight="1" x14ac:dyDescent="0.25">
      <c r="A13" s="5">
        <f t="shared" si="3"/>
        <v>2035</v>
      </c>
      <c r="B13" s="49">
        <v>1253124</v>
      </c>
      <c r="C13" s="50">
        <v>4079551.5</v>
      </c>
      <c r="D13" s="50">
        <v>6617765.5</v>
      </c>
      <c r="E13" s="50">
        <v>6728145.5</v>
      </c>
      <c r="F13" s="50">
        <v>7128161.5</v>
      </c>
      <c r="G13" s="17">
        <f t="shared" si="0"/>
        <v>24553624</v>
      </c>
      <c r="H13" s="17">
        <f t="shared" si="1"/>
        <v>1439390.2308134169</v>
      </c>
      <c r="I13" s="17">
        <f t="shared" si="2"/>
        <v>23114233.769186582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0.16119969142408941</v>
      </c>
    </row>
    <row r="5" spans="1:8" ht="15.75" customHeight="1" x14ac:dyDescent="0.25">
      <c r="B5" s="19" t="s">
        <v>70</v>
      </c>
      <c r="C5" s="101">
        <v>6.5832262834305141E-2</v>
      </c>
    </row>
    <row r="6" spans="1:8" ht="15.75" customHeight="1" x14ac:dyDescent="0.25">
      <c r="B6" s="19" t="s">
        <v>71</v>
      </c>
      <c r="C6" s="101">
        <v>0.14184394821056301</v>
      </c>
    </row>
    <row r="7" spans="1:8" ht="15.75" customHeight="1" x14ac:dyDescent="0.25">
      <c r="B7" s="19" t="s">
        <v>72</v>
      </c>
      <c r="C7" s="101">
        <v>0.39461551247407772</v>
      </c>
    </row>
    <row r="8" spans="1:8" ht="15.75" customHeight="1" x14ac:dyDescent="0.25">
      <c r="B8" s="19" t="s">
        <v>73</v>
      </c>
      <c r="C8" s="101">
        <v>7.4852374206232171E-5</v>
      </c>
    </row>
    <row r="9" spans="1:8" ht="15.75" customHeight="1" x14ac:dyDescent="0.25">
      <c r="B9" s="19" t="s">
        <v>74</v>
      </c>
      <c r="C9" s="101">
        <v>0.1777144467984253</v>
      </c>
    </row>
    <row r="10" spans="1:8" ht="15.75" customHeight="1" x14ac:dyDescent="0.25">
      <c r="B10" s="19" t="s">
        <v>75</v>
      </c>
      <c r="C10" s="101">
        <v>5.8719285884333283E-2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0.1802786786201154</v>
      </c>
      <c r="D14" s="55">
        <v>0.1802786786201154</v>
      </c>
      <c r="E14" s="55">
        <v>0.1802786786201154</v>
      </c>
      <c r="F14" s="55">
        <v>0.1802786786201154</v>
      </c>
    </row>
    <row r="15" spans="1:8" ht="15.75" customHeight="1" x14ac:dyDescent="0.25">
      <c r="B15" s="19" t="s">
        <v>82</v>
      </c>
      <c r="C15" s="101">
        <v>0.27581630038978422</v>
      </c>
      <c r="D15" s="101">
        <v>0.27581630038978422</v>
      </c>
      <c r="E15" s="101">
        <v>0.27581630038978422</v>
      </c>
      <c r="F15" s="101">
        <v>0.27581630038978422</v>
      </c>
    </row>
    <row r="16" spans="1:8" ht="15.75" customHeight="1" x14ac:dyDescent="0.25">
      <c r="B16" s="19" t="s">
        <v>83</v>
      </c>
      <c r="C16" s="101">
        <v>5.0478112893712693E-2</v>
      </c>
      <c r="D16" s="101">
        <v>5.0478112893712693E-2</v>
      </c>
      <c r="E16" s="101">
        <v>5.0478112893712693E-2</v>
      </c>
      <c r="F16" s="101">
        <v>5.0478112893712693E-2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3.0939452737560089E-2</v>
      </c>
      <c r="D18" s="101">
        <v>3.0939452737560089E-2</v>
      </c>
      <c r="E18" s="101">
        <v>3.0939452737560089E-2</v>
      </c>
      <c r="F18" s="101">
        <v>3.0939452737560089E-2</v>
      </c>
    </row>
    <row r="19" spans="1:8" ht="15.75" customHeight="1" x14ac:dyDescent="0.25">
      <c r="B19" s="19" t="s">
        <v>86</v>
      </c>
      <c r="C19" s="101">
        <v>1.026055393849703E-2</v>
      </c>
      <c r="D19" s="101">
        <v>1.026055393849703E-2</v>
      </c>
      <c r="E19" s="101">
        <v>1.026055393849703E-2</v>
      </c>
      <c r="F19" s="101">
        <v>1.026055393849703E-2</v>
      </c>
    </row>
    <row r="20" spans="1:8" ht="15.75" customHeight="1" x14ac:dyDescent="0.25">
      <c r="B20" s="19" t="s">
        <v>87</v>
      </c>
      <c r="C20" s="101">
        <v>3.5903363395069353E-2</v>
      </c>
      <c r="D20" s="101">
        <v>3.5903363395069353E-2</v>
      </c>
      <c r="E20" s="101">
        <v>3.5903363395069353E-2</v>
      </c>
      <c r="F20" s="101">
        <v>3.5903363395069353E-2</v>
      </c>
    </row>
    <row r="21" spans="1:8" ht="15.75" customHeight="1" x14ac:dyDescent="0.25">
      <c r="B21" s="19" t="s">
        <v>88</v>
      </c>
      <c r="C21" s="101">
        <v>0.31616327977805031</v>
      </c>
      <c r="D21" s="101">
        <v>0.31616327977805031</v>
      </c>
      <c r="E21" s="101">
        <v>0.31616327977805031</v>
      </c>
      <c r="F21" s="101">
        <v>0.31616327977805031</v>
      </c>
    </row>
    <row r="22" spans="1:8" ht="15.75" customHeight="1" x14ac:dyDescent="0.25">
      <c r="B22" s="19" t="s">
        <v>89</v>
      </c>
      <c r="C22" s="101">
        <v>0.1001602582472108</v>
      </c>
      <c r="D22" s="101">
        <v>0.1001602582472108</v>
      </c>
      <c r="E22" s="101">
        <v>0.1001602582472108</v>
      </c>
      <c r="F22" s="101">
        <v>0.1001602582472108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5.6534050000000002E-2</v>
      </c>
    </row>
    <row r="27" spans="1:8" ht="15.75" customHeight="1" x14ac:dyDescent="0.25">
      <c r="B27" s="19" t="s">
        <v>92</v>
      </c>
      <c r="C27" s="101">
        <v>3.5322311000000002E-2</v>
      </c>
    </row>
    <row r="28" spans="1:8" ht="15.75" customHeight="1" x14ac:dyDescent="0.25">
      <c r="B28" s="19" t="s">
        <v>93</v>
      </c>
      <c r="C28" s="101">
        <v>4.2593103E-2</v>
      </c>
    </row>
    <row r="29" spans="1:8" ht="15.75" customHeight="1" x14ac:dyDescent="0.25">
      <c r="B29" s="19" t="s">
        <v>94</v>
      </c>
      <c r="C29" s="101">
        <v>0.27419058800000001</v>
      </c>
    </row>
    <row r="30" spans="1:8" ht="15.75" customHeight="1" x14ac:dyDescent="0.25">
      <c r="B30" s="19" t="s">
        <v>95</v>
      </c>
      <c r="C30" s="101">
        <v>6.2699299999999999E-2</v>
      </c>
    </row>
    <row r="31" spans="1:8" ht="15.75" customHeight="1" x14ac:dyDescent="0.25">
      <c r="B31" s="19" t="s">
        <v>96</v>
      </c>
      <c r="C31" s="101">
        <v>0.140173941</v>
      </c>
    </row>
    <row r="32" spans="1:8" ht="15.75" customHeight="1" x14ac:dyDescent="0.25">
      <c r="B32" s="19" t="s">
        <v>97</v>
      </c>
      <c r="C32" s="101">
        <v>2.4544165999999999E-2</v>
      </c>
    </row>
    <row r="33" spans="2:3" ht="15.75" customHeight="1" x14ac:dyDescent="0.25">
      <c r="B33" s="19" t="s">
        <v>98</v>
      </c>
      <c r="C33" s="101">
        <v>0.119318915</v>
      </c>
    </row>
    <row r="34" spans="2:3" ht="15.75" customHeight="1" x14ac:dyDescent="0.25">
      <c r="B34" s="19" t="s">
        <v>99</v>
      </c>
      <c r="C34" s="101">
        <v>0.24462362800000001</v>
      </c>
    </row>
    <row r="35" spans="2:3" ht="15.75" customHeight="1" x14ac:dyDescent="0.25">
      <c r="B35" s="27" t="s">
        <v>30</v>
      </c>
      <c r="C35" s="48">
        <f>SUM(C26:C34)</f>
        <v>1.0000000019999999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0.41148677075000001</v>
      </c>
      <c r="D14" s="54">
        <v>0.38665276676100002</v>
      </c>
      <c r="E14" s="54">
        <v>0.38665276676100002</v>
      </c>
      <c r="F14" s="54">
        <v>0.23521444346199999</v>
      </c>
      <c r="G14" s="54">
        <v>0.23521444346199999</v>
      </c>
      <c r="H14" s="45">
        <v>0.29099999999999998</v>
      </c>
      <c r="I14" s="55">
        <v>0.29099999999999998</v>
      </c>
      <c r="J14" s="55">
        <v>0.29099999999999998</v>
      </c>
      <c r="K14" s="55">
        <v>0.29099999999999998</v>
      </c>
      <c r="L14" s="45">
        <v>0.23599999999999999</v>
      </c>
      <c r="M14" s="55">
        <v>0.23599999999999999</v>
      </c>
      <c r="N14" s="55">
        <v>0.23599999999999999</v>
      </c>
      <c r="O14" s="55">
        <v>0.23599999999999999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0.23871047098717776</v>
      </c>
      <c r="D15" s="52">
        <f t="shared" si="0"/>
        <v>0.22430384309509105</v>
      </c>
      <c r="E15" s="52">
        <f t="shared" si="0"/>
        <v>0.22430384309509105</v>
      </c>
      <c r="F15" s="52">
        <f t="shared" si="0"/>
        <v>0.13645189729784504</v>
      </c>
      <c r="G15" s="52">
        <f t="shared" si="0"/>
        <v>0.13645189729784504</v>
      </c>
      <c r="H15" s="52">
        <f t="shared" si="0"/>
        <v>0.16881404699999999</v>
      </c>
      <c r="I15" s="52">
        <f t="shared" si="0"/>
        <v>0.16881404699999999</v>
      </c>
      <c r="J15" s="52">
        <f t="shared" si="0"/>
        <v>0.16881404699999999</v>
      </c>
      <c r="K15" s="52">
        <f t="shared" si="0"/>
        <v>0.16881404699999999</v>
      </c>
      <c r="L15" s="52">
        <f t="shared" si="0"/>
        <v>0.13690761199999998</v>
      </c>
      <c r="M15" s="52">
        <f t="shared" si="0"/>
        <v>0.13690761199999998</v>
      </c>
      <c r="N15" s="52">
        <f t="shared" si="0"/>
        <v>0.13690761199999998</v>
      </c>
      <c r="O15" s="52">
        <f t="shared" si="0"/>
        <v>0.13690761199999998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122</v>
      </c>
      <c r="C5" s="52">
        <v>4.7031312222222198E-2</v>
      </c>
      <c r="D5" s="52">
        <v>0.10405767555555601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45.442281641165188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42.690090320031779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217.064805431211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1.2802900880707899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13.70780222005237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13.70780222005237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13.70780222005237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13.70780222005237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13.70780222005237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13.70780222005237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0.67</v>
      </c>
      <c r="C16" s="98">
        <v>0.95</v>
      </c>
      <c r="D16" s="56">
        <v>0.44701907318651901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0.13023111111111099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0.119632645</v>
      </c>
      <c r="C18" s="98">
        <v>0.95</v>
      </c>
      <c r="D18" s="56">
        <v>5.0635162116449219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0.98395579999999994</v>
      </c>
      <c r="C19" s="98">
        <v>0.95</v>
      </c>
      <c r="D19" s="56">
        <v>5.0635162116449219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0.78326970000000007</v>
      </c>
      <c r="C21" s="98">
        <v>0.95</v>
      </c>
      <c r="D21" s="56">
        <v>13.06808901635755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23.483058881679661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4.5660983713272767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0.90653673999999995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19.70745253122227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0.71090409500000007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84.919796715648516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1.831453715203385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0.92608930441939119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2.9135134663262119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205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0.10199999999999999</v>
      </c>
      <c r="E2" s="60">
        <f>food_insecure</f>
        <v>0.10199999999999999</v>
      </c>
      <c r="F2" s="60">
        <f>food_insecure</f>
        <v>0.10199999999999999</v>
      </c>
      <c r="G2" s="60">
        <f>food_insecure</f>
        <v>0.10199999999999999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0.10199999999999999</v>
      </c>
      <c r="F5" s="60">
        <f>food_insecure</f>
        <v>0.10199999999999999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0.10199999999999999</v>
      </c>
      <c r="F8" s="60">
        <f>food_insecure</f>
        <v>0.10199999999999999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0.10199999999999999</v>
      </c>
      <c r="F9" s="60">
        <f>food_insecure</f>
        <v>0.10199999999999999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0.10199999999999999</v>
      </c>
      <c r="I15" s="60">
        <f>food_insecure</f>
        <v>0.10199999999999999</v>
      </c>
      <c r="J15" s="60">
        <f>food_insecure</f>
        <v>0.10199999999999999</v>
      </c>
      <c r="K15" s="60">
        <f>food_insecure</f>
        <v>0.10199999999999999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0.30299999999999999</v>
      </c>
      <c r="M24" s="60">
        <f>famplan_unmet_need</f>
        <v>0.30299999999999999</v>
      </c>
      <c r="N24" s="60">
        <f>famplan_unmet_need</f>
        <v>0.30299999999999999</v>
      </c>
      <c r="O24" s="60">
        <f>famplan_unmet_need</f>
        <v>0.30299999999999999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9.5079631369632017E-2</v>
      </c>
      <c r="M25" s="60">
        <f>(1-food_insecure)*(0.49)+food_insecure*(0.7)</f>
        <v>0.51141999999999999</v>
      </c>
      <c r="N25" s="60">
        <f>(1-food_insecure)*(0.49)+food_insecure*(0.7)</f>
        <v>0.51141999999999999</v>
      </c>
      <c r="O25" s="60">
        <f>(1-food_insecure)*(0.49)+food_insecure*(0.7)</f>
        <v>0.51141999999999999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4.0748413444128002E-2</v>
      </c>
      <c r="M26" s="60">
        <f>(1-food_insecure)*(0.21)+food_insecure*(0.3)</f>
        <v>0.21917999999999999</v>
      </c>
      <c r="N26" s="60">
        <f>(1-food_insecure)*(0.21)+food_insecure*(0.3)</f>
        <v>0.21917999999999999</v>
      </c>
      <c r="O26" s="60">
        <f>(1-food_insecure)*(0.21)+food_insecure*(0.3)</f>
        <v>0.21917999999999999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5.0084964786239999E-2</v>
      </c>
      <c r="M27" s="60">
        <f>(1-food_insecure)*(0.3)</f>
        <v>0.26939999999999997</v>
      </c>
      <c r="N27" s="60">
        <f>(1-food_insecure)*(0.3)</f>
        <v>0.26939999999999997</v>
      </c>
      <c r="O27" s="60">
        <f>(1-food_insecure)*(0.3)</f>
        <v>0.26939999999999997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6948C92-795F-476B-A977-FD13DFB7183B}"/>
</file>

<file path=customXml/itemProps2.xml><?xml version="1.0" encoding="utf-8"?>
<ds:datastoreItem xmlns:ds="http://schemas.openxmlformats.org/officeDocument/2006/customXml" ds:itemID="{D00C3A7E-FB57-489D-8CCA-0437D4A66DF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2024-04-11T00:42:27Z</dcterms:modified>
</cp:coreProperties>
</file>