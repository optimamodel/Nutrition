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1EDD142-95D3-429C-96A3-7DCE7D0E47EA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6" i="2"/>
  <c r="A25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1" i="2"/>
  <c r="A40" i="2"/>
  <c r="A34" i="2"/>
  <c r="I2" i="2"/>
  <c r="I6" i="2"/>
  <c r="A19" i="2"/>
  <c r="A35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<sst xmlns="http://schemas.openxmlformats.org/spreadsheetml/2006/main" count="2169" uniqueCount="373">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</sst>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6900235.5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8.1799999999999998E-2</v>
      </c>
    </row>
    <row r="24" spans="1:3" ht="15" customHeight="1" x14ac:dyDescent="0.25">
      <c r="B24" s="15" t="s">
        <v>22</v>
      </c>
      <c r="C24" s="45">
        <v>0.59670000000000001</v>
      </c>
    </row>
    <row r="25" spans="1:3" ht="15" customHeight="1" x14ac:dyDescent="0.25">
      <c r="B25" s="15" t="s">
        <v>23</v>
      </c>
      <c r="C25" s="45">
        <v>0.30309999999999998</v>
      </c>
    </row>
    <row r="26" spans="1:3" ht="15" customHeight="1" x14ac:dyDescent="0.25">
      <c r="B26" s="15" t="s">
        <v>24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7">
        <v>0.10516916316476101</v>
      </c>
    </row>
    <row r="31" spans="1:3" ht="14.25" customHeight="1" x14ac:dyDescent="0.25">
      <c r="B31" s="25" t="s">
        <v>28</v>
      </c>
      <c r="C31" s="97">
        <v>8.4505866375242988E-2</v>
      </c>
    </row>
    <row r="32" spans="1:3" ht="14.25" customHeight="1" x14ac:dyDescent="0.25">
      <c r="B32" s="25" t="s">
        <v>29</v>
      </c>
      <c r="C32" s="97">
        <v>0.46038333121207198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14.99222</v>
      </c>
    </row>
    <row r="38" spans="1:5" ht="15" customHeight="1" x14ac:dyDescent="0.25">
      <c r="B38" s="11" t="s">
        <v>34</v>
      </c>
      <c r="C38" s="43">
        <v>21.063030000000001</v>
      </c>
      <c r="D38" s="12"/>
      <c r="E38" s="13"/>
    </row>
    <row r="39" spans="1:5" ht="15" customHeight="1" x14ac:dyDescent="0.25">
      <c r="B39" s="11" t="s">
        <v>35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98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7.0407000000000004E-3</v>
      </c>
      <c r="D45" s="12"/>
    </row>
    <row r="46" spans="1:5" ht="15.75" customHeight="1" x14ac:dyDescent="0.25">
      <c r="B46" s="11" t="s">
        <v>41</v>
      </c>
      <c r="C46" s="45">
        <v>7.5650899999999993E-2</v>
      </c>
      <c r="D46" s="12"/>
    </row>
    <row r="47" spans="1:5" ht="15.75" customHeight="1" x14ac:dyDescent="0.25">
      <c r="B47" s="11" t="s">
        <v>42</v>
      </c>
      <c r="C47" s="45">
        <v>7.4305499999999997E-2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0.58011699999999999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6.311217509E-2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1355563</v>
      </c>
      <c r="C2" s="49">
        <v>3617395.5</v>
      </c>
      <c r="D2" s="49">
        <v>6570464.5</v>
      </c>
      <c r="E2" s="49">
        <v>8487072.5</v>
      </c>
      <c r="F2" s="49">
        <v>7250662</v>
      </c>
      <c r="G2" s="17">
        <f t="shared" ref="G2:G13" si="0">C2+D2+E2+F2</f>
        <v>25925594.5</v>
      </c>
      <c r="H2" s="17">
        <f t="shared" ref="H2:H13" si="1">(B2 + stillbirth*B2/(1000-stillbirth))/(1-abortion)</f>
        <v>1557055.9174129041</v>
      </c>
      <c r="I2" s="17">
        <f t="shared" ref="I2:I13" si="2">G2-H2</f>
        <v>24368538.582587097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1328422</v>
      </c>
      <c r="C3" s="50">
        <v>3681317</v>
      </c>
      <c r="D3" s="50">
        <v>6484170.5</v>
      </c>
      <c r="E3" s="50">
        <v>8366224.5</v>
      </c>
      <c r="F3" s="50">
        <v>7451784.5</v>
      </c>
      <c r="G3" s="17">
        <f t="shared" si="0"/>
        <v>25983496.5</v>
      </c>
      <c r="H3" s="17">
        <f t="shared" si="1"/>
        <v>1525880.6384664415</v>
      </c>
      <c r="I3" s="17">
        <f t="shared" si="2"/>
        <v>24457615.86153356</v>
      </c>
    </row>
    <row r="4" spans="1:9" ht="15.75" customHeight="1" x14ac:dyDescent="0.25">
      <c r="A4" s="5">
        <f t="shared" si="3"/>
        <v>2026</v>
      </c>
      <c r="B4" s="49">
        <v>1307471</v>
      </c>
      <c r="C4" s="50">
        <v>3750530</v>
      </c>
      <c r="D4" s="50">
        <v>6450836.4999999991</v>
      </c>
      <c r="E4" s="50">
        <v>8231826.9999999991</v>
      </c>
      <c r="F4" s="50">
        <v>7602684.4999999991</v>
      </c>
      <c r="G4" s="17">
        <f t="shared" si="0"/>
        <v>26035878</v>
      </c>
      <c r="H4" s="17">
        <f t="shared" si="1"/>
        <v>1501815.45040383</v>
      </c>
      <c r="I4" s="17">
        <f t="shared" si="2"/>
        <v>24534062.549596168</v>
      </c>
    </row>
    <row r="5" spans="1:9" ht="15.75" customHeight="1" x14ac:dyDescent="0.25">
      <c r="A5" s="5">
        <f t="shared" si="3"/>
        <v>2027</v>
      </c>
      <c r="B5" s="49">
        <v>1290702</v>
      </c>
      <c r="C5" s="50">
        <v>3907084.5</v>
      </c>
      <c r="D5" s="50">
        <v>6493461</v>
      </c>
      <c r="E5" s="50">
        <v>8056513.0000000009</v>
      </c>
      <c r="F5" s="50">
        <v>7748243.5000000009</v>
      </c>
      <c r="G5" s="17">
        <f t="shared" si="0"/>
        <v>26205302</v>
      </c>
      <c r="H5" s="17">
        <f t="shared" si="1"/>
        <v>1482553.8810934424</v>
      </c>
      <c r="I5" s="17">
        <f t="shared" si="2"/>
        <v>24722748.118906558</v>
      </c>
    </row>
    <row r="6" spans="1:9" ht="15.75" customHeight="1" x14ac:dyDescent="0.25">
      <c r="A6" s="5">
        <f t="shared" si="3"/>
        <v>2028</v>
      </c>
      <c r="B6" s="49">
        <v>1280143</v>
      </c>
      <c r="C6" s="50">
        <v>4067401.5</v>
      </c>
      <c r="D6" s="50">
        <v>6604544</v>
      </c>
      <c r="E6" s="50">
        <v>7822756.4999999991</v>
      </c>
      <c r="F6" s="50">
        <v>7906886</v>
      </c>
      <c r="G6" s="17">
        <f t="shared" si="0"/>
        <v>26401588</v>
      </c>
      <c r="H6" s="17">
        <f t="shared" si="1"/>
        <v>1470425.3754969023</v>
      </c>
      <c r="I6" s="17">
        <f t="shared" si="2"/>
        <v>24931162.624503098</v>
      </c>
    </row>
    <row r="7" spans="1:9" ht="15.75" customHeight="1" x14ac:dyDescent="0.25">
      <c r="A7" s="5">
        <f t="shared" si="3"/>
        <v>2029</v>
      </c>
      <c r="B7" s="49">
        <v>1275327</v>
      </c>
      <c r="C7" s="50">
        <v>4151109.0000000005</v>
      </c>
      <c r="D7" s="50">
        <v>6746609.5000000009</v>
      </c>
      <c r="E7" s="50">
        <v>7550120</v>
      </c>
      <c r="F7" s="50">
        <v>8066781.5</v>
      </c>
      <c r="G7" s="17">
        <f t="shared" si="0"/>
        <v>26514620</v>
      </c>
      <c r="H7" s="17">
        <f t="shared" si="1"/>
        <v>1464893.518033796</v>
      </c>
      <c r="I7" s="17">
        <f t="shared" si="2"/>
        <v>25049726.481966205</v>
      </c>
    </row>
    <row r="8" spans="1:9" ht="15.75" customHeight="1" x14ac:dyDescent="0.25">
      <c r="A8" s="5">
        <f t="shared" si="3"/>
        <v>2030</v>
      </c>
      <c r="B8" s="49">
        <v>1275653</v>
      </c>
      <c r="C8" s="50">
        <v>4233806</v>
      </c>
      <c r="D8" s="50">
        <v>6849355.5</v>
      </c>
      <c r="E8" s="50">
        <v>7269343.5</v>
      </c>
      <c r="F8" s="50">
        <v>8247697.5</v>
      </c>
      <c r="G8" s="17">
        <f t="shared" si="0"/>
        <v>26600202.5</v>
      </c>
      <c r="H8" s="17">
        <f t="shared" si="1"/>
        <v>1465267.9751627357</v>
      </c>
      <c r="I8" s="17">
        <f t="shared" si="2"/>
        <v>25134934.524837263</v>
      </c>
    </row>
    <row r="9" spans="1:9" ht="15.75" customHeight="1" x14ac:dyDescent="0.25">
      <c r="A9" s="5">
        <f t="shared" si="3"/>
        <v>2031</v>
      </c>
      <c r="B9" s="49">
        <v>1277512</v>
      </c>
      <c r="C9" s="50">
        <v>4265530.5</v>
      </c>
      <c r="D9" s="50">
        <v>6968673.5</v>
      </c>
      <c r="E9" s="50">
        <v>7011120.5</v>
      </c>
      <c r="F9" s="50">
        <v>8401509.5</v>
      </c>
      <c r="G9" s="17">
        <f t="shared" si="0"/>
        <v>26646834</v>
      </c>
      <c r="H9" s="17">
        <f t="shared" si="1"/>
        <v>1467403.2997108905</v>
      </c>
      <c r="I9" s="17">
        <f t="shared" si="2"/>
        <v>25179430.700289108</v>
      </c>
    </row>
    <row r="10" spans="1:9" ht="15.75" customHeight="1" x14ac:dyDescent="0.25">
      <c r="A10" s="5">
        <f t="shared" si="3"/>
        <v>2032</v>
      </c>
      <c r="B10" s="49">
        <v>1282500</v>
      </c>
      <c r="C10" s="50">
        <v>4141381.9999999995</v>
      </c>
      <c r="D10" s="50">
        <v>7215709</v>
      </c>
      <c r="E10" s="50">
        <v>6781541.4999999991</v>
      </c>
      <c r="F10" s="50">
        <v>8466952.5</v>
      </c>
      <c r="G10" s="17">
        <f t="shared" si="0"/>
        <v>26605585</v>
      </c>
      <c r="H10" s="17">
        <f t="shared" si="1"/>
        <v>1473132.7235119648</v>
      </c>
      <c r="I10" s="17">
        <f t="shared" si="2"/>
        <v>25132452.276488036</v>
      </c>
    </row>
    <row r="11" spans="1:9" ht="15.75" customHeight="1" x14ac:dyDescent="0.25">
      <c r="A11" s="5">
        <f t="shared" si="3"/>
        <v>2033</v>
      </c>
      <c r="B11" s="49">
        <v>1290081</v>
      </c>
      <c r="C11" s="50">
        <v>3954697.5</v>
      </c>
      <c r="D11" s="50">
        <v>7462897.9999999991</v>
      </c>
      <c r="E11" s="50">
        <v>6605728</v>
      </c>
      <c r="F11" s="50">
        <v>8454573</v>
      </c>
      <c r="G11" s="17">
        <f t="shared" si="0"/>
        <v>26477896.5</v>
      </c>
      <c r="H11" s="17">
        <f t="shared" si="1"/>
        <v>1481840.5747220577</v>
      </c>
      <c r="I11" s="17">
        <f t="shared" si="2"/>
        <v>24996055.925277941</v>
      </c>
    </row>
    <row r="12" spans="1:9" ht="15.75" customHeight="1" x14ac:dyDescent="0.25">
      <c r="A12" s="5">
        <f t="shared" si="3"/>
        <v>2034</v>
      </c>
      <c r="B12" s="49">
        <v>1298215</v>
      </c>
      <c r="C12" s="50">
        <v>3798643.5</v>
      </c>
      <c r="D12" s="50">
        <v>7628657.9999999991</v>
      </c>
      <c r="E12" s="50">
        <v>6489644</v>
      </c>
      <c r="F12" s="50">
        <v>8377187</v>
      </c>
      <c r="G12" s="17">
        <f t="shared" si="0"/>
        <v>26294132.5</v>
      </c>
      <c r="H12" s="17">
        <f t="shared" si="1"/>
        <v>1491183.624681548</v>
      </c>
      <c r="I12" s="17">
        <f t="shared" si="2"/>
        <v>24802948.875318453</v>
      </c>
    </row>
    <row r="13" spans="1:9" ht="15.75" customHeight="1" x14ac:dyDescent="0.25">
      <c r="A13" s="5">
        <f t="shared" si="3"/>
        <v>2035</v>
      </c>
      <c r="B13" s="49">
        <v>1305800</v>
      </c>
      <c r="C13" s="50">
        <v>3657194</v>
      </c>
      <c r="D13" s="50">
        <v>7776391</v>
      </c>
      <c r="E13" s="50">
        <v>6408577.9999999991</v>
      </c>
      <c r="F13" s="50">
        <v>8260573</v>
      </c>
      <c r="G13" s="17">
        <f t="shared" si="0"/>
        <v>26102736</v>
      </c>
      <c r="H13" s="17">
        <f t="shared" si="1"/>
        <v>1499896.0704576401</v>
      </c>
      <c r="I13" s="17">
        <f t="shared" si="2"/>
        <v>24602839.929542359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0.16119969142408941</v>
      </c>
    </row>
    <row r="5" spans="1:8" ht="15.75" customHeight="1" x14ac:dyDescent="0.25">
      <c r="B5" s="19" t="s">
        <v>70</v>
      </c>
      <c r="C5" s="99">
        <v>6.5832262834305141E-2</v>
      </c>
    </row>
    <row r="6" spans="1:8" ht="15.75" customHeight="1" x14ac:dyDescent="0.25">
      <c r="B6" s="19" t="s">
        <v>71</v>
      </c>
      <c r="C6" s="99">
        <v>0.14184394821056301</v>
      </c>
    </row>
    <row r="7" spans="1:8" ht="15.75" customHeight="1" x14ac:dyDescent="0.25">
      <c r="B7" s="19" t="s">
        <v>72</v>
      </c>
      <c r="C7" s="99">
        <v>0.39461551247407772</v>
      </c>
    </row>
    <row r="8" spans="1:8" ht="15.75" customHeight="1" x14ac:dyDescent="0.25">
      <c r="B8" s="19" t="s">
        <v>73</v>
      </c>
      <c r="C8" s="99">
        <v>7.4852374206232171E-5</v>
      </c>
    </row>
    <row r="9" spans="1:8" ht="15.75" customHeight="1" x14ac:dyDescent="0.25">
      <c r="B9" s="19" t="s">
        <v>74</v>
      </c>
      <c r="C9" s="99">
        <v>0.1777144467984253</v>
      </c>
    </row>
    <row r="10" spans="1:8" ht="15.75" customHeight="1" x14ac:dyDescent="0.25">
      <c r="B10" s="19" t="s">
        <v>75</v>
      </c>
      <c r="C10" s="99">
        <v>5.8719285884333283E-2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82</v>
      </c>
      <c r="C15" s="99">
        <v>0.27581630038978422</v>
      </c>
      <c r="D15" s="99">
        <v>0.27581630038978422</v>
      </c>
      <c r="E15" s="99">
        <v>0.27581630038978422</v>
      </c>
      <c r="F15" s="99">
        <v>0.27581630038978422</v>
      </c>
    </row>
    <row r="16" spans="1:8" ht="15.75" customHeight="1" x14ac:dyDescent="0.25">
      <c r="B16" s="19" t="s">
        <v>83</v>
      </c>
      <c r="C16" s="99">
        <v>5.0478112893712693E-2</v>
      </c>
      <c r="D16" s="99">
        <v>5.0478112893712693E-2</v>
      </c>
      <c r="E16" s="99">
        <v>5.0478112893712693E-2</v>
      </c>
      <c r="F16" s="99">
        <v>5.0478112893712693E-2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3.0939452737560089E-2</v>
      </c>
      <c r="D18" s="99">
        <v>3.0939452737560089E-2</v>
      </c>
      <c r="E18" s="99">
        <v>3.0939452737560089E-2</v>
      </c>
      <c r="F18" s="99">
        <v>3.0939452737560089E-2</v>
      </c>
    </row>
    <row r="19" spans="1:8" ht="15.75" customHeight="1" x14ac:dyDescent="0.25">
      <c r="B19" s="19" t="s">
        <v>86</v>
      </c>
      <c r="C19" s="99">
        <v>1.026055393849703E-2</v>
      </c>
      <c r="D19" s="99">
        <v>1.026055393849703E-2</v>
      </c>
      <c r="E19" s="99">
        <v>1.026055393849703E-2</v>
      </c>
      <c r="F19" s="99">
        <v>1.026055393849703E-2</v>
      </c>
    </row>
    <row r="20" spans="1:8" ht="15.75" customHeight="1" x14ac:dyDescent="0.25">
      <c r="B20" s="19" t="s">
        <v>87</v>
      </c>
      <c r="C20" s="99">
        <v>3.5903363395069353E-2</v>
      </c>
      <c r="D20" s="99">
        <v>3.5903363395069353E-2</v>
      </c>
      <c r="E20" s="99">
        <v>3.5903363395069353E-2</v>
      </c>
      <c r="F20" s="99">
        <v>3.5903363395069353E-2</v>
      </c>
    </row>
    <row r="21" spans="1:8" ht="15.75" customHeight="1" x14ac:dyDescent="0.25">
      <c r="B21" s="19" t="s">
        <v>88</v>
      </c>
      <c r="C21" s="99">
        <v>0.31616327977805031</v>
      </c>
      <c r="D21" s="99">
        <v>0.31616327977805031</v>
      </c>
      <c r="E21" s="99">
        <v>0.31616327977805031</v>
      </c>
      <c r="F21" s="99">
        <v>0.31616327977805031</v>
      </c>
    </row>
    <row r="22" spans="1:8" ht="15.75" customHeight="1" x14ac:dyDescent="0.25">
      <c r="B22" s="19" t="s">
        <v>89</v>
      </c>
      <c r="C22" s="99">
        <v>0.1001602582472108</v>
      </c>
      <c r="D22" s="99">
        <v>0.1001602582472108</v>
      </c>
      <c r="E22" s="99">
        <v>0.1001602582472108</v>
      </c>
      <c r="F22" s="99">
        <v>0.1001602582472108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5.6534050000000002E-2</v>
      </c>
    </row>
    <row r="27" spans="1:8" ht="15.75" customHeight="1" x14ac:dyDescent="0.25">
      <c r="B27" s="19" t="s">
        <v>92</v>
      </c>
      <c r="C27" s="99">
        <v>3.5322311000000002E-2</v>
      </c>
    </row>
    <row r="28" spans="1:8" ht="15.75" customHeight="1" x14ac:dyDescent="0.25">
      <c r="B28" s="19" t="s">
        <v>93</v>
      </c>
      <c r="C28" s="99">
        <v>4.2593103E-2</v>
      </c>
    </row>
    <row r="29" spans="1:8" ht="15.75" customHeight="1" x14ac:dyDescent="0.25">
      <c r="B29" s="19" t="s">
        <v>94</v>
      </c>
      <c r="C29" s="99">
        <v>0.27419058800000001</v>
      </c>
    </row>
    <row r="30" spans="1:8" ht="15.75" customHeight="1" x14ac:dyDescent="0.25">
      <c r="B30" s="19" t="s">
        <v>95</v>
      </c>
      <c r="C30" s="99">
        <v>6.2699299999999999E-2</v>
      </c>
    </row>
    <row r="31" spans="1:8" ht="15.75" customHeight="1" x14ac:dyDescent="0.25">
      <c r="B31" s="19" t="s">
        <v>96</v>
      </c>
      <c r="C31" s="99">
        <v>0.140173941</v>
      </c>
    </row>
    <row r="32" spans="1:8" ht="15.75" customHeight="1" x14ac:dyDescent="0.25">
      <c r="B32" s="19" t="s">
        <v>97</v>
      </c>
      <c r="C32" s="99">
        <v>2.4544165999999999E-2</v>
      </c>
    </row>
    <row r="33" spans="2:3" ht="15.75" customHeight="1" x14ac:dyDescent="0.25">
      <c r="B33" s="19" t="s">
        <v>98</v>
      </c>
      <c r="C33" s="99">
        <v>0.119318915</v>
      </c>
    </row>
    <row r="34" spans="2:3" ht="15.75" customHeight="1" x14ac:dyDescent="0.25">
      <c r="B34" s="19" t="s">
        <v>99</v>
      </c>
      <c r="C34" s="99">
        <v>0.24462362800000001</v>
      </c>
    </row>
    <row r="35" spans="2:3" ht="15.75" customHeight="1" x14ac:dyDescent="0.25">
      <c r="B35" s="27" t="s">
        <v>30</v>
      </c>
      <c r="C35" s="48">
        <f>SUM(C26:C34)</f>
        <v>1.0000000019999999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4163.51429874522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0.42521000000000003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0.74736999999999998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1.6240982895769779E-2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98027.941210000005</v>
      </c>
      <c r="C22" s="107">
        <v>97928.220270000005</v>
      </c>
      <c r="D22" s="107">
        <v>97781.597519999996</v>
      </c>
      <c r="E22" s="107">
        <v>97432.520189999996</v>
      </c>
      <c r="F22" s="107">
        <v>96963.115000000005</v>
      </c>
      <c r="G22" s="107">
        <v>96489.588149999996</v>
      </c>
      <c r="H22" s="107">
        <v>95931.055770000006</v>
      </c>
      <c r="I22" s="107">
        <v>95151.856369999994</v>
      </c>
      <c r="J22" s="107">
        <v>93945.804000000004</v>
      </c>
      <c r="K22" s="107">
        <v>92040.425470000002</v>
      </c>
      <c r="L22" s="107">
        <v>89096.366930000004</v>
      </c>
      <c r="M22" s="107">
        <v>84789.908230000001</v>
      </c>
      <c r="N22" s="107">
        <v>78581.379870000004</v>
      </c>
      <c r="O22" s="107">
        <v>69889.900070000003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13.766606960081885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13.766606960081885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1.2802900880707899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13.70780222005237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13.70780222005237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13.70780222005237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13.70780222005237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13.70780222005237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13.70780222005237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0.13023111111111099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0.66700000000000004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5.0635162116449219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4.5660983713272767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0.67930453000000002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13.47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0.78326970000000007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2.72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0.10100000000000001</v>
      </c>
      <c r="M24" s="60">
        <f>famplan_unmet_need</f>
        <v>0.10100000000000001</v>
      </c>
      <c r="N24" s="60">
        <f>famplan_unmet_need</f>
        <v>0.10100000000000001</v>
      </c>
      <c r="O24" s="60">
        <f>famplan_unmet_need</f>
        <v>0.10100000000000001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9.2971377840767991E-2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3.9844876217472E-2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5.309675554176E-2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