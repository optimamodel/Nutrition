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1C6151B-2E91-46AE-A5B9-B1AF06D8ACA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19" i="2" l="1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<sst xmlns="http://schemas.openxmlformats.org/spreadsheetml/2006/main" count="2103" uniqueCount="341">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</sst>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2269547.265625</v>
      </c>
    </row>
    <row r="8" spans="1:3" ht="15" customHeight="1" x14ac:dyDescent="0.25">
      <c r="B8" s="5" t="s">
        <v>8</v>
      </c>
      <c r="C8" s="44">
        <v>0.10199999999999999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0.8430029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8.2114124000000011E-2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1397214</v>
      </c>
      <c r="C2" s="49">
        <v>4000748</v>
      </c>
      <c r="D2" s="49">
        <v>6866531</v>
      </c>
      <c r="E2" s="49">
        <v>8145158</v>
      </c>
      <c r="F2" s="49">
        <v>6523696.5</v>
      </c>
      <c r="G2" s="17">
        <f t="shared" ref="G2:G13" si="0">C2+D2+E2+F2</f>
        <v>25536133.5</v>
      </c>
      <c r="H2" s="17">
        <f t="shared" ref="H2:H13" si="1">(B2 + stillbirth*B2/(1000-stillbirth))/(1-abortion)</f>
        <v>1604897.9845216735</v>
      </c>
      <c r="I2" s="17">
        <f t="shared" ref="I2:I13" si="2">G2-H2</f>
        <v>23931235.515478328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1376256</v>
      </c>
      <c r="C3" s="50">
        <v>3991891</v>
      </c>
      <c r="D3" s="50">
        <v>6763900</v>
      </c>
      <c r="E3" s="50">
        <v>8104387.5</v>
      </c>
      <c r="F3" s="50">
        <v>6616281</v>
      </c>
      <c r="G3" s="17">
        <f t="shared" si="0"/>
        <v>25476459.5</v>
      </c>
      <c r="H3" s="17">
        <f t="shared" si="1"/>
        <v>1580824.7559685633</v>
      </c>
      <c r="I3" s="17">
        <f t="shared" si="2"/>
        <v>23895634.744031437</v>
      </c>
    </row>
    <row r="4" spans="1:9" ht="15.75" customHeight="1" x14ac:dyDescent="0.25">
      <c r="A4" s="5">
        <f t="shared" si="3"/>
        <v>2026</v>
      </c>
      <c r="B4" s="49">
        <v>1360059</v>
      </c>
      <c r="C4" s="50">
        <v>4008039.5</v>
      </c>
      <c r="D4" s="50">
        <v>6686370</v>
      </c>
      <c r="E4" s="50">
        <v>8020638</v>
      </c>
      <c r="F4" s="50">
        <v>6703287.5</v>
      </c>
      <c r="G4" s="17">
        <f t="shared" si="0"/>
        <v>25418335</v>
      </c>
      <c r="H4" s="17">
        <f t="shared" si="1"/>
        <v>1562220.2095960695</v>
      </c>
      <c r="I4" s="17">
        <f t="shared" si="2"/>
        <v>23856114.790403932</v>
      </c>
    </row>
    <row r="5" spans="1:9" ht="15.75" customHeight="1" x14ac:dyDescent="0.25">
      <c r="A5" s="5">
        <f t="shared" si="3"/>
        <v>2027</v>
      </c>
      <c r="B5" s="49">
        <v>1346027</v>
      </c>
      <c r="C5" s="50">
        <v>4041570.5</v>
      </c>
      <c r="D5" s="50">
        <v>6634351.5</v>
      </c>
      <c r="E5" s="50">
        <v>7904814.5</v>
      </c>
      <c r="F5" s="50">
        <v>6785002</v>
      </c>
      <c r="G5" s="17">
        <f t="shared" si="0"/>
        <v>25365738.5</v>
      </c>
      <c r="H5" s="17">
        <f t="shared" si="1"/>
        <v>1546102.4720706739</v>
      </c>
      <c r="I5" s="17">
        <f t="shared" si="2"/>
        <v>23819636.027929325</v>
      </c>
    </row>
    <row r="6" spans="1:9" ht="15.75" customHeight="1" x14ac:dyDescent="0.25">
      <c r="A6" s="5">
        <f t="shared" si="3"/>
        <v>2028</v>
      </c>
      <c r="B6" s="49">
        <v>1328133</v>
      </c>
      <c r="C6" s="50">
        <v>4074767</v>
      </c>
      <c r="D6" s="50">
        <v>6609843.5</v>
      </c>
      <c r="E6" s="50">
        <v>7766252</v>
      </c>
      <c r="F6" s="50">
        <v>6856939</v>
      </c>
      <c r="G6" s="17">
        <f t="shared" si="0"/>
        <v>25307801.5</v>
      </c>
      <c r="H6" s="17">
        <f t="shared" si="1"/>
        <v>1525548.6810729951</v>
      </c>
      <c r="I6" s="17">
        <f t="shared" si="2"/>
        <v>23782252.818927005</v>
      </c>
    </row>
    <row r="7" spans="1:9" ht="15.75" customHeight="1" x14ac:dyDescent="0.25">
      <c r="A7" s="5">
        <f t="shared" si="3"/>
        <v>2029</v>
      </c>
      <c r="B7" s="49">
        <v>1315726</v>
      </c>
      <c r="C7" s="50">
        <v>4105170</v>
      </c>
      <c r="D7" s="50">
        <v>6601373.5</v>
      </c>
      <c r="E7" s="50">
        <v>7609297</v>
      </c>
      <c r="F7" s="50">
        <v>6918044.5</v>
      </c>
      <c r="G7" s="17">
        <f t="shared" si="0"/>
        <v>25233885</v>
      </c>
      <c r="H7" s="17">
        <f t="shared" si="1"/>
        <v>1511297.4859847978</v>
      </c>
      <c r="I7" s="17">
        <f t="shared" si="2"/>
        <v>23722587.514015201</v>
      </c>
    </row>
    <row r="8" spans="1:9" ht="15.75" customHeight="1" x14ac:dyDescent="0.25">
      <c r="A8" s="5">
        <f t="shared" si="3"/>
        <v>2030</v>
      </c>
      <c r="B8" s="49">
        <v>1303184</v>
      </c>
      <c r="C8" s="50">
        <v>4131605</v>
      </c>
      <c r="D8" s="50">
        <v>6593764</v>
      </c>
      <c r="E8" s="50">
        <v>7443792.5</v>
      </c>
      <c r="F8" s="50">
        <v>6975102.5</v>
      </c>
      <c r="G8" s="17">
        <f t="shared" si="0"/>
        <v>25144264</v>
      </c>
      <c r="H8" s="17">
        <f t="shared" si="1"/>
        <v>1496891.2242941256</v>
      </c>
      <c r="I8" s="17">
        <f t="shared" si="2"/>
        <v>23647372.775705874</v>
      </c>
    </row>
    <row r="9" spans="1:9" ht="15.75" customHeight="1" x14ac:dyDescent="0.25">
      <c r="A9" s="5">
        <f t="shared" si="3"/>
        <v>2031</v>
      </c>
      <c r="B9" s="49">
        <v>1286768</v>
      </c>
      <c r="C9" s="50">
        <v>4146815</v>
      </c>
      <c r="D9" s="50">
        <v>6586047.5</v>
      </c>
      <c r="E9" s="50">
        <v>7274823.5</v>
      </c>
      <c r="F9" s="50">
        <v>7027475.5</v>
      </c>
      <c r="G9" s="17">
        <f t="shared" si="0"/>
        <v>25035161.5</v>
      </c>
      <c r="H9" s="17">
        <f t="shared" si="1"/>
        <v>1478035.1254331726</v>
      </c>
      <c r="I9" s="17">
        <f t="shared" si="2"/>
        <v>23557126.374566827</v>
      </c>
    </row>
    <row r="10" spans="1:9" ht="15.75" customHeight="1" x14ac:dyDescent="0.25">
      <c r="A10" s="5">
        <f t="shared" si="3"/>
        <v>2032</v>
      </c>
      <c r="B10" s="49">
        <v>1279652</v>
      </c>
      <c r="C10" s="50">
        <v>4147053.5</v>
      </c>
      <c r="D10" s="50">
        <v>6581579</v>
      </c>
      <c r="E10" s="50">
        <v>7111740</v>
      </c>
      <c r="F10" s="50">
        <v>7073473.5</v>
      </c>
      <c r="G10" s="17">
        <f t="shared" si="0"/>
        <v>24913846</v>
      </c>
      <c r="H10" s="17">
        <f t="shared" si="1"/>
        <v>1469861.3925204931</v>
      </c>
      <c r="I10" s="17">
        <f t="shared" si="2"/>
        <v>23443984.607479505</v>
      </c>
    </row>
    <row r="11" spans="1:9" ht="15.75" customHeight="1" x14ac:dyDescent="0.25">
      <c r="A11" s="5">
        <f t="shared" si="3"/>
        <v>2033</v>
      </c>
      <c r="B11" s="49">
        <v>1269233</v>
      </c>
      <c r="C11" s="50">
        <v>4133069</v>
      </c>
      <c r="D11" s="50">
        <v>6586708.5</v>
      </c>
      <c r="E11" s="50">
        <v>6960547.5</v>
      </c>
      <c r="F11" s="50">
        <v>7110801</v>
      </c>
      <c r="G11" s="17">
        <f t="shared" si="0"/>
        <v>24791126</v>
      </c>
      <c r="H11" s="17">
        <f t="shared" si="1"/>
        <v>1457893.6967339271</v>
      </c>
      <c r="I11" s="17">
        <f t="shared" si="2"/>
        <v>23333232.303266075</v>
      </c>
    </row>
    <row r="12" spans="1:9" ht="15.75" customHeight="1" x14ac:dyDescent="0.25">
      <c r="A12" s="5">
        <f t="shared" si="3"/>
        <v>2034</v>
      </c>
      <c r="B12" s="49">
        <v>1261911</v>
      </c>
      <c r="C12" s="50">
        <v>4110156.0000000009</v>
      </c>
      <c r="D12" s="50">
        <v>6599556.5</v>
      </c>
      <c r="E12" s="50">
        <v>6829277.5</v>
      </c>
      <c r="F12" s="50">
        <v>7132205</v>
      </c>
      <c r="G12" s="17">
        <f t="shared" si="0"/>
        <v>24671195</v>
      </c>
      <c r="H12" s="17">
        <f t="shared" si="1"/>
        <v>1449483.3436722863</v>
      </c>
      <c r="I12" s="17">
        <f t="shared" si="2"/>
        <v>23221711.656327713</v>
      </c>
    </row>
    <row r="13" spans="1:9" ht="15.75" customHeight="1" x14ac:dyDescent="0.25">
      <c r="A13" s="5">
        <f t="shared" si="3"/>
        <v>2035</v>
      </c>
      <c r="B13" s="49">
        <v>1253124</v>
      </c>
      <c r="C13" s="50">
        <v>4079551.5</v>
      </c>
      <c r="D13" s="50">
        <v>6617765.5</v>
      </c>
      <c r="E13" s="50">
        <v>6728145.5</v>
      </c>
      <c r="F13" s="50">
        <v>7128161.5</v>
      </c>
      <c r="G13" s="17">
        <f t="shared" si="0"/>
        <v>24553624</v>
      </c>
      <c r="H13" s="17">
        <f t="shared" si="1"/>
        <v>1439390.2308134169</v>
      </c>
      <c r="I13" s="17">
        <f t="shared" si="2"/>
        <v>23114233.769186582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45.442281641165188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42.690090320031779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217.064805431211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1.2802900880707899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13.70780222005237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13.70780222005237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13.70780222005237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13.70780222005237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13.70780222005237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13.70780222005237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0.44701907318651901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0.13023111111111099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5.0635162116449219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5.0635162116449219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13.06808901635755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23.483058881679661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4.5660983713272767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0.67930453000000002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19.70745253122227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84.919796715648516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1.831453715203385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0.92608930441939119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0.78326970000000007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2.9135134663262119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0.10199999999999999</v>
      </c>
      <c r="E2" s="60">
        <f>food_insecure</f>
        <v>0.10199999999999999</v>
      </c>
      <c r="F2" s="60">
        <f>food_insecure</f>
        <v>0.10199999999999999</v>
      </c>
      <c r="G2" s="60">
        <f>food_insecure</f>
        <v>0.10199999999999999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0.10199999999999999</v>
      </c>
      <c r="F5" s="60">
        <f>food_insecure</f>
        <v>0.10199999999999999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0.10199999999999999</v>
      </c>
      <c r="F8" s="60">
        <f>food_insecure</f>
        <v>0.10199999999999999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0.10199999999999999</v>
      </c>
      <c r="F9" s="60">
        <f>food_insecure</f>
        <v>0.10199999999999999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0.10199999999999999</v>
      </c>
      <c r="I15" s="60">
        <f>food_insecure</f>
        <v>0.10199999999999999</v>
      </c>
      <c r="J15" s="60">
        <f>food_insecure</f>
        <v>0.10199999999999999</v>
      </c>
      <c r="K15" s="60">
        <f>food_insecure</f>
        <v>0.10199999999999999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0.30299999999999999</v>
      </c>
      <c r="M24" s="60">
        <f>famplan_unmet_need</f>
        <v>0.30299999999999999</v>
      </c>
      <c r="N24" s="60">
        <f>famplan_unmet_need</f>
        <v>0.30299999999999999</v>
      </c>
      <c r="O24" s="60">
        <f>famplan_unmet_need</f>
        <v>0.30299999999999999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9.5079631369632017E-2</v>
      </c>
      <c r="M25" s="60">
        <f>(1-food_insecure)*(0.49)+food_insecure*(0.7)</f>
        <v>0.51141999999999999</v>
      </c>
      <c r="N25" s="60">
        <f>(1-food_insecure)*(0.49)+food_insecure*(0.7)</f>
        <v>0.51141999999999999</v>
      </c>
      <c r="O25" s="60">
        <f>(1-food_insecure)*(0.49)+food_insecure*(0.7)</f>
        <v>0.51141999999999999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4.0748413444128002E-2</v>
      </c>
      <c r="M26" s="60">
        <f>(1-food_insecure)*(0.21)+food_insecure*(0.3)</f>
        <v>0.21917999999999999</v>
      </c>
      <c r="N26" s="60">
        <f>(1-food_insecure)*(0.21)+food_insecure*(0.3)</f>
        <v>0.21917999999999999</v>
      </c>
      <c r="O26" s="60">
        <f>(1-food_insecure)*(0.21)+food_insecure*(0.3)</f>
        <v>0.21917999999999999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5.0084964786239999E-2</v>
      </c>
      <c r="M27" s="60">
        <f>(1-food_insecure)*(0.3)</f>
        <v>0.26939999999999997</v>
      </c>
      <c r="N27" s="60">
        <f>(1-food_insecure)*(0.3)</f>
        <v>0.26939999999999997</v>
      </c>
      <c r="O27" s="60">
        <f>(1-food_insecure)*(0.3)</f>
        <v>0.26939999999999997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2024-06-18T06:57:49Z</dcterms:modified>
</cp:coreProperties>
</file>