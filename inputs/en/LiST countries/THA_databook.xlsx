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3ED0B996-2E8A-4786-9D7A-E78C90344992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6" i="2"/>
  <c r="A34" i="2"/>
  <c r="A31" i="2"/>
  <c r="A26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6" i="2" l="1"/>
  <c r="I12" i="2"/>
  <c r="A35" i="2"/>
  <c r="I38" i="2"/>
  <c r="I2" i="2"/>
  <c r="I8" i="2"/>
  <c r="A19" i="2"/>
  <c r="A22" i="2"/>
  <c r="I39" i="2"/>
  <c r="I3" i="2"/>
  <c r="I9" i="2"/>
  <c r="A23" i="2"/>
  <c r="A24" i="2"/>
  <c r="A40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<sst xmlns="http://schemas.openxmlformats.org/spreadsheetml/2006/main" count="2169" uniqueCount="373">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</sst>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2970696.5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0.1173</v>
      </c>
    </row>
    <row r="10" spans="1:3" ht="15" customHeight="1" x14ac:dyDescent="0.25">
      <c r="B10" s="5" t="s">
        <v>10</v>
      </c>
      <c r="C10" s="45">
        <v>0.77493057250976605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0.1774</v>
      </c>
    </row>
    <row r="24" spans="1:3" ht="15" customHeight="1" x14ac:dyDescent="0.25">
      <c r="B24" s="15" t="s">
        <v>22</v>
      </c>
      <c r="C24" s="45">
        <v>0.45540000000000003</v>
      </c>
    </row>
    <row r="25" spans="1:3" ht="15" customHeight="1" x14ac:dyDescent="0.25">
      <c r="B25" s="15" t="s">
        <v>23</v>
      </c>
      <c r="C25" s="45">
        <v>0.34060000000000001</v>
      </c>
    </row>
    <row r="26" spans="1:3" ht="15" customHeight="1" x14ac:dyDescent="0.25">
      <c r="B26" s="15" t="s">
        <v>24</v>
      </c>
      <c r="C26" s="45">
        <v>2.6599999999999999E-2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0.35684779999999999</v>
      </c>
    </row>
    <row r="30" spans="1:3" ht="14.25" customHeight="1" x14ac:dyDescent="0.25">
      <c r="B30" s="25" t="s">
        <v>27</v>
      </c>
      <c r="C30" s="97">
        <v>7.0757700000000007E-2</v>
      </c>
    </row>
    <row r="31" spans="1:3" ht="14.25" customHeight="1" x14ac:dyDescent="0.25">
      <c r="B31" s="25" t="s">
        <v>28</v>
      </c>
      <c r="C31" s="97">
        <v>8.0229999999999996E-2</v>
      </c>
    </row>
    <row r="32" spans="1:3" ht="14.25" customHeight="1" x14ac:dyDescent="0.25">
      <c r="B32" s="25" t="s">
        <v>29</v>
      </c>
      <c r="C32" s="97">
        <v>0.4921645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4.7081600000000003</v>
      </c>
    </row>
    <row r="38" spans="1:5" ht="15" customHeight="1" x14ac:dyDescent="0.25">
      <c r="B38" s="11" t="s">
        <v>34</v>
      </c>
      <c r="C38" s="43">
        <v>7.0959099999999999</v>
      </c>
      <c r="D38" s="12"/>
      <c r="E38" s="13"/>
    </row>
    <row r="39" spans="1:5" ht="15" customHeight="1" x14ac:dyDescent="0.25">
      <c r="B39" s="11" t="s">
        <v>35</v>
      </c>
      <c r="C39" s="43">
        <v>8.2910299999999992</v>
      </c>
      <c r="D39" s="12"/>
      <c r="E39" s="12"/>
    </row>
    <row r="40" spans="1:5" ht="15" customHeight="1" x14ac:dyDescent="0.25">
      <c r="B40" s="11" t="s">
        <v>36</v>
      </c>
      <c r="C40" s="98">
        <v>0.28999999999999998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5.4506100000000002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6.1894000000000003E-3</v>
      </c>
      <c r="D45" s="12"/>
    </row>
    <row r="46" spans="1:5" ht="15.75" customHeight="1" x14ac:dyDescent="0.25">
      <c r="B46" s="11" t="s">
        <v>41</v>
      </c>
      <c r="C46" s="45">
        <v>6.6504300000000002E-2</v>
      </c>
      <c r="D46" s="12"/>
    </row>
    <row r="47" spans="1:5" ht="15.75" customHeight="1" x14ac:dyDescent="0.25">
      <c r="B47" s="11" t="s">
        <v>42</v>
      </c>
      <c r="C47" s="45">
        <v>7.5115299999999996E-2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2.4</v>
      </c>
      <c r="D51" s="12"/>
    </row>
    <row r="52" spans="1:4" ht="15" customHeight="1" x14ac:dyDescent="0.25">
      <c r="B52" s="11" t="s">
        <v>46</v>
      </c>
      <c r="C52" s="98">
        <v>2.4</v>
      </c>
    </row>
    <row r="53" spans="1:4" ht="15.75" customHeight="1" x14ac:dyDescent="0.25">
      <c r="B53" s="11" t="s">
        <v>47</v>
      </c>
      <c r="C53" s="98">
        <v>2.4</v>
      </c>
    </row>
    <row r="54" spans="1:4" ht="15.75" customHeight="1" x14ac:dyDescent="0.25">
      <c r="B54" s="11" t="s">
        <v>48</v>
      </c>
      <c r="C54" s="98">
        <v>2.4</v>
      </c>
    </row>
    <row r="55" spans="1:4" ht="15.75" customHeight="1" x14ac:dyDescent="0.25">
      <c r="B55" s="11" t="s">
        <v>49</v>
      </c>
      <c r="C55" s="98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0.56939699999999993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0.10516175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581635</v>
      </c>
      <c r="C2" s="49">
        <v>2089516</v>
      </c>
      <c r="D2" s="49">
        <v>4753522</v>
      </c>
      <c r="E2" s="49">
        <v>5042162</v>
      </c>
      <c r="F2" s="49">
        <v>5398802.5</v>
      </c>
      <c r="G2" s="17">
        <f t="shared" ref="G2:G13" si="0">C2+D2+E2+F2</f>
        <v>17284002.5</v>
      </c>
      <c r="H2" s="17">
        <f t="shared" ref="H2:H13" si="1">(B2 + stillbirth*B2/(1000-stillbirth))/(1-abortion)</f>
        <v>664571.1819665021</v>
      </c>
      <c r="I2" s="17">
        <f t="shared" ref="I2:I13" si="2">G2-H2</f>
        <v>16619431.318033498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572371</v>
      </c>
      <c r="C3" s="50">
        <v>2068224.0000000002</v>
      </c>
      <c r="D3" s="50">
        <v>4705920</v>
      </c>
      <c r="E3" s="50">
        <v>5006898</v>
      </c>
      <c r="F3" s="50">
        <v>5342709.5</v>
      </c>
      <c r="G3" s="17">
        <f t="shared" si="0"/>
        <v>17123751.5</v>
      </c>
      <c r="H3" s="17">
        <f t="shared" si="1"/>
        <v>653986.21471085609</v>
      </c>
      <c r="I3" s="17">
        <f t="shared" si="2"/>
        <v>16469765.285289144</v>
      </c>
    </row>
    <row r="4" spans="1:9" ht="15.75" customHeight="1" x14ac:dyDescent="0.25">
      <c r="A4" s="5">
        <f t="shared" si="3"/>
        <v>2026</v>
      </c>
      <c r="B4" s="49">
        <v>566113</v>
      </c>
      <c r="C4" s="50">
        <v>2047556.5</v>
      </c>
      <c r="D4" s="50">
        <v>4650632</v>
      </c>
      <c r="E4" s="50">
        <v>4988950.5000000009</v>
      </c>
      <c r="F4" s="50">
        <v>5283103.9999999991</v>
      </c>
      <c r="G4" s="17">
        <f t="shared" si="0"/>
        <v>16970243</v>
      </c>
      <c r="H4" s="17">
        <f t="shared" si="1"/>
        <v>646835.87737430248</v>
      </c>
      <c r="I4" s="17">
        <f t="shared" si="2"/>
        <v>16323407.122625697</v>
      </c>
    </row>
    <row r="5" spans="1:9" ht="15.75" customHeight="1" x14ac:dyDescent="0.25">
      <c r="A5" s="5">
        <f t="shared" si="3"/>
        <v>2027</v>
      </c>
      <c r="B5" s="49">
        <v>561314</v>
      </c>
      <c r="C5" s="50">
        <v>2029681</v>
      </c>
      <c r="D5" s="50">
        <v>4594456</v>
      </c>
      <c r="E5" s="50">
        <v>4975172.0000000009</v>
      </c>
      <c r="F5" s="50">
        <v>5219365</v>
      </c>
      <c r="G5" s="17">
        <f t="shared" si="0"/>
        <v>16818674</v>
      </c>
      <c r="H5" s="17">
        <f t="shared" si="1"/>
        <v>641352.58097319654</v>
      </c>
      <c r="I5" s="17">
        <f t="shared" si="2"/>
        <v>16177321.419026803</v>
      </c>
    </row>
    <row r="6" spans="1:9" ht="15.75" customHeight="1" x14ac:dyDescent="0.25">
      <c r="A6" s="5">
        <f t="shared" si="3"/>
        <v>2028</v>
      </c>
      <c r="B6" s="49">
        <v>558166</v>
      </c>
      <c r="C6" s="50">
        <v>2009790</v>
      </c>
      <c r="D6" s="50">
        <v>4555321</v>
      </c>
      <c r="E6" s="50">
        <v>4942309.9999999991</v>
      </c>
      <c r="F6" s="50">
        <v>5154211.4999999991</v>
      </c>
      <c r="G6" s="17">
        <f t="shared" si="0"/>
        <v>16661632.5</v>
      </c>
      <c r="H6" s="17">
        <f t="shared" si="1"/>
        <v>637755.70306724077</v>
      </c>
      <c r="I6" s="17">
        <f t="shared" si="2"/>
        <v>16023876.796932759</v>
      </c>
    </row>
    <row r="7" spans="1:9" ht="15.75" customHeight="1" x14ac:dyDescent="0.25">
      <c r="A7" s="5">
        <f t="shared" si="3"/>
        <v>2029</v>
      </c>
      <c r="B7" s="49">
        <v>554582</v>
      </c>
      <c r="C7" s="50">
        <v>1983315</v>
      </c>
      <c r="D7" s="50">
        <v>4540559.9999999991</v>
      </c>
      <c r="E7" s="50">
        <v>4882512.5</v>
      </c>
      <c r="F7" s="50">
        <v>5090980</v>
      </c>
      <c r="G7" s="17">
        <f t="shared" si="0"/>
        <v>16497367.5</v>
      </c>
      <c r="H7" s="17">
        <f t="shared" si="1"/>
        <v>633660.65528612724</v>
      </c>
      <c r="I7" s="17">
        <f t="shared" si="2"/>
        <v>15863706.844713872</v>
      </c>
    </row>
    <row r="8" spans="1:9" ht="15.75" customHeight="1" x14ac:dyDescent="0.25">
      <c r="A8" s="5">
        <f t="shared" si="3"/>
        <v>2030</v>
      </c>
      <c r="B8" s="49">
        <v>552349</v>
      </c>
      <c r="C8" s="50">
        <v>1950267</v>
      </c>
      <c r="D8" s="50">
        <v>4533982.5</v>
      </c>
      <c r="E8" s="50">
        <v>4809423</v>
      </c>
      <c r="F8" s="50">
        <v>5031884.5</v>
      </c>
      <c r="G8" s="17">
        <f t="shared" si="0"/>
        <v>16325557</v>
      </c>
      <c r="H8" s="17">
        <f t="shared" si="1"/>
        <v>631109.24856312887</v>
      </c>
      <c r="I8" s="17">
        <f t="shared" si="2"/>
        <v>15694447.751436871</v>
      </c>
    </row>
    <row r="9" spans="1:9" ht="15.75" customHeight="1" x14ac:dyDescent="0.25">
      <c r="A9" s="5">
        <f t="shared" si="3"/>
        <v>2031</v>
      </c>
      <c r="B9" s="49">
        <v>550328</v>
      </c>
      <c r="C9" s="50">
        <v>1907041</v>
      </c>
      <c r="D9" s="50">
        <v>4520495.0000000009</v>
      </c>
      <c r="E9" s="50">
        <v>4739081</v>
      </c>
      <c r="F9" s="50">
        <v>4978508.5</v>
      </c>
      <c r="G9" s="17">
        <f t="shared" si="0"/>
        <v>16145125.5</v>
      </c>
      <c r="H9" s="17">
        <f t="shared" si="1"/>
        <v>628800.07122896868</v>
      </c>
      <c r="I9" s="17">
        <f t="shared" si="2"/>
        <v>15516325.428771032</v>
      </c>
    </row>
    <row r="10" spans="1:9" ht="15.75" customHeight="1" x14ac:dyDescent="0.25">
      <c r="A10" s="5">
        <f t="shared" si="3"/>
        <v>2032</v>
      </c>
      <c r="B10" s="49">
        <v>547804</v>
      </c>
      <c r="C10" s="50">
        <v>1852746</v>
      </c>
      <c r="D10" s="50">
        <v>4499402</v>
      </c>
      <c r="E10" s="50">
        <v>4676981.5</v>
      </c>
      <c r="F10" s="50">
        <v>4927777</v>
      </c>
      <c r="G10" s="17">
        <f t="shared" si="0"/>
        <v>15956906.5</v>
      </c>
      <c r="H10" s="17">
        <f t="shared" si="1"/>
        <v>625916.17039204598</v>
      </c>
      <c r="I10" s="17">
        <f t="shared" si="2"/>
        <v>15330990.329607954</v>
      </c>
    </row>
    <row r="11" spans="1:9" ht="15.75" customHeight="1" x14ac:dyDescent="0.25">
      <c r="A11" s="5">
        <f t="shared" si="3"/>
        <v>2033</v>
      </c>
      <c r="B11" s="49">
        <v>545046</v>
      </c>
      <c r="C11" s="50">
        <v>1794405.5</v>
      </c>
      <c r="D11" s="50">
        <v>4469217.5</v>
      </c>
      <c r="E11" s="50">
        <v>4623889.9999999991</v>
      </c>
      <c r="F11" s="50">
        <v>4878804.5</v>
      </c>
      <c r="G11" s="17">
        <f t="shared" si="0"/>
        <v>15766317.5</v>
      </c>
      <c r="H11" s="17">
        <f t="shared" si="1"/>
        <v>622764.90315423603</v>
      </c>
      <c r="I11" s="17">
        <f t="shared" si="2"/>
        <v>15143552.596845765</v>
      </c>
    </row>
    <row r="12" spans="1:9" ht="15.75" customHeight="1" x14ac:dyDescent="0.25">
      <c r="A12" s="5">
        <f t="shared" si="3"/>
        <v>2034</v>
      </c>
      <c r="B12" s="49">
        <v>541341</v>
      </c>
      <c r="C12" s="50">
        <v>1736220</v>
      </c>
      <c r="D12" s="50">
        <v>4427603.9999999991</v>
      </c>
      <c r="E12" s="50">
        <v>4580403.5</v>
      </c>
      <c r="F12" s="50">
        <v>4835522.0000000009</v>
      </c>
      <c r="G12" s="17">
        <f t="shared" si="0"/>
        <v>15579749.5</v>
      </c>
      <c r="H12" s="17">
        <f t="shared" si="1"/>
        <v>618531.60180685169</v>
      </c>
      <c r="I12" s="17">
        <f t="shared" si="2"/>
        <v>14961217.898193149</v>
      </c>
    </row>
    <row r="13" spans="1:9" ht="15.75" customHeight="1" x14ac:dyDescent="0.25">
      <c r="A13" s="5">
        <f t="shared" si="3"/>
        <v>2035</v>
      </c>
      <c r="B13" s="49">
        <v>538361</v>
      </c>
      <c r="C13" s="50">
        <v>1679576.5</v>
      </c>
      <c r="D13" s="50">
        <v>4375514</v>
      </c>
      <c r="E13" s="50">
        <v>4538170.5</v>
      </c>
      <c r="F13" s="50">
        <v>4804316</v>
      </c>
      <c r="G13" s="17">
        <f t="shared" si="0"/>
        <v>15397577</v>
      </c>
      <c r="H13" s="17">
        <f t="shared" si="1"/>
        <v>615126.67926563567</v>
      </c>
      <c r="I13" s="17">
        <f t="shared" si="2"/>
        <v>14782450.320734365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5.667026073318962E-2</v>
      </c>
    </row>
    <row r="5" spans="1:8" ht="15.75" customHeight="1" x14ac:dyDescent="0.25">
      <c r="B5" s="19" t="s">
        <v>70</v>
      </c>
      <c r="C5" s="99">
        <v>1.8471868261125322E-2</v>
      </c>
    </row>
    <row r="6" spans="1:8" ht="15.75" customHeight="1" x14ac:dyDescent="0.25">
      <c r="B6" s="19" t="s">
        <v>71</v>
      </c>
      <c r="C6" s="99">
        <v>0.14313369927465211</v>
      </c>
    </row>
    <row r="7" spans="1:8" ht="15.75" customHeight="1" x14ac:dyDescent="0.25">
      <c r="B7" s="19" t="s">
        <v>72</v>
      </c>
      <c r="C7" s="99">
        <v>0.40171534993138558</v>
      </c>
    </row>
    <row r="8" spans="1:8" ht="15.75" customHeight="1" x14ac:dyDescent="0.25">
      <c r="B8" s="19" t="s">
        <v>73</v>
      </c>
      <c r="C8" s="99">
        <v>9.8052002608532141E-3</v>
      </c>
    </row>
    <row r="9" spans="1:8" ht="15.75" customHeight="1" x14ac:dyDescent="0.25">
      <c r="B9" s="19" t="s">
        <v>74</v>
      </c>
      <c r="C9" s="99">
        <v>0.27443438461446162</v>
      </c>
    </row>
    <row r="10" spans="1:8" ht="15.75" customHeight="1" x14ac:dyDescent="0.25">
      <c r="B10" s="19" t="s">
        <v>75</v>
      </c>
      <c r="C10" s="99">
        <v>9.5769236924332563E-2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7.4405142698835872E-2</v>
      </c>
      <c r="D14" s="55">
        <v>7.4405142698835872E-2</v>
      </c>
      <c r="E14" s="55">
        <v>7.4405142698835872E-2</v>
      </c>
      <c r="F14" s="55">
        <v>7.4405142698835872E-2</v>
      </c>
    </row>
    <row r="15" spans="1:8" ht="15.75" customHeight="1" x14ac:dyDescent="0.25">
      <c r="B15" s="19" t="s">
        <v>82</v>
      </c>
      <c r="C15" s="99">
        <v>0.30256537567425368</v>
      </c>
      <c r="D15" s="99">
        <v>0.30256537567425368</v>
      </c>
      <c r="E15" s="99">
        <v>0.30256537567425368</v>
      </c>
      <c r="F15" s="99">
        <v>0.30256537567425368</v>
      </c>
    </row>
    <row r="16" spans="1:8" ht="15.75" customHeight="1" x14ac:dyDescent="0.25">
      <c r="B16" s="19" t="s">
        <v>83</v>
      </c>
      <c r="C16" s="99">
        <v>3.4658356921179863E-2</v>
      </c>
      <c r="D16" s="99">
        <v>3.4658356921179863E-2</v>
      </c>
      <c r="E16" s="99">
        <v>3.4658356921179863E-2</v>
      </c>
      <c r="F16" s="99">
        <v>3.4658356921179863E-2</v>
      </c>
    </row>
    <row r="17" spans="1:8" ht="15.75" customHeight="1" x14ac:dyDescent="0.25">
      <c r="B17" s="19" t="s">
        <v>84</v>
      </c>
      <c r="C17" s="99">
        <v>4.0466950134923567E-2</v>
      </c>
      <c r="D17" s="99">
        <v>4.0466950134923567E-2</v>
      </c>
      <c r="E17" s="99">
        <v>4.0466950134923567E-2</v>
      </c>
      <c r="F17" s="99">
        <v>4.0466950134923567E-2</v>
      </c>
    </row>
    <row r="18" spans="1:8" ht="15.75" customHeight="1" x14ac:dyDescent="0.25">
      <c r="B18" s="19" t="s">
        <v>85</v>
      </c>
      <c r="C18" s="99">
        <v>1.8870452853308E-3</v>
      </c>
      <c r="D18" s="99">
        <v>1.8870452853308E-3</v>
      </c>
      <c r="E18" s="99">
        <v>1.8870452853308E-3</v>
      </c>
      <c r="F18" s="99">
        <v>1.8870452853308E-3</v>
      </c>
    </row>
    <row r="19" spans="1:8" ht="15.75" customHeight="1" x14ac:dyDescent="0.25">
      <c r="B19" s="19" t="s">
        <v>86</v>
      </c>
      <c r="C19" s="99">
        <v>3.383571353365554E-2</v>
      </c>
      <c r="D19" s="99">
        <v>3.383571353365554E-2</v>
      </c>
      <c r="E19" s="99">
        <v>3.383571353365554E-2</v>
      </c>
      <c r="F19" s="99">
        <v>3.383571353365554E-2</v>
      </c>
    </row>
    <row r="20" spans="1:8" ht="15.75" customHeight="1" x14ac:dyDescent="0.25">
      <c r="B20" s="19" t="s">
        <v>87</v>
      </c>
      <c r="C20" s="99">
        <v>4.2518997849297593E-2</v>
      </c>
      <c r="D20" s="99">
        <v>4.2518997849297593E-2</v>
      </c>
      <c r="E20" s="99">
        <v>4.2518997849297593E-2</v>
      </c>
      <c r="F20" s="99">
        <v>4.2518997849297593E-2</v>
      </c>
    </row>
    <row r="21" spans="1:8" ht="15.75" customHeight="1" x14ac:dyDescent="0.25">
      <c r="B21" s="19" t="s">
        <v>88</v>
      </c>
      <c r="C21" s="99">
        <v>0.40458542254386298</v>
      </c>
      <c r="D21" s="99">
        <v>0.40458542254386298</v>
      </c>
      <c r="E21" s="99">
        <v>0.40458542254386298</v>
      </c>
      <c r="F21" s="99">
        <v>0.40458542254386298</v>
      </c>
    </row>
    <row r="22" spans="1:8" ht="15.75" customHeight="1" x14ac:dyDescent="0.25">
      <c r="B22" s="19" t="s">
        <v>89</v>
      </c>
      <c r="C22" s="99">
        <v>6.5076995358659864E-2</v>
      </c>
      <c r="D22" s="99">
        <v>6.5076995358659864E-2</v>
      </c>
      <c r="E22" s="99">
        <v>6.5076995358659864E-2</v>
      </c>
      <c r="F22" s="99">
        <v>6.5076995358659864E-2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2.3699701E-2</v>
      </c>
    </row>
    <row r="27" spans="1:8" ht="15.75" customHeight="1" x14ac:dyDescent="0.25">
      <c r="B27" s="19" t="s">
        <v>92</v>
      </c>
      <c r="C27" s="99">
        <v>2.0615876000000002E-2</v>
      </c>
    </row>
    <row r="28" spans="1:8" ht="15.75" customHeight="1" x14ac:dyDescent="0.25">
      <c r="B28" s="19" t="s">
        <v>93</v>
      </c>
      <c r="C28" s="99">
        <v>0.32415355899999992</v>
      </c>
    </row>
    <row r="29" spans="1:8" ht="15.75" customHeight="1" x14ac:dyDescent="0.25">
      <c r="B29" s="19" t="s">
        <v>94</v>
      </c>
      <c r="C29" s="99">
        <v>0.13455262100000001</v>
      </c>
    </row>
    <row r="30" spans="1:8" ht="15.75" customHeight="1" x14ac:dyDescent="0.25">
      <c r="B30" s="19" t="s">
        <v>95</v>
      </c>
      <c r="C30" s="99">
        <v>2.7948395000000001E-2</v>
      </c>
    </row>
    <row r="31" spans="1:8" ht="15.75" customHeight="1" x14ac:dyDescent="0.25">
      <c r="B31" s="19" t="s">
        <v>96</v>
      </c>
      <c r="C31" s="99">
        <v>0.12247227099999999</v>
      </c>
    </row>
    <row r="32" spans="1:8" ht="15.75" customHeight="1" x14ac:dyDescent="0.25">
      <c r="B32" s="19" t="s">
        <v>97</v>
      </c>
      <c r="C32" s="99">
        <v>0.15633195699999999</v>
      </c>
    </row>
    <row r="33" spans="2:3" ht="15.75" customHeight="1" x14ac:dyDescent="0.25">
      <c r="B33" s="19" t="s">
        <v>98</v>
      </c>
      <c r="C33" s="99">
        <v>0.10750958400000001</v>
      </c>
    </row>
    <row r="34" spans="2:3" ht="15.75" customHeight="1" x14ac:dyDescent="0.25">
      <c r="B34" s="19" t="s">
        <v>99</v>
      </c>
      <c r="C34" s="99">
        <v>8.2716036000000007E-2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0.38677040442115396</v>
      </c>
      <c r="D2" s="52">
        <f>IFERROR(1-_xlfn.NORM.DIST(_xlfn.NORM.INV(SUM(D4:D5), 0, 1) + 1, 0, 1, TRUE), "")</f>
        <v>0.38677040442115396</v>
      </c>
      <c r="E2" s="52">
        <f>IFERROR(1-_xlfn.NORM.DIST(_xlfn.NORM.INV(SUM(E4:E5), 0, 1) + 1, 0, 1, TRUE), "")</f>
        <v>0.57932892869215491</v>
      </c>
      <c r="F2" s="52">
        <f>IFERROR(1-_xlfn.NORM.DIST(_xlfn.NORM.INV(SUM(F4:F5), 0, 1) + 1, 0, 1, TRUE), "")</f>
        <v>0.48476925058739728</v>
      </c>
      <c r="G2" s="52">
        <f>IFERROR(1-_xlfn.NORM.DIST(_xlfn.NORM.INV(SUM(G4:G5), 0, 1) + 1, 0, 1, TRUE), "")</f>
        <v>0.58906943983370452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0.37507569557884601</v>
      </c>
      <c r="D3" s="52">
        <f>IFERROR(_xlfn.NORM.DIST(_xlfn.NORM.INV(SUM(D4:D5), 0, 1) + 1, 0, 1, TRUE) - SUM(D4:D5), "")</f>
        <v>0.37507569557884601</v>
      </c>
      <c r="E3" s="52">
        <f>IFERROR(_xlfn.NORM.DIST(_xlfn.NORM.INV(SUM(E4:E5), 0, 1) + 1, 0, 1, TRUE) - SUM(E4:E5), "")</f>
        <v>0.30563577130784508</v>
      </c>
      <c r="F3" s="52">
        <f>IFERROR(_xlfn.NORM.DIST(_xlfn.NORM.INV(SUM(F4:F5), 0, 1) + 1, 0, 1, TRUE) - SUM(F4:F5), "")</f>
        <v>0.34715894941260272</v>
      </c>
      <c r="G3" s="52">
        <f>IFERROR(_xlfn.NORM.DIST(_xlfn.NORM.INV(SUM(G4:G5), 0, 1) + 1, 0, 1, TRUE) - SUM(G4:G5), "")</f>
        <v>0.30067156016629548</v>
      </c>
    </row>
    <row r="4" spans="1:15" ht="15.75" customHeight="1" x14ac:dyDescent="0.25">
      <c r="B4" s="5" t="s">
        <v>104</v>
      </c>
      <c r="C4" s="45">
        <v>0.1582086</v>
      </c>
      <c r="D4" s="53">
        <v>0.1582086</v>
      </c>
      <c r="E4" s="53">
        <v>8.5423500000000013E-2</v>
      </c>
      <c r="F4" s="53">
        <v>0.11673269999999999</v>
      </c>
      <c r="G4" s="53">
        <v>7.4234999999999995E-2</v>
      </c>
    </row>
    <row r="5" spans="1:15" ht="15.75" customHeight="1" x14ac:dyDescent="0.25">
      <c r="B5" s="5" t="s">
        <v>105</v>
      </c>
      <c r="C5" s="45">
        <v>7.9945299999999997E-2</v>
      </c>
      <c r="D5" s="53">
        <v>7.9945299999999997E-2</v>
      </c>
      <c r="E5" s="53">
        <v>2.9611800000000001E-2</v>
      </c>
      <c r="F5" s="53">
        <v>5.1339099999999999E-2</v>
      </c>
      <c r="G5" s="53">
        <v>3.6024E-2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0.48176429291380052</v>
      </c>
      <c r="D8" s="52">
        <f>IFERROR(1-_xlfn.NORM.DIST(_xlfn.NORM.INV(SUM(D10:D11), 0, 1) + 1, 0, 1, TRUE), "")</f>
        <v>0.48176429291380052</v>
      </c>
      <c r="E8" s="52">
        <f>IFERROR(1-_xlfn.NORM.DIST(_xlfn.NORM.INV(SUM(E10:E11), 0, 1) + 1, 0, 1, TRUE), "")</f>
        <v>0.75633861799638091</v>
      </c>
      <c r="F8" s="52">
        <f>IFERROR(1-_xlfn.NORM.DIST(_xlfn.NORM.INV(SUM(F10:F11), 0, 1) + 1, 0, 1, TRUE), "")</f>
        <v>0.67608217852785446</v>
      </c>
      <c r="G8" s="52">
        <f>IFERROR(1-_xlfn.NORM.DIST(_xlfn.NORM.INV(SUM(G10:G11), 0, 1) + 1, 0, 1, TRUE), "")</f>
        <v>0.68352997533377657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0.34826320708619951</v>
      </c>
      <c r="D9" s="52">
        <f>IFERROR(_xlfn.NORM.DIST(_xlfn.NORM.INV(SUM(D10:D11), 0, 1) + 1, 0, 1, TRUE) - SUM(D10:D11), "")</f>
        <v>0.34826320708619951</v>
      </c>
      <c r="E9" s="52">
        <f>IFERROR(_xlfn.NORM.DIST(_xlfn.NORM.INV(SUM(E10:E11), 0, 1) + 1, 0, 1, TRUE) - SUM(E10:E11), "")</f>
        <v>0.19858318200361913</v>
      </c>
      <c r="F9" s="52">
        <f>IFERROR(_xlfn.NORM.DIST(_xlfn.NORM.INV(SUM(F10:F11), 0, 1) + 1, 0, 1, TRUE) - SUM(F10:F11), "")</f>
        <v>0.2513280214721455</v>
      </c>
      <c r="G9" s="52">
        <f>IFERROR(_xlfn.NORM.DIST(_xlfn.NORM.INV(SUM(G10:G11), 0, 1) + 1, 0, 1, TRUE) - SUM(G10:G11), "")</f>
        <v>0.24671162466622343</v>
      </c>
    </row>
    <row r="10" spans="1:15" ht="15.75" customHeight="1" x14ac:dyDescent="0.25">
      <c r="B10" s="5" t="s">
        <v>109</v>
      </c>
      <c r="C10" s="45">
        <v>0.114796</v>
      </c>
      <c r="D10" s="53">
        <v>0.114796</v>
      </c>
      <c r="E10" s="53">
        <v>3.1228100000000002E-2</v>
      </c>
      <c r="F10" s="53">
        <v>4.8185400000000003E-2</v>
      </c>
      <c r="G10" s="53">
        <v>4.4235499999999997E-2</v>
      </c>
    </row>
    <row r="11" spans="1:15" ht="15.75" customHeight="1" x14ac:dyDescent="0.25">
      <c r="B11" s="5" t="s">
        <v>110</v>
      </c>
      <c r="C11" s="45">
        <v>5.5176500000000003E-2</v>
      </c>
      <c r="D11" s="53">
        <v>5.5176500000000003E-2</v>
      </c>
      <c r="E11" s="53">
        <v>1.3850100000000001E-2</v>
      </c>
      <c r="F11" s="53">
        <v>2.44044E-2</v>
      </c>
      <c r="G11" s="53">
        <v>2.5522900000000001E-2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0.72000545300000018</v>
      </c>
      <c r="D14" s="54">
        <v>0.69848994093299988</v>
      </c>
      <c r="E14" s="54">
        <v>0.69848994093299988</v>
      </c>
      <c r="F14" s="54">
        <v>0.198210452137</v>
      </c>
      <c r="G14" s="54">
        <v>0.198210452137</v>
      </c>
      <c r="H14" s="45">
        <v>0.40200000000000002</v>
      </c>
      <c r="I14" s="55">
        <v>0.40200000000000002</v>
      </c>
      <c r="J14" s="55">
        <v>0.40200000000000002</v>
      </c>
      <c r="K14" s="55">
        <v>0.40200000000000002</v>
      </c>
      <c r="L14" s="45">
        <v>0.316</v>
      </c>
      <c r="M14" s="55">
        <v>0.316</v>
      </c>
      <c r="N14" s="55">
        <v>0.316</v>
      </c>
      <c r="O14" s="55">
        <v>0.316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0.40996894492184105</v>
      </c>
      <c r="D15" s="52">
        <f t="shared" si="0"/>
        <v>0.39771807689742728</v>
      </c>
      <c r="E15" s="52">
        <f t="shared" si="0"/>
        <v>0.39771807689742728</v>
      </c>
      <c r="F15" s="52">
        <f t="shared" si="0"/>
        <v>0.11286043681545138</v>
      </c>
      <c r="G15" s="52">
        <f t="shared" si="0"/>
        <v>0.11286043681545138</v>
      </c>
      <c r="H15" s="52">
        <f t="shared" si="0"/>
        <v>0.22889759399999998</v>
      </c>
      <c r="I15" s="52">
        <f t="shared" si="0"/>
        <v>0.22889759399999998</v>
      </c>
      <c r="J15" s="52">
        <f t="shared" si="0"/>
        <v>0.22889759399999998</v>
      </c>
      <c r="K15" s="52">
        <f t="shared" si="0"/>
        <v>0.22889759399999998</v>
      </c>
      <c r="L15" s="52">
        <f t="shared" si="0"/>
        <v>0.17992945199999999</v>
      </c>
      <c r="M15" s="52">
        <f t="shared" si="0"/>
        <v>0.17992945199999999</v>
      </c>
      <c r="N15" s="52">
        <f t="shared" si="0"/>
        <v>0.17992945199999999</v>
      </c>
      <c r="O15" s="52">
        <f t="shared" si="0"/>
        <v>0.17992945199999999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0.23053779999999999</v>
      </c>
      <c r="D2" s="53">
        <v>0.14422679999999999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0.33883629999999998</v>
      </c>
      <c r="D3" s="53">
        <v>0.25754769999999999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0.2917168</v>
      </c>
      <c r="D4" s="53">
        <v>0.27459610000000001</v>
      </c>
      <c r="E4" s="53">
        <v>0.49563980000000002</v>
      </c>
      <c r="F4" s="53">
        <v>0.19131999999999999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0.13890910000000001</v>
      </c>
      <c r="D5" s="52">
        <f t="shared" si="0"/>
        <v>0.32362939999999996</v>
      </c>
      <c r="E5" s="52">
        <f>1-SUM(E2:E4)</f>
        <v>0.50436020000000004</v>
      </c>
      <c r="F5" s="52">
        <f>1-SUM(F2:F4)</f>
        <v>0.80868000000000007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6909.9562847948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0.47616000000000003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0.69474000000000002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1.4800048257481362E-2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99107.791530000002</v>
      </c>
      <c r="C22" s="107">
        <v>98945.442280000003</v>
      </c>
      <c r="D22" s="107">
        <v>98692.539189999996</v>
      </c>
      <c r="E22" s="107">
        <v>98256.979189999998</v>
      </c>
      <c r="F22" s="107">
        <v>97670.760840000003</v>
      </c>
      <c r="G22" s="107">
        <v>96887.508409999995</v>
      </c>
      <c r="H22" s="107">
        <v>95879.401540000006</v>
      </c>
      <c r="I22" s="107">
        <v>94665.64761</v>
      </c>
      <c r="J22" s="107">
        <v>93227.951079999999</v>
      </c>
      <c r="K22" s="107">
        <v>91486.309810000006</v>
      </c>
      <c r="L22" s="107">
        <v>89242.831130000006</v>
      </c>
      <c r="M22" s="107">
        <v>86354.815749999994</v>
      </c>
      <c r="N22" s="107">
        <v>82274.806259999998</v>
      </c>
      <c r="O22" s="107">
        <v>76408.261870000002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23.266651740020471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23.266651740020471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0.80999999999999994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3.3955169461539101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13.26499411356585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13.26499411356585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13.26499411356585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13.26499411356585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13.26499411356585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13.26499411356585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0.14422679999999999</v>
      </c>
      <c r="C18" s="96">
        <v>0.95</v>
      </c>
      <c r="D18" s="56">
        <v>8.0823886898669404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0.14422679999999999</v>
      </c>
      <c r="C19" s="96">
        <v>0.95</v>
      </c>
      <c r="D19" s="56">
        <v>13.572928096468379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0.80999999999999994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4.4373468308323929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0.70778190547221997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14.964151740020471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0.72505279999999994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0.69243129999999997</v>
      </c>
      <c r="C29" s="96">
        <v>0.95</v>
      </c>
      <c r="D29" s="56">
        <v>139.36614501431501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0.85018820000000006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0.42025489999999999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0.20531749999999999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0.85967060000000006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197</v>
      </c>
      <c r="B3" s="21">
        <f>frac_mam_1month * 2.6</f>
        <v>0.2984696</v>
      </c>
      <c r="C3" s="21">
        <f>frac_mam_1_5months * 2.6</f>
        <v>0.2984696</v>
      </c>
      <c r="D3" s="21">
        <f>frac_mam_6_11months * 2.6</f>
        <v>8.1193060000000011E-2</v>
      </c>
      <c r="E3" s="21">
        <f>frac_mam_12_23months * 2.6</f>
        <v>0.12528204000000001</v>
      </c>
      <c r="F3" s="21">
        <f>frac_mam_24_59months * 2.6</f>
        <v>0.1150123</v>
      </c>
    </row>
    <row r="4" spans="1:6" ht="15.75" customHeight="1" x14ac:dyDescent="0.25">
      <c r="A4" s="3" t="s">
        <v>198</v>
      </c>
      <c r="B4" s="21">
        <f>frac_sam_1month * 2.6</f>
        <v>0.1434589</v>
      </c>
      <c r="C4" s="21">
        <f>frac_sam_1_5months * 2.6</f>
        <v>0.1434589</v>
      </c>
      <c r="D4" s="21">
        <f>frac_sam_6_11months * 2.6</f>
        <v>3.6010260000000002E-2</v>
      </c>
      <c r="E4" s="21">
        <f>frac_sam_12_23months * 2.6</f>
        <v>6.3451439999999998E-2</v>
      </c>
      <c r="F4" s="21">
        <f>frac_sam_24_59months * 2.6</f>
        <v>6.6359540000000009E-2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0.1173</v>
      </c>
      <c r="I19" s="60">
        <f>frac_malaria_risk</f>
        <v>0.1173</v>
      </c>
      <c r="J19" s="60">
        <f>frac_malaria_risk</f>
        <v>0.1173</v>
      </c>
      <c r="K19" s="60">
        <f>frac_malaria_risk</f>
        <v>0.1173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0.11075666526794413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4.7467142257690345E-2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6.6845619964599479E-2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0.77493057250976605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0.1173</v>
      </c>
      <c r="D34" s="60">
        <f t="shared" si="4"/>
        <v>0.1173</v>
      </c>
      <c r="E34" s="60">
        <f t="shared" si="4"/>
        <v>0.1173</v>
      </c>
      <c r="F34" s="60">
        <f t="shared" si="4"/>
        <v>0.1173</v>
      </c>
      <c r="G34" s="60">
        <f t="shared" si="4"/>
        <v>0.1173</v>
      </c>
      <c r="H34" s="60">
        <f t="shared" si="4"/>
        <v>0.1173</v>
      </c>
      <c r="I34" s="60">
        <f t="shared" si="4"/>
        <v>0.1173</v>
      </c>
      <c r="J34" s="60">
        <f t="shared" si="4"/>
        <v>0.1173</v>
      </c>
      <c r="K34" s="60">
        <f t="shared" si="4"/>
        <v>0.1173</v>
      </c>
      <c r="L34" s="60">
        <f t="shared" si="4"/>
        <v>0.1173</v>
      </c>
      <c r="M34" s="60">
        <f t="shared" si="4"/>
        <v>0.1173</v>
      </c>
      <c r="N34" s="60">
        <f t="shared" si="4"/>
        <v>0.1173</v>
      </c>
      <c r="O34" s="60">
        <f t="shared" si="4"/>
        <v>0.1173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