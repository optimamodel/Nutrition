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BD699027-BB4C-456E-BB3D-5B3DC39ACA22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<sst xmlns="http://schemas.openxmlformats.org/spreadsheetml/2006/main" count="2102" uniqueCount="341">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</sst>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3156142.15625</v>
      </c>
    </row>
    <row r="8" spans="1:3" ht="15" customHeight="1" x14ac:dyDescent="0.25">
      <c r="B8" s="5" t="s">
        <v>8</v>
      </c>
      <c r="C8" s="44">
        <v>0</v>
      </c>
    </row>
    <row r="9" spans="1:3" ht="15" customHeight="1" x14ac:dyDescent="0.25">
      <c r="B9" s="5" t="s">
        <v>9</v>
      </c>
      <c r="C9" s="45">
        <v>0.1173</v>
      </c>
    </row>
    <row r="10" spans="1:3" ht="15" customHeight="1" x14ac:dyDescent="0.25">
      <c r="B10" s="5" t="s">
        <v>10</v>
      </c>
      <c r="C10" s="45">
        <v>0.77493057250976605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0.1774</v>
      </c>
    </row>
    <row r="24" spans="1:3" ht="15" customHeight="1" x14ac:dyDescent="0.25">
      <c r="B24" s="15" t="s">
        <v>22</v>
      </c>
      <c r="C24" s="45">
        <v>0.45540000000000003</v>
      </c>
    </row>
    <row r="25" spans="1:3" ht="15" customHeight="1" x14ac:dyDescent="0.25">
      <c r="B25" s="15" t="s">
        <v>23</v>
      </c>
      <c r="C25" s="45">
        <v>0.34060000000000001</v>
      </c>
    </row>
    <row r="26" spans="1:3" ht="15" customHeight="1" x14ac:dyDescent="0.25">
      <c r="B26" s="15" t="s">
        <v>24</v>
      </c>
      <c r="C26" s="45">
        <v>2.6599999999999999E-2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0.35684779999999999</v>
      </c>
    </row>
    <row r="30" spans="1:3" ht="14.25" customHeight="1" x14ac:dyDescent="0.25">
      <c r="B30" s="25" t="s">
        <v>27</v>
      </c>
      <c r="C30" s="99">
        <v>7.0757700000000007E-2</v>
      </c>
    </row>
    <row r="31" spans="1:3" ht="14.25" customHeight="1" x14ac:dyDescent="0.25">
      <c r="B31" s="25" t="s">
        <v>28</v>
      </c>
      <c r="C31" s="99">
        <v>8.0229999999999996E-2</v>
      </c>
    </row>
    <row r="32" spans="1:3" ht="14.25" customHeight="1" x14ac:dyDescent="0.25">
      <c r="B32" s="25" t="s">
        <v>29</v>
      </c>
      <c r="C32" s="99">
        <v>0.4921645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4.7081600000000003</v>
      </c>
    </row>
    <row r="38" spans="1:5" ht="15" customHeight="1" x14ac:dyDescent="0.25">
      <c r="B38" s="11" t="s">
        <v>34</v>
      </c>
      <c r="C38" s="43">
        <v>7.0959099999999999</v>
      </c>
      <c r="D38" s="12"/>
      <c r="E38" s="13"/>
    </row>
    <row r="39" spans="1:5" ht="15" customHeight="1" x14ac:dyDescent="0.25">
      <c r="B39" s="11" t="s">
        <v>35</v>
      </c>
      <c r="C39" s="43">
        <v>8.2910299999999992</v>
      </c>
      <c r="D39" s="12"/>
      <c r="E39" s="12"/>
    </row>
    <row r="40" spans="1:5" ht="15" customHeight="1" x14ac:dyDescent="0.25">
      <c r="B40" s="11" t="s">
        <v>36</v>
      </c>
      <c r="C40" s="100">
        <v>0.28999999999999998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5.4506100000000002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6.1894000000000003E-3</v>
      </c>
      <c r="D45" s="12"/>
    </row>
    <row r="46" spans="1:5" ht="15.75" customHeight="1" x14ac:dyDescent="0.25">
      <c r="B46" s="11" t="s">
        <v>41</v>
      </c>
      <c r="C46" s="45">
        <v>6.6504300000000002E-2</v>
      </c>
      <c r="D46" s="12"/>
    </row>
    <row r="47" spans="1:5" ht="15.75" customHeight="1" x14ac:dyDescent="0.25">
      <c r="B47" s="11" t="s">
        <v>42</v>
      </c>
      <c r="C47" s="45">
        <v>7.5115299999999996E-2</v>
      </c>
      <c r="D47" s="12"/>
      <c r="E47" s="13"/>
    </row>
    <row r="48" spans="1:5" ht="15" customHeight="1" x14ac:dyDescent="0.25">
      <c r="B48" s="11" t="s">
        <v>43</v>
      </c>
      <c r="C48" s="46">
        <v>0.85219099999999992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2.4</v>
      </c>
      <c r="D51" s="12"/>
    </row>
    <row r="52" spans="1:4" ht="15" customHeight="1" x14ac:dyDescent="0.25">
      <c r="B52" s="11" t="s">
        <v>46</v>
      </c>
      <c r="C52" s="100">
        <v>2.4</v>
      </c>
    </row>
    <row r="53" spans="1:4" ht="15.75" customHeight="1" x14ac:dyDescent="0.25">
      <c r="B53" s="11" t="s">
        <v>47</v>
      </c>
      <c r="C53" s="100">
        <v>2.4</v>
      </c>
    </row>
    <row r="54" spans="1:4" ht="15.75" customHeight="1" x14ac:dyDescent="0.25">
      <c r="B54" s="11" t="s">
        <v>48</v>
      </c>
      <c r="C54" s="100">
        <v>2.4</v>
      </c>
    </row>
    <row r="55" spans="1:4" ht="15.75" customHeight="1" x14ac:dyDescent="0.25">
      <c r="B55" s="11" t="s">
        <v>49</v>
      </c>
      <c r="C55" s="100">
        <v>2.4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0.56939699999999993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0.10516175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614663</v>
      </c>
      <c r="C2" s="49">
        <v>2377453</v>
      </c>
      <c r="D2" s="49">
        <v>4538842.5</v>
      </c>
      <c r="E2" s="49">
        <v>5028119.5</v>
      </c>
      <c r="F2" s="49">
        <v>4684747</v>
      </c>
      <c r="G2" s="17">
        <f t="shared" ref="G2:G13" si="0">C2+D2+E2+F2</f>
        <v>16629162</v>
      </c>
      <c r="H2" s="17">
        <f t="shared" ref="H2:H13" si="1">(B2 + stillbirth*B2/(1000-stillbirth))/(1-abortion)</f>
        <v>702308.69260116073</v>
      </c>
      <c r="I2" s="17">
        <f t="shared" ref="I2:I13" si="2">G2-H2</f>
        <v>15926853.307398839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612535</v>
      </c>
      <c r="C3" s="50">
        <v>2374398.5</v>
      </c>
      <c r="D3" s="50">
        <v>4436469</v>
      </c>
      <c r="E3" s="50">
        <v>5009319</v>
      </c>
      <c r="F3" s="50">
        <v>4684883</v>
      </c>
      <c r="G3" s="17">
        <f t="shared" si="0"/>
        <v>16505069.5</v>
      </c>
      <c r="H3" s="17">
        <f t="shared" si="1"/>
        <v>699877.25798112445</v>
      </c>
      <c r="I3" s="17">
        <f t="shared" si="2"/>
        <v>15805192.242018875</v>
      </c>
    </row>
    <row r="4" spans="1:9" ht="15.75" customHeight="1" x14ac:dyDescent="0.25">
      <c r="A4" s="5">
        <f t="shared" si="3"/>
        <v>2026</v>
      </c>
      <c r="B4" s="49">
        <v>608732</v>
      </c>
      <c r="C4" s="50">
        <v>2371379.5</v>
      </c>
      <c r="D4" s="50">
        <v>4321971.5</v>
      </c>
      <c r="E4" s="50">
        <v>5011709</v>
      </c>
      <c r="F4" s="50">
        <v>4685797.5</v>
      </c>
      <c r="G4" s="17">
        <f t="shared" si="0"/>
        <v>16390857.5</v>
      </c>
      <c r="H4" s="17">
        <f t="shared" si="1"/>
        <v>695531.98267097538</v>
      </c>
      <c r="I4" s="17">
        <f t="shared" si="2"/>
        <v>15695325.517329024</v>
      </c>
    </row>
    <row r="5" spans="1:9" ht="15.75" customHeight="1" x14ac:dyDescent="0.25">
      <c r="A5" s="5">
        <f t="shared" si="3"/>
        <v>2027</v>
      </c>
      <c r="B5" s="49">
        <v>605852</v>
      </c>
      <c r="C5" s="50">
        <v>2360052.5</v>
      </c>
      <c r="D5" s="50">
        <v>4216988.5</v>
      </c>
      <c r="E5" s="50">
        <v>5010926</v>
      </c>
      <c r="F5" s="50">
        <v>4675756</v>
      </c>
      <c r="G5" s="17">
        <f t="shared" si="0"/>
        <v>16263723</v>
      </c>
      <c r="H5" s="17">
        <f t="shared" si="1"/>
        <v>692241.31927543774</v>
      </c>
      <c r="I5" s="17">
        <f t="shared" si="2"/>
        <v>15571481.680724563</v>
      </c>
    </row>
    <row r="6" spans="1:9" ht="15.75" customHeight="1" x14ac:dyDescent="0.25">
      <c r="A6" s="5">
        <f t="shared" si="3"/>
        <v>2028</v>
      </c>
      <c r="B6" s="49">
        <v>601450</v>
      </c>
      <c r="C6" s="50">
        <v>2338392.5</v>
      </c>
      <c r="D6" s="50">
        <v>4135642</v>
      </c>
      <c r="E6" s="50">
        <v>4986289.5</v>
      </c>
      <c r="F6" s="50">
        <v>4656876</v>
      </c>
      <c r="G6" s="17">
        <f t="shared" si="0"/>
        <v>16117200</v>
      </c>
      <c r="H6" s="17">
        <f t="shared" si="1"/>
        <v>687211.63168267498</v>
      </c>
      <c r="I6" s="17">
        <f t="shared" si="2"/>
        <v>15429988.368317325</v>
      </c>
    </row>
    <row r="7" spans="1:9" ht="15.75" customHeight="1" x14ac:dyDescent="0.25">
      <c r="A7" s="5">
        <f t="shared" si="3"/>
        <v>2029</v>
      </c>
      <c r="B7" s="49">
        <v>596884</v>
      </c>
      <c r="C7" s="50">
        <v>2306934</v>
      </c>
      <c r="D7" s="50">
        <v>4080894.5</v>
      </c>
      <c r="E7" s="50">
        <v>4937633</v>
      </c>
      <c r="F7" s="50">
        <v>4638597.5</v>
      </c>
      <c r="G7" s="17">
        <f t="shared" si="0"/>
        <v>15964059</v>
      </c>
      <c r="H7" s="17">
        <f t="shared" si="1"/>
        <v>681994.55909099977</v>
      </c>
      <c r="I7" s="17">
        <f t="shared" si="2"/>
        <v>15282064.440909</v>
      </c>
    </row>
    <row r="8" spans="1:9" ht="15.75" customHeight="1" x14ac:dyDescent="0.25">
      <c r="A8" s="5">
        <f t="shared" si="3"/>
        <v>2030</v>
      </c>
      <c r="B8" s="49">
        <v>592191</v>
      </c>
      <c r="C8" s="50">
        <v>2267217.5</v>
      </c>
      <c r="D8" s="50">
        <v>4040272</v>
      </c>
      <c r="E8" s="50">
        <v>4872433</v>
      </c>
      <c r="F8" s="50">
        <v>4617773</v>
      </c>
      <c r="G8" s="17">
        <f t="shared" si="0"/>
        <v>15797695.5</v>
      </c>
      <c r="H8" s="17">
        <f t="shared" si="1"/>
        <v>676632.37738431292</v>
      </c>
      <c r="I8" s="17">
        <f t="shared" si="2"/>
        <v>15121063.122615688</v>
      </c>
    </row>
    <row r="9" spans="1:9" ht="15.75" customHeight="1" x14ac:dyDescent="0.25">
      <c r="A9" s="5">
        <f t="shared" si="3"/>
        <v>2031</v>
      </c>
      <c r="B9" s="49">
        <v>588086</v>
      </c>
      <c r="C9" s="50">
        <v>2218421.5</v>
      </c>
      <c r="D9" s="50">
        <v>4007498</v>
      </c>
      <c r="E9" s="50">
        <v>4793354.5</v>
      </c>
      <c r="F9" s="50">
        <v>4592320</v>
      </c>
      <c r="G9" s="17">
        <f t="shared" si="0"/>
        <v>15611594</v>
      </c>
      <c r="H9" s="17">
        <f t="shared" si="1"/>
        <v>671942.03945421497</v>
      </c>
      <c r="I9" s="17">
        <f t="shared" si="2"/>
        <v>14939651.960545786</v>
      </c>
    </row>
    <row r="10" spans="1:9" ht="15.75" customHeight="1" x14ac:dyDescent="0.25">
      <c r="A10" s="5">
        <f t="shared" si="3"/>
        <v>2032</v>
      </c>
      <c r="B10" s="49">
        <v>584650</v>
      </c>
      <c r="C10" s="50">
        <v>2160864</v>
      </c>
      <c r="D10" s="50">
        <v>3983938</v>
      </c>
      <c r="E10" s="50">
        <v>4710107</v>
      </c>
      <c r="F10" s="50">
        <v>4564259.5</v>
      </c>
      <c r="G10" s="17">
        <f t="shared" si="0"/>
        <v>15419168.5</v>
      </c>
      <c r="H10" s="17">
        <f t="shared" si="1"/>
        <v>668016.09520870552</v>
      </c>
      <c r="I10" s="17">
        <f t="shared" si="2"/>
        <v>14751152.404791294</v>
      </c>
    </row>
    <row r="11" spans="1:9" ht="15.75" customHeight="1" x14ac:dyDescent="0.25">
      <c r="A11" s="5">
        <f t="shared" si="3"/>
        <v>2033</v>
      </c>
      <c r="B11" s="49">
        <v>576614</v>
      </c>
      <c r="C11" s="50">
        <v>2101262.5</v>
      </c>
      <c r="D11" s="50">
        <v>3964115.5</v>
      </c>
      <c r="E11" s="50">
        <v>4626553.5</v>
      </c>
      <c r="F11" s="50">
        <v>4531635</v>
      </c>
      <c r="G11" s="17">
        <f t="shared" si="0"/>
        <v>15223566.5</v>
      </c>
      <c r="H11" s="17">
        <f t="shared" si="1"/>
        <v>658834.2302619901</v>
      </c>
      <c r="I11" s="17">
        <f t="shared" si="2"/>
        <v>14564732.269738009</v>
      </c>
    </row>
    <row r="12" spans="1:9" ht="15.75" customHeight="1" x14ac:dyDescent="0.25">
      <c r="A12" s="5">
        <f t="shared" si="3"/>
        <v>2034</v>
      </c>
      <c r="B12" s="49">
        <v>570208</v>
      </c>
      <c r="C12" s="50">
        <v>2044763</v>
      </c>
      <c r="D12" s="50">
        <v>3940910.5</v>
      </c>
      <c r="E12" s="50">
        <v>4539420.0000000009</v>
      </c>
      <c r="F12" s="50">
        <v>4497364</v>
      </c>
      <c r="G12" s="17">
        <f t="shared" si="0"/>
        <v>15022457.5</v>
      </c>
      <c r="H12" s="17">
        <f t="shared" si="1"/>
        <v>651514.78938983253</v>
      </c>
      <c r="I12" s="17">
        <f t="shared" si="2"/>
        <v>14370942.710610168</v>
      </c>
    </row>
    <row r="13" spans="1:9" ht="15.75" customHeight="1" x14ac:dyDescent="0.25">
      <c r="A13" s="5">
        <f t="shared" si="3"/>
        <v>2035</v>
      </c>
      <c r="B13" s="49">
        <v>562139</v>
      </c>
      <c r="C13" s="50">
        <v>1993481</v>
      </c>
      <c r="D13" s="50">
        <v>3909443.5</v>
      </c>
      <c r="E13" s="50">
        <v>4438195</v>
      </c>
      <c r="F13" s="50">
        <v>4468230.5</v>
      </c>
      <c r="G13" s="17">
        <f t="shared" si="0"/>
        <v>14809350</v>
      </c>
      <c r="H13" s="17">
        <f t="shared" si="1"/>
        <v>642295.21892504324</v>
      </c>
      <c r="I13" s="17">
        <f t="shared" si="2"/>
        <v>14167054.781074956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5.667026073318962E-2</v>
      </c>
    </row>
    <row r="5" spans="1:8" ht="15.75" customHeight="1" x14ac:dyDescent="0.25">
      <c r="B5" s="19" t="s">
        <v>70</v>
      </c>
      <c r="C5" s="101">
        <v>1.8471868261125322E-2</v>
      </c>
    </row>
    <row r="6" spans="1:8" ht="15.75" customHeight="1" x14ac:dyDescent="0.25">
      <c r="B6" s="19" t="s">
        <v>71</v>
      </c>
      <c r="C6" s="101">
        <v>0.14313369927465211</v>
      </c>
    </row>
    <row r="7" spans="1:8" ht="15.75" customHeight="1" x14ac:dyDescent="0.25">
      <c r="B7" s="19" t="s">
        <v>72</v>
      </c>
      <c r="C7" s="101">
        <v>0.40171534993138558</v>
      </c>
    </row>
    <row r="8" spans="1:8" ht="15.75" customHeight="1" x14ac:dyDescent="0.25">
      <c r="B8" s="19" t="s">
        <v>73</v>
      </c>
      <c r="C8" s="101">
        <v>9.8052002608532141E-3</v>
      </c>
    </row>
    <row r="9" spans="1:8" ht="15.75" customHeight="1" x14ac:dyDescent="0.25">
      <c r="B9" s="19" t="s">
        <v>74</v>
      </c>
      <c r="C9" s="101">
        <v>0.27443438461446162</v>
      </c>
    </row>
    <row r="10" spans="1:8" ht="15.75" customHeight="1" x14ac:dyDescent="0.25">
      <c r="B10" s="19" t="s">
        <v>75</v>
      </c>
      <c r="C10" s="101">
        <v>9.5769236924332563E-2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7.4405142698835872E-2</v>
      </c>
      <c r="D14" s="55">
        <v>7.4405142698835872E-2</v>
      </c>
      <c r="E14" s="55">
        <v>7.4405142698835872E-2</v>
      </c>
      <c r="F14" s="55">
        <v>7.4405142698835872E-2</v>
      </c>
    </row>
    <row r="15" spans="1:8" ht="15.75" customHeight="1" x14ac:dyDescent="0.25">
      <c r="B15" s="19" t="s">
        <v>82</v>
      </c>
      <c r="C15" s="101">
        <v>0.30256537567425368</v>
      </c>
      <c r="D15" s="101">
        <v>0.30256537567425368</v>
      </c>
      <c r="E15" s="101">
        <v>0.30256537567425368</v>
      </c>
      <c r="F15" s="101">
        <v>0.30256537567425368</v>
      </c>
    </row>
    <row r="16" spans="1:8" ht="15.75" customHeight="1" x14ac:dyDescent="0.25">
      <c r="B16" s="19" t="s">
        <v>83</v>
      </c>
      <c r="C16" s="101">
        <v>3.4658356921179863E-2</v>
      </c>
      <c r="D16" s="101">
        <v>3.4658356921179863E-2</v>
      </c>
      <c r="E16" s="101">
        <v>3.4658356921179863E-2</v>
      </c>
      <c r="F16" s="101">
        <v>3.4658356921179863E-2</v>
      </c>
    </row>
    <row r="17" spans="1:8" ht="15.75" customHeight="1" x14ac:dyDescent="0.25">
      <c r="B17" s="19" t="s">
        <v>84</v>
      </c>
      <c r="C17" s="101">
        <v>4.0466950134923567E-2</v>
      </c>
      <c r="D17" s="101">
        <v>4.0466950134923567E-2</v>
      </c>
      <c r="E17" s="101">
        <v>4.0466950134923567E-2</v>
      </c>
      <c r="F17" s="101">
        <v>4.0466950134923567E-2</v>
      </c>
    </row>
    <row r="18" spans="1:8" ht="15.75" customHeight="1" x14ac:dyDescent="0.25">
      <c r="B18" s="19" t="s">
        <v>85</v>
      </c>
      <c r="C18" s="101">
        <v>1.8870452853308E-3</v>
      </c>
      <c r="D18" s="101">
        <v>1.8870452853308E-3</v>
      </c>
      <c r="E18" s="101">
        <v>1.8870452853308E-3</v>
      </c>
      <c r="F18" s="101">
        <v>1.8870452853308E-3</v>
      </c>
    </row>
    <row r="19" spans="1:8" ht="15.75" customHeight="1" x14ac:dyDescent="0.25">
      <c r="B19" s="19" t="s">
        <v>86</v>
      </c>
      <c r="C19" s="101">
        <v>3.383571353365554E-2</v>
      </c>
      <c r="D19" s="101">
        <v>3.383571353365554E-2</v>
      </c>
      <c r="E19" s="101">
        <v>3.383571353365554E-2</v>
      </c>
      <c r="F19" s="101">
        <v>3.383571353365554E-2</v>
      </c>
    </row>
    <row r="20" spans="1:8" ht="15.75" customHeight="1" x14ac:dyDescent="0.25">
      <c r="B20" s="19" t="s">
        <v>87</v>
      </c>
      <c r="C20" s="101">
        <v>4.2518997849297593E-2</v>
      </c>
      <c r="D20" s="101">
        <v>4.2518997849297593E-2</v>
      </c>
      <c r="E20" s="101">
        <v>4.2518997849297593E-2</v>
      </c>
      <c r="F20" s="101">
        <v>4.2518997849297593E-2</v>
      </c>
    </row>
    <row r="21" spans="1:8" ht="15.75" customHeight="1" x14ac:dyDescent="0.25">
      <c r="B21" s="19" t="s">
        <v>88</v>
      </c>
      <c r="C21" s="101">
        <v>0.40458542254386298</v>
      </c>
      <c r="D21" s="101">
        <v>0.40458542254386298</v>
      </c>
      <c r="E21" s="101">
        <v>0.40458542254386298</v>
      </c>
      <c r="F21" s="101">
        <v>0.40458542254386298</v>
      </c>
    </row>
    <row r="22" spans="1:8" ht="15.75" customHeight="1" x14ac:dyDescent="0.25">
      <c r="B22" s="19" t="s">
        <v>89</v>
      </c>
      <c r="C22" s="101">
        <v>6.5076995358659864E-2</v>
      </c>
      <c r="D22" s="101">
        <v>6.5076995358659864E-2</v>
      </c>
      <c r="E22" s="101">
        <v>6.5076995358659864E-2</v>
      </c>
      <c r="F22" s="101">
        <v>6.5076995358659864E-2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2.3699701E-2</v>
      </c>
    </row>
    <row r="27" spans="1:8" ht="15.75" customHeight="1" x14ac:dyDescent="0.25">
      <c r="B27" s="19" t="s">
        <v>92</v>
      </c>
      <c r="C27" s="101">
        <v>2.0615876000000002E-2</v>
      </c>
    </row>
    <row r="28" spans="1:8" ht="15.75" customHeight="1" x14ac:dyDescent="0.25">
      <c r="B28" s="19" t="s">
        <v>93</v>
      </c>
      <c r="C28" s="101">
        <v>0.32415355899999992</v>
      </c>
    </row>
    <row r="29" spans="1:8" ht="15.75" customHeight="1" x14ac:dyDescent="0.25">
      <c r="B29" s="19" t="s">
        <v>94</v>
      </c>
      <c r="C29" s="101">
        <v>0.13455262100000001</v>
      </c>
    </row>
    <row r="30" spans="1:8" ht="15.75" customHeight="1" x14ac:dyDescent="0.25">
      <c r="B30" s="19" t="s">
        <v>95</v>
      </c>
      <c r="C30" s="101">
        <v>2.7948395000000001E-2</v>
      </c>
    </row>
    <row r="31" spans="1:8" ht="15.75" customHeight="1" x14ac:dyDescent="0.25">
      <c r="B31" s="19" t="s">
        <v>96</v>
      </c>
      <c r="C31" s="101">
        <v>0.12247227099999999</v>
      </c>
    </row>
    <row r="32" spans="1:8" ht="15.75" customHeight="1" x14ac:dyDescent="0.25">
      <c r="B32" s="19" t="s">
        <v>97</v>
      </c>
      <c r="C32" s="101">
        <v>0.15633195699999999</v>
      </c>
    </row>
    <row r="33" spans="2:3" ht="15.75" customHeight="1" x14ac:dyDescent="0.25">
      <c r="B33" s="19" t="s">
        <v>98</v>
      </c>
      <c r="C33" s="101">
        <v>0.10750958400000001</v>
      </c>
    </row>
    <row r="34" spans="2:3" ht="15.75" customHeight="1" x14ac:dyDescent="0.25">
      <c r="B34" s="19" t="s">
        <v>99</v>
      </c>
      <c r="C34" s="101">
        <v>8.2716036000000007E-2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0.38677040442115396</v>
      </c>
      <c r="D2" s="52">
        <f>IFERROR(1-_xlfn.NORM.DIST(_xlfn.NORM.INV(SUM(D4:D5), 0, 1) + 1, 0, 1, TRUE), "")</f>
        <v>0.38677040442115396</v>
      </c>
      <c r="E2" s="52">
        <f>IFERROR(1-_xlfn.NORM.DIST(_xlfn.NORM.INV(SUM(E4:E5), 0, 1) + 1, 0, 1, TRUE), "")</f>
        <v>0.57932892869215491</v>
      </c>
      <c r="F2" s="52">
        <f>IFERROR(1-_xlfn.NORM.DIST(_xlfn.NORM.INV(SUM(F4:F5), 0, 1) + 1, 0, 1, TRUE), "")</f>
        <v>0.48476925058739728</v>
      </c>
      <c r="G2" s="52">
        <f>IFERROR(1-_xlfn.NORM.DIST(_xlfn.NORM.INV(SUM(G4:G5), 0, 1) + 1, 0, 1, TRUE), "")</f>
        <v>0.58906943983370452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0.37507569557884601</v>
      </c>
      <c r="D3" s="52">
        <f>IFERROR(_xlfn.NORM.DIST(_xlfn.NORM.INV(SUM(D4:D5), 0, 1) + 1, 0, 1, TRUE) - SUM(D4:D5), "")</f>
        <v>0.37507569557884601</v>
      </c>
      <c r="E3" s="52">
        <f>IFERROR(_xlfn.NORM.DIST(_xlfn.NORM.INV(SUM(E4:E5), 0, 1) + 1, 0, 1, TRUE) - SUM(E4:E5), "")</f>
        <v>0.30563577130784508</v>
      </c>
      <c r="F3" s="52">
        <f>IFERROR(_xlfn.NORM.DIST(_xlfn.NORM.INV(SUM(F4:F5), 0, 1) + 1, 0, 1, TRUE) - SUM(F4:F5), "")</f>
        <v>0.34715894941260272</v>
      </c>
      <c r="G3" s="52">
        <f>IFERROR(_xlfn.NORM.DIST(_xlfn.NORM.INV(SUM(G4:G5), 0, 1) + 1, 0, 1, TRUE) - SUM(G4:G5), "")</f>
        <v>0.30067156016629548</v>
      </c>
    </row>
    <row r="4" spans="1:15" ht="15.75" customHeight="1" x14ac:dyDescent="0.25">
      <c r="B4" s="5" t="s">
        <v>104</v>
      </c>
      <c r="C4" s="45">
        <v>0.1582086</v>
      </c>
      <c r="D4" s="53">
        <v>0.1582086</v>
      </c>
      <c r="E4" s="53">
        <v>8.5423500000000013E-2</v>
      </c>
      <c r="F4" s="53">
        <v>0.11673269999999999</v>
      </c>
      <c r="G4" s="53">
        <v>7.4234999999999995E-2</v>
      </c>
    </row>
    <row r="5" spans="1:15" ht="15.75" customHeight="1" x14ac:dyDescent="0.25">
      <c r="B5" s="5" t="s">
        <v>105</v>
      </c>
      <c r="C5" s="45">
        <v>7.9945299999999997E-2</v>
      </c>
      <c r="D5" s="53">
        <v>7.9945299999999997E-2</v>
      </c>
      <c r="E5" s="53">
        <v>2.9611800000000001E-2</v>
      </c>
      <c r="F5" s="53">
        <v>5.1339099999999999E-2</v>
      </c>
      <c r="G5" s="53">
        <v>3.6024E-2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0.48176429291380052</v>
      </c>
      <c r="D8" s="52">
        <f>IFERROR(1-_xlfn.NORM.DIST(_xlfn.NORM.INV(SUM(D10:D11), 0, 1) + 1, 0, 1, TRUE), "")</f>
        <v>0.48176429291380052</v>
      </c>
      <c r="E8" s="52">
        <f>IFERROR(1-_xlfn.NORM.DIST(_xlfn.NORM.INV(SUM(E10:E11), 0, 1) + 1, 0, 1, TRUE), "")</f>
        <v>0.75633861799638091</v>
      </c>
      <c r="F8" s="52">
        <f>IFERROR(1-_xlfn.NORM.DIST(_xlfn.NORM.INV(SUM(F10:F11), 0, 1) + 1, 0, 1, TRUE), "")</f>
        <v>0.67608217852785446</v>
      </c>
      <c r="G8" s="52">
        <f>IFERROR(1-_xlfn.NORM.DIST(_xlfn.NORM.INV(SUM(G10:G11), 0, 1) + 1, 0, 1, TRUE), "")</f>
        <v>0.68352997533377657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0.34826320708619951</v>
      </c>
      <c r="D9" s="52">
        <f>IFERROR(_xlfn.NORM.DIST(_xlfn.NORM.INV(SUM(D10:D11), 0, 1) + 1, 0, 1, TRUE) - SUM(D10:D11), "")</f>
        <v>0.34826320708619951</v>
      </c>
      <c r="E9" s="52">
        <f>IFERROR(_xlfn.NORM.DIST(_xlfn.NORM.INV(SUM(E10:E11), 0, 1) + 1, 0, 1, TRUE) - SUM(E10:E11), "")</f>
        <v>0.19858318200361913</v>
      </c>
      <c r="F9" s="52">
        <f>IFERROR(_xlfn.NORM.DIST(_xlfn.NORM.INV(SUM(F10:F11), 0, 1) + 1, 0, 1, TRUE) - SUM(F10:F11), "")</f>
        <v>0.2513280214721455</v>
      </c>
      <c r="G9" s="52">
        <f>IFERROR(_xlfn.NORM.DIST(_xlfn.NORM.INV(SUM(G10:G11), 0, 1) + 1, 0, 1, TRUE) - SUM(G10:G11), "")</f>
        <v>0.24671162466622343</v>
      </c>
    </row>
    <row r="10" spans="1:15" ht="15.75" customHeight="1" x14ac:dyDescent="0.25">
      <c r="B10" s="5" t="s">
        <v>109</v>
      </c>
      <c r="C10" s="45">
        <v>0.114796</v>
      </c>
      <c r="D10" s="53">
        <v>0.114796</v>
      </c>
      <c r="E10" s="53">
        <v>3.1228100000000002E-2</v>
      </c>
      <c r="F10" s="53">
        <v>4.8185400000000003E-2</v>
      </c>
      <c r="G10" s="53">
        <v>4.4235499999999997E-2</v>
      </c>
    </row>
    <row r="11" spans="1:15" ht="15.75" customHeight="1" x14ac:dyDescent="0.25">
      <c r="B11" s="5" t="s">
        <v>110</v>
      </c>
      <c r="C11" s="45">
        <v>5.5176500000000003E-2</v>
      </c>
      <c r="D11" s="53">
        <v>5.5176500000000003E-2</v>
      </c>
      <c r="E11" s="53">
        <v>1.3850100000000001E-2</v>
      </c>
      <c r="F11" s="53">
        <v>2.44044E-2</v>
      </c>
      <c r="G11" s="53">
        <v>2.5522900000000001E-2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0.72000545300000018</v>
      </c>
      <c r="D14" s="54">
        <v>0.69848994093299988</v>
      </c>
      <c r="E14" s="54">
        <v>0.69848994093299988</v>
      </c>
      <c r="F14" s="54">
        <v>0.198210452137</v>
      </c>
      <c r="G14" s="54">
        <v>0.198210452137</v>
      </c>
      <c r="H14" s="45">
        <v>0.40200000000000002</v>
      </c>
      <c r="I14" s="55">
        <v>0.40200000000000002</v>
      </c>
      <c r="J14" s="55">
        <v>0.40200000000000002</v>
      </c>
      <c r="K14" s="55">
        <v>0.40200000000000002</v>
      </c>
      <c r="L14" s="45">
        <v>0.316</v>
      </c>
      <c r="M14" s="55">
        <v>0.316</v>
      </c>
      <c r="N14" s="55">
        <v>0.316</v>
      </c>
      <c r="O14" s="55">
        <v>0.316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0.40996894492184105</v>
      </c>
      <c r="D15" s="52">
        <f t="shared" si="0"/>
        <v>0.39771807689742728</v>
      </c>
      <c r="E15" s="52">
        <f t="shared" si="0"/>
        <v>0.39771807689742728</v>
      </c>
      <c r="F15" s="52">
        <f t="shared" si="0"/>
        <v>0.11286043681545138</v>
      </c>
      <c r="G15" s="52">
        <f t="shared" si="0"/>
        <v>0.11286043681545138</v>
      </c>
      <c r="H15" s="52">
        <f t="shared" si="0"/>
        <v>0.22889759399999998</v>
      </c>
      <c r="I15" s="52">
        <f t="shared" si="0"/>
        <v>0.22889759399999998</v>
      </c>
      <c r="J15" s="52">
        <f t="shared" si="0"/>
        <v>0.22889759399999998</v>
      </c>
      <c r="K15" s="52">
        <f t="shared" si="0"/>
        <v>0.22889759399999998</v>
      </c>
      <c r="L15" s="52">
        <f t="shared" si="0"/>
        <v>0.17992945199999999</v>
      </c>
      <c r="M15" s="52">
        <f t="shared" si="0"/>
        <v>0.17992945199999999</v>
      </c>
      <c r="N15" s="52">
        <f t="shared" si="0"/>
        <v>0.17992945199999999</v>
      </c>
      <c r="O15" s="52">
        <f t="shared" si="0"/>
        <v>0.17992945199999999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0.23053779999999999</v>
      </c>
      <c r="D2" s="53">
        <v>0.14422679999999999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0.33883629999999998</v>
      </c>
      <c r="D3" s="53">
        <v>0.25754769999999999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0.2917168</v>
      </c>
      <c r="D4" s="53">
        <v>0.27459610000000001</v>
      </c>
      <c r="E4" s="53">
        <v>0.49563980000000002</v>
      </c>
      <c r="F4" s="53">
        <v>0.19131999999999999</v>
      </c>
      <c r="G4" s="53">
        <v>0</v>
      </c>
    </row>
    <row r="5" spans="1:7" x14ac:dyDescent="0.25">
      <c r="B5" s="3" t="s">
        <v>122</v>
      </c>
      <c r="C5" s="52">
        <v>0.13890910000000001</v>
      </c>
      <c r="D5" s="52">
        <v>0.32362940000000001</v>
      </c>
      <c r="E5" s="52">
        <f>1-SUM(E2:E4)</f>
        <v>0.50436020000000004</v>
      </c>
      <c r="F5" s="52">
        <f>1-SUM(F2:F4)</f>
        <v>0.80868000000000007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69.29767297109683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0.2435409481344</v>
      </c>
      <c r="C3" s="98">
        <v>0.95</v>
      </c>
      <c r="D3" s="56">
        <v>40.13269466976994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591.06209321591393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3.3955169461539101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13.26499411356585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13.26499411356585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13.26499411356585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13.26499411356585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13.26499411356585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13.26499411356585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0.99</v>
      </c>
      <c r="C16" s="98">
        <v>0.95</v>
      </c>
      <c r="D16" s="56">
        <v>0.97175991346119572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0.12464780918623</v>
      </c>
      <c r="C18" s="98">
        <v>0.95</v>
      </c>
      <c r="D18" s="56">
        <v>13.572928096468379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0.99</v>
      </c>
      <c r="C19" s="98">
        <v>0.95</v>
      </c>
      <c r="D19" s="56">
        <v>13.572928096468379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0.85967060000000006</v>
      </c>
      <c r="C21" s="98">
        <v>0.95</v>
      </c>
      <c r="D21" s="56">
        <v>28.571116697776191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23.023699585983909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4.4373468308323929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0.94454000066475996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18.82704421276744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0.74070616747852991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139.36614501431501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1.6292436938648731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2.1125177492988438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0.69243129999999997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0.72505279999999994</v>
      </c>
      <c r="C38" s="98">
        <v>0.95</v>
      </c>
      <c r="D38" s="56">
        <v>2.415723197099835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2.4</v>
      </c>
      <c r="C2" s="21">
        <f>'Baseline year population inputs'!C52</f>
        <v>2.4</v>
      </c>
      <c r="D2" s="21">
        <f>'Baseline year population inputs'!C53</f>
        <v>2.4</v>
      </c>
      <c r="E2" s="21">
        <f>'Baseline year population inputs'!C54</f>
        <v>2.4</v>
      </c>
      <c r="F2" s="21">
        <f>'Baseline year population inputs'!C55</f>
        <v>2.4</v>
      </c>
    </row>
    <row r="3" spans="1:6" ht="15.75" customHeight="1" x14ac:dyDescent="0.25">
      <c r="A3" s="3" t="s">
        <v>204</v>
      </c>
      <c r="B3" s="21">
        <f>frac_mam_1month * 2.6</f>
        <v>0.2984696</v>
      </c>
      <c r="C3" s="21">
        <f>frac_mam_1_5months * 2.6</f>
        <v>0.2984696</v>
      </c>
      <c r="D3" s="21">
        <f>frac_mam_6_11months * 2.6</f>
        <v>8.1193060000000011E-2</v>
      </c>
      <c r="E3" s="21">
        <f>frac_mam_12_23months * 2.6</f>
        <v>0.12528204000000001</v>
      </c>
      <c r="F3" s="21">
        <f>frac_mam_24_59months * 2.6</f>
        <v>0.1150123</v>
      </c>
    </row>
    <row r="4" spans="1:6" ht="15.75" customHeight="1" x14ac:dyDescent="0.25">
      <c r="A4" s="3" t="s">
        <v>205</v>
      </c>
      <c r="B4" s="21">
        <f>frac_sam_1month * 2.6</f>
        <v>0.1434589</v>
      </c>
      <c r="C4" s="21">
        <f>frac_sam_1_5months * 2.6</f>
        <v>0.1434589</v>
      </c>
      <c r="D4" s="21">
        <f>frac_sam_6_11months * 2.6</f>
        <v>3.6010260000000002E-2</v>
      </c>
      <c r="E4" s="21">
        <f>frac_sam_12_23months * 2.6</f>
        <v>6.3451439999999998E-2</v>
      </c>
      <c r="F4" s="21">
        <f>frac_sam_24_59months * 2.6</f>
        <v>6.6359540000000009E-2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0.1173</v>
      </c>
      <c r="I19" s="60">
        <f>frac_malaria_risk</f>
        <v>0.1173</v>
      </c>
      <c r="J19" s="60">
        <f>frac_malaria_risk</f>
        <v>0.1173</v>
      </c>
      <c r="K19" s="60">
        <f>frac_malaria_risk</f>
        <v>0.1173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0.108</v>
      </c>
      <c r="M24" s="60">
        <f>famplan_unmet_need</f>
        <v>0.108</v>
      </c>
      <c r="N24" s="60">
        <f>famplan_unmet_need</f>
        <v>0.108</v>
      </c>
      <c r="O24" s="60">
        <f>famplan_unmet_need</f>
        <v>0.108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0.11028401947021463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4.7264579772949129E-2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6.7520828247070189E-2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0.77493057250976605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0.1173</v>
      </c>
      <c r="D34" s="60">
        <f t="shared" si="3"/>
        <v>0.1173</v>
      </c>
      <c r="E34" s="60">
        <f t="shared" si="3"/>
        <v>0.1173</v>
      </c>
      <c r="F34" s="60">
        <f t="shared" si="3"/>
        <v>0.1173</v>
      </c>
      <c r="G34" s="60">
        <f t="shared" si="3"/>
        <v>0.1173</v>
      </c>
      <c r="H34" s="60">
        <f t="shared" si="3"/>
        <v>0.1173</v>
      </c>
      <c r="I34" s="60">
        <f t="shared" si="3"/>
        <v>0.1173</v>
      </c>
      <c r="J34" s="60">
        <f t="shared" si="3"/>
        <v>0.1173</v>
      </c>
      <c r="K34" s="60">
        <f t="shared" si="3"/>
        <v>0.1173</v>
      </c>
      <c r="L34" s="60">
        <f t="shared" si="3"/>
        <v>0.1173</v>
      </c>
      <c r="M34" s="60">
        <f t="shared" si="3"/>
        <v>0.1173</v>
      </c>
      <c r="N34" s="60">
        <f t="shared" si="3"/>
        <v>0.1173</v>
      </c>
      <c r="O34" s="60">
        <f t="shared" si="3"/>
        <v>0.1173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2024-05-09T01:47:00Z</dcterms:modified>
</cp:coreProperties>
</file>