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DF624ED-8C88-444F-8AD4-B7FE516E7924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26" i="2"/>
  <c r="A24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<sst xmlns="http://schemas.openxmlformats.org/spreadsheetml/2006/main" count="2159" uniqueCount="372">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</sst>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19199094</v>
      </c>
    </row>
    <row r="8" spans="1:3" ht="15" customHeight="1" x14ac:dyDescent="0.25">
      <c r="B8" s="5" t="s">
        <v>8</v>
      </c>
      <c r="C8" s="44">
        <v>0.7659999999999999</v>
      </c>
    </row>
    <row r="9" spans="1:3" ht="15" customHeight="1" x14ac:dyDescent="0.25">
      <c r="B9" s="5" t="s">
        <v>9</v>
      </c>
      <c r="C9" s="45">
        <v>0.85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0.10349999999999999</v>
      </c>
    </row>
    <row r="24" spans="1:3" ht="15" customHeight="1" x14ac:dyDescent="0.25">
      <c r="B24" s="15" t="s">
        <v>22</v>
      </c>
      <c r="C24" s="45">
        <v>0.45150000000000001</v>
      </c>
    </row>
    <row r="25" spans="1:3" ht="15" customHeight="1" x14ac:dyDescent="0.25">
      <c r="B25" s="15" t="s">
        <v>23</v>
      </c>
      <c r="C25" s="45">
        <v>0.35449999999999998</v>
      </c>
    </row>
    <row r="26" spans="1:3" ht="15" customHeight="1" x14ac:dyDescent="0.25">
      <c r="B26" s="15" t="s">
        <v>24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0.194032291097986</v>
      </c>
    </row>
    <row r="30" spans="1:3" ht="14.25" customHeight="1" x14ac:dyDescent="0.25">
      <c r="B30" s="25" t="s">
        <v>27</v>
      </c>
      <c r="C30" s="99">
        <v>8.3858999788103697E-2</v>
      </c>
    </row>
    <row r="31" spans="1:3" ht="14.25" customHeight="1" x14ac:dyDescent="0.25">
      <c r="B31" s="25" t="s">
        <v>28</v>
      </c>
      <c r="C31" s="99">
        <v>0.13473133352303801</v>
      </c>
    </row>
    <row r="32" spans="1:3" ht="14.25" customHeight="1" x14ac:dyDescent="0.25">
      <c r="B32" s="25" t="s">
        <v>29</v>
      </c>
      <c r="C32" s="99">
        <v>0.587377375590873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26.48049</v>
      </c>
    </row>
    <row r="38" spans="1:5" ht="15" customHeight="1" x14ac:dyDescent="0.25">
      <c r="B38" s="11" t="s">
        <v>34</v>
      </c>
      <c r="C38" s="43">
        <v>62.369660000000003</v>
      </c>
      <c r="D38" s="12"/>
      <c r="E38" s="13"/>
    </row>
    <row r="39" spans="1:5" ht="15" customHeight="1" x14ac:dyDescent="0.25">
      <c r="B39" s="11" t="s">
        <v>35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100">
        <v>5.47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1.05615E-2</v>
      </c>
      <c r="D45" s="12"/>
    </row>
    <row r="46" spans="1:5" ht="15.75" customHeight="1" x14ac:dyDescent="0.25">
      <c r="B46" s="11" t="s">
        <v>41</v>
      </c>
      <c r="C46" s="45">
        <v>0.1134815</v>
      </c>
      <c r="D46" s="12"/>
    </row>
    <row r="47" spans="1:5" ht="15.75" customHeight="1" x14ac:dyDescent="0.25">
      <c r="B47" s="11" t="s">
        <v>42</v>
      </c>
      <c r="C47" s="45">
        <v>7.0955900000000002E-2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2.6</v>
      </c>
      <c r="D51" s="12"/>
    </row>
    <row r="52" spans="1:4" ht="15" customHeight="1" x14ac:dyDescent="0.25">
      <c r="B52" s="11" t="s">
        <v>46</v>
      </c>
      <c r="C52" s="100">
        <v>2.6</v>
      </c>
    </row>
    <row r="53" spans="1:4" ht="15.75" customHeight="1" x14ac:dyDescent="0.25">
      <c r="B53" s="11" t="s">
        <v>47</v>
      </c>
      <c r="C53" s="100">
        <v>8.4500000000000011</v>
      </c>
    </row>
    <row r="54" spans="1:4" ht="15.75" customHeight="1" x14ac:dyDescent="0.25">
      <c r="B54" s="11" t="s">
        <v>48</v>
      </c>
      <c r="C54" s="100">
        <v>7.331999999999999</v>
      </c>
    </row>
    <row r="55" spans="1:4" ht="15.75" customHeight="1" x14ac:dyDescent="0.25">
      <c r="B55" s="11" t="s">
        <v>49</v>
      </c>
      <c r="C55" s="100">
        <v>2.9119999999999999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0.43530600000000003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20302046.5</v>
      </c>
      <c r="C2" s="49">
        <v>5266778</v>
      </c>
      <c r="D2" s="49">
        <v>8390195</v>
      </c>
      <c r="E2" s="49">
        <v>12688079.5</v>
      </c>
      <c r="F2" s="49">
        <v>8756132.5</v>
      </c>
      <c r="G2" s="17">
        <f t="shared" ref="G2:G13" si="0">C2+D2+E2+F2</f>
        <v>35101185</v>
      </c>
      <c r="H2" s="17">
        <f t="shared" ref="H2:H13" si="1">(B2 + stillbirth*B2/(1000-stillbirth))/(1-abortion)</f>
        <v>23727193.532715712</v>
      </c>
      <c r="I2" s="17">
        <f t="shared" ref="I2:I13" si="2">G2-H2</f>
        <v>11373991.467284288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4467740</v>
      </c>
      <c r="C3" s="50">
        <v>5707427.5</v>
      </c>
      <c r="D3" s="50">
        <v>8798562.5</v>
      </c>
      <c r="E3" s="50">
        <v>6012901.5</v>
      </c>
      <c r="F3" s="50">
        <v>3867363</v>
      </c>
      <c r="G3" s="17">
        <f t="shared" si="0"/>
        <v>24386254.5</v>
      </c>
      <c r="H3" s="17">
        <f t="shared" si="1"/>
        <v>5221489.943580579</v>
      </c>
      <c r="I3" s="17">
        <f t="shared" si="2"/>
        <v>19164764.556419421</v>
      </c>
    </row>
    <row r="4" spans="1:9" ht="15.75" customHeight="1" x14ac:dyDescent="0.25">
      <c r="A4" s="5">
        <f t="shared" si="3"/>
        <v>2026</v>
      </c>
      <c r="B4" s="49">
        <v>4559718</v>
      </c>
      <c r="C4" s="50">
        <v>5926746.5</v>
      </c>
      <c r="D4" s="50">
        <v>9049485.4999999981</v>
      </c>
      <c r="E4" s="50">
        <v>6256656.9999999991</v>
      </c>
      <c r="F4" s="50">
        <v>4013996</v>
      </c>
      <c r="G4" s="17">
        <f t="shared" si="0"/>
        <v>25246884.999999996</v>
      </c>
      <c r="H4" s="17">
        <f t="shared" si="1"/>
        <v>5328985.5010728808</v>
      </c>
      <c r="I4" s="17">
        <f t="shared" si="2"/>
        <v>19917899.498927116</v>
      </c>
    </row>
    <row r="5" spans="1:9" ht="15.75" customHeight="1" x14ac:dyDescent="0.25">
      <c r="A5" s="5">
        <f t="shared" si="3"/>
        <v>2027</v>
      </c>
      <c r="B5" s="49">
        <v>4634979</v>
      </c>
      <c r="C5" s="50">
        <v>6153007</v>
      </c>
      <c r="D5" s="50">
        <v>9304810.5</v>
      </c>
      <c r="E5" s="50">
        <v>6513274</v>
      </c>
      <c r="F5" s="50">
        <v>4175585</v>
      </c>
      <c r="G5" s="17">
        <f t="shared" si="0"/>
        <v>26146676.5</v>
      </c>
      <c r="H5" s="17">
        <f t="shared" si="1"/>
        <v>5416943.7427440202</v>
      </c>
      <c r="I5" s="17">
        <f t="shared" si="2"/>
        <v>20729732.757255979</v>
      </c>
    </row>
    <row r="6" spans="1:9" ht="15.75" customHeight="1" x14ac:dyDescent="0.25">
      <c r="A6" s="5">
        <f t="shared" si="3"/>
        <v>2028</v>
      </c>
      <c r="B6" s="49">
        <v>4715179</v>
      </c>
      <c r="C6" s="50">
        <v>6387147</v>
      </c>
      <c r="D6" s="50">
        <v>9591976.5</v>
      </c>
      <c r="E6" s="50">
        <v>6759084.9999999991</v>
      </c>
      <c r="F6" s="50">
        <v>4349830</v>
      </c>
      <c r="G6" s="17">
        <f t="shared" si="0"/>
        <v>27088038.5</v>
      </c>
      <c r="H6" s="17">
        <f t="shared" si="1"/>
        <v>5510674.2403726112</v>
      </c>
      <c r="I6" s="17">
        <f t="shared" si="2"/>
        <v>21577364.259627387</v>
      </c>
    </row>
    <row r="7" spans="1:9" ht="15.75" customHeight="1" x14ac:dyDescent="0.25">
      <c r="A7" s="5">
        <f t="shared" si="3"/>
        <v>2029</v>
      </c>
      <c r="B7" s="49">
        <v>4802947</v>
      </c>
      <c r="C7" s="50">
        <v>6626634.5</v>
      </c>
      <c r="D7" s="50">
        <v>9913193</v>
      </c>
      <c r="E7" s="50">
        <v>6992201.5</v>
      </c>
      <c r="F7" s="50">
        <v>4534990</v>
      </c>
      <c r="G7" s="17">
        <f t="shared" si="0"/>
        <v>28067019</v>
      </c>
      <c r="H7" s="17">
        <f t="shared" si="1"/>
        <v>5613249.5310941348</v>
      </c>
      <c r="I7" s="17">
        <f t="shared" si="2"/>
        <v>22453769.468905866</v>
      </c>
    </row>
    <row r="8" spans="1:9" ht="15.75" customHeight="1" x14ac:dyDescent="0.25">
      <c r="A8" s="5">
        <f t="shared" si="3"/>
        <v>2030</v>
      </c>
      <c r="B8" s="49">
        <v>4875684</v>
      </c>
      <c r="C8" s="50">
        <v>6867822</v>
      </c>
      <c r="D8" s="50">
        <v>10255639.500000002</v>
      </c>
      <c r="E8" s="50">
        <v>7228785.5</v>
      </c>
      <c r="F8" s="50">
        <v>4725643.5</v>
      </c>
      <c r="G8" s="17">
        <f t="shared" si="0"/>
        <v>29077890.5</v>
      </c>
      <c r="H8" s="17">
        <f t="shared" si="1"/>
        <v>5698257.9501217017</v>
      </c>
      <c r="I8" s="17">
        <f t="shared" si="2"/>
        <v>23379632.549878299</v>
      </c>
    </row>
    <row r="9" spans="1:9" ht="15.75" customHeight="1" x14ac:dyDescent="0.25">
      <c r="A9" s="5">
        <f t="shared" si="3"/>
        <v>2031</v>
      </c>
      <c r="B9" s="49">
        <v>4954791</v>
      </c>
      <c r="C9" s="50">
        <v>7111088</v>
      </c>
      <c r="D9" s="50">
        <v>10608311</v>
      </c>
      <c r="E9" s="50">
        <v>7479335.5</v>
      </c>
      <c r="F9" s="50">
        <v>4918201.9999999991</v>
      </c>
      <c r="G9" s="17">
        <f t="shared" si="0"/>
        <v>30116936.5</v>
      </c>
      <c r="H9" s="17">
        <f t="shared" si="1"/>
        <v>5790711.0483250059</v>
      </c>
      <c r="I9" s="17">
        <f t="shared" si="2"/>
        <v>24326225.451674994</v>
      </c>
    </row>
    <row r="10" spans="1:9" ht="15.75" customHeight="1" x14ac:dyDescent="0.25">
      <c r="A10" s="5">
        <f t="shared" si="3"/>
        <v>2032</v>
      </c>
      <c r="B10" s="49">
        <v>5028912</v>
      </c>
      <c r="C10" s="50">
        <v>7353354</v>
      </c>
      <c r="D10" s="50">
        <v>10978867.5</v>
      </c>
      <c r="E10" s="50">
        <v>7736087.5000000009</v>
      </c>
      <c r="F10" s="50">
        <v>5116893.5</v>
      </c>
      <c r="G10" s="17">
        <f t="shared" si="0"/>
        <v>31185202.5</v>
      </c>
      <c r="H10" s="17">
        <f t="shared" si="1"/>
        <v>5877336.9612268619</v>
      </c>
      <c r="I10" s="17">
        <f t="shared" si="2"/>
        <v>25307865.538773138</v>
      </c>
    </row>
    <row r="11" spans="1:9" ht="15.75" customHeight="1" x14ac:dyDescent="0.25">
      <c r="A11" s="5">
        <f t="shared" si="3"/>
        <v>2033</v>
      </c>
      <c r="B11" s="49">
        <v>5084138</v>
      </c>
      <c r="C11" s="50">
        <v>7601006</v>
      </c>
      <c r="D11" s="50">
        <v>11374679</v>
      </c>
      <c r="E11" s="50">
        <v>7994606.5</v>
      </c>
      <c r="F11" s="50">
        <v>5322073</v>
      </c>
      <c r="G11" s="17">
        <f t="shared" si="0"/>
        <v>32292364.5</v>
      </c>
      <c r="H11" s="17">
        <f t="shared" si="1"/>
        <v>5941880.1091325544</v>
      </c>
      <c r="I11" s="17">
        <f t="shared" si="2"/>
        <v>26350484.390867446</v>
      </c>
    </row>
    <row r="12" spans="1:9" ht="15.75" customHeight="1" x14ac:dyDescent="0.25">
      <c r="A12" s="5">
        <f t="shared" si="3"/>
        <v>2034</v>
      </c>
      <c r="B12" s="49">
        <v>5153883</v>
      </c>
      <c r="C12" s="50">
        <v>7861221</v>
      </c>
      <c r="D12" s="50">
        <v>11793474.5</v>
      </c>
      <c r="E12" s="50">
        <v>8252710.4999999991</v>
      </c>
      <c r="F12" s="50">
        <v>5533688</v>
      </c>
      <c r="G12" s="17">
        <f t="shared" si="0"/>
        <v>33441094</v>
      </c>
      <c r="H12" s="17">
        <f t="shared" si="1"/>
        <v>6023391.7494954746</v>
      </c>
      <c r="I12" s="17">
        <f t="shared" si="2"/>
        <v>27417702.250504524</v>
      </c>
    </row>
    <row r="13" spans="1:9" ht="15.75" customHeight="1" x14ac:dyDescent="0.25">
      <c r="A13" s="5">
        <f t="shared" si="3"/>
        <v>2035</v>
      </c>
      <c r="B13" s="49">
        <v>5219842</v>
      </c>
      <c r="C13" s="50">
        <v>8125729.5</v>
      </c>
      <c r="D13" s="50">
        <v>12232980</v>
      </c>
      <c r="E13" s="50">
        <v>8508896.5</v>
      </c>
      <c r="F13" s="50">
        <v>5752367</v>
      </c>
      <c r="G13" s="17">
        <f t="shared" si="0"/>
        <v>34619973</v>
      </c>
      <c r="H13" s="17">
        <f t="shared" si="1"/>
        <v>6100478.6558930324</v>
      </c>
      <c r="I13" s="17">
        <f t="shared" si="2"/>
        <v>28519494.344106968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1.0924097815180431E-2</v>
      </c>
    </row>
    <row r="4" spans="1:8" ht="15.75" customHeight="1" x14ac:dyDescent="0.25">
      <c r="B4" s="19" t="s">
        <v>69</v>
      </c>
      <c r="C4" s="101">
        <v>5.9342188131562293E-2</v>
      </c>
    </row>
    <row r="5" spans="1:8" ht="15.75" customHeight="1" x14ac:dyDescent="0.25">
      <c r="B5" s="19" t="s">
        <v>70</v>
      </c>
      <c r="C5" s="101">
        <v>7.3863785227242837E-2</v>
      </c>
    </row>
    <row r="6" spans="1:8" ht="15.75" customHeight="1" x14ac:dyDescent="0.25">
      <c r="B6" s="19" t="s">
        <v>71</v>
      </c>
      <c r="C6" s="101">
        <v>0.24698675060264991</v>
      </c>
    </row>
    <row r="7" spans="1:8" ht="15.75" customHeight="1" x14ac:dyDescent="0.25">
      <c r="B7" s="19" t="s">
        <v>72</v>
      </c>
      <c r="C7" s="101">
        <v>0.41603591679281682</v>
      </c>
    </row>
    <row r="8" spans="1:8" ht="15.75" customHeight="1" x14ac:dyDescent="0.25">
      <c r="B8" s="19" t="s">
        <v>73</v>
      </c>
      <c r="C8" s="101">
        <v>2.3167995366400931E-3</v>
      </c>
    </row>
    <row r="9" spans="1:8" ht="15.75" customHeight="1" x14ac:dyDescent="0.25">
      <c r="B9" s="19" t="s">
        <v>74</v>
      </c>
      <c r="C9" s="101">
        <v>7.6129484774103029E-2</v>
      </c>
    </row>
    <row r="10" spans="1:8" ht="15.75" customHeight="1" x14ac:dyDescent="0.25">
      <c r="B10" s="19" t="s">
        <v>75</v>
      </c>
      <c r="C10" s="101">
        <v>0.1144009771198046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82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83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84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85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86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87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88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89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8.8863841000000013E-2</v>
      </c>
    </row>
    <row r="27" spans="1:8" ht="15.75" customHeight="1" x14ac:dyDescent="0.25">
      <c r="B27" s="19" t="s">
        <v>92</v>
      </c>
      <c r="C27" s="101">
        <v>8.6695709999999992E-3</v>
      </c>
    </row>
    <row r="28" spans="1:8" ht="15.75" customHeight="1" x14ac:dyDescent="0.25">
      <c r="B28" s="19" t="s">
        <v>93</v>
      </c>
      <c r="C28" s="101">
        <v>0.15751688699999999</v>
      </c>
    </row>
    <row r="29" spans="1:8" ht="15.75" customHeight="1" x14ac:dyDescent="0.25">
      <c r="B29" s="19" t="s">
        <v>94</v>
      </c>
      <c r="C29" s="101">
        <v>0.169742745</v>
      </c>
    </row>
    <row r="30" spans="1:8" ht="15.75" customHeight="1" x14ac:dyDescent="0.25">
      <c r="B30" s="19" t="s">
        <v>95</v>
      </c>
      <c r="C30" s="101">
        <v>0.104932133</v>
      </c>
    </row>
    <row r="31" spans="1:8" ht="15.75" customHeight="1" x14ac:dyDescent="0.25">
      <c r="B31" s="19" t="s">
        <v>96</v>
      </c>
      <c r="C31" s="101">
        <v>0.108637312</v>
      </c>
    </row>
    <row r="32" spans="1:8" ht="15.75" customHeight="1" x14ac:dyDescent="0.25">
      <c r="B32" s="19" t="s">
        <v>97</v>
      </c>
      <c r="C32" s="101">
        <v>1.8842111000000002E-2</v>
      </c>
    </row>
    <row r="33" spans="2:3" ht="15.75" customHeight="1" x14ac:dyDescent="0.25">
      <c r="B33" s="19" t="s">
        <v>98</v>
      </c>
      <c r="C33" s="101">
        <v>8.5849647000000001E-2</v>
      </c>
    </row>
    <row r="34" spans="2:3" ht="15.75" customHeight="1" x14ac:dyDescent="0.25">
      <c r="B34" s="19" t="s">
        <v>99</v>
      </c>
      <c r="C34" s="101">
        <v>0.256945753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104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653.65622306935404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0.38831000000000004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0.63511000000000006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1.8264712518805733E-2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91499.898220000003</v>
      </c>
      <c r="C22" s="109">
        <v>90358.383560000002</v>
      </c>
      <c r="D22" s="109">
        <v>89469.407489999998</v>
      </c>
      <c r="E22" s="109">
        <v>88881.245850000007</v>
      </c>
      <c r="F22" s="109">
        <v>88041.803199999995</v>
      </c>
      <c r="G22" s="109">
        <v>87058.656400000007</v>
      </c>
      <c r="H22" s="109">
        <v>85830.51096</v>
      </c>
      <c r="I22" s="109">
        <v>84178.660080000001</v>
      </c>
      <c r="J22" s="109">
        <v>81808.071880000003</v>
      </c>
      <c r="K22" s="109">
        <v>78588.600930000001</v>
      </c>
      <c r="L22" s="109">
        <v>74068.732969999997</v>
      </c>
      <c r="M22" s="109">
        <v>67986.659400000004</v>
      </c>
      <c r="N22" s="109">
        <v>59774.141159999999</v>
      </c>
      <c r="O22" s="109">
        <v>49765.920109999999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6.43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0.25711131554737809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4.7419200000000002E-2</v>
      </c>
      <c r="C10" s="98">
        <v>0.95</v>
      </c>
      <c r="D10" s="56">
        <v>17.31420994224495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17.31420994224495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17.31420994224495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17.31420994224495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2.5711131554737809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17.31420994224495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0.53109870000000003</v>
      </c>
      <c r="C16" s="98">
        <v>0.95</v>
      </c>
      <c r="D16" s="56">
        <v>2.5983725690890487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6.4277828886844524E-2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0.29899999999999999</v>
      </c>
      <c r="C18" s="98">
        <v>0.95</v>
      </c>
      <c r="D18" s="56">
        <v>6.4277828886844528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0.51534999999999997</v>
      </c>
      <c r="C19" s="98">
        <v>0.95</v>
      </c>
      <c r="D19" s="56">
        <v>1.1471640149207829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6.43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0.64157470000000005</v>
      </c>
      <c r="C23" s="98">
        <v>0.95</v>
      </c>
      <c r="D23" s="56">
        <v>5.6296372188471304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0.16775714976716499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4.5508702851885925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0.24051800000000001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0.1522435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0.11210000000000001</v>
      </c>
      <c r="C31" s="98">
        <v>0.95</v>
      </c>
      <c r="D31" s="56">
        <v>208.26016559337626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0.70399999999999996</v>
      </c>
      <c r="C32" s="98">
        <v>0.95</v>
      </c>
      <c r="D32" s="56">
        <v>0.70705611775528987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0.19352469999999999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0.59762630000000005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3.0879000000000002E-3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0.35729519999999998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1.6E-2</v>
      </c>
      <c r="C38" s="98">
        <v>0.95</v>
      </c>
      <c r="D38" s="56">
        <v>1.1827120515179392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2.6</v>
      </c>
      <c r="C2" s="21">
        <f>'Baseline year population inputs'!C52</f>
        <v>2.6</v>
      </c>
      <c r="D2" s="21">
        <f>'Baseline year population inputs'!C53</f>
        <v>8.4500000000000011</v>
      </c>
      <c r="E2" s="21">
        <f>'Baseline year population inputs'!C54</f>
        <v>7.331999999999999</v>
      </c>
      <c r="F2" s="21">
        <f>'Baseline year population inputs'!C55</f>
        <v>2.9119999999999999</v>
      </c>
    </row>
    <row r="3" spans="1:6" ht="15.75" customHeight="1" x14ac:dyDescent="0.25">
      <c r="A3" s="3" t="s">
        <v>197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198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