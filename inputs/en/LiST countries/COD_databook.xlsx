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56DFF60-1C19-4A22-A283-5CC2BF8B6A6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<sst xmlns="http://schemas.openxmlformats.org/spreadsheetml/2006/main" count="2102" uniqueCount="341">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</sst>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19464602.25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9">
        <v>8.3858999788103697E-2</v>
      </c>
    </row>
    <row r="31" spans="1:3" ht="14.25" customHeight="1" x14ac:dyDescent="0.25">
      <c r="B31" s="25" t="s">
        <v>28</v>
      </c>
      <c r="C31" s="99">
        <v>0.13473133352303801</v>
      </c>
    </row>
    <row r="32" spans="1:3" ht="14.25" customHeight="1" x14ac:dyDescent="0.25">
      <c r="B32" s="25" t="s">
        <v>29</v>
      </c>
      <c r="C32" s="99">
        <v>0.587377375590873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0.10843405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4341379</v>
      </c>
      <c r="C2" s="49">
        <v>6820836.4999999991</v>
      </c>
      <c r="D2" s="49">
        <v>8454121</v>
      </c>
      <c r="E2" s="49">
        <v>5826167</v>
      </c>
      <c r="F2" s="49">
        <v>3285238.5</v>
      </c>
      <c r="G2" s="17">
        <f t="shared" ref="G2:G13" si="0">C2+D2+E2+F2</f>
        <v>24386363</v>
      </c>
      <c r="H2" s="17">
        <f t="shared" ref="H2:H13" si="1">(B2 + stillbirth*B2/(1000-stillbirth))/(1-abortion)</f>
        <v>5073810.649180999</v>
      </c>
      <c r="I2" s="17">
        <f t="shared" ref="I2:I13" si="2">G2-H2</f>
        <v>19312552.350818999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4442689</v>
      </c>
      <c r="C3" s="50">
        <v>7096296.4999999991</v>
      </c>
      <c r="D3" s="50">
        <v>8714259</v>
      </c>
      <c r="E3" s="50">
        <v>6046929</v>
      </c>
      <c r="F3" s="50">
        <v>3410383</v>
      </c>
      <c r="G3" s="17">
        <f t="shared" si="0"/>
        <v>25267867.5</v>
      </c>
      <c r="H3" s="17">
        <f t="shared" si="1"/>
        <v>5192212.6032302827</v>
      </c>
      <c r="I3" s="17">
        <f t="shared" si="2"/>
        <v>20075654.896769717</v>
      </c>
    </row>
    <row r="4" spans="1:9" ht="15.75" customHeight="1" x14ac:dyDescent="0.25">
      <c r="A4" s="5">
        <f t="shared" si="3"/>
        <v>2026</v>
      </c>
      <c r="B4" s="49">
        <v>4548537</v>
      </c>
      <c r="C4" s="50">
        <v>7382062.5</v>
      </c>
      <c r="D4" s="50">
        <v>8978398</v>
      </c>
      <c r="E4" s="50">
        <v>6281811</v>
      </c>
      <c r="F4" s="50">
        <v>3549497</v>
      </c>
      <c r="G4" s="17">
        <f t="shared" si="0"/>
        <v>26191768.5</v>
      </c>
      <c r="H4" s="17">
        <f t="shared" si="1"/>
        <v>5315918.1607488748</v>
      </c>
      <c r="I4" s="17">
        <f t="shared" si="2"/>
        <v>20875850.339251123</v>
      </c>
    </row>
    <row r="5" spans="1:9" ht="15.75" customHeight="1" x14ac:dyDescent="0.25">
      <c r="A5" s="5">
        <f t="shared" si="3"/>
        <v>2027</v>
      </c>
      <c r="B5" s="49">
        <v>4653894</v>
      </c>
      <c r="C5" s="50">
        <v>7668421.5</v>
      </c>
      <c r="D5" s="50">
        <v>9275282</v>
      </c>
      <c r="E5" s="50">
        <v>6506117</v>
      </c>
      <c r="F5" s="50">
        <v>3702172</v>
      </c>
      <c r="G5" s="17">
        <f t="shared" si="0"/>
        <v>27151992.5</v>
      </c>
      <c r="H5" s="17">
        <f t="shared" si="1"/>
        <v>5439049.8819291182</v>
      </c>
      <c r="I5" s="17">
        <f t="shared" si="2"/>
        <v>21712942.618070882</v>
      </c>
    </row>
    <row r="6" spans="1:9" ht="15.75" customHeight="1" x14ac:dyDescent="0.25">
      <c r="A6" s="5">
        <f t="shared" si="3"/>
        <v>2028</v>
      </c>
      <c r="B6" s="49">
        <v>4757732</v>
      </c>
      <c r="C6" s="50">
        <v>7954271.0000000009</v>
      </c>
      <c r="D6" s="50">
        <v>9609095</v>
      </c>
      <c r="E6" s="50">
        <v>6717621.5</v>
      </c>
      <c r="F6" s="50">
        <v>3865803.5</v>
      </c>
      <c r="G6" s="17">
        <f t="shared" si="0"/>
        <v>28146791</v>
      </c>
      <c r="H6" s="17">
        <f t="shared" si="1"/>
        <v>5560406.3334597619</v>
      </c>
      <c r="I6" s="17">
        <f t="shared" si="2"/>
        <v>22586384.666540239</v>
      </c>
    </row>
    <row r="7" spans="1:9" ht="15.75" customHeight="1" x14ac:dyDescent="0.25">
      <c r="A7" s="5">
        <f t="shared" si="3"/>
        <v>2029</v>
      </c>
      <c r="B7" s="49">
        <v>4861293</v>
      </c>
      <c r="C7" s="50">
        <v>8238213</v>
      </c>
      <c r="D7" s="50">
        <v>9971364</v>
      </c>
      <c r="E7" s="50">
        <v>6929901.5</v>
      </c>
      <c r="F7" s="50">
        <v>4033419</v>
      </c>
      <c r="G7" s="17">
        <f t="shared" si="0"/>
        <v>29172897.5</v>
      </c>
      <c r="H7" s="17">
        <f t="shared" si="1"/>
        <v>5681439.0524736596</v>
      </c>
      <c r="I7" s="17">
        <f t="shared" si="2"/>
        <v>23491458.447526339</v>
      </c>
    </row>
    <row r="8" spans="1:9" ht="15.75" customHeight="1" x14ac:dyDescent="0.25">
      <c r="A8" s="5">
        <f t="shared" si="3"/>
        <v>2030</v>
      </c>
      <c r="B8" s="49">
        <v>4953376</v>
      </c>
      <c r="C8" s="50">
        <v>8520808</v>
      </c>
      <c r="D8" s="50">
        <v>10351962.5</v>
      </c>
      <c r="E8" s="50">
        <v>7152723</v>
      </c>
      <c r="F8" s="50">
        <v>4200074.5</v>
      </c>
      <c r="G8" s="17">
        <f t="shared" si="0"/>
        <v>30225568</v>
      </c>
      <c r="H8" s="17">
        <f t="shared" si="1"/>
        <v>5789057.324457868</v>
      </c>
      <c r="I8" s="17">
        <f t="shared" si="2"/>
        <v>24436510.675542131</v>
      </c>
    </row>
    <row r="9" spans="1:9" ht="15.75" customHeight="1" x14ac:dyDescent="0.25">
      <c r="A9" s="5">
        <f t="shared" si="3"/>
        <v>2031</v>
      </c>
      <c r="B9" s="49">
        <v>5051689</v>
      </c>
      <c r="C9" s="50">
        <v>8804670</v>
      </c>
      <c r="D9" s="50">
        <v>10752747.5</v>
      </c>
      <c r="E9" s="50">
        <v>7384110.5</v>
      </c>
      <c r="F9" s="50">
        <v>4367232.5</v>
      </c>
      <c r="G9" s="17">
        <f t="shared" si="0"/>
        <v>31308760.5</v>
      </c>
      <c r="H9" s="17">
        <f t="shared" si="1"/>
        <v>5903956.6562952707</v>
      </c>
      <c r="I9" s="17">
        <f t="shared" si="2"/>
        <v>25404803.84370473</v>
      </c>
    </row>
    <row r="10" spans="1:9" ht="15.75" customHeight="1" x14ac:dyDescent="0.25">
      <c r="A10" s="5">
        <f t="shared" si="3"/>
        <v>2032</v>
      </c>
      <c r="B10" s="49">
        <v>5141617</v>
      </c>
      <c r="C10" s="50">
        <v>9087791.0000000019</v>
      </c>
      <c r="D10" s="50">
        <v>11174441</v>
      </c>
      <c r="E10" s="50">
        <v>7624677</v>
      </c>
      <c r="F10" s="50">
        <v>4538119</v>
      </c>
      <c r="G10" s="17">
        <f t="shared" si="0"/>
        <v>32425028</v>
      </c>
      <c r="H10" s="17">
        <f t="shared" si="1"/>
        <v>6009056.3594217543</v>
      </c>
      <c r="I10" s="17">
        <f t="shared" si="2"/>
        <v>26415971.640578248</v>
      </c>
    </row>
    <row r="11" spans="1:9" ht="15.75" customHeight="1" x14ac:dyDescent="0.25">
      <c r="A11" s="5">
        <f t="shared" si="3"/>
        <v>2033</v>
      </c>
      <c r="B11" s="49">
        <v>5236252</v>
      </c>
      <c r="C11" s="50">
        <v>9373587</v>
      </c>
      <c r="D11" s="50">
        <v>11607351</v>
      </c>
      <c r="E11" s="50">
        <v>7879043.5</v>
      </c>
      <c r="F11" s="50">
        <v>4711961.5</v>
      </c>
      <c r="G11" s="17">
        <f t="shared" si="0"/>
        <v>33571943</v>
      </c>
      <c r="H11" s="17">
        <f t="shared" si="1"/>
        <v>6119657.1779140448</v>
      </c>
      <c r="I11" s="17">
        <f t="shared" si="2"/>
        <v>27452285.822085954</v>
      </c>
    </row>
    <row r="12" spans="1:9" ht="15.75" customHeight="1" x14ac:dyDescent="0.25">
      <c r="A12" s="5">
        <f t="shared" si="3"/>
        <v>2034</v>
      </c>
      <c r="B12" s="49">
        <v>5331018</v>
      </c>
      <c r="C12" s="50">
        <v>9661111</v>
      </c>
      <c r="D12" s="50">
        <v>12051770</v>
      </c>
      <c r="E12" s="50">
        <v>8141680.5</v>
      </c>
      <c r="F12" s="50">
        <v>4884369.5000000009</v>
      </c>
      <c r="G12" s="17">
        <f t="shared" si="0"/>
        <v>34738931</v>
      </c>
      <c r="H12" s="17">
        <f t="shared" si="1"/>
        <v>6230411.0973438593</v>
      </c>
      <c r="I12" s="17">
        <f t="shared" si="2"/>
        <v>28508519.902656142</v>
      </c>
    </row>
    <row r="13" spans="1:9" ht="15.75" customHeight="1" x14ac:dyDescent="0.25">
      <c r="A13" s="5">
        <f t="shared" si="3"/>
        <v>2035</v>
      </c>
      <c r="B13" s="49">
        <v>5426637</v>
      </c>
      <c r="C13" s="50">
        <v>9950593</v>
      </c>
      <c r="D13" s="50">
        <v>12507735</v>
      </c>
      <c r="E13" s="50">
        <v>8396915</v>
      </c>
      <c r="F13" s="50">
        <v>5057720.5</v>
      </c>
      <c r="G13" s="17">
        <f t="shared" si="0"/>
        <v>35912963.5</v>
      </c>
      <c r="H13" s="17">
        <f t="shared" si="1"/>
        <v>6342161.9259317424</v>
      </c>
      <c r="I13" s="17">
        <f t="shared" si="2"/>
        <v>29570801.574068256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101">
        <v>5.9342188131562293E-2</v>
      </c>
    </row>
    <row r="5" spans="1:8" ht="15.75" customHeight="1" x14ac:dyDescent="0.25">
      <c r="B5" s="19" t="s">
        <v>70</v>
      </c>
      <c r="C5" s="101">
        <v>7.3863785227242837E-2</v>
      </c>
    </row>
    <row r="6" spans="1:8" ht="15.75" customHeight="1" x14ac:dyDescent="0.25">
      <c r="B6" s="19" t="s">
        <v>71</v>
      </c>
      <c r="C6" s="101">
        <v>0.24698675060264991</v>
      </c>
    </row>
    <row r="7" spans="1:8" ht="15.75" customHeight="1" x14ac:dyDescent="0.25">
      <c r="B7" s="19" t="s">
        <v>72</v>
      </c>
      <c r="C7" s="101">
        <v>0.41603591679281682</v>
      </c>
    </row>
    <row r="8" spans="1:8" ht="15.75" customHeight="1" x14ac:dyDescent="0.25">
      <c r="B8" s="19" t="s">
        <v>73</v>
      </c>
      <c r="C8" s="101">
        <v>2.3167995366400931E-3</v>
      </c>
    </row>
    <row r="9" spans="1:8" ht="15.75" customHeight="1" x14ac:dyDescent="0.25">
      <c r="B9" s="19" t="s">
        <v>74</v>
      </c>
      <c r="C9" s="101">
        <v>7.6129484774103029E-2</v>
      </c>
    </row>
    <row r="10" spans="1:8" ht="15.75" customHeight="1" x14ac:dyDescent="0.25">
      <c r="B10" s="19" t="s">
        <v>75</v>
      </c>
      <c r="C10" s="101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83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84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85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86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87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89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101">
        <v>8.6695709999999992E-3</v>
      </c>
    </row>
    <row r="28" spans="1:8" ht="15.75" customHeight="1" x14ac:dyDescent="0.25">
      <c r="B28" s="19" t="s">
        <v>93</v>
      </c>
      <c r="C28" s="101">
        <v>0.15751688699999999</v>
      </c>
    </row>
    <row r="29" spans="1:8" ht="15.75" customHeight="1" x14ac:dyDescent="0.25">
      <c r="B29" s="19" t="s">
        <v>94</v>
      </c>
      <c r="C29" s="101">
        <v>0.169742745</v>
      </c>
    </row>
    <row r="30" spans="1:8" ht="15.75" customHeight="1" x14ac:dyDescent="0.25">
      <c r="B30" s="19" t="s">
        <v>95</v>
      </c>
      <c r="C30" s="101">
        <v>0.104932133</v>
      </c>
    </row>
    <row r="31" spans="1:8" ht="15.75" customHeight="1" x14ac:dyDescent="0.25">
      <c r="B31" s="19" t="s">
        <v>96</v>
      </c>
      <c r="C31" s="101">
        <v>0.108637312</v>
      </c>
    </row>
    <row r="32" spans="1:8" ht="15.75" customHeight="1" x14ac:dyDescent="0.25">
      <c r="B32" s="19" t="s">
        <v>97</v>
      </c>
      <c r="C32" s="101">
        <v>1.8842111000000002E-2</v>
      </c>
    </row>
    <row r="33" spans="2:3" ht="15.75" customHeight="1" x14ac:dyDescent="0.25">
      <c r="B33" s="19" t="s">
        <v>98</v>
      </c>
      <c r="C33" s="101">
        <v>8.5849647000000001E-2</v>
      </c>
    </row>
    <row r="34" spans="2:3" ht="15.75" customHeight="1" x14ac:dyDescent="0.25">
      <c r="B34" s="19" t="s">
        <v>99</v>
      </c>
      <c r="C34" s="101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34.463131083731568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0.37398067851182998</v>
      </c>
      <c r="C3" s="98">
        <v>0.95</v>
      </c>
      <c r="D3" s="56">
        <v>54.630460714750633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44.937152027008821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0.32947323511308713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4.7419200000000002E-2</v>
      </c>
      <c r="C10" s="98">
        <v>0.95</v>
      </c>
      <c r="D10" s="56">
        <v>17.31420994224495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4.7419200000000002E-2</v>
      </c>
      <c r="C11" s="98">
        <v>0.95</v>
      </c>
      <c r="D11" s="56">
        <v>17.31420994224495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4.7419200000000002E-2</v>
      </c>
      <c r="C12" s="98">
        <v>0.95</v>
      </c>
      <c r="D12" s="56">
        <v>17.31420994224495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4.7419200000000002E-2</v>
      </c>
      <c r="C13" s="98">
        <v>0.95</v>
      </c>
      <c r="D13" s="56">
        <v>17.31420994224495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4.7419200000000002E-2</v>
      </c>
      <c r="C14" s="98">
        <v>0.95</v>
      </c>
      <c r="D14" s="56">
        <v>17.31420994224495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4.7419200000000002E-2</v>
      </c>
      <c r="C15" s="98">
        <v>0.95</v>
      </c>
      <c r="D15" s="56">
        <v>17.31420994224495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0.2402654113154119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9.08182766367263E-2</v>
      </c>
      <c r="C18" s="98">
        <v>0.95</v>
      </c>
      <c r="D18" s="56">
        <v>1.1471640149207829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0.16174469999999999</v>
      </c>
      <c r="C19" s="98">
        <v>0.95</v>
      </c>
      <c r="D19" s="56">
        <v>1.1471640149207829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0.35729519999999998</v>
      </c>
      <c r="C21" s="98">
        <v>0.95</v>
      </c>
      <c r="D21" s="56">
        <v>2.7560762601682538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29.48122630124664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5.6296372188471304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0.69688345887554604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4.7419200000000002E-2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25.038129027777931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0.14733161386053101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59.861534329338653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0.56000000000000005</v>
      </c>
      <c r="C31" s="98">
        <v>0.95</v>
      </c>
      <c r="D31" s="56">
        <v>2.036320807478035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0.4379181210878062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0.56000000000000005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0.1522435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0.24051800000000001</v>
      </c>
      <c r="C38" s="98">
        <v>0.95</v>
      </c>
      <c r="D38" s="56">
        <v>6.7813968628285144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205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2024-05-09T01:46:07Z</dcterms:modified>
</cp:coreProperties>
</file>