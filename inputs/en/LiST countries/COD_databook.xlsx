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AC901C7-FB81-4860-9E95-6633350AD4C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H38" i="2"/>
  <c r="I38" i="2" s="1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40" i="2" s="1"/>
  <c r="C33" i="1"/>
  <c r="C20" i="1"/>
  <c r="A21" i="2" l="1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<sst xmlns="http://schemas.openxmlformats.org/spreadsheetml/2006/main" count="2092" uniqueCount="341">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</sst>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19464602.25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0.84400000000000008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9">
        <v>8.3858999788103697E-2</v>
      </c>
    </row>
    <row r="31" spans="1:3" ht="14.25" customHeight="1" x14ac:dyDescent="0.25">
      <c r="B31" s="25" t="s">
        <v>28</v>
      </c>
      <c r="C31" s="99">
        <v>0.13473133352303801</v>
      </c>
    </row>
    <row r="32" spans="1:3" ht="14.25" customHeight="1" x14ac:dyDescent="0.25">
      <c r="B32" s="25" t="s">
        <v>29</v>
      </c>
      <c r="C32" s="99">
        <v>0.587377375590873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100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0.80500110000000002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0.10843405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3859031.4479999989</v>
      </c>
      <c r="C2" s="49">
        <v>5466000</v>
      </c>
      <c r="D2" s="49">
        <v>8147000</v>
      </c>
      <c r="E2" s="49">
        <v>5606000</v>
      </c>
      <c r="F2" s="49">
        <v>3821000</v>
      </c>
      <c r="G2" s="17">
        <f t="shared" ref="G2:G13" si="0">C2+D2+E2+F2</f>
        <v>23040000</v>
      </c>
      <c r="H2" s="17">
        <f t="shared" ref="H2:H13" si="1">(B2 + stillbirth*B2/(1000-stillbirth))/(1-abortion)</f>
        <v>4510086.5085464232</v>
      </c>
      <c r="I2" s="17">
        <f t="shared" ref="I2:I13" si="2">G2-H2</f>
        <v>18529913.491453577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3924754.4180000001</v>
      </c>
      <c r="C3" s="50">
        <v>5666000</v>
      </c>
      <c r="D3" s="50">
        <v>8455000</v>
      </c>
      <c r="E3" s="50">
        <v>5797000</v>
      </c>
      <c r="F3" s="50">
        <v>3955000</v>
      </c>
      <c r="G3" s="17">
        <f t="shared" si="0"/>
        <v>23873000</v>
      </c>
      <c r="H3" s="17">
        <f t="shared" si="1"/>
        <v>4586897.5644532694</v>
      </c>
      <c r="I3" s="17">
        <f t="shared" si="2"/>
        <v>19286102.43554673</v>
      </c>
    </row>
    <row r="4" spans="1:9" ht="15.75" customHeight="1" x14ac:dyDescent="0.25">
      <c r="A4" s="5">
        <f t="shared" si="3"/>
        <v>2026</v>
      </c>
      <c r="B4" s="49">
        <v>3993868.0638000001</v>
      </c>
      <c r="C4" s="50">
        <v>5861000</v>
      </c>
      <c r="D4" s="50">
        <v>8773000</v>
      </c>
      <c r="E4" s="50">
        <v>5991000</v>
      </c>
      <c r="F4" s="50">
        <v>4090000</v>
      </c>
      <c r="G4" s="17">
        <f t="shared" si="0"/>
        <v>24715000</v>
      </c>
      <c r="H4" s="17">
        <f t="shared" si="1"/>
        <v>4667671.3351984089</v>
      </c>
      <c r="I4" s="17">
        <f t="shared" si="2"/>
        <v>20047328.66480159</v>
      </c>
    </row>
    <row r="5" spans="1:9" ht="15.75" customHeight="1" x14ac:dyDescent="0.25">
      <c r="A5" s="5">
        <f t="shared" si="3"/>
        <v>2027</v>
      </c>
      <c r="B5" s="49">
        <v>4062405.2352</v>
      </c>
      <c r="C5" s="50">
        <v>6059000</v>
      </c>
      <c r="D5" s="50">
        <v>9108000</v>
      </c>
      <c r="E5" s="50">
        <v>6192000</v>
      </c>
      <c r="F5" s="50">
        <v>4232000</v>
      </c>
      <c r="G5" s="17">
        <f t="shared" si="0"/>
        <v>25591000</v>
      </c>
      <c r="H5" s="17">
        <f t="shared" si="1"/>
        <v>4747771.3748664651</v>
      </c>
      <c r="I5" s="17">
        <f t="shared" si="2"/>
        <v>20843228.625133537</v>
      </c>
    </row>
    <row r="6" spans="1:9" ht="15.75" customHeight="1" x14ac:dyDescent="0.25">
      <c r="A6" s="5">
        <f t="shared" si="3"/>
        <v>2028</v>
      </c>
      <c r="B6" s="49">
        <v>4130283.3259999999</v>
      </c>
      <c r="C6" s="50">
        <v>6258000</v>
      </c>
      <c r="D6" s="50">
        <v>9458000</v>
      </c>
      <c r="E6" s="50">
        <v>6403000</v>
      </c>
      <c r="F6" s="50">
        <v>4380000</v>
      </c>
      <c r="G6" s="17">
        <f t="shared" si="0"/>
        <v>26499000</v>
      </c>
      <c r="H6" s="17">
        <f t="shared" si="1"/>
        <v>4827101.1408111369</v>
      </c>
      <c r="I6" s="17">
        <f t="shared" si="2"/>
        <v>21671898.859188862</v>
      </c>
    </row>
    <row r="7" spans="1:9" ht="15.75" customHeight="1" x14ac:dyDescent="0.25">
      <c r="A7" s="5">
        <f t="shared" si="3"/>
        <v>2029</v>
      </c>
      <c r="B7" s="49">
        <v>4197455.5824000007</v>
      </c>
      <c r="C7" s="50">
        <v>6453000</v>
      </c>
      <c r="D7" s="50">
        <v>9821000</v>
      </c>
      <c r="E7" s="50">
        <v>6625000</v>
      </c>
      <c r="F7" s="50">
        <v>4533000</v>
      </c>
      <c r="G7" s="17">
        <f t="shared" si="0"/>
        <v>27432000</v>
      </c>
      <c r="H7" s="17">
        <f t="shared" si="1"/>
        <v>4905605.9914246956</v>
      </c>
      <c r="I7" s="17">
        <f t="shared" si="2"/>
        <v>22526394.008575305</v>
      </c>
    </row>
    <row r="8" spans="1:9" ht="15.75" customHeight="1" x14ac:dyDescent="0.25">
      <c r="A8" s="5">
        <f t="shared" si="3"/>
        <v>2030</v>
      </c>
      <c r="B8" s="49">
        <v>4263802.6430000002</v>
      </c>
      <c r="C8" s="50">
        <v>6642000</v>
      </c>
      <c r="D8" s="50">
        <v>10194000</v>
      </c>
      <c r="E8" s="50">
        <v>6859000</v>
      </c>
      <c r="F8" s="50">
        <v>4694000</v>
      </c>
      <c r="G8" s="17">
        <f t="shared" si="0"/>
        <v>28389000</v>
      </c>
      <c r="H8" s="17">
        <f t="shared" si="1"/>
        <v>4983146.4279113812</v>
      </c>
      <c r="I8" s="17">
        <f t="shared" si="2"/>
        <v>23405853.572088618</v>
      </c>
    </row>
    <row r="9" spans="1:9" ht="15.75" customHeight="1" x14ac:dyDescent="0.25">
      <c r="A9" s="5">
        <f t="shared" si="3"/>
        <v>2031</v>
      </c>
      <c r="B9" s="49">
        <v>4321627.0994285718</v>
      </c>
      <c r="C9" s="50">
        <v>6810000</v>
      </c>
      <c r="D9" s="50">
        <v>10486428.571428571</v>
      </c>
      <c r="E9" s="50">
        <v>7038000</v>
      </c>
      <c r="F9" s="50">
        <v>4818714.2857142854</v>
      </c>
      <c r="G9" s="17">
        <f t="shared" si="0"/>
        <v>29153142.857142858</v>
      </c>
      <c r="H9" s="17">
        <f t="shared" si="1"/>
        <v>5050726.4163920898</v>
      </c>
      <c r="I9" s="17">
        <f t="shared" si="2"/>
        <v>24102416.44075077</v>
      </c>
    </row>
    <row r="10" spans="1:9" ht="15.75" customHeight="1" x14ac:dyDescent="0.25">
      <c r="A10" s="5">
        <f t="shared" si="3"/>
        <v>2032</v>
      </c>
      <c r="B10" s="49">
        <v>4378323.1967755109</v>
      </c>
      <c r="C10" s="50">
        <v>6973428.5714285718</v>
      </c>
      <c r="D10" s="50">
        <v>10776632.65306122</v>
      </c>
      <c r="E10" s="50">
        <v>7215285.7142857146</v>
      </c>
      <c r="F10" s="50">
        <v>4942102.0408163266</v>
      </c>
      <c r="G10" s="17">
        <f t="shared" si="0"/>
        <v>29907448.979591835</v>
      </c>
      <c r="H10" s="17">
        <f t="shared" si="1"/>
        <v>5116987.6809547795</v>
      </c>
      <c r="I10" s="17">
        <f t="shared" si="2"/>
        <v>24790461.298637055</v>
      </c>
    </row>
    <row r="11" spans="1:9" ht="15.75" customHeight="1" x14ac:dyDescent="0.25">
      <c r="A11" s="5">
        <f t="shared" si="3"/>
        <v>2033</v>
      </c>
      <c r="B11" s="49">
        <v>4433245.358629155</v>
      </c>
      <c r="C11" s="50">
        <v>7132346.9387755115</v>
      </c>
      <c r="D11" s="50">
        <v>11062865.88921283</v>
      </c>
      <c r="E11" s="50">
        <v>7390183.6734693879</v>
      </c>
      <c r="F11" s="50">
        <v>5063830.9037900874</v>
      </c>
      <c r="G11" s="17">
        <f t="shared" si="0"/>
        <v>30649227.405247815</v>
      </c>
      <c r="H11" s="17">
        <f t="shared" si="1"/>
        <v>5181175.7303485461</v>
      </c>
      <c r="I11" s="17">
        <f t="shared" si="2"/>
        <v>25468051.674899269</v>
      </c>
    </row>
    <row r="12" spans="1:9" ht="15.75" customHeight="1" x14ac:dyDescent="0.25">
      <c r="A12" s="5">
        <f t="shared" si="3"/>
        <v>2034</v>
      </c>
      <c r="B12" s="49">
        <v>4486222.5191190355</v>
      </c>
      <c r="C12" s="50">
        <v>7285682.2157434402</v>
      </c>
      <c r="D12" s="50">
        <v>11342132.44481466</v>
      </c>
      <c r="E12" s="50">
        <v>7561352.7696792996</v>
      </c>
      <c r="F12" s="50">
        <v>5182663.8900458142</v>
      </c>
      <c r="G12" s="17">
        <f t="shared" si="0"/>
        <v>31371831.320283215</v>
      </c>
      <c r="H12" s="17">
        <f t="shared" si="1"/>
        <v>5243090.6382745588</v>
      </c>
      <c r="I12" s="17">
        <f t="shared" si="2"/>
        <v>26128740.682008658</v>
      </c>
    </row>
    <row r="13" spans="1:9" ht="15.75" customHeight="1" x14ac:dyDescent="0.25">
      <c r="A13" s="5">
        <f t="shared" si="3"/>
        <v>2035</v>
      </c>
      <c r="B13" s="49">
        <v>4537070.9752788963</v>
      </c>
      <c r="C13" s="50">
        <v>7432493.9608496455</v>
      </c>
      <c r="D13" s="50">
        <v>11611294.222645329</v>
      </c>
      <c r="E13" s="50">
        <v>7726831.7367763435</v>
      </c>
      <c r="F13" s="50">
        <v>5297330.1600523591</v>
      </c>
      <c r="G13" s="17">
        <f t="shared" si="0"/>
        <v>32067950.080323678</v>
      </c>
      <c r="H13" s="17">
        <f t="shared" si="1"/>
        <v>5302517.7093407605</v>
      </c>
      <c r="I13" s="17">
        <f t="shared" si="2"/>
        <v>26765432.370982915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101">
        <v>5.9342188131562293E-2</v>
      </c>
    </row>
    <row r="5" spans="1:8" ht="15.75" customHeight="1" x14ac:dyDescent="0.25">
      <c r="B5" s="19" t="s">
        <v>70</v>
      </c>
      <c r="C5" s="101">
        <v>7.3863785227242837E-2</v>
      </c>
    </row>
    <row r="6" spans="1:8" ht="15.75" customHeight="1" x14ac:dyDescent="0.25">
      <c r="B6" s="19" t="s">
        <v>71</v>
      </c>
      <c r="C6" s="101">
        <v>0.24698675060264991</v>
      </c>
    </row>
    <row r="7" spans="1:8" ht="15.75" customHeight="1" x14ac:dyDescent="0.25">
      <c r="B7" s="19" t="s">
        <v>72</v>
      </c>
      <c r="C7" s="101">
        <v>0.41603591679281682</v>
      </c>
    </row>
    <row r="8" spans="1:8" ht="15.75" customHeight="1" x14ac:dyDescent="0.25">
      <c r="B8" s="19" t="s">
        <v>73</v>
      </c>
      <c r="C8" s="101">
        <v>2.3167995366400931E-3</v>
      </c>
    </row>
    <row r="9" spans="1:8" ht="15.75" customHeight="1" x14ac:dyDescent="0.25">
      <c r="B9" s="19" t="s">
        <v>74</v>
      </c>
      <c r="C9" s="101">
        <v>7.6129484774103029E-2</v>
      </c>
    </row>
    <row r="10" spans="1:8" ht="15.75" customHeight="1" x14ac:dyDescent="0.25">
      <c r="B10" s="19" t="s">
        <v>75</v>
      </c>
      <c r="C10" s="101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83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84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85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86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87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88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89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101">
        <v>8.6695709999999992E-3</v>
      </c>
    </row>
    <row r="28" spans="1:8" ht="15.75" customHeight="1" x14ac:dyDescent="0.25">
      <c r="B28" s="19" t="s">
        <v>93</v>
      </c>
      <c r="C28" s="101">
        <v>0.15751688699999999</v>
      </c>
    </row>
    <row r="29" spans="1:8" ht="15.75" customHeight="1" x14ac:dyDescent="0.25">
      <c r="B29" s="19" t="s">
        <v>94</v>
      </c>
      <c r="C29" s="101">
        <v>0.169742745</v>
      </c>
    </row>
    <row r="30" spans="1:8" ht="15.75" customHeight="1" x14ac:dyDescent="0.25">
      <c r="B30" s="19" t="s">
        <v>95</v>
      </c>
      <c r="C30" s="101">
        <v>0.104932133</v>
      </c>
    </row>
    <row r="31" spans="1:8" ht="15.75" customHeight="1" x14ac:dyDescent="0.25">
      <c r="B31" s="19" t="s">
        <v>96</v>
      </c>
      <c r="C31" s="101">
        <v>0.108637312</v>
      </c>
    </row>
    <row r="32" spans="1:8" ht="15.75" customHeight="1" x14ac:dyDescent="0.25">
      <c r="B32" s="19" t="s">
        <v>97</v>
      </c>
      <c r="C32" s="101">
        <v>1.8842111000000002E-2</v>
      </c>
    </row>
    <row r="33" spans="2:3" ht="15.75" customHeight="1" x14ac:dyDescent="0.25">
      <c r="B33" s="19" t="s">
        <v>98</v>
      </c>
      <c r="C33" s="101">
        <v>8.5849647000000001E-2</v>
      </c>
    </row>
    <row r="34" spans="2:3" ht="15.75" customHeight="1" x14ac:dyDescent="0.25">
      <c r="B34" s="19" t="s">
        <v>99</v>
      </c>
      <c r="C34" s="101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v>1.82142E-2</v>
      </c>
      <c r="D5" s="52">
        <v>2.3116899999999999E-2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8.1087577853793794E-2</v>
      </c>
      <c r="C2" s="98">
        <v>0.95</v>
      </c>
      <c r="D2" s="56">
        <v>34.463131083731568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54.630460714750633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44.937152027008821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0.31056012358665958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17.31420994224495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17.31420994224495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17.31420994224495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17.31420994224495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17.31420994224495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17.31420994224495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0.37398067851182998</v>
      </c>
      <c r="C16" s="98">
        <v>0.95</v>
      </c>
      <c r="D16" s="56">
        <v>0.2402654113154119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1.1471640149207829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1.1471640149207829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0.59762630000000005</v>
      </c>
      <c r="C21" s="98">
        <v>0.95</v>
      </c>
      <c r="D21" s="56">
        <v>2.7560762601682538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29.48122630124664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3.0879000000000002E-3</v>
      </c>
      <c r="C23" s="98">
        <v>0.95</v>
      </c>
      <c r="D23" s="56">
        <v>5.6296372188471304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0.14733161386053101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7.9927442339883303E-2</v>
      </c>
      <c r="C27" s="98">
        <v>0.95</v>
      </c>
      <c r="D27" s="56">
        <v>25.038129027777931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0.24051800000000001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59.861534329338653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0.11210000000000001</v>
      </c>
      <c r="C31" s="98">
        <v>0.95</v>
      </c>
      <c r="D31" s="56">
        <v>2.036320807478035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0.51534999999999997</v>
      </c>
      <c r="C32" s="98">
        <v>0.95</v>
      </c>
      <c r="D32" s="56">
        <v>0.4379181210878062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0.16174469999999999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0.56000000000000005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0.2184112</v>
      </c>
      <c r="C38" s="98">
        <v>0.95</v>
      </c>
      <c r="D38" s="56">
        <v>6.7813968628285144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0.1522435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205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0.7659999999999999</v>
      </c>
      <c r="E2" s="60">
        <f>food_insecure</f>
        <v>0.7659999999999999</v>
      </c>
      <c r="F2" s="60">
        <f>food_insecure</f>
        <v>0.7659999999999999</v>
      </c>
      <c r="G2" s="60">
        <f>food_insecure</f>
        <v>0.7659999999999999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0.7659999999999999</v>
      </c>
      <c r="I15" s="60">
        <f>food_insecure</f>
        <v>0.7659999999999999</v>
      </c>
      <c r="J15" s="60">
        <f>food_insecure</f>
        <v>0.7659999999999999</v>
      </c>
      <c r="K15" s="60">
        <f>food_insecure</f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0.84400000000000008</v>
      </c>
      <c r="M24" s="60">
        <f>famplan_unmet_need</f>
        <v>0.84400000000000008</v>
      </c>
      <c r="N24" s="60">
        <f>famplan_unmet_need</f>
        <v>0.84400000000000008</v>
      </c>
      <c r="O24" s="60">
        <f>famplan_unmet_need</f>
        <v>0.84400000000000008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0.85</v>
      </c>
      <c r="D34" s="60">
        <f t="shared" si="3"/>
        <v>0.85</v>
      </c>
      <c r="E34" s="60">
        <f t="shared" si="3"/>
        <v>0.85</v>
      </c>
      <c r="F34" s="60">
        <f t="shared" si="3"/>
        <v>0.85</v>
      </c>
      <c r="G34" s="60">
        <f t="shared" si="3"/>
        <v>0.85</v>
      </c>
      <c r="H34" s="60">
        <f t="shared" si="3"/>
        <v>0.85</v>
      </c>
      <c r="I34" s="60">
        <f t="shared" si="3"/>
        <v>0.85</v>
      </c>
      <c r="J34" s="60">
        <f t="shared" si="3"/>
        <v>0.85</v>
      </c>
      <c r="K34" s="60">
        <f t="shared" si="3"/>
        <v>0.85</v>
      </c>
      <c r="L34" s="60">
        <f t="shared" si="3"/>
        <v>0.85</v>
      </c>
      <c r="M34" s="60">
        <f t="shared" si="3"/>
        <v>0.85</v>
      </c>
      <c r="N34" s="60">
        <f t="shared" si="3"/>
        <v>0.85</v>
      </c>
      <c r="O34" s="60">
        <f t="shared" si="3"/>
        <v>0.85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0.87230238794534543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2024-03-28T03:03:55Z</dcterms:modified>
</cp:coreProperties>
</file>