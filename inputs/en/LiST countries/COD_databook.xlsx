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95A0ECF-EC9C-4083-91B2-A53BED96261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I39" i="2" s="1"/>
  <c r="G39" i="2"/>
  <c r="A39" i="2"/>
  <c r="I38" i="2"/>
  <c r="H38" i="2"/>
  <c r="G38" i="2"/>
  <c r="A37" i="2"/>
  <c r="A36" i="2"/>
  <c r="A34" i="2"/>
  <c r="A33" i="2"/>
  <c r="A32" i="2"/>
  <c r="A31" i="2"/>
  <c r="A29" i="2"/>
  <c r="A28" i="2"/>
  <c r="A26" i="2"/>
  <c r="A25" i="2"/>
  <c r="A24" i="2"/>
  <c r="A23" i="2"/>
  <c r="A21" i="2"/>
  <c r="A20" i="2"/>
  <c r="A18" i="2"/>
  <c r="A17" i="2"/>
  <c r="A16" i="2"/>
  <c r="A15" i="2"/>
  <c r="H13" i="2"/>
  <c r="I13" i="2" s="1"/>
  <c r="G13" i="2"/>
  <c r="I12" i="2"/>
  <c r="H12" i="2"/>
  <c r="G12" i="2"/>
  <c r="H11" i="2"/>
  <c r="I11" i="2" s="1"/>
  <c r="G11" i="2"/>
  <c r="I10" i="2"/>
  <c r="H10" i="2"/>
  <c r="G10" i="2"/>
  <c r="H9" i="2"/>
  <c r="I9" i="2" s="1"/>
  <c r="G9" i="2"/>
  <c r="I8" i="2"/>
  <c r="H8" i="2"/>
  <c r="G8" i="2"/>
  <c r="H7" i="2"/>
  <c r="I7" i="2" s="1"/>
  <c r="G7" i="2"/>
  <c r="I6" i="2"/>
  <c r="H6" i="2"/>
  <c r="G6" i="2"/>
  <c r="H5" i="2"/>
  <c r="I5" i="2" s="1"/>
  <c r="G5" i="2"/>
  <c r="I4" i="2"/>
  <c r="H4" i="2"/>
  <c r="G4" i="2"/>
  <c r="H3" i="2"/>
  <c r="I3" i="2" s="1"/>
  <c r="G3" i="2"/>
  <c r="A3" i="2"/>
  <c r="I2" i="2"/>
  <c r="H2" i="2"/>
  <c r="G2" i="2"/>
  <c r="A2" i="2"/>
  <c r="A40" i="2" s="1"/>
  <c r="C33" i="1"/>
  <c r="C20" i="1"/>
  <c r="A19" i="2" l="1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<sst xmlns="http://schemas.openxmlformats.org/spreadsheetml/2006/main" count="2103" uniqueCount="341">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</sst>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19464602.25</v>
      </c>
    </row>
    <row r="8" spans="1:3" ht="15" customHeight="1" x14ac:dyDescent="0.25">
      <c r="B8" s="5" t="s">
        <v>8</v>
      </c>
      <c r="C8" s="44">
        <v>0.7659999999999999</v>
      </c>
    </row>
    <row r="9" spans="1:3" ht="15" customHeight="1" x14ac:dyDescent="0.25">
      <c r="B9" s="5" t="s">
        <v>9</v>
      </c>
      <c r="C9" s="45">
        <v>0.85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0.84400000000000008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0.10349999999999999</v>
      </c>
    </row>
    <row r="24" spans="1:3" ht="15" customHeight="1" x14ac:dyDescent="0.25">
      <c r="B24" s="15" t="s">
        <v>22</v>
      </c>
      <c r="C24" s="45">
        <v>0.45150000000000001</v>
      </c>
    </row>
    <row r="25" spans="1:3" ht="15" customHeight="1" x14ac:dyDescent="0.25">
      <c r="B25" s="15" t="s">
        <v>23</v>
      </c>
      <c r="C25" s="45">
        <v>0.35449999999999998</v>
      </c>
    </row>
    <row r="26" spans="1:3" ht="15" customHeight="1" x14ac:dyDescent="0.25">
      <c r="B26" s="15" t="s">
        <v>24</v>
      </c>
      <c r="C26" s="45">
        <v>9.0500000000000011E-2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0.194032291097986</v>
      </c>
    </row>
    <row r="30" spans="1:3" ht="14.25" customHeight="1" x14ac:dyDescent="0.25">
      <c r="B30" s="25" t="s">
        <v>27</v>
      </c>
      <c r="C30" s="99">
        <v>8.3858999788103697E-2</v>
      </c>
    </row>
    <row r="31" spans="1:3" ht="14.25" customHeight="1" x14ac:dyDescent="0.25">
      <c r="B31" s="25" t="s">
        <v>28</v>
      </c>
      <c r="C31" s="99">
        <v>0.13473133352303801</v>
      </c>
    </row>
    <row r="32" spans="1:3" ht="14.25" customHeight="1" x14ac:dyDescent="0.25">
      <c r="B32" s="25" t="s">
        <v>29</v>
      </c>
      <c r="C32" s="99">
        <v>0.587377375590873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26.48049</v>
      </c>
    </row>
    <row r="38" spans="1:5" ht="15" customHeight="1" x14ac:dyDescent="0.25">
      <c r="B38" s="11" t="s">
        <v>34</v>
      </c>
      <c r="C38" s="43">
        <v>62.369660000000003</v>
      </c>
      <c r="D38" s="12"/>
      <c r="E38" s="13"/>
    </row>
    <row r="39" spans="1:5" ht="15" customHeight="1" x14ac:dyDescent="0.25">
      <c r="B39" s="11" t="s">
        <v>35</v>
      </c>
      <c r="C39" s="43">
        <v>78.960539999999995</v>
      </c>
      <c r="D39" s="12"/>
      <c r="E39" s="12"/>
    </row>
    <row r="40" spans="1:5" ht="15" customHeight="1" x14ac:dyDescent="0.25">
      <c r="B40" s="11" t="s">
        <v>36</v>
      </c>
      <c r="C40" s="100">
        <v>5.47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27.67652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1.05615E-2</v>
      </c>
      <c r="D45" s="12"/>
    </row>
    <row r="46" spans="1:5" ht="15.75" customHeight="1" x14ac:dyDescent="0.25">
      <c r="B46" s="11" t="s">
        <v>41</v>
      </c>
      <c r="C46" s="45">
        <v>0.1134815</v>
      </c>
      <c r="D46" s="12"/>
    </row>
    <row r="47" spans="1:5" ht="15.75" customHeight="1" x14ac:dyDescent="0.25">
      <c r="B47" s="11" t="s">
        <v>42</v>
      </c>
      <c r="C47" s="45">
        <v>7.0955900000000002E-2</v>
      </c>
      <c r="D47" s="12"/>
      <c r="E47" s="13"/>
    </row>
    <row r="48" spans="1:5" ht="15" customHeight="1" x14ac:dyDescent="0.25">
      <c r="B48" s="11" t="s">
        <v>43</v>
      </c>
      <c r="C48" s="46">
        <v>0.80500110000000002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0.43530600000000003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0.10843405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4341379</v>
      </c>
      <c r="C2" s="49">
        <v>6820836.4999999991</v>
      </c>
      <c r="D2" s="49">
        <v>8454121</v>
      </c>
      <c r="E2" s="49">
        <v>5826167</v>
      </c>
      <c r="F2" s="49">
        <v>3285238.5</v>
      </c>
      <c r="G2" s="17">
        <f t="shared" ref="G2:G13" si="0">C2+D2+E2+F2</f>
        <v>24386363</v>
      </c>
      <c r="H2" s="17">
        <f t="shared" ref="H2:H13" si="1">(B2 + stillbirth*B2/(1000-stillbirth))/(1-abortion)</f>
        <v>5073810.649180999</v>
      </c>
      <c r="I2" s="17">
        <f t="shared" ref="I2:I13" si="2">G2-H2</f>
        <v>19312552.350818999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4442689</v>
      </c>
      <c r="C3" s="50">
        <v>7096296.4999999991</v>
      </c>
      <c r="D3" s="50">
        <v>8714259</v>
      </c>
      <c r="E3" s="50">
        <v>6046929</v>
      </c>
      <c r="F3" s="50">
        <v>3410383</v>
      </c>
      <c r="G3" s="17">
        <f t="shared" si="0"/>
        <v>25267867.5</v>
      </c>
      <c r="H3" s="17">
        <f t="shared" si="1"/>
        <v>5192212.6032302827</v>
      </c>
      <c r="I3" s="17">
        <f t="shared" si="2"/>
        <v>20075654.896769717</v>
      </c>
    </row>
    <row r="4" spans="1:9" ht="15.75" customHeight="1" x14ac:dyDescent="0.25">
      <c r="A4" s="5">
        <f t="shared" si="3"/>
        <v>2026</v>
      </c>
      <c r="B4" s="49">
        <v>4548537</v>
      </c>
      <c r="C4" s="50">
        <v>7382062.5</v>
      </c>
      <c r="D4" s="50">
        <v>8978398</v>
      </c>
      <c r="E4" s="50">
        <v>6281811</v>
      </c>
      <c r="F4" s="50">
        <v>3549497</v>
      </c>
      <c r="G4" s="17">
        <f t="shared" si="0"/>
        <v>26191768.5</v>
      </c>
      <c r="H4" s="17">
        <f t="shared" si="1"/>
        <v>5315918.1607488748</v>
      </c>
      <c r="I4" s="17">
        <f t="shared" si="2"/>
        <v>20875850.339251123</v>
      </c>
    </row>
    <row r="5" spans="1:9" ht="15.75" customHeight="1" x14ac:dyDescent="0.25">
      <c r="A5" s="5">
        <f t="shared" si="3"/>
        <v>2027</v>
      </c>
      <c r="B5" s="49">
        <v>4653894</v>
      </c>
      <c r="C5" s="50">
        <v>7668421.5</v>
      </c>
      <c r="D5" s="50">
        <v>9275282</v>
      </c>
      <c r="E5" s="50">
        <v>6506117</v>
      </c>
      <c r="F5" s="50">
        <v>3702172</v>
      </c>
      <c r="G5" s="17">
        <f t="shared" si="0"/>
        <v>27151992.5</v>
      </c>
      <c r="H5" s="17">
        <f t="shared" si="1"/>
        <v>5439049.8819291182</v>
      </c>
      <c r="I5" s="17">
        <f t="shared" si="2"/>
        <v>21712942.618070882</v>
      </c>
    </row>
    <row r="6" spans="1:9" ht="15.75" customHeight="1" x14ac:dyDescent="0.25">
      <c r="A6" s="5">
        <f t="shared" si="3"/>
        <v>2028</v>
      </c>
      <c r="B6" s="49">
        <v>4757732</v>
      </c>
      <c r="C6" s="50">
        <v>7954271.0000000009</v>
      </c>
      <c r="D6" s="50">
        <v>9609095</v>
      </c>
      <c r="E6" s="50">
        <v>6717621.5</v>
      </c>
      <c r="F6" s="50">
        <v>3865803.5</v>
      </c>
      <c r="G6" s="17">
        <f t="shared" si="0"/>
        <v>28146791</v>
      </c>
      <c r="H6" s="17">
        <f t="shared" si="1"/>
        <v>5560406.3334597619</v>
      </c>
      <c r="I6" s="17">
        <f t="shared" si="2"/>
        <v>22586384.666540239</v>
      </c>
    </row>
    <row r="7" spans="1:9" ht="15.75" customHeight="1" x14ac:dyDescent="0.25">
      <c r="A7" s="5">
        <f t="shared" si="3"/>
        <v>2029</v>
      </c>
      <c r="B7" s="49">
        <v>4861293</v>
      </c>
      <c r="C7" s="50">
        <v>8238213</v>
      </c>
      <c r="D7" s="50">
        <v>9971364</v>
      </c>
      <c r="E7" s="50">
        <v>6929901.5</v>
      </c>
      <c r="F7" s="50">
        <v>4033419</v>
      </c>
      <c r="G7" s="17">
        <f t="shared" si="0"/>
        <v>29172897.5</v>
      </c>
      <c r="H7" s="17">
        <f t="shared" si="1"/>
        <v>5681439.0524736596</v>
      </c>
      <c r="I7" s="17">
        <f t="shared" si="2"/>
        <v>23491458.447526339</v>
      </c>
    </row>
    <row r="8" spans="1:9" ht="15.75" customHeight="1" x14ac:dyDescent="0.25">
      <c r="A8" s="5">
        <f t="shared" si="3"/>
        <v>2030</v>
      </c>
      <c r="B8" s="49">
        <v>4953376</v>
      </c>
      <c r="C8" s="50">
        <v>8520808</v>
      </c>
      <c r="D8" s="50">
        <v>10351962.5</v>
      </c>
      <c r="E8" s="50">
        <v>7152723</v>
      </c>
      <c r="F8" s="50">
        <v>4200074.5</v>
      </c>
      <c r="G8" s="17">
        <f t="shared" si="0"/>
        <v>30225568</v>
      </c>
      <c r="H8" s="17">
        <f t="shared" si="1"/>
        <v>5789057.324457868</v>
      </c>
      <c r="I8" s="17">
        <f t="shared" si="2"/>
        <v>24436510.675542131</v>
      </c>
    </row>
    <row r="9" spans="1:9" ht="15.75" customHeight="1" x14ac:dyDescent="0.25">
      <c r="A9" s="5">
        <f t="shared" si="3"/>
        <v>2031</v>
      </c>
      <c r="B9" s="49">
        <v>5051689</v>
      </c>
      <c r="C9" s="50">
        <v>8804670</v>
      </c>
      <c r="D9" s="50">
        <v>10752747.5</v>
      </c>
      <c r="E9" s="50">
        <v>7384110.5</v>
      </c>
      <c r="F9" s="50">
        <v>4367232.5</v>
      </c>
      <c r="G9" s="17">
        <f t="shared" si="0"/>
        <v>31308760.5</v>
      </c>
      <c r="H9" s="17">
        <f t="shared" si="1"/>
        <v>5903956.6562952707</v>
      </c>
      <c r="I9" s="17">
        <f t="shared" si="2"/>
        <v>25404803.84370473</v>
      </c>
    </row>
    <row r="10" spans="1:9" ht="15.75" customHeight="1" x14ac:dyDescent="0.25">
      <c r="A10" s="5">
        <f t="shared" si="3"/>
        <v>2032</v>
      </c>
      <c r="B10" s="49">
        <v>5141617</v>
      </c>
      <c r="C10" s="50">
        <v>9087791.0000000019</v>
      </c>
      <c r="D10" s="50">
        <v>11174441</v>
      </c>
      <c r="E10" s="50">
        <v>7624677</v>
      </c>
      <c r="F10" s="50">
        <v>4538119</v>
      </c>
      <c r="G10" s="17">
        <f t="shared" si="0"/>
        <v>32425028</v>
      </c>
      <c r="H10" s="17">
        <f t="shared" si="1"/>
        <v>6009056.3594217543</v>
      </c>
      <c r="I10" s="17">
        <f t="shared" si="2"/>
        <v>26415971.640578248</v>
      </c>
    </row>
    <row r="11" spans="1:9" ht="15.75" customHeight="1" x14ac:dyDescent="0.25">
      <c r="A11" s="5">
        <f t="shared" si="3"/>
        <v>2033</v>
      </c>
      <c r="B11" s="49">
        <v>5236252</v>
      </c>
      <c r="C11" s="50">
        <v>9373587</v>
      </c>
      <c r="D11" s="50">
        <v>11607351</v>
      </c>
      <c r="E11" s="50">
        <v>7879043.5</v>
      </c>
      <c r="F11" s="50">
        <v>4711961.5</v>
      </c>
      <c r="G11" s="17">
        <f t="shared" si="0"/>
        <v>33571943</v>
      </c>
      <c r="H11" s="17">
        <f t="shared" si="1"/>
        <v>6119657.1779140448</v>
      </c>
      <c r="I11" s="17">
        <f t="shared" si="2"/>
        <v>27452285.822085954</v>
      </c>
    </row>
    <row r="12" spans="1:9" ht="15.75" customHeight="1" x14ac:dyDescent="0.25">
      <c r="A12" s="5">
        <f t="shared" si="3"/>
        <v>2034</v>
      </c>
      <c r="B12" s="49">
        <v>5331018</v>
      </c>
      <c r="C12" s="50">
        <v>9661111</v>
      </c>
      <c r="D12" s="50">
        <v>12051770</v>
      </c>
      <c r="E12" s="50">
        <v>8141680.5</v>
      </c>
      <c r="F12" s="50">
        <v>4884369.5000000009</v>
      </c>
      <c r="G12" s="17">
        <f t="shared" si="0"/>
        <v>34738931</v>
      </c>
      <c r="H12" s="17">
        <f t="shared" si="1"/>
        <v>6230411.0973438593</v>
      </c>
      <c r="I12" s="17">
        <f t="shared" si="2"/>
        <v>28508519.902656142</v>
      </c>
    </row>
    <row r="13" spans="1:9" ht="15.75" customHeight="1" x14ac:dyDescent="0.25">
      <c r="A13" s="5">
        <f t="shared" si="3"/>
        <v>2035</v>
      </c>
      <c r="B13" s="49">
        <v>5426637</v>
      </c>
      <c r="C13" s="50">
        <v>9950593</v>
      </c>
      <c r="D13" s="50">
        <v>12507735</v>
      </c>
      <c r="E13" s="50">
        <v>8396915</v>
      </c>
      <c r="F13" s="50">
        <v>5057720.5</v>
      </c>
      <c r="G13" s="17">
        <f t="shared" si="0"/>
        <v>35912963.5</v>
      </c>
      <c r="H13" s="17">
        <f t="shared" si="1"/>
        <v>6342161.9259317424</v>
      </c>
      <c r="I13" s="17">
        <f t="shared" si="2"/>
        <v>29570801.574068256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1.0924097815180431E-2</v>
      </c>
    </row>
    <row r="4" spans="1:8" ht="15.75" customHeight="1" x14ac:dyDescent="0.25">
      <c r="B4" s="19" t="s">
        <v>69</v>
      </c>
      <c r="C4" s="101">
        <v>5.9342188131562293E-2</v>
      </c>
    </row>
    <row r="5" spans="1:8" ht="15.75" customHeight="1" x14ac:dyDescent="0.25">
      <c r="B5" s="19" t="s">
        <v>70</v>
      </c>
      <c r="C5" s="101">
        <v>7.3863785227242837E-2</v>
      </c>
    </row>
    <row r="6" spans="1:8" ht="15.75" customHeight="1" x14ac:dyDescent="0.25">
      <c r="B6" s="19" t="s">
        <v>71</v>
      </c>
      <c r="C6" s="101">
        <v>0.24698675060264991</v>
      </c>
    </row>
    <row r="7" spans="1:8" ht="15.75" customHeight="1" x14ac:dyDescent="0.25">
      <c r="B7" s="19" t="s">
        <v>72</v>
      </c>
      <c r="C7" s="101">
        <v>0.41603591679281682</v>
      </c>
    </row>
    <row r="8" spans="1:8" ht="15.75" customHeight="1" x14ac:dyDescent="0.25">
      <c r="B8" s="19" t="s">
        <v>73</v>
      </c>
      <c r="C8" s="101">
        <v>2.3167995366400931E-3</v>
      </c>
    </row>
    <row r="9" spans="1:8" ht="15.75" customHeight="1" x14ac:dyDescent="0.25">
      <c r="B9" s="19" t="s">
        <v>74</v>
      </c>
      <c r="C9" s="101">
        <v>7.6129484774103029E-2</v>
      </c>
    </row>
    <row r="10" spans="1:8" ht="15.75" customHeight="1" x14ac:dyDescent="0.25">
      <c r="B10" s="19" t="s">
        <v>75</v>
      </c>
      <c r="C10" s="101">
        <v>0.1144009771198046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0.1082376883749905</v>
      </c>
      <c r="D14" s="55">
        <v>0.1082376883749905</v>
      </c>
      <c r="E14" s="55">
        <v>0.1082376883749905</v>
      </c>
      <c r="F14" s="55">
        <v>0.1082376883749905</v>
      </c>
    </row>
    <row r="15" spans="1:8" ht="15.75" customHeight="1" x14ac:dyDescent="0.25">
      <c r="B15" s="19" t="s">
        <v>82</v>
      </c>
      <c r="C15" s="101">
        <v>0.1384019313505874</v>
      </c>
      <c r="D15" s="101">
        <v>0.1384019313505874</v>
      </c>
      <c r="E15" s="101">
        <v>0.1384019313505874</v>
      </c>
      <c r="F15" s="101">
        <v>0.1384019313505874</v>
      </c>
    </row>
    <row r="16" spans="1:8" ht="15.75" customHeight="1" x14ac:dyDescent="0.25">
      <c r="B16" s="19" t="s">
        <v>83</v>
      </c>
      <c r="C16" s="101">
        <v>1.8396651510170978E-2</v>
      </c>
      <c r="D16" s="101">
        <v>1.8396651510170978E-2</v>
      </c>
      <c r="E16" s="101">
        <v>1.8396651510170978E-2</v>
      </c>
      <c r="F16" s="101">
        <v>1.8396651510170978E-2</v>
      </c>
    </row>
    <row r="17" spans="1:8" ht="15.75" customHeight="1" x14ac:dyDescent="0.25">
      <c r="B17" s="19" t="s">
        <v>84</v>
      </c>
      <c r="C17" s="101">
        <v>0.300625285196292</v>
      </c>
      <c r="D17" s="101">
        <v>0.300625285196292</v>
      </c>
      <c r="E17" s="101">
        <v>0.300625285196292</v>
      </c>
      <c r="F17" s="101">
        <v>0.300625285196292</v>
      </c>
    </row>
    <row r="18" spans="1:8" ht="15.75" customHeight="1" x14ac:dyDescent="0.25">
      <c r="B18" s="19" t="s">
        <v>85</v>
      </c>
      <c r="C18" s="101">
        <v>0.25865494885136592</v>
      </c>
      <c r="D18" s="101">
        <v>0.25865494885136592</v>
      </c>
      <c r="E18" s="101">
        <v>0.25865494885136592</v>
      </c>
      <c r="F18" s="101">
        <v>0.25865494885136592</v>
      </c>
    </row>
    <row r="19" spans="1:8" ht="15.75" customHeight="1" x14ac:dyDescent="0.25">
      <c r="B19" s="19" t="s">
        <v>86</v>
      </c>
      <c r="C19" s="101">
        <v>7.9643186956897555E-3</v>
      </c>
      <c r="D19" s="101">
        <v>7.9643186956897555E-3</v>
      </c>
      <c r="E19" s="101">
        <v>7.9643186956897555E-3</v>
      </c>
      <c r="F19" s="101">
        <v>7.9643186956897555E-3</v>
      </c>
    </row>
    <row r="20" spans="1:8" ht="15.75" customHeight="1" x14ac:dyDescent="0.25">
      <c r="B20" s="19" t="s">
        <v>87</v>
      </c>
      <c r="C20" s="101">
        <v>2.050462173124637E-2</v>
      </c>
      <c r="D20" s="101">
        <v>2.050462173124637E-2</v>
      </c>
      <c r="E20" s="101">
        <v>2.050462173124637E-2</v>
      </c>
      <c r="F20" s="101">
        <v>2.050462173124637E-2</v>
      </c>
    </row>
    <row r="21" spans="1:8" ht="15.75" customHeight="1" x14ac:dyDescent="0.25">
      <c r="B21" s="19" t="s">
        <v>88</v>
      </c>
      <c r="C21" s="101">
        <v>5.0702694385967979E-2</v>
      </c>
      <c r="D21" s="101">
        <v>5.0702694385967979E-2</v>
      </c>
      <c r="E21" s="101">
        <v>5.0702694385967979E-2</v>
      </c>
      <c r="F21" s="101">
        <v>5.0702694385967979E-2</v>
      </c>
    </row>
    <row r="22" spans="1:8" ht="15.75" customHeight="1" x14ac:dyDescent="0.25">
      <c r="B22" s="19" t="s">
        <v>89</v>
      </c>
      <c r="C22" s="101">
        <v>9.6511859903689087E-2</v>
      </c>
      <c r="D22" s="101">
        <v>9.6511859903689087E-2</v>
      </c>
      <c r="E22" s="101">
        <v>9.6511859903689087E-2</v>
      </c>
      <c r="F22" s="101">
        <v>9.6511859903689087E-2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8.8863841000000013E-2</v>
      </c>
    </row>
    <row r="27" spans="1:8" ht="15.75" customHeight="1" x14ac:dyDescent="0.25">
      <c r="B27" s="19" t="s">
        <v>92</v>
      </c>
      <c r="C27" s="101">
        <v>8.6695709999999992E-3</v>
      </c>
    </row>
    <row r="28" spans="1:8" ht="15.75" customHeight="1" x14ac:dyDescent="0.25">
      <c r="B28" s="19" t="s">
        <v>93</v>
      </c>
      <c r="C28" s="101">
        <v>0.15751688699999999</v>
      </c>
    </row>
    <row r="29" spans="1:8" ht="15.75" customHeight="1" x14ac:dyDescent="0.25">
      <c r="B29" s="19" t="s">
        <v>94</v>
      </c>
      <c r="C29" s="101">
        <v>0.169742745</v>
      </c>
    </row>
    <row r="30" spans="1:8" ht="15.75" customHeight="1" x14ac:dyDescent="0.25">
      <c r="B30" s="19" t="s">
        <v>95</v>
      </c>
      <c r="C30" s="101">
        <v>0.104932133</v>
      </c>
    </row>
    <row r="31" spans="1:8" ht="15.75" customHeight="1" x14ac:dyDescent="0.25">
      <c r="B31" s="19" t="s">
        <v>96</v>
      </c>
      <c r="C31" s="101">
        <v>0.108637312</v>
      </c>
    </row>
    <row r="32" spans="1:8" ht="15.75" customHeight="1" x14ac:dyDescent="0.25">
      <c r="B32" s="19" t="s">
        <v>97</v>
      </c>
      <c r="C32" s="101">
        <v>1.8842111000000002E-2</v>
      </c>
    </row>
    <row r="33" spans="2:3" ht="15.75" customHeight="1" x14ac:dyDescent="0.25">
      <c r="B33" s="19" t="s">
        <v>98</v>
      </c>
      <c r="C33" s="101">
        <v>8.5849647000000001E-2</v>
      </c>
    </row>
    <row r="34" spans="2:3" ht="15.75" customHeight="1" x14ac:dyDescent="0.25">
      <c r="B34" s="19" t="s">
        <v>99</v>
      </c>
      <c r="C34" s="101">
        <v>0.256945753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0.44512474563191162</v>
      </c>
      <c r="D2" s="52">
        <f>IFERROR(1-_xlfn.NORM.DIST(_xlfn.NORM.INV(SUM(D4:D5), 0, 1) + 1, 0, 1, TRUE), "")</f>
        <v>0.44512474563191162</v>
      </c>
      <c r="E2" s="52">
        <f>IFERROR(1-_xlfn.NORM.DIST(_xlfn.NORM.INV(SUM(E4:E5), 0, 1) + 1, 0, 1, TRUE), "")</f>
        <v>0.33236646927786206</v>
      </c>
      <c r="F2" s="52">
        <f>IFERROR(1-_xlfn.NORM.DIST(_xlfn.NORM.INV(SUM(F4:F5), 0, 1) + 1, 0, 1, TRUE), "")</f>
        <v>0.2132214123672026</v>
      </c>
      <c r="G2" s="52">
        <f>IFERROR(1-_xlfn.NORM.DIST(_xlfn.NORM.INV(SUM(G4:G5), 0, 1) + 1, 0, 1, TRUE), "")</f>
        <v>0.17354529737694879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0.3605346543680884</v>
      </c>
      <c r="D3" s="52">
        <f>IFERROR(_xlfn.NORM.DIST(_xlfn.NORM.INV(SUM(D4:D5), 0, 1) + 1, 0, 1, TRUE) - SUM(D4:D5), "")</f>
        <v>0.3605346543680884</v>
      </c>
      <c r="E3" s="52">
        <f>IFERROR(_xlfn.NORM.DIST(_xlfn.NORM.INV(SUM(E4:E5), 0, 1) + 1, 0, 1, TRUE) - SUM(E4:E5), "")</f>
        <v>0.38214463072213795</v>
      </c>
      <c r="F3" s="52">
        <f>IFERROR(_xlfn.NORM.DIST(_xlfn.NORM.INV(SUM(F4:F5), 0, 1) + 1, 0, 1, TRUE) - SUM(F4:F5), "")</f>
        <v>0.36787788763279738</v>
      </c>
      <c r="G3" s="52">
        <f>IFERROR(_xlfn.NORM.DIST(_xlfn.NORM.INV(SUM(G4:G5), 0, 1) + 1, 0, 1, TRUE) - SUM(G4:G5), "")</f>
        <v>0.35027830262305121</v>
      </c>
    </row>
    <row r="4" spans="1:15" ht="15.75" customHeight="1" x14ac:dyDescent="0.25">
      <c r="B4" s="5" t="s">
        <v>104</v>
      </c>
      <c r="C4" s="45">
        <v>0.1269026</v>
      </c>
      <c r="D4" s="53">
        <v>0.1269026</v>
      </c>
      <c r="E4" s="53">
        <v>0.1599622</v>
      </c>
      <c r="F4" s="53">
        <v>0.21259690000000001</v>
      </c>
      <c r="G4" s="53">
        <v>0.22975139999999999</v>
      </c>
    </row>
    <row r="5" spans="1:15" ht="15.75" customHeight="1" x14ac:dyDescent="0.25">
      <c r="B5" s="5" t="s">
        <v>105</v>
      </c>
      <c r="C5" s="45">
        <v>6.7437999999999998E-2</v>
      </c>
      <c r="D5" s="53">
        <v>6.7437999999999998E-2</v>
      </c>
      <c r="E5" s="53">
        <v>0.12552669999999999</v>
      </c>
      <c r="F5" s="53">
        <v>0.20630380000000001</v>
      </c>
      <c r="G5" s="53">
        <v>0.24642500000000001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0.71159285669895278</v>
      </c>
      <c r="D8" s="52">
        <f>IFERROR(1-_xlfn.NORM.DIST(_xlfn.NORM.INV(SUM(D10:D11), 0, 1) + 1, 0, 1, TRUE), "")</f>
        <v>0.71159285669895278</v>
      </c>
      <c r="E8" s="52">
        <f>IFERROR(1-_xlfn.NORM.DIST(_xlfn.NORM.INV(SUM(E10:E11), 0, 1) + 1, 0, 1, TRUE), "")</f>
        <v>0.60952106410548623</v>
      </c>
      <c r="F8" s="52">
        <f>IFERROR(1-_xlfn.NORM.DIST(_xlfn.NORM.INV(SUM(F10:F11), 0, 1) + 1, 0, 1, TRUE), "")</f>
        <v>0.64764035770840334</v>
      </c>
      <c r="G8" s="52">
        <f>IFERROR(1-_xlfn.NORM.DIST(_xlfn.NORM.INV(SUM(G10:G11), 0, 1) + 1, 0, 1, TRUE), "")</f>
        <v>0.73344383159248705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0.22879574330104721</v>
      </c>
      <c r="D9" s="52">
        <f>IFERROR(_xlfn.NORM.DIST(_xlfn.NORM.INV(SUM(D10:D11), 0, 1) + 1, 0, 1, TRUE) - SUM(D10:D11), "")</f>
        <v>0.22879574330104721</v>
      </c>
      <c r="E9" s="52">
        <f>IFERROR(_xlfn.NORM.DIST(_xlfn.NORM.INV(SUM(E10:E11), 0, 1) + 1, 0, 1, TRUE) - SUM(E10:E11), "")</f>
        <v>0.28986673589451373</v>
      </c>
      <c r="F9" s="52">
        <f>IFERROR(_xlfn.NORM.DIST(_xlfn.NORM.INV(SUM(F10:F11), 0, 1) + 1, 0, 1, TRUE) - SUM(F10:F11), "")</f>
        <v>0.26840574229159675</v>
      </c>
      <c r="G9" s="52">
        <f>IFERROR(_xlfn.NORM.DIST(_xlfn.NORM.INV(SUM(G10:G11), 0, 1) + 1, 0, 1, TRUE) - SUM(G10:G11), "")</f>
        <v>0.21428946840751295</v>
      </c>
    </row>
    <row r="10" spans="1:15" ht="15.75" customHeight="1" x14ac:dyDescent="0.25">
      <c r="B10" s="5" t="s">
        <v>109</v>
      </c>
      <c r="C10" s="45">
        <v>3.2572400000000001E-2</v>
      </c>
      <c r="D10" s="53">
        <v>3.2572400000000001E-2</v>
      </c>
      <c r="E10" s="53">
        <v>6.4432600000000007E-2</v>
      </c>
      <c r="F10" s="53">
        <v>5.9197499999999993E-2</v>
      </c>
      <c r="G10" s="53">
        <v>3.7088400000000001E-2</v>
      </c>
    </row>
    <row r="11" spans="1:15" ht="15.75" customHeight="1" x14ac:dyDescent="0.25">
      <c r="B11" s="5" t="s">
        <v>110</v>
      </c>
      <c r="C11" s="45">
        <v>2.7039000000000001E-2</v>
      </c>
      <c r="D11" s="53">
        <v>2.7039000000000001E-2</v>
      </c>
      <c r="E11" s="53">
        <v>3.6179599999999999E-2</v>
      </c>
      <c r="F11" s="53">
        <v>2.4756400000000001E-2</v>
      </c>
      <c r="G11" s="53">
        <v>1.51783E-2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0.80000777049999994</v>
      </c>
      <c r="D14" s="54">
        <v>0.78970271365300004</v>
      </c>
      <c r="E14" s="54">
        <v>0.78970271365300004</v>
      </c>
      <c r="F14" s="54">
        <v>0.51407809026899998</v>
      </c>
      <c r="G14" s="54">
        <v>0.51407809026899998</v>
      </c>
      <c r="H14" s="45">
        <v>0.441</v>
      </c>
      <c r="I14" s="55">
        <v>0.441</v>
      </c>
      <c r="J14" s="55">
        <v>0.441</v>
      </c>
      <c r="K14" s="55">
        <v>0.441</v>
      </c>
      <c r="L14" s="45">
        <v>0.40600000000000003</v>
      </c>
      <c r="M14" s="55">
        <v>0.40600000000000003</v>
      </c>
      <c r="N14" s="55">
        <v>0.40600000000000003</v>
      </c>
      <c r="O14" s="55">
        <v>0.40600000000000003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0.34824818254527301</v>
      </c>
      <c r="D15" s="52">
        <f t="shared" si="0"/>
        <v>0.34376232946943286</v>
      </c>
      <c r="E15" s="52">
        <f t="shared" si="0"/>
        <v>0.34376232946943286</v>
      </c>
      <c r="F15" s="52">
        <f t="shared" si="0"/>
        <v>0.22378127716263732</v>
      </c>
      <c r="G15" s="52">
        <f t="shared" si="0"/>
        <v>0.22378127716263732</v>
      </c>
      <c r="H15" s="52">
        <f t="shared" si="0"/>
        <v>0.191969946</v>
      </c>
      <c r="I15" s="52">
        <f t="shared" si="0"/>
        <v>0.191969946</v>
      </c>
      <c r="J15" s="52">
        <f t="shared" si="0"/>
        <v>0.191969946</v>
      </c>
      <c r="K15" s="52">
        <f t="shared" si="0"/>
        <v>0.191969946</v>
      </c>
      <c r="L15" s="52">
        <f t="shared" si="0"/>
        <v>0.17673423600000002</v>
      </c>
      <c r="M15" s="52">
        <f t="shared" si="0"/>
        <v>0.17673423600000002</v>
      </c>
      <c r="N15" s="52">
        <f t="shared" si="0"/>
        <v>0.17673423600000002</v>
      </c>
      <c r="O15" s="52">
        <f t="shared" si="0"/>
        <v>0.17673423600000002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0.79330060000000002</v>
      </c>
      <c r="D2" s="53">
        <v>0.51534999999999997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9.4853000000000007E-2</v>
      </c>
      <c r="D3" s="53">
        <v>0.1855917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9.3632199999999999E-2</v>
      </c>
      <c r="D4" s="53">
        <v>0.27594150000000001</v>
      </c>
      <c r="E4" s="53">
        <v>0.96874369999999999</v>
      </c>
      <c r="F4" s="53">
        <v>0.69749250000000007</v>
      </c>
      <c r="G4" s="53">
        <v>0</v>
      </c>
    </row>
    <row r="5" spans="1:7" x14ac:dyDescent="0.25">
      <c r="B5" s="3" t="s">
        <v>122</v>
      </c>
      <c r="C5" s="52">
        <v>1.82142E-2</v>
      </c>
      <c r="D5" s="52">
        <v>2.3116899999999999E-2</v>
      </c>
      <c r="E5" s="52">
        <f>1-SUM(E2:E4)</f>
        <v>3.1256300000000015E-2</v>
      </c>
      <c r="F5" s="52">
        <f>1-SUM(F2:F4)</f>
        <v>0.30250749999999993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34.463131083731568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54.630460714750633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44.937152027008821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0.32947323511308713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4.7419200000000002E-2</v>
      </c>
      <c r="C10" s="98">
        <v>0.95</v>
      </c>
      <c r="D10" s="56">
        <v>17.31420994224495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17.31420994224495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17.31420994224495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17.31420994224495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4.7419200000000002E-2</v>
      </c>
      <c r="C14" s="98">
        <v>0.95</v>
      </c>
      <c r="D14" s="56">
        <v>17.31420994224495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17.31420994224495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0.53109870000000003</v>
      </c>
      <c r="C16" s="98">
        <v>0.95</v>
      </c>
      <c r="D16" s="56">
        <v>0.2402654113154119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0.51534999999999997</v>
      </c>
      <c r="C18" s="98">
        <v>0.95</v>
      </c>
      <c r="D18" s="56">
        <v>1.1471640149207829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0.51534999999999997</v>
      </c>
      <c r="C19" s="98">
        <v>0.95</v>
      </c>
      <c r="D19" s="56">
        <v>1.1471640149207829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2.7560762601682538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29.48122630124664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0.64157470000000005</v>
      </c>
      <c r="C23" s="98">
        <v>0.95</v>
      </c>
      <c r="D23" s="56">
        <v>5.6296372188471304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0.16775714976716499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4.7419200000000002E-2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25.038129027777931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0.24051800000000001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0.1522435</v>
      </c>
      <c r="C29" s="98">
        <v>0.95</v>
      </c>
      <c r="D29" s="56">
        <v>59.861534329338653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0.11210000000000001</v>
      </c>
      <c r="C31" s="98">
        <v>0.95</v>
      </c>
      <c r="D31" s="56">
        <v>2.036320807478035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0.56000000000000005</v>
      </c>
      <c r="C32" s="98">
        <v>0.95</v>
      </c>
      <c r="D32" s="56">
        <v>0.4379181210878062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0.19352469999999999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0.59762630000000005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3.0879000000000002E-3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0.35729519999999998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0.2184112</v>
      </c>
      <c r="C38" s="98">
        <v>0.95</v>
      </c>
      <c r="D38" s="56">
        <v>6.7813968628285144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8.4688240000000012E-2</v>
      </c>
      <c r="C3" s="21">
        <f>frac_mam_1_5months * 2.6</f>
        <v>8.4688240000000012E-2</v>
      </c>
      <c r="D3" s="21">
        <f>frac_mam_6_11months * 2.6</f>
        <v>0.16752476000000002</v>
      </c>
      <c r="E3" s="21">
        <f>frac_mam_12_23months * 2.6</f>
        <v>0.15391349999999998</v>
      </c>
      <c r="F3" s="21">
        <f>frac_mam_24_59months * 2.6</f>
        <v>9.6429840000000003E-2</v>
      </c>
    </row>
    <row r="4" spans="1:6" ht="15.75" customHeight="1" x14ac:dyDescent="0.25">
      <c r="A4" s="3" t="s">
        <v>205</v>
      </c>
      <c r="B4" s="21">
        <f>frac_sam_1month * 2.6</f>
        <v>7.03014E-2</v>
      </c>
      <c r="C4" s="21">
        <f>frac_sam_1_5months * 2.6</f>
        <v>7.03014E-2</v>
      </c>
      <c r="D4" s="21">
        <f>frac_sam_6_11months * 2.6</f>
        <v>9.4066960000000005E-2</v>
      </c>
      <c r="E4" s="21">
        <f>frac_sam_12_23months * 2.6</f>
        <v>6.4366640000000003E-2</v>
      </c>
      <c r="F4" s="21">
        <f>frac_sam_24_59months * 2.6</f>
        <v>3.9463580000000005E-2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0.7659999999999999</v>
      </c>
      <c r="E2" s="60">
        <f>food_insecure</f>
        <v>0.7659999999999999</v>
      </c>
      <c r="F2" s="60">
        <f>food_insecure</f>
        <v>0.7659999999999999</v>
      </c>
      <c r="G2" s="60">
        <f>food_insecure</f>
        <v>0.7659999999999999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0.7659999999999999</v>
      </c>
      <c r="F5" s="60">
        <f>food_insecure</f>
        <v>0.7659999999999999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0.7659999999999999</v>
      </c>
      <c r="F8" s="60">
        <f>food_insecure</f>
        <v>0.7659999999999999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0.7659999999999999</v>
      </c>
      <c r="F9" s="60">
        <f>food_insecure</f>
        <v>0.7659999999999999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0.7659999999999999</v>
      </c>
      <c r="I15" s="60">
        <f>food_insecure</f>
        <v>0.7659999999999999</v>
      </c>
      <c r="J15" s="60">
        <f>food_insecure</f>
        <v>0.7659999999999999</v>
      </c>
      <c r="K15" s="60">
        <f>food_insecure</f>
        <v>0.7659999999999999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0.85</v>
      </c>
      <c r="I19" s="60">
        <f>frac_malaria_risk</f>
        <v>0.85</v>
      </c>
      <c r="J19" s="60">
        <f>frac_malaria_risk</f>
        <v>0.85</v>
      </c>
      <c r="K19" s="60">
        <f>frac_malaria_risk</f>
        <v>0.85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0.84400000000000008</v>
      </c>
      <c r="M24" s="60">
        <f>famplan_unmet_need</f>
        <v>0.84400000000000008</v>
      </c>
      <c r="N24" s="60">
        <f>famplan_unmet_need</f>
        <v>0.84400000000000008</v>
      </c>
      <c r="O24" s="60">
        <f>famplan_unmet_need</f>
        <v>0.84400000000000008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0.43865802441871204</v>
      </c>
      <c r="M25" s="60">
        <f>(1-food_insecure)*(0.49)+food_insecure*(0.7)</f>
        <v>0.65085999999999999</v>
      </c>
      <c r="N25" s="60">
        <f>(1-food_insecure)*(0.49)+food_insecure*(0.7)</f>
        <v>0.65085999999999999</v>
      </c>
      <c r="O25" s="60">
        <f>(1-food_insecure)*(0.49)+food_insecure*(0.7)</f>
        <v>0.65085999999999999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0.18799629617944799</v>
      </c>
      <c r="M26" s="60">
        <f>(1-food_insecure)*(0.21)+food_insecure*(0.3)</f>
        <v>0.27893999999999997</v>
      </c>
      <c r="N26" s="60">
        <f>(1-food_insecure)*(0.21)+food_insecure*(0.3)</f>
        <v>0.27893999999999997</v>
      </c>
      <c r="O26" s="60">
        <f>(1-food_insecure)*(0.21)+food_insecure*(0.3)</f>
        <v>0.27893999999999997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4.7312468601840026E-2</v>
      </c>
      <c r="M27" s="60">
        <f>(1-food_insecure)*(0.3)</f>
        <v>7.0200000000000026E-2</v>
      </c>
      <c r="N27" s="60">
        <f>(1-food_insecure)*(0.3)</f>
        <v>7.0200000000000026E-2</v>
      </c>
      <c r="O27" s="60">
        <f>(1-food_insecure)*(0.3)</f>
        <v>7.0200000000000026E-2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0.85</v>
      </c>
      <c r="D34" s="60">
        <f t="shared" si="3"/>
        <v>0.85</v>
      </c>
      <c r="E34" s="60">
        <f t="shared" si="3"/>
        <v>0.85</v>
      </c>
      <c r="F34" s="60">
        <f t="shared" si="3"/>
        <v>0.85</v>
      </c>
      <c r="G34" s="60">
        <f t="shared" si="3"/>
        <v>0.85</v>
      </c>
      <c r="H34" s="60">
        <f t="shared" si="3"/>
        <v>0.85</v>
      </c>
      <c r="I34" s="60">
        <f t="shared" si="3"/>
        <v>0.85</v>
      </c>
      <c r="J34" s="60">
        <f t="shared" si="3"/>
        <v>0.85</v>
      </c>
      <c r="K34" s="60">
        <f t="shared" si="3"/>
        <v>0.85</v>
      </c>
      <c r="L34" s="60">
        <f t="shared" si="3"/>
        <v>0.85</v>
      </c>
      <c r="M34" s="60">
        <f t="shared" si="3"/>
        <v>0.85</v>
      </c>
      <c r="N34" s="60">
        <f t="shared" si="3"/>
        <v>0.85</v>
      </c>
      <c r="O34" s="60">
        <f t="shared" si="3"/>
        <v>0.85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0.10644386460884026</v>
      </c>
      <c r="G18" s="90">
        <f>MIN(MAX(1-0.89/(1-frac_sam_12_23months+(frac_sam_12_23months*0.89)),0),1)</f>
        <v>0.10756973031988604</v>
      </c>
      <c r="H18" s="90">
        <f>MIN(MAX(1-0.89/(1-frac_sam_24_59months+(frac_sam_24_59months*0.89)),0),1)</f>
        <v>0.10851155931007439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0.10364702117623037</v>
      </c>
      <c r="G20" s="90">
        <f>MIN(MAX(1-0.89/(1-frac_mam_12_23months+(frac_mam_12_23months*0.89)),0),1)</f>
        <v>0.10416657911740324</v>
      </c>
      <c r="H20" s="90">
        <f>MIN(MAX(1-0.89/(1-frac_mam_24_59months+(frac_mam_24_59months*0.89)),0),1)</f>
        <v>0.10635417166664851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9.6416923257167664E-3</v>
      </c>
      <c r="G73" s="90">
        <f>MIN(MAX(1-0.99/(1-frac_sam_12_23months+(frac_sam_12_23months*0.99)),0),1)</f>
        <v>9.7548509499205682E-3</v>
      </c>
      <c r="H73" s="90">
        <f>MIN(MAX(1-0.99/(1-frac_sam_24_59months+(frac_sam_24_59months*0.99)),0),1)</f>
        <v>9.8497120188394405E-3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9.3617059905740652E-3</v>
      </c>
      <c r="G75" s="90">
        <f>MIN(MAX(1-0.99/(1-frac_mam_12_23months+(frac_mam_12_23months*0.99)),0),1)</f>
        <v>9.4135976144477107E-3</v>
      </c>
      <c r="H75" s="90">
        <f>MIN(MAX(1-0.99/(1-frac_mam_24_59months+(frac_mam_24_59months*0.99)),0),1)</f>
        <v>9.6326886100823739E-3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0.19416907187052934</v>
      </c>
      <c r="G128" s="90">
        <f>MIN(MAX(1-0.8/(1-frac_sam_12_23months+(frac_sam_12_23months*0.8)),0),1)</f>
        <v>0.19601926627271071</v>
      </c>
      <c r="H128" s="90">
        <f>MIN(MAX(1-0.8/(1-frac_sam_24_59months+(frac_sam_24_59months*0.8)),0),1)</f>
        <v>0.19756407736710013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0.18955619975932259</v>
      </c>
      <c r="G130" s="90">
        <f>MIN(MAX(1-0.8/(1-frac_mam_12_23months+(frac_mam_12_23months*0.8)),0),1)</f>
        <v>0.19041491741473171</v>
      </c>
      <c r="H130" s="90">
        <f>MIN(MAX(1-0.8/(1-frac_mam_24_59months+(frac_mam_24_59months*0.8)),0),1)</f>
        <v>0.19402150947036811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2024-06-18T06:54:50Z</dcterms:modified>
</cp:coreProperties>
</file>