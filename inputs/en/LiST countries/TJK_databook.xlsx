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7679590-61AB-45DE-8540-97CE4E4EAEED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3" i="2"/>
  <c r="A32" i="2"/>
  <c r="A31" i="2"/>
  <c r="A28" i="2"/>
  <c r="A25" i="2"/>
  <c r="A24" i="2"/>
  <c r="A23" i="2"/>
  <c r="A20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9" i="2" l="1"/>
  <c r="A27" i="2"/>
  <c r="A35" i="2"/>
  <c r="A21" i="2"/>
  <c r="A29" i="2"/>
  <c r="A37" i="2"/>
  <c r="A4" i="2"/>
  <c r="A14" i="2"/>
  <c r="A22" i="2"/>
  <c r="A30" i="2"/>
  <c r="A38" i="2"/>
  <c r="A40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<sst xmlns="http://schemas.openxmlformats.org/spreadsheetml/2006/main" count="2094" uniqueCount="341">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</sst>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0.78182266235351605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8.7300000000000003E-2</v>
      </c>
    </row>
    <row r="24" spans="1:3" ht="15" customHeight="1" x14ac:dyDescent="0.25">
      <c r="B24" s="15" t="s">
        <v>22</v>
      </c>
      <c r="C24" s="45">
        <v>0.59660000000000002</v>
      </c>
    </row>
    <row r="25" spans="1:3" ht="15" customHeight="1" x14ac:dyDescent="0.25">
      <c r="B25" s="15" t="s">
        <v>23</v>
      </c>
      <c r="C25" s="45">
        <v>0.28710000000000002</v>
      </c>
    </row>
    <row r="26" spans="1:3" ht="15" customHeight="1" x14ac:dyDescent="0.25">
      <c r="B26" s="15" t="s">
        <v>24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255447</v>
      </c>
      <c r="C2" s="49">
        <v>573742</v>
      </c>
      <c r="D2" s="49">
        <v>837671</v>
      </c>
      <c r="E2" s="49">
        <v>783489.5</v>
      </c>
      <c r="F2" s="49">
        <v>441391</v>
      </c>
      <c r="G2" s="17">
        <f t="shared" ref="G2:G13" si="0">C2+D2+E2+F2</f>
        <v>2636293.5</v>
      </c>
      <c r="H2" s="17">
        <f t="shared" ref="H2:H13" si="1">(B2 + stillbirth*B2/(1000-stillbirth))/(1-abortion)</f>
        <v>292955.358381094</v>
      </c>
      <c r="I2" s="17">
        <f t="shared" ref="I2:I13" si="2">G2-H2</f>
        <v>2343338.1416189061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253441</v>
      </c>
      <c r="C3" s="50">
        <v>596506</v>
      </c>
      <c r="D3" s="50">
        <v>836095.00000000012</v>
      </c>
      <c r="E3" s="50">
        <v>796858.5</v>
      </c>
      <c r="F3" s="50">
        <v>459573</v>
      </c>
      <c r="G3" s="17">
        <f t="shared" si="0"/>
        <v>2689032.5</v>
      </c>
      <c r="H3" s="17">
        <f t="shared" si="1"/>
        <v>290654.80895631132</v>
      </c>
      <c r="I3" s="17">
        <f t="shared" si="2"/>
        <v>2398377.6910436889</v>
      </c>
    </row>
    <row r="4" spans="1:9" ht="15.75" customHeight="1" x14ac:dyDescent="0.25">
      <c r="A4" s="5">
        <f t="shared" si="3"/>
        <v>2026</v>
      </c>
      <c r="B4" s="49">
        <v>252625</v>
      </c>
      <c r="C4" s="50">
        <v>620504.5</v>
      </c>
      <c r="D4" s="50">
        <v>837810.5</v>
      </c>
      <c r="E4" s="50">
        <v>803385.5</v>
      </c>
      <c r="F4" s="50">
        <v>481907</v>
      </c>
      <c r="G4" s="17">
        <f t="shared" si="0"/>
        <v>2743607.5</v>
      </c>
      <c r="H4" s="17">
        <f t="shared" si="1"/>
        <v>289718.99224114546</v>
      </c>
      <c r="I4" s="17">
        <f t="shared" si="2"/>
        <v>2453888.5077588544</v>
      </c>
    </row>
    <row r="5" spans="1:9" ht="15.75" customHeight="1" x14ac:dyDescent="0.25">
      <c r="A5" s="5">
        <f t="shared" si="3"/>
        <v>2027</v>
      </c>
      <c r="B5" s="49">
        <v>251739</v>
      </c>
      <c r="C5" s="50">
        <v>644560</v>
      </c>
      <c r="D5" s="50">
        <v>844390</v>
      </c>
      <c r="E5" s="50">
        <v>804429</v>
      </c>
      <c r="F5" s="50">
        <v>508581.5</v>
      </c>
      <c r="G5" s="17">
        <f t="shared" si="0"/>
        <v>2801960.5</v>
      </c>
      <c r="H5" s="17">
        <f t="shared" si="1"/>
        <v>288702.89713129622</v>
      </c>
      <c r="I5" s="17">
        <f t="shared" si="2"/>
        <v>2513257.6028687037</v>
      </c>
    </row>
    <row r="6" spans="1:9" ht="15.75" customHeight="1" x14ac:dyDescent="0.25">
      <c r="A6" s="5">
        <f t="shared" si="3"/>
        <v>2028</v>
      </c>
      <c r="B6" s="49">
        <v>252257</v>
      </c>
      <c r="C6" s="50">
        <v>668044.5</v>
      </c>
      <c r="D6" s="50">
        <v>854149</v>
      </c>
      <c r="E6" s="50">
        <v>804928</v>
      </c>
      <c r="F6" s="50">
        <v>537456.5</v>
      </c>
      <c r="G6" s="17">
        <f t="shared" si="0"/>
        <v>2864578</v>
      </c>
      <c r="H6" s="17">
        <f t="shared" si="1"/>
        <v>289296.95725195302</v>
      </c>
      <c r="I6" s="17">
        <f t="shared" si="2"/>
        <v>2575281.042748047</v>
      </c>
    </row>
    <row r="7" spans="1:9" ht="15.75" customHeight="1" x14ac:dyDescent="0.25">
      <c r="A7" s="5">
        <f t="shared" si="3"/>
        <v>2029</v>
      </c>
      <c r="B7" s="49">
        <v>255381</v>
      </c>
      <c r="C7" s="50">
        <v>689329</v>
      </c>
      <c r="D7" s="50">
        <v>868700.5</v>
      </c>
      <c r="E7" s="50">
        <v>804514</v>
      </c>
      <c r="F7" s="50">
        <v>565873.99999999988</v>
      </c>
      <c r="G7" s="17">
        <f t="shared" si="0"/>
        <v>2928417.5</v>
      </c>
      <c r="H7" s="17">
        <f t="shared" si="1"/>
        <v>292879.66732324974</v>
      </c>
      <c r="I7" s="17">
        <f t="shared" si="2"/>
        <v>2635537.8326767501</v>
      </c>
    </row>
    <row r="8" spans="1:9" ht="15.75" customHeight="1" x14ac:dyDescent="0.25">
      <c r="A8" s="5">
        <f t="shared" si="3"/>
        <v>2030</v>
      </c>
      <c r="B8" s="49">
        <v>258575</v>
      </c>
      <c r="C8" s="50">
        <v>706127.49999999988</v>
      </c>
      <c r="D8" s="50">
        <v>888690</v>
      </c>
      <c r="E8" s="50">
        <v>802347</v>
      </c>
      <c r="F8" s="50">
        <v>593078.5</v>
      </c>
      <c r="G8" s="17">
        <f t="shared" si="0"/>
        <v>2990243</v>
      </c>
      <c r="H8" s="17">
        <f t="shared" si="1"/>
        <v>296542.65578922979</v>
      </c>
      <c r="I8" s="17">
        <f t="shared" si="2"/>
        <v>2693700.34421077</v>
      </c>
    </row>
    <row r="9" spans="1:9" ht="15.75" customHeight="1" x14ac:dyDescent="0.25">
      <c r="A9" s="5">
        <f t="shared" si="3"/>
        <v>2031</v>
      </c>
      <c r="B9" s="49">
        <v>262203</v>
      </c>
      <c r="C9" s="50">
        <v>717009.5</v>
      </c>
      <c r="D9" s="50">
        <v>912325</v>
      </c>
      <c r="E9" s="50">
        <v>800716.5</v>
      </c>
      <c r="F9" s="50">
        <v>619196.5</v>
      </c>
      <c r="G9" s="17">
        <f t="shared" si="0"/>
        <v>3049247.5</v>
      </c>
      <c r="H9" s="17">
        <f t="shared" si="1"/>
        <v>300703.37030224665</v>
      </c>
      <c r="I9" s="17">
        <f t="shared" si="2"/>
        <v>2748544.1296977531</v>
      </c>
    </row>
    <row r="10" spans="1:9" ht="15.75" customHeight="1" x14ac:dyDescent="0.25">
      <c r="A10" s="5">
        <f t="shared" si="3"/>
        <v>2032</v>
      </c>
      <c r="B10" s="49">
        <v>266902</v>
      </c>
      <c r="C10" s="50">
        <v>724570.49999999988</v>
      </c>
      <c r="D10" s="50">
        <v>938928.5</v>
      </c>
      <c r="E10" s="50">
        <v>800506.5</v>
      </c>
      <c r="F10" s="50">
        <v>642799.5</v>
      </c>
      <c r="G10" s="17">
        <f t="shared" si="0"/>
        <v>3106805</v>
      </c>
      <c r="H10" s="17">
        <f t="shared" si="1"/>
        <v>306092.34425391868</v>
      </c>
      <c r="I10" s="17">
        <f t="shared" si="2"/>
        <v>2800712.6557460814</v>
      </c>
    </row>
    <row r="11" spans="1:9" ht="15.75" customHeight="1" x14ac:dyDescent="0.25">
      <c r="A11" s="5">
        <f t="shared" si="3"/>
        <v>2033</v>
      </c>
      <c r="B11" s="49">
        <v>271623</v>
      </c>
      <c r="C11" s="50">
        <v>730548</v>
      </c>
      <c r="D11" s="50">
        <v>968996.5</v>
      </c>
      <c r="E11" s="50">
        <v>800717</v>
      </c>
      <c r="F11" s="50">
        <v>662247.5</v>
      </c>
      <c r="G11" s="17">
        <f t="shared" si="0"/>
        <v>3162509</v>
      </c>
      <c r="H11" s="17">
        <f t="shared" si="1"/>
        <v>311506.54855820548</v>
      </c>
      <c r="I11" s="17">
        <f t="shared" si="2"/>
        <v>2851002.4514417946</v>
      </c>
    </row>
    <row r="12" spans="1:9" ht="15.75" customHeight="1" x14ac:dyDescent="0.25">
      <c r="A12" s="5">
        <f t="shared" si="3"/>
        <v>2034</v>
      </c>
      <c r="B12" s="49">
        <v>276512</v>
      </c>
      <c r="C12" s="50">
        <v>733294.5</v>
      </c>
      <c r="D12" s="50">
        <v>1002247</v>
      </c>
      <c r="E12" s="50">
        <v>799797.50000000012</v>
      </c>
      <c r="F12" s="50">
        <v>677290</v>
      </c>
      <c r="G12" s="17">
        <f t="shared" si="0"/>
        <v>3212629</v>
      </c>
      <c r="H12" s="17">
        <f t="shared" si="1"/>
        <v>317113.42100973224</v>
      </c>
      <c r="I12" s="17">
        <f t="shared" si="2"/>
        <v>2895515.5789902676</v>
      </c>
    </row>
    <row r="13" spans="1:9" ht="15.75" customHeight="1" x14ac:dyDescent="0.25">
      <c r="A13" s="5">
        <f t="shared" si="3"/>
        <v>2035</v>
      </c>
      <c r="B13" s="49">
        <v>279902</v>
      </c>
      <c r="C13" s="50">
        <v>732541</v>
      </c>
      <c r="D13" s="50">
        <v>1037066.5</v>
      </c>
      <c r="E13" s="50">
        <v>798364.49999999988</v>
      </c>
      <c r="F13" s="50">
        <v>688876.5</v>
      </c>
      <c r="G13" s="17">
        <f t="shared" si="0"/>
        <v>3256848.5</v>
      </c>
      <c r="H13" s="17">
        <f t="shared" si="1"/>
        <v>321001.18898082571</v>
      </c>
      <c r="I13" s="17">
        <f t="shared" si="2"/>
        <v>2935847.3110191743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36.673102552348467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0.2297651940206</v>
      </c>
      <c r="C3" s="98">
        <v>0.95</v>
      </c>
      <c r="D3" s="56">
        <v>44.676188346342542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79.584386436751942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2.387299737651758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14.201250215462901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2.19022E-2</v>
      </c>
      <c r="C11" s="98">
        <v>0.95</v>
      </c>
      <c r="D11" s="56">
        <v>14.201250215462901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2.19022E-2</v>
      </c>
      <c r="C12" s="98">
        <v>0.95</v>
      </c>
      <c r="D12" s="56">
        <v>14.201250215462901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2.19022E-2</v>
      </c>
      <c r="C13" s="98">
        <v>0.95</v>
      </c>
      <c r="D13" s="56">
        <v>14.201250215462901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14.201250215462901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2.19022E-2</v>
      </c>
      <c r="C15" s="98">
        <v>0.95</v>
      </c>
      <c r="D15" s="56">
        <v>14.201250215462901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0.25753549775160939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0.11101765896826001</v>
      </c>
      <c r="C18" s="98">
        <v>0.95</v>
      </c>
      <c r="D18" s="56">
        <v>1.935478791236098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0.96748329999999994</v>
      </c>
      <c r="C19" s="98">
        <v>0.95</v>
      </c>
      <c r="D19" s="56">
        <v>1.935478791236098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0.65150499999999989</v>
      </c>
      <c r="C21" s="98">
        <v>0.95</v>
      </c>
      <c r="D21" s="56">
        <v>21.219202862704289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24.214287028601191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4.6661477823845638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0.84125521627911992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20.50942560811496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0.65971046931085997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64.905462330614313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0.95</v>
      </c>
      <c r="C31" s="98">
        <v>0.95</v>
      </c>
      <c r="D31" s="56">
        <v>1.9667472266035491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0.49558496612235631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0.22507530000000001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0.61705699999999997</v>
      </c>
      <c r="C38" s="98">
        <v>0.95</v>
      </c>
      <c r="D38" s="56">
        <v>3.0501808176615341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AC3D46-03E6-4756-8ADB-E97A152997CE}"/>
</file>

<file path=customXml/itemProps2.xml><?xml version="1.0" encoding="utf-8"?>
<ds:datastoreItem xmlns:ds="http://schemas.openxmlformats.org/officeDocument/2006/customXml" ds:itemID="{2790E6D5-300A-4C68-99D9-99C96A6F8A9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2024-04-11T00:42:08Z</dcterms:modified>
</cp:coreProperties>
</file>