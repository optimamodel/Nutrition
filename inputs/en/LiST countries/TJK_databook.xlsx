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70A175B-5963-4FA8-A517-23E9A3EF384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22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14" i="2"/>
  <c r="A30" i="2"/>
  <c r="A38" i="2"/>
  <c r="A40" i="2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<sst xmlns="http://schemas.openxmlformats.org/spreadsheetml/2006/main" count="2092" uniqueCount="341">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</sst>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245386.13040000011</v>
      </c>
      <c r="C2" s="49">
        <v>459000</v>
      </c>
      <c r="D2" s="49">
        <v>803000</v>
      </c>
      <c r="E2" s="49">
        <v>4235000</v>
      </c>
      <c r="F2" s="49">
        <v>2923000</v>
      </c>
      <c r="G2" s="17">
        <f t="shared" ref="G2:G13" si="0">C2+D2+E2+F2</f>
        <v>8420000</v>
      </c>
      <c r="H2" s="17">
        <f t="shared" ref="H2:H13" si="1">(B2 + stillbirth*B2/(1000-stillbirth))/(1-abortion)</f>
        <v>281417.20894385886</v>
      </c>
      <c r="I2" s="17">
        <f t="shared" ref="I2:I13" si="2">G2-H2</f>
        <v>8138582.7910561413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243491.08</v>
      </c>
      <c r="C3" s="50">
        <v>477000</v>
      </c>
      <c r="D3" s="50">
        <v>802000</v>
      </c>
      <c r="E3" s="50">
        <v>4357000</v>
      </c>
      <c r="F3" s="50">
        <v>3034000</v>
      </c>
      <c r="G3" s="17">
        <f t="shared" si="0"/>
        <v>8670000</v>
      </c>
      <c r="H3" s="17">
        <f t="shared" si="1"/>
        <v>279243.90031591535</v>
      </c>
      <c r="I3" s="17">
        <f t="shared" si="2"/>
        <v>8390756.0996840838</v>
      </c>
    </row>
    <row r="4" spans="1:9" ht="15.75" customHeight="1" x14ac:dyDescent="0.25">
      <c r="A4" s="5">
        <f t="shared" si="3"/>
        <v>2026</v>
      </c>
      <c r="B4" s="49">
        <v>243655.77600000001</v>
      </c>
      <c r="C4" s="50">
        <v>494000</v>
      </c>
      <c r="D4" s="50">
        <v>805000</v>
      </c>
      <c r="E4" s="50">
        <v>4477000</v>
      </c>
      <c r="F4" s="50">
        <v>3145000</v>
      </c>
      <c r="G4" s="17">
        <f t="shared" si="0"/>
        <v>8921000</v>
      </c>
      <c r="H4" s="17">
        <f t="shared" si="1"/>
        <v>279432.77932292636</v>
      </c>
      <c r="I4" s="17">
        <f t="shared" si="2"/>
        <v>8641567.220677074</v>
      </c>
    </row>
    <row r="5" spans="1:9" ht="15.75" customHeight="1" x14ac:dyDescent="0.25">
      <c r="A5" s="5">
        <f t="shared" si="3"/>
        <v>2027</v>
      </c>
      <c r="B5" s="49">
        <v>243651.2292</v>
      </c>
      <c r="C5" s="50">
        <v>512000</v>
      </c>
      <c r="D5" s="50">
        <v>811000</v>
      </c>
      <c r="E5" s="50">
        <v>4598000</v>
      </c>
      <c r="F5" s="50">
        <v>3255000</v>
      </c>
      <c r="G5" s="17">
        <f t="shared" si="0"/>
        <v>9176000</v>
      </c>
      <c r="H5" s="17">
        <f t="shared" si="1"/>
        <v>279427.56489714142</v>
      </c>
      <c r="I5" s="17">
        <f t="shared" si="2"/>
        <v>8896572.4351028576</v>
      </c>
    </row>
    <row r="6" spans="1:9" ht="15.75" customHeight="1" x14ac:dyDescent="0.25">
      <c r="A6" s="5">
        <f t="shared" si="3"/>
        <v>2028</v>
      </c>
      <c r="B6" s="49">
        <v>243479.62239999991</v>
      </c>
      <c r="C6" s="50">
        <v>529000</v>
      </c>
      <c r="D6" s="50">
        <v>820000</v>
      </c>
      <c r="E6" s="50">
        <v>4722000</v>
      </c>
      <c r="F6" s="50">
        <v>3367000</v>
      </c>
      <c r="G6" s="17">
        <f t="shared" si="0"/>
        <v>9438000</v>
      </c>
      <c r="H6" s="17">
        <f t="shared" si="1"/>
        <v>279230.7603482735</v>
      </c>
      <c r="I6" s="17">
        <f t="shared" si="2"/>
        <v>9158769.2396517266</v>
      </c>
    </row>
    <row r="7" spans="1:9" ht="15.75" customHeight="1" x14ac:dyDescent="0.25">
      <c r="A7" s="5">
        <f t="shared" si="3"/>
        <v>2029</v>
      </c>
      <c r="B7" s="49">
        <v>243165.1862</v>
      </c>
      <c r="C7" s="50">
        <v>544000</v>
      </c>
      <c r="D7" s="50">
        <v>835000</v>
      </c>
      <c r="E7" s="50">
        <v>4857000</v>
      </c>
      <c r="F7" s="50">
        <v>3480000</v>
      </c>
      <c r="G7" s="17">
        <f t="shared" si="0"/>
        <v>9716000</v>
      </c>
      <c r="H7" s="17">
        <f t="shared" si="1"/>
        <v>278870.15415732603</v>
      </c>
      <c r="I7" s="17">
        <f t="shared" si="2"/>
        <v>9437129.8458426744</v>
      </c>
    </row>
    <row r="8" spans="1:9" ht="15.75" customHeight="1" x14ac:dyDescent="0.25">
      <c r="A8" s="5">
        <f t="shared" si="3"/>
        <v>2030</v>
      </c>
      <c r="B8" s="49">
        <v>242730.696</v>
      </c>
      <c r="C8" s="50">
        <v>556000</v>
      </c>
      <c r="D8" s="50">
        <v>855000</v>
      </c>
      <c r="E8" s="50">
        <v>5006000</v>
      </c>
      <c r="F8" s="50">
        <v>3596000</v>
      </c>
      <c r="G8" s="17">
        <f t="shared" si="0"/>
        <v>10013000</v>
      </c>
      <c r="H8" s="17">
        <f t="shared" si="1"/>
        <v>278371.86593215965</v>
      </c>
      <c r="I8" s="17">
        <f t="shared" si="2"/>
        <v>9734628.1340678409</v>
      </c>
    </row>
    <row r="9" spans="1:9" ht="15.75" customHeight="1" x14ac:dyDescent="0.25">
      <c r="A9" s="5">
        <f t="shared" si="3"/>
        <v>2031</v>
      </c>
      <c r="B9" s="49">
        <v>242351.34822857141</v>
      </c>
      <c r="C9" s="50">
        <v>569857.14285714284</v>
      </c>
      <c r="D9" s="50">
        <v>862428.57142857148</v>
      </c>
      <c r="E9" s="50">
        <v>5116142.8571428573</v>
      </c>
      <c r="F9" s="50">
        <v>3692142.8571428568</v>
      </c>
      <c r="G9" s="17">
        <f t="shared" si="0"/>
        <v>10240571.428571429</v>
      </c>
      <c r="H9" s="17">
        <f t="shared" si="1"/>
        <v>277936.81693048839</v>
      </c>
      <c r="I9" s="17">
        <f t="shared" si="2"/>
        <v>9962634.6116409414</v>
      </c>
    </row>
    <row r="10" spans="1:9" ht="15.75" customHeight="1" x14ac:dyDescent="0.25">
      <c r="A10" s="5">
        <f t="shared" si="3"/>
        <v>2032</v>
      </c>
      <c r="B10" s="49">
        <v>242188.52940408161</v>
      </c>
      <c r="C10" s="50">
        <v>583122.44897959183</v>
      </c>
      <c r="D10" s="50">
        <v>871061.22448979598</v>
      </c>
      <c r="E10" s="50">
        <v>5224591.8367346944</v>
      </c>
      <c r="F10" s="50">
        <v>3786163.2653061231</v>
      </c>
      <c r="G10" s="17">
        <f t="shared" si="0"/>
        <v>10464938.775510205</v>
      </c>
      <c r="H10" s="17">
        <f t="shared" si="1"/>
        <v>277750.09073257021</v>
      </c>
      <c r="I10" s="17">
        <f t="shared" si="2"/>
        <v>10187188.684777634</v>
      </c>
    </row>
    <row r="11" spans="1:9" ht="15.75" customHeight="1" x14ac:dyDescent="0.25">
      <c r="A11" s="5">
        <f t="shared" si="3"/>
        <v>2033</v>
      </c>
      <c r="B11" s="49">
        <v>241978.92274752181</v>
      </c>
      <c r="C11" s="50">
        <v>595854.22740524786</v>
      </c>
      <c r="D11" s="50">
        <v>880498.54227405251</v>
      </c>
      <c r="E11" s="50">
        <v>5331390.6705539366</v>
      </c>
      <c r="F11" s="50">
        <v>3877758.017492712</v>
      </c>
      <c r="G11" s="17">
        <f t="shared" si="0"/>
        <v>10685501.45772595</v>
      </c>
      <c r="H11" s="17">
        <f t="shared" si="1"/>
        <v>277509.70664823358</v>
      </c>
      <c r="I11" s="17">
        <f t="shared" si="2"/>
        <v>10407991.751077715</v>
      </c>
    </row>
    <row r="12" spans="1:9" ht="15.75" customHeight="1" x14ac:dyDescent="0.25">
      <c r="A12" s="5">
        <f t="shared" si="3"/>
        <v>2034</v>
      </c>
      <c r="B12" s="49">
        <v>241740.02182573921</v>
      </c>
      <c r="C12" s="50">
        <v>607833.40274885471</v>
      </c>
      <c r="D12" s="50">
        <v>890426.90545605996</v>
      </c>
      <c r="E12" s="50">
        <v>5436160.7663473561</v>
      </c>
      <c r="F12" s="50">
        <v>3966723.4485630989</v>
      </c>
      <c r="G12" s="17">
        <f t="shared" si="0"/>
        <v>10901144.52311537</v>
      </c>
      <c r="H12" s="17">
        <f t="shared" si="1"/>
        <v>277235.72689838958</v>
      </c>
      <c r="I12" s="17">
        <f t="shared" si="2"/>
        <v>10623908.796216981</v>
      </c>
    </row>
    <row r="13" spans="1:9" ht="15.75" customHeight="1" x14ac:dyDescent="0.25">
      <c r="A13" s="5">
        <f t="shared" si="3"/>
        <v>2035</v>
      </c>
      <c r="B13" s="49">
        <v>241491.5074579877</v>
      </c>
      <c r="C13" s="50">
        <v>619095.31742726255</v>
      </c>
      <c r="D13" s="50">
        <v>900487.89194978285</v>
      </c>
      <c r="E13" s="50">
        <v>5538183.7329684068</v>
      </c>
      <c r="F13" s="50">
        <v>4052398.2269292562</v>
      </c>
      <c r="G13" s="17">
        <f t="shared" si="0"/>
        <v>11110165.169274708</v>
      </c>
      <c r="H13" s="17">
        <f t="shared" si="1"/>
        <v>276950.7221198348</v>
      </c>
      <c r="I13" s="17">
        <f t="shared" si="2"/>
        <v>10833214.447154874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0.12106331020241</v>
      </c>
      <c r="C2" s="98">
        <v>0.95</v>
      </c>
      <c r="D2" s="56">
        <v>36.673102552348467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44.676188346342542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79.584386436751942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2.2502589665866322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14.201250215462901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14.201250215462901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14.201250215462901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14.201250215462901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14.201250215462901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14.201250215462901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0.2297651940206</v>
      </c>
      <c r="C16" s="98">
        <v>0.95</v>
      </c>
      <c r="D16" s="56">
        <v>0.25753549775160939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1.935478791236098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1.935478791236098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0.52023419999999998</v>
      </c>
      <c r="C21" s="98">
        <v>0.95</v>
      </c>
      <c r="D21" s="56">
        <v>21.219202862704289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2.6733799999999999E-2</v>
      </c>
      <c r="C23" s="98">
        <v>0.95</v>
      </c>
      <c r="D23" s="56">
        <v>4.6661477823845638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0.65971046931085997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0.15522180230475999</v>
      </c>
      <c r="C27" s="98">
        <v>0.95</v>
      </c>
      <c r="D27" s="56">
        <v>20.50942560811496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0.61705699999999997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64.905462330614313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1.9667472266035491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0.31436900000000001</v>
      </c>
      <c r="C32" s="98">
        <v>0.95</v>
      </c>
      <c r="D32" s="56">
        <v>0.49558496612235631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0.96748329999999994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3.0501808176615341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0.22507530000000001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0.88907991791913932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2024-03-28T03:04:45Z</dcterms:modified>
</cp:coreProperties>
</file>