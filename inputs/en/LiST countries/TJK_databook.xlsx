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7EAED173-99A4-467D-87A7-1C694579F3E1}" xr6:coauthVersionLast="47" xr6:coauthVersionMax="47" xr10:uidLastSave="{00000000-0000-0000-0000-000000000000}"/>
  <bookViews>
    <workbookView xWindow="-110" yWindow="-110" windowWidth="19420" windowHeight="10420" tabRatio="961" firstSheet="7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9" i="27" l="1"/>
  <c r="G159" i="27"/>
  <c r="F159" i="27"/>
  <c r="E159" i="27"/>
  <c r="D159" i="27"/>
  <c r="H158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I39" i="2" s="1"/>
  <c r="H38" i="2"/>
  <c r="G38" i="2"/>
  <c r="I38" i="2" s="1"/>
  <c r="A26" i="2"/>
  <c r="A24" i="2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A31" i="2" l="1"/>
  <c r="A34" i="2"/>
  <c r="A40" i="2"/>
  <c r="I2" i="2"/>
  <c r="I6" i="2"/>
  <c r="A19" i="2"/>
  <c r="A35" i="2"/>
  <c r="A22" i="2"/>
  <c r="A36" i="2"/>
  <c r="I3" i="2"/>
  <c r="I7" i="2"/>
  <c r="I11" i="2"/>
  <c r="A23" i="2"/>
  <c r="A37" i="2"/>
  <c r="I4" i="2"/>
  <c r="I8" i="2"/>
  <c r="I12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<sst xmlns="http://schemas.openxmlformats.org/spreadsheetml/2006/main" count="2169" uniqueCount="373">
  <si>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</si>
  <si>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</si>
  <si>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</si>
  <si>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</si>
  <si>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</si>
  <si>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</si>
  <si>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</si>
  <si>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</si>
  <si>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</si>
  <si>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</si>
  <si>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</si>
  <si>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</si>
  <si>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</si>
  <si>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</si>
  <si>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</si>
  <si>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</si>
  <si>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</si>
  <si>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</si>
  <si>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</si>
  <si>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</si>
  <si>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</si>
  <si>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</si>
  <si>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</si>
  <si>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</si>
  <si>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</si>
  <si>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</si>
  <si>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</si>
  <si>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</si>
  <si>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</si>
  <si>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</si>
  <si>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</si>
  <si>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</si>
  <si>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</si>
  <si>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</si>
  <si>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</si>
  <si>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</si>
  <si>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</si>
  <si>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</si>
  <si>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</si>
  <si>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</si>
  <si>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</si>
  <si>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</si>
  <si>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</si>
  <si>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</si>
  <si>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</si>
  <si>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</si>
  <si>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</si>
  <si>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</si>
  <si>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</si>
  <si>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</si>
  <si>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</si>
  <si>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</si>
  <si>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</si>
  <si>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</si>
  <si>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</si>
  <si>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</si>
  <si>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</si>
  <si>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</si>
  <si>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</si>
  <si>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</si>
  <si>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</si>
  <si>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</si>
  <si>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</si>
  <si>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</si>
  <si>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</si>
  <si>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</si>
  <si>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</si>
  <si>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</si>
  <si>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</si>
  <si>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</si>
  <si>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</si>
  <si>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</si>
  <si>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</si>
  <si>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</si>
  <si>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</si>
  <si>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</si>
  <si>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</si>
  <si>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</si>
  <si>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</si>
  <si>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</si>
  <si>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</si>
  <si>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</si>
  <si>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</si>
  <si>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</si>
  <si>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</si>
  <si>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</si>
  <si>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</si>
  <si>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</si>
  <si>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</si>
  <si>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</si>
  <si>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</si>
  <si>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</si>
  <si>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</si>
  <si>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</si>
  <si>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</si>
  <si>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</si>
  <si>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</si>
  <si>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</si>
  <si>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</si>
  <si>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</si>
  <si>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</si>
  <si>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</si>
  <si>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</si>
  <si>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</si>
  <si>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</si>
  <si>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</si>
  <si>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</si>
  <si>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</si>
  <si>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</si>
  <si>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</si>
  <si>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</si>
  <si>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</si>
  <si>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</si>
  <si>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</si>
  <si>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</si>
  <si>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</si>
  <si>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</si>
  <si>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</si>
  <si>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</si>
  <si>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</si>
  <si>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</si>
  <si>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</si>
  <si>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</si>
  <si>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</si>
  <si>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</si>
  <si>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</si>
  <si>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</si>
  <si>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</si>
  <si>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</si>
  <si>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</si>
  <si>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</si>
  <si>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</si>
  <si>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</si>
  <si>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</si>
  <si>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</si>
  <si>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</si>
  <si>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</si>
  <si>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</si>
  <si>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</si>
  <si>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</si>
  <si>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</si>
  <si>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</si>
  <si>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</si>
  <si>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</si>
  <si>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</si>
  <si>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</si>
  <si>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</si>
  <si>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</si>
  <si>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</si>
  <si>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</si>
  <si>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</si>
  <si>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</si>
  <si>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</si>
  <si>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</si>
  <si>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</si>
  <si>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</si>
  <si>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</si>
  <si>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</si>
  <si>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</si>
  <si>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</si>
  <si>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</si>
  <si>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</si>
  <si>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</si>
  <si>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</si>
  <si>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</si>
  <si>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</si>
  <si>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</si>
  <si>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</si>
  <si>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</si>
  <si>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</si>
  <si>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</si>
  <si>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</si>
  <si>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</si>
  <si>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</si>
  <si>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</si>
  <si>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</si>
  <si>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</si>
  <si>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</si>
  <si>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</si>
  <si>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</si>
  <si>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</si>
  <si>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</si>
  <si>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</si>
  <si>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</si>
  <si>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</si>
  <si>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</si>
  <si>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</si>
  <si>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</si>
  <si>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</si>
  <si>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</si>
  <si>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</si>
  <si>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</si>
  <si>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</si>
  <si>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</si>
  <si>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</si>
  <si>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</si>
  <si>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</si>
  <si>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</si>
  <si>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</si>
  <si>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</si>
  <si>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</si>
  <si>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</si>
  <si>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</si>
  <si>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</si>
  <si>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</si>
  <si>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</si>
  <si>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</si>
  <si>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</si>
  <si>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</si>
  <si>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</si>
  <si>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</si>
  <si>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</si>
  <si>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</si>
  <si>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</si>
  <si>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</si>
  <si>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</si>
  <si>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</si>
  <si>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</si>
  <si>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</si>
  <si>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</si>
  <si>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</si>
  <si>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</si>
  <si>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</si>
  <si>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</si>
  <si>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</si>
  <si>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</si>
  <si>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</si>
  <si>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</si>
  <si>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</si>
  <si>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</si>
  <si>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</si>
  <si>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</si>
  <si>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</si>
  <si>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</si>
  <si>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</si>
  <si>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</si>
  <si>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</si>
  <si>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</si>
  <si>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</si>
  <si>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</si>
  <si>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</si>
  <si>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</si>
  <si>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</si>
  <si>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</si>
  <si>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</si>
  <si>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</si>
  <si>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</si>
  <si>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</si>
  <si>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</si>
  <si>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</si>
  <si>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</si>
  <si>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</si>
  <si>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</si>
  <si>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</si>
  <si>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</si>
  <si>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</si>
  <si>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</si>
  <si>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</si>
  <si>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</si>
  <si>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</si>
  <si>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</si>
  <si>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</si>
  <si>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</si>
  <si>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</si>
  <si>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</si>
  <si>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</si>
  <si>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</si>
  <si>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</si>
  <si>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</si>
  <si>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</si>
  <si>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</si>
  <si>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</si>
  <si>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</si>
  <si>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</si>
  <si>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</si>
  <si>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</si>
  <si>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</si>
  <si>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</si>
  <si>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</si>
  <si>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</si>
  <si>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</si>
  <si>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</si>
  <si>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</si>
  <si>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</si>
  <si>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</si>
  <si>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</si>
  <si>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</si>
  <si>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</si>
  <si>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</si>
  <si>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</si>
  <si>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</si>
  <si>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</si>
  <si>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</si>
  <si>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</si>
  <si>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</si>
  <si>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</si>
  <si>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</si>
  <si>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</si>
  <si>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</si>
  <si>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</si>
  <si>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</si>
  <si>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</si>
  <si>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</si>
  <si>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</si>
  <si>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</si>
  <si>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</si>
  <si>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</si>
  <si>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</si>
  <si>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</si>
  <si>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</si>
  <si>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</si>
  <si>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</si>
  <si>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</si>
  <si>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</si>
  <si>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</si>
  <si>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</si>
  <si>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</si>
  <si>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</si>
  <si>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</si>
  <si>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</si>
  <si>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</si>
  <si>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</si>
  <si>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</si>
  <si>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</si>
  <si>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</si>
  <si>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</si>
  <si>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</si>
  <si>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</si>
  <si>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</si>
  <si>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</si>
  <si>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</si>
  <si>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</si>
  <si>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</si>
  <si>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</si>
  <si>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</si>
  <si>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</si>
  <si>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</si>
  <si>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</si>
  <si>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</si>
  <si>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</si>
  <si>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</si>
  <si>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</si>
  <si>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</si>
  <si>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</si>
  <si>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</si>
  <si>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</si>
  <si>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</si>
  <si>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</si>
  <si>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</si>
  <si>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</si>
  <si>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</si>
  <si>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</si>
  <si>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</si>
  <si>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</si>
  <si>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</si>
  <si>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</si>
  <si>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</si>
  <si>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</si>
  <si>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</si>
  <si>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</si>
  <si>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</si>
  <si>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</si>
  <si>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</si>
  <si>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</si>
  <si>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</si>
  <si>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</si>
  <si>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</si>
  <si>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</si>
  <si>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</si>
  <si>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</si>
  <si>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</si>
  <si>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</si>
  <si>
    <t>All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</si>
</sst>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1321887.5</v>
      </c>
    </row>
    <row r="8" spans="1:3" ht="15" customHeight="1" x14ac:dyDescent="0.25">
      <c r="B8" s="5" t="s">
        <v>8</v>
      </c>
      <c r="C8" s="44">
        <v>4.8000000000000001E-2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0.78182266235351605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0.49199999999999999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8.7300000000000003E-2</v>
      </c>
    </row>
    <row r="24" spans="1:3" ht="15" customHeight="1" x14ac:dyDescent="0.25">
      <c r="B24" s="15" t="s">
        <v>22</v>
      </c>
      <c r="C24" s="45">
        <v>0.59660000000000002</v>
      </c>
    </row>
    <row r="25" spans="1:3" ht="15" customHeight="1" x14ac:dyDescent="0.25">
      <c r="B25" s="15" t="s">
        <v>23</v>
      </c>
      <c r="C25" s="45">
        <v>0.28710000000000002</v>
      </c>
    </row>
    <row r="26" spans="1:3" ht="15" customHeight="1" x14ac:dyDescent="0.25">
      <c r="B26" s="15" t="s">
        <v>24</v>
      </c>
      <c r="C26" s="45">
        <v>2.9000000000000001E-2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0.32097876330389902</v>
      </c>
    </row>
    <row r="30" spans="1:3" ht="14.25" customHeight="1" x14ac:dyDescent="0.25">
      <c r="B30" s="25" t="s">
        <v>27</v>
      </c>
      <c r="C30" s="97">
        <v>0.11435649369624799</v>
      </c>
    </row>
    <row r="31" spans="1:3" ht="14.25" customHeight="1" x14ac:dyDescent="0.25">
      <c r="B31" s="25" t="s">
        <v>28</v>
      </c>
      <c r="C31" s="97">
        <v>0.128931423055959</v>
      </c>
    </row>
    <row r="32" spans="1:3" ht="14.25" customHeight="1" x14ac:dyDescent="0.25">
      <c r="B32" s="25" t="s">
        <v>29</v>
      </c>
      <c r="C32" s="97">
        <v>0.43573331994389503</v>
      </c>
    </row>
    <row r="33" spans="1:5" ht="13.25" customHeight="1" x14ac:dyDescent="0.25">
      <c r="B33" s="27" t="s">
        <v>30</v>
      </c>
      <c r="C33" s="48">
        <f>SUM(C29:C32)</f>
        <v>1.0000000000000011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13.569990000000001</v>
      </c>
    </row>
    <row r="38" spans="1:5" ht="15" customHeight="1" x14ac:dyDescent="0.25">
      <c r="B38" s="11" t="s">
        <v>34</v>
      </c>
      <c r="C38" s="43">
        <v>27.63936</v>
      </c>
      <c r="D38" s="12"/>
      <c r="E38" s="13"/>
    </row>
    <row r="39" spans="1:5" ht="15" customHeight="1" x14ac:dyDescent="0.25">
      <c r="B39" s="11" t="s">
        <v>35</v>
      </c>
      <c r="C39" s="43">
        <v>31.419</v>
      </c>
      <c r="D39" s="12"/>
      <c r="E39" s="12"/>
    </row>
    <row r="40" spans="1:5" ht="15" customHeight="1" x14ac:dyDescent="0.25">
      <c r="B40" s="11" t="s">
        <v>36</v>
      </c>
      <c r="C40" s="98">
        <v>0.17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9.1299799999999998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5.9144999999999996E-3</v>
      </c>
      <c r="D45" s="12"/>
    </row>
    <row r="46" spans="1:5" ht="15.75" customHeight="1" x14ac:dyDescent="0.25">
      <c r="B46" s="11" t="s">
        <v>41</v>
      </c>
      <c r="C46" s="45">
        <v>6.3550899999999994E-2</v>
      </c>
      <c r="D46" s="12"/>
    </row>
    <row r="47" spans="1:5" ht="15.75" customHeight="1" x14ac:dyDescent="0.25">
      <c r="B47" s="11" t="s">
        <v>42</v>
      </c>
      <c r="C47" s="45">
        <v>7.5376799999999994E-2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98">
        <v>2.8</v>
      </c>
      <c r="D51" s="12"/>
    </row>
    <row r="52" spans="1:4" ht="15" customHeight="1" x14ac:dyDescent="0.25">
      <c r="B52" s="11" t="s">
        <v>46</v>
      </c>
      <c r="C52" s="98">
        <v>2.8</v>
      </c>
    </row>
    <row r="53" spans="1:4" ht="15.75" customHeight="1" x14ac:dyDescent="0.25">
      <c r="B53" s="11" t="s">
        <v>47</v>
      </c>
      <c r="C53" s="98">
        <v>2.8</v>
      </c>
    </row>
    <row r="54" spans="1:4" ht="15.75" customHeight="1" x14ac:dyDescent="0.25">
      <c r="B54" s="11" t="s">
        <v>48</v>
      </c>
      <c r="C54" s="98">
        <v>2.8</v>
      </c>
    </row>
    <row r="55" spans="1:4" ht="15.75" customHeight="1" x14ac:dyDescent="0.25">
      <c r="B55" s="11" t="s">
        <v>49</v>
      </c>
      <c r="C55" s="98">
        <v>2.8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1.6428571428571431E-2</v>
      </c>
    </row>
    <row r="59" spans="1:4" ht="15.75" customHeight="1" x14ac:dyDescent="0.25">
      <c r="B59" s="11" t="s">
        <v>52</v>
      </c>
      <c r="C59" s="45">
        <v>0.58725400000000005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5.6252946999999998E-2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268304</v>
      </c>
      <c r="C2" s="49">
        <v>471600</v>
      </c>
      <c r="D2" s="49">
        <v>901846.5</v>
      </c>
      <c r="E2" s="49">
        <v>802883</v>
      </c>
      <c r="F2" s="49">
        <v>528153.5</v>
      </c>
      <c r="G2" s="17">
        <f t="shared" ref="G2:G13" si="0">C2+D2+E2+F2</f>
        <v>2704483</v>
      </c>
      <c r="H2" s="17">
        <f t="shared" ref="H2:H13" si="1">(B2 + stillbirth*B2/(1000-stillbirth))/(1-abortion)</f>
        <v>307700.20581600507</v>
      </c>
      <c r="I2" s="17">
        <f t="shared" ref="I2:I13" si="2">G2-H2</f>
        <v>2396782.7941839951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264517</v>
      </c>
      <c r="C3" s="50">
        <v>495339.5</v>
      </c>
      <c r="D3" s="50">
        <v>899718</v>
      </c>
      <c r="E3" s="50">
        <v>816801.5</v>
      </c>
      <c r="F3" s="50">
        <v>550964</v>
      </c>
      <c r="G3" s="17">
        <f t="shared" si="0"/>
        <v>2762823</v>
      </c>
      <c r="H3" s="17">
        <f t="shared" si="1"/>
        <v>303357.14466363611</v>
      </c>
      <c r="I3" s="17">
        <f t="shared" si="2"/>
        <v>2459465.8553363639</v>
      </c>
    </row>
    <row r="4" spans="1:9" ht="15.75" customHeight="1" x14ac:dyDescent="0.25">
      <c r="A4" s="5">
        <f t="shared" si="3"/>
        <v>2026</v>
      </c>
      <c r="B4" s="49">
        <v>261678.99999999997</v>
      </c>
      <c r="C4" s="50">
        <v>521383.00000000006</v>
      </c>
      <c r="D4" s="50">
        <v>897496.5</v>
      </c>
      <c r="E4" s="50">
        <v>827544.5</v>
      </c>
      <c r="F4" s="50">
        <v>576904</v>
      </c>
      <c r="G4" s="17">
        <f t="shared" si="0"/>
        <v>2823328</v>
      </c>
      <c r="H4" s="17">
        <f t="shared" si="1"/>
        <v>300102.42917633132</v>
      </c>
      <c r="I4" s="17">
        <f t="shared" si="2"/>
        <v>2523225.5708236685</v>
      </c>
    </row>
    <row r="5" spans="1:9" ht="15.75" customHeight="1" x14ac:dyDescent="0.25">
      <c r="A5" s="5">
        <f t="shared" si="3"/>
        <v>2027</v>
      </c>
      <c r="B5" s="49">
        <v>259844</v>
      </c>
      <c r="C5" s="50">
        <v>546024</v>
      </c>
      <c r="D5" s="50">
        <v>895833.00000000012</v>
      </c>
      <c r="E5" s="50">
        <v>836319.99999999988</v>
      </c>
      <c r="F5" s="50">
        <v>605101.5</v>
      </c>
      <c r="G5" s="17">
        <f t="shared" si="0"/>
        <v>2883278.5</v>
      </c>
      <c r="H5" s="17">
        <f t="shared" si="1"/>
        <v>297997.98840141791</v>
      </c>
      <c r="I5" s="17">
        <f t="shared" si="2"/>
        <v>2585280.5115985819</v>
      </c>
    </row>
    <row r="6" spans="1:9" ht="15.75" customHeight="1" x14ac:dyDescent="0.25">
      <c r="A6" s="5">
        <f t="shared" si="3"/>
        <v>2028</v>
      </c>
      <c r="B6" s="49">
        <v>259743</v>
      </c>
      <c r="C6" s="50">
        <v>570127.5</v>
      </c>
      <c r="D6" s="50">
        <v>897796.49999999988</v>
      </c>
      <c r="E6" s="50">
        <v>844879.5</v>
      </c>
      <c r="F6" s="50">
        <v>634403</v>
      </c>
      <c r="G6" s="17">
        <f t="shared" si="0"/>
        <v>2947206.5</v>
      </c>
      <c r="H6" s="17">
        <f t="shared" si="1"/>
        <v>297882.15814623196</v>
      </c>
      <c r="I6" s="17">
        <f t="shared" si="2"/>
        <v>2649324.3418537681</v>
      </c>
    </row>
    <row r="7" spans="1:9" ht="15.75" customHeight="1" x14ac:dyDescent="0.25">
      <c r="A7" s="5">
        <f t="shared" si="3"/>
        <v>2029</v>
      </c>
      <c r="B7" s="49">
        <v>260994.00000000003</v>
      </c>
      <c r="C7" s="50">
        <v>594043.5</v>
      </c>
      <c r="D7" s="50">
        <v>905377.5</v>
      </c>
      <c r="E7" s="50">
        <v>853979.49999999988</v>
      </c>
      <c r="F7" s="50">
        <v>663761.50000000012</v>
      </c>
      <c r="G7" s="17">
        <f t="shared" si="0"/>
        <v>3017162</v>
      </c>
      <c r="H7" s="17">
        <f t="shared" si="1"/>
        <v>299316.84774264431</v>
      </c>
      <c r="I7" s="17">
        <f t="shared" si="2"/>
        <v>2717845.1522573559</v>
      </c>
    </row>
    <row r="8" spans="1:9" ht="15.75" customHeight="1" x14ac:dyDescent="0.25">
      <c r="A8" s="5">
        <f t="shared" si="3"/>
        <v>2030</v>
      </c>
      <c r="B8" s="49">
        <v>263946</v>
      </c>
      <c r="C8" s="50">
        <v>616303</v>
      </c>
      <c r="D8" s="50">
        <v>920266.5</v>
      </c>
      <c r="E8" s="50">
        <v>862162</v>
      </c>
      <c r="F8" s="50">
        <v>692134</v>
      </c>
      <c r="G8" s="17">
        <f t="shared" si="0"/>
        <v>3090865.5</v>
      </c>
      <c r="H8" s="17">
        <f t="shared" si="1"/>
        <v>302702.30232986197</v>
      </c>
      <c r="I8" s="17">
        <f t="shared" si="2"/>
        <v>2788163.197670138</v>
      </c>
    </row>
    <row r="9" spans="1:9" ht="15.75" customHeight="1" x14ac:dyDescent="0.25">
      <c r="A9" s="5">
        <f t="shared" si="3"/>
        <v>2031</v>
      </c>
      <c r="B9" s="49">
        <v>267854</v>
      </c>
      <c r="C9" s="50">
        <v>633503.5</v>
      </c>
      <c r="D9" s="50">
        <v>939671.5</v>
      </c>
      <c r="E9" s="50">
        <v>868059</v>
      </c>
      <c r="F9" s="50">
        <v>718408</v>
      </c>
      <c r="G9" s="17">
        <f t="shared" si="0"/>
        <v>3159642</v>
      </c>
      <c r="H9" s="17">
        <f t="shared" si="1"/>
        <v>307184.13042161218</v>
      </c>
      <c r="I9" s="17">
        <f t="shared" si="2"/>
        <v>2852457.8695783876</v>
      </c>
    </row>
    <row r="10" spans="1:9" ht="15.75" customHeight="1" x14ac:dyDescent="0.25">
      <c r="A10" s="5">
        <f t="shared" si="3"/>
        <v>2032</v>
      </c>
      <c r="B10" s="49">
        <v>272195</v>
      </c>
      <c r="C10" s="50">
        <v>644187</v>
      </c>
      <c r="D10" s="50">
        <v>962490</v>
      </c>
      <c r="E10" s="50">
        <v>871231</v>
      </c>
      <c r="F10" s="50">
        <v>741777</v>
      </c>
      <c r="G10" s="17">
        <f t="shared" si="0"/>
        <v>3219685</v>
      </c>
      <c r="H10" s="17">
        <f t="shared" si="1"/>
        <v>312162.53772618936</v>
      </c>
      <c r="I10" s="17">
        <f t="shared" si="2"/>
        <v>2907522.4622738105</v>
      </c>
    </row>
    <row r="11" spans="1:9" ht="15.75" customHeight="1" x14ac:dyDescent="0.25">
      <c r="A11" s="5">
        <f t="shared" si="3"/>
        <v>2033</v>
      </c>
      <c r="B11" s="49">
        <v>277329</v>
      </c>
      <c r="C11" s="50">
        <v>648162.5</v>
      </c>
      <c r="D11" s="50">
        <v>993839</v>
      </c>
      <c r="E11" s="50">
        <v>871099.5</v>
      </c>
      <c r="F11" s="50">
        <v>762075.49999999988</v>
      </c>
      <c r="G11" s="17">
        <f t="shared" si="0"/>
        <v>3275176.5</v>
      </c>
      <c r="H11" s="17">
        <f t="shared" si="1"/>
        <v>318050.38455910789</v>
      </c>
      <c r="I11" s="17">
        <f t="shared" si="2"/>
        <v>2957126.1154408921</v>
      </c>
    </row>
    <row r="12" spans="1:9" ht="15.75" customHeight="1" x14ac:dyDescent="0.25">
      <c r="A12" s="5">
        <f t="shared" si="3"/>
        <v>2034</v>
      </c>
      <c r="B12" s="49">
        <v>282783</v>
      </c>
      <c r="C12" s="50">
        <v>645714</v>
      </c>
      <c r="D12" s="50">
        <v>1033837.5000000001</v>
      </c>
      <c r="E12" s="50">
        <v>869105.5</v>
      </c>
      <c r="F12" s="50">
        <v>779285.5</v>
      </c>
      <c r="G12" s="17">
        <f t="shared" si="0"/>
        <v>3327942.5</v>
      </c>
      <c r="H12" s="17">
        <f t="shared" si="1"/>
        <v>324305.21833915025</v>
      </c>
      <c r="I12" s="17">
        <f t="shared" si="2"/>
        <v>3003637.2816608497</v>
      </c>
    </row>
    <row r="13" spans="1:9" ht="15.75" customHeight="1" x14ac:dyDescent="0.25">
      <c r="A13" s="5">
        <f t="shared" si="3"/>
        <v>2035</v>
      </c>
      <c r="B13" s="49">
        <v>288093</v>
      </c>
      <c r="C13" s="50">
        <v>638177</v>
      </c>
      <c r="D13" s="50">
        <v>1079338.5</v>
      </c>
      <c r="E13" s="50">
        <v>867130.5</v>
      </c>
      <c r="F13" s="50">
        <v>793195.99999999988</v>
      </c>
      <c r="G13" s="17">
        <f t="shared" si="0"/>
        <v>3377842</v>
      </c>
      <c r="H13" s="17">
        <f t="shared" si="1"/>
        <v>330394.9079929869</v>
      </c>
      <c r="I13" s="17">
        <f t="shared" si="2"/>
        <v>3047447.092007013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3.0741955489755001E-3</v>
      </c>
    </row>
    <row r="4" spans="1:8" ht="15.75" customHeight="1" x14ac:dyDescent="0.25">
      <c r="B4" s="19" t="s">
        <v>69</v>
      </c>
      <c r="C4" s="99">
        <v>4.5714087306233192E-2</v>
      </c>
    </row>
    <row r="5" spans="1:8" ht="15.75" customHeight="1" x14ac:dyDescent="0.25">
      <c r="B5" s="19" t="s">
        <v>70</v>
      </c>
      <c r="C5" s="99">
        <v>6.2934905662831719E-2</v>
      </c>
    </row>
    <row r="6" spans="1:8" ht="15.75" customHeight="1" x14ac:dyDescent="0.25">
      <c r="B6" s="19" t="s">
        <v>71</v>
      </c>
      <c r="C6" s="99">
        <v>0.20706367546229029</v>
      </c>
    </row>
    <row r="7" spans="1:8" ht="15.75" customHeight="1" x14ac:dyDescent="0.25">
      <c r="B7" s="19" t="s">
        <v>72</v>
      </c>
      <c r="C7" s="99">
        <v>0.45319363919792882</v>
      </c>
    </row>
    <row r="8" spans="1:8" ht="15.75" customHeight="1" x14ac:dyDescent="0.25">
      <c r="B8" s="19" t="s">
        <v>73</v>
      </c>
      <c r="C8" s="99">
        <v>3.9374278179925862E-4</v>
      </c>
    </row>
    <row r="9" spans="1:8" ht="15.75" customHeight="1" x14ac:dyDescent="0.25">
      <c r="B9" s="19" t="s">
        <v>74</v>
      </c>
      <c r="C9" s="99">
        <v>0.12922187821010439</v>
      </c>
    </row>
    <row r="10" spans="1:8" ht="15.75" customHeight="1" x14ac:dyDescent="0.25">
      <c r="B10" s="19" t="s">
        <v>75</v>
      </c>
      <c r="C10" s="99">
        <v>9.8403875829836771E-2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0" t="s">
        <v>77</v>
      </c>
      <c r="D13" s="100" t="s">
        <v>78</v>
      </c>
      <c r="E13" s="100" t="s">
        <v>79</v>
      </c>
      <c r="F13" s="100" t="s">
        <v>80</v>
      </c>
      <c r="G13" s="19"/>
    </row>
    <row r="14" spans="1:8" ht="15.75" customHeight="1" x14ac:dyDescent="0.25">
      <c r="B14" s="19" t="s">
        <v>81</v>
      </c>
      <c r="C14" s="55">
        <v>0.1633072076199294</v>
      </c>
      <c r="D14" s="55">
        <v>0.1633072076199294</v>
      </c>
      <c r="E14" s="55">
        <v>0.1633072076199294</v>
      </c>
      <c r="F14" s="55">
        <v>0.1633072076199294</v>
      </c>
    </row>
    <row r="15" spans="1:8" ht="15.75" customHeight="1" x14ac:dyDescent="0.25">
      <c r="B15" s="19" t="s">
        <v>82</v>
      </c>
      <c r="C15" s="99">
        <v>0.40822241936014758</v>
      </c>
      <c r="D15" s="99">
        <v>0.40822241936014758</v>
      </c>
      <c r="E15" s="99">
        <v>0.40822241936014758</v>
      </c>
      <c r="F15" s="99">
        <v>0.40822241936014758</v>
      </c>
    </row>
    <row r="16" spans="1:8" ht="15.75" customHeight="1" x14ac:dyDescent="0.25">
      <c r="B16" s="19" t="s">
        <v>83</v>
      </c>
      <c r="C16" s="99">
        <v>2.46705865376926E-2</v>
      </c>
      <c r="D16" s="99">
        <v>2.46705865376926E-2</v>
      </c>
      <c r="E16" s="99">
        <v>2.46705865376926E-2</v>
      </c>
      <c r="F16" s="99">
        <v>2.46705865376926E-2</v>
      </c>
    </row>
    <row r="17" spans="1:8" ht="15.75" customHeight="1" x14ac:dyDescent="0.25">
      <c r="B17" s="19" t="s">
        <v>84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85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86</v>
      </c>
      <c r="C19" s="99">
        <v>9.4156144041897885E-3</v>
      </c>
      <c r="D19" s="99">
        <v>9.4156144041897885E-3</v>
      </c>
      <c r="E19" s="99">
        <v>9.4156144041897885E-3</v>
      </c>
      <c r="F19" s="99">
        <v>9.4156144041897885E-3</v>
      </c>
    </row>
    <row r="20" spans="1:8" ht="15.75" customHeight="1" x14ac:dyDescent="0.25">
      <c r="B20" s="19" t="s">
        <v>87</v>
      </c>
      <c r="C20" s="99">
        <v>1.6199682475618121E-2</v>
      </c>
      <c r="D20" s="99">
        <v>1.6199682475618121E-2</v>
      </c>
      <c r="E20" s="99">
        <v>1.6199682475618121E-2</v>
      </c>
      <c r="F20" s="99">
        <v>1.6199682475618121E-2</v>
      </c>
    </row>
    <row r="21" spans="1:8" ht="15.75" customHeight="1" x14ac:dyDescent="0.25">
      <c r="B21" s="19" t="s">
        <v>88</v>
      </c>
      <c r="C21" s="99">
        <v>0.20382368632032299</v>
      </c>
      <c r="D21" s="99">
        <v>0.20382368632032299</v>
      </c>
      <c r="E21" s="99">
        <v>0.20382368632032299</v>
      </c>
      <c r="F21" s="99">
        <v>0.20382368632032299</v>
      </c>
    </row>
    <row r="22" spans="1:8" ht="15.75" customHeight="1" x14ac:dyDescent="0.25">
      <c r="B22" s="19" t="s">
        <v>89</v>
      </c>
      <c r="C22" s="99">
        <v>0.17436080328209949</v>
      </c>
      <c r="D22" s="99">
        <v>0.17436080328209949</v>
      </c>
      <c r="E22" s="99">
        <v>0.17436080328209949</v>
      </c>
      <c r="F22" s="99">
        <v>0.17436080328209949</v>
      </c>
    </row>
    <row r="23" spans="1:8" ht="15.75" customHeight="1" x14ac:dyDescent="0.25">
      <c r="B23" s="27" t="s">
        <v>30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5.4573182999999997E-2</v>
      </c>
    </row>
    <row r="27" spans="1:8" ht="15.75" customHeight="1" x14ac:dyDescent="0.25">
      <c r="B27" s="19" t="s">
        <v>92</v>
      </c>
      <c r="C27" s="99">
        <v>5.9409878999999999E-2</v>
      </c>
    </row>
    <row r="28" spans="1:8" ht="15.75" customHeight="1" x14ac:dyDescent="0.25">
      <c r="B28" s="19" t="s">
        <v>93</v>
      </c>
      <c r="C28" s="99">
        <v>0.12098242100000001</v>
      </c>
    </row>
    <row r="29" spans="1:8" ht="15.75" customHeight="1" x14ac:dyDescent="0.25">
      <c r="B29" s="19" t="s">
        <v>94</v>
      </c>
      <c r="C29" s="99">
        <v>0.13495797500000001</v>
      </c>
    </row>
    <row r="30" spans="1:8" ht="15.75" customHeight="1" x14ac:dyDescent="0.25">
      <c r="B30" s="19" t="s">
        <v>95</v>
      </c>
      <c r="C30" s="99">
        <v>8.1454253000000018E-2</v>
      </c>
    </row>
    <row r="31" spans="1:8" ht="15.75" customHeight="1" x14ac:dyDescent="0.25">
      <c r="B31" s="19" t="s">
        <v>96</v>
      </c>
      <c r="C31" s="99">
        <v>6.5903797E-2</v>
      </c>
    </row>
    <row r="32" spans="1:8" ht="15.75" customHeight="1" x14ac:dyDescent="0.25">
      <c r="B32" s="19" t="s">
        <v>97</v>
      </c>
      <c r="C32" s="99">
        <v>0.13216685</v>
      </c>
    </row>
    <row r="33" spans="2:3" ht="15.75" customHeight="1" x14ac:dyDescent="0.25">
      <c r="B33" s="19" t="s">
        <v>98</v>
      </c>
      <c r="C33" s="99">
        <v>0.12743632599999999</v>
      </c>
    </row>
    <row r="34" spans="2:3" ht="15.75" customHeight="1" x14ac:dyDescent="0.25">
      <c r="B34" s="19" t="s">
        <v>99</v>
      </c>
      <c r="C34" s="99">
        <v>0.22311531600000001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0.69269518779269001</v>
      </c>
      <c r="D2" s="52">
        <f>IFERROR(1-_xlfn.NORM.DIST(_xlfn.NORM.INV(SUM(D4:D5), 0, 1) + 1, 0, 1, TRUE), "")</f>
        <v>0.69269518779269001</v>
      </c>
      <c r="E2" s="52">
        <f>IFERROR(1-_xlfn.NORM.DIST(_xlfn.NORM.INV(SUM(E4:E5), 0, 1) + 1, 0, 1, TRUE), "")</f>
        <v>0.68353608890151563</v>
      </c>
      <c r="F2" s="52">
        <f>IFERROR(1-_xlfn.NORM.DIST(_xlfn.NORM.INV(SUM(F4:F5), 0, 1) + 1, 0, 1, TRUE), "")</f>
        <v>0.47013527764712237</v>
      </c>
      <c r="G2" s="52">
        <f>IFERROR(1-_xlfn.NORM.DIST(_xlfn.NORM.INV(SUM(G4:G5), 0, 1) + 1, 0, 1, TRUE), "")</f>
        <v>0.42555735724829358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0.24095031220731</v>
      </c>
      <c r="D3" s="52">
        <f>IFERROR(_xlfn.NORM.DIST(_xlfn.NORM.INV(SUM(D4:D5), 0, 1) + 1, 0, 1, TRUE) - SUM(D4:D5), "")</f>
        <v>0.24095031220731</v>
      </c>
      <c r="E3" s="52">
        <f>IFERROR(_xlfn.NORM.DIST(_xlfn.NORM.INV(SUM(E4:E5), 0, 1) + 1, 0, 1, TRUE) - SUM(E4:E5), "")</f>
        <v>0.24670781109848439</v>
      </c>
      <c r="F3" s="52">
        <f>IFERROR(_xlfn.NORM.DIST(_xlfn.NORM.INV(SUM(F4:F5), 0, 1) + 1, 0, 1, TRUE) - SUM(F4:F5), "")</f>
        <v>0.3524000223528776</v>
      </c>
      <c r="G3" s="52">
        <f>IFERROR(_xlfn.NORM.DIST(_xlfn.NORM.INV(SUM(G4:G5), 0, 1) + 1, 0, 1, TRUE) - SUM(G4:G5), "")</f>
        <v>0.36613394275170641</v>
      </c>
    </row>
    <row r="4" spans="1:15" ht="15.75" customHeight="1" x14ac:dyDescent="0.25">
      <c r="B4" s="5" t="s">
        <v>104</v>
      </c>
      <c r="C4" s="45">
        <v>5.35565E-2</v>
      </c>
      <c r="D4" s="53">
        <v>5.35565E-2</v>
      </c>
      <c r="E4" s="53">
        <v>5.1997099999999997E-2</v>
      </c>
      <c r="F4" s="53">
        <v>0.1270577</v>
      </c>
      <c r="G4" s="53">
        <v>0.15624679999999999</v>
      </c>
    </row>
    <row r="5" spans="1:15" ht="15.75" customHeight="1" x14ac:dyDescent="0.25">
      <c r="B5" s="5" t="s">
        <v>105</v>
      </c>
      <c r="C5" s="45">
        <v>1.2798E-2</v>
      </c>
      <c r="D5" s="53">
        <v>1.2798E-2</v>
      </c>
      <c r="E5" s="53">
        <v>1.7759E-2</v>
      </c>
      <c r="F5" s="53">
        <v>5.0407E-2</v>
      </c>
      <c r="G5" s="53">
        <v>5.2061900000000001E-2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0.53697548759743674</v>
      </c>
      <c r="D8" s="52">
        <f>IFERROR(1-_xlfn.NORM.DIST(_xlfn.NORM.INV(SUM(D10:D11), 0, 1) + 1, 0, 1, TRUE), "")</f>
        <v>0.53697548759743674</v>
      </c>
      <c r="E8" s="52">
        <f>IFERROR(1-_xlfn.NORM.DIST(_xlfn.NORM.INV(SUM(E10:E11), 0, 1) + 1, 0, 1, TRUE), "")</f>
        <v>0.60945313934775447</v>
      </c>
      <c r="F8" s="52">
        <f>IFERROR(1-_xlfn.NORM.DIST(_xlfn.NORM.INV(SUM(F10:F11), 0, 1) + 1, 0, 1, TRUE), "")</f>
        <v>0.67786541738420714</v>
      </c>
      <c r="G8" s="52">
        <f>IFERROR(1-_xlfn.NORM.DIST(_xlfn.NORM.INV(SUM(G10:G11), 0, 1) + 1, 0, 1, TRUE), "")</f>
        <v>0.81277360377809094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0.32578741240256326</v>
      </c>
      <c r="D9" s="52">
        <f>IFERROR(_xlfn.NORM.DIST(_xlfn.NORM.INV(SUM(D10:D11), 0, 1) + 1, 0, 1, TRUE) - SUM(D10:D11), "")</f>
        <v>0.32578741240256326</v>
      </c>
      <c r="E9" s="52">
        <f>IFERROR(_xlfn.NORM.DIST(_xlfn.NORM.INV(SUM(E10:E11), 0, 1) + 1, 0, 1, TRUE) - SUM(E10:E11), "")</f>
        <v>0.28990346065224554</v>
      </c>
      <c r="F9" s="52">
        <f>IFERROR(_xlfn.NORM.DIST(_xlfn.NORM.INV(SUM(F10:F11), 0, 1) + 1, 0, 1, TRUE) - SUM(F10:F11), "")</f>
        <v>0.25022808261579293</v>
      </c>
      <c r="G9" s="52">
        <f>IFERROR(_xlfn.NORM.DIST(_xlfn.NORM.INV(SUM(G10:G11), 0, 1) + 1, 0, 1, TRUE) - SUM(G10:G11), "")</f>
        <v>0.15772439622190906</v>
      </c>
    </row>
    <row r="10" spans="1:15" ht="15.75" customHeight="1" x14ac:dyDescent="0.25">
      <c r="B10" s="5" t="s">
        <v>109</v>
      </c>
      <c r="C10" s="45">
        <v>8.0079399999999995E-2</v>
      </c>
      <c r="D10" s="53">
        <v>8.0079399999999995E-2</v>
      </c>
      <c r="E10" s="53">
        <v>6.7815399999999998E-2</v>
      </c>
      <c r="F10" s="53">
        <v>5.0678099999999997E-2</v>
      </c>
      <c r="G10" s="53">
        <v>2.08116E-2</v>
      </c>
    </row>
    <row r="11" spans="1:15" ht="15.75" customHeight="1" x14ac:dyDescent="0.25">
      <c r="B11" s="5" t="s">
        <v>110</v>
      </c>
      <c r="C11" s="45">
        <v>5.7157699999999999E-2</v>
      </c>
      <c r="D11" s="53">
        <v>5.7157699999999999E-2</v>
      </c>
      <c r="E11" s="53">
        <v>3.2828000000000003E-2</v>
      </c>
      <c r="F11" s="53">
        <v>2.1228400000000001E-2</v>
      </c>
      <c r="G11" s="53">
        <v>8.6904000000000009E-3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0.50674149000000002</v>
      </c>
      <c r="D14" s="54">
        <v>0.482549529468</v>
      </c>
      <c r="E14" s="54">
        <v>0.482549529468</v>
      </c>
      <c r="F14" s="54">
        <v>0.36602033348399998</v>
      </c>
      <c r="G14" s="54">
        <v>0.36602033348399998</v>
      </c>
      <c r="H14" s="45">
        <v>0.33500000000000002</v>
      </c>
      <c r="I14" s="55">
        <v>0.33500000000000002</v>
      </c>
      <c r="J14" s="55">
        <v>0.33500000000000002</v>
      </c>
      <c r="K14" s="55">
        <v>0.33500000000000002</v>
      </c>
      <c r="L14" s="45">
        <v>0.30299999999999999</v>
      </c>
      <c r="M14" s="55">
        <v>0.30299999999999999</v>
      </c>
      <c r="N14" s="55">
        <v>0.30299999999999999</v>
      </c>
      <c r="O14" s="55">
        <v>0.30299999999999999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0.29758596696846001</v>
      </c>
      <c r="D15" s="52">
        <f t="shared" si="0"/>
        <v>0.28337914137820092</v>
      </c>
      <c r="E15" s="52">
        <f t="shared" si="0"/>
        <v>0.28337914137820092</v>
      </c>
      <c r="F15" s="52">
        <f t="shared" si="0"/>
        <v>0.21494690491981294</v>
      </c>
      <c r="G15" s="52">
        <f t="shared" si="0"/>
        <v>0.21494690491981294</v>
      </c>
      <c r="H15" s="52">
        <f t="shared" si="0"/>
        <v>0.19673009000000002</v>
      </c>
      <c r="I15" s="52">
        <f t="shared" si="0"/>
        <v>0.19673009000000002</v>
      </c>
      <c r="J15" s="52">
        <f t="shared" si="0"/>
        <v>0.19673009000000002</v>
      </c>
      <c r="K15" s="52">
        <f t="shared" si="0"/>
        <v>0.19673009000000002</v>
      </c>
      <c r="L15" s="52">
        <f t="shared" si="0"/>
        <v>0.17793796200000001</v>
      </c>
      <c r="M15" s="52">
        <f t="shared" si="0"/>
        <v>0.17793796200000001</v>
      </c>
      <c r="N15" s="52">
        <f t="shared" si="0"/>
        <v>0.17793796200000001</v>
      </c>
      <c r="O15" s="52">
        <f t="shared" si="0"/>
        <v>0.17793796200000001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0.55160949999999997</v>
      </c>
      <c r="D2" s="53">
        <v>0.31436900000000001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0.26624439999999999</v>
      </c>
      <c r="D3" s="53">
        <v>0.36587259999999999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0.12542239999999999</v>
      </c>
      <c r="D4" s="53">
        <v>0.27279639999999999</v>
      </c>
      <c r="E4" s="53">
        <v>0.90193730000000005</v>
      </c>
      <c r="F4" s="53">
        <v>0.57143710000000003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5.6723700000000044E-2</v>
      </c>
      <c r="D5" s="52">
        <f t="shared" si="0"/>
        <v>4.6961999999999948E-2</v>
      </c>
      <c r="E5" s="52">
        <f>1-SUM(E2:E4)</f>
        <v>9.8062699999999947E-2</v>
      </c>
      <c r="F5" s="52">
        <f>1-SUM(F2:F4)</f>
        <v>0.42856289999999997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334</v>
      </c>
      <c r="B1" s="103" t="s">
        <v>335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336</v>
      </c>
      <c r="B2" s="107">
        <v>1054.1894835881801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337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338</v>
      </c>
      <c r="B4" s="108">
        <v>0.17865999999999999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339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340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341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342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343</v>
      </c>
      <c r="B9" s="108">
        <v>0.32600000000000001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344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345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346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347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348</v>
      </c>
      <c r="B14" s="110">
        <v>8.1272193839505378E-3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349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350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351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352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353</v>
      </c>
      <c r="B21" s="106" t="s">
        <v>354</v>
      </c>
      <c r="C21" s="106" t="s">
        <v>355</v>
      </c>
      <c r="D21" s="106" t="s">
        <v>356</v>
      </c>
      <c r="E21" s="106" t="s">
        <v>357</v>
      </c>
      <c r="F21" s="106" t="s">
        <v>358</v>
      </c>
      <c r="G21" s="106" t="s">
        <v>359</v>
      </c>
      <c r="H21" s="106" t="s">
        <v>360</v>
      </c>
      <c r="I21" s="106" t="s">
        <v>361</v>
      </c>
      <c r="J21" s="106" t="s">
        <v>362</v>
      </c>
      <c r="K21" s="106" t="s">
        <v>363</v>
      </c>
      <c r="L21" s="106" t="s">
        <v>364</v>
      </c>
      <c r="M21" s="106" t="s">
        <v>365</v>
      </c>
      <c r="N21" s="106" t="s">
        <v>366</v>
      </c>
      <c r="O21" s="106" t="s">
        <v>367</v>
      </c>
    </row>
    <row r="22" spans="1:15" x14ac:dyDescent="0.25">
      <c r="A22" s="106" t="s">
        <v>368</v>
      </c>
      <c r="B22" s="107">
        <v>96573.966010000004</v>
      </c>
      <c r="C22" s="107">
        <v>96512.598450000005</v>
      </c>
      <c r="D22" s="107">
        <v>96432.035940000002</v>
      </c>
      <c r="E22" s="107">
        <v>96175.076390000002</v>
      </c>
      <c r="F22" s="107">
        <v>95748.808359999995</v>
      </c>
      <c r="G22" s="107">
        <v>95198.344729999997</v>
      </c>
      <c r="H22" s="107">
        <v>94460.213629999998</v>
      </c>
      <c r="I22" s="107">
        <v>93455.357759999999</v>
      </c>
      <c r="J22" s="107">
        <v>92092.716029999996</v>
      </c>
      <c r="K22" s="107">
        <v>90191.900729999994</v>
      </c>
      <c r="L22" s="107">
        <v>87339.930540000001</v>
      </c>
      <c r="M22" s="107">
        <v>82470.904850000006</v>
      </c>
      <c r="N22" s="107">
        <v>74573.654980000007</v>
      </c>
      <c r="O22" s="107">
        <v>62164.626470000003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6">
        <v>0.95</v>
      </c>
      <c r="D2" s="56">
        <v>4.2670522006141258</v>
      </c>
      <c r="E2" s="56" t="s">
        <v>160</v>
      </c>
      <c r="F2" s="96">
        <v>1</v>
      </c>
      <c r="G2" s="96">
        <v>1</v>
      </c>
    </row>
    <row r="3" spans="1:7" ht="15.75" customHeight="1" x14ac:dyDescent="0.25">
      <c r="A3" s="5" t="s">
        <v>161</v>
      </c>
      <c r="B3" s="45">
        <v>0</v>
      </c>
      <c r="C3" s="96">
        <v>0.95</v>
      </c>
      <c r="D3" s="56">
        <v>4.2670522006141258</v>
      </c>
      <c r="E3" s="56" t="s">
        <v>160</v>
      </c>
      <c r="F3" s="96">
        <v>1</v>
      </c>
      <c r="G3" s="96">
        <v>1</v>
      </c>
    </row>
    <row r="4" spans="1:7" ht="15.75" customHeight="1" x14ac:dyDescent="0.25">
      <c r="A4" s="5" t="s">
        <v>162</v>
      </c>
      <c r="B4" s="96">
        <v>0</v>
      </c>
      <c r="C4" s="96">
        <v>0.95</v>
      </c>
      <c r="D4" s="56">
        <v>10.488843398157627</v>
      </c>
      <c r="E4" s="56" t="s">
        <v>160</v>
      </c>
      <c r="F4" s="96">
        <v>1</v>
      </c>
      <c r="G4" s="96">
        <v>1</v>
      </c>
    </row>
    <row r="5" spans="1:7" ht="15.75" customHeight="1" x14ac:dyDescent="0.25">
      <c r="A5" s="5" t="s">
        <v>163</v>
      </c>
      <c r="B5" s="96">
        <v>0</v>
      </c>
      <c r="C5" s="96">
        <v>0.95</v>
      </c>
      <c r="D5" s="56">
        <v>0.48</v>
      </c>
      <c r="E5" s="56" t="s">
        <v>160</v>
      </c>
      <c r="F5" s="96">
        <v>1</v>
      </c>
      <c r="G5" s="96">
        <v>1</v>
      </c>
    </row>
    <row r="6" spans="1:7" ht="15.75" customHeight="1" x14ac:dyDescent="0.25">
      <c r="A6" s="5" t="s">
        <v>164</v>
      </c>
      <c r="B6" s="96">
        <v>0</v>
      </c>
      <c r="C6" s="96">
        <v>0.95</v>
      </c>
      <c r="D6" s="56">
        <v>99.99</v>
      </c>
      <c r="E6" s="56" t="s">
        <v>160</v>
      </c>
      <c r="F6" s="96">
        <v>1</v>
      </c>
      <c r="G6" s="96">
        <v>1</v>
      </c>
    </row>
    <row r="7" spans="1:7" ht="15.75" customHeight="1" x14ac:dyDescent="0.25">
      <c r="A7" s="5" t="s">
        <v>165</v>
      </c>
      <c r="B7" s="96">
        <v>0</v>
      </c>
      <c r="C7" s="96">
        <v>0.95</v>
      </c>
      <c r="D7" s="56">
        <v>0.19</v>
      </c>
      <c r="E7" s="56" t="s">
        <v>160</v>
      </c>
      <c r="F7" s="96">
        <v>1</v>
      </c>
      <c r="G7" s="96">
        <v>1</v>
      </c>
    </row>
    <row r="8" spans="1:7" ht="15.75" customHeight="1" x14ac:dyDescent="0.25">
      <c r="A8" s="5" t="s">
        <v>166</v>
      </c>
      <c r="B8" s="96">
        <v>0</v>
      </c>
      <c r="C8" s="96">
        <v>0.95</v>
      </c>
      <c r="D8" s="56">
        <v>0.79</v>
      </c>
      <c r="E8" s="56" t="s">
        <v>160</v>
      </c>
      <c r="F8" s="96">
        <v>1</v>
      </c>
      <c r="G8" s="96">
        <v>1</v>
      </c>
    </row>
    <row r="9" spans="1:7" ht="15.75" customHeight="1" x14ac:dyDescent="0.25">
      <c r="A9" s="5" t="s">
        <v>167</v>
      </c>
      <c r="B9" s="96">
        <v>0.5</v>
      </c>
      <c r="C9" s="96">
        <v>0.95</v>
      </c>
      <c r="D9" s="56">
        <v>0.40525076765609014</v>
      </c>
      <c r="E9" s="56" t="s">
        <v>160</v>
      </c>
      <c r="F9" s="96">
        <v>1</v>
      </c>
      <c r="G9" s="96">
        <v>1</v>
      </c>
    </row>
    <row r="10" spans="1:7" ht="15.75" customHeight="1" x14ac:dyDescent="0.25">
      <c r="A10" s="11" t="s">
        <v>168</v>
      </c>
      <c r="B10" s="45">
        <v>2.19022E-2</v>
      </c>
      <c r="C10" s="96">
        <v>0.95</v>
      </c>
      <c r="D10" s="56">
        <v>14.201250215462901</v>
      </c>
      <c r="E10" s="56" t="s">
        <v>160</v>
      </c>
      <c r="F10" s="96">
        <v>1</v>
      </c>
      <c r="G10" s="96">
        <v>1</v>
      </c>
    </row>
    <row r="11" spans="1:7" ht="15.75" customHeight="1" x14ac:dyDescent="0.25">
      <c r="A11" s="11" t="s">
        <v>169</v>
      </c>
      <c r="B11" s="96">
        <v>0</v>
      </c>
      <c r="C11" s="96">
        <v>0.95</v>
      </c>
      <c r="D11" s="56">
        <v>14.201250215462901</v>
      </c>
      <c r="E11" s="56" t="s">
        <v>160</v>
      </c>
      <c r="F11" s="96">
        <v>1</v>
      </c>
      <c r="G11" s="96">
        <v>1</v>
      </c>
    </row>
    <row r="12" spans="1:7" ht="15.75" customHeight="1" x14ac:dyDescent="0.25">
      <c r="A12" s="11" t="s">
        <v>170</v>
      </c>
      <c r="B12" s="96">
        <v>0</v>
      </c>
      <c r="C12" s="96">
        <v>0.95</v>
      </c>
      <c r="D12" s="56">
        <v>14.201250215462901</v>
      </c>
      <c r="E12" s="56" t="s">
        <v>160</v>
      </c>
      <c r="F12" s="96">
        <v>1</v>
      </c>
      <c r="G12" s="96">
        <v>1</v>
      </c>
    </row>
    <row r="13" spans="1:7" ht="15.75" customHeight="1" x14ac:dyDescent="0.25">
      <c r="A13" s="11" t="s">
        <v>171</v>
      </c>
      <c r="B13" s="96">
        <v>0</v>
      </c>
      <c r="C13" s="96">
        <v>0.95</v>
      </c>
      <c r="D13" s="56">
        <v>14.201250215462901</v>
      </c>
      <c r="E13" s="56" t="s">
        <v>160</v>
      </c>
      <c r="F13" s="96">
        <v>1</v>
      </c>
      <c r="G13" s="96">
        <v>1</v>
      </c>
    </row>
    <row r="14" spans="1:7" ht="15.75" customHeight="1" x14ac:dyDescent="0.25">
      <c r="A14" s="5" t="s">
        <v>172</v>
      </c>
      <c r="B14" s="45">
        <v>2.19022E-2</v>
      </c>
      <c r="C14" s="96">
        <v>0.95</v>
      </c>
      <c r="D14" s="56">
        <v>14.201250215462901</v>
      </c>
      <c r="E14" s="56" t="s">
        <v>160</v>
      </c>
      <c r="F14" s="96">
        <v>1</v>
      </c>
      <c r="G14" s="96">
        <v>1</v>
      </c>
    </row>
    <row r="15" spans="1:7" ht="15.75" customHeight="1" x14ac:dyDescent="0.25">
      <c r="A15" s="5" t="s">
        <v>173</v>
      </c>
      <c r="B15" s="96">
        <v>0</v>
      </c>
      <c r="C15" s="96">
        <v>0.95</v>
      </c>
      <c r="D15" s="56">
        <v>14.201250215462901</v>
      </c>
      <c r="E15" s="56" t="s">
        <v>160</v>
      </c>
      <c r="F15" s="96">
        <v>1</v>
      </c>
      <c r="G15" s="96">
        <v>1</v>
      </c>
    </row>
    <row r="16" spans="1:7" ht="15.75" customHeight="1" x14ac:dyDescent="0.25">
      <c r="A16" s="5" t="s">
        <v>174</v>
      </c>
      <c r="B16" s="45">
        <v>0</v>
      </c>
      <c r="C16" s="96">
        <v>0.95</v>
      </c>
      <c r="D16" s="56">
        <v>2.5</v>
      </c>
      <c r="E16" s="56" t="s">
        <v>160</v>
      </c>
      <c r="F16" s="96">
        <v>1</v>
      </c>
      <c r="G16" s="96">
        <v>1</v>
      </c>
    </row>
    <row r="17" spans="1:7" ht="15.75" customHeight="1" x14ac:dyDescent="0.25">
      <c r="A17" s="5" t="s">
        <v>175</v>
      </c>
      <c r="B17" s="96">
        <v>0</v>
      </c>
      <c r="C17" s="96">
        <v>0.95</v>
      </c>
      <c r="D17" s="56">
        <v>0.14000000000000001</v>
      </c>
      <c r="E17" s="56" t="s">
        <v>160</v>
      </c>
      <c r="F17" s="96">
        <v>1</v>
      </c>
      <c r="G17" s="96">
        <v>1</v>
      </c>
    </row>
    <row r="18" spans="1:7" ht="15.9" customHeight="1" x14ac:dyDescent="0.25">
      <c r="A18" s="5" t="s">
        <v>141</v>
      </c>
      <c r="B18" s="96">
        <v>0.31436900000000001</v>
      </c>
      <c r="C18" s="96">
        <v>0.95</v>
      </c>
      <c r="D18" s="56">
        <v>10.488843398157627</v>
      </c>
      <c r="E18" s="56" t="s">
        <v>160</v>
      </c>
      <c r="F18" s="96">
        <v>1</v>
      </c>
      <c r="G18" s="96">
        <v>1</v>
      </c>
    </row>
    <row r="19" spans="1:7" ht="15.75" customHeight="1" x14ac:dyDescent="0.25">
      <c r="A19" s="5" t="s">
        <v>144</v>
      </c>
      <c r="B19" s="96">
        <v>0.31436900000000001</v>
      </c>
      <c r="C19" s="96">
        <v>0.95</v>
      </c>
      <c r="D19" s="56">
        <v>1.935478791236098</v>
      </c>
      <c r="E19" s="56" t="s">
        <v>160</v>
      </c>
      <c r="F19" s="96">
        <v>1</v>
      </c>
      <c r="G19" s="96">
        <v>1</v>
      </c>
    </row>
    <row r="20" spans="1:7" ht="15.75" customHeight="1" x14ac:dyDescent="0.25">
      <c r="A20" s="5" t="s">
        <v>145</v>
      </c>
      <c r="B20" s="96">
        <v>0</v>
      </c>
      <c r="C20" s="96">
        <v>0.95</v>
      </c>
      <c r="D20" s="56">
        <v>99.99</v>
      </c>
      <c r="E20" s="56" t="s">
        <v>160</v>
      </c>
      <c r="F20" s="96">
        <v>1</v>
      </c>
      <c r="G20" s="96">
        <v>1</v>
      </c>
    </row>
    <row r="21" spans="1:7" ht="15.75" customHeight="1" x14ac:dyDescent="0.25">
      <c r="A21" s="5" t="s">
        <v>176</v>
      </c>
      <c r="B21" s="45">
        <v>0</v>
      </c>
      <c r="C21" s="96">
        <v>0.95</v>
      </c>
      <c r="D21" s="56">
        <v>7.48</v>
      </c>
      <c r="E21" s="56" t="s">
        <v>160</v>
      </c>
      <c r="F21" s="96">
        <v>1</v>
      </c>
      <c r="G21" s="96">
        <v>1</v>
      </c>
    </row>
    <row r="22" spans="1:7" ht="15.75" customHeight="1" x14ac:dyDescent="0.25">
      <c r="A22" s="5" t="s">
        <v>177</v>
      </c>
      <c r="B22" s="96">
        <v>0</v>
      </c>
      <c r="C22" s="96">
        <v>0.95</v>
      </c>
      <c r="D22" s="56">
        <v>10.488843398157627</v>
      </c>
      <c r="E22" s="56" t="s">
        <v>160</v>
      </c>
      <c r="F22" s="96">
        <v>1</v>
      </c>
      <c r="G22" s="96">
        <v>1</v>
      </c>
    </row>
    <row r="23" spans="1:7" ht="15.75" customHeight="1" x14ac:dyDescent="0.25">
      <c r="A23" s="5" t="s">
        <v>178</v>
      </c>
      <c r="B23" s="96">
        <v>1.96765E-2</v>
      </c>
      <c r="C23" s="96">
        <v>0.95</v>
      </c>
      <c r="D23" s="56">
        <v>4.6661477823845638</v>
      </c>
      <c r="E23" s="56" t="s">
        <v>160</v>
      </c>
      <c r="F23" s="96">
        <v>1</v>
      </c>
      <c r="G23" s="96">
        <v>1</v>
      </c>
    </row>
    <row r="24" spans="1:7" ht="15.75" customHeight="1" x14ac:dyDescent="0.25">
      <c r="A24" s="5" t="s">
        <v>179</v>
      </c>
      <c r="B24" s="45">
        <v>0.63038645218564004</v>
      </c>
      <c r="C24" s="96">
        <v>0.95</v>
      </c>
      <c r="D24" s="56">
        <v>99.99</v>
      </c>
      <c r="E24" s="56" t="s">
        <v>160</v>
      </c>
      <c r="F24" s="96">
        <v>1</v>
      </c>
      <c r="G24" s="96">
        <v>1</v>
      </c>
    </row>
    <row r="25" spans="1:7" ht="15.75" customHeight="1" x14ac:dyDescent="0.25">
      <c r="A25" s="5" t="s">
        <v>180</v>
      </c>
      <c r="B25" s="96">
        <v>0</v>
      </c>
      <c r="C25" s="96">
        <v>0.95</v>
      </c>
      <c r="D25" s="56">
        <v>99.99</v>
      </c>
      <c r="E25" s="56" t="s">
        <v>160</v>
      </c>
      <c r="F25" s="96">
        <v>1</v>
      </c>
      <c r="G25" s="96">
        <v>1</v>
      </c>
    </row>
    <row r="26" spans="1:7" ht="15.75" customHeight="1" x14ac:dyDescent="0.25">
      <c r="A26" s="5" t="s">
        <v>181</v>
      </c>
      <c r="B26" s="45">
        <v>0.17199999999999999</v>
      </c>
      <c r="C26" s="96">
        <v>0.95</v>
      </c>
      <c r="D26" s="56">
        <v>6.8296673490276367</v>
      </c>
      <c r="E26" s="56" t="s">
        <v>160</v>
      </c>
      <c r="F26" s="96">
        <v>1</v>
      </c>
      <c r="G26" s="96">
        <v>1</v>
      </c>
    </row>
    <row r="27" spans="1:7" ht="15.75" customHeight="1" x14ac:dyDescent="0.25">
      <c r="A27" s="5" t="s">
        <v>182</v>
      </c>
      <c r="B27" s="45">
        <v>0</v>
      </c>
      <c r="C27" s="96">
        <v>0.95</v>
      </c>
      <c r="D27" s="56">
        <v>9.1419805527123863</v>
      </c>
      <c r="E27" s="56" t="s">
        <v>160</v>
      </c>
      <c r="F27" s="96">
        <v>1</v>
      </c>
      <c r="G27" s="96">
        <v>1</v>
      </c>
    </row>
    <row r="28" spans="1:7" ht="15.75" customHeight="1" x14ac:dyDescent="0.25">
      <c r="A28" s="5" t="s">
        <v>183</v>
      </c>
      <c r="B28" s="45">
        <v>0.61705699999999997</v>
      </c>
      <c r="C28" s="96">
        <v>0.95</v>
      </c>
      <c r="D28" s="56">
        <v>99.99</v>
      </c>
      <c r="E28" s="56" t="s">
        <v>160</v>
      </c>
      <c r="F28" s="96">
        <v>1</v>
      </c>
      <c r="G28" s="96">
        <v>1</v>
      </c>
    </row>
    <row r="29" spans="1:7" ht="15.75" customHeight="1" x14ac:dyDescent="0.25">
      <c r="A29" s="5" t="s">
        <v>184</v>
      </c>
      <c r="B29" s="45">
        <v>0.22507530000000001</v>
      </c>
      <c r="C29" s="96">
        <v>0.95</v>
      </c>
      <c r="D29" s="56">
        <v>64.905462330614313</v>
      </c>
      <c r="E29" s="56" t="s">
        <v>160</v>
      </c>
      <c r="F29" s="96">
        <v>1</v>
      </c>
      <c r="G29" s="96">
        <v>1</v>
      </c>
    </row>
    <row r="30" spans="1:7" ht="15.75" customHeight="1" x14ac:dyDescent="0.25">
      <c r="A30" s="5" t="s">
        <v>185</v>
      </c>
      <c r="B30" s="96">
        <v>0</v>
      </c>
      <c r="C30" s="96">
        <v>0.95</v>
      </c>
      <c r="D30" s="56">
        <v>53.05</v>
      </c>
      <c r="E30" s="56" t="s">
        <v>160</v>
      </c>
      <c r="F30" s="96">
        <v>1</v>
      </c>
      <c r="G30" s="96">
        <v>1</v>
      </c>
    </row>
    <row r="31" spans="1:7" ht="15.75" customHeight="1" x14ac:dyDescent="0.25">
      <c r="A31" s="5" t="s">
        <v>150</v>
      </c>
      <c r="B31" s="45">
        <v>0</v>
      </c>
      <c r="C31" s="96">
        <v>0.95</v>
      </c>
      <c r="D31" s="56">
        <v>160.90839303991814</v>
      </c>
      <c r="E31" s="56" t="s">
        <v>160</v>
      </c>
      <c r="F31" s="96">
        <v>1</v>
      </c>
      <c r="G31" s="96">
        <v>1</v>
      </c>
    </row>
    <row r="32" spans="1:7" ht="15.75" customHeight="1" x14ac:dyDescent="0.25">
      <c r="A32" s="5" t="s">
        <v>186</v>
      </c>
      <c r="B32" s="45">
        <v>0.93</v>
      </c>
      <c r="C32" s="96">
        <v>0.95</v>
      </c>
      <c r="D32" s="56">
        <v>1.5614073694984649</v>
      </c>
      <c r="E32" s="56" t="s">
        <v>160</v>
      </c>
      <c r="F32" s="96">
        <v>1</v>
      </c>
      <c r="G32" s="96">
        <v>1</v>
      </c>
    </row>
    <row r="33" spans="1:7" ht="15.75" customHeight="1" x14ac:dyDescent="0.25">
      <c r="A33" s="5" t="s">
        <v>187</v>
      </c>
      <c r="B33" s="45">
        <v>0.72953559999999995</v>
      </c>
      <c r="C33" s="96">
        <v>0.95</v>
      </c>
      <c r="D33" s="56">
        <v>99.99</v>
      </c>
      <c r="E33" s="56" t="s">
        <v>160</v>
      </c>
      <c r="F33" s="96">
        <v>1</v>
      </c>
      <c r="G33" s="96">
        <v>1</v>
      </c>
    </row>
    <row r="34" spans="1:7" ht="15.75" customHeight="1" x14ac:dyDescent="0.25">
      <c r="A34" s="5" t="s">
        <v>188</v>
      </c>
      <c r="B34" s="45">
        <v>0.52023419999999998</v>
      </c>
      <c r="C34" s="96">
        <v>0.95</v>
      </c>
      <c r="D34" s="56">
        <v>99.99</v>
      </c>
      <c r="E34" s="56" t="s">
        <v>160</v>
      </c>
      <c r="F34" s="96">
        <v>1</v>
      </c>
      <c r="G34" s="96">
        <v>1</v>
      </c>
    </row>
    <row r="35" spans="1:7" ht="15.75" customHeight="1" x14ac:dyDescent="0.25">
      <c r="A35" s="5" t="s">
        <v>189</v>
      </c>
      <c r="B35" s="96">
        <v>0</v>
      </c>
      <c r="C35" s="96">
        <v>0.95</v>
      </c>
      <c r="D35" s="56">
        <v>99.99</v>
      </c>
      <c r="E35" s="56" t="s">
        <v>160</v>
      </c>
      <c r="F35" s="96">
        <v>1</v>
      </c>
      <c r="G35" s="96">
        <v>1</v>
      </c>
    </row>
    <row r="36" spans="1:7" ht="15.75" customHeight="1" x14ac:dyDescent="0.25">
      <c r="A36" s="5" t="s">
        <v>190</v>
      </c>
      <c r="B36" s="45">
        <v>2.6733799999999999E-2</v>
      </c>
      <c r="C36" s="96">
        <v>0.95</v>
      </c>
      <c r="D36" s="56">
        <v>99.99</v>
      </c>
      <c r="E36" s="56" t="s">
        <v>160</v>
      </c>
      <c r="F36" s="96">
        <v>1</v>
      </c>
      <c r="G36" s="96">
        <v>1</v>
      </c>
    </row>
    <row r="37" spans="1:7" ht="15.75" customHeight="1" x14ac:dyDescent="0.25">
      <c r="A37" s="5" t="s">
        <v>191</v>
      </c>
      <c r="B37" s="45">
        <v>0.65150499999999989</v>
      </c>
      <c r="C37" s="96">
        <v>0.95</v>
      </c>
      <c r="D37" s="56">
        <v>99.99</v>
      </c>
      <c r="E37" s="56" t="s">
        <v>160</v>
      </c>
      <c r="F37" s="96">
        <v>1</v>
      </c>
      <c r="G37" s="96">
        <v>1</v>
      </c>
    </row>
    <row r="38" spans="1:7" ht="15.75" customHeight="1" x14ac:dyDescent="0.25">
      <c r="A38" s="5" t="s">
        <v>192</v>
      </c>
      <c r="B38" s="45">
        <v>0.14199999999999999</v>
      </c>
      <c r="C38" s="96">
        <v>0.95</v>
      </c>
      <c r="D38" s="56">
        <v>2.8248362333674519</v>
      </c>
      <c r="E38" s="56" t="s">
        <v>160</v>
      </c>
      <c r="F38" s="96">
        <v>1</v>
      </c>
      <c r="G38" s="96">
        <v>1</v>
      </c>
    </row>
    <row r="39" spans="1:7" ht="15.75" customHeight="1" x14ac:dyDescent="0.25">
      <c r="A39" s="5" t="s">
        <v>193</v>
      </c>
      <c r="B39" s="45">
        <v>0</v>
      </c>
      <c r="C39" s="96">
        <v>0.95</v>
      </c>
      <c r="D39" s="56">
        <v>3.43</v>
      </c>
      <c r="E39" s="56" t="s">
        <v>160</v>
      </c>
      <c r="F39" s="96">
        <v>1</v>
      </c>
      <c r="G39" s="96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2.8</v>
      </c>
      <c r="C2" s="21">
        <f>'Baseline year population inputs'!C52</f>
        <v>2.8</v>
      </c>
      <c r="D2" s="21">
        <f>'Baseline year population inputs'!C53</f>
        <v>2.8</v>
      </c>
      <c r="E2" s="21">
        <f>'Baseline year population inputs'!C54</f>
        <v>2.8</v>
      </c>
      <c r="F2" s="21">
        <f>'Baseline year population inputs'!C55</f>
        <v>2.8</v>
      </c>
    </row>
    <row r="3" spans="1:6" ht="15.75" customHeight="1" x14ac:dyDescent="0.25">
      <c r="A3" s="3" t="s">
        <v>197</v>
      </c>
      <c r="B3" s="21">
        <f>frac_mam_1month * 2.6</f>
        <v>0.20820643999999999</v>
      </c>
      <c r="C3" s="21">
        <f>frac_mam_1_5months * 2.6</f>
        <v>0.20820643999999999</v>
      </c>
      <c r="D3" s="21">
        <f>frac_mam_6_11months * 2.6</f>
        <v>0.17632004000000001</v>
      </c>
      <c r="E3" s="21">
        <f>frac_mam_12_23months * 2.6</f>
        <v>0.13176305999999999</v>
      </c>
      <c r="F3" s="21">
        <f>frac_mam_24_59months * 2.6</f>
        <v>5.4110159999999997E-2</v>
      </c>
    </row>
    <row r="4" spans="1:6" ht="15.75" customHeight="1" x14ac:dyDescent="0.25">
      <c r="A4" s="3" t="s">
        <v>198</v>
      </c>
      <c r="B4" s="21">
        <f>frac_sam_1month * 2.6</f>
        <v>0.14861002000000001</v>
      </c>
      <c r="C4" s="21">
        <f>frac_sam_1_5months * 2.6</f>
        <v>0.14861002000000001</v>
      </c>
      <c r="D4" s="21">
        <f>frac_sam_6_11months * 2.6</f>
        <v>8.5352800000000006E-2</v>
      </c>
      <c r="E4" s="21">
        <f>frac_sam_12_23months * 2.6</f>
        <v>5.5193840000000008E-2</v>
      </c>
      <c r="F4" s="21">
        <f>frac_sam_24_59months * 2.6</f>
        <v>2.2595040000000004E-2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4.8000000000000001E-2</v>
      </c>
      <c r="F2" s="60">
        <f>food_insecure</f>
        <v>4.8000000000000001E-2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4.8000000000000001E-2</v>
      </c>
      <c r="F5" s="60">
        <f>food_insecure</f>
        <v>4.8000000000000001E-2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4.8000000000000001E-2</v>
      </c>
      <c r="F8" s="60">
        <f>food_insecure</f>
        <v>4.8000000000000001E-2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4.8000000000000001E-2</v>
      </c>
      <c r="F9" s="60">
        <f>food_insecure</f>
        <v>4.8000000000000001E-2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4.8000000000000001E-2</v>
      </c>
      <c r="I15" s="60">
        <f t="shared" si="0"/>
        <v>4.8000000000000001E-2</v>
      </c>
      <c r="J15" s="60">
        <f t="shared" si="0"/>
        <v>4.8000000000000001E-2</v>
      </c>
      <c r="K15" s="60">
        <f t="shared" si="0"/>
        <v>4.8000000000000001E-2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4.8000000000000001E-2</v>
      </c>
      <c r="I16" s="60">
        <f t="shared" si="0"/>
        <v>4.8000000000000001E-2</v>
      </c>
      <c r="J16" s="60">
        <f t="shared" si="0"/>
        <v>4.8000000000000001E-2</v>
      </c>
      <c r="K16" s="60">
        <f t="shared" si="0"/>
        <v>4.8000000000000001E-2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0.49199999999999999</v>
      </c>
      <c r="M24" s="60">
        <f>famplan_unmet_need</f>
        <v>0.49199999999999999</v>
      </c>
      <c r="N24" s="60">
        <f>famplan_unmet_need</f>
        <v>0.49199999999999999</v>
      </c>
      <c r="O24" s="60">
        <f>famplan_unmet_need</f>
        <v>0.49199999999999999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0.10910612301025369</v>
      </c>
      <c r="M25" s="60">
        <f>(1-food_insecure)*(0.49)+food_insecure*(0.7)</f>
        <v>0.50007999999999997</v>
      </c>
      <c r="N25" s="60">
        <f>(1-food_insecure)*(0.49)+food_insecure*(0.7)</f>
        <v>0.50007999999999997</v>
      </c>
      <c r="O25" s="60">
        <f>(1-food_insecure)*(0.49)+food_insecure*(0.7)</f>
        <v>0.50007999999999997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4.6759767004394437E-2</v>
      </c>
      <c r="M26" s="60">
        <f>(1-food_insecure)*(0.21)+food_insecure*(0.3)</f>
        <v>0.21431999999999998</v>
      </c>
      <c r="N26" s="60">
        <f>(1-food_insecure)*(0.21)+food_insecure*(0.3)</f>
        <v>0.21431999999999998</v>
      </c>
      <c r="O26" s="60">
        <f>(1-food_insecure)*(0.21)+food_insecure*(0.3)</f>
        <v>0.21431999999999998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6.2311447631835805E-2</v>
      </c>
      <c r="M27" s="60">
        <f>(1-food_insecure)*(0.3)</f>
        <v>0.28559999999999997</v>
      </c>
      <c r="N27" s="60">
        <f>(1-food_insecure)*(0.3)</f>
        <v>0.28559999999999997</v>
      </c>
      <c r="O27" s="60">
        <f>(1-food_insecure)*(0.3)</f>
        <v>0.28559999999999997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0.78182266235351605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149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13" t="s">
        <v>159</v>
      </c>
      <c r="B2" s="114"/>
      <c r="C2" s="114"/>
      <c r="D2" s="114"/>
      <c r="E2" s="114"/>
      <c r="F2" s="114"/>
      <c r="G2" s="114"/>
      <c r="H2" s="114"/>
      <c r="I2" s="114" t="s">
        <v>142</v>
      </c>
      <c r="J2" s="114"/>
      <c r="K2" s="114"/>
      <c r="L2" s="114"/>
    </row>
    <row r="3" spans="1:12" x14ac:dyDescent="0.25">
      <c r="A3" s="113" t="s">
        <v>161</v>
      </c>
      <c r="B3" s="114"/>
      <c r="C3" s="114"/>
      <c r="D3" s="114"/>
      <c r="E3" s="114"/>
      <c r="F3" s="114"/>
      <c r="G3" s="114"/>
      <c r="H3" s="114" t="s">
        <v>142</v>
      </c>
      <c r="I3" s="114" t="s">
        <v>142</v>
      </c>
      <c r="J3" s="114"/>
      <c r="K3" s="114"/>
      <c r="L3" s="114"/>
    </row>
    <row r="4" spans="1:12" x14ac:dyDescent="0.25">
      <c r="A4" s="113" t="s">
        <v>162</v>
      </c>
      <c r="B4" s="114" t="s">
        <v>142</v>
      </c>
      <c r="C4" s="114"/>
      <c r="D4" s="114" t="s">
        <v>142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163</v>
      </c>
      <c r="B5" s="114"/>
      <c r="C5" s="114" t="s">
        <v>142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164</v>
      </c>
      <c r="B6" s="114"/>
      <c r="C6" s="114"/>
      <c r="D6" s="114"/>
      <c r="E6" s="114"/>
      <c r="F6" s="114"/>
      <c r="G6" s="114"/>
      <c r="H6" s="114"/>
      <c r="I6" s="114"/>
      <c r="J6" s="114" t="s">
        <v>142</v>
      </c>
      <c r="K6" s="114" t="s">
        <v>142</v>
      </c>
      <c r="L6" s="114"/>
    </row>
    <row r="7" spans="1:12" x14ac:dyDescent="0.25">
      <c r="A7" s="113" t="s">
        <v>165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/>
      <c r="J7" s="114"/>
      <c r="K7" s="114"/>
      <c r="L7" s="114"/>
    </row>
    <row r="8" spans="1:12" x14ac:dyDescent="0.25">
      <c r="A8" s="113" t="s">
        <v>166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/>
      <c r="J8" s="114"/>
      <c r="K8" s="114"/>
      <c r="L8" s="114"/>
    </row>
    <row r="9" spans="1:12" x14ac:dyDescent="0.25">
      <c r="A9" s="113" t="s">
        <v>167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/>
      <c r="J9" s="114"/>
      <c r="K9" s="114"/>
      <c r="L9" s="114"/>
    </row>
    <row r="10" spans="1:12" x14ac:dyDescent="0.25">
      <c r="A10" s="113" t="s">
        <v>168</v>
      </c>
      <c r="B10" s="114"/>
      <c r="C10" s="114" t="s">
        <v>142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169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170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171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172</v>
      </c>
      <c r="B14" s="114"/>
      <c r="C14" s="114" t="s">
        <v>142</v>
      </c>
      <c r="D14" s="114"/>
      <c r="E14" s="114"/>
      <c r="F14" s="114"/>
      <c r="G14" s="114"/>
      <c r="H14" s="114"/>
      <c r="I14" s="114" t="s">
        <v>142</v>
      </c>
      <c r="J14" s="114"/>
      <c r="K14" s="114"/>
      <c r="L14" s="114"/>
    </row>
    <row r="15" spans="1:12" x14ac:dyDescent="0.25">
      <c r="A15" s="115" t="s">
        <v>173</v>
      </c>
      <c r="B15" s="114"/>
      <c r="C15" s="114" t="s">
        <v>142</v>
      </c>
      <c r="D15" s="114"/>
      <c r="E15" s="114"/>
      <c r="F15" s="114"/>
      <c r="G15" s="114"/>
      <c r="H15" s="114"/>
      <c r="I15" s="114" t="s">
        <v>142</v>
      </c>
      <c r="J15" s="114"/>
      <c r="K15" s="114"/>
      <c r="L15" s="114"/>
    </row>
    <row r="16" spans="1:12" x14ac:dyDescent="0.25">
      <c r="A16" s="113" t="s">
        <v>174</v>
      </c>
      <c r="B16" s="114"/>
      <c r="C16" s="114" t="s">
        <v>142</v>
      </c>
      <c r="D16" s="114"/>
      <c r="E16" s="114"/>
      <c r="F16" s="114"/>
      <c r="G16" s="114"/>
      <c r="H16" s="114" t="s">
        <v>142</v>
      </c>
      <c r="I16" s="114" t="s">
        <v>142</v>
      </c>
      <c r="J16" s="114"/>
      <c r="K16" s="114"/>
      <c r="L16" s="114"/>
    </row>
    <row r="17" spans="1:12" x14ac:dyDescent="0.25">
      <c r="A17" s="113" t="s">
        <v>175</v>
      </c>
      <c r="B17" s="114"/>
      <c r="C17" s="114" t="s">
        <v>142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141</v>
      </c>
      <c r="B18" s="114" t="s">
        <v>142</v>
      </c>
      <c r="C18" s="114"/>
      <c r="D18" s="114"/>
      <c r="E18" s="114"/>
      <c r="F18" s="114" t="s">
        <v>142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144</v>
      </c>
      <c r="B19" s="114" t="s">
        <v>142</v>
      </c>
      <c r="C19" s="114"/>
      <c r="D19" s="114"/>
      <c r="E19" s="114"/>
      <c r="F19" s="114" t="s">
        <v>142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145</v>
      </c>
      <c r="B20" s="114" t="s">
        <v>142</v>
      </c>
      <c r="C20" s="114"/>
      <c r="D20" s="114"/>
      <c r="E20" s="114"/>
      <c r="F20" s="114" t="s">
        <v>142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176</v>
      </c>
      <c r="B21" s="114"/>
      <c r="C21" s="114"/>
      <c r="D21" s="114"/>
      <c r="E21" s="114"/>
      <c r="F21" s="114"/>
      <c r="G21" s="114"/>
      <c r="H21" s="114" t="s">
        <v>142</v>
      </c>
      <c r="I21" s="114" t="s">
        <v>142</v>
      </c>
      <c r="J21" s="114"/>
      <c r="K21" s="114"/>
      <c r="L21" s="114"/>
    </row>
    <row r="22" spans="1:12" x14ac:dyDescent="0.25">
      <c r="A22" s="113" t="s">
        <v>177</v>
      </c>
      <c r="B22" s="114" t="s">
        <v>142</v>
      </c>
      <c r="C22" s="114" t="s">
        <v>142</v>
      </c>
      <c r="D22" s="114" t="s">
        <v>142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178</v>
      </c>
      <c r="B23" s="114"/>
      <c r="C23" s="114" t="s">
        <v>142</v>
      </c>
      <c r="D23" s="114"/>
      <c r="E23" s="114"/>
      <c r="F23" s="114"/>
      <c r="G23" s="114"/>
      <c r="H23" s="114"/>
      <c r="I23" s="114" t="s">
        <v>142</v>
      </c>
      <c r="J23" s="114"/>
      <c r="K23" s="114"/>
      <c r="L23" s="114"/>
    </row>
    <row r="24" spans="1:12" x14ac:dyDescent="0.25">
      <c r="A24" s="113" t="s">
        <v>179</v>
      </c>
      <c r="B24" s="114"/>
      <c r="C24" s="114"/>
      <c r="D24" s="114"/>
      <c r="E24" s="114"/>
      <c r="F24" s="114"/>
      <c r="G24" s="114"/>
      <c r="H24" s="114" t="s">
        <v>142</v>
      </c>
      <c r="I24" s="114"/>
      <c r="J24" s="114"/>
      <c r="K24" s="114"/>
      <c r="L24" s="114"/>
    </row>
    <row r="25" spans="1:12" x14ac:dyDescent="0.25">
      <c r="A25" s="113" t="s">
        <v>180</v>
      </c>
      <c r="B25" s="114"/>
      <c r="C25" s="114"/>
      <c r="D25" s="114"/>
      <c r="E25" s="114"/>
      <c r="F25" s="114"/>
      <c r="G25" s="114"/>
      <c r="H25" s="114" t="s">
        <v>142</v>
      </c>
      <c r="I25" s="114"/>
      <c r="J25" s="114"/>
      <c r="K25" s="114"/>
      <c r="L25" s="114"/>
    </row>
    <row r="26" spans="1:12" x14ac:dyDescent="0.25">
      <c r="A26" s="113" t="s">
        <v>181</v>
      </c>
      <c r="B26" s="114"/>
      <c r="C26" s="114" t="s">
        <v>142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182</v>
      </c>
      <c r="B27" s="114"/>
      <c r="C27" s="114" t="s">
        <v>142</v>
      </c>
      <c r="D27" s="114"/>
      <c r="E27" s="114"/>
      <c r="F27" s="114"/>
      <c r="G27" s="114"/>
      <c r="H27" s="114"/>
      <c r="I27" s="114" t="s">
        <v>142</v>
      </c>
      <c r="J27" s="114"/>
      <c r="K27" s="114"/>
      <c r="L27" s="114" t="s">
        <v>142</v>
      </c>
    </row>
    <row r="28" spans="1:12" x14ac:dyDescent="0.25">
      <c r="A28" s="113" t="s">
        <v>183</v>
      </c>
      <c r="B28" s="114"/>
      <c r="C28" s="114"/>
      <c r="D28" s="114"/>
      <c r="E28" s="114"/>
      <c r="F28" s="114"/>
      <c r="G28" s="114"/>
      <c r="H28" s="114" t="s">
        <v>142</v>
      </c>
      <c r="I28" s="114"/>
      <c r="J28" s="114"/>
      <c r="K28" s="114"/>
      <c r="L28" s="114"/>
    </row>
    <row r="29" spans="1:12" x14ac:dyDescent="0.25">
      <c r="A29" s="113" t="s">
        <v>184</v>
      </c>
      <c r="B29" s="114" t="s">
        <v>142</v>
      </c>
      <c r="C29" s="114"/>
      <c r="D29" s="114" t="s">
        <v>142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185</v>
      </c>
      <c r="B30" s="114" t="s">
        <v>142</v>
      </c>
      <c r="C30" s="114" t="s">
        <v>142</v>
      </c>
      <c r="D30" s="114" t="s">
        <v>142</v>
      </c>
      <c r="E30" s="114"/>
      <c r="F30" s="114"/>
      <c r="G30" s="114"/>
      <c r="H30" s="114" t="s">
        <v>142</v>
      </c>
      <c r="I30" s="114"/>
      <c r="J30" s="114"/>
      <c r="K30" s="114"/>
      <c r="L30" s="114"/>
    </row>
    <row r="31" spans="1:12" x14ac:dyDescent="0.25">
      <c r="A31" s="113" t="s">
        <v>150</v>
      </c>
      <c r="B31" s="114"/>
      <c r="C31" s="114"/>
      <c r="D31" s="114"/>
      <c r="E31" s="114" t="s">
        <v>142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186</v>
      </c>
      <c r="B32" s="114"/>
      <c r="C32" s="114"/>
      <c r="D32" s="114"/>
      <c r="E32" s="114"/>
      <c r="F32" s="114"/>
      <c r="G32" s="114" t="s">
        <v>142</v>
      </c>
      <c r="H32" s="114" t="s">
        <v>142</v>
      </c>
      <c r="I32" s="114"/>
      <c r="J32" s="114"/>
      <c r="K32" s="114"/>
      <c r="L32" s="114"/>
    </row>
    <row r="33" spans="1:12" x14ac:dyDescent="0.25">
      <c r="A33" s="113" t="s">
        <v>187</v>
      </c>
      <c r="B33" s="114"/>
      <c r="C33" s="114"/>
      <c r="D33" s="114"/>
      <c r="E33" s="114"/>
      <c r="F33" s="114"/>
      <c r="G33" s="114" t="s">
        <v>142</v>
      </c>
      <c r="H33" s="114" t="s">
        <v>142</v>
      </c>
      <c r="I33" s="114"/>
      <c r="J33" s="114"/>
      <c r="K33" s="114"/>
      <c r="L33" s="114"/>
    </row>
    <row r="34" spans="1:12" x14ac:dyDescent="0.25">
      <c r="A34" s="113" t="s">
        <v>188</v>
      </c>
      <c r="B34" s="114"/>
      <c r="C34" s="114"/>
      <c r="D34" s="114"/>
      <c r="E34" s="114"/>
      <c r="F34" s="114"/>
      <c r="G34" s="114" t="s">
        <v>142</v>
      </c>
      <c r="H34" s="114" t="s">
        <v>142</v>
      </c>
      <c r="I34" s="114"/>
      <c r="J34" s="114"/>
      <c r="K34" s="114"/>
      <c r="L34" s="114"/>
    </row>
    <row r="35" spans="1:12" x14ac:dyDescent="0.25">
      <c r="A35" s="113" t="s">
        <v>189</v>
      </c>
      <c r="B35" s="114"/>
      <c r="C35" s="114"/>
      <c r="D35" s="114"/>
      <c r="E35" s="114"/>
      <c r="F35" s="114"/>
      <c r="G35" s="114" t="s">
        <v>142</v>
      </c>
      <c r="H35" s="114" t="s">
        <v>142</v>
      </c>
      <c r="I35" s="114"/>
      <c r="J35" s="114"/>
      <c r="K35" s="114"/>
      <c r="L35" s="114"/>
    </row>
    <row r="36" spans="1:12" x14ac:dyDescent="0.25">
      <c r="A36" s="113" t="s">
        <v>190</v>
      </c>
      <c r="B36" s="114"/>
      <c r="C36" s="114"/>
      <c r="D36" s="114"/>
      <c r="E36" s="114"/>
      <c r="F36" s="114"/>
      <c r="G36" s="114" t="s">
        <v>142</v>
      </c>
      <c r="H36" s="114" t="s">
        <v>142</v>
      </c>
      <c r="I36" s="114"/>
      <c r="J36" s="114"/>
      <c r="K36" s="114"/>
      <c r="L36" s="114"/>
    </row>
    <row r="37" spans="1:12" x14ac:dyDescent="0.25">
      <c r="A37" s="113" t="s">
        <v>191</v>
      </c>
      <c r="B37" s="114"/>
      <c r="C37" s="114"/>
      <c r="D37" s="114"/>
      <c r="E37" s="114"/>
      <c r="F37" s="114"/>
      <c r="G37" s="114" t="s">
        <v>142</v>
      </c>
      <c r="H37" s="114" t="s">
        <v>142</v>
      </c>
      <c r="I37" s="114"/>
      <c r="J37" s="114"/>
      <c r="K37" s="114"/>
      <c r="L37" s="114"/>
    </row>
    <row r="38" spans="1:12" x14ac:dyDescent="0.25">
      <c r="A38" s="113" t="s">
        <v>192</v>
      </c>
      <c r="B38" s="114"/>
      <c r="C38" s="114"/>
      <c r="D38" s="114"/>
      <c r="E38" s="114"/>
      <c r="F38" s="114"/>
      <c r="G38" s="114"/>
      <c r="H38" s="114" t="s">
        <v>142</v>
      </c>
      <c r="I38" s="114"/>
      <c r="J38" s="114"/>
      <c r="K38" s="114"/>
      <c r="L38" s="114"/>
    </row>
    <row r="39" spans="1:12" x14ac:dyDescent="0.25">
      <c r="A39" s="113" t="s">
        <v>193</v>
      </c>
      <c r="B39" s="114" t="s">
        <v>142</v>
      </c>
      <c r="C39" s="114"/>
      <c r="D39" s="114"/>
      <c r="E39" s="114"/>
      <c r="F39" s="114"/>
      <c r="G39" s="114" t="s">
        <v>142</v>
      </c>
      <c r="H39" s="114" t="s">
        <v>142</v>
      </c>
      <c r="I39" s="114"/>
      <c r="J39" s="114"/>
      <c r="K39" s="114"/>
      <c r="L39" s="114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223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06" t="s">
        <v>67</v>
      </c>
      <c r="B2" s="114" t="s">
        <v>142</v>
      </c>
      <c r="C2" s="114" t="s">
        <v>142</v>
      </c>
      <c r="D2" s="114" t="s">
        <v>142</v>
      </c>
      <c r="E2" s="114" t="s">
        <v>142</v>
      </c>
      <c r="F2" s="114" t="s">
        <v>142</v>
      </c>
      <c r="G2" s="114" t="s">
        <v>142</v>
      </c>
      <c r="H2" s="114" t="s">
        <v>142</v>
      </c>
      <c r="I2" s="114"/>
      <c r="J2" s="114"/>
      <c r="K2" s="114"/>
      <c r="L2" s="114"/>
    </row>
    <row r="3" spans="1:12" x14ac:dyDescent="0.25">
      <c r="A3" s="106" t="s">
        <v>77</v>
      </c>
      <c r="B3" s="114" t="s">
        <v>142</v>
      </c>
      <c r="C3" s="114" t="s">
        <v>142</v>
      </c>
      <c r="D3" s="114" t="s">
        <v>142</v>
      </c>
      <c r="E3" s="114" t="s">
        <v>142</v>
      </c>
      <c r="F3" s="114" t="s">
        <v>142</v>
      </c>
      <c r="G3" s="114" t="s">
        <v>142</v>
      </c>
      <c r="H3" s="114" t="s">
        <v>142</v>
      </c>
      <c r="I3" s="114"/>
      <c r="J3" s="114"/>
      <c r="K3" s="114"/>
      <c r="L3" s="114"/>
    </row>
    <row r="4" spans="1:12" x14ac:dyDescent="0.25">
      <c r="A4" s="106" t="s">
        <v>78</v>
      </c>
      <c r="B4" s="114" t="s">
        <v>142</v>
      </c>
      <c r="C4" s="114" t="s">
        <v>142</v>
      </c>
      <c r="D4" s="114" t="s">
        <v>142</v>
      </c>
      <c r="E4" s="114" t="s">
        <v>142</v>
      </c>
      <c r="F4" s="114" t="s">
        <v>142</v>
      </c>
      <c r="G4" s="114" t="s">
        <v>142</v>
      </c>
      <c r="H4" s="114" t="s">
        <v>142</v>
      </c>
      <c r="I4" s="114"/>
      <c r="J4" s="114"/>
      <c r="K4" s="114"/>
      <c r="L4" s="114"/>
    </row>
    <row r="5" spans="1:12" x14ac:dyDescent="0.25">
      <c r="A5" s="106" t="s">
        <v>79</v>
      </c>
      <c r="B5" s="114" t="s">
        <v>142</v>
      </c>
      <c r="C5" s="114" t="s">
        <v>142</v>
      </c>
      <c r="D5" s="114" t="s">
        <v>142</v>
      </c>
      <c r="E5" s="114" t="s">
        <v>142</v>
      </c>
      <c r="F5" s="114" t="s">
        <v>142</v>
      </c>
      <c r="G5" s="114" t="s">
        <v>142</v>
      </c>
      <c r="H5" s="114" t="s">
        <v>142</v>
      </c>
      <c r="I5" s="114"/>
      <c r="J5" s="114"/>
      <c r="K5" s="114"/>
      <c r="L5" s="114"/>
    </row>
    <row r="6" spans="1:12" x14ac:dyDescent="0.25">
      <c r="A6" s="106" t="s">
        <v>80</v>
      </c>
      <c r="B6" s="114" t="s">
        <v>142</v>
      </c>
      <c r="C6" s="114" t="s">
        <v>142</v>
      </c>
      <c r="D6" s="114" t="s">
        <v>142</v>
      </c>
      <c r="E6" s="114" t="s">
        <v>142</v>
      </c>
      <c r="F6" s="114" t="s">
        <v>142</v>
      </c>
      <c r="G6" s="114" t="s">
        <v>142</v>
      </c>
      <c r="H6" s="114" t="s">
        <v>142</v>
      </c>
      <c r="I6" s="114"/>
      <c r="J6" s="114"/>
      <c r="K6" s="114"/>
      <c r="L6" s="114"/>
    </row>
    <row r="7" spans="1:12" x14ac:dyDescent="0.25">
      <c r="A7" s="106" t="s">
        <v>112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 t="s">
        <v>142</v>
      </c>
      <c r="J7" s="114"/>
      <c r="K7" s="114"/>
      <c r="L7" s="114" t="s">
        <v>142</v>
      </c>
    </row>
    <row r="8" spans="1:12" x14ac:dyDescent="0.25">
      <c r="A8" s="106" t="s">
        <v>113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 t="s">
        <v>142</v>
      </c>
      <c r="J8" s="114"/>
      <c r="K8" s="114"/>
      <c r="L8" s="114" t="s">
        <v>142</v>
      </c>
    </row>
    <row r="9" spans="1:12" x14ac:dyDescent="0.25">
      <c r="A9" s="106" t="s">
        <v>114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 t="s">
        <v>142</v>
      </c>
      <c r="J9" s="114"/>
      <c r="K9" s="114"/>
      <c r="L9" s="114" t="s">
        <v>142</v>
      </c>
    </row>
    <row r="10" spans="1:12" x14ac:dyDescent="0.25">
      <c r="A10" s="106" t="s">
        <v>115</v>
      </c>
      <c r="B10" s="114"/>
      <c r="C10" s="114" t="s">
        <v>142</v>
      </c>
      <c r="D10" s="114"/>
      <c r="E10" s="114"/>
      <c r="F10" s="114"/>
      <c r="G10" s="114"/>
      <c r="H10" s="114" t="s">
        <v>142</v>
      </c>
      <c r="I10" s="114" t="s">
        <v>142</v>
      </c>
      <c r="J10" s="114"/>
      <c r="K10" s="114"/>
      <c r="L10" s="114" t="s">
        <v>142</v>
      </c>
    </row>
    <row r="11" spans="1:12" x14ac:dyDescent="0.25">
      <c r="A11" s="106" t="s">
        <v>58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 t="s">
        <v>142</v>
      </c>
      <c r="K11" s="114" t="s">
        <v>142</v>
      </c>
      <c r="L11" s="114"/>
    </row>
    <row r="12" spans="1:12" x14ac:dyDescent="0.25">
      <c r="A12" s="106" t="s">
        <v>59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 t="s">
        <v>142</v>
      </c>
      <c r="L12" s="114"/>
    </row>
    <row r="13" spans="1:12" x14ac:dyDescent="0.25">
      <c r="A13" s="106" t="s">
        <v>60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 t="s">
        <v>142</v>
      </c>
      <c r="L13" s="114"/>
    </row>
    <row r="14" spans="1:12" x14ac:dyDescent="0.25">
      <c r="A14" s="106" t="s">
        <v>61</v>
      </c>
      <c r="B14" s="114"/>
      <c r="C14" s="114" t="s">
        <v>142</v>
      </c>
      <c r="D14" s="114"/>
      <c r="E14" s="114"/>
      <c r="F14" s="114"/>
      <c r="G14" s="114"/>
      <c r="H14" s="114"/>
      <c r="I14" s="114"/>
      <c r="J14" s="114"/>
      <c r="K14" s="114" t="s">
        <v>142</v>
      </c>
      <c r="L14" s="114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6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6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6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6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6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6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6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6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6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274</v>
      </c>
    </row>
    <row r="2" spans="1:7" ht="14.25" customHeight="1" x14ac:dyDescent="0.3">
      <c r="A2" s="120" t="s">
        <v>196</v>
      </c>
      <c r="B2" s="105"/>
      <c r="C2" s="103" t="s">
        <v>67</v>
      </c>
      <c r="D2" s="103" t="s">
        <v>77</v>
      </c>
      <c r="E2" s="103" t="s">
        <v>78</v>
      </c>
      <c r="F2" s="103" t="s">
        <v>79</v>
      </c>
      <c r="G2" s="103" t="s">
        <v>80</v>
      </c>
    </row>
    <row r="3" spans="1:7" ht="14.25" customHeight="1" x14ac:dyDescent="0.25">
      <c r="B3" s="115" t="s">
        <v>275</v>
      </c>
      <c r="C3" s="116" t="s">
        <v>276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277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278</v>
      </c>
    </row>
    <row r="6" spans="1:7" ht="14.25" customHeight="1" x14ac:dyDescent="0.25">
      <c r="B6" s="115" t="s">
        <v>184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177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162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185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193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279</v>
      </c>
    </row>
    <row r="13" spans="1:7" ht="14.25" customHeight="1" x14ac:dyDescent="0.3">
      <c r="A13" s="121"/>
      <c r="B13" s="115" t="s">
        <v>176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280</v>
      </c>
    </row>
    <row r="16" spans="1:7" ht="14.25" customHeight="1" x14ac:dyDescent="0.3">
      <c r="A16" s="120" t="s">
        <v>265</v>
      </c>
      <c r="B16" s="115" t="s">
        <v>281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282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111</v>
      </c>
      <c r="B18" s="115" t="s">
        <v>283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284</v>
      </c>
    </row>
    <row r="21" spans="1:7" s="121" customFormat="1" ht="14.25" customHeight="1" x14ac:dyDescent="0.3">
      <c r="C21" s="122" t="s">
        <v>58</v>
      </c>
      <c r="D21" s="122" t="s">
        <v>59</v>
      </c>
      <c r="E21" s="122" t="s">
        <v>60</v>
      </c>
      <c r="F21" s="122" t="s">
        <v>61</v>
      </c>
    </row>
    <row r="22" spans="1:7" x14ac:dyDescent="0.25">
      <c r="B22" s="115" t="s">
        <v>164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228</v>
      </c>
    </row>
    <row r="25" spans="1:7" ht="13" x14ac:dyDescent="0.3">
      <c r="A25" s="118" t="s">
        <v>274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196</v>
      </c>
      <c r="B26" s="105"/>
      <c r="C26" s="103" t="s">
        <v>67</v>
      </c>
      <c r="D26" s="103" t="s">
        <v>77</v>
      </c>
      <c r="E26" s="103" t="s">
        <v>78</v>
      </c>
      <c r="F26" s="103" t="s">
        <v>79</v>
      </c>
      <c r="G26" s="103" t="s">
        <v>80</v>
      </c>
    </row>
    <row r="27" spans="1:7" x14ac:dyDescent="0.25">
      <c r="B27" s="115" t="s">
        <v>285</v>
      </c>
      <c r="C27" s="116" t="s">
        <v>276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286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287</v>
      </c>
    </row>
    <row r="30" spans="1:7" x14ac:dyDescent="0.25">
      <c r="B30" s="115" t="s">
        <v>288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370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290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291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293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280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265</v>
      </c>
      <c r="B40" s="115" t="s">
        <v>294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295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111</v>
      </c>
      <c r="B42" s="115" t="s">
        <v>296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297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58</v>
      </c>
      <c r="D45" s="122" t="s">
        <v>59</v>
      </c>
      <c r="E45" s="122" t="s">
        <v>60</v>
      </c>
      <c r="F45" s="122" t="s">
        <v>61</v>
      </c>
      <c r="G45" s="121"/>
    </row>
    <row r="46" spans="1:7" x14ac:dyDescent="0.25">
      <c r="B46" s="115" t="s">
        <v>298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232</v>
      </c>
    </row>
    <row r="49" spans="1:7" ht="13" x14ac:dyDescent="0.3">
      <c r="A49" s="118" t="s">
        <v>274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196</v>
      </c>
      <c r="B50" s="105"/>
      <c r="C50" s="103" t="s">
        <v>67</v>
      </c>
      <c r="D50" s="103" t="s">
        <v>77</v>
      </c>
      <c r="E50" s="103" t="s">
        <v>78</v>
      </c>
      <c r="F50" s="103" t="s">
        <v>79</v>
      </c>
      <c r="G50" s="103" t="s">
        <v>80</v>
      </c>
    </row>
    <row r="51" spans="1:7" x14ac:dyDescent="0.25">
      <c r="B51" s="115" t="s">
        <v>299</v>
      </c>
      <c r="C51" s="116" t="s">
        <v>276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300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301</v>
      </c>
    </row>
    <row r="54" spans="1:7" x14ac:dyDescent="0.25">
      <c r="B54" s="115" t="s">
        <v>302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303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371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304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305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306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307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280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265</v>
      </c>
      <c r="B64" s="115" t="s">
        <v>308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309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111</v>
      </c>
      <c r="B66" s="115" t="s">
        <v>310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311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58</v>
      </c>
      <c r="D69" s="122" t="s">
        <v>59</v>
      </c>
      <c r="E69" s="122" t="s">
        <v>60</v>
      </c>
      <c r="F69" s="122" t="s">
        <v>61</v>
      </c>
      <c r="G69" s="121"/>
    </row>
    <row r="70" spans="1:7" x14ac:dyDescent="0.25">
      <c r="B70" s="115" t="s">
        <v>312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149</v>
      </c>
      <c r="B1" s="103"/>
      <c r="C1" s="103" t="s">
        <v>40</v>
      </c>
      <c r="D1" s="103" t="s">
        <v>42</v>
      </c>
      <c r="E1" s="103" t="s">
        <v>41</v>
      </c>
      <c r="F1" s="105" t="s">
        <v>43</v>
      </c>
    </row>
    <row r="2" spans="1:6" ht="15.75" customHeight="1" x14ac:dyDescent="0.25">
      <c r="A2" s="115" t="s">
        <v>159</v>
      </c>
      <c r="B2" s="115" t="s">
        <v>313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314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161</v>
      </c>
      <c r="B4" s="115" t="s">
        <v>313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172</v>
      </c>
      <c r="B6" s="115" t="s">
        <v>313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314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173</v>
      </c>
      <c r="B8" s="115" t="s">
        <v>313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314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174</v>
      </c>
      <c r="B10" s="115" t="s">
        <v>313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314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178</v>
      </c>
      <c r="B12" s="115" t="s">
        <v>313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314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182</v>
      </c>
      <c r="B14" s="115" t="s">
        <v>313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314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228</v>
      </c>
    </row>
    <row r="18" spans="1:6" ht="15.75" customHeight="1" x14ac:dyDescent="0.3">
      <c r="A18" s="105" t="s">
        <v>149</v>
      </c>
      <c r="B18" s="103"/>
      <c r="C18" s="103" t="s">
        <v>40</v>
      </c>
      <c r="D18" s="103" t="s">
        <v>42</v>
      </c>
      <c r="E18" s="103" t="s">
        <v>41</v>
      </c>
      <c r="F18" s="105" t="s">
        <v>43</v>
      </c>
    </row>
    <row r="19" spans="1:6" ht="15.75" customHeight="1" x14ac:dyDescent="0.25">
      <c r="A19" s="115" t="s">
        <v>159</v>
      </c>
      <c r="B19" s="115" t="s">
        <v>313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314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161</v>
      </c>
      <c r="B21" s="115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172</v>
      </c>
      <c r="B23" s="115" t="s">
        <v>313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314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173</v>
      </c>
      <c r="B25" s="115" t="s">
        <v>313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314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174</v>
      </c>
      <c r="B27" s="115" t="s">
        <v>313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314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178</v>
      </c>
      <c r="B29" s="115" t="s">
        <v>313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314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182</v>
      </c>
      <c r="B31" s="115" t="s">
        <v>313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314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232</v>
      </c>
    </row>
    <row r="35" spans="1:6" ht="15.75" customHeight="1" x14ac:dyDescent="0.3">
      <c r="A35" s="105" t="s">
        <v>149</v>
      </c>
      <c r="B35" s="103"/>
      <c r="C35" s="103" t="s">
        <v>40</v>
      </c>
      <c r="D35" s="103" t="s">
        <v>42</v>
      </c>
      <c r="E35" s="103" t="s">
        <v>41</v>
      </c>
      <c r="F35" s="105" t="s">
        <v>43</v>
      </c>
    </row>
    <row r="36" spans="1:6" ht="15.75" customHeight="1" x14ac:dyDescent="0.25">
      <c r="A36" s="115" t="s">
        <v>159</v>
      </c>
      <c r="B36" s="115" t="s">
        <v>313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314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161</v>
      </c>
      <c r="B38" s="115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172</v>
      </c>
      <c r="B40" s="115" t="s">
        <v>313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314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173</v>
      </c>
      <c r="B42" s="115" t="s">
        <v>313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314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174</v>
      </c>
      <c r="B44" s="115" t="s">
        <v>313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314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178</v>
      </c>
      <c r="B46" s="115" t="s">
        <v>313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314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182</v>
      </c>
      <c r="B48" s="115" t="s">
        <v>313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314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177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149</v>
      </c>
      <c r="B1" s="103" t="s">
        <v>329</v>
      </c>
      <c r="C1" s="120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113" t="s">
        <v>186</v>
      </c>
      <c r="B2" s="113" t="s">
        <v>81</v>
      </c>
      <c r="C2" s="113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184</v>
      </c>
      <c r="B5" s="113" t="s">
        <v>198</v>
      </c>
      <c r="C5" s="113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197</v>
      </c>
      <c r="C7" s="113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177</v>
      </c>
      <c r="B9" s="113" t="s">
        <v>198</v>
      </c>
      <c r="C9" s="113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197</v>
      </c>
      <c r="C11" s="113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185</v>
      </c>
      <c r="B13" s="113" t="s">
        <v>198</v>
      </c>
      <c r="C13" s="113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197</v>
      </c>
      <c r="C15" s="113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332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162</v>
      </c>
      <c r="B19" s="113" t="s">
        <v>198</v>
      </c>
      <c r="C19" s="113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197</v>
      </c>
      <c r="C21" s="113" t="s">
        <v>331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333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167</v>
      </c>
      <c r="B23" s="113" t="s">
        <v>74</v>
      </c>
      <c r="C23" s="113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165</v>
      </c>
      <c r="B25" s="113" t="s">
        <v>74</v>
      </c>
      <c r="C25" s="113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166</v>
      </c>
      <c r="B27" s="113" t="s">
        <v>74</v>
      </c>
      <c r="C27" s="113" t="s">
        <v>331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332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190</v>
      </c>
      <c r="B29" s="113" t="s">
        <v>81</v>
      </c>
      <c r="C29" s="113" t="s">
        <v>331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332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333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191</v>
      </c>
      <c r="B32" s="113" t="s">
        <v>81</v>
      </c>
      <c r="C32" s="113" t="s">
        <v>331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332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333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189</v>
      </c>
      <c r="B35" s="113" t="s">
        <v>81</v>
      </c>
      <c r="C35" s="113" t="s">
        <v>331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332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333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188</v>
      </c>
      <c r="B38" s="113" t="s">
        <v>81</v>
      </c>
      <c r="C38" s="113" t="s">
        <v>331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332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333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187</v>
      </c>
      <c r="B41" s="113" t="s">
        <v>81</v>
      </c>
      <c r="C41" s="113" t="s">
        <v>331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332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333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193</v>
      </c>
      <c r="B44" s="113" t="s">
        <v>81</v>
      </c>
      <c r="C44" s="113" t="s">
        <v>331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332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333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82</v>
      </c>
      <c r="C47" s="113" t="s">
        <v>331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332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333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183</v>
      </c>
      <c r="B50" s="113" t="s">
        <v>81</v>
      </c>
      <c r="C50" s="113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332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192</v>
      </c>
      <c r="B52" s="113" t="s">
        <v>81</v>
      </c>
      <c r="C52" s="113" t="s">
        <v>331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332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176</v>
      </c>
      <c r="B54" s="113" t="s">
        <v>72</v>
      </c>
      <c r="C54" s="113" t="s">
        <v>331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332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323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149</v>
      </c>
      <c r="B58" s="103" t="s">
        <v>329</v>
      </c>
      <c r="C58" s="120" t="s">
        <v>330</v>
      </c>
      <c r="D58" s="4" t="s">
        <v>67</v>
      </c>
      <c r="E58" s="4" t="s">
        <v>77</v>
      </c>
      <c r="F58" s="4" t="s">
        <v>78</v>
      </c>
      <c r="G58" s="4" t="s">
        <v>79</v>
      </c>
      <c r="H58" s="4" t="s">
        <v>80</v>
      </c>
    </row>
    <row r="59" spans="1:8" x14ac:dyDescent="0.25">
      <c r="A59" s="113" t="s">
        <v>186</v>
      </c>
      <c r="B59" s="113" t="s">
        <v>81</v>
      </c>
      <c r="C59" s="113" t="s">
        <v>331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332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333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184</v>
      </c>
      <c r="B62" s="113" t="s">
        <v>198</v>
      </c>
      <c r="C62" s="113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197</v>
      </c>
      <c r="C64" s="113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177</v>
      </c>
      <c r="B66" s="113" t="s">
        <v>198</v>
      </c>
      <c r="C66" s="113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197</v>
      </c>
      <c r="C68" s="113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333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185</v>
      </c>
      <c r="B70" s="113" t="s">
        <v>198</v>
      </c>
      <c r="C70" s="113" t="s">
        <v>331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333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197</v>
      </c>
      <c r="C72" s="113" t="s">
        <v>331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331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332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162</v>
      </c>
      <c r="B76" s="113" t="s">
        <v>198</v>
      </c>
      <c r="C76" s="113" t="s">
        <v>331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333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197</v>
      </c>
      <c r="C78" s="113" t="s">
        <v>331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333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167</v>
      </c>
      <c r="B80" s="113" t="s">
        <v>74</v>
      </c>
      <c r="C80" s="113" t="s">
        <v>331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332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165</v>
      </c>
      <c r="B82" s="113" t="s">
        <v>74</v>
      </c>
      <c r="C82" s="113" t="s">
        <v>331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332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166</v>
      </c>
      <c r="B84" s="113" t="s">
        <v>74</v>
      </c>
      <c r="C84" s="113" t="s">
        <v>331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332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190</v>
      </c>
      <c r="B86" s="113" t="s">
        <v>81</v>
      </c>
      <c r="C86" s="113" t="s">
        <v>331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332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333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191</v>
      </c>
      <c r="B89" s="113" t="s">
        <v>81</v>
      </c>
      <c r="C89" s="113" t="s">
        <v>331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332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333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189</v>
      </c>
      <c r="B92" s="113" t="s">
        <v>81</v>
      </c>
      <c r="C92" s="113" t="s">
        <v>331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332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333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188</v>
      </c>
      <c r="B95" s="113" t="s">
        <v>81</v>
      </c>
      <c r="C95" s="113" t="s">
        <v>331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332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333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187</v>
      </c>
      <c r="B98" s="113" t="s">
        <v>81</v>
      </c>
      <c r="C98" s="113" t="s">
        <v>331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332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333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193</v>
      </c>
      <c r="B101" s="113" t="s">
        <v>81</v>
      </c>
      <c r="C101" s="113" t="s">
        <v>331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332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333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82</v>
      </c>
      <c r="C104" s="113" t="s">
        <v>331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332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333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183</v>
      </c>
      <c r="B107" s="113" t="s">
        <v>81</v>
      </c>
      <c r="C107" s="113" t="s">
        <v>331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332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192</v>
      </c>
      <c r="B109" s="113" t="s">
        <v>81</v>
      </c>
      <c r="C109" s="113" t="s">
        <v>331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332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176</v>
      </c>
      <c r="B111" s="113" t="s">
        <v>72</v>
      </c>
      <c r="C111" s="113" t="s">
        <v>331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332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326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149</v>
      </c>
      <c r="B115" s="103" t="s">
        <v>329</v>
      </c>
      <c r="C115" s="120" t="s">
        <v>330</v>
      </c>
      <c r="D115" s="4" t="s">
        <v>67</v>
      </c>
      <c r="E115" s="4" t="s">
        <v>77</v>
      </c>
      <c r="F115" s="4" t="s">
        <v>78</v>
      </c>
      <c r="G115" s="4" t="s">
        <v>79</v>
      </c>
      <c r="H115" s="4" t="s">
        <v>80</v>
      </c>
    </row>
    <row r="116" spans="1:8" x14ac:dyDescent="0.25">
      <c r="A116" s="113" t="s">
        <v>186</v>
      </c>
      <c r="B116" s="113" t="s">
        <v>81</v>
      </c>
      <c r="C116" s="113" t="s">
        <v>331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332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333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184</v>
      </c>
      <c r="B119" s="113" t="s">
        <v>198</v>
      </c>
      <c r="C119" s="113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197</v>
      </c>
      <c r="C121" s="113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177</v>
      </c>
      <c r="B123" s="113" t="s">
        <v>198</v>
      </c>
      <c r="C123" s="113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333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197</v>
      </c>
      <c r="C125" s="113" t="s">
        <v>331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333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185</v>
      </c>
      <c r="B127" s="113" t="s">
        <v>198</v>
      </c>
      <c r="C127" s="113" t="s">
        <v>331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333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197</v>
      </c>
      <c r="C129" s="113" t="s">
        <v>331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333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331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332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162</v>
      </c>
      <c r="B133" s="113" t="s">
        <v>198</v>
      </c>
      <c r="C133" s="113" t="s">
        <v>331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333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197</v>
      </c>
      <c r="C135" s="113" t="s">
        <v>331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333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167</v>
      </c>
      <c r="B137" s="113" t="s">
        <v>74</v>
      </c>
      <c r="C137" s="113" t="s">
        <v>331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332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165</v>
      </c>
      <c r="B139" s="113" t="s">
        <v>74</v>
      </c>
      <c r="C139" s="113" t="s">
        <v>331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332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166</v>
      </c>
      <c r="B141" s="113" t="s">
        <v>74</v>
      </c>
      <c r="C141" s="113" t="s">
        <v>331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332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190</v>
      </c>
      <c r="B143" s="113" t="s">
        <v>81</v>
      </c>
      <c r="C143" s="113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332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191</v>
      </c>
      <c r="B146" s="113" t="s">
        <v>81</v>
      </c>
      <c r="C146" s="113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189</v>
      </c>
      <c r="B149" s="113" t="s">
        <v>81</v>
      </c>
      <c r="C149" s="113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188</v>
      </c>
      <c r="B152" s="113" t="s">
        <v>81</v>
      </c>
      <c r="C152" s="113" t="s">
        <v>331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332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333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187</v>
      </c>
      <c r="B155" s="113" t="s">
        <v>81</v>
      </c>
      <c r="C155" s="113" t="s">
        <v>331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193</v>
      </c>
      <c r="B158" s="113" t="s">
        <v>81</v>
      </c>
      <c r="C158" s="113" t="s">
        <v>331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332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333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82</v>
      </c>
      <c r="C161" s="113" t="s">
        <v>331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332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333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183</v>
      </c>
      <c r="B164" s="113" t="s">
        <v>81</v>
      </c>
      <c r="C164" s="113" t="s">
        <v>331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332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192</v>
      </c>
      <c r="B166" s="113" t="s">
        <v>81</v>
      </c>
      <c r="C166" s="113" t="s">
        <v>331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332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176</v>
      </c>
      <c r="B168" s="113" t="s">
        <v>72</v>
      </c>
      <c r="C168" s="113" t="s">
        <v>331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332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QZuJBLT18RLClOQpds4MuooJcG/7vFHLggKJjPvPOQAFJAkJ01ilC4kkb2DTiT5pCXWheznDmX2e8pP9U30oZA==" saltValue="StP3eyhH6xyKX3Qyhj6KZ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206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206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206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2025-07-29T06:41:29Z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