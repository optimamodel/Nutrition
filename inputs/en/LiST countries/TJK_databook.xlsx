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FD32AD5-965D-4DD4-9207-F5662289A840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4" i="2" l="1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<sst xmlns="http://schemas.openxmlformats.org/spreadsheetml/2006/main" count="2101" uniqueCount="341">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</sst>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1263402.15625</v>
      </c>
    </row>
    <row r="8" spans="1:3" ht="15" customHeight="1" x14ac:dyDescent="0.25">
      <c r="B8" s="5" t="s">
        <v>8</v>
      </c>
      <c r="C8" s="44">
        <v>4.8000000000000001E-2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0.78182266235351605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8.7300000000000003E-2</v>
      </c>
    </row>
    <row r="24" spans="1:3" ht="15" customHeight="1" x14ac:dyDescent="0.25">
      <c r="B24" s="15" t="s">
        <v>22</v>
      </c>
      <c r="C24" s="45">
        <v>0.59660000000000002</v>
      </c>
    </row>
    <row r="25" spans="1:3" ht="15" customHeight="1" x14ac:dyDescent="0.25">
      <c r="B25" s="15" t="s">
        <v>23</v>
      </c>
      <c r="C25" s="45">
        <v>0.28710000000000002</v>
      </c>
    </row>
    <row r="26" spans="1:3" ht="15" customHeight="1" x14ac:dyDescent="0.25">
      <c r="B26" s="15" t="s">
        <v>24</v>
      </c>
      <c r="C26" s="45">
        <v>2.9000000000000001E-2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0.32097876330389902</v>
      </c>
    </row>
    <row r="30" spans="1:3" ht="14.25" customHeight="1" x14ac:dyDescent="0.25">
      <c r="B30" s="25" t="s">
        <v>27</v>
      </c>
      <c r="C30" s="99">
        <v>0.11435649369624799</v>
      </c>
    </row>
    <row r="31" spans="1:3" ht="14.25" customHeight="1" x14ac:dyDescent="0.25">
      <c r="B31" s="25" t="s">
        <v>28</v>
      </c>
      <c r="C31" s="99">
        <v>0.128931423055959</v>
      </c>
    </row>
    <row r="32" spans="1:3" ht="14.25" customHeight="1" x14ac:dyDescent="0.25">
      <c r="B32" s="25" t="s">
        <v>29</v>
      </c>
      <c r="C32" s="99">
        <v>0.43573331994389503</v>
      </c>
    </row>
    <row r="33" spans="1:5" ht="13" customHeight="1" x14ac:dyDescent="0.25">
      <c r="B33" s="27" t="s">
        <v>30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13.569990000000001</v>
      </c>
    </row>
    <row r="38" spans="1:5" ht="15" customHeight="1" x14ac:dyDescent="0.25">
      <c r="B38" s="11" t="s">
        <v>34</v>
      </c>
      <c r="C38" s="43">
        <v>27.63936</v>
      </c>
      <c r="D38" s="12"/>
      <c r="E38" s="13"/>
    </row>
    <row r="39" spans="1:5" ht="15" customHeight="1" x14ac:dyDescent="0.25">
      <c r="B39" s="11" t="s">
        <v>35</v>
      </c>
      <c r="C39" s="43">
        <v>31.419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5.9144999999999996E-3</v>
      </c>
      <c r="D45" s="12"/>
    </row>
    <row r="46" spans="1:5" ht="15.75" customHeight="1" x14ac:dyDescent="0.25">
      <c r="B46" s="11" t="s">
        <v>41</v>
      </c>
      <c r="C46" s="45">
        <v>6.3550899999999994E-2</v>
      </c>
      <c r="D46" s="12"/>
    </row>
    <row r="47" spans="1:5" ht="15.75" customHeight="1" x14ac:dyDescent="0.25">
      <c r="B47" s="11" t="s">
        <v>42</v>
      </c>
      <c r="C47" s="45">
        <v>7.5376799999999994E-2</v>
      </c>
      <c r="D47" s="12"/>
      <c r="E47" s="13"/>
    </row>
    <row r="48" spans="1:5" ht="15" customHeight="1" x14ac:dyDescent="0.25">
      <c r="B48" s="11" t="s">
        <v>43</v>
      </c>
      <c r="C48" s="46">
        <v>0.85515780000000008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0.58725400000000005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5.6252946999999998E-2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255447</v>
      </c>
      <c r="C2" s="49">
        <v>573742</v>
      </c>
      <c r="D2" s="49">
        <v>837671</v>
      </c>
      <c r="E2" s="49">
        <v>783489.5</v>
      </c>
      <c r="F2" s="49">
        <v>441391</v>
      </c>
      <c r="G2" s="17">
        <f t="shared" ref="G2:G13" si="0">C2+D2+E2+F2</f>
        <v>2636293.5</v>
      </c>
      <c r="H2" s="17">
        <f t="shared" ref="H2:H13" si="1">(B2 + stillbirth*B2/(1000-stillbirth))/(1-abortion)</f>
        <v>292955.358381094</v>
      </c>
      <c r="I2" s="17">
        <f t="shared" ref="I2:I13" si="2">G2-H2</f>
        <v>2343338.1416189061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253441</v>
      </c>
      <c r="C3" s="50">
        <v>596506</v>
      </c>
      <c r="D3" s="50">
        <v>836095.00000000012</v>
      </c>
      <c r="E3" s="50">
        <v>796858.5</v>
      </c>
      <c r="F3" s="50">
        <v>459573</v>
      </c>
      <c r="G3" s="17">
        <f t="shared" si="0"/>
        <v>2689032.5</v>
      </c>
      <c r="H3" s="17">
        <f t="shared" si="1"/>
        <v>290654.80895631132</v>
      </c>
      <c r="I3" s="17">
        <f t="shared" si="2"/>
        <v>2398377.6910436889</v>
      </c>
    </row>
    <row r="4" spans="1:9" ht="15.75" customHeight="1" x14ac:dyDescent="0.25">
      <c r="A4" s="5">
        <f t="shared" si="3"/>
        <v>2026</v>
      </c>
      <c r="B4" s="49">
        <v>252625</v>
      </c>
      <c r="C4" s="50">
        <v>620504.5</v>
      </c>
      <c r="D4" s="50">
        <v>837810.5</v>
      </c>
      <c r="E4" s="50">
        <v>803385.5</v>
      </c>
      <c r="F4" s="50">
        <v>481907</v>
      </c>
      <c r="G4" s="17">
        <f t="shared" si="0"/>
        <v>2743607.5</v>
      </c>
      <c r="H4" s="17">
        <f t="shared" si="1"/>
        <v>289718.99224114546</v>
      </c>
      <c r="I4" s="17">
        <f t="shared" si="2"/>
        <v>2453888.5077588544</v>
      </c>
    </row>
    <row r="5" spans="1:9" ht="15.75" customHeight="1" x14ac:dyDescent="0.25">
      <c r="A5" s="5">
        <f t="shared" si="3"/>
        <v>2027</v>
      </c>
      <c r="B5" s="49">
        <v>251739</v>
      </c>
      <c r="C5" s="50">
        <v>644560</v>
      </c>
      <c r="D5" s="50">
        <v>844390</v>
      </c>
      <c r="E5" s="50">
        <v>804429</v>
      </c>
      <c r="F5" s="50">
        <v>508581.5</v>
      </c>
      <c r="G5" s="17">
        <f t="shared" si="0"/>
        <v>2801960.5</v>
      </c>
      <c r="H5" s="17">
        <f t="shared" si="1"/>
        <v>288702.89713129622</v>
      </c>
      <c r="I5" s="17">
        <f t="shared" si="2"/>
        <v>2513257.6028687037</v>
      </c>
    </row>
    <row r="6" spans="1:9" ht="15.75" customHeight="1" x14ac:dyDescent="0.25">
      <c r="A6" s="5">
        <f t="shared" si="3"/>
        <v>2028</v>
      </c>
      <c r="B6" s="49">
        <v>252257</v>
      </c>
      <c r="C6" s="50">
        <v>668044.5</v>
      </c>
      <c r="D6" s="50">
        <v>854149</v>
      </c>
      <c r="E6" s="50">
        <v>804928</v>
      </c>
      <c r="F6" s="50">
        <v>537456.5</v>
      </c>
      <c r="G6" s="17">
        <f t="shared" si="0"/>
        <v>2864578</v>
      </c>
      <c r="H6" s="17">
        <f t="shared" si="1"/>
        <v>289296.95725195302</v>
      </c>
      <c r="I6" s="17">
        <f t="shared" si="2"/>
        <v>2575281.042748047</v>
      </c>
    </row>
    <row r="7" spans="1:9" ht="15.75" customHeight="1" x14ac:dyDescent="0.25">
      <c r="A7" s="5">
        <f t="shared" si="3"/>
        <v>2029</v>
      </c>
      <c r="B7" s="49">
        <v>255381</v>
      </c>
      <c r="C7" s="50">
        <v>689329</v>
      </c>
      <c r="D7" s="50">
        <v>868700.5</v>
      </c>
      <c r="E7" s="50">
        <v>804514</v>
      </c>
      <c r="F7" s="50">
        <v>565873.99999999988</v>
      </c>
      <c r="G7" s="17">
        <f t="shared" si="0"/>
        <v>2928417.5</v>
      </c>
      <c r="H7" s="17">
        <f t="shared" si="1"/>
        <v>292879.66732324974</v>
      </c>
      <c r="I7" s="17">
        <f t="shared" si="2"/>
        <v>2635537.8326767501</v>
      </c>
    </row>
    <row r="8" spans="1:9" ht="15.75" customHeight="1" x14ac:dyDescent="0.25">
      <c r="A8" s="5">
        <f t="shared" si="3"/>
        <v>2030</v>
      </c>
      <c r="B8" s="49">
        <v>258575</v>
      </c>
      <c r="C8" s="50">
        <v>706127.49999999988</v>
      </c>
      <c r="D8" s="50">
        <v>888690</v>
      </c>
      <c r="E8" s="50">
        <v>802347</v>
      </c>
      <c r="F8" s="50">
        <v>593078.5</v>
      </c>
      <c r="G8" s="17">
        <f t="shared" si="0"/>
        <v>2990243</v>
      </c>
      <c r="H8" s="17">
        <f t="shared" si="1"/>
        <v>296542.65578922979</v>
      </c>
      <c r="I8" s="17">
        <f t="shared" si="2"/>
        <v>2693700.34421077</v>
      </c>
    </row>
    <row r="9" spans="1:9" ht="15.75" customHeight="1" x14ac:dyDescent="0.25">
      <c r="A9" s="5">
        <f t="shared" si="3"/>
        <v>2031</v>
      </c>
      <c r="B9" s="49">
        <v>262203</v>
      </c>
      <c r="C9" s="50">
        <v>717009.5</v>
      </c>
      <c r="D9" s="50">
        <v>912325</v>
      </c>
      <c r="E9" s="50">
        <v>800716.5</v>
      </c>
      <c r="F9" s="50">
        <v>619196.5</v>
      </c>
      <c r="G9" s="17">
        <f t="shared" si="0"/>
        <v>3049247.5</v>
      </c>
      <c r="H9" s="17">
        <f t="shared" si="1"/>
        <v>300703.37030224665</v>
      </c>
      <c r="I9" s="17">
        <f t="shared" si="2"/>
        <v>2748544.1296977531</v>
      </c>
    </row>
    <row r="10" spans="1:9" ht="15.75" customHeight="1" x14ac:dyDescent="0.25">
      <c r="A10" s="5">
        <f t="shared" si="3"/>
        <v>2032</v>
      </c>
      <c r="B10" s="49">
        <v>266902</v>
      </c>
      <c r="C10" s="50">
        <v>724570.49999999988</v>
      </c>
      <c r="D10" s="50">
        <v>938928.5</v>
      </c>
      <c r="E10" s="50">
        <v>800506.5</v>
      </c>
      <c r="F10" s="50">
        <v>642799.5</v>
      </c>
      <c r="G10" s="17">
        <f t="shared" si="0"/>
        <v>3106805</v>
      </c>
      <c r="H10" s="17">
        <f t="shared" si="1"/>
        <v>306092.34425391868</v>
      </c>
      <c r="I10" s="17">
        <f t="shared" si="2"/>
        <v>2800712.6557460814</v>
      </c>
    </row>
    <row r="11" spans="1:9" ht="15.75" customHeight="1" x14ac:dyDescent="0.25">
      <c r="A11" s="5">
        <f t="shared" si="3"/>
        <v>2033</v>
      </c>
      <c r="B11" s="49">
        <v>271623</v>
      </c>
      <c r="C11" s="50">
        <v>730548</v>
      </c>
      <c r="D11" s="50">
        <v>968996.5</v>
      </c>
      <c r="E11" s="50">
        <v>800717</v>
      </c>
      <c r="F11" s="50">
        <v>662247.5</v>
      </c>
      <c r="G11" s="17">
        <f t="shared" si="0"/>
        <v>3162509</v>
      </c>
      <c r="H11" s="17">
        <f t="shared" si="1"/>
        <v>311506.54855820548</v>
      </c>
      <c r="I11" s="17">
        <f t="shared" si="2"/>
        <v>2851002.4514417946</v>
      </c>
    </row>
    <row r="12" spans="1:9" ht="15.75" customHeight="1" x14ac:dyDescent="0.25">
      <c r="A12" s="5">
        <f t="shared" si="3"/>
        <v>2034</v>
      </c>
      <c r="B12" s="49">
        <v>276512</v>
      </c>
      <c r="C12" s="50">
        <v>733294.5</v>
      </c>
      <c r="D12" s="50">
        <v>1002247</v>
      </c>
      <c r="E12" s="50">
        <v>799797.50000000012</v>
      </c>
      <c r="F12" s="50">
        <v>677290</v>
      </c>
      <c r="G12" s="17">
        <f t="shared" si="0"/>
        <v>3212629</v>
      </c>
      <c r="H12" s="17">
        <f t="shared" si="1"/>
        <v>317113.42100973224</v>
      </c>
      <c r="I12" s="17">
        <f t="shared" si="2"/>
        <v>2895515.5789902676</v>
      </c>
    </row>
    <row r="13" spans="1:9" ht="15.75" customHeight="1" x14ac:dyDescent="0.25">
      <c r="A13" s="5">
        <f t="shared" si="3"/>
        <v>2035</v>
      </c>
      <c r="B13" s="49">
        <v>279902</v>
      </c>
      <c r="C13" s="50">
        <v>732541</v>
      </c>
      <c r="D13" s="50">
        <v>1037066.5</v>
      </c>
      <c r="E13" s="50">
        <v>798364.49999999988</v>
      </c>
      <c r="F13" s="50">
        <v>688876.5</v>
      </c>
      <c r="G13" s="17">
        <f t="shared" si="0"/>
        <v>3256848.5</v>
      </c>
      <c r="H13" s="17">
        <f t="shared" si="1"/>
        <v>321001.18898082571</v>
      </c>
      <c r="I13" s="17">
        <f t="shared" si="2"/>
        <v>2935847.3110191743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3.0741955489755001E-3</v>
      </c>
    </row>
    <row r="4" spans="1:8" ht="15.75" customHeight="1" x14ac:dyDescent="0.25">
      <c r="B4" s="19" t="s">
        <v>69</v>
      </c>
      <c r="C4" s="101">
        <v>4.5714087306233192E-2</v>
      </c>
    </row>
    <row r="5" spans="1:8" ht="15.75" customHeight="1" x14ac:dyDescent="0.25">
      <c r="B5" s="19" t="s">
        <v>70</v>
      </c>
      <c r="C5" s="101">
        <v>6.2934905662831719E-2</v>
      </c>
    </row>
    <row r="6" spans="1:8" ht="15.75" customHeight="1" x14ac:dyDescent="0.25">
      <c r="B6" s="19" t="s">
        <v>71</v>
      </c>
      <c r="C6" s="101">
        <v>0.20706367546229029</v>
      </c>
    </row>
    <row r="7" spans="1:8" ht="15.75" customHeight="1" x14ac:dyDescent="0.25">
      <c r="B7" s="19" t="s">
        <v>72</v>
      </c>
      <c r="C7" s="101">
        <v>0.45319363919792882</v>
      </c>
    </row>
    <row r="8" spans="1:8" ht="15.75" customHeight="1" x14ac:dyDescent="0.25">
      <c r="B8" s="19" t="s">
        <v>73</v>
      </c>
      <c r="C8" s="101">
        <v>3.9374278179925862E-4</v>
      </c>
    </row>
    <row r="9" spans="1:8" ht="15.75" customHeight="1" x14ac:dyDescent="0.25">
      <c r="B9" s="19" t="s">
        <v>74</v>
      </c>
      <c r="C9" s="101">
        <v>0.12922187821010439</v>
      </c>
    </row>
    <row r="10" spans="1:8" ht="15.75" customHeight="1" x14ac:dyDescent="0.25">
      <c r="B10" s="19" t="s">
        <v>75</v>
      </c>
      <c r="C10" s="101">
        <v>9.8403875829836771E-2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82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83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87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88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89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5.4573182999999997E-2</v>
      </c>
    </row>
    <row r="27" spans="1:8" ht="15.75" customHeight="1" x14ac:dyDescent="0.25">
      <c r="B27" s="19" t="s">
        <v>92</v>
      </c>
      <c r="C27" s="101">
        <v>5.9409878999999999E-2</v>
      </c>
    </row>
    <row r="28" spans="1:8" ht="15.75" customHeight="1" x14ac:dyDescent="0.25">
      <c r="B28" s="19" t="s">
        <v>93</v>
      </c>
      <c r="C28" s="101">
        <v>0.12098242100000001</v>
      </c>
    </row>
    <row r="29" spans="1:8" ht="15.75" customHeight="1" x14ac:dyDescent="0.25">
      <c r="B29" s="19" t="s">
        <v>94</v>
      </c>
      <c r="C29" s="101">
        <v>0.13495797500000001</v>
      </c>
    </row>
    <row r="30" spans="1:8" ht="15.75" customHeight="1" x14ac:dyDescent="0.25">
      <c r="B30" s="19" t="s">
        <v>95</v>
      </c>
      <c r="C30" s="101">
        <v>8.1454253000000018E-2</v>
      </c>
    </row>
    <row r="31" spans="1:8" ht="15.75" customHeight="1" x14ac:dyDescent="0.25">
      <c r="B31" s="19" t="s">
        <v>96</v>
      </c>
      <c r="C31" s="101">
        <v>6.5903797E-2</v>
      </c>
    </row>
    <row r="32" spans="1:8" ht="15.75" customHeight="1" x14ac:dyDescent="0.25">
      <c r="B32" s="19" t="s">
        <v>97</v>
      </c>
      <c r="C32" s="101">
        <v>0.13216685</v>
      </c>
    </row>
    <row r="33" spans="2:3" ht="15.75" customHeight="1" x14ac:dyDescent="0.25">
      <c r="B33" s="19" t="s">
        <v>98</v>
      </c>
      <c r="C33" s="101">
        <v>0.12743632599999999</v>
      </c>
    </row>
    <row r="34" spans="2:3" ht="15.75" customHeight="1" x14ac:dyDescent="0.25">
      <c r="B34" s="19" t="s">
        <v>99</v>
      </c>
      <c r="C34" s="101">
        <v>0.22311531600000001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104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105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109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110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0.50674149000000002</v>
      </c>
      <c r="D14" s="54">
        <v>0.482549529468</v>
      </c>
      <c r="E14" s="54">
        <v>0.482549529468</v>
      </c>
      <c r="F14" s="54">
        <v>0.36602033348399998</v>
      </c>
      <c r="G14" s="54">
        <v>0.36602033348399998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0.29758596696846001</v>
      </c>
      <c r="D15" s="52">
        <f t="shared" si="0"/>
        <v>0.28337914137820092</v>
      </c>
      <c r="E15" s="52">
        <f t="shared" si="0"/>
        <v>0.28337914137820092</v>
      </c>
      <c r="F15" s="52">
        <f t="shared" si="0"/>
        <v>0.21494690491981294</v>
      </c>
      <c r="G15" s="52">
        <f t="shared" si="0"/>
        <v>0.21494690491981294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122</v>
      </c>
      <c r="C5" s="52">
        <v>5.6723700000000002E-2</v>
      </c>
      <c r="D5" s="52">
        <v>4.6961899999999987E-2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36.673102552348467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44.676188346342542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79.584386436751942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2.387299737651758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2.19022E-2</v>
      </c>
      <c r="C10" s="98">
        <v>0.95</v>
      </c>
      <c r="D10" s="56">
        <v>14.201250215462901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14.201250215462901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14.201250215462901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14.201250215462901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2.19022E-2</v>
      </c>
      <c r="C14" s="98">
        <v>0.95</v>
      </c>
      <c r="D14" s="56">
        <v>14.201250215462901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14.201250215462901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0.25753549775160939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0.31436900000000001</v>
      </c>
      <c r="C18" s="98">
        <v>0.95</v>
      </c>
      <c r="D18" s="56">
        <v>1.935478791236098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0.31436900000000001</v>
      </c>
      <c r="C19" s="98">
        <v>0.95</v>
      </c>
      <c r="D19" s="56">
        <v>1.935478791236098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21.219202862704289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24.214287028601191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1.96765E-2</v>
      </c>
      <c r="C23" s="98">
        <v>0.95</v>
      </c>
      <c r="D23" s="56">
        <v>4.6661477823845638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0.63038645218564004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2.19022E-2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20.50942560811496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0.61705699999999997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0.22507530000000001</v>
      </c>
      <c r="C29" s="98">
        <v>0.95</v>
      </c>
      <c r="D29" s="56">
        <v>64.905462330614313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1.9667472266035491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0.95</v>
      </c>
      <c r="C32" s="98">
        <v>0.95</v>
      </c>
      <c r="D32" s="56">
        <v>0.49558496612235631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0.72953559999999995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0.52023419999999998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2.6733799999999999E-2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0.65150499999999989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0.19674449999999999</v>
      </c>
      <c r="C38" s="98">
        <v>0.95</v>
      </c>
      <c r="D38" s="56">
        <v>3.0501808176615341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205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4.8000000000000001E-2</v>
      </c>
      <c r="E2" s="60">
        <f>food_insecure</f>
        <v>4.8000000000000001E-2</v>
      </c>
      <c r="F2" s="60">
        <f>food_insecure</f>
        <v>4.8000000000000001E-2</v>
      </c>
      <c r="G2" s="60">
        <f>food_insecure</f>
        <v>4.8000000000000001E-2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4.8000000000000001E-2</v>
      </c>
      <c r="I15" s="60">
        <f>food_insecure</f>
        <v>4.8000000000000001E-2</v>
      </c>
      <c r="J15" s="60">
        <f>food_insecure</f>
        <v>4.8000000000000001E-2</v>
      </c>
      <c r="K15" s="60">
        <f>food_insecure</f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0.49199999999999999</v>
      </c>
      <c r="M24" s="60">
        <f>famplan_unmet_need</f>
        <v>0.49199999999999999</v>
      </c>
      <c r="N24" s="60">
        <f>famplan_unmet_need</f>
        <v>0.49199999999999999</v>
      </c>
      <c r="O24" s="60">
        <f>famplan_unmet_need</f>
        <v>0.49199999999999999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0.10910612301025369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4.6759767004394437E-2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6.2311447631835805E-2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0.78182266235351605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0.1067744912297901</v>
      </c>
      <c r="G18" s="90">
        <f>MIN(MAX(1-0.89/(1-frac_sam_12_23months+(frac_sam_12_23months*0.89)),0),1)</f>
        <v>0.1079168752854841</v>
      </c>
      <c r="H18" s="90">
        <f>MIN(MAX(1-0.89/(1-frac_sam_24_59months+(frac_sam_24_59months*0.89)),0),1)</f>
        <v>0.10914839575403068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0.10331097425478253</v>
      </c>
      <c r="G20" s="90">
        <f>MIN(MAX(1-0.89/(1-frac_mam_12_23months+(frac_mam_12_23months*0.89)),0),1)</f>
        <v>0.1050108012676495</v>
      </c>
      <c r="H20" s="90">
        <f>MIN(MAX(1-0.89/(1-frac_mam_24_59months+(frac_mam_24_59months*0.89)),0),1)</f>
        <v>0.10795786935933538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9.6748960748834767E-3</v>
      </c>
      <c r="G73" s="90">
        <f>MIN(MAX(1-0.99/(1-frac_sam_12_23months+(frac_sam_12_23months*0.99)),0),1)</f>
        <v>9.7897942166754737E-3</v>
      </c>
      <c r="H73" s="90">
        <f>MIN(MAX(1-0.99/(1-frac_sam_24_59months+(frac_sam_24_59months*0.99)),0),1)</f>
        <v>9.9139575625680765E-3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9.3281719371118843E-3</v>
      </c>
      <c r="G75" s="90">
        <f>MIN(MAX(1-0.99/(1-frac_mam_12_23months+(frac_mam_12_23months*0.99)),0),1)</f>
        <v>9.4980324223691293E-3</v>
      </c>
      <c r="H75" s="90">
        <f>MIN(MAX(1-0.99/(1-frac_mam_24_59months+(frac_mam_24_59months*0.99)),0),1)</f>
        <v>9.7939222719275465E-3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0.19471280640171107</v>
      </c>
      <c r="G128" s="90">
        <f>MIN(MAX(1-0.8/(1-frac_sam_12_23months+(frac_sam_12_23months*0.8)),0),1)</f>
        <v>0.19658897387459984</v>
      </c>
      <c r="H128" s="90">
        <f>MIN(MAX(1-0.8/(1-frac_sam_24_59months+(frac_sam_24_59months*0.8)),0),1)</f>
        <v>0.19860711505453399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0.18900034682400169</v>
      </c>
      <c r="G130" s="90">
        <f>MIN(MAX(1-0.8/(1-frac_mam_12_23months+(frac_mam_12_23months*0.8)),0),1)</f>
        <v>0.19180847784420729</v>
      </c>
      <c r="H130" s="90">
        <f>MIN(MAX(1-0.8/(1-frac_mam_24_59months+(frac_mam_24_59months*0.8)),0),1)</f>
        <v>0.19665622614320033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2024-08-06T06:32:24Z</dcterms:modified>
</cp:coreProperties>
</file>