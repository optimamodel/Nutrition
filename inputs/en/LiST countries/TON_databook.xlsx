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FD89B6EF-14C1-43CE-A1D8-9539E5463795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26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31" i="2"/>
  <c r="A34" i="2"/>
  <c r="A40" i="2"/>
  <c r="I2" i="2"/>
  <c r="I6" i="2"/>
  <c r="A19" i="2"/>
  <c r="A35" i="2"/>
  <c r="A22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<sst xmlns="http://schemas.openxmlformats.org/spreadsheetml/2006/main" count="2159" uniqueCount="372">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</sst>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11547.5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0.78687103271484404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2.0899999999999998E-2</v>
      </c>
    </row>
    <row r="24" spans="1:3" ht="15" customHeight="1" x14ac:dyDescent="0.25">
      <c r="B24" s="15" t="s">
        <v>22</v>
      </c>
      <c r="C24" s="45">
        <v>0.42159999999999997</v>
      </c>
    </row>
    <row r="25" spans="1:3" ht="15" customHeight="1" x14ac:dyDescent="0.25">
      <c r="B25" s="15" t="s">
        <v>23</v>
      </c>
      <c r="C25" s="45">
        <v>0.4854</v>
      </c>
    </row>
    <row r="26" spans="1:3" ht="15" customHeight="1" x14ac:dyDescent="0.25">
      <c r="B26" s="15" t="s">
        <v>24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4.8672399999999998</v>
      </c>
    </row>
    <row r="38" spans="1:5" ht="15" customHeight="1" x14ac:dyDescent="0.25">
      <c r="B38" s="11" t="s">
        <v>34</v>
      </c>
      <c r="C38" s="43">
        <v>9.5718099999999993</v>
      </c>
      <c r="D38" s="12"/>
      <c r="E38" s="13"/>
    </row>
    <row r="39" spans="1:5" ht="15" customHeight="1" x14ac:dyDescent="0.25">
      <c r="B39" s="11" t="s">
        <v>35</v>
      </c>
      <c r="C39" s="43">
        <v>11.13988</v>
      </c>
      <c r="D39" s="12"/>
      <c r="E39" s="12"/>
    </row>
    <row r="40" spans="1:5" ht="15" customHeight="1" x14ac:dyDescent="0.25">
      <c r="B40" s="11" t="s">
        <v>36</v>
      </c>
      <c r="C40" s="100">
        <v>1.26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6.1345000000000002E-3</v>
      </c>
      <c r="D45" s="12"/>
    </row>
    <row r="46" spans="1:5" ht="15.75" customHeight="1" x14ac:dyDescent="0.25">
      <c r="B46" s="11" t="s">
        <v>41</v>
      </c>
      <c r="C46" s="45">
        <v>6.5914E-2</v>
      </c>
      <c r="D46" s="12"/>
    </row>
    <row r="47" spans="1:5" ht="15.75" customHeight="1" x14ac:dyDescent="0.25">
      <c r="B47" s="11" t="s">
        <v>42</v>
      </c>
      <c r="C47" s="45">
        <v>7.5167600000000001E-2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0.58581800000000006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2400</v>
      </c>
      <c r="C2" s="49">
        <v>5786.5</v>
      </c>
      <c r="D2" s="49">
        <v>8754</v>
      </c>
      <c r="E2" s="49">
        <v>6414.5</v>
      </c>
      <c r="F2" s="49">
        <v>5685.4999999999991</v>
      </c>
      <c r="G2" s="17">
        <f t="shared" ref="G2:G13" si="0">C2+D2+E2+F2</f>
        <v>26640.5</v>
      </c>
      <c r="H2" s="17">
        <f t="shared" ref="H2:H13" si="1">(B2 + stillbirth*B2/(1000-stillbirth))/(1-abortion)</f>
        <v>2745.0645060100455</v>
      </c>
      <c r="I2" s="17">
        <f t="shared" ref="I2:I13" si="2">G2-H2</f>
        <v>23895.435493989953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2365</v>
      </c>
      <c r="C3" s="50">
        <v>5776.5</v>
      </c>
      <c r="D3" s="50">
        <v>8803.5</v>
      </c>
      <c r="E3" s="50">
        <v>6255</v>
      </c>
      <c r="F3" s="50">
        <v>5744</v>
      </c>
      <c r="G3" s="17">
        <f t="shared" si="0"/>
        <v>26579</v>
      </c>
      <c r="H3" s="17">
        <f t="shared" si="1"/>
        <v>2705.0323152973992</v>
      </c>
      <c r="I3" s="17">
        <f t="shared" si="2"/>
        <v>23873.967684702602</v>
      </c>
    </row>
    <row r="4" spans="1:9" ht="15.75" customHeight="1" x14ac:dyDescent="0.25">
      <c r="A4" s="5">
        <f t="shared" si="3"/>
        <v>2026</v>
      </c>
      <c r="B4" s="49">
        <v>2339</v>
      </c>
      <c r="C4" s="50">
        <v>5812</v>
      </c>
      <c r="D4" s="50">
        <v>8857.5</v>
      </c>
      <c r="E4" s="50">
        <v>6092.0000000000009</v>
      </c>
      <c r="F4" s="50">
        <v>5781.4999999999991</v>
      </c>
      <c r="G4" s="17">
        <f t="shared" si="0"/>
        <v>26543</v>
      </c>
      <c r="H4" s="17">
        <f t="shared" si="1"/>
        <v>2675.2941164822905</v>
      </c>
      <c r="I4" s="17">
        <f t="shared" si="2"/>
        <v>23867.705883517709</v>
      </c>
    </row>
    <row r="5" spans="1:9" ht="15.75" customHeight="1" x14ac:dyDescent="0.25">
      <c r="A5" s="5">
        <f t="shared" si="3"/>
        <v>2027</v>
      </c>
      <c r="B5" s="49">
        <v>2304</v>
      </c>
      <c r="C5" s="50">
        <v>5868</v>
      </c>
      <c r="D5" s="50">
        <v>8994.5</v>
      </c>
      <c r="E5" s="50">
        <v>5912</v>
      </c>
      <c r="F5" s="50">
        <v>5782</v>
      </c>
      <c r="G5" s="17">
        <f t="shared" si="0"/>
        <v>26556.5</v>
      </c>
      <c r="H5" s="17">
        <f t="shared" si="1"/>
        <v>2635.2619257696438</v>
      </c>
      <c r="I5" s="17">
        <f t="shared" si="2"/>
        <v>23921.238074230358</v>
      </c>
    </row>
    <row r="6" spans="1:9" ht="15.75" customHeight="1" x14ac:dyDescent="0.25">
      <c r="A6" s="5">
        <f t="shared" si="3"/>
        <v>2028</v>
      </c>
      <c r="B6" s="49">
        <v>2290</v>
      </c>
      <c r="C6" s="50">
        <v>5939</v>
      </c>
      <c r="D6" s="50">
        <v>9155.5</v>
      </c>
      <c r="E6" s="50">
        <v>5788.5000000000009</v>
      </c>
      <c r="F6" s="50">
        <v>5734</v>
      </c>
      <c r="G6" s="17">
        <f t="shared" si="0"/>
        <v>26617</v>
      </c>
      <c r="H6" s="17">
        <f t="shared" si="1"/>
        <v>2619.2490494845852</v>
      </c>
      <c r="I6" s="17">
        <f t="shared" si="2"/>
        <v>23997.750950515416</v>
      </c>
    </row>
    <row r="7" spans="1:9" ht="15.75" customHeight="1" x14ac:dyDescent="0.25">
      <c r="A7" s="5">
        <f t="shared" si="3"/>
        <v>2029</v>
      </c>
      <c r="B7" s="49">
        <v>2284</v>
      </c>
      <c r="C7" s="50">
        <v>6014.5</v>
      </c>
      <c r="D7" s="50">
        <v>9303.5</v>
      </c>
      <c r="E7" s="50">
        <v>5705</v>
      </c>
      <c r="F7" s="50">
        <v>5656.5</v>
      </c>
      <c r="G7" s="17">
        <f t="shared" si="0"/>
        <v>26679.5</v>
      </c>
      <c r="H7" s="17">
        <f t="shared" si="1"/>
        <v>2612.3863882195601</v>
      </c>
      <c r="I7" s="17">
        <f t="shared" si="2"/>
        <v>24067.113611780442</v>
      </c>
    </row>
    <row r="8" spans="1:9" ht="15.75" customHeight="1" x14ac:dyDescent="0.25">
      <c r="A8" s="5">
        <f t="shared" si="3"/>
        <v>2030</v>
      </c>
      <c r="B8" s="49">
        <v>2276</v>
      </c>
      <c r="C8" s="50">
        <v>6051</v>
      </c>
      <c r="D8" s="50">
        <v>9434.0000000000018</v>
      </c>
      <c r="E8" s="50">
        <v>5673</v>
      </c>
      <c r="F8" s="50">
        <v>5578.5</v>
      </c>
      <c r="G8" s="17">
        <f t="shared" si="0"/>
        <v>26736.5</v>
      </c>
      <c r="H8" s="17">
        <f t="shared" si="1"/>
        <v>2603.2361731995265</v>
      </c>
      <c r="I8" s="17">
        <f t="shared" si="2"/>
        <v>24133.263826800474</v>
      </c>
    </row>
    <row r="9" spans="1:9" ht="15.75" customHeight="1" x14ac:dyDescent="0.25">
      <c r="A9" s="5">
        <f t="shared" si="3"/>
        <v>2031</v>
      </c>
      <c r="B9" s="49">
        <v>2283</v>
      </c>
      <c r="C9" s="50">
        <v>6000.5</v>
      </c>
      <c r="D9" s="50">
        <v>9580.5</v>
      </c>
      <c r="E9" s="50">
        <v>5687</v>
      </c>
      <c r="F9" s="50">
        <v>5488</v>
      </c>
      <c r="G9" s="17">
        <f t="shared" si="0"/>
        <v>26756</v>
      </c>
      <c r="H9" s="17">
        <f t="shared" si="1"/>
        <v>2611.2426113420561</v>
      </c>
      <c r="I9" s="17">
        <f t="shared" si="2"/>
        <v>24144.757388657945</v>
      </c>
    </row>
    <row r="10" spans="1:9" ht="15.75" customHeight="1" x14ac:dyDescent="0.25">
      <c r="A10" s="5">
        <f t="shared" si="3"/>
        <v>2032</v>
      </c>
      <c r="B10" s="49">
        <v>2285</v>
      </c>
      <c r="C10" s="50">
        <v>5856</v>
      </c>
      <c r="D10" s="50">
        <v>9742.5</v>
      </c>
      <c r="E10" s="50">
        <v>5755</v>
      </c>
      <c r="F10" s="50">
        <v>5361.4999999999991</v>
      </c>
      <c r="G10" s="17">
        <f t="shared" si="0"/>
        <v>26715</v>
      </c>
      <c r="H10" s="17">
        <f t="shared" si="1"/>
        <v>2613.5301650970641</v>
      </c>
      <c r="I10" s="17">
        <f t="shared" si="2"/>
        <v>24101.469834902935</v>
      </c>
    </row>
    <row r="11" spans="1:9" ht="15.75" customHeight="1" x14ac:dyDescent="0.25">
      <c r="A11" s="5">
        <f t="shared" si="3"/>
        <v>2033</v>
      </c>
      <c r="B11" s="49">
        <v>2296</v>
      </c>
      <c r="C11" s="50">
        <v>5645.5</v>
      </c>
      <c r="D11" s="50">
        <v>9870.9999999999982</v>
      </c>
      <c r="E11" s="50">
        <v>5880</v>
      </c>
      <c r="F11" s="50">
        <v>5220.4999999999991</v>
      </c>
      <c r="G11" s="17">
        <f t="shared" si="0"/>
        <v>26617</v>
      </c>
      <c r="H11" s="17">
        <f t="shared" si="1"/>
        <v>2626.1117107496102</v>
      </c>
      <c r="I11" s="17">
        <f t="shared" si="2"/>
        <v>23990.88828925039</v>
      </c>
    </row>
    <row r="12" spans="1:9" ht="15.75" customHeight="1" x14ac:dyDescent="0.25">
      <c r="A12" s="5">
        <f t="shared" si="3"/>
        <v>2034</v>
      </c>
      <c r="B12" s="49">
        <v>2306</v>
      </c>
      <c r="C12" s="50">
        <v>5413</v>
      </c>
      <c r="D12" s="50">
        <v>9962</v>
      </c>
      <c r="E12" s="50">
        <v>6034.4999999999991</v>
      </c>
      <c r="F12" s="50">
        <v>5068.5</v>
      </c>
      <c r="G12" s="17">
        <f t="shared" si="0"/>
        <v>26478</v>
      </c>
      <c r="H12" s="17">
        <f t="shared" si="1"/>
        <v>2637.5494795246523</v>
      </c>
      <c r="I12" s="17">
        <f t="shared" si="2"/>
        <v>23840.450520475348</v>
      </c>
    </row>
    <row r="13" spans="1:9" ht="15.75" customHeight="1" x14ac:dyDescent="0.25">
      <c r="A13" s="5">
        <f t="shared" si="3"/>
        <v>2035</v>
      </c>
      <c r="B13" s="49">
        <v>2314</v>
      </c>
      <c r="C13" s="50">
        <v>5184</v>
      </c>
      <c r="D13" s="50">
        <v>10037.500000000002</v>
      </c>
      <c r="E13" s="50">
        <v>6165</v>
      </c>
      <c r="F13" s="50">
        <v>4951.0000000000009</v>
      </c>
      <c r="G13" s="17">
        <f t="shared" si="0"/>
        <v>26337.5</v>
      </c>
      <c r="H13" s="17">
        <f t="shared" si="1"/>
        <v>2646.6996945446858</v>
      </c>
      <c r="I13" s="17">
        <f t="shared" si="2"/>
        <v>23690.800305455316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6.3251500000000099E-2</v>
      </c>
    </row>
    <row r="5" spans="1:8" ht="15.75" customHeight="1" x14ac:dyDescent="0.25">
      <c r="B5" s="19" t="s">
        <v>70</v>
      </c>
      <c r="C5" s="101">
        <v>3.6355999999999992E-2</v>
      </c>
    </row>
    <row r="6" spans="1:8" ht="15.75" customHeight="1" x14ac:dyDescent="0.25">
      <c r="B6" s="19" t="s">
        <v>71</v>
      </c>
      <c r="C6" s="101">
        <v>0.15888490000000019</v>
      </c>
    </row>
    <row r="7" spans="1:8" ht="15.75" customHeight="1" x14ac:dyDescent="0.25">
      <c r="B7" s="19" t="s">
        <v>72</v>
      </c>
      <c r="C7" s="101">
        <v>0.4589065999999995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0.19383930000000019</v>
      </c>
    </row>
    <row r="10" spans="1:8" ht="15.75" customHeight="1" x14ac:dyDescent="0.25">
      <c r="B10" s="19" t="s">
        <v>75</v>
      </c>
      <c r="C10" s="101">
        <v>8.8761700000000138E-2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82</v>
      </c>
      <c r="C15" s="101">
        <v>0.5316438865047407</v>
      </c>
      <c r="D15" s="101">
        <v>0.5316438865047407</v>
      </c>
      <c r="E15" s="101">
        <v>0.5316438865047407</v>
      </c>
      <c r="F15" s="101">
        <v>0.5316438865047407</v>
      </c>
    </row>
    <row r="16" spans="1:8" ht="15.75" customHeight="1" x14ac:dyDescent="0.25">
      <c r="B16" s="19" t="s">
        <v>83</v>
      </c>
      <c r="C16" s="101">
        <v>4.864881800014479E-2</v>
      </c>
      <c r="D16" s="101">
        <v>4.864881800014479E-2</v>
      </c>
      <c r="E16" s="101">
        <v>4.864881800014479E-2</v>
      </c>
      <c r="F16" s="101">
        <v>4.864881800014479E-2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0.31387260017589541</v>
      </c>
      <c r="D21" s="101">
        <v>0.31387260017589541</v>
      </c>
      <c r="E21" s="101">
        <v>0.31387260017589541</v>
      </c>
      <c r="F21" s="101">
        <v>0.31387260017589541</v>
      </c>
    </row>
    <row r="22" spans="1:8" ht="15.75" customHeight="1" x14ac:dyDescent="0.25">
      <c r="B22" s="19" t="s">
        <v>89</v>
      </c>
      <c r="C22" s="101">
        <v>4.1019397016336938E-2</v>
      </c>
      <c r="D22" s="101">
        <v>4.1019397016336938E-2</v>
      </c>
      <c r="E22" s="101">
        <v>4.1019397016336938E-2</v>
      </c>
      <c r="F22" s="101">
        <v>4.1019397016336938E-2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4.7850161000000002E-2</v>
      </c>
    </row>
    <row r="27" spans="1:8" ht="15.75" customHeight="1" x14ac:dyDescent="0.25">
      <c r="B27" s="19" t="s">
        <v>92</v>
      </c>
      <c r="C27" s="101">
        <v>1.8526506000000002E-2</v>
      </c>
    </row>
    <row r="28" spans="1:8" ht="15.75" customHeight="1" x14ac:dyDescent="0.25">
      <c r="B28" s="19" t="s">
        <v>93</v>
      </c>
      <c r="C28" s="101">
        <v>0.23087115</v>
      </c>
    </row>
    <row r="29" spans="1:8" ht="15.75" customHeight="1" x14ac:dyDescent="0.25">
      <c r="B29" s="19" t="s">
        <v>94</v>
      </c>
      <c r="C29" s="101">
        <v>0.13941172099999999</v>
      </c>
    </row>
    <row r="30" spans="1:8" ht="15.75" customHeight="1" x14ac:dyDescent="0.25">
      <c r="B30" s="19" t="s">
        <v>95</v>
      </c>
      <c r="C30" s="101">
        <v>5.0655509000000001E-2</v>
      </c>
    </row>
    <row r="31" spans="1:8" ht="15.75" customHeight="1" x14ac:dyDescent="0.25">
      <c r="B31" s="19" t="s">
        <v>96</v>
      </c>
      <c r="C31" s="101">
        <v>7.1104772999999982E-2</v>
      </c>
    </row>
    <row r="32" spans="1:8" ht="15.75" customHeight="1" x14ac:dyDescent="0.25">
      <c r="B32" s="19" t="s">
        <v>97</v>
      </c>
      <c r="C32" s="101">
        <v>0.14682545</v>
      </c>
    </row>
    <row r="33" spans="2:3" ht="15.75" customHeight="1" x14ac:dyDescent="0.25">
      <c r="B33" s="19" t="s">
        <v>98</v>
      </c>
      <c r="C33" s="101">
        <v>0.122179683</v>
      </c>
    </row>
    <row r="34" spans="2:3" ht="15.75" customHeight="1" x14ac:dyDescent="0.25">
      <c r="B34" s="19" t="s">
        <v>99</v>
      </c>
      <c r="C34" s="101">
        <v>0.17257504600000001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104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105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109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6.7902700000000094E-2</v>
      </c>
      <c r="D5" s="52">
        <f t="shared" si="0"/>
        <v>0.20127119999999998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4425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0.4284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0.45245999999999997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1.767708695303977E-2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98310.202260000005</v>
      </c>
      <c r="C22" s="109">
        <v>98157.074970000001</v>
      </c>
      <c r="D22" s="109">
        <v>98076.137100000007</v>
      </c>
      <c r="E22" s="109">
        <v>97749.323680000001</v>
      </c>
      <c r="F22" s="109">
        <v>97258.193759999995</v>
      </c>
      <c r="G22" s="109">
        <v>96700.432990000001</v>
      </c>
      <c r="H22" s="109">
        <v>95960.473639999997</v>
      </c>
      <c r="I22" s="109">
        <v>94931.21286</v>
      </c>
      <c r="J22" s="109">
        <v>93332.69644</v>
      </c>
      <c r="K22" s="109">
        <v>90933.106350000002</v>
      </c>
      <c r="L22" s="109">
        <v>87361.148029999997</v>
      </c>
      <c r="M22" s="109">
        <v>82059.29075</v>
      </c>
      <c r="N22" s="109">
        <v>75000.800130000003</v>
      </c>
      <c r="O22" s="109">
        <v>65512.94498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2.286454056738934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12.95590405687226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12.95590405687226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12.95590405687226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12.95590405687226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12.95590405687226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12.95590405687226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0.35571920000000001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0.35571920000000001</v>
      </c>
      <c r="C19" s="98">
        <v>0.95</v>
      </c>
      <c r="D19" s="56">
        <v>8.6538627513423272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4.2441655453988991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0.69818419053219993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0.63037770000000004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0.53491379999999999</v>
      </c>
      <c r="C29" s="98">
        <v>0.95</v>
      </c>
      <c r="D29" s="56">
        <v>107.8921549536976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0.69543660000000007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5.3412599999999998E-2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1.7857000000000001E-2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0.98544960000000004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4.0758000000000003E-2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198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