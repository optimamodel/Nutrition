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94A36CB-0DB3-45D7-9FED-4C088C8C8E08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<sst xmlns="http://schemas.openxmlformats.org/spreadsheetml/2006/main" count="2102" uniqueCount="341">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</sst>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12172.88745117188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0.78687103271484404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0.52100000000000002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2.0899999999999998E-2</v>
      </c>
    </row>
    <row r="24" spans="1:3" ht="15" customHeight="1" x14ac:dyDescent="0.25">
      <c r="B24" s="15" t="s">
        <v>22</v>
      </c>
      <c r="C24" s="45">
        <v>0.42159999999999997</v>
      </c>
    </row>
    <row r="25" spans="1:3" ht="15" customHeight="1" x14ac:dyDescent="0.25">
      <c r="B25" s="15" t="s">
        <v>23</v>
      </c>
      <c r="C25" s="45">
        <v>0.4854</v>
      </c>
    </row>
    <row r="26" spans="1:3" ht="15" customHeight="1" x14ac:dyDescent="0.25">
      <c r="B26" s="15" t="s">
        <v>24</v>
      </c>
      <c r="C26" s="45">
        <v>7.2099999999999997E-2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4.8672399999999998</v>
      </c>
    </row>
    <row r="38" spans="1:5" ht="15" customHeight="1" x14ac:dyDescent="0.25">
      <c r="B38" s="11" t="s">
        <v>34</v>
      </c>
      <c r="C38" s="43">
        <v>9.5718099999999993</v>
      </c>
      <c r="D38" s="12"/>
      <c r="E38" s="13"/>
    </row>
    <row r="39" spans="1:5" ht="15" customHeight="1" x14ac:dyDescent="0.25">
      <c r="B39" s="11" t="s">
        <v>35</v>
      </c>
      <c r="C39" s="43">
        <v>11.13988</v>
      </c>
      <c r="D39" s="12"/>
      <c r="E39" s="12"/>
    </row>
    <row r="40" spans="1:5" ht="15" customHeight="1" x14ac:dyDescent="0.25">
      <c r="B40" s="11" t="s">
        <v>36</v>
      </c>
      <c r="C40" s="100">
        <v>1.26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6.4813700000000001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0</v>
      </c>
      <c r="D45" s="12"/>
    </row>
    <row r="46" spans="1:5" ht="15.75" customHeight="1" x14ac:dyDescent="0.25">
      <c r="B46" s="11" t="s">
        <v>41</v>
      </c>
      <c r="C46" s="45">
        <v>0</v>
      </c>
      <c r="D46" s="12"/>
    </row>
    <row r="47" spans="1:5" ht="15.75" customHeight="1" x14ac:dyDescent="0.25">
      <c r="B47" s="11" t="s">
        <v>42</v>
      </c>
      <c r="C47" s="45">
        <v>0</v>
      </c>
      <c r="D47" s="12"/>
      <c r="E47" s="13"/>
    </row>
    <row r="48" spans="1:5" ht="15" customHeight="1" x14ac:dyDescent="0.25">
      <c r="B48" s="11" t="s">
        <v>43</v>
      </c>
      <c r="C48" s="46">
        <v>0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0</v>
      </c>
      <c r="D51" s="12"/>
    </row>
    <row r="52" spans="1:4" ht="15" customHeight="1" x14ac:dyDescent="0.25">
      <c r="B52" s="11" t="s">
        <v>46</v>
      </c>
      <c r="C52" s="100">
        <v>0</v>
      </c>
    </row>
    <row r="53" spans="1:4" ht="15.75" customHeight="1" x14ac:dyDescent="0.25">
      <c r="B53" s="11" t="s">
        <v>47</v>
      </c>
      <c r="C53" s="100">
        <v>0</v>
      </c>
    </row>
    <row r="54" spans="1:4" ht="15.75" customHeight="1" x14ac:dyDescent="0.25">
      <c r="B54" s="11" t="s">
        <v>48</v>
      </c>
      <c r="C54" s="100">
        <v>0</v>
      </c>
    </row>
    <row r="55" spans="1:4" ht="15.75" customHeight="1" x14ac:dyDescent="0.25">
      <c r="B55" s="11" t="s">
        <v>49</v>
      </c>
      <c r="C55" s="100">
        <v>0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0</v>
      </c>
    </row>
    <row r="59" spans="1:4" ht="15.75" customHeight="1" x14ac:dyDescent="0.25">
      <c r="B59" s="11" t="s">
        <v>52</v>
      </c>
      <c r="C59" s="45">
        <v>0.58581800000000006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2460</v>
      </c>
      <c r="C2" s="49">
        <v>6707</v>
      </c>
      <c r="D2" s="49">
        <v>8976</v>
      </c>
      <c r="E2" s="49">
        <v>6764.5</v>
      </c>
      <c r="F2" s="49">
        <v>5062</v>
      </c>
      <c r="G2" s="17">
        <f t="shared" ref="G2:G13" si="0">C2+D2+E2+F2</f>
        <v>27509.5</v>
      </c>
      <c r="H2" s="17">
        <f t="shared" ref="H2:H13" si="1">(B2 + stillbirth*B2/(1000-stillbirth))/(1-abortion)</f>
        <v>2813.691118660297</v>
      </c>
      <c r="I2" s="17">
        <f t="shared" ref="I2:I13" si="2">G2-H2</f>
        <v>24695.808881339704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2461</v>
      </c>
      <c r="C3" s="50">
        <v>6741.5</v>
      </c>
      <c r="D3" s="50">
        <v>9120</v>
      </c>
      <c r="E3" s="50">
        <v>6781.5</v>
      </c>
      <c r="F3" s="50">
        <v>5195.5</v>
      </c>
      <c r="G3" s="17">
        <f t="shared" si="0"/>
        <v>27838.5</v>
      </c>
      <c r="H3" s="17">
        <f t="shared" si="1"/>
        <v>2814.834895537801</v>
      </c>
      <c r="I3" s="17">
        <f t="shared" si="2"/>
        <v>25023.665104462198</v>
      </c>
    </row>
    <row r="4" spans="1:9" ht="15.75" customHeight="1" x14ac:dyDescent="0.25">
      <c r="A4" s="5">
        <f t="shared" si="3"/>
        <v>2026</v>
      </c>
      <c r="B4" s="49">
        <v>2455</v>
      </c>
      <c r="C4" s="50">
        <v>6791.5</v>
      </c>
      <c r="D4" s="50">
        <v>9264</v>
      </c>
      <c r="E4" s="50">
        <v>6786</v>
      </c>
      <c r="F4" s="50">
        <v>5306.5</v>
      </c>
      <c r="G4" s="17">
        <f t="shared" si="0"/>
        <v>28148</v>
      </c>
      <c r="H4" s="17">
        <f t="shared" si="1"/>
        <v>2807.9722342727759</v>
      </c>
      <c r="I4" s="17">
        <f t="shared" si="2"/>
        <v>25340.027765727224</v>
      </c>
    </row>
    <row r="5" spans="1:9" ht="15.75" customHeight="1" x14ac:dyDescent="0.25">
      <c r="A5" s="5">
        <f t="shared" si="3"/>
        <v>2027</v>
      </c>
      <c r="B5" s="49">
        <v>2458</v>
      </c>
      <c r="C5" s="50">
        <v>6877.4999999999991</v>
      </c>
      <c r="D5" s="50">
        <v>9441</v>
      </c>
      <c r="E5" s="50">
        <v>6780.5</v>
      </c>
      <c r="F5" s="50">
        <v>5409.0000000000009</v>
      </c>
      <c r="G5" s="17">
        <f t="shared" si="0"/>
        <v>28508</v>
      </c>
      <c r="H5" s="17">
        <f t="shared" si="1"/>
        <v>2811.4035649052885</v>
      </c>
      <c r="I5" s="17">
        <f t="shared" si="2"/>
        <v>25696.596435094711</v>
      </c>
    </row>
    <row r="6" spans="1:9" ht="15.75" customHeight="1" x14ac:dyDescent="0.25">
      <c r="A6" s="5">
        <f t="shared" si="3"/>
        <v>2028</v>
      </c>
      <c r="B6" s="49">
        <v>2469</v>
      </c>
      <c r="C6" s="50">
        <v>6946</v>
      </c>
      <c r="D6" s="50">
        <v>9606</v>
      </c>
      <c r="E6" s="50">
        <v>6837</v>
      </c>
      <c r="F6" s="50">
        <v>5461</v>
      </c>
      <c r="G6" s="17">
        <f t="shared" si="0"/>
        <v>28850</v>
      </c>
      <c r="H6" s="17">
        <f t="shared" si="1"/>
        <v>2823.9851105578346</v>
      </c>
      <c r="I6" s="17">
        <f t="shared" si="2"/>
        <v>26026.014889442165</v>
      </c>
    </row>
    <row r="7" spans="1:9" ht="15.75" customHeight="1" x14ac:dyDescent="0.25">
      <c r="A7" s="5">
        <f t="shared" si="3"/>
        <v>2029</v>
      </c>
      <c r="B7" s="49">
        <v>2480</v>
      </c>
      <c r="C7" s="50">
        <v>7012.5</v>
      </c>
      <c r="D7" s="50">
        <v>9737.5</v>
      </c>
      <c r="E7" s="50">
        <v>6918</v>
      </c>
      <c r="F7" s="50">
        <v>5444.5000000000009</v>
      </c>
      <c r="G7" s="17">
        <f t="shared" si="0"/>
        <v>29112.5</v>
      </c>
      <c r="H7" s="17">
        <f t="shared" si="1"/>
        <v>2836.5666562103802</v>
      </c>
      <c r="I7" s="17">
        <f t="shared" si="2"/>
        <v>26275.93334378962</v>
      </c>
    </row>
    <row r="8" spans="1:9" ht="15.75" customHeight="1" x14ac:dyDescent="0.25">
      <c r="A8" s="5">
        <f t="shared" si="3"/>
        <v>2030</v>
      </c>
      <c r="B8" s="49">
        <v>2490</v>
      </c>
      <c r="C8" s="50">
        <v>7034</v>
      </c>
      <c r="D8" s="50">
        <v>9828.5</v>
      </c>
      <c r="E8" s="50">
        <v>7042</v>
      </c>
      <c r="F8" s="50">
        <v>5422.5</v>
      </c>
      <c r="G8" s="17">
        <f t="shared" si="0"/>
        <v>29327</v>
      </c>
      <c r="H8" s="17">
        <f t="shared" si="1"/>
        <v>2848.0044249854222</v>
      </c>
      <c r="I8" s="17">
        <f t="shared" si="2"/>
        <v>26478.995575014578</v>
      </c>
    </row>
    <row r="9" spans="1:9" ht="15.75" customHeight="1" x14ac:dyDescent="0.25">
      <c r="A9" s="5">
        <f t="shared" si="3"/>
        <v>2031</v>
      </c>
      <c r="B9" s="49">
        <v>2505</v>
      </c>
      <c r="C9" s="50">
        <v>7002</v>
      </c>
      <c r="D9" s="50">
        <v>9926.5</v>
      </c>
      <c r="E9" s="50">
        <v>7185</v>
      </c>
      <c r="F9" s="50">
        <v>5430</v>
      </c>
      <c r="G9" s="17">
        <f t="shared" si="0"/>
        <v>29543.5</v>
      </c>
      <c r="H9" s="17">
        <f t="shared" si="1"/>
        <v>2865.1610781479849</v>
      </c>
      <c r="I9" s="17">
        <f t="shared" si="2"/>
        <v>26678.338921852017</v>
      </c>
    </row>
    <row r="10" spans="1:9" ht="15.75" customHeight="1" x14ac:dyDescent="0.25">
      <c r="A10" s="5">
        <f t="shared" si="3"/>
        <v>2032</v>
      </c>
      <c r="B10" s="49">
        <v>2530</v>
      </c>
      <c r="C10" s="50">
        <v>6954.5</v>
      </c>
      <c r="D10" s="50">
        <v>10051.5</v>
      </c>
      <c r="E10" s="50">
        <v>7319</v>
      </c>
      <c r="F10" s="50">
        <v>5440</v>
      </c>
      <c r="G10" s="17">
        <f t="shared" si="0"/>
        <v>29765</v>
      </c>
      <c r="H10" s="17">
        <f t="shared" si="1"/>
        <v>2893.7555000855896</v>
      </c>
      <c r="I10" s="17">
        <f t="shared" si="2"/>
        <v>26871.24449991441</v>
      </c>
    </row>
    <row r="11" spans="1:9" ht="15.75" customHeight="1" x14ac:dyDescent="0.25">
      <c r="A11" s="5">
        <f t="shared" si="3"/>
        <v>2033</v>
      </c>
      <c r="B11" s="49">
        <v>2544</v>
      </c>
      <c r="C11" s="50">
        <v>6879.9999999999991</v>
      </c>
      <c r="D11" s="50">
        <v>10155</v>
      </c>
      <c r="E11" s="50">
        <v>7459</v>
      </c>
      <c r="F11" s="50">
        <v>5394.5</v>
      </c>
      <c r="G11" s="17">
        <f t="shared" si="0"/>
        <v>29888.5</v>
      </c>
      <c r="H11" s="17">
        <f t="shared" si="1"/>
        <v>2909.7683763706486</v>
      </c>
      <c r="I11" s="17">
        <f t="shared" si="2"/>
        <v>26978.731623629352</v>
      </c>
    </row>
    <row r="12" spans="1:9" ht="15.75" customHeight="1" x14ac:dyDescent="0.25">
      <c r="A12" s="5">
        <f t="shared" si="3"/>
        <v>2034</v>
      </c>
      <c r="B12" s="49">
        <v>2562</v>
      </c>
      <c r="C12" s="50">
        <v>6813.4999999999991</v>
      </c>
      <c r="D12" s="50">
        <v>10204</v>
      </c>
      <c r="E12" s="50">
        <v>7617</v>
      </c>
      <c r="F12" s="50">
        <v>5356</v>
      </c>
      <c r="G12" s="17">
        <f t="shared" si="0"/>
        <v>29990.5</v>
      </c>
      <c r="H12" s="17">
        <f t="shared" si="1"/>
        <v>2930.3563601657238</v>
      </c>
      <c r="I12" s="17">
        <f t="shared" si="2"/>
        <v>27060.143639834278</v>
      </c>
    </row>
    <row r="13" spans="1:9" ht="15.75" customHeight="1" x14ac:dyDescent="0.25">
      <c r="A13" s="5">
        <f t="shared" si="3"/>
        <v>2035</v>
      </c>
      <c r="B13" s="49">
        <v>2565</v>
      </c>
      <c r="C13" s="50">
        <v>6750</v>
      </c>
      <c r="D13" s="50">
        <v>10235.5</v>
      </c>
      <c r="E13" s="50">
        <v>7763.0000000000018</v>
      </c>
      <c r="F13" s="50">
        <v>5353</v>
      </c>
      <c r="G13" s="17">
        <f t="shared" si="0"/>
        <v>30101.5</v>
      </c>
      <c r="H13" s="17">
        <f t="shared" si="1"/>
        <v>2933.7876907982363</v>
      </c>
      <c r="I13" s="17">
        <f t="shared" si="2"/>
        <v>27167.712309201765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6.3251500000000099E-2</v>
      </c>
    </row>
    <row r="5" spans="1:8" ht="15.75" customHeight="1" x14ac:dyDescent="0.25">
      <c r="B5" s="19" t="s">
        <v>70</v>
      </c>
      <c r="C5" s="101">
        <v>3.6355999999999992E-2</v>
      </c>
    </row>
    <row r="6" spans="1:8" ht="15.75" customHeight="1" x14ac:dyDescent="0.25">
      <c r="B6" s="19" t="s">
        <v>71</v>
      </c>
      <c r="C6" s="101">
        <v>0.15888490000000019</v>
      </c>
    </row>
    <row r="7" spans="1:8" ht="15.75" customHeight="1" x14ac:dyDescent="0.25">
      <c r="B7" s="19" t="s">
        <v>72</v>
      </c>
      <c r="C7" s="101">
        <v>0.4589065999999995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0.19383930000000019</v>
      </c>
    </row>
    <row r="10" spans="1:8" ht="15.75" customHeight="1" x14ac:dyDescent="0.25">
      <c r="B10" s="19" t="s">
        <v>75</v>
      </c>
      <c r="C10" s="101">
        <v>8.8761700000000138E-2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6.481529830288231E-2</v>
      </c>
      <c r="D14" s="55">
        <v>6.481529830288231E-2</v>
      </c>
      <c r="E14" s="55">
        <v>6.481529830288231E-2</v>
      </c>
      <c r="F14" s="55">
        <v>6.481529830288231E-2</v>
      </c>
    </row>
    <row r="15" spans="1:8" ht="15.75" customHeight="1" x14ac:dyDescent="0.25">
      <c r="B15" s="19" t="s">
        <v>82</v>
      </c>
      <c r="C15" s="101">
        <v>0.5316438865047407</v>
      </c>
      <c r="D15" s="101">
        <v>0.5316438865047407</v>
      </c>
      <c r="E15" s="101">
        <v>0.5316438865047407</v>
      </c>
      <c r="F15" s="101">
        <v>0.5316438865047407</v>
      </c>
    </row>
    <row r="16" spans="1:8" ht="15.75" customHeight="1" x14ac:dyDescent="0.25">
      <c r="B16" s="19" t="s">
        <v>83</v>
      </c>
      <c r="C16" s="101">
        <v>4.864881800014479E-2</v>
      </c>
      <c r="D16" s="101">
        <v>4.864881800014479E-2</v>
      </c>
      <c r="E16" s="101">
        <v>4.864881800014479E-2</v>
      </c>
      <c r="F16" s="101">
        <v>4.864881800014479E-2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0.31387260017589541</v>
      </c>
      <c r="D21" s="101">
        <v>0.31387260017589541</v>
      </c>
      <c r="E21" s="101">
        <v>0.31387260017589541</v>
      </c>
      <c r="F21" s="101">
        <v>0.31387260017589541</v>
      </c>
    </row>
    <row r="22" spans="1:8" ht="15.75" customHeight="1" x14ac:dyDescent="0.25">
      <c r="B22" s="19" t="s">
        <v>89</v>
      </c>
      <c r="C22" s="101">
        <v>4.1019397016336938E-2</v>
      </c>
      <c r="D22" s="101">
        <v>4.1019397016336938E-2</v>
      </c>
      <c r="E22" s="101">
        <v>4.1019397016336938E-2</v>
      </c>
      <c r="F22" s="101">
        <v>4.1019397016336938E-2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4.7850161000000002E-2</v>
      </c>
    </row>
    <row r="27" spans="1:8" ht="15.75" customHeight="1" x14ac:dyDescent="0.25">
      <c r="B27" s="19" t="s">
        <v>92</v>
      </c>
      <c r="C27" s="101">
        <v>1.8526506000000002E-2</v>
      </c>
    </row>
    <row r="28" spans="1:8" ht="15.75" customHeight="1" x14ac:dyDescent="0.25">
      <c r="B28" s="19" t="s">
        <v>93</v>
      </c>
      <c r="C28" s="101">
        <v>0.23087115</v>
      </c>
    </row>
    <row r="29" spans="1:8" ht="15.75" customHeight="1" x14ac:dyDescent="0.25">
      <c r="B29" s="19" t="s">
        <v>94</v>
      </c>
      <c r="C29" s="101">
        <v>0.13941172099999999</v>
      </c>
    </row>
    <row r="30" spans="1:8" ht="15.75" customHeight="1" x14ac:dyDescent="0.25">
      <c r="B30" s="19" t="s">
        <v>95</v>
      </c>
      <c r="C30" s="101">
        <v>5.0655509000000001E-2</v>
      </c>
    </row>
    <row r="31" spans="1:8" ht="15.75" customHeight="1" x14ac:dyDescent="0.25">
      <c r="B31" s="19" t="s">
        <v>96</v>
      </c>
      <c r="C31" s="101">
        <v>7.1104772999999982E-2</v>
      </c>
    </row>
    <row r="32" spans="1:8" ht="15.75" customHeight="1" x14ac:dyDescent="0.25">
      <c r="B32" s="19" t="s">
        <v>97</v>
      </c>
      <c r="C32" s="101">
        <v>0.14682545</v>
      </c>
    </row>
    <row r="33" spans="2:3" ht="15.75" customHeight="1" x14ac:dyDescent="0.25">
      <c r="B33" s="19" t="s">
        <v>98</v>
      </c>
      <c r="C33" s="101">
        <v>0.122179683</v>
      </c>
    </row>
    <row r="34" spans="2:3" ht="15.75" customHeight="1" x14ac:dyDescent="0.25">
      <c r="B34" s="19" t="s">
        <v>99</v>
      </c>
      <c r="C34" s="101">
        <v>0.17257504600000001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0.87938992953684847</v>
      </c>
      <c r="D2" s="52">
        <f>IFERROR(1-_xlfn.NORM.DIST(_xlfn.NORM.INV(SUM(D4:D5), 0, 1) + 1, 0, 1, TRUE), "")</f>
        <v>0.87938992953684847</v>
      </c>
      <c r="E2" s="52">
        <f>IFERROR(1-_xlfn.NORM.DIST(_xlfn.NORM.INV(SUM(E4:E5), 0, 1) + 1, 0, 1, TRUE), "")</f>
        <v>0.95438422391314237</v>
      </c>
      <c r="F2" s="52">
        <f>IFERROR(1-_xlfn.NORM.DIST(_xlfn.NORM.INV(SUM(F4:F5), 0, 1) + 1, 0, 1, TRUE), "")</f>
        <v>0.79829449737942704</v>
      </c>
      <c r="G2" s="52">
        <f>IFERROR(1-_xlfn.NORM.DIST(_xlfn.NORM.INV(SUM(G4:G5), 0, 1) + 1, 0, 1, TRUE), "")</f>
        <v>0.84520119103464975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0.10568007046315152</v>
      </c>
      <c r="D3" s="52">
        <f>IFERROR(_xlfn.NORM.DIST(_xlfn.NORM.INV(SUM(D4:D5), 0, 1) + 1, 0, 1, TRUE) - SUM(D4:D5), "")</f>
        <v>0.10568007046315152</v>
      </c>
      <c r="E3" s="52">
        <f>IFERROR(_xlfn.NORM.DIST(_xlfn.NORM.INV(SUM(E4:E5), 0, 1) + 1, 0, 1, TRUE) - SUM(E4:E5), "")</f>
        <v>4.2031776086857577E-2</v>
      </c>
      <c r="F3" s="52">
        <f>IFERROR(_xlfn.NORM.DIST(_xlfn.NORM.INV(SUM(F4:F5), 0, 1) + 1, 0, 1, TRUE) - SUM(F4:F5), "")</f>
        <v>0.16849300262057293</v>
      </c>
      <c r="G3" s="52">
        <f>IFERROR(_xlfn.NORM.DIST(_xlfn.NORM.INV(SUM(G4:G5), 0, 1) + 1, 0, 1, TRUE) - SUM(G4:G5), "")</f>
        <v>0.13290230896535032</v>
      </c>
    </row>
    <row r="4" spans="1:15" ht="15.75" customHeight="1" x14ac:dyDescent="0.25">
      <c r="B4" s="5" t="s">
        <v>104</v>
      </c>
      <c r="C4" s="45">
        <v>7.4650000000000003E-3</v>
      </c>
      <c r="D4" s="53">
        <v>7.4650000000000003E-3</v>
      </c>
      <c r="E4" s="53">
        <v>0</v>
      </c>
      <c r="F4" s="53">
        <v>2.0824599999999999E-2</v>
      </c>
      <c r="G4" s="53">
        <v>1.18183E-2</v>
      </c>
    </row>
    <row r="5" spans="1:15" ht="15.75" customHeight="1" x14ac:dyDescent="0.25">
      <c r="B5" s="5" t="s">
        <v>105</v>
      </c>
      <c r="C5" s="45">
        <v>7.4650000000000003E-3</v>
      </c>
      <c r="D5" s="53">
        <v>7.4650000000000003E-3</v>
      </c>
      <c r="E5" s="53">
        <v>3.5839999999999999E-3</v>
      </c>
      <c r="F5" s="53">
        <v>1.23879E-2</v>
      </c>
      <c r="G5" s="53">
        <v>1.0078200000000001E-2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0.84474574356711774</v>
      </c>
      <c r="D8" s="52">
        <f>IFERROR(1-_xlfn.NORM.DIST(_xlfn.NORM.INV(SUM(D10:D11), 0, 1) + 1, 0, 1, TRUE), "")</f>
        <v>0.84474574356711774</v>
      </c>
      <c r="E8" s="52">
        <f>IFERROR(1-_xlfn.NORM.DIST(_xlfn.NORM.INV(SUM(E10:E11), 0, 1) + 1, 0, 1, TRUE), "")</f>
        <v>0.83951432003878668</v>
      </c>
      <c r="F8" s="52" t="str">
        <f>IFERROR(1-_xlfn.NORM.DIST(_xlfn.NORM.INV(SUM(F10:F11), 0, 1) + 1, 0, 1, TRUE), "")</f>
        <v/>
      </c>
      <c r="G8" s="52">
        <f>IFERROR(1-_xlfn.NORM.DIST(_xlfn.NORM.INV(SUM(G10:G11), 0, 1) + 1, 0, 1, TRUE), "")</f>
        <v>0.905622063656631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0.13325765643288232</v>
      </c>
      <c r="D9" s="52">
        <f>IFERROR(_xlfn.NORM.DIST(_xlfn.NORM.INV(SUM(D10:D11), 0, 1) + 1, 0, 1, TRUE) - SUM(D10:D11), "")</f>
        <v>0.13325765643288232</v>
      </c>
      <c r="E9" s="52">
        <f>IFERROR(_xlfn.NORM.DIST(_xlfn.NORM.INV(SUM(E10:E11), 0, 1) + 1, 0, 1, TRUE) - SUM(E10:E11), "")</f>
        <v>0.13732557996121328</v>
      </c>
      <c r="F9" s="52" t="str">
        <f>IFERROR(_xlfn.NORM.DIST(_xlfn.NORM.INV(SUM(F10:F11), 0, 1) + 1, 0, 1, TRUE) - SUM(F10:F11), "")</f>
        <v/>
      </c>
      <c r="G9" s="52">
        <f>IFERROR(_xlfn.NORM.DIST(_xlfn.NORM.INV(SUM(G10:G11), 0, 1) + 1, 0, 1, TRUE) - SUM(G10:G11), "")</f>
        <v>8.4051436343369007E-2</v>
      </c>
    </row>
    <row r="10" spans="1:15" ht="15.75" customHeight="1" x14ac:dyDescent="0.25">
      <c r="B10" s="5" t="s">
        <v>109</v>
      </c>
      <c r="C10" s="45">
        <v>2.1996600000000002E-2</v>
      </c>
      <c r="D10" s="53">
        <v>2.1996600000000002E-2</v>
      </c>
      <c r="E10" s="53">
        <v>2.3160099999999999E-2</v>
      </c>
      <c r="F10" s="53">
        <v>0</v>
      </c>
      <c r="G10" s="53">
        <v>4.6043999999999998E-3</v>
      </c>
    </row>
    <row r="11" spans="1:15" ht="15.75" customHeight="1" x14ac:dyDescent="0.25">
      <c r="B11" s="5" t="s">
        <v>110</v>
      </c>
      <c r="C11" s="45">
        <v>0</v>
      </c>
      <c r="D11" s="53">
        <v>0</v>
      </c>
      <c r="E11" s="53">
        <v>0</v>
      </c>
      <c r="F11" s="53">
        <v>0</v>
      </c>
      <c r="G11" s="53">
        <v>5.7220999999999999E-3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0.32033981174999998</v>
      </c>
      <c r="D14" s="54">
        <v>0.31614712435300002</v>
      </c>
      <c r="E14" s="54">
        <v>0.31614712435300002</v>
      </c>
      <c r="F14" s="54">
        <v>0.15880290981799999</v>
      </c>
      <c r="G14" s="54">
        <v>0.15880290981799999</v>
      </c>
      <c r="H14" s="45">
        <v>0.28799999999999998</v>
      </c>
      <c r="I14" s="55">
        <v>0.28799999999999998</v>
      </c>
      <c r="J14" s="55">
        <v>0.28799999999999998</v>
      </c>
      <c r="K14" s="55">
        <v>0.28799999999999998</v>
      </c>
      <c r="L14" s="45">
        <v>0.20799999999999999</v>
      </c>
      <c r="M14" s="55">
        <v>0.20799999999999999</v>
      </c>
      <c r="N14" s="55">
        <v>0.20799999999999999</v>
      </c>
      <c r="O14" s="55">
        <v>0.20799999999999999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0.18766082783976151</v>
      </c>
      <c r="D15" s="52">
        <f t="shared" si="0"/>
        <v>0.18520467609422578</v>
      </c>
      <c r="E15" s="52">
        <f t="shared" si="0"/>
        <v>0.18520467609422578</v>
      </c>
      <c r="F15" s="52">
        <f t="shared" si="0"/>
        <v>9.3029603023761134E-2</v>
      </c>
      <c r="G15" s="52">
        <f t="shared" si="0"/>
        <v>9.3029603023761134E-2</v>
      </c>
      <c r="H15" s="52">
        <f t="shared" si="0"/>
        <v>0.168715584</v>
      </c>
      <c r="I15" s="52">
        <f t="shared" si="0"/>
        <v>0.168715584</v>
      </c>
      <c r="J15" s="52">
        <f t="shared" si="0"/>
        <v>0.168715584</v>
      </c>
      <c r="K15" s="52">
        <f t="shared" si="0"/>
        <v>0.168715584</v>
      </c>
      <c r="L15" s="52">
        <f t="shared" si="0"/>
        <v>0.12185014400000001</v>
      </c>
      <c r="M15" s="52">
        <f t="shared" si="0"/>
        <v>0.12185014400000001</v>
      </c>
      <c r="N15" s="52">
        <f t="shared" si="0"/>
        <v>0.12185014400000001</v>
      </c>
      <c r="O15" s="52">
        <f t="shared" si="0"/>
        <v>0.12185014400000001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0.62880749999999996</v>
      </c>
      <c r="D2" s="53">
        <v>0.35571920000000001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2.2373400000000002E-2</v>
      </c>
      <c r="D3" s="53">
        <v>6.3059799999999999E-2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0.28091640000000001</v>
      </c>
      <c r="D4" s="53">
        <v>0.3799498</v>
      </c>
      <c r="E4" s="53">
        <v>0.59910560000000002</v>
      </c>
      <c r="F4" s="53">
        <v>0.34869080000000002</v>
      </c>
      <c r="G4" s="53">
        <v>0</v>
      </c>
    </row>
    <row r="5" spans="1:7" x14ac:dyDescent="0.25">
      <c r="B5" s="3" t="s">
        <v>122</v>
      </c>
      <c r="C5" s="52">
        <v>6.7902599999999994E-2</v>
      </c>
      <c r="D5" s="52">
        <v>0.20127120000000001</v>
      </c>
      <c r="E5" s="52">
        <f>1-SUM(E2:E4)</f>
        <v>0.40089439999999998</v>
      </c>
      <c r="F5" s="52">
        <f>1-SUM(F2:F4)</f>
        <v>0.65130920000000003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55.507503876711553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0.23932965100520001</v>
      </c>
      <c r="C3" s="98">
        <v>0.95</v>
      </c>
      <c r="D3" s="56">
        <v>39.823604613076341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374.86417937488761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2.286454056738934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12.95590405687226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12.95590405687226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12.95590405687226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12.95590405687226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12.95590405687226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12.95590405687226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0.6626698567676067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0.12295755102729999</v>
      </c>
      <c r="C18" s="98">
        <v>0.95</v>
      </c>
      <c r="D18" s="56">
        <v>8.6538627513423272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0.95295540000000001</v>
      </c>
      <c r="C19" s="98">
        <v>0.95</v>
      </c>
      <c r="D19" s="56">
        <v>8.6538627513423272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0.98544960000000004</v>
      </c>
      <c r="C21" s="98">
        <v>0.95</v>
      </c>
      <c r="D21" s="56">
        <v>28.257105296829788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22.328246958423339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4.2441655453988991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0.93173178162759995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18.814934548265089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0.73066199060030002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107.8921549536976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2.1129719322902618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1.417065121738269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0.53491379999999999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0.63037770000000004</v>
      </c>
      <c r="C38" s="98">
        <v>0.95</v>
      </c>
      <c r="D38" s="56">
        <v>4.9685392525961998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0</v>
      </c>
      <c r="C2" s="21">
        <f>'Baseline year population inputs'!C52</f>
        <v>0</v>
      </c>
      <c r="D2" s="21">
        <f>'Baseline year population inputs'!C53</f>
        <v>0</v>
      </c>
      <c r="E2" s="21">
        <f>'Baseline year population inputs'!C54</f>
        <v>0</v>
      </c>
      <c r="F2" s="21">
        <f>'Baseline year population inputs'!C55</f>
        <v>0</v>
      </c>
    </row>
    <row r="3" spans="1:6" ht="15.75" customHeight="1" x14ac:dyDescent="0.25">
      <c r="A3" s="3" t="s">
        <v>204</v>
      </c>
      <c r="B3" s="21">
        <f>frac_mam_1month * 2.6</f>
        <v>5.7191160000000005E-2</v>
      </c>
      <c r="C3" s="21">
        <f>frac_mam_1_5months * 2.6</f>
        <v>5.7191160000000005E-2</v>
      </c>
      <c r="D3" s="21">
        <f>frac_mam_6_11months * 2.6</f>
        <v>6.0216260000000001E-2</v>
      </c>
      <c r="E3" s="21">
        <f>frac_mam_12_23months * 2.6</f>
        <v>0</v>
      </c>
      <c r="F3" s="21">
        <f>frac_mam_24_59months * 2.6</f>
        <v>1.197144E-2</v>
      </c>
    </row>
    <row r="4" spans="1:6" ht="15.75" customHeight="1" x14ac:dyDescent="0.25">
      <c r="A4" s="3" t="s">
        <v>205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1.487746E-2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0.01</v>
      </c>
      <c r="E2" s="60">
        <f>food_insecure</f>
        <v>0.01</v>
      </c>
      <c r="F2" s="60">
        <f>food_insecure</f>
        <v>0.01</v>
      </c>
      <c r="G2" s="60">
        <f>food_insecure</f>
        <v>0.01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0</v>
      </c>
      <c r="D7" s="60">
        <f>diarrhoea_1_5mo*frac_diarrhea_severe</f>
        <v>0</v>
      </c>
      <c r="E7" s="60">
        <f>diarrhoea_6_11mo*frac_diarrhea_severe</f>
        <v>0</v>
      </c>
      <c r="F7" s="60">
        <f>diarrhoea_12_23mo*frac_diarrhea_severe</f>
        <v>0</v>
      </c>
      <c r="G7" s="60">
        <f>diarrhoea_24_59mo*frac_diarrhea_severe</f>
        <v>0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0</v>
      </c>
      <c r="D12" s="60">
        <f>diarrhoea_1_5mo*frac_diarrhea_severe</f>
        <v>0</v>
      </c>
      <c r="E12" s="60">
        <f>diarrhoea_6_11mo*frac_diarrhea_severe</f>
        <v>0</v>
      </c>
      <c r="F12" s="60">
        <f>diarrhoea_12_23mo*frac_diarrhea_severe</f>
        <v>0</v>
      </c>
      <c r="G12" s="60">
        <f>diarrhoea_24_59mo*frac_diarrhea_severe</f>
        <v>0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0.01</v>
      </c>
      <c r="I15" s="60">
        <f>food_insecure</f>
        <v>0.01</v>
      </c>
      <c r="J15" s="60">
        <f>food_insecure</f>
        <v>0.01</v>
      </c>
      <c r="K15" s="60">
        <f>food_insecure</f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0.52100000000000002</v>
      </c>
      <c r="M24" s="60">
        <f>famplan_unmet_need</f>
        <v>0.52100000000000002</v>
      </c>
      <c r="N24" s="60">
        <f>famplan_unmet_need</f>
        <v>0.52100000000000002</v>
      </c>
      <c r="O24" s="60">
        <f>famplan_unmet_need</f>
        <v>0.52100000000000002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0.10488076480102523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4.4948899200439395E-2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6.3299303283691322E-2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0.78687103271484404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2024-05-09T01:47:02Z</dcterms:modified>
</cp:coreProperties>
</file>