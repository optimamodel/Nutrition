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367A57F0-B5FD-4436-B6B6-757526A88827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4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35" i="2"/>
  <c r="A36" i="2"/>
  <c r="A19" i="2"/>
  <c r="A22" i="2"/>
  <c r="I3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<sst xmlns="http://schemas.openxmlformats.org/spreadsheetml/2006/main" count="2169" uniqueCount="373">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</sst>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6770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0.72301658630371091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7.2499999999999995E-2</v>
      </c>
    </row>
    <row r="24" spans="1:3" ht="15" customHeight="1" x14ac:dyDescent="0.25">
      <c r="B24" s="15" t="s">
        <v>22</v>
      </c>
      <c r="C24" s="45">
        <v>0.54660000000000009</v>
      </c>
    </row>
    <row r="25" spans="1:3" ht="15" customHeight="1" x14ac:dyDescent="0.25">
      <c r="B25" s="15" t="s">
        <v>23</v>
      </c>
      <c r="C25" s="45">
        <v>0.3503</v>
      </c>
    </row>
    <row r="26" spans="1:3" ht="15" customHeight="1" x14ac:dyDescent="0.25">
      <c r="B26" s="15" t="s">
        <v>24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10.28346</v>
      </c>
    </row>
    <row r="38" spans="1:5" ht="15" customHeight="1" x14ac:dyDescent="0.25">
      <c r="B38" s="11" t="s">
        <v>34</v>
      </c>
      <c r="C38" s="43">
        <v>14.41901</v>
      </c>
      <c r="D38" s="12"/>
      <c r="E38" s="13"/>
    </row>
    <row r="39" spans="1:5" ht="15" customHeight="1" x14ac:dyDescent="0.25">
      <c r="B39" s="11" t="s">
        <v>35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98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7.1989999999999997E-3</v>
      </c>
      <c r="D45" s="12"/>
    </row>
    <row r="46" spans="1:5" ht="15.75" customHeight="1" x14ac:dyDescent="0.25">
      <c r="B46" s="11" t="s">
        <v>41</v>
      </c>
      <c r="C46" s="45">
        <v>7.7351799999999998E-2</v>
      </c>
      <c r="D46" s="12"/>
    </row>
    <row r="47" spans="1:5" ht="15.75" customHeight="1" x14ac:dyDescent="0.25">
      <c r="B47" s="11" t="s">
        <v>42</v>
      </c>
      <c r="C47" s="45">
        <v>7.4154899999999996E-2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0.54805599999999999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1345</v>
      </c>
      <c r="C2" s="49">
        <v>4200.5</v>
      </c>
      <c r="D2" s="49">
        <v>8542</v>
      </c>
      <c r="E2" s="49">
        <v>10280.000000000002</v>
      </c>
      <c r="F2" s="49">
        <v>7280.5</v>
      </c>
      <c r="G2" s="17">
        <f t="shared" ref="G2:G13" si="0">C2+D2+E2+F2</f>
        <v>30303</v>
      </c>
      <c r="H2" s="17">
        <f t="shared" ref="H2:H13" si="1">(B2 + stillbirth*B2/(1000-stillbirth))/(1-abortion)</f>
        <v>1542.4054953359678</v>
      </c>
      <c r="I2" s="17">
        <f t="shared" ref="I2:I13" si="2">G2-H2</f>
        <v>28760.594504664034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1319</v>
      </c>
      <c r="C3" s="50">
        <v>4230</v>
      </c>
      <c r="D3" s="50">
        <v>8416</v>
      </c>
      <c r="E3" s="50">
        <v>10129.999999999998</v>
      </c>
      <c r="F3" s="50">
        <v>7680</v>
      </c>
      <c r="G3" s="17">
        <f t="shared" si="0"/>
        <v>30456</v>
      </c>
      <c r="H3" s="17">
        <f t="shared" si="1"/>
        <v>1512.5894783257556</v>
      </c>
      <c r="I3" s="17">
        <f t="shared" si="2"/>
        <v>28943.410521674243</v>
      </c>
    </row>
    <row r="4" spans="1:9" ht="15.75" customHeight="1" x14ac:dyDescent="0.25">
      <c r="A4" s="5">
        <f t="shared" si="3"/>
        <v>2026</v>
      </c>
      <c r="B4" s="49">
        <v>1296</v>
      </c>
      <c r="C4" s="50">
        <v>4249.5</v>
      </c>
      <c r="D4" s="50">
        <v>8314.4999999999982</v>
      </c>
      <c r="E4" s="50">
        <v>9931.5</v>
      </c>
      <c r="F4" s="50">
        <v>8115.5000000000009</v>
      </c>
      <c r="G4" s="17">
        <f t="shared" si="0"/>
        <v>30611</v>
      </c>
      <c r="H4" s="17">
        <f t="shared" si="1"/>
        <v>1486.213770970568</v>
      </c>
      <c r="I4" s="17">
        <f t="shared" si="2"/>
        <v>29124.786229029432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4255.5</v>
      </c>
      <c r="D5" s="50">
        <v>8232.5</v>
      </c>
      <c r="E5" s="50">
        <v>9708.5</v>
      </c>
      <c r="F5" s="50">
        <v>8564</v>
      </c>
      <c r="G5" s="17">
        <f t="shared" si="0"/>
        <v>30760.5</v>
      </c>
      <c r="H5" s="17">
        <f t="shared" si="1"/>
        <v>1465.5719130404214</v>
      </c>
      <c r="I5" s="17">
        <f t="shared" si="2"/>
        <v>29294.928086959579</v>
      </c>
    </row>
    <row r="6" spans="1:9" ht="15.75" customHeight="1" x14ac:dyDescent="0.25">
      <c r="A6" s="5">
        <f t="shared" si="3"/>
        <v>2028</v>
      </c>
      <c r="B6" s="49">
        <v>1263</v>
      </c>
      <c r="C6" s="50">
        <v>4243.5</v>
      </c>
      <c r="D6" s="50">
        <v>8166.4999999999991</v>
      </c>
      <c r="E6" s="50">
        <v>9475.5</v>
      </c>
      <c r="F6" s="50">
        <v>9004</v>
      </c>
      <c r="G6" s="17">
        <f t="shared" si="0"/>
        <v>30889.5</v>
      </c>
      <c r="H6" s="17">
        <f t="shared" si="1"/>
        <v>1448.370364765299</v>
      </c>
      <c r="I6" s="17">
        <f t="shared" si="2"/>
        <v>29441.129635234702</v>
      </c>
    </row>
    <row r="7" spans="1:9" ht="15.75" customHeight="1" x14ac:dyDescent="0.25">
      <c r="A7" s="5">
        <f t="shared" si="3"/>
        <v>2029</v>
      </c>
      <c r="B7" s="49">
        <v>1248</v>
      </c>
      <c r="C7" s="50">
        <v>4197</v>
      </c>
      <c r="D7" s="50">
        <v>8111.9999999999982</v>
      </c>
      <c r="E7" s="50">
        <v>9250</v>
      </c>
      <c r="F7" s="50">
        <v>9400.5000000000018</v>
      </c>
      <c r="G7" s="17">
        <f t="shared" si="0"/>
        <v>30959.5</v>
      </c>
      <c r="H7" s="17">
        <f t="shared" si="1"/>
        <v>1431.1688164901766</v>
      </c>
      <c r="I7" s="17">
        <f t="shared" si="2"/>
        <v>29528.331183509825</v>
      </c>
    </row>
    <row r="8" spans="1:9" ht="15.75" customHeight="1" x14ac:dyDescent="0.25">
      <c r="A8" s="5">
        <f t="shared" si="3"/>
        <v>2030</v>
      </c>
      <c r="B8" s="49">
        <v>1235</v>
      </c>
      <c r="C8" s="50">
        <v>4111</v>
      </c>
      <c r="D8" s="50">
        <v>8063.0000000000009</v>
      </c>
      <c r="E8" s="50">
        <v>9049.5</v>
      </c>
      <c r="F8" s="50">
        <v>9727</v>
      </c>
      <c r="G8" s="17">
        <f t="shared" si="0"/>
        <v>30950.5</v>
      </c>
      <c r="H8" s="17">
        <f t="shared" si="1"/>
        <v>1416.2608079850706</v>
      </c>
      <c r="I8" s="17">
        <f t="shared" si="2"/>
        <v>29534.239192014931</v>
      </c>
    </row>
    <row r="9" spans="1:9" ht="15.75" customHeight="1" x14ac:dyDescent="0.25">
      <c r="A9" s="5">
        <f t="shared" si="3"/>
        <v>2031</v>
      </c>
      <c r="B9" s="49">
        <v>1222</v>
      </c>
      <c r="C9" s="50">
        <v>3989</v>
      </c>
      <c r="D9" s="50">
        <v>8068.5</v>
      </c>
      <c r="E9" s="50">
        <v>8828.5</v>
      </c>
      <c r="F9" s="50">
        <v>9955.5</v>
      </c>
      <c r="G9" s="17">
        <f t="shared" si="0"/>
        <v>30841.5</v>
      </c>
      <c r="H9" s="17">
        <f t="shared" si="1"/>
        <v>1401.3527994799647</v>
      </c>
      <c r="I9" s="17">
        <f t="shared" si="2"/>
        <v>29440.147200520034</v>
      </c>
    </row>
    <row r="10" spans="1:9" ht="15.75" customHeight="1" x14ac:dyDescent="0.25">
      <c r="A10" s="5">
        <f t="shared" si="3"/>
        <v>2032</v>
      </c>
      <c r="B10" s="49">
        <v>1209</v>
      </c>
      <c r="C10" s="50">
        <v>3811.5</v>
      </c>
      <c r="D10" s="50">
        <v>8122.4999999999991</v>
      </c>
      <c r="E10" s="50">
        <v>8597.0000000000018</v>
      </c>
      <c r="F10" s="50">
        <v>10064.499999999998</v>
      </c>
      <c r="G10" s="17">
        <f t="shared" si="0"/>
        <v>30595.5</v>
      </c>
      <c r="H10" s="17">
        <f t="shared" si="1"/>
        <v>1386.4447909748587</v>
      </c>
      <c r="I10" s="17">
        <f t="shared" si="2"/>
        <v>29209.05520902514</v>
      </c>
    </row>
    <row r="11" spans="1:9" ht="15.75" customHeight="1" x14ac:dyDescent="0.25">
      <c r="A11" s="5">
        <f t="shared" si="3"/>
        <v>2033</v>
      </c>
      <c r="B11" s="49">
        <v>1195</v>
      </c>
      <c r="C11" s="50">
        <v>3628.5</v>
      </c>
      <c r="D11" s="50">
        <v>8156.0000000000009</v>
      </c>
      <c r="E11" s="50">
        <v>8412.5000000000018</v>
      </c>
      <c r="F11" s="50">
        <v>10071</v>
      </c>
      <c r="G11" s="17">
        <f t="shared" si="0"/>
        <v>30268</v>
      </c>
      <c r="H11" s="17">
        <f t="shared" si="1"/>
        <v>1370.3900125847445</v>
      </c>
      <c r="I11" s="17">
        <f t="shared" si="2"/>
        <v>28897.609987415257</v>
      </c>
    </row>
    <row r="12" spans="1:9" ht="15.75" customHeight="1" x14ac:dyDescent="0.25">
      <c r="A12" s="5">
        <f t="shared" si="3"/>
        <v>2034</v>
      </c>
      <c r="B12" s="49">
        <v>1181</v>
      </c>
      <c r="C12" s="50">
        <v>3499</v>
      </c>
      <c r="D12" s="50">
        <v>8149.9999999999982</v>
      </c>
      <c r="E12" s="50">
        <v>8266</v>
      </c>
      <c r="F12" s="50">
        <v>9994</v>
      </c>
      <c r="G12" s="17">
        <f t="shared" si="0"/>
        <v>29909</v>
      </c>
      <c r="H12" s="17">
        <f t="shared" si="1"/>
        <v>1354.3352341946302</v>
      </c>
      <c r="I12" s="17">
        <f t="shared" si="2"/>
        <v>28554.66476580537</v>
      </c>
    </row>
    <row r="13" spans="1:9" ht="15.75" customHeight="1" x14ac:dyDescent="0.25">
      <c r="A13" s="5">
        <f t="shared" si="3"/>
        <v>2035</v>
      </c>
      <c r="B13" s="49">
        <v>1166</v>
      </c>
      <c r="C13" s="50">
        <v>3407.5</v>
      </c>
      <c r="D13" s="50">
        <v>8098.5</v>
      </c>
      <c r="E13" s="50">
        <v>8150.4999999999991</v>
      </c>
      <c r="F13" s="50">
        <v>9851.5</v>
      </c>
      <c r="G13" s="17">
        <f t="shared" si="0"/>
        <v>29508</v>
      </c>
      <c r="H13" s="17">
        <f t="shared" si="1"/>
        <v>1337.133685919508</v>
      </c>
      <c r="I13" s="17">
        <f t="shared" si="2"/>
        <v>28170.866314080493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0.1055556</v>
      </c>
    </row>
    <row r="5" spans="1:8" ht="15.75" customHeight="1" x14ac:dyDescent="0.25">
      <c r="B5" s="19" t="s">
        <v>70</v>
      </c>
      <c r="C5" s="99">
        <v>4.8148100000000027E-2</v>
      </c>
    </row>
    <row r="6" spans="1:8" ht="15.75" customHeight="1" x14ac:dyDescent="0.25">
      <c r="B6" s="19" t="s">
        <v>71</v>
      </c>
      <c r="C6" s="99">
        <v>0.32037040000000022</v>
      </c>
    </row>
    <row r="7" spans="1:8" ht="15.75" customHeight="1" x14ac:dyDescent="0.25">
      <c r="B7" s="19" t="s">
        <v>72</v>
      </c>
      <c r="C7" s="99">
        <v>0.37222219999999978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0.14259260000000001</v>
      </c>
    </row>
    <row r="10" spans="1:8" ht="15.75" customHeight="1" x14ac:dyDescent="0.25">
      <c r="B10" s="19" t="s">
        <v>75</v>
      </c>
      <c r="C10" s="99">
        <v>1.11111E-2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99">
        <v>0.38426575950470021</v>
      </c>
      <c r="D15" s="99">
        <v>0.38426575950470021</v>
      </c>
      <c r="E15" s="99">
        <v>0.38426575950470021</v>
      </c>
      <c r="F15" s="99">
        <v>0.38426575950470021</v>
      </c>
    </row>
    <row r="16" spans="1:8" ht="15.75" customHeight="1" x14ac:dyDescent="0.25">
      <c r="B16" s="19" t="s">
        <v>83</v>
      </c>
      <c r="C16" s="99">
        <v>0</v>
      </c>
      <c r="D16" s="99">
        <v>0</v>
      </c>
      <c r="E16" s="99">
        <v>0</v>
      </c>
      <c r="F16" s="99">
        <v>0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0.43363631745840392</v>
      </c>
      <c r="D21" s="99">
        <v>0.43363631745840392</v>
      </c>
      <c r="E21" s="99">
        <v>0.43363631745840392</v>
      </c>
      <c r="F21" s="99">
        <v>0.43363631745840392</v>
      </c>
    </row>
    <row r="22" spans="1:8" ht="15.75" customHeight="1" x14ac:dyDescent="0.25">
      <c r="B22" s="19" t="s">
        <v>89</v>
      </c>
      <c r="C22" s="99">
        <v>0.18209792303689601</v>
      </c>
      <c r="D22" s="99">
        <v>0.18209792303689601</v>
      </c>
      <c r="E22" s="99">
        <v>0.18209792303689601</v>
      </c>
      <c r="F22" s="99">
        <v>0.18209792303689601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5.0426016999999997E-2</v>
      </c>
    </row>
    <row r="27" spans="1:8" ht="15.75" customHeight="1" x14ac:dyDescent="0.25">
      <c r="B27" s="19" t="s">
        <v>92</v>
      </c>
      <c r="C27" s="99">
        <v>4.7548858999999999E-2</v>
      </c>
    </row>
    <row r="28" spans="1:8" ht="15.75" customHeight="1" x14ac:dyDescent="0.25">
      <c r="B28" s="19" t="s">
        <v>93</v>
      </c>
      <c r="C28" s="99">
        <v>0.12571258499999999</v>
      </c>
    </row>
    <row r="29" spans="1:8" ht="15.75" customHeight="1" x14ac:dyDescent="0.25">
      <c r="B29" s="19" t="s">
        <v>94</v>
      </c>
      <c r="C29" s="99">
        <v>0.196091977</v>
      </c>
    </row>
    <row r="30" spans="1:8" ht="15.75" customHeight="1" x14ac:dyDescent="0.25">
      <c r="B30" s="19" t="s">
        <v>95</v>
      </c>
      <c r="C30" s="99">
        <v>6.7403012999999998E-2</v>
      </c>
    </row>
    <row r="31" spans="1:8" ht="15.75" customHeight="1" x14ac:dyDescent="0.25">
      <c r="B31" s="19" t="s">
        <v>96</v>
      </c>
      <c r="C31" s="99">
        <v>0.119314141</v>
      </c>
    </row>
    <row r="32" spans="1:8" ht="15.75" customHeight="1" x14ac:dyDescent="0.25">
      <c r="B32" s="19" t="s">
        <v>97</v>
      </c>
      <c r="C32" s="99">
        <v>3.6527864E-2</v>
      </c>
    </row>
    <row r="33" spans="2:3" ht="15.75" customHeight="1" x14ac:dyDescent="0.25">
      <c r="B33" s="19" t="s">
        <v>98</v>
      </c>
      <c r="C33" s="99">
        <v>0.152312374</v>
      </c>
    </row>
    <row r="34" spans="2:3" ht="15.75" customHeight="1" x14ac:dyDescent="0.25">
      <c r="B34" s="19" t="s">
        <v>99</v>
      </c>
      <c r="C34" s="99">
        <v>0.204663171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9689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0.65400000000000003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1.4966337972755255E-2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98327.867119999995</v>
      </c>
      <c r="C22" s="107">
        <v>98152.186239999995</v>
      </c>
      <c r="D22" s="107">
        <v>97954.256450000001</v>
      </c>
      <c r="E22" s="107">
        <v>97651.482990000004</v>
      </c>
      <c r="F22" s="107">
        <v>97222.049079999997</v>
      </c>
      <c r="G22" s="107">
        <v>96744.434529999999</v>
      </c>
      <c r="H22" s="107">
        <v>96003.557990000001</v>
      </c>
      <c r="I22" s="107">
        <v>94976.10295</v>
      </c>
      <c r="J22" s="107">
        <v>93665.527919999993</v>
      </c>
      <c r="K22" s="107">
        <v>91702.632129999998</v>
      </c>
      <c r="L22" s="107">
        <v>88776.651070000007</v>
      </c>
      <c r="M22" s="107">
        <v>84132.44859</v>
      </c>
      <c r="N22" s="107">
        <v>77063.677089999997</v>
      </c>
      <c r="O22" s="107">
        <v>66525.796359999993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13.8270149155654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13.8270149155654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13.8270149155654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13.8270149155654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13.8270149155654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13.8270149155654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0.34229166666666699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22.51730204343292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4.78860983208211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196.59554063194781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0.92326350000000001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