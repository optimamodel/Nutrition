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7C12FDD-39F7-44AD-86CC-D9672969DC98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4" i="2" l="1"/>
  <c r="A40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<sst xmlns="http://schemas.openxmlformats.org/spreadsheetml/2006/main" count="2169" uniqueCount="373">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</sst>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7">
        <v>3.6806607194084101E-2</v>
      </c>
    </row>
    <row r="31" spans="1:3" ht="14.25" customHeight="1" x14ac:dyDescent="0.25">
      <c r="B31" s="25" t="s">
        <v>28</v>
      </c>
      <c r="C31" s="97">
        <v>7.3852638350173999E-2</v>
      </c>
    </row>
    <row r="32" spans="1:3" ht="14.25" customHeight="1" x14ac:dyDescent="0.25">
      <c r="B32" s="25" t="s">
        <v>29</v>
      </c>
      <c r="C32" s="97">
        <v>0.63455310705874501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98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1912448</v>
      </c>
      <c r="C2" s="49">
        <v>439116</v>
      </c>
      <c r="D2" s="49">
        <v>891807</v>
      </c>
      <c r="E2" s="49">
        <v>1591124</v>
      </c>
      <c r="F2" s="49">
        <v>1263084.5</v>
      </c>
      <c r="G2" s="17">
        <f t="shared" ref="G2:G13" si="0">C2+D2+E2+F2</f>
        <v>4185131.5</v>
      </c>
      <c r="H2" s="17">
        <f t="shared" ref="H2:H13" si="1">(B2 + stillbirth*B2/(1000-stillbirth))/(1-abortion)</f>
        <v>2210255.1760940021</v>
      </c>
      <c r="I2" s="17">
        <f t="shared" ref="I2:I13" si="2">G2-H2</f>
        <v>1974876.3239059979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400062</v>
      </c>
      <c r="C3" s="50">
        <v>798499</v>
      </c>
      <c r="D3" s="50">
        <v>1245106</v>
      </c>
      <c r="E3" s="50">
        <v>974518</v>
      </c>
      <c r="F3" s="50">
        <v>716323</v>
      </c>
      <c r="G3" s="17">
        <f t="shared" si="0"/>
        <v>3734446</v>
      </c>
      <c r="H3" s="17">
        <f t="shared" si="1"/>
        <v>462359.81645436567</v>
      </c>
      <c r="I3" s="17">
        <f t="shared" si="2"/>
        <v>3272086.1835456342</v>
      </c>
    </row>
    <row r="4" spans="1:9" ht="15.75" customHeight="1" x14ac:dyDescent="0.25">
      <c r="A4" s="5">
        <f t="shared" si="3"/>
        <v>2026</v>
      </c>
      <c r="B4" s="49">
        <v>404109</v>
      </c>
      <c r="C4" s="50">
        <v>797849.5</v>
      </c>
      <c r="D4" s="50">
        <v>1295305</v>
      </c>
      <c r="E4" s="50">
        <v>987597.50000000012</v>
      </c>
      <c r="F4" s="50">
        <v>751151.00000000012</v>
      </c>
      <c r="G4" s="17">
        <f t="shared" si="0"/>
        <v>3831903</v>
      </c>
      <c r="H4" s="17">
        <f t="shared" si="1"/>
        <v>467037.01693126879</v>
      </c>
      <c r="I4" s="17">
        <f t="shared" si="2"/>
        <v>3364865.9830687311</v>
      </c>
    </row>
    <row r="5" spans="1:9" ht="15.75" customHeight="1" x14ac:dyDescent="0.25">
      <c r="A5" s="5">
        <f t="shared" si="3"/>
        <v>2027</v>
      </c>
      <c r="B5" s="49">
        <v>409278</v>
      </c>
      <c r="C5" s="50">
        <v>796481.5</v>
      </c>
      <c r="D5" s="50">
        <v>1346244.0000000002</v>
      </c>
      <c r="E5" s="50">
        <v>1001450.5</v>
      </c>
      <c r="F5" s="50">
        <v>784349.5</v>
      </c>
      <c r="G5" s="17">
        <f t="shared" si="0"/>
        <v>3928525.5</v>
      </c>
      <c r="H5" s="17">
        <f t="shared" si="1"/>
        <v>473010.93570199091</v>
      </c>
      <c r="I5" s="17">
        <f t="shared" si="2"/>
        <v>3455514.564298009</v>
      </c>
    </row>
    <row r="6" spans="1:9" ht="15.75" customHeight="1" x14ac:dyDescent="0.25">
      <c r="A6" s="5">
        <f t="shared" si="3"/>
        <v>2028</v>
      </c>
      <c r="B6" s="49">
        <v>413705</v>
      </c>
      <c r="C6" s="50">
        <v>797762.5</v>
      </c>
      <c r="D6" s="50">
        <v>1394698.5</v>
      </c>
      <c r="E6" s="50">
        <v>1016251.5000000001</v>
      </c>
      <c r="F6" s="50">
        <v>814842.5</v>
      </c>
      <c r="G6" s="17">
        <f t="shared" si="0"/>
        <v>4023555</v>
      </c>
      <c r="H6" s="17">
        <f t="shared" si="1"/>
        <v>478127.30993259378</v>
      </c>
      <c r="I6" s="17">
        <f t="shared" si="2"/>
        <v>3545427.6900674063</v>
      </c>
    </row>
    <row r="7" spans="1:9" ht="15.75" customHeight="1" x14ac:dyDescent="0.25">
      <c r="A7" s="5">
        <f t="shared" si="3"/>
        <v>2029</v>
      </c>
      <c r="B7" s="49">
        <v>417935</v>
      </c>
      <c r="C7" s="50">
        <v>803970.5</v>
      </c>
      <c r="D7" s="50">
        <v>1437534.9999999998</v>
      </c>
      <c r="E7" s="50">
        <v>1032142</v>
      </c>
      <c r="F7" s="50">
        <v>841696.5</v>
      </c>
      <c r="G7" s="17">
        <f t="shared" si="0"/>
        <v>4115344</v>
      </c>
      <c r="H7" s="17">
        <f t="shared" si="1"/>
        <v>483016.00724351552</v>
      </c>
      <c r="I7" s="17">
        <f t="shared" si="2"/>
        <v>3632327.9927564845</v>
      </c>
    </row>
    <row r="8" spans="1:9" ht="15.75" customHeight="1" x14ac:dyDescent="0.25">
      <c r="A8" s="5">
        <f t="shared" si="3"/>
        <v>2030</v>
      </c>
      <c r="B8" s="49">
        <v>420807</v>
      </c>
      <c r="C8" s="50">
        <v>814791</v>
      </c>
      <c r="D8" s="50">
        <v>1472186</v>
      </c>
      <c r="E8" s="50">
        <v>1049132</v>
      </c>
      <c r="F8" s="50">
        <v>864353.49999999988</v>
      </c>
      <c r="G8" s="17">
        <f t="shared" si="0"/>
        <v>4200462.5</v>
      </c>
      <c r="H8" s="17">
        <f t="shared" si="1"/>
        <v>486335.23624516267</v>
      </c>
      <c r="I8" s="17">
        <f t="shared" si="2"/>
        <v>3714127.2637548372</v>
      </c>
    </row>
    <row r="9" spans="1:9" ht="15.75" customHeight="1" x14ac:dyDescent="0.25">
      <c r="A9" s="5">
        <f t="shared" si="3"/>
        <v>2031</v>
      </c>
      <c r="B9" s="49">
        <v>423412</v>
      </c>
      <c r="C9" s="50">
        <v>829042</v>
      </c>
      <c r="D9" s="50">
        <v>1501513.5</v>
      </c>
      <c r="E9" s="50">
        <v>1070167.5</v>
      </c>
      <c r="F9" s="50">
        <v>883917.5</v>
      </c>
      <c r="G9" s="17">
        <f t="shared" si="0"/>
        <v>4284640.5</v>
      </c>
      <c r="H9" s="17">
        <f t="shared" si="1"/>
        <v>489345.88789881539</v>
      </c>
      <c r="I9" s="17">
        <f t="shared" si="2"/>
        <v>3795294.6121011847</v>
      </c>
    </row>
    <row r="10" spans="1:9" ht="15.75" customHeight="1" x14ac:dyDescent="0.25">
      <c r="A10" s="5">
        <f t="shared" si="3"/>
        <v>2032</v>
      </c>
      <c r="B10" s="49">
        <v>426716</v>
      </c>
      <c r="C10" s="50">
        <v>844915</v>
      </c>
      <c r="D10" s="50">
        <v>1526850.5</v>
      </c>
      <c r="E10" s="50">
        <v>1097290.5</v>
      </c>
      <c r="F10" s="50">
        <v>901214</v>
      </c>
      <c r="G10" s="17">
        <f t="shared" si="0"/>
        <v>4370270</v>
      </c>
      <c r="H10" s="17">
        <f t="shared" si="1"/>
        <v>493164.38811519486</v>
      </c>
      <c r="I10" s="17">
        <f t="shared" si="2"/>
        <v>3877105.6118848054</v>
      </c>
    </row>
    <row r="11" spans="1:9" ht="15.75" customHeight="1" x14ac:dyDescent="0.25">
      <c r="A11" s="5">
        <f t="shared" si="3"/>
        <v>2033</v>
      </c>
      <c r="B11" s="49">
        <v>430303</v>
      </c>
      <c r="C11" s="50">
        <v>859498.5</v>
      </c>
      <c r="D11" s="50">
        <v>1544108.5</v>
      </c>
      <c r="E11" s="50">
        <v>1128634</v>
      </c>
      <c r="F11" s="50">
        <v>915520</v>
      </c>
      <c r="G11" s="17">
        <f t="shared" si="0"/>
        <v>4447761</v>
      </c>
      <c r="H11" s="17">
        <f t="shared" si="1"/>
        <v>497309.95720604033</v>
      </c>
      <c r="I11" s="17">
        <f t="shared" si="2"/>
        <v>3950451.0427939598</v>
      </c>
    </row>
    <row r="12" spans="1:9" ht="15.75" customHeight="1" x14ac:dyDescent="0.25">
      <c r="A12" s="5">
        <f t="shared" si="3"/>
        <v>2034</v>
      </c>
      <c r="B12" s="49">
        <v>431619</v>
      </c>
      <c r="C12" s="50">
        <v>872029</v>
      </c>
      <c r="D12" s="50">
        <v>1558156.5</v>
      </c>
      <c r="E12" s="50">
        <v>1166722</v>
      </c>
      <c r="F12" s="50">
        <v>928370</v>
      </c>
      <c r="G12" s="17">
        <f t="shared" si="0"/>
        <v>4525277.5</v>
      </c>
      <c r="H12" s="17">
        <f t="shared" si="1"/>
        <v>498830.88525832712</v>
      </c>
      <c r="I12" s="17">
        <f t="shared" si="2"/>
        <v>4026446.6147416728</v>
      </c>
    </row>
    <row r="13" spans="1:9" ht="15.75" customHeight="1" x14ac:dyDescent="0.25">
      <c r="A13" s="5">
        <f t="shared" si="3"/>
        <v>2035</v>
      </c>
      <c r="B13" s="49">
        <v>435259</v>
      </c>
      <c r="C13" s="50">
        <v>882784</v>
      </c>
      <c r="D13" s="50">
        <v>1574075</v>
      </c>
      <c r="E13" s="50">
        <v>1212784</v>
      </c>
      <c r="F13" s="50">
        <v>941462</v>
      </c>
      <c r="G13" s="17">
        <f t="shared" si="0"/>
        <v>4611105</v>
      </c>
      <c r="H13" s="17">
        <f t="shared" si="1"/>
        <v>503037.70753060962</v>
      </c>
      <c r="I13" s="17">
        <f t="shared" si="2"/>
        <v>4108067.2924693902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99">
        <v>4.6453576687890671E-2</v>
      </c>
    </row>
    <row r="5" spans="1:8" ht="15.75" customHeight="1" x14ac:dyDescent="0.25">
      <c r="B5" s="19" t="s">
        <v>70</v>
      </c>
      <c r="C5" s="99">
        <v>5.2706888908387282E-2</v>
      </c>
    </row>
    <row r="6" spans="1:8" ht="15.75" customHeight="1" x14ac:dyDescent="0.25">
      <c r="B6" s="19" t="s">
        <v>71</v>
      </c>
      <c r="C6" s="99">
        <v>0.21486660124181831</v>
      </c>
    </row>
    <row r="7" spans="1:8" ht="15.75" customHeight="1" x14ac:dyDescent="0.25">
      <c r="B7" s="19" t="s">
        <v>72</v>
      </c>
      <c r="C7" s="99">
        <v>0.48309890874434158</v>
      </c>
    </row>
    <row r="8" spans="1:8" ht="15.75" customHeight="1" x14ac:dyDescent="0.25">
      <c r="B8" s="19" t="s">
        <v>73</v>
      </c>
      <c r="C8" s="99">
        <v>6.8292896688334896E-4</v>
      </c>
    </row>
    <row r="9" spans="1:8" ht="15.75" customHeight="1" x14ac:dyDescent="0.25">
      <c r="B9" s="19" t="s">
        <v>74</v>
      </c>
      <c r="C9" s="99">
        <v>0.11159575567550881</v>
      </c>
    </row>
    <row r="10" spans="1:8" ht="15.75" customHeight="1" x14ac:dyDescent="0.25">
      <c r="B10" s="19" t="s">
        <v>75</v>
      </c>
      <c r="C10" s="99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99">
        <v>0.26625517984174851</v>
      </c>
      <c r="D15" s="99">
        <v>0.26625517984174851</v>
      </c>
      <c r="E15" s="99">
        <v>0.26625517984174851</v>
      </c>
      <c r="F15" s="99">
        <v>0.26625517984174851</v>
      </c>
    </row>
    <row r="16" spans="1:8" ht="15.75" customHeight="1" x14ac:dyDescent="0.25">
      <c r="B16" s="19" t="s">
        <v>83</v>
      </c>
      <c r="C16" s="99">
        <v>1.333089552501393E-2</v>
      </c>
      <c r="D16" s="99">
        <v>1.333089552501393E-2</v>
      </c>
      <c r="E16" s="99">
        <v>1.333089552501393E-2</v>
      </c>
      <c r="F16" s="99">
        <v>1.333089552501393E-2</v>
      </c>
    </row>
    <row r="17" spans="1:8" ht="15.75" customHeight="1" x14ac:dyDescent="0.25">
      <c r="B17" s="19" t="s">
        <v>84</v>
      </c>
      <c r="C17" s="99">
        <v>8.7282404598570933E-3</v>
      </c>
      <c r="D17" s="99">
        <v>8.7282404598570933E-3</v>
      </c>
      <c r="E17" s="99">
        <v>8.7282404598570933E-3</v>
      </c>
      <c r="F17" s="99">
        <v>8.7282404598570933E-3</v>
      </c>
    </row>
    <row r="18" spans="1:8" ht="15.75" customHeight="1" x14ac:dyDescent="0.25">
      <c r="B18" s="19" t="s">
        <v>85</v>
      </c>
      <c r="C18" s="99">
        <v>8.9974197817541915E-2</v>
      </c>
      <c r="D18" s="99">
        <v>8.9974197817541915E-2</v>
      </c>
      <c r="E18" s="99">
        <v>8.9974197817541915E-2</v>
      </c>
      <c r="F18" s="99">
        <v>8.9974197817541915E-2</v>
      </c>
    </row>
    <row r="19" spans="1:8" ht="15.75" customHeight="1" x14ac:dyDescent="0.25">
      <c r="B19" s="19" t="s">
        <v>86</v>
      </c>
      <c r="C19" s="99">
        <v>4.0866747820799708E-2</v>
      </c>
      <c r="D19" s="99">
        <v>4.0866747820799708E-2</v>
      </c>
      <c r="E19" s="99">
        <v>4.0866747820799708E-2</v>
      </c>
      <c r="F19" s="99">
        <v>4.0866747820799708E-2</v>
      </c>
    </row>
    <row r="20" spans="1:8" ht="15.75" customHeight="1" x14ac:dyDescent="0.25">
      <c r="B20" s="19" t="s">
        <v>87</v>
      </c>
      <c r="C20" s="99">
        <v>5.6648497277709368E-2</v>
      </c>
      <c r="D20" s="99">
        <v>5.6648497277709368E-2</v>
      </c>
      <c r="E20" s="99">
        <v>5.6648497277709368E-2</v>
      </c>
      <c r="F20" s="99">
        <v>5.6648497277709368E-2</v>
      </c>
    </row>
    <row r="21" spans="1:8" ht="15.75" customHeight="1" x14ac:dyDescent="0.25">
      <c r="B21" s="19" t="s">
        <v>88</v>
      </c>
      <c r="C21" s="99">
        <v>0.1894963149331233</v>
      </c>
      <c r="D21" s="99">
        <v>0.1894963149331233</v>
      </c>
      <c r="E21" s="99">
        <v>0.1894963149331233</v>
      </c>
      <c r="F21" s="99">
        <v>0.1894963149331233</v>
      </c>
    </row>
    <row r="22" spans="1:8" ht="15.75" customHeight="1" x14ac:dyDescent="0.25">
      <c r="B22" s="19" t="s">
        <v>89</v>
      </c>
      <c r="C22" s="99">
        <v>0.16863032897045999</v>
      </c>
      <c r="D22" s="99">
        <v>0.16863032897045999</v>
      </c>
      <c r="E22" s="99">
        <v>0.16863032897045999</v>
      </c>
      <c r="F22" s="99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99">
        <v>8.9249900000000007E-3</v>
      </c>
    </row>
    <row r="28" spans="1:8" ht="15.75" customHeight="1" x14ac:dyDescent="0.25">
      <c r="B28" s="19" t="s">
        <v>93</v>
      </c>
      <c r="C28" s="99">
        <v>0.15479583299999999</v>
      </c>
    </row>
    <row r="29" spans="1:8" ht="15.75" customHeight="1" x14ac:dyDescent="0.25">
      <c r="B29" s="19" t="s">
        <v>94</v>
      </c>
      <c r="C29" s="99">
        <v>0.168002662</v>
      </c>
    </row>
    <row r="30" spans="1:8" ht="15.75" customHeight="1" x14ac:dyDescent="0.25">
      <c r="B30" s="19" t="s">
        <v>95</v>
      </c>
      <c r="C30" s="99">
        <v>0.104541704</v>
      </c>
    </row>
    <row r="31" spans="1:8" ht="15.75" customHeight="1" x14ac:dyDescent="0.25">
      <c r="B31" s="19" t="s">
        <v>96</v>
      </c>
      <c r="C31" s="99">
        <v>0.10832760499999999</v>
      </c>
    </row>
    <row r="32" spans="1:8" ht="15.75" customHeight="1" x14ac:dyDescent="0.25">
      <c r="B32" s="19" t="s">
        <v>97</v>
      </c>
      <c r="C32" s="99">
        <v>1.8696531999999998E-2</v>
      </c>
    </row>
    <row r="33" spans="2:3" ht="15.75" customHeight="1" x14ac:dyDescent="0.25">
      <c r="B33" s="19" t="s">
        <v>98</v>
      </c>
      <c r="C33" s="99">
        <v>8.4083039999999998E-2</v>
      </c>
    </row>
    <row r="34" spans="2:3" ht="15.75" customHeight="1" x14ac:dyDescent="0.25">
      <c r="B34" s="19" t="s">
        <v>99</v>
      </c>
      <c r="C34" s="99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966.23207136199301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0.38140000000000002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0.56830000000000003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1.990105615194997E-2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96555.94816</v>
      </c>
      <c r="C22" s="107">
        <v>96079.527390000003</v>
      </c>
      <c r="D22" s="107">
        <v>95631.113060000003</v>
      </c>
      <c r="E22" s="107">
        <v>95161.49944</v>
      </c>
      <c r="F22" s="107">
        <v>94502.367230000003</v>
      </c>
      <c r="G22" s="107">
        <v>93739.134999999995</v>
      </c>
      <c r="H22" s="107">
        <v>92757.999790000002</v>
      </c>
      <c r="I22" s="107">
        <v>91429.240390000006</v>
      </c>
      <c r="J22" s="107">
        <v>89478.996429999999</v>
      </c>
      <c r="K22" s="107">
        <v>86804.421950000004</v>
      </c>
      <c r="L22" s="107">
        <v>82864.116859999995</v>
      </c>
      <c r="M22" s="107">
        <v>77545.65367</v>
      </c>
      <c r="N22" s="107">
        <v>70126.617209999997</v>
      </c>
      <c r="O22" s="107">
        <v>60487.517310000003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6.03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3.7783674513817815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0.1563252</v>
      </c>
      <c r="C10" s="96">
        <v>0.95</v>
      </c>
      <c r="D10" s="56">
        <v>15.05045142161304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15.05045142161304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15.05045142161304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15.05045142161304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0.16389999999999999</v>
      </c>
      <c r="C14" s="96">
        <v>0.95</v>
      </c>
      <c r="D14" s="56">
        <v>1.3111054247697034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15.05045142161304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0.48628949999999999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5.58755555555556E-3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0.78899600000000003</v>
      </c>
      <c r="C18" s="96">
        <v>0.95</v>
      </c>
      <c r="D18" s="56">
        <v>6.0310849539406348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0.78899600000000003</v>
      </c>
      <c r="C19" s="96">
        <v>0.95</v>
      </c>
      <c r="D19" s="56">
        <v>1.723860781546777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3.6234186284544529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6.03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0.56296439999999992</v>
      </c>
      <c r="C23" s="96">
        <v>0.95</v>
      </c>
      <c r="D23" s="56">
        <v>4.9321676394351552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0.61747921546045004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0.184</v>
      </c>
      <c r="C26" s="96">
        <v>0.95</v>
      </c>
      <c r="D26" s="56">
        <v>7.7236028659160709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0.2796807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0.34426630000000003</v>
      </c>
      <c r="C29" s="96">
        <v>0.95</v>
      </c>
      <c r="D29" s="56">
        <v>63.551452439241622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0.86499999999999999</v>
      </c>
      <c r="C32" s="96">
        <v>0.95</v>
      </c>
      <c r="D32" s="56">
        <v>0.46484646878198577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0.18402009999999999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0.82192539999999992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1.9060199999999999E-2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0.45494020000000002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0.188</v>
      </c>
      <c r="C38" s="96">
        <v>0.95</v>
      </c>
      <c r="D38" s="56">
        <v>0.28605936540429888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198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