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7A85ECE-756A-4BB9-A360-487B2252A6AB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33" i="2"/>
  <c r="A32" i="2"/>
  <c r="A31" i="2"/>
  <c r="A29" i="2"/>
  <c r="A28" i="2"/>
  <c r="A27" i="2"/>
  <c r="A25" i="2"/>
  <c r="A24" i="2"/>
  <c r="A23" i="2"/>
  <c r="A21" i="2"/>
  <c r="A20" i="2"/>
  <c r="A19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18" i="2" l="1"/>
  <c r="A26" i="2"/>
  <c r="A34" i="2"/>
  <c r="A39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<sst xmlns="http://schemas.openxmlformats.org/spreadsheetml/2006/main" count="2101" uniqueCount="341">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</sst>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1988148.15625</v>
      </c>
    </row>
    <row r="8" spans="1:3" ht="15" customHeight="1" x14ac:dyDescent="0.25">
      <c r="B8" s="5" t="s">
        <v>8</v>
      </c>
      <c r="C8" s="44">
        <v>0.55500000000000005</v>
      </c>
    </row>
    <row r="9" spans="1:3" ht="15" customHeight="1" x14ac:dyDescent="0.25">
      <c r="B9" s="5" t="s">
        <v>9</v>
      </c>
      <c r="C9" s="45">
        <v>7.0000000000000007E-2</v>
      </c>
    </row>
    <row r="10" spans="1:3" ht="15" customHeight="1" x14ac:dyDescent="0.25">
      <c r="B10" s="5" t="s">
        <v>10</v>
      </c>
      <c r="C10" s="45">
        <v>0.29895069122314499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4.6199999999999998E-2</v>
      </c>
    </row>
    <row r="24" spans="1:3" ht="15" customHeight="1" x14ac:dyDescent="0.25">
      <c r="B24" s="15" t="s">
        <v>22</v>
      </c>
      <c r="C24" s="45">
        <v>0.50180000000000002</v>
      </c>
    </row>
    <row r="25" spans="1:3" ht="15" customHeight="1" x14ac:dyDescent="0.25">
      <c r="B25" s="15" t="s">
        <v>23</v>
      </c>
      <c r="C25" s="45">
        <v>0.36330000000000001</v>
      </c>
    </row>
    <row r="26" spans="1:3" ht="15" customHeight="1" x14ac:dyDescent="0.25">
      <c r="B26" s="15" t="s">
        <v>24</v>
      </c>
      <c r="C26" s="45">
        <v>8.8699999999999987E-2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0.254787647396997</v>
      </c>
    </row>
    <row r="30" spans="1:3" ht="14.25" customHeight="1" x14ac:dyDescent="0.25">
      <c r="B30" s="25" t="s">
        <v>27</v>
      </c>
      <c r="C30" s="99">
        <v>3.6806607194084101E-2</v>
      </c>
    </row>
    <row r="31" spans="1:3" ht="14.25" customHeight="1" x14ac:dyDescent="0.25">
      <c r="B31" s="25" t="s">
        <v>28</v>
      </c>
      <c r="C31" s="99">
        <v>7.3852638350173999E-2</v>
      </c>
    </row>
    <row r="32" spans="1:3" ht="14.25" customHeight="1" x14ac:dyDescent="0.25">
      <c r="B32" s="25" t="s">
        <v>29</v>
      </c>
      <c r="C32" s="99">
        <v>0.63455310705874501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17.52411</v>
      </c>
    </row>
    <row r="38" spans="1:5" ht="15" customHeight="1" x14ac:dyDescent="0.25">
      <c r="B38" s="11" t="s">
        <v>34</v>
      </c>
      <c r="C38" s="43">
        <v>29.650749999999999</v>
      </c>
      <c r="D38" s="12"/>
      <c r="E38" s="13"/>
    </row>
    <row r="39" spans="1:5" ht="15" customHeight="1" x14ac:dyDescent="0.25">
      <c r="B39" s="11" t="s">
        <v>35</v>
      </c>
      <c r="C39" s="43">
        <v>39.438879999999997</v>
      </c>
      <c r="D39" s="12"/>
      <c r="E39" s="12"/>
    </row>
    <row r="40" spans="1:5" ht="15" customHeight="1" x14ac:dyDescent="0.25">
      <c r="B40" s="11" t="s">
        <v>36</v>
      </c>
      <c r="C40" s="100">
        <v>2.59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16.748660000000001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7.9924000000000002E-3</v>
      </c>
      <c r="D45" s="12"/>
    </row>
    <row r="46" spans="1:5" ht="15.75" customHeight="1" x14ac:dyDescent="0.25">
      <c r="B46" s="11" t="s">
        <v>41</v>
      </c>
      <c r="C46" s="45">
        <v>8.54993E-2</v>
      </c>
      <c r="D46" s="12"/>
    </row>
    <row r="47" spans="1:5" ht="15.75" customHeight="1" x14ac:dyDescent="0.25">
      <c r="B47" s="11" t="s">
        <v>42</v>
      </c>
      <c r="C47" s="45">
        <v>0.16339429999999999</v>
      </c>
      <c r="D47" s="12"/>
      <c r="E47" s="13"/>
    </row>
    <row r="48" spans="1:5" ht="15" customHeight="1" x14ac:dyDescent="0.25">
      <c r="B48" s="11" t="s">
        <v>43</v>
      </c>
      <c r="C48" s="46">
        <v>0.74311400000000005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0.62000600000000006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7.87070039999999E-2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412709</v>
      </c>
      <c r="C2" s="49">
        <v>953624</v>
      </c>
      <c r="D2" s="49">
        <v>1283702.5</v>
      </c>
      <c r="E2" s="49">
        <v>1025523.5</v>
      </c>
      <c r="F2" s="49">
        <v>614913.5</v>
      </c>
      <c r="G2" s="17">
        <f t="shared" ref="G2:G13" si="0">C2+D2+E2+F2</f>
        <v>3877763.5</v>
      </c>
      <c r="H2" s="17">
        <f t="shared" ref="H2:H13" si="1">(B2 + stillbirth*B2/(1000-stillbirth))/(1-abortion)</f>
        <v>476976.21240973851</v>
      </c>
      <c r="I2" s="17">
        <f t="shared" ref="I2:I13" si="2">G2-H2</f>
        <v>3400787.2875902615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416307</v>
      </c>
      <c r="C3" s="50">
        <v>960952</v>
      </c>
      <c r="D3" s="50">
        <v>1321044.5</v>
      </c>
      <c r="E3" s="50">
        <v>1040532</v>
      </c>
      <c r="F3" s="50">
        <v>650892.5</v>
      </c>
      <c r="G3" s="17">
        <f t="shared" si="0"/>
        <v>3973421</v>
      </c>
      <c r="H3" s="17">
        <f t="shared" si="1"/>
        <v>481134.49442503316</v>
      </c>
      <c r="I3" s="17">
        <f t="shared" si="2"/>
        <v>3492286.5055749668</v>
      </c>
    </row>
    <row r="4" spans="1:9" ht="15.75" customHeight="1" x14ac:dyDescent="0.25">
      <c r="A4" s="5">
        <f t="shared" si="3"/>
        <v>2026</v>
      </c>
      <c r="B4" s="49">
        <v>419664</v>
      </c>
      <c r="C4" s="50">
        <v>966958.5</v>
      </c>
      <c r="D4" s="50">
        <v>1359706</v>
      </c>
      <c r="E4" s="50">
        <v>1055665</v>
      </c>
      <c r="F4" s="50">
        <v>686977</v>
      </c>
      <c r="G4" s="17">
        <f t="shared" si="0"/>
        <v>4069306.5</v>
      </c>
      <c r="H4" s="17">
        <f t="shared" si="1"/>
        <v>485014.24782284978</v>
      </c>
      <c r="I4" s="17">
        <f t="shared" si="2"/>
        <v>3584292.25217715</v>
      </c>
    </row>
    <row r="5" spans="1:9" ht="15.75" customHeight="1" x14ac:dyDescent="0.25">
      <c r="A5" s="5">
        <f t="shared" si="3"/>
        <v>2027</v>
      </c>
      <c r="B5" s="49">
        <v>421585</v>
      </c>
      <c r="C5" s="50">
        <v>973243.5</v>
      </c>
      <c r="D5" s="50">
        <v>1399314.5</v>
      </c>
      <c r="E5" s="50">
        <v>1070122</v>
      </c>
      <c r="F5" s="50">
        <v>722118.5</v>
      </c>
      <c r="G5" s="17">
        <f t="shared" si="0"/>
        <v>4164798.5</v>
      </c>
      <c r="H5" s="17">
        <f t="shared" si="1"/>
        <v>487234.38671984279</v>
      </c>
      <c r="I5" s="17">
        <f t="shared" si="2"/>
        <v>3677564.1132801571</v>
      </c>
    </row>
    <row r="6" spans="1:9" ht="15.75" customHeight="1" x14ac:dyDescent="0.25">
      <c r="A6" s="5">
        <f t="shared" si="3"/>
        <v>2028</v>
      </c>
      <c r="B6" s="49">
        <v>426039</v>
      </c>
      <c r="C6" s="50">
        <v>981622.5</v>
      </c>
      <c r="D6" s="50">
        <v>1437282</v>
      </c>
      <c r="E6" s="50">
        <v>1085023</v>
      </c>
      <c r="F6" s="50">
        <v>755421</v>
      </c>
      <c r="G6" s="17">
        <f t="shared" si="0"/>
        <v>4259348.5</v>
      </c>
      <c r="H6" s="17">
        <f t="shared" si="1"/>
        <v>492381.96540136653</v>
      </c>
      <c r="I6" s="17">
        <f t="shared" si="2"/>
        <v>3766966.5345986336</v>
      </c>
    </row>
    <row r="7" spans="1:9" ht="15.75" customHeight="1" x14ac:dyDescent="0.25">
      <c r="A7" s="5">
        <f t="shared" si="3"/>
        <v>2029</v>
      </c>
      <c r="B7" s="49">
        <v>428239</v>
      </c>
      <c r="C7" s="50">
        <v>992999.49999999988</v>
      </c>
      <c r="D7" s="50">
        <v>1471537</v>
      </c>
      <c r="E7" s="50">
        <v>1102331</v>
      </c>
      <c r="F7" s="50">
        <v>785408.5</v>
      </c>
      <c r="G7" s="17">
        <f t="shared" si="0"/>
        <v>4352276</v>
      </c>
      <c r="H7" s="17">
        <f t="shared" si="1"/>
        <v>494924.55029120762</v>
      </c>
      <c r="I7" s="17">
        <f t="shared" si="2"/>
        <v>3857351.4497087924</v>
      </c>
    </row>
    <row r="8" spans="1:9" ht="15.75" customHeight="1" x14ac:dyDescent="0.25">
      <c r="A8" s="5">
        <f t="shared" si="3"/>
        <v>2030</v>
      </c>
      <c r="B8" s="49">
        <v>430732</v>
      </c>
      <c r="C8" s="50">
        <v>1007133.5</v>
      </c>
      <c r="D8" s="50">
        <v>1501488.5</v>
      </c>
      <c r="E8" s="50">
        <v>1123533.5</v>
      </c>
      <c r="F8" s="50">
        <v>811213.5</v>
      </c>
      <c r="G8" s="17">
        <f t="shared" si="0"/>
        <v>4443369</v>
      </c>
      <c r="H8" s="17">
        <f t="shared" si="1"/>
        <v>497805.76125955937</v>
      </c>
      <c r="I8" s="17">
        <f t="shared" si="2"/>
        <v>3945563.2387404405</v>
      </c>
    </row>
    <row r="9" spans="1:9" ht="15.75" customHeight="1" x14ac:dyDescent="0.25">
      <c r="A9" s="5">
        <f t="shared" si="3"/>
        <v>2031</v>
      </c>
      <c r="B9" s="49">
        <v>432695</v>
      </c>
      <c r="C9" s="50">
        <v>1023584.5</v>
      </c>
      <c r="D9" s="50">
        <v>1526553</v>
      </c>
      <c r="E9" s="50">
        <v>1149899</v>
      </c>
      <c r="F9" s="50">
        <v>833106</v>
      </c>
      <c r="G9" s="17">
        <f t="shared" si="0"/>
        <v>4533142.5</v>
      </c>
      <c r="H9" s="17">
        <f t="shared" si="1"/>
        <v>500074.44041354029</v>
      </c>
      <c r="I9" s="17">
        <f t="shared" si="2"/>
        <v>4033068.0595864598</v>
      </c>
    </row>
    <row r="10" spans="1:9" ht="15.75" customHeight="1" x14ac:dyDescent="0.25">
      <c r="A10" s="5">
        <f t="shared" si="3"/>
        <v>2032</v>
      </c>
      <c r="B10" s="49">
        <v>435814</v>
      </c>
      <c r="C10" s="50">
        <v>1041457</v>
      </c>
      <c r="D10" s="50">
        <v>1548802</v>
      </c>
      <c r="E10" s="50">
        <v>1180081</v>
      </c>
      <c r="F10" s="50">
        <v>851287.5</v>
      </c>
      <c r="G10" s="17">
        <f t="shared" si="0"/>
        <v>4621627.5</v>
      </c>
      <c r="H10" s="17">
        <f t="shared" si="1"/>
        <v>503679.13235509227</v>
      </c>
      <c r="I10" s="17">
        <f t="shared" si="2"/>
        <v>4117948.3676449079</v>
      </c>
    </row>
    <row r="11" spans="1:9" ht="15.75" customHeight="1" x14ac:dyDescent="0.25">
      <c r="A11" s="5">
        <f t="shared" si="3"/>
        <v>2033</v>
      </c>
      <c r="B11" s="49">
        <v>438657</v>
      </c>
      <c r="C11" s="50">
        <v>1059871.5</v>
      </c>
      <c r="D11" s="50">
        <v>1569845.5</v>
      </c>
      <c r="E11" s="50">
        <v>1212617</v>
      </c>
      <c r="F11" s="50">
        <v>866315.5</v>
      </c>
      <c r="G11" s="17">
        <f t="shared" si="0"/>
        <v>4708649.5</v>
      </c>
      <c r="H11" s="17">
        <f t="shared" si="1"/>
        <v>506964.84546500962</v>
      </c>
      <c r="I11" s="17">
        <f t="shared" si="2"/>
        <v>4201684.65453499</v>
      </c>
    </row>
    <row r="12" spans="1:9" ht="15.75" customHeight="1" x14ac:dyDescent="0.25">
      <c r="A12" s="5">
        <f t="shared" si="3"/>
        <v>2034</v>
      </c>
      <c r="B12" s="49">
        <v>441535</v>
      </c>
      <c r="C12" s="50">
        <v>1077927.5</v>
      </c>
      <c r="D12" s="50">
        <v>1588575</v>
      </c>
      <c r="E12" s="50">
        <v>1247943</v>
      </c>
      <c r="F12" s="50">
        <v>879299.5</v>
      </c>
      <c r="G12" s="17">
        <f t="shared" si="0"/>
        <v>4793745</v>
      </c>
      <c r="H12" s="17">
        <f t="shared" si="1"/>
        <v>510291.00878908357</v>
      </c>
      <c r="I12" s="17">
        <f t="shared" si="2"/>
        <v>4283453.9912109161</v>
      </c>
    </row>
    <row r="13" spans="1:9" ht="15.75" customHeight="1" x14ac:dyDescent="0.25">
      <c r="A13" s="5">
        <f t="shared" si="3"/>
        <v>2035</v>
      </c>
      <c r="B13" s="49">
        <v>444544</v>
      </c>
      <c r="C13" s="50">
        <v>1095299.5</v>
      </c>
      <c r="D13" s="50">
        <v>1605814.5</v>
      </c>
      <c r="E13" s="50">
        <v>1285188</v>
      </c>
      <c r="F13" s="50">
        <v>891926.5</v>
      </c>
      <c r="G13" s="17">
        <f t="shared" si="0"/>
        <v>4878228.5</v>
      </c>
      <c r="H13" s="17">
        <f t="shared" si="1"/>
        <v>513768.57148614351</v>
      </c>
      <c r="I13" s="17">
        <f t="shared" si="2"/>
        <v>4364459.9285138566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6.0182990146353584E-3</v>
      </c>
    </row>
    <row r="4" spans="1:8" ht="15.75" customHeight="1" x14ac:dyDescent="0.25">
      <c r="B4" s="19" t="s">
        <v>69</v>
      </c>
      <c r="C4" s="101">
        <v>4.6453576687890671E-2</v>
      </c>
    </row>
    <row r="5" spans="1:8" ht="15.75" customHeight="1" x14ac:dyDescent="0.25">
      <c r="B5" s="19" t="s">
        <v>70</v>
      </c>
      <c r="C5" s="101">
        <v>5.2706888908387282E-2</v>
      </c>
    </row>
    <row r="6" spans="1:8" ht="15.75" customHeight="1" x14ac:dyDescent="0.25">
      <c r="B6" s="19" t="s">
        <v>71</v>
      </c>
      <c r="C6" s="101">
        <v>0.21486660124181831</v>
      </c>
    </row>
    <row r="7" spans="1:8" ht="15.75" customHeight="1" x14ac:dyDescent="0.25">
      <c r="B7" s="19" t="s">
        <v>72</v>
      </c>
      <c r="C7" s="101">
        <v>0.48309890874434158</v>
      </c>
    </row>
    <row r="8" spans="1:8" ht="15.75" customHeight="1" x14ac:dyDescent="0.25">
      <c r="B8" s="19" t="s">
        <v>73</v>
      </c>
      <c r="C8" s="101">
        <v>6.8292896688334896E-4</v>
      </c>
    </row>
    <row r="9" spans="1:8" ht="15.75" customHeight="1" x14ac:dyDescent="0.25">
      <c r="B9" s="19" t="s">
        <v>74</v>
      </c>
      <c r="C9" s="101">
        <v>0.11159575567550881</v>
      </c>
    </row>
    <row r="10" spans="1:8" ht="15.75" customHeight="1" x14ac:dyDescent="0.25">
      <c r="B10" s="19" t="s">
        <v>75</v>
      </c>
      <c r="C10" s="101">
        <v>8.4577040760534461E-2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0.1660695973537461</v>
      </c>
      <c r="D14" s="55">
        <v>0.1660695973537461</v>
      </c>
      <c r="E14" s="55">
        <v>0.1660695973537461</v>
      </c>
      <c r="F14" s="55">
        <v>0.1660695973537461</v>
      </c>
    </row>
    <row r="15" spans="1:8" ht="15.75" customHeight="1" x14ac:dyDescent="0.25">
      <c r="B15" s="19" t="s">
        <v>82</v>
      </c>
      <c r="C15" s="101">
        <v>0.26625517984174851</v>
      </c>
      <c r="D15" s="101">
        <v>0.26625517984174851</v>
      </c>
      <c r="E15" s="101">
        <v>0.26625517984174851</v>
      </c>
      <c r="F15" s="101">
        <v>0.26625517984174851</v>
      </c>
    </row>
    <row r="16" spans="1:8" ht="15.75" customHeight="1" x14ac:dyDescent="0.25">
      <c r="B16" s="19" t="s">
        <v>83</v>
      </c>
      <c r="C16" s="101">
        <v>1.333089552501393E-2</v>
      </c>
      <c r="D16" s="101">
        <v>1.333089552501393E-2</v>
      </c>
      <c r="E16" s="101">
        <v>1.333089552501393E-2</v>
      </c>
      <c r="F16" s="101">
        <v>1.333089552501393E-2</v>
      </c>
    </row>
    <row r="17" spans="1:8" ht="15.75" customHeight="1" x14ac:dyDescent="0.25">
      <c r="B17" s="19" t="s">
        <v>84</v>
      </c>
      <c r="C17" s="101">
        <v>8.7282404598570933E-3</v>
      </c>
      <c r="D17" s="101">
        <v>8.7282404598570933E-3</v>
      </c>
      <c r="E17" s="101">
        <v>8.7282404598570933E-3</v>
      </c>
      <c r="F17" s="101">
        <v>8.7282404598570933E-3</v>
      </c>
    </row>
    <row r="18" spans="1:8" ht="15.75" customHeight="1" x14ac:dyDescent="0.25">
      <c r="B18" s="19" t="s">
        <v>85</v>
      </c>
      <c r="C18" s="101">
        <v>8.9974197817541915E-2</v>
      </c>
      <c r="D18" s="101">
        <v>8.9974197817541915E-2</v>
      </c>
      <c r="E18" s="101">
        <v>8.9974197817541915E-2</v>
      </c>
      <c r="F18" s="101">
        <v>8.9974197817541915E-2</v>
      </c>
    </row>
    <row r="19" spans="1:8" ht="15.75" customHeight="1" x14ac:dyDescent="0.25">
      <c r="B19" s="19" t="s">
        <v>86</v>
      </c>
      <c r="C19" s="101">
        <v>4.0866747820799708E-2</v>
      </c>
      <c r="D19" s="101">
        <v>4.0866747820799708E-2</v>
      </c>
      <c r="E19" s="101">
        <v>4.0866747820799708E-2</v>
      </c>
      <c r="F19" s="101">
        <v>4.0866747820799708E-2</v>
      </c>
    </row>
    <row r="20" spans="1:8" ht="15.75" customHeight="1" x14ac:dyDescent="0.25">
      <c r="B20" s="19" t="s">
        <v>87</v>
      </c>
      <c r="C20" s="101">
        <v>5.6648497277709368E-2</v>
      </c>
      <c r="D20" s="101">
        <v>5.6648497277709368E-2</v>
      </c>
      <c r="E20" s="101">
        <v>5.6648497277709368E-2</v>
      </c>
      <c r="F20" s="101">
        <v>5.6648497277709368E-2</v>
      </c>
    </row>
    <row r="21" spans="1:8" ht="15.75" customHeight="1" x14ac:dyDescent="0.25">
      <c r="B21" s="19" t="s">
        <v>88</v>
      </c>
      <c r="C21" s="101">
        <v>0.1894963149331233</v>
      </c>
      <c r="D21" s="101">
        <v>0.1894963149331233</v>
      </c>
      <c r="E21" s="101">
        <v>0.1894963149331233</v>
      </c>
      <c r="F21" s="101">
        <v>0.1894963149331233</v>
      </c>
    </row>
    <row r="22" spans="1:8" ht="15.75" customHeight="1" x14ac:dyDescent="0.25">
      <c r="B22" s="19" t="s">
        <v>89</v>
      </c>
      <c r="C22" s="101">
        <v>0.16863032897045999</v>
      </c>
      <c r="D22" s="101">
        <v>0.16863032897045999</v>
      </c>
      <c r="E22" s="101">
        <v>0.16863032897045999</v>
      </c>
      <c r="F22" s="101">
        <v>0.16863032897045999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8.8012850000000004E-2</v>
      </c>
    </row>
    <row r="27" spans="1:8" ht="15.75" customHeight="1" x14ac:dyDescent="0.25">
      <c r="B27" s="19" t="s">
        <v>92</v>
      </c>
      <c r="C27" s="101">
        <v>8.9249900000000007E-3</v>
      </c>
    </row>
    <row r="28" spans="1:8" ht="15.75" customHeight="1" x14ac:dyDescent="0.25">
      <c r="B28" s="19" t="s">
        <v>93</v>
      </c>
      <c r="C28" s="101">
        <v>0.15479583299999999</v>
      </c>
    </row>
    <row r="29" spans="1:8" ht="15.75" customHeight="1" x14ac:dyDescent="0.25">
      <c r="B29" s="19" t="s">
        <v>94</v>
      </c>
      <c r="C29" s="101">
        <v>0.168002662</v>
      </c>
    </row>
    <row r="30" spans="1:8" ht="15.75" customHeight="1" x14ac:dyDescent="0.25">
      <c r="B30" s="19" t="s">
        <v>95</v>
      </c>
      <c r="C30" s="101">
        <v>0.104541704</v>
      </c>
    </row>
    <row r="31" spans="1:8" ht="15.75" customHeight="1" x14ac:dyDescent="0.25">
      <c r="B31" s="19" t="s">
        <v>96</v>
      </c>
      <c r="C31" s="101">
        <v>0.10832760499999999</v>
      </c>
    </row>
    <row r="32" spans="1:8" ht="15.75" customHeight="1" x14ac:dyDescent="0.25">
      <c r="B32" s="19" t="s">
        <v>97</v>
      </c>
      <c r="C32" s="101">
        <v>1.8696531999999998E-2</v>
      </c>
    </row>
    <row r="33" spans="2:3" ht="15.75" customHeight="1" x14ac:dyDescent="0.25">
      <c r="B33" s="19" t="s">
        <v>98</v>
      </c>
      <c r="C33" s="101">
        <v>8.4083039999999998E-2</v>
      </c>
    </row>
    <row r="34" spans="2:3" ht="15.75" customHeight="1" x14ac:dyDescent="0.25">
      <c r="B34" s="19" t="s">
        <v>99</v>
      </c>
      <c r="C34" s="101">
        <v>0.26461478300000002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0.4940275172089843</v>
      </c>
      <c r="D2" s="52">
        <f>IFERROR(1-_xlfn.NORM.DIST(_xlfn.NORM.INV(SUM(D4:D5), 0, 1) + 1, 0, 1, TRUE), "")</f>
        <v>0.4940275172089843</v>
      </c>
      <c r="E2" s="52">
        <f>IFERROR(1-_xlfn.NORM.DIST(_xlfn.NORM.INV(SUM(E4:E5), 0, 1) + 1, 0, 1, TRUE), "")</f>
        <v>0.41826682079391031</v>
      </c>
      <c r="F2" s="52">
        <f>IFERROR(1-_xlfn.NORM.DIST(_xlfn.NORM.INV(SUM(F4:F5), 0, 1) + 1, 0, 1, TRUE), "")</f>
        <v>0.26123661760025274</v>
      </c>
      <c r="G2" s="52">
        <f>IFERROR(1-_xlfn.NORM.DIST(_xlfn.NORM.INV(SUM(G4:G5), 0, 1) + 1, 0, 1, TRUE), "")</f>
        <v>0.25257570689057673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0.34366748279101567</v>
      </c>
      <c r="D3" s="52">
        <f>IFERROR(_xlfn.NORM.DIST(_xlfn.NORM.INV(SUM(D4:D5), 0, 1) + 1, 0, 1, TRUE) - SUM(D4:D5), "")</f>
        <v>0.34366748279101567</v>
      </c>
      <c r="E3" s="52">
        <f>IFERROR(_xlfn.NORM.DIST(_xlfn.NORM.INV(SUM(E4:E5), 0, 1) + 1, 0, 1, TRUE) - SUM(E4:E5), "")</f>
        <v>0.36803957920608971</v>
      </c>
      <c r="F3" s="52">
        <f>IFERROR(_xlfn.NORM.DIST(_xlfn.NORM.INV(SUM(F4:F5), 0, 1) + 1, 0, 1, TRUE) - SUM(F4:F5), "")</f>
        <v>0.37951268239974723</v>
      </c>
      <c r="G3" s="52">
        <f>IFERROR(_xlfn.NORM.DIST(_xlfn.NORM.INV(SUM(G4:G5), 0, 1) + 1, 0, 1, TRUE) - SUM(G4:G5), "")</f>
        <v>0.37808119310942323</v>
      </c>
    </row>
    <row r="4" spans="1:15" ht="15.75" customHeight="1" x14ac:dyDescent="0.25">
      <c r="B4" s="5" t="s">
        <v>104</v>
      </c>
      <c r="C4" s="45">
        <v>0.1173162</v>
      </c>
      <c r="D4" s="53">
        <v>0.1173162</v>
      </c>
      <c r="E4" s="53">
        <v>0.159605</v>
      </c>
      <c r="F4" s="53">
        <v>0.26786270000000001</v>
      </c>
      <c r="G4" s="53">
        <v>0.2625538</v>
      </c>
    </row>
    <row r="5" spans="1:15" ht="15.75" customHeight="1" x14ac:dyDescent="0.25">
      <c r="B5" s="5" t="s">
        <v>105</v>
      </c>
      <c r="C5" s="45">
        <v>4.4988800000000002E-2</v>
      </c>
      <c r="D5" s="53">
        <v>4.4988800000000002E-2</v>
      </c>
      <c r="E5" s="53">
        <v>5.4088600000000001E-2</v>
      </c>
      <c r="F5" s="53">
        <v>9.1387999999999997E-2</v>
      </c>
      <c r="G5" s="53">
        <v>0.1067893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0.87763531477205214</v>
      </c>
      <c r="D8" s="52">
        <f>IFERROR(1-_xlfn.NORM.DIST(_xlfn.NORM.INV(SUM(D10:D11), 0, 1) + 1, 0, 1, TRUE), "")</f>
        <v>0.87763531477205214</v>
      </c>
      <c r="E8" s="52">
        <f>IFERROR(1-_xlfn.NORM.DIST(_xlfn.NORM.INV(SUM(E10:E11), 0, 1) + 1, 0, 1, TRUE), "")</f>
        <v>0.85479504017083729</v>
      </c>
      <c r="F8" s="52">
        <f>IFERROR(1-_xlfn.NORM.DIST(_xlfn.NORM.INV(SUM(F10:F11), 0, 1) + 1, 0, 1, TRUE), "")</f>
        <v>0.88326271839159742</v>
      </c>
      <c r="G8" s="52">
        <f>IFERROR(1-_xlfn.NORM.DIST(_xlfn.NORM.INV(SUM(G10:G11), 0, 1) + 1, 0, 1, TRUE), "")</f>
        <v>0.92036904142394294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0.10710358522794784</v>
      </c>
      <c r="D9" s="52">
        <f>IFERROR(_xlfn.NORM.DIST(_xlfn.NORM.INV(SUM(D10:D11), 0, 1) + 1, 0, 1, TRUE) - SUM(D10:D11), "")</f>
        <v>0.10710358522794784</v>
      </c>
      <c r="E9" s="52">
        <f>IFERROR(_xlfn.NORM.DIST(_xlfn.NORM.INV(SUM(E10:E11), 0, 1) + 1, 0, 1, TRUE) - SUM(E10:E11), "")</f>
        <v>0.12537255982916276</v>
      </c>
      <c r="F9" s="52">
        <f>IFERROR(_xlfn.NORM.DIST(_xlfn.NORM.INV(SUM(F10:F11), 0, 1) + 1, 0, 1, TRUE) - SUM(F10:F11), "")</f>
        <v>0.10252788160840259</v>
      </c>
      <c r="G9" s="52">
        <f>IFERROR(_xlfn.NORM.DIST(_xlfn.NORM.INV(SUM(G10:G11), 0, 1) + 1, 0, 1, TRUE) - SUM(G10:G11), "")</f>
        <v>7.1601158576057006E-2</v>
      </c>
    </row>
    <row r="10" spans="1:15" ht="15.75" customHeight="1" x14ac:dyDescent="0.25">
      <c r="B10" s="5" t="s">
        <v>109</v>
      </c>
      <c r="C10" s="45">
        <v>9.1525000000000009E-3</v>
      </c>
      <c r="D10" s="53">
        <v>9.1525000000000009E-3</v>
      </c>
      <c r="E10" s="53">
        <v>1.40543E-2</v>
      </c>
      <c r="F10" s="53">
        <v>1.18117E-2</v>
      </c>
      <c r="G10" s="53">
        <v>7.5318E-3</v>
      </c>
    </row>
    <row r="11" spans="1:15" ht="15.75" customHeight="1" x14ac:dyDescent="0.25">
      <c r="B11" s="5" t="s">
        <v>110</v>
      </c>
      <c r="C11" s="45">
        <v>6.1085999999999996E-3</v>
      </c>
      <c r="D11" s="53">
        <v>6.1085999999999996E-3</v>
      </c>
      <c r="E11" s="53">
        <v>5.7781000000000004E-3</v>
      </c>
      <c r="F11" s="53">
        <v>2.3977E-3</v>
      </c>
      <c r="G11" s="53">
        <v>4.9799999999999996E-4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0.7628772305</v>
      </c>
      <c r="D14" s="54">
        <v>0.73898727781200013</v>
      </c>
      <c r="E14" s="54">
        <v>0.73898727781200013</v>
      </c>
      <c r="F14" s="54">
        <v>0.45575443164700002</v>
      </c>
      <c r="G14" s="54">
        <v>0.45575443164700002</v>
      </c>
      <c r="H14" s="45">
        <v>0.24399999999999999</v>
      </c>
      <c r="I14" s="55">
        <v>0.24399999999999999</v>
      </c>
      <c r="J14" s="55">
        <v>0.24399999999999999</v>
      </c>
      <c r="K14" s="55">
        <v>0.24399999999999999</v>
      </c>
      <c r="L14" s="45">
        <v>0.221</v>
      </c>
      <c r="M14" s="55">
        <v>0.221</v>
      </c>
      <c r="N14" s="55">
        <v>0.221</v>
      </c>
      <c r="O14" s="55">
        <v>0.221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0.47298846017338303</v>
      </c>
      <c r="D15" s="52">
        <f t="shared" si="0"/>
        <v>0.45817654616710701</v>
      </c>
      <c r="E15" s="52">
        <f t="shared" si="0"/>
        <v>0.45817654616710701</v>
      </c>
      <c r="F15" s="52">
        <f t="shared" si="0"/>
        <v>0.2825704821477299</v>
      </c>
      <c r="G15" s="52">
        <f t="shared" si="0"/>
        <v>0.2825704821477299</v>
      </c>
      <c r="H15" s="52">
        <f t="shared" si="0"/>
        <v>0.151281464</v>
      </c>
      <c r="I15" s="52">
        <f t="shared" si="0"/>
        <v>0.151281464</v>
      </c>
      <c r="J15" s="52">
        <f t="shared" si="0"/>
        <v>0.151281464</v>
      </c>
      <c r="K15" s="52">
        <f t="shared" si="0"/>
        <v>0.151281464</v>
      </c>
      <c r="L15" s="52">
        <f t="shared" si="0"/>
        <v>0.13702132600000003</v>
      </c>
      <c r="M15" s="52">
        <f t="shared" si="0"/>
        <v>0.13702132600000003</v>
      </c>
      <c r="N15" s="52">
        <f t="shared" si="0"/>
        <v>0.13702132600000003</v>
      </c>
      <c r="O15" s="52">
        <f t="shared" si="0"/>
        <v>0.13702132600000003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0.86949749999999992</v>
      </c>
      <c r="D2" s="53">
        <v>0.78899600000000003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8.3859900000000001E-2</v>
      </c>
      <c r="D3" s="53">
        <v>0.1030933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3.8673300000000001E-2</v>
      </c>
      <c r="D4" s="53">
        <v>9.6228200000000014E-2</v>
      </c>
      <c r="E4" s="53">
        <v>0.97447069999999991</v>
      </c>
      <c r="F4" s="53">
        <v>0.90395999999999999</v>
      </c>
      <c r="G4" s="53">
        <v>0</v>
      </c>
    </row>
    <row r="5" spans="1:7" x14ac:dyDescent="0.25">
      <c r="B5" s="3" t="s">
        <v>122</v>
      </c>
      <c r="C5" s="52">
        <v>7.9693000000000003E-3</v>
      </c>
      <c r="D5" s="52">
        <v>1.16825E-2</v>
      </c>
      <c r="E5" s="52">
        <f>1-SUM(E2:E4)</f>
        <v>2.5529300000000088E-2</v>
      </c>
      <c r="F5" s="52">
        <f>1-SUM(F2:F4)</f>
        <v>9.6040000000000014E-2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36.079849986609638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47.391202091117947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70.283560158574318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0.40054500108515723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0.1563252</v>
      </c>
      <c r="C10" s="98">
        <v>0.95</v>
      </c>
      <c r="D10" s="56">
        <v>15.05045142161304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15.05045142161304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15.05045142161304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15.05045142161304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0.1563252</v>
      </c>
      <c r="C14" s="98">
        <v>0.95</v>
      </c>
      <c r="D14" s="56">
        <v>15.05045142161304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15.05045142161304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0.48628949999999999</v>
      </c>
      <c r="C16" s="98">
        <v>0.95</v>
      </c>
      <c r="D16" s="56">
        <v>0.2530143942324673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5.58755555555556E-3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0.78899600000000003</v>
      </c>
      <c r="C18" s="98">
        <v>0.95</v>
      </c>
      <c r="D18" s="56">
        <v>1.723860781546777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0.78899600000000003</v>
      </c>
      <c r="C19" s="98">
        <v>0.95</v>
      </c>
      <c r="D19" s="56">
        <v>1.723860781546777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4.0598209789868394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25.651202438998769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0.56296439999999992</v>
      </c>
      <c r="C23" s="98">
        <v>0.95</v>
      </c>
      <c r="D23" s="56">
        <v>4.9321676394351552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0.61747921546045004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0.1563252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21.74274730131463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0.2796807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0.34426630000000003</v>
      </c>
      <c r="C29" s="98">
        <v>0.95</v>
      </c>
      <c r="D29" s="56">
        <v>63.551452439241622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0.46670911326684161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0.92</v>
      </c>
      <c r="C32" s="98">
        <v>0.95</v>
      </c>
      <c r="D32" s="56">
        <v>0.48033470148423679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0.18402009999999999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0.82192539999999992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1.9060199999999999E-2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0.45494020000000002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0.36523810000000001</v>
      </c>
      <c r="C38" s="98">
        <v>0.95</v>
      </c>
      <c r="D38" s="56">
        <v>4.0283775058915356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2.3796500000000002E-2</v>
      </c>
      <c r="C3" s="21">
        <f>frac_mam_1_5months * 2.6</f>
        <v>2.3796500000000002E-2</v>
      </c>
      <c r="D3" s="21">
        <f>frac_mam_6_11months * 2.6</f>
        <v>3.6541179999999999E-2</v>
      </c>
      <c r="E3" s="21">
        <f>frac_mam_12_23months * 2.6</f>
        <v>3.0710419999999999E-2</v>
      </c>
      <c r="F3" s="21">
        <f>frac_mam_24_59months * 2.6</f>
        <v>1.9582680000000002E-2</v>
      </c>
    </row>
    <row r="4" spans="1:6" ht="15.75" customHeight="1" x14ac:dyDescent="0.25">
      <c r="A4" s="3" t="s">
        <v>205</v>
      </c>
      <c r="B4" s="21">
        <f>frac_sam_1month * 2.6</f>
        <v>1.5882359999999998E-2</v>
      </c>
      <c r="C4" s="21">
        <f>frac_sam_1_5months * 2.6</f>
        <v>1.5882359999999998E-2</v>
      </c>
      <c r="D4" s="21">
        <f>frac_sam_6_11months * 2.6</f>
        <v>1.5023060000000001E-2</v>
      </c>
      <c r="E4" s="21">
        <f>frac_sam_12_23months * 2.6</f>
        <v>6.2340199999999998E-3</v>
      </c>
      <c r="F4" s="21">
        <f>frac_sam_24_59months * 2.6</f>
        <v>1.2948E-3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0.55500000000000005</v>
      </c>
      <c r="E2" s="60">
        <f>food_insecure</f>
        <v>0.55500000000000005</v>
      </c>
      <c r="F2" s="60">
        <f>food_insecure</f>
        <v>0.55500000000000005</v>
      </c>
      <c r="G2" s="60">
        <f>food_insecure</f>
        <v>0.55500000000000005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0.55500000000000005</v>
      </c>
      <c r="I15" s="60">
        <f>food_insecure</f>
        <v>0.55500000000000005</v>
      </c>
      <c r="J15" s="60">
        <f>food_insecure</f>
        <v>0.55500000000000005</v>
      </c>
      <c r="K15" s="60">
        <f>food_insecure</f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7.0000000000000007E-2</v>
      </c>
      <c r="I19" s="60">
        <f>frac_malaria_risk</f>
        <v>7.0000000000000007E-2</v>
      </c>
      <c r="J19" s="60">
        <f>frac_malaria_risk</f>
        <v>7.0000000000000007E-2</v>
      </c>
      <c r="K19" s="60">
        <f>frac_malaria_risk</f>
        <v>7.0000000000000007E-2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0.42522145823860141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0.18223776781654347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9.3590082721710127E-2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0.29895069122314499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7.0000000000000007E-2</v>
      </c>
      <c r="D34" s="60">
        <f t="shared" si="3"/>
        <v>7.0000000000000007E-2</v>
      </c>
      <c r="E34" s="60">
        <f t="shared" si="3"/>
        <v>7.0000000000000007E-2</v>
      </c>
      <c r="F34" s="60">
        <f t="shared" si="3"/>
        <v>7.0000000000000007E-2</v>
      </c>
      <c r="G34" s="60">
        <f t="shared" si="3"/>
        <v>7.0000000000000007E-2</v>
      </c>
      <c r="H34" s="60">
        <f t="shared" si="3"/>
        <v>7.0000000000000007E-2</v>
      </c>
      <c r="I34" s="60">
        <f t="shared" si="3"/>
        <v>7.0000000000000007E-2</v>
      </c>
      <c r="J34" s="60">
        <f t="shared" si="3"/>
        <v>7.0000000000000007E-2</v>
      </c>
      <c r="K34" s="60">
        <f t="shared" si="3"/>
        <v>7.0000000000000007E-2</v>
      </c>
      <c r="L34" s="60">
        <f t="shared" si="3"/>
        <v>7.0000000000000007E-2</v>
      </c>
      <c r="M34" s="60">
        <f t="shared" si="3"/>
        <v>7.0000000000000007E-2</v>
      </c>
      <c r="N34" s="60">
        <f t="shared" si="3"/>
        <v>7.0000000000000007E-2</v>
      </c>
      <c r="O34" s="60">
        <f t="shared" si="3"/>
        <v>7.0000000000000007E-2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0.10943396424276697</v>
      </c>
      <c r="G18" s="90">
        <f>MIN(MAX(1-0.89/(1-frac_sam_12_23months+(frac_sam_12_23months*0.89)),0),1)</f>
        <v>0.10976520324305972</v>
      </c>
      <c r="H18" s="90">
        <f>MIN(MAX(1-0.89/(1-frac_sam_24_59months+(frac_sam_24_59months*0.89)),0),1)</f>
        <v>0.10995124312909854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0.1086219536074845</v>
      </c>
      <c r="G20" s="90">
        <f>MIN(MAX(1-0.89/(1-frac_mam_12_23months+(frac_mam_12_23months*0.89)),0),1)</f>
        <v>0.10884213016477551</v>
      </c>
      <c r="H20" s="90">
        <f>MIN(MAX(1-0.89/(1-frac_mam_24_59months+(frac_mam_24_59months*0.89)),0),1)</f>
        <v>0.10926202536949459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9.942793504551517E-3</v>
      </c>
      <c r="G73" s="90">
        <f>MIN(MAX(1-0.99/(1-frac_sam_12_23months+(frac_sam_12_23months*0.99)),0),1)</f>
        <v>9.9762622008389146E-3</v>
      </c>
      <c r="H73" s="90">
        <f>MIN(MAX(1-0.99/(1-frac_sam_24_59months+(frac_sam_24_59months*0.99)),0),1)</f>
        <v>9.9950697754473961E-3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9.8608428724398234E-3</v>
      </c>
      <c r="G75" s="90">
        <f>MIN(MAX(1-0.99/(1-frac_mam_12_23months+(frac_mam_12_23months*0.99)),0),1)</f>
        <v>9.8830503562589156E-3</v>
      </c>
      <c r="H75" s="90">
        <f>MIN(MAX(1-0.99/(1-frac_mam_24_59months+(frac_mam_24_59months*0.99)),0),1)</f>
        <v>9.9254295635039513E-3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0.19907443439787886</v>
      </c>
      <c r="G128" s="90">
        <f>MIN(MAX(1-0.8/(1-frac_sam_12_23months+(frac_sam_12_23months*0.8)),0),1)</f>
        <v>0.19961618394484892</v>
      </c>
      <c r="H128" s="90">
        <f>MIN(MAX(1-0.8/(1-frac_sam_24_59months+(frac_sam_24_59months*0.8)),0),1)</f>
        <v>0.19992031206308147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0.19774497343603237</v>
      </c>
      <c r="G130" s="90">
        <f>MIN(MAX(1-0.8/(1-frac_mam_12_23months+(frac_mam_12_23months*0.8)),0),1)</f>
        <v>0.19810565290809079</v>
      </c>
      <c r="H130" s="90">
        <f>MIN(MAX(1-0.8/(1-frac_mam_24_59months+(frac_mam_24_59months*0.8)),0),1)</f>
        <v>0.1987930939650252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2024-08-06T06:32:12Z</dcterms:modified>
</cp:coreProperties>
</file>