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5FCE8AE-9394-451E-B47A-C9117608E6F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<sst xmlns="http://schemas.openxmlformats.org/spreadsheetml/2006/main" count="2103" uniqueCount="341">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</sst>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1988148.15625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7.0000000000000007E-2</v>
      </c>
    </row>
    <row r="10" spans="1:3" ht="15" customHeight="1" x14ac:dyDescent="0.25">
      <c r="B10" s="5" t="s">
        <v>10</v>
      </c>
      <c r="C10" s="45">
        <v>0.29895069122314499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4.6199999999999998E-2</v>
      </c>
    </row>
    <row r="24" spans="1:3" ht="15" customHeight="1" x14ac:dyDescent="0.25">
      <c r="B24" s="15" t="s">
        <v>22</v>
      </c>
      <c r="C24" s="45">
        <v>0.50180000000000002</v>
      </c>
    </row>
    <row r="25" spans="1:3" ht="15" customHeight="1" x14ac:dyDescent="0.25">
      <c r="B25" s="15" t="s">
        <v>23</v>
      </c>
      <c r="C25" s="45">
        <v>0.36330000000000001</v>
      </c>
    </row>
    <row r="26" spans="1:3" ht="15" customHeight="1" x14ac:dyDescent="0.25">
      <c r="B26" s="15" t="s">
        <v>24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0.254787647396997</v>
      </c>
    </row>
    <row r="30" spans="1:3" ht="14.25" customHeight="1" x14ac:dyDescent="0.25">
      <c r="B30" s="25" t="s">
        <v>27</v>
      </c>
      <c r="C30" s="99">
        <v>3.6806607194084101E-2</v>
      </c>
    </row>
    <row r="31" spans="1:3" ht="14.25" customHeight="1" x14ac:dyDescent="0.25">
      <c r="B31" s="25" t="s">
        <v>28</v>
      </c>
      <c r="C31" s="99">
        <v>7.3852638350173999E-2</v>
      </c>
    </row>
    <row r="32" spans="1:3" ht="14.25" customHeight="1" x14ac:dyDescent="0.25">
      <c r="B32" s="25" t="s">
        <v>29</v>
      </c>
      <c r="C32" s="99">
        <v>0.63455310705874501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17.52411</v>
      </c>
    </row>
    <row r="38" spans="1:5" ht="15" customHeight="1" x14ac:dyDescent="0.25">
      <c r="B38" s="11" t="s">
        <v>34</v>
      </c>
      <c r="C38" s="43">
        <v>29.650749999999999</v>
      </c>
      <c r="D38" s="12"/>
      <c r="E38" s="13"/>
    </row>
    <row r="39" spans="1:5" ht="15" customHeight="1" x14ac:dyDescent="0.25">
      <c r="B39" s="11" t="s">
        <v>35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7.9924000000000002E-3</v>
      </c>
      <c r="D45" s="12"/>
    </row>
    <row r="46" spans="1:5" ht="15.75" customHeight="1" x14ac:dyDescent="0.25">
      <c r="B46" s="11" t="s">
        <v>41</v>
      </c>
      <c r="C46" s="45">
        <v>8.54993E-2</v>
      </c>
      <c r="D46" s="12"/>
    </row>
    <row r="47" spans="1:5" ht="15.75" customHeight="1" x14ac:dyDescent="0.25">
      <c r="B47" s="11" t="s">
        <v>42</v>
      </c>
      <c r="C47" s="45">
        <v>0.16339429999999999</v>
      </c>
      <c r="D47" s="12"/>
      <c r="E47" s="13"/>
    </row>
    <row r="48" spans="1:5" ht="15" customHeight="1" x14ac:dyDescent="0.25">
      <c r="B48" s="11" t="s">
        <v>43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0.62000600000000006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412709</v>
      </c>
      <c r="C2" s="49">
        <v>953624</v>
      </c>
      <c r="D2" s="49">
        <v>1283702.5</v>
      </c>
      <c r="E2" s="49">
        <v>1025523.5</v>
      </c>
      <c r="F2" s="49">
        <v>614913.5</v>
      </c>
      <c r="G2" s="17">
        <f t="shared" ref="G2:G13" si="0">C2+D2+E2+F2</f>
        <v>3877763.5</v>
      </c>
      <c r="H2" s="17">
        <f t="shared" ref="H2:H13" si="1">(B2 + stillbirth*B2/(1000-stillbirth))/(1-abortion)</f>
        <v>476976.21240973851</v>
      </c>
      <c r="I2" s="17">
        <f t="shared" ref="I2:I13" si="2">G2-H2</f>
        <v>3400787.2875902615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416307</v>
      </c>
      <c r="C3" s="50">
        <v>960952</v>
      </c>
      <c r="D3" s="50">
        <v>1321044.5</v>
      </c>
      <c r="E3" s="50">
        <v>1040532</v>
      </c>
      <c r="F3" s="50">
        <v>650892.5</v>
      </c>
      <c r="G3" s="17">
        <f t="shared" si="0"/>
        <v>3973421</v>
      </c>
      <c r="H3" s="17">
        <f t="shared" si="1"/>
        <v>481134.49442503316</v>
      </c>
      <c r="I3" s="17">
        <f t="shared" si="2"/>
        <v>3492286.5055749668</v>
      </c>
    </row>
    <row r="4" spans="1:9" ht="15.75" customHeight="1" x14ac:dyDescent="0.25">
      <c r="A4" s="5">
        <f t="shared" si="3"/>
        <v>2026</v>
      </c>
      <c r="B4" s="49">
        <v>419664</v>
      </c>
      <c r="C4" s="50">
        <v>966958.5</v>
      </c>
      <c r="D4" s="50">
        <v>1359706</v>
      </c>
      <c r="E4" s="50">
        <v>1055665</v>
      </c>
      <c r="F4" s="50">
        <v>686977</v>
      </c>
      <c r="G4" s="17">
        <f t="shared" si="0"/>
        <v>4069306.5</v>
      </c>
      <c r="H4" s="17">
        <f t="shared" si="1"/>
        <v>485014.24782284978</v>
      </c>
      <c r="I4" s="17">
        <f t="shared" si="2"/>
        <v>3584292.25217715</v>
      </c>
    </row>
    <row r="5" spans="1:9" ht="15.75" customHeight="1" x14ac:dyDescent="0.25">
      <c r="A5" s="5">
        <f t="shared" si="3"/>
        <v>2027</v>
      </c>
      <c r="B5" s="49">
        <v>421585</v>
      </c>
      <c r="C5" s="50">
        <v>973243.5</v>
      </c>
      <c r="D5" s="50">
        <v>1399314.5</v>
      </c>
      <c r="E5" s="50">
        <v>1070122</v>
      </c>
      <c r="F5" s="50">
        <v>722118.5</v>
      </c>
      <c r="G5" s="17">
        <f t="shared" si="0"/>
        <v>4164798.5</v>
      </c>
      <c r="H5" s="17">
        <f t="shared" si="1"/>
        <v>487234.38671984279</v>
      </c>
      <c r="I5" s="17">
        <f t="shared" si="2"/>
        <v>3677564.1132801571</v>
      </c>
    </row>
    <row r="6" spans="1:9" ht="15.75" customHeight="1" x14ac:dyDescent="0.25">
      <c r="A6" s="5">
        <f t="shared" si="3"/>
        <v>2028</v>
      </c>
      <c r="B6" s="49">
        <v>426039</v>
      </c>
      <c r="C6" s="50">
        <v>981622.5</v>
      </c>
      <c r="D6" s="50">
        <v>1437282</v>
      </c>
      <c r="E6" s="50">
        <v>1085023</v>
      </c>
      <c r="F6" s="50">
        <v>755421</v>
      </c>
      <c r="G6" s="17">
        <f t="shared" si="0"/>
        <v>4259348.5</v>
      </c>
      <c r="H6" s="17">
        <f t="shared" si="1"/>
        <v>492381.96540136653</v>
      </c>
      <c r="I6" s="17">
        <f t="shared" si="2"/>
        <v>3766966.5345986336</v>
      </c>
    </row>
    <row r="7" spans="1:9" ht="15.75" customHeight="1" x14ac:dyDescent="0.25">
      <c r="A7" s="5">
        <f t="shared" si="3"/>
        <v>2029</v>
      </c>
      <c r="B7" s="49">
        <v>428239</v>
      </c>
      <c r="C7" s="50">
        <v>992999.49999999988</v>
      </c>
      <c r="D7" s="50">
        <v>1471537</v>
      </c>
      <c r="E7" s="50">
        <v>1102331</v>
      </c>
      <c r="F7" s="50">
        <v>785408.5</v>
      </c>
      <c r="G7" s="17">
        <f t="shared" si="0"/>
        <v>4352276</v>
      </c>
      <c r="H7" s="17">
        <f t="shared" si="1"/>
        <v>494924.55029120762</v>
      </c>
      <c r="I7" s="17">
        <f t="shared" si="2"/>
        <v>3857351.4497087924</v>
      </c>
    </row>
    <row r="8" spans="1:9" ht="15.75" customHeight="1" x14ac:dyDescent="0.25">
      <c r="A8" s="5">
        <f t="shared" si="3"/>
        <v>2030</v>
      </c>
      <c r="B8" s="49">
        <v>430732</v>
      </c>
      <c r="C8" s="50">
        <v>1007133.5</v>
      </c>
      <c r="D8" s="50">
        <v>1501488.5</v>
      </c>
      <c r="E8" s="50">
        <v>1123533.5</v>
      </c>
      <c r="F8" s="50">
        <v>811213.5</v>
      </c>
      <c r="G8" s="17">
        <f t="shared" si="0"/>
        <v>4443369</v>
      </c>
      <c r="H8" s="17">
        <f t="shared" si="1"/>
        <v>497805.76125955937</v>
      </c>
      <c r="I8" s="17">
        <f t="shared" si="2"/>
        <v>3945563.2387404405</v>
      </c>
    </row>
    <row r="9" spans="1:9" ht="15.75" customHeight="1" x14ac:dyDescent="0.25">
      <c r="A9" s="5">
        <f t="shared" si="3"/>
        <v>2031</v>
      </c>
      <c r="B9" s="49">
        <v>432695</v>
      </c>
      <c r="C9" s="50">
        <v>1023584.5</v>
      </c>
      <c r="D9" s="50">
        <v>1526553</v>
      </c>
      <c r="E9" s="50">
        <v>1149899</v>
      </c>
      <c r="F9" s="50">
        <v>833106</v>
      </c>
      <c r="G9" s="17">
        <f t="shared" si="0"/>
        <v>4533142.5</v>
      </c>
      <c r="H9" s="17">
        <f t="shared" si="1"/>
        <v>500074.44041354029</v>
      </c>
      <c r="I9" s="17">
        <f t="shared" si="2"/>
        <v>4033068.0595864598</v>
      </c>
    </row>
    <row r="10" spans="1:9" ht="15.75" customHeight="1" x14ac:dyDescent="0.25">
      <c r="A10" s="5">
        <f t="shared" si="3"/>
        <v>2032</v>
      </c>
      <c r="B10" s="49">
        <v>435814</v>
      </c>
      <c r="C10" s="50">
        <v>1041457</v>
      </c>
      <c r="D10" s="50">
        <v>1548802</v>
      </c>
      <c r="E10" s="50">
        <v>1180081</v>
      </c>
      <c r="F10" s="50">
        <v>851287.5</v>
      </c>
      <c r="G10" s="17">
        <f t="shared" si="0"/>
        <v>4621627.5</v>
      </c>
      <c r="H10" s="17">
        <f t="shared" si="1"/>
        <v>503679.13235509227</v>
      </c>
      <c r="I10" s="17">
        <f t="shared" si="2"/>
        <v>4117948.3676449079</v>
      </c>
    </row>
    <row r="11" spans="1:9" ht="15.75" customHeight="1" x14ac:dyDescent="0.25">
      <c r="A11" s="5">
        <f t="shared" si="3"/>
        <v>2033</v>
      </c>
      <c r="B11" s="49">
        <v>438657</v>
      </c>
      <c r="C11" s="50">
        <v>1059871.5</v>
      </c>
      <c r="D11" s="50">
        <v>1569845.5</v>
      </c>
      <c r="E11" s="50">
        <v>1212617</v>
      </c>
      <c r="F11" s="50">
        <v>866315.5</v>
      </c>
      <c r="G11" s="17">
        <f t="shared" si="0"/>
        <v>4708649.5</v>
      </c>
      <c r="H11" s="17">
        <f t="shared" si="1"/>
        <v>506964.84546500962</v>
      </c>
      <c r="I11" s="17">
        <f t="shared" si="2"/>
        <v>4201684.65453499</v>
      </c>
    </row>
    <row r="12" spans="1:9" ht="15.75" customHeight="1" x14ac:dyDescent="0.25">
      <c r="A12" s="5">
        <f t="shared" si="3"/>
        <v>2034</v>
      </c>
      <c r="B12" s="49">
        <v>441535</v>
      </c>
      <c r="C12" s="50">
        <v>1077927.5</v>
      </c>
      <c r="D12" s="50">
        <v>1588575</v>
      </c>
      <c r="E12" s="50">
        <v>1247943</v>
      </c>
      <c r="F12" s="50">
        <v>879299.5</v>
      </c>
      <c r="G12" s="17">
        <f t="shared" si="0"/>
        <v>4793745</v>
      </c>
      <c r="H12" s="17">
        <f t="shared" si="1"/>
        <v>510291.00878908357</v>
      </c>
      <c r="I12" s="17">
        <f t="shared" si="2"/>
        <v>4283453.9912109161</v>
      </c>
    </row>
    <row r="13" spans="1:9" ht="15.75" customHeight="1" x14ac:dyDescent="0.25">
      <c r="A13" s="5">
        <f t="shared" si="3"/>
        <v>2035</v>
      </c>
      <c r="B13" s="49">
        <v>444544</v>
      </c>
      <c r="C13" s="50">
        <v>1095299.5</v>
      </c>
      <c r="D13" s="50">
        <v>1605814.5</v>
      </c>
      <c r="E13" s="50">
        <v>1285188</v>
      </c>
      <c r="F13" s="50">
        <v>891926.5</v>
      </c>
      <c r="G13" s="17">
        <f t="shared" si="0"/>
        <v>4878228.5</v>
      </c>
      <c r="H13" s="17">
        <f t="shared" si="1"/>
        <v>513768.57148614351</v>
      </c>
      <c r="I13" s="17">
        <f t="shared" si="2"/>
        <v>4364459.9285138566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6.0182990146353584E-3</v>
      </c>
    </row>
    <row r="4" spans="1:8" ht="15.75" customHeight="1" x14ac:dyDescent="0.25">
      <c r="B4" s="19" t="s">
        <v>69</v>
      </c>
      <c r="C4" s="101">
        <v>4.6453576687890671E-2</v>
      </c>
    </row>
    <row r="5" spans="1:8" ht="15.75" customHeight="1" x14ac:dyDescent="0.25">
      <c r="B5" s="19" t="s">
        <v>70</v>
      </c>
      <c r="C5" s="101">
        <v>5.2706888908387282E-2</v>
      </c>
    </row>
    <row r="6" spans="1:8" ht="15.75" customHeight="1" x14ac:dyDescent="0.25">
      <c r="B6" s="19" t="s">
        <v>71</v>
      </c>
      <c r="C6" s="101">
        <v>0.21486660124181831</v>
      </c>
    </row>
    <row r="7" spans="1:8" ht="15.75" customHeight="1" x14ac:dyDescent="0.25">
      <c r="B7" s="19" t="s">
        <v>72</v>
      </c>
      <c r="C7" s="101">
        <v>0.48309890874434158</v>
      </c>
    </row>
    <row r="8" spans="1:8" ht="15.75" customHeight="1" x14ac:dyDescent="0.25">
      <c r="B8" s="19" t="s">
        <v>73</v>
      </c>
      <c r="C8" s="101">
        <v>6.8292896688334896E-4</v>
      </c>
    </row>
    <row r="9" spans="1:8" ht="15.75" customHeight="1" x14ac:dyDescent="0.25">
      <c r="B9" s="19" t="s">
        <v>74</v>
      </c>
      <c r="C9" s="101">
        <v>0.11159575567550881</v>
      </c>
    </row>
    <row r="10" spans="1:8" ht="15.75" customHeight="1" x14ac:dyDescent="0.25">
      <c r="B10" s="19" t="s">
        <v>75</v>
      </c>
      <c r="C10" s="101">
        <v>8.4577040760534461E-2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82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83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84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85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86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87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88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89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8.8012850000000004E-2</v>
      </c>
    </row>
    <row r="27" spans="1:8" ht="15.75" customHeight="1" x14ac:dyDescent="0.25">
      <c r="B27" s="19" t="s">
        <v>92</v>
      </c>
      <c r="C27" s="101">
        <v>8.9249900000000007E-3</v>
      </c>
    </row>
    <row r="28" spans="1:8" ht="15.75" customHeight="1" x14ac:dyDescent="0.25">
      <c r="B28" s="19" t="s">
        <v>93</v>
      </c>
      <c r="C28" s="101">
        <v>0.15479583299999999</v>
      </c>
    </row>
    <row r="29" spans="1:8" ht="15.75" customHeight="1" x14ac:dyDescent="0.25">
      <c r="B29" s="19" t="s">
        <v>94</v>
      </c>
      <c r="C29" s="101">
        <v>0.168002662</v>
      </c>
    </row>
    <row r="30" spans="1:8" ht="15.75" customHeight="1" x14ac:dyDescent="0.25">
      <c r="B30" s="19" t="s">
        <v>95</v>
      </c>
      <c r="C30" s="101">
        <v>0.104541704</v>
      </c>
    </row>
    <row r="31" spans="1:8" ht="15.75" customHeight="1" x14ac:dyDescent="0.25">
      <c r="B31" s="19" t="s">
        <v>96</v>
      </c>
      <c r="C31" s="101">
        <v>0.10832760499999999</v>
      </c>
    </row>
    <row r="32" spans="1:8" ht="15.75" customHeight="1" x14ac:dyDescent="0.25">
      <c r="B32" s="19" t="s">
        <v>97</v>
      </c>
      <c r="C32" s="101">
        <v>1.8696531999999998E-2</v>
      </c>
    </row>
    <row r="33" spans="2:3" ht="15.75" customHeight="1" x14ac:dyDescent="0.25">
      <c r="B33" s="19" t="s">
        <v>98</v>
      </c>
      <c r="C33" s="101">
        <v>8.4083039999999998E-2</v>
      </c>
    </row>
    <row r="34" spans="2:3" ht="15.75" customHeight="1" x14ac:dyDescent="0.25">
      <c r="B34" s="19" t="s">
        <v>99</v>
      </c>
      <c r="C34" s="101">
        <v>0.26461478300000002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104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122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36.079849986609638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47.391202091117947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70.283560158574318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0.40054500108515723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0.1563252</v>
      </c>
      <c r="C10" s="98">
        <v>0.95</v>
      </c>
      <c r="D10" s="56">
        <v>15.05045142161304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15.05045142161304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15.05045142161304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15.05045142161304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0.1563252</v>
      </c>
      <c r="C14" s="98">
        <v>0.95</v>
      </c>
      <c r="D14" s="56">
        <v>15.05045142161304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15.05045142161304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0.48628949999999999</v>
      </c>
      <c r="C16" s="98">
        <v>0.95</v>
      </c>
      <c r="D16" s="56">
        <v>0.2530143942324673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5.58755555555556E-3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0.78899600000000003</v>
      </c>
      <c r="C18" s="98">
        <v>0.95</v>
      </c>
      <c r="D18" s="56">
        <v>1.723860781546777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0.78899600000000003</v>
      </c>
      <c r="C19" s="98">
        <v>0.95</v>
      </c>
      <c r="D19" s="56">
        <v>1.723860781546777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4.0598209789868394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25.651202438998769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0.56296439999999992</v>
      </c>
      <c r="C23" s="98">
        <v>0.95</v>
      </c>
      <c r="D23" s="56">
        <v>4.9321676394351552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0.61747921546045004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0.1563252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21.74274730131463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0.2796807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0.34426630000000003</v>
      </c>
      <c r="C29" s="98">
        <v>0.95</v>
      </c>
      <c r="D29" s="56">
        <v>63.551452439241622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0.46670911326684161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0.48033470148423679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0.18402009999999999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0.82192539999999992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1.9060199999999999E-2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0.45494020000000002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0.36523810000000001</v>
      </c>
      <c r="C38" s="98">
        <v>0.95</v>
      </c>
      <c r="D38" s="56">
        <v>4.0283775058915356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205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0.10943396424276697</v>
      </c>
      <c r="G18" s="90">
        <f>MIN(MAX(1-0.89/(1-frac_sam_12_23months+(frac_sam_12_23months*0.89)),0),1)</f>
        <v>0.10976520324305972</v>
      </c>
      <c r="H18" s="90">
        <f>MIN(MAX(1-0.89/(1-frac_sam_24_59months+(frac_sam_24_59months*0.89)),0),1)</f>
        <v>0.10995124312909854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0.1086219536074845</v>
      </c>
      <c r="G20" s="90">
        <f>MIN(MAX(1-0.89/(1-frac_mam_12_23months+(frac_mam_12_23months*0.89)),0),1)</f>
        <v>0.10884213016477551</v>
      </c>
      <c r="H20" s="90">
        <f>MIN(MAX(1-0.89/(1-frac_mam_24_59months+(frac_mam_24_59months*0.89)),0),1)</f>
        <v>0.10926202536949459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9.942793504551517E-3</v>
      </c>
      <c r="G73" s="90">
        <f>MIN(MAX(1-0.99/(1-frac_sam_12_23months+(frac_sam_12_23months*0.99)),0),1)</f>
        <v>9.9762622008389146E-3</v>
      </c>
      <c r="H73" s="90">
        <f>MIN(MAX(1-0.99/(1-frac_sam_24_59months+(frac_sam_24_59months*0.99)),0),1)</f>
        <v>9.9950697754473961E-3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9.8608428724398234E-3</v>
      </c>
      <c r="G75" s="90">
        <f>MIN(MAX(1-0.99/(1-frac_mam_12_23months+(frac_mam_12_23months*0.99)),0),1)</f>
        <v>9.8830503562589156E-3</v>
      </c>
      <c r="H75" s="90">
        <f>MIN(MAX(1-0.99/(1-frac_mam_24_59months+(frac_mam_24_59months*0.99)),0),1)</f>
        <v>9.9254295635039513E-3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0.19907443439787886</v>
      </c>
      <c r="G128" s="90">
        <f>MIN(MAX(1-0.8/(1-frac_sam_12_23months+(frac_sam_12_23months*0.8)),0),1)</f>
        <v>0.19961618394484892</v>
      </c>
      <c r="H128" s="90">
        <f>MIN(MAX(1-0.8/(1-frac_sam_24_59months+(frac_sam_24_59months*0.8)),0),1)</f>
        <v>0.19992031206308147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0.19774497343603237</v>
      </c>
      <c r="G130" s="90">
        <f>MIN(MAX(1-0.8/(1-frac_mam_12_23months+(frac_mam_12_23months*0.8)),0),1)</f>
        <v>0.19810565290809079</v>
      </c>
      <c r="H130" s="90">
        <f>MIN(MAX(1-0.8/(1-frac_mam_24_59months+(frac_mam_24_59months*0.8)),0),1)</f>
        <v>0.1987930939650252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2024-06-18T06:56:55Z</dcterms:modified>
</cp:coreProperties>
</file>