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376E7634-4267-484A-A411-3F24976EC8FA}" xr6:coauthVersionLast="47" xr6:coauthVersionMax="47" xr10:uidLastSave="{00000000-0000-0000-0000-000000000000}"/>
  <bookViews>
    <workbookView xWindow="0" yWindow="3670" windowWidth="19200" windowHeight="6530" tabRatio="961" firstSheet="4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state="hidden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D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D131" i="27"/>
  <c r="E130" i="27"/>
  <c r="D130" i="27"/>
  <c r="H129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E75" i="27"/>
  <c r="D75" i="27"/>
  <c r="H74" i="27"/>
  <c r="G74" i="27"/>
  <c r="G129" i="27" s="1"/>
  <c r="F74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O67" i="25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9" i="25"/>
  <c r="N19" i="25"/>
  <c r="M19" i="25"/>
  <c r="L19" i="25"/>
  <c r="K19" i="25"/>
  <c r="J19" i="25"/>
  <c r="I19" i="25"/>
  <c r="H19" i="25"/>
  <c r="G19" i="25"/>
  <c r="F19" i="25"/>
  <c r="E19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I40" i="2" s="1"/>
  <c r="G40" i="2"/>
  <c r="H39" i="2"/>
  <c r="G39" i="2"/>
  <c r="I39" i="2" s="1"/>
  <c r="A39" i="2"/>
  <c r="H38" i="2"/>
  <c r="I38" i="2" s="1"/>
  <c r="G38" i="2"/>
  <c r="A37" i="2"/>
  <c r="A35" i="2"/>
  <c r="A34" i="2"/>
  <c r="A33" i="2"/>
  <c r="A32" i="2"/>
  <c r="A29" i="2"/>
  <c r="A27" i="2"/>
  <c r="A26" i="2"/>
  <c r="A25" i="2"/>
  <c r="A24" i="2"/>
  <c r="A21" i="2"/>
  <c r="A19" i="2"/>
  <c r="A18" i="2"/>
  <c r="A17" i="2"/>
  <c r="A16" i="2"/>
  <c r="H13" i="2"/>
  <c r="G13" i="2"/>
  <c r="I13" i="2" s="1"/>
  <c r="H12" i="2"/>
  <c r="I12" i="2" s="1"/>
  <c r="G12" i="2"/>
  <c r="H11" i="2"/>
  <c r="G11" i="2"/>
  <c r="I11" i="2" s="1"/>
  <c r="H10" i="2"/>
  <c r="I10" i="2" s="1"/>
  <c r="G10" i="2"/>
  <c r="H9" i="2"/>
  <c r="G9" i="2"/>
  <c r="I9" i="2" s="1"/>
  <c r="H8" i="2"/>
  <c r="I8" i="2" s="1"/>
  <c r="G8" i="2"/>
  <c r="H7" i="2"/>
  <c r="G7" i="2"/>
  <c r="I7" i="2" s="1"/>
  <c r="H6" i="2"/>
  <c r="I6" i="2" s="1"/>
  <c r="G6" i="2"/>
  <c r="H5" i="2"/>
  <c r="G5" i="2"/>
  <c r="I5" i="2" s="1"/>
  <c r="H4" i="2"/>
  <c r="I4" i="2" s="1"/>
  <c r="G4" i="2"/>
  <c r="H3" i="2"/>
  <c r="G3" i="2"/>
  <c r="I3" i="2" s="1"/>
  <c r="A3" i="2"/>
  <c r="H2" i="2"/>
  <c r="I2" i="2" s="1"/>
  <c r="G2" i="2"/>
  <c r="A2" i="2"/>
  <c r="A31" i="2" s="1"/>
  <c r="C33" i="1"/>
  <c r="C20" i="1"/>
  <c r="A20" i="2" l="1"/>
  <c r="A28" i="2"/>
  <c r="A36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  <c r="A40" i="2"/>
  <c r="A15" i="2"/>
  <c r="A2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29" authorId="1" shapeId="0" xr:uid="{00000000-0006-0000-1600-00000E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29" authorId="1" shapeId="0" xr:uid="{00000000-0006-0000-1600-00000F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30" authorId="0" shapeId="0" xr:uid="{00000000-0006-0000-1600-000010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1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2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4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6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7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52" authorId="1" shapeId="0" xr:uid="{00000000-0006-0000-1600-000018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52" authorId="1" shapeId="0" xr:uid="{00000000-0006-0000-1600-000019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53" authorId="0" shapeId="0" xr:uid="{00000000-0006-0000-1600-00001A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B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C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Peña‐Rosas et al 2019, anemia RR 0.72 (0.54-0.97)
If no data for anaemia prev. the use RR otherwise convert RR to OR using prev.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Larson et al 2021, RR 0.80 (0.70-0.92)
If no data for anaemia prev. the use RR otherwise convert RR to OR using prev.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C49" authorId="0" shapeId="0" xr:uid="{00000000-0006-0000-1800-000052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50" authorId="0" shapeId="0" xr:uid="{00000000-0006-0000-1800-00005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6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<sst xmlns="http://schemas.openxmlformats.org/spreadsheetml/2006/main" count="2092" uniqueCount="341">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</sst>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1988148.15625</v>
      </c>
    </row>
    <row r="8" spans="1:3" ht="15" customHeight="1" x14ac:dyDescent="0.25">
      <c r="B8" s="5" t="s">
        <v>8</v>
      </c>
      <c r="C8" s="44">
        <v>0.55500000000000005</v>
      </c>
    </row>
    <row r="9" spans="1:3" ht="15" customHeight="1" x14ac:dyDescent="0.25">
      <c r="B9" s="5" t="s">
        <v>9</v>
      </c>
      <c r="C9" s="45">
        <v>7.0000000000000007E-2</v>
      </c>
    </row>
    <row r="10" spans="1:3" ht="15" customHeight="1" x14ac:dyDescent="0.25">
      <c r="B10" s="5" t="s">
        <v>10</v>
      </c>
      <c r="C10" s="45">
        <v>0.29895069122314499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0.34100000000000003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4.6199999999999998E-2</v>
      </c>
    </row>
    <row r="24" spans="1:3" ht="15" customHeight="1" x14ac:dyDescent="0.25">
      <c r="B24" s="15" t="s">
        <v>22</v>
      </c>
      <c r="C24" s="45">
        <v>0.50180000000000002</v>
      </c>
    </row>
    <row r="25" spans="1:3" ht="15" customHeight="1" x14ac:dyDescent="0.25">
      <c r="B25" s="15" t="s">
        <v>23</v>
      </c>
      <c r="C25" s="45">
        <v>0.36330000000000001</v>
      </c>
    </row>
    <row r="26" spans="1:3" ht="15" customHeight="1" x14ac:dyDescent="0.25">
      <c r="B26" s="15" t="s">
        <v>24</v>
      </c>
      <c r="C26" s="45">
        <v>8.8699999999999987E-2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0.254787647396997</v>
      </c>
    </row>
    <row r="30" spans="1:3" ht="14.25" customHeight="1" x14ac:dyDescent="0.25">
      <c r="B30" s="25" t="s">
        <v>27</v>
      </c>
      <c r="C30" s="99">
        <v>3.6806607194084101E-2</v>
      </c>
    </row>
    <row r="31" spans="1:3" ht="14.25" customHeight="1" x14ac:dyDescent="0.25">
      <c r="B31" s="25" t="s">
        <v>28</v>
      </c>
      <c r="C31" s="99">
        <v>7.3852638350173999E-2</v>
      </c>
    </row>
    <row r="32" spans="1:3" ht="14.25" customHeight="1" x14ac:dyDescent="0.25">
      <c r="B32" s="25" t="s">
        <v>29</v>
      </c>
      <c r="C32" s="99">
        <v>0.63455310705874501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17.52411</v>
      </c>
    </row>
    <row r="38" spans="1:5" ht="15" customHeight="1" x14ac:dyDescent="0.25">
      <c r="B38" s="11" t="s">
        <v>34</v>
      </c>
      <c r="C38" s="43">
        <v>29.650749999999999</v>
      </c>
      <c r="D38" s="12"/>
      <c r="E38" s="13"/>
    </row>
    <row r="39" spans="1:5" ht="15" customHeight="1" x14ac:dyDescent="0.25">
      <c r="B39" s="11" t="s">
        <v>35</v>
      </c>
      <c r="C39" s="43">
        <v>39.438879999999997</v>
      </c>
      <c r="D39" s="12"/>
      <c r="E39" s="12"/>
    </row>
    <row r="40" spans="1:5" ht="15" customHeight="1" x14ac:dyDescent="0.25">
      <c r="B40" s="11" t="s">
        <v>36</v>
      </c>
      <c r="C40" s="100">
        <v>2.59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16.748660000000001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7.9924000000000002E-3</v>
      </c>
      <c r="D45" s="12"/>
    </row>
    <row r="46" spans="1:5" ht="15.75" customHeight="1" x14ac:dyDescent="0.25">
      <c r="B46" s="11" t="s">
        <v>41</v>
      </c>
      <c r="C46" s="45">
        <v>8.54993E-2</v>
      </c>
      <c r="D46" s="12"/>
    </row>
    <row r="47" spans="1:5" ht="15.75" customHeight="1" x14ac:dyDescent="0.25">
      <c r="B47" s="11" t="s">
        <v>42</v>
      </c>
      <c r="C47" s="45">
        <v>0.16339429999999999</v>
      </c>
      <c r="D47" s="12"/>
      <c r="E47" s="13"/>
    </row>
    <row r="48" spans="1:5" ht="15" customHeight="1" x14ac:dyDescent="0.25">
      <c r="B48" s="11" t="s">
        <v>43</v>
      </c>
      <c r="C48" s="46">
        <v>0.74311400000000005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0.62000600000000006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7.87070039999999E-2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379864.25679999997</v>
      </c>
      <c r="C2" s="49">
        <v>781000</v>
      </c>
      <c r="D2" s="49">
        <v>1241000</v>
      </c>
      <c r="E2" s="49">
        <v>14800</v>
      </c>
      <c r="F2" s="49">
        <v>13800</v>
      </c>
      <c r="G2" s="17">
        <f t="shared" ref="G2:G13" si="0">C2+D2+E2+F2</f>
        <v>2050600</v>
      </c>
      <c r="H2" s="17">
        <f t="shared" ref="H2:H13" si="1">(B2 + stillbirth*B2/(1000-stillbirth))/(1-abortion)</f>
        <v>439016.87251381535</v>
      </c>
      <c r="I2" s="17">
        <f t="shared" ref="I2:I13" si="2">G2-H2</f>
        <v>1611583.1274861847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380660.11200000002</v>
      </c>
      <c r="C3" s="50">
        <v>798000</v>
      </c>
      <c r="D3" s="50">
        <v>1280000</v>
      </c>
      <c r="E3" s="50">
        <v>14800</v>
      </c>
      <c r="F3" s="50">
        <v>13800</v>
      </c>
      <c r="G3" s="17">
        <f t="shared" si="0"/>
        <v>2106600</v>
      </c>
      <c r="H3" s="17">
        <f t="shared" si="1"/>
        <v>439936.65860746155</v>
      </c>
      <c r="I3" s="17">
        <f t="shared" si="2"/>
        <v>1666663.3413925385</v>
      </c>
    </row>
    <row r="4" spans="1:9" ht="15.75" customHeight="1" x14ac:dyDescent="0.25">
      <c r="A4" s="5">
        <f t="shared" si="3"/>
        <v>2026</v>
      </c>
      <c r="B4" s="49">
        <v>383729.33100000001</v>
      </c>
      <c r="C4" s="50">
        <v>812000</v>
      </c>
      <c r="D4" s="50">
        <v>1320000</v>
      </c>
      <c r="E4" s="50">
        <v>15100</v>
      </c>
      <c r="F4" s="50">
        <v>13900</v>
      </c>
      <c r="G4" s="17">
        <f t="shared" si="0"/>
        <v>2161000</v>
      </c>
      <c r="H4" s="17">
        <f t="shared" si="1"/>
        <v>443483.8176315584</v>
      </c>
      <c r="I4" s="17">
        <f t="shared" si="2"/>
        <v>1717516.1823684415</v>
      </c>
    </row>
    <row r="5" spans="1:9" ht="15.75" customHeight="1" x14ac:dyDescent="0.25">
      <c r="A5" s="5">
        <f t="shared" si="3"/>
        <v>2027</v>
      </c>
      <c r="B5" s="49">
        <v>386667.99599999998</v>
      </c>
      <c r="C5" s="50">
        <v>823000</v>
      </c>
      <c r="D5" s="50">
        <v>1359000</v>
      </c>
      <c r="E5" s="50">
        <v>15200</v>
      </c>
      <c r="F5" s="50">
        <v>14000</v>
      </c>
      <c r="G5" s="17">
        <f t="shared" si="0"/>
        <v>2211200</v>
      </c>
      <c r="H5" s="17">
        <f t="shared" si="1"/>
        <v>446880.09273396974</v>
      </c>
      <c r="I5" s="17">
        <f t="shared" si="2"/>
        <v>1764319.9072660303</v>
      </c>
    </row>
    <row r="6" spans="1:9" ht="15.75" customHeight="1" x14ac:dyDescent="0.25">
      <c r="A6" s="5">
        <f t="shared" si="3"/>
        <v>2028</v>
      </c>
      <c r="B6" s="49">
        <v>389449.00400000007</v>
      </c>
      <c r="C6" s="50">
        <v>832000</v>
      </c>
      <c r="D6" s="50">
        <v>1397000</v>
      </c>
      <c r="E6" s="50">
        <v>15400</v>
      </c>
      <c r="F6" s="50">
        <v>14100</v>
      </c>
      <c r="G6" s="17">
        <f t="shared" si="0"/>
        <v>2258500</v>
      </c>
      <c r="H6" s="17">
        <f t="shared" si="1"/>
        <v>450094.16042457306</v>
      </c>
      <c r="I6" s="17">
        <f t="shared" si="2"/>
        <v>1808405.8395754269</v>
      </c>
    </row>
    <row r="7" spans="1:9" ht="15.75" customHeight="1" x14ac:dyDescent="0.25">
      <c r="A7" s="5">
        <f t="shared" si="3"/>
        <v>2029</v>
      </c>
      <c r="B7" s="49">
        <v>392071.42499999999</v>
      </c>
      <c r="C7" s="50">
        <v>839000</v>
      </c>
      <c r="D7" s="50">
        <v>1435000</v>
      </c>
      <c r="E7" s="50">
        <v>15400</v>
      </c>
      <c r="F7" s="50">
        <v>14100</v>
      </c>
      <c r="G7" s="17">
        <f t="shared" si="0"/>
        <v>2303500</v>
      </c>
      <c r="H7" s="17">
        <f t="shared" si="1"/>
        <v>453124.94588339207</v>
      </c>
      <c r="I7" s="17">
        <f t="shared" si="2"/>
        <v>1850375.0541166079</v>
      </c>
    </row>
    <row r="8" spans="1:9" ht="15.75" customHeight="1" x14ac:dyDescent="0.25">
      <c r="A8" s="5">
        <f t="shared" si="3"/>
        <v>2030</v>
      </c>
      <c r="B8" s="49">
        <v>394558.95199999999</v>
      </c>
      <c r="C8" s="50">
        <v>846000</v>
      </c>
      <c r="D8" s="50">
        <v>1471000</v>
      </c>
      <c r="E8" s="50">
        <v>15400</v>
      </c>
      <c r="F8" s="50">
        <v>14200</v>
      </c>
      <c r="G8" s="17">
        <f t="shared" si="0"/>
        <v>2346600</v>
      </c>
      <c r="H8" s="17">
        <f t="shared" si="1"/>
        <v>455999.83159397007</v>
      </c>
      <c r="I8" s="17">
        <f t="shared" si="2"/>
        <v>1890600.1684060299</v>
      </c>
    </row>
    <row r="9" spans="1:9" ht="15.75" customHeight="1" x14ac:dyDescent="0.25">
      <c r="A9" s="5">
        <f t="shared" si="3"/>
        <v>2031</v>
      </c>
      <c r="B9" s="49">
        <v>396658.19417142862</v>
      </c>
      <c r="C9" s="50">
        <v>855285.71428571432</v>
      </c>
      <c r="D9" s="50">
        <v>1503857.142857143</v>
      </c>
      <c r="E9" s="50">
        <v>15485.71428571429</v>
      </c>
      <c r="F9" s="50">
        <v>14257.142857142861</v>
      </c>
      <c r="G9" s="17">
        <f t="shared" si="0"/>
        <v>2388885.7142857141</v>
      </c>
      <c r="H9" s="17">
        <f t="shared" si="1"/>
        <v>458425.9686054209</v>
      </c>
      <c r="I9" s="17">
        <f t="shared" si="2"/>
        <v>1930459.7456802931</v>
      </c>
    </row>
    <row r="10" spans="1:9" ht="15.75" customHeight="1" x14ac:dyDescent="0.25">
      <c r="A10" s="5">
        <f t="shared" si="3"/>
        <v>2032</v>
      </c>
      <c r="B10" s="49">
        <v>398943.63448163262</v>
      </c>
      <c r="C10" s="50">
        <v>863469.38775510213</v>
      </c>
      <c r="D10" s="50">
        <v>1535836.7346938781</v>
      </c>
      <c r="E10" s="50">
        <v>15583.673469387761</v>
      </c>
      <c r="F10" s="50">
        <v>14322.44897959184</v>
      </c>
      <c r="G10" s="17">
        <f t="shared" si="0"/>
        <v>2429212.2448979602</v>
      </c>
      <c r="H10" s="17">
        <f t="shared" si="1"/>
        <v>461067.29860512918</v>
      </c>
      <c r="I10" s="17">
        <f t="shared" si="2"/>
        <v>1968144.9462928311</v>
      </c>
    </row>
    <row r="11" spans="1:9" ht="15.75" customHeight="1" x14ac:dyDescent="0.25">
      <c r="A11" s="5">
        <f t="shared" si="3"/>
        <v>2033</v>
      </c>
      <c r="B11" s="49">
        <v>401117.10640758008</v>
      </c>
      <c r="C11" s="50">
        <v>870822.15743440238</v>
      </c>
      <c r="D11" s="50">
        <v>1566670.5539358601</v>
      </c>
      <c r="E11" s="50">
        <v>15652.769679300291</v>
      </c>
      <c r="F11" s="50">
        <v>14382.798833819241</v>
      </c>
      <c r="G11" s="17">
        <f t="shared" si="0"/>
        <v>2467528.2798833819</v>
      </c>
      <c r="H11" s="17">
        <f t="shared" si="1"/>
        <v>463579.22445849644</v>
      </c>
      <c r="I11" s="17">
        <f t="shared" si="2"/>
        <v>2003949.0554248854</v>
      </c>
    </row>
    <row r="12" spans="1:9" ht="15.75" customHeight="1" x14ac:dyDescent="0.25">
      <c r="A12" s="5">
        <f t="shared" si="3"/>
        <v>2034</v>
      </c>
      <c r="B12" s="49">
        <v>403181.26503723452</v>
      </c>
      <c r="C12" s="50">
        <v>877653.89421074558</v>
      </c>
      <c r="D12" s="50">
        <v>1596337.7759266971</v>
      </c>
      <c r="E12" s="50">
        <v>15717.45106205748</v>
      </c>
      <c r="F12" s="50">
        <v>14437.4843815077</v>
      </c>
      <c r="G12" s="17">
        <f t="shared" si="0"/>
        <v>2504146.6055810079</v>
      </c>
      <c r="H12" s="17">
        <f t="shared" si="1"/>
        <v>465964.81470485753</v>
      </c>
      <c r="I12" s="17">
        <f t="shared" si="2"/>
        <v>2038181.7908761504</v>
      </c>
    </row>
    <row r="13" spans="1:9" ht="15.75" customHeight="1" x14ac:dyDescent="0.25">
      <c r="A13" s="5">
        <f t="shared" si="3"/>
        <v>2035</v>
      </c>
      <c r="B13" s="49">
        <v>405143.01661398221</v>
      </c>
      <c r="C13" s="50">
        <v>884175.879097995</v>
      </c>
      <c r="D13" s="50">
        <v>1624814.6010590829</v>
      </c>
      <c r="E13" s="50">
        <v>15762.801213779971</v>
      </c>
      <c r="F13" s="50">
        <v>14485.6964360088</v>
      </c>
      <c r="G13" s="17">
        <f t="shared" si="0"/>
        <v>2539238.9778068666</v>
      </c>
      <c r="H13" s="17">
        <f t="shared" si="1"/>
        <v>468232.05103061238</v>
      </c>
      <c r="I13" s="17">
        <f t="shared" si="2"/>
        <v>2071006.9267762543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6.0182990146353584E-3</v>
      </c>
    </row>
    <row r="4" spans="1:8" ht="15.75" customHeight="1" x14ac:dyDescent="0.25">
      <c r="B4" s="19" t="s">
        <v>69</v>
      </c>
      <c r="C4" s="101">
        <v>4.6453576687890671E-2</v>
      </c>
    </row>
    <row r="5" spans="1:8" ht="15.75" customHeight="1" x14ac:dyDescent="0.25">
      <c r="B5" s="19" t="s">
        <v>70</v>
      </c>
      <c r="C5" s="101">
        <v>5.2706888908387282E-2</v>
      </c>
    </row>
    <row r="6" spans="1:8" ht="15.75" customHeight="1" x14ac:dyDescent="0.25">
      <c r="B6" s="19" t="s">
        <v>71</v>
      </c>
      <c r="C6" s="101">
        <v>0.21486660124181831</v>
      </c>
    </row>
    <row r="7" spans="1:8" ht="15.75" customHeight="1" x14ac:dyDescent="0.25">
      <c r="B7" s="19" t="s">
        <v>72</v>
      </c>
      <c r="C7" s="101">
        <v>0.48309890874434158</v>
      </c>
    </row>
    <row r="8" spans="1:8" ht="15.75" customHeight="1" x14ac:dyDescent="0.25">
      <c r="B8" s="19" t="s">
        <v>73</v>
      </c>
      <c r="C8" s="101">
        <v>6.8292896688334896E-4</v>
      </c>
    </row>
    <row r="9" spans="1:8" ht="15.75" customHeight="1" x14ac:dyDescent="0.25">
      <c r="B9" s="19" t="s">
        <v>74</v>
      </c>
      <c r="C9" s="101">
        <v>0.11159575567550881</v>
      </c>
    </row>
    <row r="10" spans="1:8" ht="15.75" customHeight="1" x14ac:dyDescent="0.25">
      <c r="B10" s="19" t="s">
        <v>75</v>
      </c>
      <c r="C10" s="101">
        <v>8.4577040760534461E-2</v>
      </c>
    </row>
    <row r="11" spans="1:8" ht="15.75" customHeight="1" x14ac:dyDescent="0.25">
      <c r="B11" s="27" t="s">
        <v>30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0.1660695973537461</v>
      </c>
      <c r="D14" s="55">
        <v>0.1660695973537461</v>
      </c>
      <c r="E14" s="55">
        <v>0.1660695973537461</v>
      </c>
      <c r="F14" s="55">
        <v>0.1660695973537461</v>
      </c>
    </row>
    <row r="15" spans="1:8" ht="15.75" customHeight="1" x14ac:dyDescent="0.25">
      <c r="B15" s="19" t="s">
        <v>82</v>
      </c>
      <c r="C15" s="101">
        <v>0.26625517984174851</v>
      </c>
      <c r="D15" s="101">
        <v>0.26625517984174851</v>
      </c>
      <c r="E15" s="101">
        <v>0.26625517984174851</v>
      </c>
      <c r="F15" s="101">
        <v>0.26625517984174851</v>
      </c>
    </row>
    <row r="16" spans="1:8" ht="15.75" customHeight="1" x14ac:dyDescent="0.25">
      <c r="B16" s="19" t="s">
        <v>83</v>
      </c>
      <c r="C16" s="101">
        <v>1.333089552501393E-2</v>
      </c>
      <c r="D16" s="101">
        <v>1.333089552501393E-2</v>
      </c>
      <c r="E16" s="101">
        <v>1.333089552501393E-2</v>
      </c>
      <c r="F16" s="101">
        <v>1.333089552501393E-2</v>
      </c>
    </row>
    <row r="17" spans="1:8" ht="15.75" customHeight="1" x14ac:dyDescent="0.25">
      <c r="B17" s="19" t="s">
        <v>84</v>
      </c>
      <c r="C17" s="101">
        <v>8.7282404598570933E-3</v>
      </c>
      <c r="D17" s="101">
        <v>8.7282404598570933E-3</v>
      </c>
      <c r="E17" s="101">
        <v>8.7282404598570933E-3</v>
      </c>
      <c r="F17" s="101">
        <v>8.7282404598570933E-3</v>
      </c>
    </row>
    <row r="18" spans="1:8" ht="15.75" customHeight="1" x14ac:dyDescent="0.25">
      <c r="B18" s="19" t="s">
        <v>85</v>
      </c>
      <c r="C18" s="101">
        <v>8.9974197817541915E-2</v>
      </c>
      <c r="D18" s="101">
        <v>8.9974197817541915E-2</v>
      </c>
      <c r="E18" s="101">
        <v>8.9974197817541915E-2</v>
      </c>
      <c r="F18" s="101">
        <v>8.9974197817541915E-2</v>
      </c>
    </row>
    <row r="19" spans="1:8" ht="15.75" customHeight="1" x14ac:dyDescent="0.25">
      <c r="B19" s="19" t="s">
        <v>86</v>
      </c>
      <c r="C19" s="101">
        <v>4.0866747820799708E-2</v>
      </c>
      <c r="D19" s="101">
        <v>4.0866747820799708E-2</v>
      </c>
      <c r="E19" s="101">
        <v>4.0866747820799708E-2</v>
      </c>
      <c r="F19" s="101">
        <v>4.0866747820799708E-2</v>
      </c>
    </row>
    <row r="20" spans="1:8" ht="15.75" customHeight="1" x14ac:dyDescent="0.25">
      <c r="B20" s="19" t="s">
        <v>87</v>
      </c>
      <c r="C20" s="101">
        <v>5.6648497277709368E-2</v>
      </c>
      <c r="D20" s="101">
        <v>5.6648497277709368E-2</v>
      </c>
      <c r="E20" s="101">
        <v>5.6648497277709368E-2</v>
      </c>
      <c r="F20" s="101">
        <v>5.6648497277709368E-2</v>
      </c>
    </row>
    <row r="21" spans="1:8" ht="15.75" customHeight="1" x14ac:dyDescent="0.25">
      <c r="B21" s="19" t="s">
        <v>88</v>
      </c>
      <c r="C21" s="101">
        <v>0.1894963149331233</v>
      </c>
      <c r="D21" s="101">
        <v>0.1894963149331233</v>
      </c>
      <c r="E21" s="101">
        <v>0.1894963149331233</v>
      </c>
      <c r="F21" s="101">
        <v>0.1894963149331233</v>
      </c>
    </row>
    <row r="22" spans="1:8" ht="15.75" customHeight="1" x14ac:dyDescent="0.25">
      <c r="B22" s="19" t="s">
        <v>89</v>
      </c>
      <c r="C22" s="101">
        <v>0.16863032897045999</v>
      </c>
      <c r="D22" s="101">
        <v>0.16863032897045999</v>
      </c>
      <c r="E22" s="101">
        <v>0.16863032897045999</v>
      </c>
      <c r="F22" s="101">
        <v>0.16863032897045999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8.8012850000000004E-2</v>
      </c>
    </row>
    <row r="27" spans="1:8" ht="15.75" customHeight="1" x14ac:dyDescent="0.25">
      <c r="B27" s="19" t="s">
        <v>92</v>
      </c>
      <c r="C27" s="101">
        <v>8.9249900000000007E-3</v>
      </c>
    </row>
    <row r="28" spans="1:8" ht="15.75" customHeight="1" x14ac:dyDescent="0.25">
      <c r="B28" s="19" t="s">
        <v>93</v>
      </c>
      <c r="C28" s="101">
        <v>0.15479583299999999</v>
      </c>
    </row>
    <row r="29" spans="1:8" ht="15.75" customHeight="1" x14ac:dyDescent="0.25">
      <c r="B29" s="19" t="s">
        <v>94</v>
      </c>
      <c r="C29" s="101">
        <v>0.168002662</v>
      </c>
    </row>
    <row r="30" spans="1:8" ht="15.75" customHeight="1" x14ac:dyDescent="0.25">
      <c r="B30" s="19" t="s">
        <v>95</v>
      </c>
      <c r="C30" s="101">
        <v>0.104541704</v>
      </c>
    </row>
    <row r="31" spans="1:8" ht="15.75" customHeight="1" x14ac:dyDescent="0.25">
      <c r="B31" s="19" t="s">
        <v>96</v>
      </c>
      <c r="C31" s="101">
        <v>0.10832760499999999</v>
      </c>
    </row>
    <row r="32" spans="1:8" ht="15.75" customHeight="1" x14ac:dyDescent="0.25">
      <c r="B32" s="19" t="s">
        <v>97</v>
      </c>
      <c r="C32" s="101">
        <v>1.8696531999999998E-2</v>
      </c>
    </row>
    <row r="33" spans="2:3" ht="15.75" customHeight="1" x14ac:dyDescent="0.25">
      <c r="B33" s="19" t="s">
        <v>98</v>
      </c>
      <c r="C33" s="101">
        <v>8.4083039999999998E-2</v>
      </c>
    </row>
    <row r="34" spans="2:3" ht="15.75" customHeight="1" x14ac:dyDescent="0.25">
      <c r="B34" s="19" t="s">
        <v>99</v>
      </c>
      <c r="C34" s="101">
        <v>0.26461478300000002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0.4940275172089843</v>
      </c>
      <c r="D2" s="52">
        <f>IFERROR(1-_xlfn.NORM.DIST(_xlfn.NORM.INV(SUM(D4:D5), 0, 1) + 1, 0, 1, TRUE), "")</f>
        <v>0.4940275172089843</v>
      </c>
      <c r="E2" s="52">
        <f>IFERROR(1-_xlfn.NORM.DIST(_xlfn.NORM.INV(SUM(E4:E5), 0, 1) + 1, 0, 1, TRUE), "")</f>
        <v>0.41826682079391031</v>
      </c>
      <c r="F2" s="52">
        <f>IFERROR(1-_xlfn.NORM.DIST(_xlfn.NORM.INV(SUM(F4:F5), 0, 1) + 1, 0, 1, TRUE), "")</f>
        <v>0.26123661760025274</v>
      </c>
      <c r="G2" s="52">
        <f>IFERROR(1-_xlfn.NORM.DIST(_xlfn.NORM.INV(SUM(G4:G5), 0, 1) + 1, 0, 1, TRUE), "")</f>
        <v>0.25257570689057673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0.34366748279101567</v>
      </c>
      <c r="D3" s="52">
        <f>IFERROR(_xlfn.NORM.DIST(_xlfn.NORM.INV(SUM(D4:D5), 0, 1) + 1, 0, 1, TRUE) - SUM(D4:D5), "")</f>
        <v>0.34366748279101567</v>
      </c>
      <c r="E3" s="52">
        <f>IFERROR(_xlfn.NORM.DIST(_xlfn.NORM.INV(SUM(E4:E5), 0, 1) + 1, 0, 1, TRUE) - SUM(E4:E5), "")</f>
        <v>0.36803957920608971</v>
      </c>
      <c r="F3" s="52">
        <f>IFERROR(_xlfn.NORM.DIST(_xlfn.NORM.INV(SUM(F4:F5), 0, 1) + 1, 0, 1, TRUE) - SUM(F4:F5), "")</f>
        <v>0.37951268239974723</v>
      </c>
      <c r="G3" s="52">
        <f>IFERROR(_xlfn.NORM.DIST(_xlfn.NORM.INV(SUM(G4:G5), 0, 1) + 1, 0, 1, TRUE) - SUM(G4:G5), "")</f>
        <v>0.37808119310942323</v>
      </c>
    </row>
    <row r="4" spans="1:15" ht="15.75" customHeight="1" x14ac:dyDescent="0.25">
      <c r="B4" s="5" t="s">
        <v>104</v>
      </c>
      <c r="C4" s="45">
        <v>0.1173162</v>
      </c>
      <c r="D4" s="53">
        <v>0.1173162</v>
      </c>
      <c r="E4" s="53">
        <v>0.159605</v>
      </c>
      <c r="F4" s="53">
        <v>0.26786270000000001</v>
      </c>
      <c r="G4" s="53">
        <v>0.2625538</v>
      </c>
    </row>
    <row r="5" spans="1:15" ht="15.75" customHeight="1" x14ac:dyDescent="0.25">
      <c r="B5" s="5" t="s">
        <v>105</v>
      </c>
      <c r="C5" s="45">
        <v>4.4988800000000002E-2</v>
      </c>
      <c r="D5" s="53">
        <v>4.4988800000000002E-2</v>
      </c>
      <c r="E5" s="53">
        <v>5.4088600000000001E-2</v>
      </c>
      <c r="F5" s="53">
        <v>9.1387999999999997E-2</v>
      </c>
      <c r="G5" s="53">
        <v>0.1067893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0.87763531477205214</v>
      </c>
      <c r="D8" s="52">
        <f>IFERROR(1-_xlfn.NORM.DIST(_xlfn.NORM.INV(SUM(D10:D11), 0, 1) + 1, 0, 1, TRUE), "")</f>
        <v>0.87763531477205214</v>
      </c>
      <c r="E8" s="52">
        <f>IFERROR(1-_xlfn.NORM.DIST(_xlfn.NORM.INV(SUM(E10:E11), 0, 1) + 1, 0, 1, TRUE), "")</f>
        <v>0.85479504017083729</v>
      </c>
      <c r="F8" s="52">
        <f>IFERROR(1-_xlfn.NORM.DIST(_xlfn.NORM.INV(SUM(F10:F11), 0, 1) + 1, 0, 1, TRUE), "")</f>
        <v>0.88326271839159742</v>
      </c>
      <c r="G8" s="52">
        <f>IFERROR(1-_xlfn.NORM.DIST(_xlfn.NORM.INV(SUM(G10:G11), 0, 1) + 1, 0, 1, TRUE), "")</f>
        <v>0.92036904142394294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0.10710358522794784</v>
      </c>
      <c r="D9" s="52">
        <f>IFERROR(_xlfn.NORM.DIST(_xlfn.NORM.INV(SUM(D10:D11), 0, 1) + 1, 0, 1, TRUE) - SUM(D10:D11), "")</f>
        <v>0.10710358522794784</v>
      </c>
      <c r="E9" s="52">
        <f>IFERROR(_xlfn.NORM.DIST(_xlfn.NORM.INV(SUM(E10:E11), 0, 1) + 1, 0, 1, TRUE) - SUM(E10:E11), "")</f>
        <v>0.12537255982916276</v>
      </c>
      <c r="F9" s="52">
        <f>IFERROR(_xlfn.NORM.DIST(_xlfn.NORM.INV(SUM(F10:F11), 0, 1) + 1, 0, 1, TRUE) - SUM(F10:F11), "")</f>
        <v>0.10252788160840259</v>
      </c>
      <c r="G9" s="52">
        <f>IFERROR(_xlfn.NORM.DIST(_xlfn.NORM.INV(SUM(G10:G11), 0, 1) + 1, 0, 1, TRUE) - SUM(G10:G11), "")</f>
        <v>7.1601158576057006E-2</v>
      </c>
    </row>
    <row r="10" spans="1:15" ht="15.75" customHeight="1" x14ac:dyDescent="0.25">
      <c r="B10" s="5" t="s">
        <v>109</v>
      </c>
      <c r="C10" s="45">
        <v>9.1525000000000009E-3</v>
      </c>
      <c r="D10" s="53">
        <v>9.1525000000000009E-3</v>
      </c>
      <c r="E10" s="53">
        <v>1.40543E-2</v>
      </c>
      <c r="F10" s="53">
        <v>1.18117E-2</v>
      </c>
      <c r="G10" s="53">
        <v>7.5318E-3</v>
      </c>
    </row>
    <row r="11" spans="1:15" ht="15.75" customHeight="1" x14ac:dyDescent="0.25">
      <c r="B11" s="5" t="s">
        <v>110</v>
      </c>
      <c r="C11" s="45">
        <v>6.1085999999999996E-3</v>
      </c>
      <c r="D11" s="53">
        <v>6.1085999999999996E-3</v>
      </c>
      <c r="E11" s="53">
        <v>5.7781000000000004E-3</v>
      </c>
      <c r="F11" s="53">
        <v>2.3977E-3</v>
      </c>
      <c r="G11" s="53">
        <v>4.9799999999999996E-4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0.7628772305</v>
      </c>
      <c r="D14" s="54">
        <v>0.73898727781200013</v>
      </c>
      <c r="E14" s="54">
        <v>0.73898727781200013</v>
      </c>
      <c r="F14" s="54">
        <v>0.45575443164700002</v>
      </c>
      <c r="G14" s="54">
        <v>0.45575443164700002</v>
      </c>
      <c r="H14" s="45">
        <v>0.24399999999999999</v>
      </c>
      <c r="I14" s="55">
        <v>0.24399999999999999</v>
      </c>
      <c r="J14" s="55">
        <v>0.24399999999999999</v>
      </c>
      <c r="K14" s="55">
        <v>0.24399999999999999</v>
      </c>
      <c r="L14" s="45">
        <v>0.221</v>
      </c>
      <c r="M14" s="55">
        <v>0.221</v>
      </c>
      <c r="N14" s="55">
        <v>0.221</v>
      </c>
      <c r="O14" s="55">
        <v>0.221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0.47298846017338303</v>
      </c>
      <c r="D15" s="52">
        <f t="shared" si="0"/>
        <v>0.45817654616710701</v>
      </c>
      <c r="E15" s="52">
        <f t="shared" si="0"/>
        <v>0.45817654616710701</v>
      </c>
      <c r="F15" s="52">
        <f t="shared" si="0"/>
        <v>0.2825704821477299</v>
      </c>
      <c r="G15" s="52">
        <f t="shared" si="0"/>
        <v>0.2825704821477299</v>
      </c>
      <c r="H15" s="52">
        <f t="shared" si="0"/>
        <v>0.151281464</v>
      </c>
      <c r="I15" s="52">
        <f t="shared" si="0"/>
        <v>0.151281464</v>
      </c>
      <c r="J15" s="52">
        <f t="shared" si="0"/>
        <v>0.151281464</v>
      </c>
      <c r="K15" s="52">
        <f t="shared" si="0"/>
        <v>0.151281464</v>
      </c>
      <c r="L15" s="52">
        <f t="shared" si="0"/>
        <v>0.13702132600000003</v>
      </c>
      <c r="M15" s="52">
        <f t="shared" si="0"/>
        <v>0.13702132600000003</v>
      </c>
      <c r="N15" s="52">
        <f t="shared" si="0"/>
        <v>0.13702132600000003</v>
      </c>
      <c r="O15" s="52">
        <f t="shared" si="0"/>
        <v>0.13702132600000003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0.86949749999999992</v>
      </c>
      <c r="D2" s="53">
        <v>0.78899600000000003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8.3859900000000001E-2</v>
      </c>
      <c r="D3" s="53">
        <v>0.1030933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3.8673300000000001E-2</v>
      </c>
      <c r="D4" s="53">
        <v>9.6228200000000014E-2</v>
      </c>
      <c r="E4" s="53">
        <v>0.97447069999999991</v>
      </c>
      <c r="F4" s="53">
        <v>0.90395999999999999</v>
      </c>
      <c r="G4" s="53">
        <v>0</v>
      </c>
    </row>
    <row r="5" spans="1:7" x14ac:dyDescent="0.25">
      <c r="B5" s="3" t="s">
        <v>122</v>
      </c>
      <c r="C5" s="52">
        <v>7.9693000000000003E-3</v>
      </c>
      <c r="D5" s="52">
        <v>1.16825E-2</v>
      </c>
      <c r="E5" s="52">
        <f>1-SUM(E2:E4)</f>
        <v>2.5529300000000088E-2</v>
      </c>
      <c r="F5" s="52">
        <f>1-SUM(F2:F4)</f>
        <v>9.6040000000000014E-2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opLeftCell="A3" zoomScale="115" zoomScaleNormal="115" workbookViewId="0">
      <selection activeCell="D12" sqref="D12:D13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/>
      <c r="E5" s="38" t="str">
        <f>IF(E$7="","",E$7)</f>
        <v/>
      </c>
    </row>
    <row r="6" spans="1:5" x14ac:dyDescent="0.25">
      <c r="B6" s="32" t="s">
        <v>79</v>
      </c>
      <c r="C6" s="47"/>
      <c r="D6" s="47"/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8.731562824802E-2</v>
      </c>
      <c r="C2" s="98">
        <v>0.95</v>
      </c>
      <c r="D2" s="56">
        <v>36.079849986609638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47.391202091117947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70.283560158574318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0.37755207944684438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15.05045142161304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15.05045142161304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15.05045142161304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15.05045142161304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15.05045142161304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15.05045142161304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0.50991066898500004</v>
      </c>
      <c r="C16" s="98">
        <v>0.95</v>
      </c>
      <c r="D16" s="56">
        <v>0.2530143942324673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0.97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1.723860781546777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1.723860781546777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0.82192539999999992</v>
      </c>
      <c r="C21" s="98">
        <v>0.95</v>
      </c>
      <c r="D21" s="56">
        <v>4.0598209789868394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25.651202438998769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1.9060199999999999E-2</v>
      </c>
      <c r="C23" s="98">
        <v>0.95</v>
      </c>
      <c r="D23" s="56">
        <v>4.9321676394351552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0.37695453305580001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2.0176469855977999E-2</v>
      </c>
      <c r="C27" s="98">
        <v>0.95</v>
      </c>
      <c r="D27" s="56">
        <v>21.74274730131463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0.2796807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63.551452439241622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0.46670911326684161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0.78899600000000003</v>
      </c>
      <c r="C32" s="98">
        <v>0.95</v>
      </c>
      <c r="D32" s="56">
        <v>0.48033470148423679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0.73826449999999999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0.92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0.36523810000000001</v>
      </c>
      <c r="C38" s="98">
        <v>0.95</v>
      </c>
      <c r="D38" s="56">
        <v>4.0283775058915356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0.34426630000000003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C13" sqref="C13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2.3796500000000002E-2</v>
      </c>
      <c r="C3" s="21">
        <f>frac_mam_1_5months * 2.6</f>
        <v>2.3796500000000002E-2</v>
      </c>
      <c r="D3" s="21">
        <f>frac_mam_6_11months * 2.6</f>
        <v>3.6541179999999999E-2</v>
      </c>
      <c r="E3" s="21">
        <f>frac_mam_12_23months * 2.6</f>
        <v>3.0710419999999999E-2</v>
      </c>
      <c r="F3" s="21">
        <f>frac_mam_24_59months * 2.6</f>
        <v>1.9582680000000002E-2</v>
      </c>
    </row>
    <row r="4" spans="1:6" ht="15.75" customHeight="1" x14ac:dyDescent="0.25">
      <c r="A4" s="3" t="s">
        <v>205</v>
      </c>
      <c r="B4" s="21">
        <f>frac_sam_1month * 2.6</f>
        <v>1.5882359999999998E-2</v>
      </c>
      <c r="C4" s="21">
        <f>frac_sam_1_5months * 2.6</f>
        <v>1.5882359999999998E-2</v>
      </c>
      <c r="D4" s="21">
        <f>frac_sam_6_11months * 2.6</f>
        <v>1.5023060000000001E-2</v>
      </c>
      <c r="E4" s="21">
        <f>frac_sam_12_23months * 2.6</f>
        <v>6.2340199999999998E-3</v>
      </c>
      <c r="F4" s="21">
        <f>frac_sam_24_59months * 2.6</f>
        <v>1.2948E-3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0.55500000000000005</v>
      </c>
      <c r="E2" s="60">
        <f>food_insecure</f>
        <v>0.55500000000000005</v>
      </c>
      <c r="F2" s="60">
        <f>food_insecure</f>
        <v>0.55500000000000005</v>
      </c>
      <c r="G2" s="60">
        <f>food_insecure</f>
        <v>0.55500000000000005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0.55500000000000005</v>
      </c>
      <c r="F5" s="60">
        <f>food_insecure</f>
        <v>0.55500000000000005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0.55500000000000005</v>
      </c>
      <c r="F8" s="60">
        <f>food_insecure</f>
        <v>0.55500000000000005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0.55500000000000005</v>
      </c>
      <c r="F9" s="60">
        <f>food_insecure</f>
        <v>0.55500000000000005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0.55500000000000005</v>
      </c>
      <c r="I15" s="60">
        <f>food_insecure</f>
        <v>0.55500000000000005</v>
      </c>
      <c r="J15" s="60">
        <f>food_insecure</f>
        <v>0.55500000000000005</v>
      </c>
      <c r="K15" s="60">
        <f>food_insecure</f>
        <v>0.55500000000000005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7.0000000000000007E-2</v>
      </c>
      <c r="I19" s="60">
        <f>frac_malaria_risk</f>
        <v>7.0000000000000007E-2</v>
      </c>
      <c r="J19" s="60">
        <f>frac_malaria_risk</f>
        <v>7.0000000000000007E-2</v>
      </c>
      <c r="K19" s="60">
        <f>frac_malaria_risk</f>
        <v>7.0000000000000007E-2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0.34100000000000003</v>
      </c>
      <c r="M24" s="60">
        <f>famplan_unmet_need</f>
        <v>0.34100000000000003</v>
      </c>
      <c r="N24" s="60">
        <f>famplan_unmet_need</f>
        <v>0.34100000000000003</v>
      </c>
      <c r="O24" s="60">
        <f>famplan_unmet_need</f>
        <v>0.34100000000000003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0.42522145823860141</v>
      </c>
      <c r="M25" s="60">
        <f>(1-food_insecure)*(0.49)+food_insecure*(0.7)</f>
        <v>0.60654999999999992</v>
      </c>
      <c r="N25" s="60">
        <f>(1-food_insecure)*(0.49)+food_insecure*(0.7)</f>
        <v>0.60654999999999992</v>
      </c>
      <c r="O25" s="60">
        <f>(1-food_insecure)*(0.49)+food_insecure*(0.7)</f>
        <v>0.60654999999999992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0.18223776781654347</v>
      </c>
      <c r="M26" s="60">
        <f>(1-food_insecure)*(0.21)+food_insecure*(0.3)</f>
        <v>0.25995000000000001</v>
      </c>
      <c r="N26" s="60">
        <f>(1-food_insecure)*(0.21)+food_insecure*(0.3)</f>
        <v>0.25995000000000001</v>
      </c>
      <c r="O26" s="60">
        <f>(1-food_insecure)*(0.21)+food_insecure*(0.3)</f>
        <v>0.25995000000000001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9.3590082721710127E-2</v>
      </c>
      <c r="M27" s="60">
        <f>(1-food_insecure)*(0.3)</f>
        <v>0.13349999999999998</v>
      </c>
      <c r="N27" s="60">
        <f>(1-food_insecure)*(0.3)</f>
        <v>0.13349999999999998</v>
      </c>
      <c r="O27" s="60">
        <f>(1-food_insecure)*(0.3)</f>
        <v>0.13349999999999998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0.29895069122314499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7.0000000000000007E-2</v>
      </c>
      <c r="D34" s="60">
        <f t="shared" si="3"/>
        <v>7.0000000000000007E-2</v>
      </c>
      <c r="E34" s="60">
        <f t="shared" si="3"/>
        <v>7.0000000000000007E-2</v>
      </c>
      <c r="F34" s="60">
        <f t="shared" si="3"/>
        <v>7.0000000000000007E-2</v>
      </c>
      <c r="G34" s="60">
        <f t="shared" si="3"/>
        <v>7.0000000000000007E-2</v>
      </c>
      <c r="H34" s="60">
        <f t="shared" si="3"/>
        <v>7.0000000000000007E-2</v>
      </c>
      <c r="I34" s="60">
        <f t="shared" si="3"/>
        <v>7.0000000000000007E-2</v>
      </c>
      <c r="J34" s="60">
        <f t="shared" si="3"/>
        <v>7.0000000000000007E-2</v>
      </c>
      <c r="K34" s="60">
        <f t="shared" si="3"/>
        <v>7.0000000000000007E-2</v>
      </c>
      <c r="L34" s="60">
        <f t="shared" si="3"/>
        <v>7.0000000000000007E-2</v>
      </c>
      <c r="M34" s="60">
        <f t="shared" si="3"/>
        <v>7.0000000000000007E-2</v>
      </c>
      <c r="N34" s="60">
        <f t="shared" si="3"/>
        <v>7.0000000000000007E-2</v>
      </c>
      <c r="O34" s="60">
        <f t="shared" si="3"/>
        <v>7.0000000000000007E-2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1.56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1.56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1.56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1.56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1.37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1.37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1.37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1.37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1.77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1.77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1.77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1.77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iIqDHxQDNIc95k8WEEMlpv2yK5yRhEl3GZr9d21PG7QnhNwxgtjaWmZN+9widROwyhXiwQ4XZiTM/cZ2Cl95g==" saltValue="b1Xx0XPjIcbtdUQJGdoNkQ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31" zoomScale="85" zoomScaleNormal="85" workbookViewId="0">
      <selection activeCell="D5" sqref="D5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Ea5xq8Dht0iRzVx1fQ1EOJdDm09uSIzQRujIfp/VJ8GNGNECqE8Uut2U6j1omy5Y9ajcKxMUHwzsTWrCb+nAw==" saltValue="Poj67khbkyqhF7WVYd6Cs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topLeftCell="A54" zoomScaleNormal="100" workbookViewId="0">
      <selection activeCell="D5" sqref="D5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zjjr+eUY+zLxtgvRuigrXBCYk8ZjZeKkvy/Wu7lqFGhk7GKsrVngS9i2Jt2gxX9Fn0pC2b9tyB7+BxRGGivEA==" saltValue="vsQDJsypwJz22iUc18xJ6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6"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0.64</v>
      </c>
      <c r="F6" s="90">
        <v>0.64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v>0.44</v>
      </c>
      <c r="F29" s="90">
        <v>0.44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v>0.92</v>
      </c>
      <c r="F52" s="90">
        <v>0.92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xH3qxfpHv3MxEVFpMF959vuuHVMbjUY0YDJlIXIgHOAA25UaRTm/IIjRx7RzEUfWaTP3eP7cZpYIm+m6J8PbA==" saltValue="wm1A0TwV/0DyOIoqtNvf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10" zoomScale="70" zoomScaleNormal="70" workbookViewId="0">
      <selection activeCell="D5" sqref="D5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Evf/7Nn9p0s2t120JFgJzNA1BIMAO9h8EmTziKGX5ZA7K3Y+rQ77oXfzNqKwsdbYQwCY96ujjsdxuDmqt1luA==" saltValue="pZcegXbvW/wKpwHEQP8p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D5" sqref="D5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0.53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0.51</v>
      </c>
      <c r="M14" s="90">
        <v>0.51</v>
      </c>
      <c r="N14" s="90">
        <v>0.51</v>
      </c>
      <c r="O14" s="90"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f t="shared" ref="E19:O19" si="0">0.72</f>
        <v>0.72</v>
      </c>
      <c r="F19" s="90">
        <f t="shared" si="0"/>
        <v>0.72</v>
      </c>
      <c r="G19" s="90">
        <f t="shared" si="0"/>
        <v>0.72</v>
      </c>
      <c r="H19" s="90">
        <f t="shared" si="0"/>
        <v>0.72</v>
      </c>
      <c r="I19" s="90">
        <f t="shared" si="0"/>
        <v>0.72</v>
      </c>
      <c r="J19" s="90">
        <f t="shared" si="0"/>
        <v>0.72</v>
      </c>
      <c r="K19" s="90">
        <f t="shared" si="0"/>
        <v>0.72</v>
      </c>
      <c r="L19" s="90">
        <f t="shared" si="0"/>
        <v>0.72</v>
      </c>
      <c r="M19" s="90">
        <f t="shared" si="0"/>
        <v>0.72</v>
      </c>
      <c r="N19" s="90">
        <f t="shared" si="0"/>
        <v>0.72</v>
      </c>
      <c r="O19" s="90">
        <f t="shared" si="0"/>
        <v>0.72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0.8</v>
      </c>
      <c r="F21" s="90">
        <v>0.8</v>
      </c>
      <c r="G21" s="90">
        <v>0.8</v>
      </c>
      <c r="H21" s="90">
        <v>0.8</v>
      </c>
      <c r="I21" s="90">
        <v>0.8</v>
      </c>
      <c r="J21" s="90">
        <v>0.8</v>
      </c>
      <c r="K21" s="90">
        <v>0.8</v>
      </c>
      <c r="L21" s="90">
        <v>0.8</v>
      </c>
      <c r="M21" s="90">
        <v>0.8</v>
      </c>
      <c r="N21" s="90">
        <v>0.8</v>
      </c>
      <c r="O21" s="90">
        <v>0.8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0.4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f>L32</f>
        <v>0.38</v>
      </c>
      <c r="M37" s="90">
        <f>M32</f>
        <v>0.38</v>
      </c>
      <c r="N37" s="90">
        <f>N32</f>
        <v>0.38</v>
      </c>
      <c r="O37" s="90">
        <f>O32</f>
        <v>0.38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0.54</v>
      </c>
      <c r="F42" s="90">
        <v>0.54</v>
      </c>
      <c r="G42" s="90">
        <v>0.54</v>
      </c>
      <c r="H42" s="90">
        <v>0.54</v>
      </c>
      <c r="I42" s="90">
        <v>0.54</v>
      </c>
      <c r="J42" s="90">
        <v>0.54</v>
      </c>
      <c r="K42" s="90">
        <v>0.54</v>
      </c>
      <c r="L42" s="90">
        <v>0.54</v>
      </c>
      <c r="M42" s="90">
        <v>0.54</v>
      </c>
      <c r="N42" s="90">
        <v>0.54</v>
      </c>
      <c r="O42" s="90">
        <v>0.54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1</v>
      </c>
      <c r="F43" s="90">
        <f t="shared" si="11"/>
        <v>1</v>
      </c>
      <c r="G43" s="90">
        <f t="shared" si="11"/>
        <v>1</v>
      </c>
      <c r="H43" s="90">
        <f t="shared" si="11"/>
        <v>1</v>
      </c>
      <c r="I43" s="90">
        <f t="shared" si="11"/>
        <v>1</v>
      </c>
      <c r="J43" s="90">
        <f t="shared" si="11"/>
        <v>1</v>
      </c>
      <c r="K43" s="90">
        <f t="shared" si="11"/>
        <v>1</v>
      </c>
      <c r="L43" s="90">
        <f t="shared" si="11"/>
        <v>1</v>
      </c>
      <c r="M43" s="90">
        <f t="shared" si="11"/>
        <v>1</v>
      </c>
      <c r="N43" s="90">
        <f t="shared" si="11"/>
        <v>1</v>
      </c>
      <c r="O43" s="90">
        <f t="shared" si="11"/>
        <v>1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0.7</v>
      </c>
      <c r="F44" s="90">
        <v>0.7</v>
      </c>
      <c r="G44" s="90">
        <v>0.7</v>
      </c>
      <c r="H44" s="90">
        <v>0.7</v>
      </c>
      <c r="I44" s="90">
        <v>0.7</v>
      </c>
      <c r="J44" s="90">
        <v>0.7</v>
      </c>
      <c r="K44" s="90">
        <v>0.7</v>
      </c>
      <c r="L44" s="90">
        <v>0.7</v>
      </c>
      <c r="M44" s="90">
        <v>0.7</v>
      </c>
      <c r="N44" s="90">
        <v>0.7</v>
      </c>
      <c r="O44" s="90">
        <v>0.7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0.7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f>L54</f>
        <v>0.7</v>
      </c>
      <c r="M60" s="90">
        <f>M54</f>
        <v>0.7</v>
      </c>
      <c r="N60" s="90">
        <f>N54</f>
        <v>0.7</v>
      </c>
      <c r="O60" s="90">
        <f>O54</f>
        <v>0.7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</v>
      </c>
      <c r="F65" s="90">
        <v>0.97</v>
      </c>
      <c r="G65" s="90">
        <v>0.97</v>
      </c>
      <c r="H65" s="90">
        <v>0.97</v>
      </c>
      <c r="I65" s="90">
        <v>0.97</v>
      </c>
      <c r="J65" s="90">
        <v>0.97</v>
      </c>
      <c r="K65" s="90">
        <v>0.97</v>
      </c>
      <c r="L65" s="90">
        <v>0.97</v>
      </c>
      <c r="M65" s="90">
        <v>0.97</v>
      </c>
      <c r="N65" s="90">
        <v>0.97</v>
      </c>
      <c r="O65" s="90">
        <v>0.97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</v>
      </c>
      <c r="F66" s="90">
        <f t="shared" si="22"/>
        <v>1</v>
      </c>
      <c r="G66" s="90">
        <f t="shared" si="22"/>
        <v>1</v>
      </c>
      <c r="H66" s="90">
        <f t="shared" si="22"/>
        <v>1</v>
      </c>
      <c r="I66" s="90">
        <f t="shared" si="22"/>
        <v>1</v>
      </c>
      <c r="J66" s="90">
        <f t="shared" si="22"/>
        <v>1</v>
      </c>
      <c r="K66" s="90">
        <f t="shared" si="22"/>
        <v>1</v>
      </c>
      <c r="L66" s="90">
        <f t="shared" si="22"/>
        <v>1</v>
      </c>
      <c r="M66" s="90">
        <f t="shared" si="22"/>
        <v>1</v>
      </c>
      <c r="N66" s="90">
        <f t="shared" si="22"/>
        <v>1</v>
      </c>
      <c r="O66" s="90">
        <f t="shared" si="22"/>
        <v>1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0.92</v>
      </c>
      <c r="F67" s="90">
        <v>0.92</v>
      </c>
      <c r="G67" s="90">
        <v>0.92</v>
      </c>
      <c r="H67" s="90">
        <v>0.92</v>
      </c>
      <c r="I67" s="90">
        <v>0.92</v>
      </c>
      <c r="J67" s="90">
        <v>0.92</v>
      </c>
      <c r="K67" s="90">
        <v>0.92</v>
      </c>
      <c r="L67" s="90">
        <v>0.92</v>
      </c>
      <c r="M67" s="90">
        <v>0.92</v>
      </c>
      <c r="N67" s="90">
        <v>0.92</v>
      </c>
      <c r="O67" s="90">
        <f>IF(ISBLANK('Nutritional status distribution'!O$14),0.92,(0.92*'Nutritional status distribution'!O$14/(1-0.92*'Nutritional status distribution'!O$14))
/ ('Nutritional status distribution'!O$14/(1-'Nutritional status distribution'!O$14)))</f>
        <v>0.89958327057287735</v>
      </c>
    </row>
  </sheetData>
  <sheetProtection algorithmName="SHA-512" hashValue="QTNrTNcX0LQnvnw9OcFIuF8iiKsb7nBsadUCrO1kCxqB4CvEkER3v8YCwNBmR8txM/1IAuOQ/zC/vA8HLWjOhA==" saltValue="f5+QlQPEjGE24L/HhPaCM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Ijv20oIFeX8hEAP3JXu7+FjYQdIWvRgXIH4IkxRsMm14MAW5JMg2x9QOPJ7rc+IAMFEDvKO0XCydnz4Atw3VA==" saltValue="eIHIWivrA2mRyU/FI0KAAQ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53" zoomScale="80" zoomScaleNormal="80" workbookViewId="0">
      <selection activeCell="D5" sqref="D5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IF3gzcRwMevsVP9JM+eFJliWIfkjL6RYnVy29HH1zFwKTB/eJc1NVFGROY84dwrfqcI+B8KpOZ1waT1qDgCXQ==" saltValue="0Itsi1W8Rg+oXl6coWpo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SCu+FR+SN+siPEoAiap+3g3Z0SGqFtJklZqGSbEJvGKfBY2J7BHBpfevFvAYPx8Hf15tBeGKZdJ4ehQEpyLRg==" saltValue="A0PmMaoo+OfazXy7x4UxV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2024-03-28T03:04:35Z</dcterms:modified>
</cp:coreProperties>
</file>