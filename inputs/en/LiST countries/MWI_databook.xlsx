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F091D78-9201-41A3-B8B7-5F6E40CF4EA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31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<sst xmlns="http://schemas.openxmlformats.org/spreadsheetml/2006/main" count="2169" uniqueCount="373">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</sst>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3196098</v>
      </c>
    </row>
    <row r="8" spans="1:3" ht="15" customHeight="1" x14ac:dyDescent="0.25">
      <c r="B8" s="5" t="s">
        <v>8</v>
      </c>
      <c r="C8" s="44">
        <v>0.50700000000000001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0.34760960000000002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0.15428596833174099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7">
        <v>3.1847694141973401E-2</v>
      </c>
    </row>
    <row r="31" spans="1:3" ht="14.25" customHeight="1" x14ac:dyDescent="0.25">
      <c r="B31" s="25" t="s">
        <v>28</v>
      </c>
      <c r="C31" s="97">
        <v>5.2301559488866299E-2</v>
      </c>
    </row>
    <row r="32" spans="1:3" ht="14.25" customHeight="1" x14ac:dyDescent="0.25">
      <c r="B32" s="25" t="s">
        <v>29</v>
      </c>
      <c r="C32" s="97">
        <v>0.65437615295561202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98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3.302</v>
      </c>
      <c r="D51" s="12"/>
    </row>
    <row r="52" spans="1:4" ht="15" customHeight="1" x14ac:dyDescent="0.25">
      <c r="B52" s="11" t="s">
        <v>46</v>
      </c>
      <c r="C52" s="98">
        <v>3.302</v>
      </c>
    </row>
    <row r="53" spans="1:4" ht="15.75" customHeight="1" x14ac:dyDescent="0.25">
      <c r="B53" s="11" t="s">
        <v>47</v>
      </c>
      <c r="C53" s="98">
        <v>10.738</v>
      </c>
    </row>
    <row r="54" spans="1:4" ht="15.75" customHeight="1" x14ac:dyDescent="0.25">
      <c r="B54" s="11" t="s">
        <v>48</v>
      </c>
      <c r="C54" s="98">
        <v>9.6460000000000008</v>
      </c>
    </row>
    <row r="55" spans="1:4" ht="15.75" customHeight="1" x14ac:dyDescent="0.25">
      <c r="B55" s="11" t="s">
        <v>49</v>
      </c>
      <c r="C55" s="98">
        <v>3.8566666666666669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0.1557640226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3180496.5</v>
      </c>
      <c r="C2" s="49">
        <v>754660</v>
      </c>
      <c r="D2" s="49">
        <v>1446816</v>
      </c>
      <c r="E2" s="49">
        <v>2702461.0000000005</v>
      </c>
      <c r="F2" s="49">
        <v>2020431.5000000002</v>
      </c>
      <c r="G2" s="17">
        <f t="shared" ref="G2:G13" si="0">C2+D2+E2+F2</f>
        <v>6924368.5</v>
      </c>
      <c r="H2" s="17">
        <f t="shared" ref="H2:H13" si="1">(B2 + stillbirth*B2/(1000-stillbirth))/(1-abortion)</f>
        <v>3673182.6993770655</v>
      </c>
      <c r="I2" s="17">
        <f t="shared" ref="I2:I13" si="2">G2-H2</f>
        <v>3251185.8006229345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674407</v>
      </c>
      <c r="C3" s="50">
        <v>1296125</v>
      </c>
      <c r="D3" s="50">
        <v>1970603.9999999998</v>
      </c>
      <c r="E3" s="50">
        <v>1469991.5</v>
      </c>
      <c r="F3" s="50">
        <v>938961.5</v>
      </c>
      <c r="G3" s="17">
        <f t="shared" si="0"/>
        <v>5675682</v>
      </c>
      <c r="H3" s="17">
        <f t="shared" si="1"/>
        <v>778878.43132001196</v>
      </c>
      <c r="I3" s="17">
        <f t="shared" si="2"/>
        <v>4896803.5686799884</v>
      </c>
    </row>
    <row r="4" spans="1:9" ht="15.75" customHeight="1" x14ac:dyDescent="0.25">
      <c r="A4" s="5">
        <f t="shared" si="3"/>
        <v>2026</v>
      </c>
      <c r="B4" s="49">
        <v>685330</v>
      </c>
      <c r="C4" s="50">
        <v>1328409</v>
      </c>
      <c r="D4" s="50">
        <v>2040112.5</v>
      </c>
      <c r="E4" s="50">
        <v>1506616.5</v>
      </c>
      <c r="F4" s="50">
        <v>1002122</v>
      </c>
      <c r="G4" s="17">
        <f t="shared" si="0"/>
        <v>5877260</v>
      </c>
      <c r="H4" s="17">
        <f t="shared" si="1"/>
        <v>791493.49774919869</v>
      </c>
      <c r="I4" s="17">
        <f t="shared" si="2"/>
        <v>5085766.5022508018</v>
      </c>
    </row>
    <row r="5" spans="1:9" ht="15.75" customHeight="1" x14ac:dyDescent="0.25">
      <c r="A5" s="5">
        <f t="shared" si="3"/>
        <v>2027</v>
      </c>
      <c r="B5" s="49">
        <v>692256</v>
      </c>
      <c r="C5" s="50">
        <v>1353865</v>
      </c>
      <c r="D5" s="50">
        <v>2114912.5</v>
      </c>
      <c r="E5" s="50">
        <v>1543896.4999999998</v>
      </c>
      <c r="F5" s="50">
        <v>1064118.5</v>
      </c>
      <c r="G5" s="17">
        <f t="shared" si="0"/>
        <v>6076792.5</v>
      </c>
      <c r="H5" s="17">
        <f t="shared" si="1"/>
        <v>799492.3945805222</v>
      </c>
      <c r="I5" s="17">
        <f t="shared" si="2"/>
        <v>5277300.1054194774</v>
      </c>
    </row>
    <row r="6" spans="1:9" ht="15.75" customHeight="1" x14ac:dyDescent="0.25">
      <c r="A6" s="5">
        <f t="shared" si="3"/>
        <v>2028</v>
      </c>
      <c r="B6" s="49">
        <v>702654</v>
      </c>
      <c r="C6" s="50">
        <v>1373368.5</v>
      </c>
      <c r="D6" s="50">
        <v>2193092</v>
      </c>
      <c r="E6" s="50">
        <v>1583653</v>
      </c>
      <c r="F6" s="50">
        <v>1123715.5</v>
      </c>
      <c r="G6" s="17">
        <f t="shared" si="0"/>
        <v>6273829</v>
      </c>
      <c r="H6" s="17">
        <f t="shared" si="1"/>
        <v>811501.13400473562</v>
      </c>
      <c r="I6" s="17">
        <f t="shared" si="2"/>
        <v>5462327.8659952646</v>
      </c>
    </row>
    <row r="7" spans="1:9" ht="15.75" customHeight="1" x14ac:dyDescent="0.25">
      <c r="A7" s="5">
        <f t="shared" si="3"/>
        <v>2029</v>
      </c>
      <c r="B7" s="49">
        <v>711469</v>
      </c>
      <c r="C7" s="50">
        <v>1388467</v>
      </c>
      <c r="D7" s="50">
        <v>2270844</v>
      </c>
      <c r="E7" s="50">
        <v>1625936.0000000002</v>
      </c>
      <c r="F7" s="50">
        <v>1180598.5</v>
      </c>
      <c r="G7" s="17">
        <f t="shared" si="0"/>
        <v>6465845.5</v>
      </c>
      <c r="H7" s="17">
        <f t="shared" si="1"/>
        <v>821681.65314538195</v>
      </c>
      <c r="I7" s="17">
        <f t="shared" si="2"/>
        <v>5644163.8468546178</v>
      </c>
    </row>
    <row r="8" spans="1:9" ht="15.75" customHeight="1" x14ac:dyDescent="0.25">
      <c r="A8" s="5">
        <f t="shared" si="3"/>
        <v>2030</v>
      </c>
      <c r="B8" s="49">
        <v>722033</v>
      </c>
      <c r="C8" s="50">
        <v>1399922</v>
      </c>
      <c r="D8" s="50">
        <v>2347211.5</v>
      </c>
      <c r="E8" s="50">
        <v>1671626.4999999998</v>
      </c>
      <c r="F8" s="50">
        <v>1233290.5</v>
      </c>
      <c r="G8" s="17">
        <f t="shared" si="0"/>
        <v>6652050.5</v>
      </c>
      <c r="H8" s="17">
        <f t="shared" si="1"/>
        <v>833882.10739402496</v>
      </c>
      <c r="I8" s="17">
        <f t="shared" si="2"/>
        <v>5818168.3926059753</v>
      </c>
    </row>
    <row r="9" spans="1:9" ht="15.75" customHeight="1" x14ac:dyDescent="0.25">
      <c r="A9" s="5">
        <f t="shared" si="3"/>
        <v>2031</v>
      </c>
      <c r="B9" s="49">
        <v>727191</v>
      </c>
      <c r="C9" s="50">
        <v>1407441</v>
      </c>
      <c r="D9" s="50">
        <v>2421434</v>
      </c>
      <c r="E9" s="50">
        <v>1720760.4999999998</v>
      </c>
      <c r="F9" s="50">
        <v>1280025.9999999998</v>
      </c>
      <c r="G9" s="17">
        <f t="shared" si="0"/>
        <v>6829661.5</v>
      </c>
      <c r="H9" s="17">
        <f t="shared" si="1"/>
        <v>839839.12585431465</v>
      </c>
      <c r="I9" s="17">
        <f t="shared" si="2"/>
        <v>5989822.3741456857</v>
      </c>
    </row>
    <row r="10" spans="1:9" ht="15.75" customHeight="1" x14ac:dyDescent="0.25">
      <c r="A10" s="5">
        <f t="shared" si="3"/>
        <v>2032</v>
      </c>
      <c r="B10" s="49">
        <v>733783</v>
      </c>
      <c r="C10" s="50">
        <v>1411597</v>
      </c>
      <c r="D10" s="50">
        <v>2490941.5</v>
      </c>
      <c r="E10" s="50">
        <v>1771908</v>
      </c>
      <c r="F10" s="50">
        <v>1321773.0000000002</v>
      </c>
      <c r="G10" s="17">
        <f t="shared" si="0"/>
        <v>6996219.5</v>
      </c>
      <c r="H10" s="17">
        <f t="shared" si="1"/>
        <v>847452.28321961709</v>
      </c>
      <c r="I10" s="17">
        <f t="shared" si="2"/>
        <v>6148767.2167803831</v>
      </c>
    </row>
    <row r="11" spans="1:9" ht="15.75" customHeight="1" x14ac:dyDescent="0.25">
      <c r="A11" s="5">
        <f t="shared" si="3"/>
        <v>2033</v>
      </c>
      <c r="B11" s="49">
        <v>739362</v>
      </c>
      <c r="C11" s="50">
        <v>1415414.5</v>
      </c>
      <c r="D11" s="50">
        <v>2554418</v>
      </c>
      <c r="E11" s="50">
        <v>1826199.5000000002</v>
      </c>
      <c r="F11" s="50">
        <v>1360366</v>
      </c>
      <c r="G11" s="17">
        <f t="shared" si="0"/>
        <v>7156398</v>
      </c>
      <c r="H11" s="17">
        <f t="shared" si="1"/>
        <v>853895.51819246646</v>
      </c>
      <c r="I11" s="17">
        <f t="shared" si="2"/>
        <v>6302502.4818075337</v>
      </c>
    </row>
    <row r="12" spans="1:9" ht="15.75" customHeight="1" x14ac:dyDescent="0.25">
      <c r="A12" s="5">
        <f t="shared" si="3"/>
        <v>2034</v>
      </c>
      <c r="B12" s="49">
        <v>745029</v>
      </c>
      <c r="C12" s="50">
        <v>1421385</v>
      </c>
      <c r="D12" s="50">
        <v>2612433.5</v>
      </c>
      <c r="E12" s="50">
        <v>1885400.5</v>
      </c>
      <c r="F12" s="50">
        <v>1397688.5</v>
      </c>
      <c r="G12" s="17">
        <f t="shared" si="0"/>
        <v>7316907.5</v>
      </c>
      <c r="H12" s="17">
        <f t="shared" si="1"/>
        <v>860440.38512043504</v>
      </c>
      <c r="I12" s="17">
        <f t="shared" si="2"/>
        <v>6456467.1148795653</v>
      </c>
    </row>
    <row r="13" spans="1:9" ht="15.75" customHeight="1" x14ac:dyDescent="0.25">
      <c r="A13" s="5">
        <f t="shared" si="3"/>
        <v>2035</v>
      </c>
      <c r="B13" s="49">
        <v>750207</v>
      </c>
      <c r="C13" s="50">
        <v>1431135.5</v>
      </c>
      <c r="D13" s="50">
        <v>2662721</v>
      </c>
      <c r="E13" s="50">
        <v>1950141.9999999998</v>
      </c>
      <c r="F13" s="50">
        <v>1434725.5</v>
      </c>
      <c r="G13" s="17">
        <f t="shared" si="0"/>
        <v>7478724</v>
      </c>
      <c r="H13" s="17">
        <f t="shared" si="1"/>
        <v>866420.50175234268</v>
      </c>
      <c r="I13" s="17">
        <f t="shared" si="2"/>
        <v>6612303.498247657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99">
        <v>5.3933894606610487E-2</v>
      </c>
    </row>
    <row r="5" spans="1:8" ht="15.75" customHeight="1" x14ac:dyDescent="0.25">
      <c r="B5" s="19" t="s">
        <v>70</v>
      </c>
      <c r="C5" s="99">
        <v>7.7123692287630718E-2</v>
      </c>
    </row>
    <row r="6" spans="1:8" ht="15.75" customHeight="1" x14ac:dyDescent="0.25">
      <c r="B6" s="19" t="s">
        <v>71</v>
      </c>
      <c r="C6" s="99">
        <v>0.244385075561493</v>
      </c>
    </row>
    <row r="7" spans="1:8" ht="15.75" customHeight="1" x14ac:dyDescent="0.25">
      <c r="B7" s="19" t="s">
        <v>72</v>
      </c>
      <c r="C7" s="99">
        <v>0.41540115845988412</v>
      </c>
    </row>
    <row r="8" spans="1:8" ht="15.75" customHeight="1" x14ac:dyDescent="0.25">
      <c r="B8" s="19" t="s">
        <v>73</v>
      </c>
      <c r="C8" s="99">
        <v>1.690199830980013E-3</v>
      </c>
    </row>
    <row r="9" spans="1:8" ht="15.75" customHeight="1" x14ac:dyDescent="0.25">
      <c r="B9" s="19" t="s">
        <v>74</v>
      </c>
      <c r="C9" s="99">
        <v>8.066139193386071E-2</v>
      </c>
    </row>
    <row r="10" spans="1:8" ht="15.75" customHeight="1" x14ac:dyDescent="0.25">
      <c r="B10" s="19" t="s">
        <v>75</v>
      </c>
      <c r="C10" s="99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99">
        <v>0.20191777974539041</v>
      </c>
      <c r="D15" s="99">
        <v>0.20191777974539041</v>
      </c>
      <c r="E15" s="99">
        <v>0.20191777974539041</v>
      </c>
      <c r="F15" s="99">
        <v>0.20191777974539041</v>
      </c>
    </row>
    <row r="16" spans="1:8" ht="15.75" customHeight="1" x14ac:dyDescent="0.25">
      <c r="B16" s="19" t="s">
        <v>83</v>
      </c>
      <c r="C16" s="99">
        <v>2.0552870920946771E-2</v>
      </c>
      <c r="D16" s="99">
        <v>2.0552870920946771E-2</v>
      </c>
      <c r="E16" s="99">
        <v>2.0552870920946771E-2</v>
      </c>
      <c r="F16" s="99">
        <v>2.0552870920946771E-2</v>
      </c>
    </row>
    <row r="17" spans="1:8" ht="15.75" customHeight="1" x14ac:dyDescent="0.25">
      <c r="B17" s="19" t="s">
        <v>84</v>
      </c>
      <c r="C17" s="99">
        <v>3.5305723411494921E-4</v>
      </c>
      <c r="D17" s="99">
        <v>3.5305723411494921E-4</v>
      </c>
      <c r="E17" s="99">
        <v>3.5305723411494921E-4</v>
      </c>
      <c r="F17" s="99">
        <v>3.5305723411494921E-4</v>
      </c>
    </row>
    <row r="18" spans="1:8" ht="15.75" customHeight="1" x14ac:dyDescent="0.25">
      <c r="B18" s="19" t="s">
        <v>85</v>
      </c>
      <c r="C18" s="99">
        <v>0.1866708259468263</v>
      </c>
      <c r="D18" s="99">
        <v>0.1866708259468263</v>
      </c>
      <c r="E18" s="99">
        <v>0.1866708259468263</v>
      </c>
      <c r="F18" s="99">
        <v>0.1866708259468263</v>
      </c>
    </row>
    <row r="19" spans="1:8" ht="15.75" customHeight="1" x14ac:dyDescent="0.25">
      <c r="B19" s="19" t="s">
        <v>86</v>
      </c>
      <c r="C19" s="99">
        <v>1.9600096966901188E-2</v>
      </c>
      <c r="D19" s="99">
        <v>1.9600096966901188E-2</v>
      </c>
      <c r="E19" s="99">
        <v>1.9600096966901188E-2</v>
      </c>
      <c r="F19" s="99">
        <v>1.9600096966901188E-2</v>
      </c>
    </row>
    <row r="20" spans="1:8" ht="15.75" customHeight="1" x14ac:dyDescent="0.25">
      <c r="B20" s="19" t="s">
        <v>87</v>
      </c>
      <c r="C20" s="99">
        <v>0.14215586047956941</v>
      </c>
      <c r="D20" s="99">
        <v>0.14215586047956941</v>
      </c>
      <c r="E20" s="99">
        <v>0.14215586047956941</v>
      </c>
      <c r="F20" s="99">
        <v>0.14215586047956941</v>
      </c>
    </row>
    <row r="21" spans="1:8" ht="15.75" customHeight="1" x14ac:dyDescent="0.25">
      <c r="B21" s="19" t="s">
        <v>88</v>
      </c>
      <c r="C21" s="99">
        <v>0.11798716773771729</v>
      </c>
      <c r="D21" s="99">
        <v>0.11798716773771729</v>
      </c>
      <c r="E21" s="99">
        <v>0.11798716773771729</v>
      </c>
      <c r="F21" s="99">
        <v>0.11798716773771729</v>
      </c>
    </row>
    <row r="22" spans="1:8" ht="15.75" customHeight="1" x14ac:dyDescent="0.25">
      <c r="B22" s="19" t="s">
        <v>89</v>
      </c>
      <c r="C22" s="99">
        <v>0.1678329481431616</v>
      </c>
      <c r="D22" s="99">
        <v>0.1678329481431616</v>
      </c>
      <c r="E22" s="99">
        <v>0.1678329481431616</v>
      </c>
      <c r="F22" s="99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99">
        <v>8.1848189999999994E-3</v>
      </c>
    </row>
    <row r="28" spans="1:8" ht="15.75" customHeight="1" x14ac:dyDescent="0.25">
      <c r="B28" s="19" t="s">
        <v>93</v>
      </c>
      <c r="C28" s="99">
        <v>0.14548327699999999</v>
      </c>
    </row>
    <row r="29" spans="1:8" ht="15.75" customHeight="1" x14ac:dyDescent="0.25">
      <c r="B29" s="19" t="s">
        <v>94</v>
      </c>
      <c r="C29" s="99">
        <v>0.157612682</v>
      </c>
    </row>
    <row r="30" spans="1:8" ht="15.75" customHeight="1" x14ac:dyDescent="0.25">
      <c r="B30" s="19" t="s">
        <v>95</v>
      </c>
      <c r="C30" s="99">
        <v>9.9204118000000008E-2</v>
      </c>
    </row>
    <row r="31" spans="1:8" ht="15.75" customHeight="1" x14ac:dyDescent="0.25">
      <c r="B31" s="19" t="s">
        <v>96</v>
      </c>
      <c r="C31" s="99">
        <v>0.10218857200000001</v>
      </c>
    </row>
    <row r="32" spans="1:8" ht="15.75" customHeight="1" x14ac:dyDescent="0.25">
      <c r="B32" s="19" t="s">
        <v>97</v>
      </c>
      <c r="C32" s="99">
        <v>1.7390224999999999E-2</v>
      </c>
    </row>
    <row r="33" spans="2:3" ht="15.75" customHeight="1" x14ac:dyDescent="0.25">
      <c r="B33" s="19" t="s">
        <v>98</v>
      </c>
      <c r="C33" s="99">
        <v>7.9143570999999996E-2</v>
      </c>
    </row>
    <row r="34" spans="2:3" ht="15.75" customHeight="1" x14ac:dyDescent="0.25">
      <c r="B34" s="19" t="s">
        <v>99</v>
      </c>
      <c r="C34" s="99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9.0194700000000072E-2</v>
      </c>
      <c r="D5" s="52">
        <f t="shared" si="0"/>
        <v>6.6924899999999954E-2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645.15869206718503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0.36218000000000006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0.64637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1.8114737089979873E-2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95733.041259999998</v>
      </c>
      <c r="C22" s="107">
        <v>95005.777730000002</v>
      </c>
      <c r="D22" s="107">
        <v>94570.734070000006</v>
      </c>
      <c r="E22" s="107">
        <v>93950.255850000001</v>
      </c>
      <c r="F22" s="107">
        <v>93054.00606</v>
      </c>
      <c r="G22" s="107">
        <v>91942.383979999999</v>
      </c>
      <c r="H22" s="107">
        <v>90416.110249999998</v>
      </c>
      <c r="I22" s="107">
        <v>88298.584759999998</v>
      </c>
      <c r="J22" s="107">
        <v>85342.315889999998</v>
      </c>
      <c r="K22" s="107">
        <v>81523.667360000007</v>
      </c>
      <c r="L22" s="107">
        <v>76467.642040000006</v>
      </c>
      <c r="M22" s="107">
        <v>70317.297659999997</v>
      </c>
      <c r="N22" s="107">
        <v>62424.73487</v>
      </c>
      <c r="O22" s="107">
        <v>52726.155250000003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0.33427040000000002</v>
      </c>
      <c r="C10" s="96">
        <v>0.95</v>
      </c>
      <c r="D10" s="56">
        <v>14.13040526178168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14.13040526178168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14.13040526178168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14.13040526178168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0.36680000000000001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14.13040526178168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0.75737939999999992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3.1508066666666702E-2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0.51400000000000001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0.56868370000000001</v>
      </c>
      <c r="C19" s="96">
        <v>0.95</v>
      </c>
      <c r="D19" s="56">
        <v>0.80800494022236113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0.74117850000000007</v>
      </c>
      <c r="C23" s="96">
        <v>0.95</v>
      </c>
      <c r="D23" s="56">
        <v>4.621869686333798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0.93888883792254008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2.1000000000000001E-2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0.513741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0.17305509999999999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7.1500000000000008E-2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0.77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0.15307589999999999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0.88163790000000009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1.8209000000000001E-3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0.20602480000000001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0.24399999999999999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3.302</v>
      </c>
      <c r="C2" s="21">
        <f>'Baseline year population inputs'!C52</f>
        <v>3.302</v>
      </c>
      <c r="D2" s="21">
        <f>'Baseline year population inputs'!C53</f>
        <v>10.738</v>
      </c>
      <c r="E2" s="21">
        <f>'Baseline year population inputs'!C54</f>
        <v>9.6460000000000008</v>
      </c>
      <c r="F2" s="21">
        <f>'Baseline year population inputs'!C55</f>
        <v>3.8566666666666669</v>
      </c>
    </row>
    <row r="3" spans="1:6" ht="15.75" customHeight="1" x14ac:dyDescent="0.25">
      <c r="A3" s="3" t="s">
        <v>197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198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0.50700000000000001</v>
      </c>
      <c r="F2" s="60">
        <f>food_insecure</f>
        <v>0.50700000000000001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0.50700000000000001</v>
      </c>
      <c r="F5" s="60">
        <f>food_insecure</f>
        <v>0.50700000000000001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7.2043636363636365E-2</v>
      </c>
      <c r="D7" s="60">
        <f>diarrhoea_1_5mo*frac_diarrhea_severe</f>
        <v>7.2043636363636365E-2</v>
      </c>
      <c r="E7" s="60">
        <f>diarrhoea_6_11mo*frac_diarrhea_severe</f>
        <v>0.23428363636363636</v>
      </c>
      <c r="F7" s="60">
        <f>diarrhoea_12_23mo*frac_diarrhea_severe</f>
        <v>0.21045818181818185</v>
      </c>
      <c r="G7" s="60">
        <f>diarrhoea_24_59mo*frac_diarrhea_severe</f>
        <v>8.4145454545454551E-2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0.50700000000000001</v>
      </c>
      <c r="F8" s="60">
        <f>food_insecure</f>
        <v>0.50700000000000001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0.50700000000000001</v>
      </c>
      <c r="F9" s="60">
        <f>food_insecure</f>
        <v>0.50700000000000001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7.2043636363636365E-2</v>
      </c>
      <c r="D12" s="60">
        <f>diarrhoea_1_5mo*frac_diarrhea_severe</f>
        <v>7.2043636363636365E-2</v>
      </c>
      <c r="E12" s="60">
        <f>diarrhoea_6_11mo*frac_diarrhea_severe</f>
        <v>0.23428363636363636</v>
      </c>
      <c r="F12" s="60">
        <f>diarrhoea_12_23mo*frac_diarrhea_severe</f>
        <v>0.21045818181818185</v>
      </c>
      <c r="G12" s="60">
        <f>diarrhoea_24_59mo*frac_diarrhea_severe</f>
        <v>8.4145454545454551E-2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0.50700000000000001</v>
      </c>
      <c r="I15" s="60">
        <f t="shared" si="0"/>
        <v>0.50700000000000001</v>
      </c>
      <c r="J15" s="60">
        <f t="shared" si="0"/>
        <v>0.50700000000000001</v>
      </c>
      <c r="K15" s="60">
        <f t="shared" si="0"/>
        <v>0.50700000000000001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0.50700000000000001</v>
      </c>
      <c r="I16" s="60">
        <f t="shared" si="0"/>
        <v>0.50700000000000001</v>
      </c>
      <c r="J16" s="60">
        <f t="shared" si="0"/>
        <v>0.50700000000000001</v>
      </c>
      <c r="K16" s="60">
        <f t="shared" si="0"/>
        <v>0.50700000000000001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0.15428596833174099</v>
      </c>
      <c r="M24" s="60">
        <f>famplan_unmet_need</f>
        <v>0.15428596833174099</v>
      </c>
      <c r="N24" s="60">
        <f>famplan_unmet_need</f>
        <v>0.15428596833174099</v>
      </c>
      <c r="O24" s="60">
        <f>famplan_unmet_need</f>
        <v>0.15428596833174099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0.38913130188800005</v>
      </c>
      <c r="M25" s="60">
        <f>(1-food_insecure)*(0.49)+food_insecure*(0.7)</f>
        <v>0.59646999999999994</v>
      </c>
      <c r="N25" s="60">
        <f>(1-food_insecure)*(0.49)+food_insecure*(0.7)</f>
        <v>0.59646999999999994</v>
      </c>
      <c r="O25" s="60">
        <f>(1-food_insecure)*(0.49)+food_insecure*(0.7)</f>
        <v>0.59646999999999994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0.16677055795199999</v>
      </c>
      <c r="M26" s="60">
        <f>(1-food_insecure)*(0.21)+food_insecure*(0.3)</f>
        <v>0.25562999999999997</v>
      </c>
      <c r="N26" s="60">
        <f>(1-food_insecure)*(0.21)+food_insecure*(0.3)</f>
        <v>0.25562999999999997</v>
      </c>
      <c r="O26" s="60">
        <f>(1-food_insecure)*(0.21)+food_insecure*(0.3)</f>
        <v>0.25562999999999997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9.6488540160000011E-2</v>
      </c>
      <c r="M27" s="60">
        <f>(1-food_insecure)*(0.3)</f>
        <v>0.1479</v>
      </c>
      <c r="N27" s="60">
        <f>(1-food_insecure)*(0.3)</f>
        <v>0.1479</v>
      </c>
      <c r="O27" s="60">
        <f>(1-food_insecure)*(0.3)</f>
        <v>0.1479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0.34760960000000002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0.77</v>
      </c>
      <c r="D34" s="60">
        <f t="shared" si="4"/>
        <v>0.77</v>
      </c>
      <c r="E34" s="60">
        <f t="shared" si="4"/>
        <v>0.77</v>
      </c>
      <c r="F34" s="60">
        <f t="shared" si="4"/>
        <v>0.77</v>
      </c>
      <c r="G34" s="60">
        <f t="shared" si="4"/>
        <v>0.77</v>
      </c>
      <c r="H34" s="60">
        <f t="shared" si="4"/>
        <v>0.77</v>
      </c>
      <c r="I34" s="60">
        <f t="shared" si="4"/>
        <v>0.77</v>
      </c>
      <c r="J34" s="60">
        <f t="shared" si="4"/>
        <v>0.77</v>
      </c>
      <c r="K34" s="60">
        <f t="shared" si="4"/>
        <v>0.77</v>
      </c>
      <c r="L34" s="60">
        <f t="shared" si="4"/>
        <v>0.77</v>
      </c>
      <c r="M34" s="60">
        <f t="shared" si="4"/>
        <v>0.77</v>
      </c>
      <c r="N34" s="60">
        <f t="shared" si="4"/>
        <v>0.77</v>
      </c>
      <c r="O34" s="60">
        <f t="shared" si="4"/>
        <v>0.77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