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9F852040-4B35-4859-B7FC-3617ED03C8D7}" xr6:coauthVersionLast="47" xr6:coauthVersionMax="47" xr10:uidLastSave="{00000000-0000-0000-0000-000000000000}"/>
  <bookViews>
    <workbookView xWindow="20" yWindow="20" windowWidth="19180" windowHeight="10180" tabRatio="961" firstSheet="6" activeTab="9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52" i="27"/>
  <c r="F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D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F112" i="27"/>
  <c r="E112" i="27"/>
  <c r="D112" i="27"/>
  <c r="H97" i="27"/>
  <c r="G97" i="27"/>
  <c r="G152" i="27" s="1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G112" i="27" s="1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I40" i="2"/>
  <c r="H40" i="2"/>
  <c r="G40" i="2"/>
  <c r="H39" i="2"/>
  <c r="I39" i="2" s="1"/>
  <c r="G39" i="2"/>
  <c r="A39" i="2"/>
  <c r="I38" i="2"/>
  <c r="H38" i="2"/>
  <c r="G38" i="2"/>
  <c r="A34" i="2"/>
  <c r="A33" i="2"/>
  <c r="A31" i="2"/>
  <c r="A26" i="2"/>
  <c r="A25" i="2"/>
  <c r="A23" i="2"/>
  <c r="A18" i="2"/>
  <c r="A17" i="2"/>
  <c r="A15" i="2"/>
  <c r="H13" i="2"/>
  <c r="I13" i="2" s="1"/>
  <c r="G13" i="2"/>
  <c r="I12" i="2"/>
  <c r="H12" i="2"/>
  <c r="G12" i="2"/>
  <c r="H11" i="2"/>
  <c r="I11" i="2" s="1"/>
  <c r="G11" i="2"/>
  <c r="I10" i="2"/>
  <c r="H10" i="2"/>
  <c r="G10" i="2"/>
  <c r="H9" i="2"/>
  <c r="I9" i="2" s="1"/>
  <c r="G9" i="2"/>
  <c r="I8" i="2"/>
  <c r="H8" i="2"/>
  <c r="G8" i="2"/>
  <c r="H7" i="2"/>
  <c r="I7" i="2" s="1"/>
  <c r="G7" i="2"/>
  <c r="I6" i="2"/>
  <c r="H6" i="2"/>
  <c r="G6" i="2"/>
  <c r="H5" i="2"/>
  <c r="I5" i="2" s="1"/>
  <c r="G5" i="2"/>
  <c r="I4" i="2"/>
  <c r="H4" i="2"/>
  <c r="G4" i="2"/>
  <c r="H3" i="2"/>
  <c r="I3" i="2" s="1"/>
  <c r="G3" i="2"/>
  <c r="A3" i="2"/>
  <c r="I2" i="2"/>
  <c r="H2" i="2"/>
  <c r="G2" i="2"/>
  <c r="A2" i="2"/>
  <c r="A40" i="2" s="1"/>
  <c r="C33" i="1"/>
  <c r="C20" i="1"/>
  <c r="A16" i="2" l="1"/>
  <c r="A24" i="2"/>
  <c r="A32" i="2"/>
  <c r="A19" i="2"/>
  <c r="A27" i="2"/>
  <c r="A35" i="2"/>
  <c r="A20" i="2"/>
  <c r="A28" i="2"/>
  <c r="A36" i="2"/>
  <c r="A21" i="2"/>
  <c r="A29" i="2"/>
  <c r="A37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<sst xmlns="http://schemas.openxmlformats.org/spreadsheetml/2006/main" count="2101" uniqueCount="341">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</sst>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3244306.5</v>
      </c>
    </row>
    <row r="8" spans="1:3" ht="15" customHeight="1" x14ac:dyDescent="0.25">
      <c r="B8" s="5" t="s">
        <v>8</v>
      </c>
      <c r="C8" s="44">
        <v>0.70299999999999996</v>
      </c>
    </row>
    <row r="9" spans="1:3" ht="15" customHeight="1" x14ac:dyDescent="0.25">
      <c r="B9" s="5" t="s">
        <v>9</v>
      </c>
      <c r="C9" s="45">
        <v>0.77</v>
      </c>
    </row>
    <row r="10" spans="1:3" ht="15" customHeight="1" x14ac:dyDescent="0.25">
      <c r="B10" s="5" t="s">
        <v>10</v>
      </c>
      <c r="C10" s="45">
        <v>0.307979602813721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0.254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0.15459999999999999</v>
      </c>
    </row>
    <row r="24" spans="1:3" ht="15" customHeight="1" x14ac:dyDescent="0.25">
      <c r="B24" s="15" t="s">
        <v>22</v>
      </c>
      <c r="C24" s="45">
        <v>0.46519999999999989</v>
      </c>
    </row>
    <row r="25" spans="1:3" ht="15" customHeight="1" x14ac:dyDescent="0.25">
      <c r="B25" s="15" t="s">
        <v>23</v>
      </c>
      <c r="C25" s="45">
        <v>0.30449999999999999</v>
      </c>
    </row>
    <row r="26" spans="1:3" ht="15" customHeight="1" x14ac:dyDescent="0.25">
      <c r="B26" s="15" t="s">
        <v>24</v>
      </c>
      <c r="C26" s="45">
        <v>7.5700000000000003E-2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0.26147459341354901</v>
      </c>
    </row>
    <row r="30" spans="1:3" ht="14.25" customHeight="1" x14ac:dyDescent="0.25">
      <c r="B30" s="25" t="s">
        <v>27</v>
      </c>
      <c r="C30" s="99">
        <v>3.1847694141973401E-2</v>
      </c>
    </row>
    <row r="31" spans="1:3" ht="14.25" customHeight="1" x14ac:dyDescent="0.25">
      <c r="B31" s="25" t="s">
        <v>28</v>
      </c>
      <c r="C31" s="99">
        <v>5.2301559488866299E-2</v>
      </c>
    </row>
    <row r="32" spans="1:3" ht="14.25" customHeight="1" x14ac:dyDescent="0.25">
      <c r="B32" s="25" t="s">
        <v>29</v>
      </c>
      <c r="C32" s="99">
        <v>0.65437615295561202</v>
      </c>
    </row>
    <row r="33" spans="1:5" ht="13" customHeight="1" x14ac:dyDescent="0.25">
      <c r="B33" s="27" t="s">
        <v>30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19.29918</v>
      </c>
    </row>
    <row r="38" spans="1:5" ht="15" customHeight="1" x14ac:dyDescent="0.25">
      <c r="B38" s="11" t="s">
        <v>34</v>
      </c>
      <c r="C38" s="43">
        <v>31.23901</v>
      </c>
      <c r="D38" s="12"/>
      <c r="E38" s="13"/>
    </row>
    <row r="39" spans="1:5" ht="15" customHeight="1" x14ac:dyDescent="0.25">
      <c r="B39" s="11" t="s">
        <v>35</v>
      </c>
      <c r="C39" s="43">
        <v>41.899279999999997</v>
      </c>
      <c r="D39" s="12"/>
      <c r="E39" s="12"/>
    </row>
    <row r="40" spans="1:5" ht="15" customHeight="1" x14ac:dyDescent="0.25">
      <c r="B40" s="11" t="s">
        <v>36</v>
      </c>
      <c r="C40" s="100">
        <v>3.81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16.057500000000001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1.25431E-2</v>
      </c>
      <c r="D45" s="12"/>
    </row>
    <row r="46" spans="1:5" ht="15.75" customHeight="1" x14ac:dyDescent="0.25">
      <c r="B46" s="11" t="s">
        <v>41</v>
      </c>
      <c r="C46" s="45">
        <v>0.1325692</v>
      </c>
      <c r="D46" s="12"/>
    </row>
    <row r="47" spans="1:5" ht="15.75" customHeight="1" x14ac:dyDescent="0.25">
      <c r="B47" s="11" t="s">
        <v>42</v>
      </c>
      <c r="C47" s="45">
        <v>0.15164759999999999</v>
      </c>
      <c r="D47" s="12"/>
      <c r="E47" s="13"/>
    </row>
    <row r="48" spans="1:5" ht="15" customHeight="1" x14ac:dyDescent="0.25">
      <c r="B48" s="11" t="s">
        <v>43</v>
      </c>
      <c r="C48" s="46">
        <v>0.70324010000000003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3.3</v>
      </c>
      <c r="D51" s="12"/>
    </row>
    <row r="52" spans="1:4" ht="15" customHeight="1" x14ac:dyDescent="0.25">
      <c r="B52" s="11" t="s">
        <v>46</v>
      </c>
      <c r="C52" s="100">
        <v>3.3</v>
      </c>
    </row>
    <row r="53" spans="1:4" ht="15.75" customHeight="1" x14ac:dyDescent="0.25">
      <c r="B53" s="11" t="s">
        <v>47</v>
      </c>
      <c r="C53" s="100">
        <v>3.3</v>
      </c>
    </row>
    <row r="54" spans="1:4" ht="15.75" customHeight="1" x14ac:dyDescent="0.25">
      <c r="B54" s="11" t="s">
        <v>48</v>
      </c>
      <c r="C54" s="100">
        <v>3.3</v>
      </c>
    </row>
    <row r="55" spans="1:4" ht="15.75" customHeight="1" x14ac:dyDescent="0.25">
      <c r="B55" s="11" t="s">
        <v>49</v>
      </c>
      <c r="C55" s="100">
        <v>3.3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0.49510700000000002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0.14464293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687950</v>
      </c>
      <c r="C2" s="49">
        <v>1578030</v>
      </c>
      <c r="D2" s="49">
        <v>1963398</v>
      </c>
      <c r="E2" s="49">
        <v>1410655</v>
      </c>
      <c r="F2" s="49">
        <v>831126.5</v>
      </c>
      <c r="G2" s="17">
        <f t="shared" ref="G2:G13" si="0">C2+D2+E2+F2</f>
        <v>5783209.5</v>
      </c>
      <c r="H2" s="17">
        <f t="shared" ref="H2:H13" si="1">(B2 + stillbirth*B2/(1000-stillbirth))/(1-abortion)</f>
        <v>794519.35823116044</v>
      </c>
      <c r="I2" s="17">
        <f t="shared" ref="I2:I13" si="2">G2-H2</f>
        <v>4988690.1417688392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698306</v>
      </c>
      <c r="C3" s="50">
        <v>1607686</v>
      </c>
      <c r="D3" s="50">
        <v>2042677</v>
      </c>
      <c r="E3" s="50">
        <v>1438951.5</v>
      </c>
      <c r="F3" s="50">
        <v>887830.5</v>
      </c>
      <c r="G3" s="17">
        <f t="shared" si="0"/>
        <v>5977145</v>
      </c>
      <c r="H3" s="17">
        <f t="shared" si="1"/>
        <v>806479.59149497608</v>
      </c>
      <c r="I3" s="17">
        <f t="shared" si="2"/>
        <v>5170665.4085050244</v>
      </c>
    </row>
    <row r="4" spans="1:9" ht="15.75" customHeight="1" x14ac:dyDescent="0.25">
      <c r="A4" s="5">
        <f t="shared" si="3"/>
        <v>2026</v>
      </c>
      <c r="B4" s="49">
        <v>709710</v>
      </c>
      <c r="C4" s="50">
        <v>1631297.5</v>
      </c>
      <c r="D4" s="50">
        <v>2124874.5</v>
      </c>
      <c r="E4" s="50">
        <v>1471056</v>
      </c>
      <c r="F4" s="50">
        <v>941192.00000000012</v>
      </c>
      <c r="G4" s="17">
        <f t="shared" si="0"/>
        <v>6168420</v>
      </c>
      <c r="H4" s="17">
        <f t="shared" si="1"/>
        <v>819650.16895157634</v>
      </c>
      <c r="I4" s="17">
        <f t="shared" si="2"/>
        <v>5348769.8310484234</v>
      </c>
    </row>
    <row r="5" spans="1:9" ht="15.75" customHeight="1" x14ac:dyDescent="0.25">
      <c r="A5" s="5">
        <f t="shared" si="3"/>
        <v>2027</v>
      </c>
      <c r="B5" s="49">
        <v>717845</v>
      </c>
      <c r="C5" s="50">
        <v>1650578</v>
      </c>
      <c r="D5" s="50">
        <v>2207309.5</v>
      </c>
      <c r="E5" s="50">
        <v>1508576.5</v>
      </c>
      <c r="F5" s="50">
        <v>989544.5</v>
      </c>
      <c r="G5" s="17">
        <f t="shared" si="0"/>
        <v>6356008.5</v>
      </c>
      <c r="H5" s="17">
        <f t="shared" si="1"/>
        <v>829045.35025720962</v>
      </c>
      <c r="I5" s="17">
        <f t="shared" si="2"/>
        <v>5526963.1497427905</v>
      </c>
    </row>
    <row r="6" spans="1:9" ht="15.75" customHeight="1" x14ac:dyDescent="0.25">
      <c r="A6" s="5">
        <f t="shared" si="3"/>
        <v>2028</v>
      </c>
      <c r="B6" s="49">
        <v>727908</v>
      </c>
      <c r="C6" s="50">
        <v>1666904.5</v>
      </c>
      <c r="D6" s="50">
        <v>2287016.5</v>
      </c>
      <c r="E6" s="50">
        <v>1550820.5</v>
      </c>
      <c r="F6" s="50">
        <v>1031364</v>
      </c>
      <c r="G6" s="17">
        <f t="shared" si="0"/>
        <v>6536105.5</v>
      </c>
      <c r="H6" s="17">
        <f t="shared" si="1"/>
        <v>840667.19530682114</v>
      </c>
      <c r="I6" s="17">
        <f t="shared" si="2"/>
        <v>5695438.3046931792</v>
      </c>
    </row>
    <row r="7" spans="1:9" ht="15.75" customHeight="1" x14ac:dyDescent="0.25">
      <c r="A7" s="5">
        <f t="shared" si="3"/>
        <v>2029</v>
      </c>
      <c r="B7" s="49">
        <v>736141</v>
      </c>
      <c r="C7" s="50">
        <v>1680324</v>
      </c>
      <c r="D7" s="50">
        <v>2362908</v>
      </c>
      <c r="E7" s="50">
        <v>1597427</v>
      </c>
      <c r="F7" s="50">
        <v>1068222.5</v>
      </c>
      <c r="G7" s="17">
        <f t="shared" si="0"/>
        <v>6708881.5</v>
      </c>
      <c r="H7" s="17">
        <f t="shared" si="1"/>
        <v>850175.55765338289</v>
      </c>
      <c r="I7" s="17">
        <f t="shared" si="2"/>
        <v>5858705.9423466176</v>
      </c>
    </row>
    <row r="8" spans="1:9" ht="15.75" customHeight="1" x14ac:dyDescent="0.25">
      <c r="A8" s="5">
        <f t="shared" si="3"/>
        <v>2030</v>
      </c>
      <c r="B8" s="49">
        <v>746353</v>
      </c>
      <c r="C8" s="50">
        <v>1691184</v>
      </c>
      <c r="D8" s="50">
        <v>2435285.5</v>
      </c>
      <c r="E8" s="50">
        <v>1649088.5</v>
      </c>
      <c r="F8" s="50">
        <v>1100319.5</v>
      </c>
      <c r="G8" s="17">
        <f t="shared" si="0"/>
        <v>6875877.5</v>
      </c>
      <c r="H8" s="17">
        <f t="shared" si="1"/>
        <v>861969.48408154852</v>
      </c>
      <c r="I8" s="17">
        <f t="shared" si="2"/>
        <v>6013908.0159184514</v>
      </c>
    </row>
    <row r="9" spans="1:9" ht="15.75" customHeight="1" x14ac:dyDescent="0.25">
      <c r="A9" s="5">
        <f t="shared" si="3"/>
        <v>2031</v>
      </c>
      <c r="B9" s="49">
        <v>748584</v>
      </c>
      <c r="C9" s="50">
        <v>1701640</v>
      </c>
      <c r="D9" s="50">
        <v>2503337.5</v>
      </c>
      <c r="E9" s="50">
        <v>1705467.5</v>
      </c>
      <c r="F9" s="50">
        <v>1126941</v>
      </c>
      <c r="G9" s="17">
        <f t="shared" si="0"/>
        <v>7037386</v>
      </c>
      <c r="H9" s="17">
        <f t="shared" si="1"/>
        <v>864546.08512553968</v>
      </c>
      <c r="I9" s="17">
        <f t="shared" si="2"/>
        <v>6172839.9148744605</v>
      </c>
    </row>
    <row r="10" spans="1:9" ht="15.75" customHeight="1" x14ac:dyDescent="0.25">
      <c r="A10" s="5">
        <f t="shared" si="3"/>
        <v>2032</v>
      </c>
      <c r="B10" s="49">
        <v>757906</v>
      </c>
      <c r="C10" s="50">
        <v>1714255.5</v>
      </c>
      <c r="D10" s="50">
        <v>2564983.5</v>
      </c>
      <c r="E10" s="50">
        <v>1767321.5</v>
      </c>
      <c r="F10" s="50">
        <v>1150241</v>
      </c>
      <c r="G10" s="17">
        <f t="shared" si="0"/>
        <v>7196801.5</v>
      </c>
      <c r="H10" s="17">
        <f t="shared" si="1"/>
        <v>875312.14291670313</v>
      </c>
      <c r="I10" s="17">
        <f t="shared" si="2"/>
        <v>6321489.3570832964</v>
      </c>
    </row>
    <row r="11" spans="1:9" ht="15.75" customHeight="1" x14ac:dyDescent="0.25">
      <c r="A11" s="5">
        <f t="shared" si="3"/>
        <v>2033</v>
      </c>
      <c r="B11" s="49">
        <v>760142</v>
      </c>
      <c r="C11" s="50">
        <v>1730029</v>
      </c>
      <c r="D11" s="50">
        <v>2619056.5</v>
      </c>
      <c r="E11" s="50">
        <v>1835174.5</v>
      </c>
      <c r="F11" s="50">
        <v>1172298.5</v>
      </c>
      <c r="G11" s="17">
        <f t="shared" si="0"/>
        <v>7356558.5</v>
      </c>
      <c r="H11" s="17">
        <f t="shared" si="1"/>
        <v>877894.51850359887</v>
      </c>
      <c r="I11" s="17">
        <f t="shared" si="2"/>
        <v>6478663.9814964011</v>
      </c>
    </row>
    <row r="12" spans="1:9" ht="15.75" customHeight="1" x14ac:dyDescent="0.25">
      <c r="A12" s="5">
        <f t="shared" si="3"/>
        <v>2034</v>
      </c>
      <c r="B12" s="49">
        <v>766161</v>
      </c>
      <c r="C12" s="50">
        <v>1749604</v>
      </c>
      <c r="D12" s="50">
        <v>2664942</v>
      </c>
      <c r="E12" s="50">
        <v>1909073</v>
      </c>
      <c r="F12" s="50">
        <v>1194684.5</v>
      </c>
      <c r="G12" s="17">
        <f t="shared" si="0"/>
        <v>7518303.5</v>
      </c>
      <c r="H12" s="17">
        <f t="shared" si="1"/>
        <v>884845.9132520447</v>
      </c>
      <c r="I12" s="17">
        <f t="shared" si="2"/>
        <v>6633457.5867479555</v>
      </c>
    </row>
    <row r="13" spans="1:9" ht="15.75" customHeight="1" x14ac:dyDescent="0.25">
      <c r="A13" s="5">
        <f t="shared" si="3"/>
        <v>2035</v>
      </c>
      <c r="B13" s="49">
        <v>770109</v>
      </c>
      <c r="C13" s="50">
        <v>1773523.5</v>
      </c>
      <c r="D13" s="50">
        <v>2701851.5</v>
      </c>
      <c r="E13" s="50">
        <v>1987695</v>
      </c>
      <c r="F13" s="50">
        <v>1218143</v>
      </c>
      <c r="G13" s="17">
        <f t="shared" si="0"/>
        <v>7681213</v>
      </c>
      <c r="H13" s="17">
        <f t="shared" si="1"/>
        <v>889405.49232944357</v>
      </c>
      <c r="I13" s="17">
        <f t="shared" si="2"/>
        <v>6791807.5076705562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1.277209872279011E-2</v>
      </c>
    </row>
    <row r="4" spans="1:8" ht="15.75" customHeight="1" x14ac:dyDescent="0.25">
      <c r="B4" s="19" t="s">
        <v>69</v>
      </c>
      <c r="C4" s="101">
        <v>5.3933894606610487E-2</v>
      </c>
    </row>
    <row r="5" spans="1:8" ht="15.75" customHeight="1" x14ac:dyDescent="0.25">
      <c r="B5" s="19" t="s">
        <v>70</v>
      </c>
      <c r="C5" s="101">
        <v>7.7123692287630718E-2</v>
      </c>
    </row>
    <row r="6" spans="1:8" ht="15.75" customHeight="1" x14ac:dyDescent="0.25">
      <c r="B6" s="19" t="s">
        <v>71</v>
      </c>
      <c r="C6" s="101">
        <v>0.244385075561493</v>
      </c>
    </row>
    <row r="7" spans="1:8" ht="15.75" customHeight="1" x14ac:dyDescent="0.25">
      <c r="B7" s="19" t="s">
        <v>72</v>
      </c>
      <c r="C7" s="101">
        <v>0.41540115845988412</v>
      </c>
    </row>
    <row r="8" spans="1:8" ht="15.75" customHeight="1" x14ac:dyDescent="0.25">
      <c r="B8" s="19" t="s">
        <v>73</v>
      </c>
      <c r="C8" s="101">
        <v>1.690199830980013E-3</v>
      </c>
    </row>
    <row r="9" spans="1:8" ht="15.75" customHeight="1" x14ac:dyDescent="0.25">
      <c r="B9" s="19" t="s">
        <v>74</v>
      </c>
      <c r="C9" s="101">
        <v>8.066139193386071E-2</v>
      </c>
    </row>
    <row r="10" spans="1:8" ht="15.75" customHeight="1" x14ac:dyDescent="0.25">
      <c r="B10" s="19" t="s">
        <v>75</v>
      </c>
      <c r="C10" s="101">
        <v>0.1140324885967509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0.14292939282537201</v>
      </c>
      <c r="D14" s="55">
        <v>0.14292939282537201</v>
      </c>
      <c r="E14" s="55">
        <v>0.14292939282537201</v>
      </c>
      <c r="F14" s="55">
        <v>0.14292939282537201</v>
      </c>
    </row>
    <row r="15" spans="1:8" ht="15.75" customHeight="1" x14ac:dyDescent="0.25">
      <c r="B15" s="19" t="s">
        <v>82</v>
      </c>
      <c r="C15" s="101">
        <v>0.20191777974539041</v>
      </c>
      <c r="D15" s="101">
        <v>0.20191777974539041</v>
      </c>
      <c r="E15" s="101">
        <v>0.20191777974539041</v>
      </c>
      <c r="F15" s="101">
        <v>0.20191777974539041</v>
      </c>
    </row>
    <row r="16" spans="1:8" ht="15.75" customHeight="1" x14ac:dyDescent="0.25">
      <c r="B16" s="19" t="s">
        <v>83</v>
      </c>
      <c r="C16" s="101">
        <v>2.0552870920946771E-2</v>
      </c>
      <c r="D16" s="101">
        <v>2.0552870920946771E-2</v>
      </c>
      <c r="E16" s="101">
        <v>2.0552870920946771E-2</v>
      </c>
      <c r="F16" s="101">
        <v>2.0552870920946771E-2</v>
      </c>
    </row>
    <row r="17" spans="1:8" ht="15.75" customHeight="1" x14ac:dyDescent="0.25">
      <c r="B17" s="19" t="s">
        <v>84</v>
      </c>
      <c r="C17" s="101">
        <v>3.5305723411494921E-4</v>
      </c>
      <c r="D17" s="101">
        <v>3.5305723411494921E-4</v>
      </c>
      <c r="E17" s="101">
        <v>3.5305723411494921E-4</v>
      </c>
      <c r="F17" s="101">
        <v>3.5305723411494921E-4</v>
      </c>
    </row>
    <row r="18" spans="1:8" ht="15.75" customHeight="1" x14ac:dyDescent="0.25">
      <c r="B18" s="19" t="s">
        <v>85</v>
      </c>
      <c r="C18" s="101">
        <v>0.1866708259468263</v>
      </c>
      <c r="D18" s="101">
        <v>0.1866708259468263</v>
      </c>
      <c r="E18" s="101">
        <v>0.1866708259468263</v>
      </c>
      <c r="F18" s="101">
        <v>0.1866708259468263</v>
      </c>
    </row>
    <row r="19" spans="1:8" ht="15.75" customHeight="1" x14ac:dyDescent="0.25">
      <c r="B19" s="19" t="s">
        <v>86</v>
      </c>
      <c r="C19" s="101">
        <v>1.9600096966901188E-2</v>
      </c>
      <c r="D19" s="101">
        <v>1.9600096966901188E-2</v>
      </c>
      <c r="E19" s="101">
        <v>1.9600096966901188E-2</v>
      </c>
      <c r="F19" s="101">
        <v>1.9600096966901188E-2</v>
      </c>
    </row>
    <row r="20" spans="1:8" ht="15.75" customHeight="1" x14ac:dyDescent="0.25">
      <c r="B20" s="19" t="s">
        <v>87</v>
      </c>
      <c r="C20" s="101">
        <v>0.14215586047956941</v>
      </c>
      <c r="D20" s="101">
        <v>0.14215586047956941</v>
      </c>
      <c r="E20" s="101">
        <v>0.14215586047956941</v>
      </c>
      <c r="F20" s="101">
        <v>0.14215586047956941</v>
      </c>
    </row>
    <row r="21" spans="1:8" ht="15.75" customHeight="1" x14ac:dyDescent="0.25">
      <c r="B21" s="19" t="s">
        <v>88</v>
      </c>
      <c r="C21" s="101">
        <v>0.11798716773771729</v>
      </c>
      <c r="D21" s="101">
        <v>0.11798716773771729</v>
      </c>
      <c r="E21" s="101">
        <v>0.11798716773771729</v>
      </c>
      <c r="F21" s="101">
        <v>0.11798716773771729</v>
      </c>
    </row>
    <row r="22" spans="1:8" ht="15.75" customHeight="1" x14ac:dyDescent="0.25">
      <c r="B22" s="19" t="s">
        <v>89</v>
      </c>
      <c r="C22" s="101">
        <v>0.1678329481431616</v>
      </c>
      <c r="D22" s="101">
        <v>0.1678329481431616</v>
      </c>
      <c r="E22" s="101">
        <v>0.1678329481431616</v>
      </c>
      <c r="F22" s="101">
        <v>0.1678329481431616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8.1884283999999988E-2</v>
      </c>
    </row>
    <row r="27" spans="1:8" ht="15.75" customHeight="1" x14ac:dyDescent="0.25">
      <c r="B27" s="19" t="s">
        <v>92</v>
      </c>
      <c r="C27" s="101">
        <v>8.1848189999999994E-3</v>
      </c>
    </row>
    <row r="28" spans="1:8" ht="15.75" customHeight="1" x14ac:dyDescent="0.25">
      <c r="B28" s="19" t="s">
        <v>93</v>
      </c>
      <c r="C28" s="101">
        <v>0.14548327699999999</v>
      </c>
    </row>
    <row r="29" spans="1:8" ht="15.75" customHeight="1" x14ac:dyDescent="0.25">
      <c r="B29" s="19" t="s">
        <v>94</v>
      </c>
      <c r="C29" s="101">
        <v>0.157612682</v>
      </c>
    </row>
    <row r="30" spans="1:8" ht="15.75" customHeight="1" x14ac:dyDescent="0.25">
      <c r="B30" s="19" t="s">
        <v>95</v>
      </c>
      <c r="C30" s="101">
        <v>9.9204118000000008E-2</v>
      </c>
    </row>
    <row r="31" spans="1:8" ht="15.75" customHeight="1" x14ac:dyDescent="0.25">
      <c r="B31" s="19" t="s">
        <v>96</v>
      </c>
      <c r="C31" s="101">
        <v>0.10218857200000001</v>
      </c>
    </row>
    <row r="32" spans="1:8" ht="15.75" customHeight="1" x14ac:dyDescent="0.25">
      <c r="B32" s="19" t="s">
        <v>97</v>
      </c>
      <c r="C32" s="101">
        <v>1.7390224999999999E-2</v>
      </c>
    </row>
    <row r="33" spans="2:3" ht="15.75" customHeight="1" x14ac:dyDescent="0.25">
      <c r="B33" s="19" t="s">
        <v>98</v>
      </c>
      <c r="C33" s="101">
        <v>7.9143570999999996E-2</v>
      </c>
    </row>
    <row r="34" spans="2:3" ht="15.75" customHeight="1" x14ac:dyDescent="0.25">
      <c r="B34" s="19" t="s">
        <v>99</v>
      </c>
      <c r="C34" s="101">
        <v>0.308908452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0.47053396362197208</v>
      </c>
      <c r="D2" s="52">
        <f>IFERROR(1-_xlfn.NORM.DIST(_xlfn.NORM.INV(SUM(D4:D5), 0, 1) + 1, 0, 1, TRUE), "")</f>
        <v>0.47053396362197208</v>
      </c>
      <c r="E2" s="52">
        <f>IFERROR(1-_xlfn.NORM.DIST(_xlfn.NORM.INV(SUM(E4:E5), 0, 1) + 1, 0, 1, TRUE), "")</f>
        <v>0.36504155382821768</v>
      </c>
      <c r="F2" s="52">
        <f>IFERROR(1-_xlfn.NORM.DIST(_xlfn.NORM.INV(SUM(F4:F5), 0, 1) + 1, 0, 1, TRUE), "")</f>
        <v>0.22905493639763708</v>
      </c>
      <c r="G2" s="52">
        <f>IFERROR(1-_xlfn.NORM.DIST(_xlfn.NORM.INV(SUM(G4:G5), 0, 1) + 1, 0, 1, TRUE), "")</f>
        <v>0.24027768434414187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0.35226183637802794</v>
      </c>
      <c r="D3" s="52">
        <f>IFERROR(_xlfn.NORM.DIST(_xlfn.NORM.INV(SUM(D4:D5), 0, 1) + 1, 0, 1, TRUE) - SUM(D4:D5), "")</f>
        <v>0.35226183637802794</v>
      </c>
      <c r="E3" s="52">
        <f>IFERROR(_xlfn.NORM.DIST(_xlfn.NORM.INV(SUM(E4:E5), 0, 1) + 1, 0, 1, TRUE) - SUM(E4:E5), "")</f>
        <v>0.37871974617178233</v>
      </c>
      <c r="F3" s="52">
        <f>IFERROR(_xlfn.NORM.DIST(_xlfn.NORM.INV(SUM(F4:F5), 0, 1) + 1, 0, 1, TRUE) - SUM(F4:F5), "")</f>
        <v>0.37275596360236291</v>
      </c>
      <c r="G3" s="52">
        <f>IFERROR(_xlfn.NORM.DIST(_xlfn.NORM.INV(SUM(G4:G5), 0, 1) + 1, 0, 1, TRUE) - SUM(G4:G5), "")</f>
        <v>0.37556891565585815</v>
      </c>
    </row>
    <row r="4" spans="1:15" ht="15.75" customHeight="1" x14ac:dyDescent="0.25">
      <c r="B4" s="5" t="s">
        <v>104</v>
      </c>
      <c r="C4" s="45">
        <v>0.110902</v>
      </c>
      <c r="D4" s="53">
        <v>0.110902</v>
      </c>
      <c r="E4" s="53">
        <v>0.17671709999999999</v>
      </c>
      <c r="F4" s="53">
        <v>0.2653684</v>
      </c>
      <c r="G4" s="53">
        <v>0.24860260000000001</v>
      </c>
    </row>
    <row r="5" spans="1:15" ht="15.75" customHeight="1" x14ac:dyDescent="0.25">
      <c r="B5" s="5" t="s">
        <v>105</v>
      </c>
      <c r="C5" s="45">
        <v>6.6302199999999992E-2</v>
      </c>
      <c r="D5" s="53">
        <v>6.6302199999999992E-2</v>
      </c>
      <c r="E5" s="53">
        <v>7.9521599999999998E-2</v>
      </c>
      <c r="F5" s="53">
        <v>0.13282070000000001</v>
      </c>
      <c r="G5" s="53">
        <v>0.1355508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0.83156927438040795</v>
      </c>
      <c r="D8" s="52">
        <f>IFERROR(1-_xlfn.NORM.DIST(_xlfn.NORM.INV(SUM(D10:D11), 0, 1) + 1, 0, 1, TRUE), "")</f>
        <v>0.83156927438040795</v>
      </c>
      <c r="E8" s="52">
        <f>IFERROR(1-_xlfn.NORM.DIST(_xlfn.NORM.INV(SUM(E10:E11), 0, 1) + 1, 0, 1, TRUE), "")</f>
        <v>0.82711078112206526</v>
      </c>
      <c r="F8" s="52">
        <f>IFERROR(1-_xlfn.NORM.DIST(_xlfn.NORM.INV(SUM(F10:F11), 0, 1) + 1, 0, 1, TRUE), "")</f>
        <v>0.7561101925708329</v>
      </c>
      <c r="G8" s="52">
        <f>IFERROR(1-_xlfn.NORM.DIST(_xlfn.NORM.INV(SUM(G10:G11), 0, 1) + 1, 0, 1, TRUE), "")</f>
        <v>0.85965121664560873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0.14345532561959207</v>
      </c>
      <c r="D9" s="52">
        <f>IFERROR(_xlfn.NORM.DIST(_xlfn.NORM.INV(SUM(D10:D11), 0, 1) + 1, 0, 1, TRUE) - SUM(D10:D11), "")</f>
        <v>0.14345532561959207</v>
      </c>
      <c r="E9" s="52">
        <f>IFERROR(_xlfn.NORM.DIST(_xlfn.NORM.INV(SUM(E10:E11), 0, 1) + 1, 0, 1, TRUE) - SUM(E10:E11), "")</f>
        <v>0.14686961887793468</v>
      </c>
      <c r="F9" s="52">
        <f>IFERROR(_xlfn.NORM.DIST(_xlfn.NORM.INV(SUM(F10:F11), 0, 1) + 1, 0, 1, TRUE) - SUM(F10:F11), "")</f>
        <v>0.1987424074291671</v>
      </c>
      <c r="G9" s="52">
        <f>IFERROR(_xlfn.NORM.DIST(_xlfn.NORM.INV(SUM(G10:G11), 0, 1) + 1, 0, 1, TRUE) - SUM(G10:G11), "")</f>
        <v>0.1215287833543913</v>
      </c>
    </row>
    <row r="10" spans="1:15" ht="15.75" customHeight="1" x14ac:dyDescent="0.25">
      <c r="B10" s="5" t="s">
        <v>109</v>
      </c>
      <c r="C10" s="45">
        <v>1.49833E-2</v>
      </c>
      <c r="D10" s="53">
        <v>1.49833E-2</v>
      </c>
      <c r="E10" s="53">
        <v>1.6223999999999999E-2</v>
      </c>
      <c r="F10" s="53">
        <v>3.1793799999999997E-2</v>
      </c>
      <c r="G10" s="53">
        <v>1.44954E-2</v>
      </c>
    </row>
    <row r="11" spans="1:15" ht="15.75" customHeight="1" x14ac:dyDescent="0.25">
      <c r="B11" s="5" t="s">
        <v>110</v>
      </c>
      <c r="C11" s="45">
        <v>9.9921000000000003E-3</v>
      </c>
      <c r="D11" s="53">
        <v>9.9921000000000003E-3</v>
      </c>
      <c r="E11" s="53">
        <v>9.7955999999999998E-3</v>
      </c>
      <c r="F11" s="53">
        <v>1.33536E-2</v>
      </c>
      <c r="G11" s="53">
        <v>4.3245999999999996E-3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0.92287291025000007</v>
      </c>
      <c r="D14" s="54">
        <v>0.92046457879800003</v>
      </c>
      <c r="E14" s="54">
        <v>0.92046457879800003</v>
      </c>
      <c r="F14" s="54">
        <v>0.65915158875500002</v>
      </c>
      <c r="G14" s="54">
        <v>0.65915158875500002</v>
      </c>
      <c r="H14" s="45">
        <v>0.41799999999999998</v>
      </c>
      <c r="I14" s="55">
        <v>0.41799999999999998</v>
      </c>
      <c r="J14" s="55">
        <v>0.41799999999999998</v>
      </c>
      <c r="K14" s="55">
        <v>0.41799999999999998</v>
      </c>
      <c r="L14" s="45">
        <v>0.33600000000000002</v>
      </c>
      <c r="M14" s="55">
        <v>0.33600000000000002</v>
      </c>
      <c r="N14" s="55">
        <v>0.33600000000000002</v>
      </c>
      <c r="O14" s="55">
        <v>0.33600000000000002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0.45692083797514682</v>
      </c>
      <c r="D15" s="52">
        <f t="shared" si="0"/>
        <v>0.4557284562149414</v>
      </c>
      <c r="E15" s="52">
        <f t="shared" si="0"/>
        <v>0.4557284562149414</v>
      </c>
      <c r="F15" s="52">
        <f t="shared" si="0"/>
        <v>0.32635056565372178</v>
      </c>
      <c r="G15" s="52">
        <f t="shared" si="0"/>
        <v>0.32635056565372178</v>
      </c>
      <c r="H15" s="52">
        <f t="shared" si="0"/>
        <v>0.20695472600000001</v>
      </c>
      <c r="I15" s="52">
        <f t="shared" si="0"/>
        <v>0.20695472600000001</v>
      </c>
      <c r="J15" s="52">
        <f t="shared" si="0"/>
        <v>0.20695472600000001</v>
      </c>
      <c r="K15" s="52">
        <f t="shared" si="0"/>
        <v>0.20695472600000001</v>
      </c>
      <c r="L15" s="52">
        <f t="shared" si="0"/>
        <v>0.16635595200000003</v>
      </c>
      <c r="M15" s="52">
        <f t="shared" si="0"/>
        <v>0.16635595200000003</v>
      </c>
      <c r="N15" s="52">
        <f t="shared" si="0"/>
        <v>0.16635595200000003</v>
      </c>
      <c r="O15" s="52">
        <f t="shared" si="0"/>
        <v>0.16635595200000003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0.80309089999999994</v>
      </c>
      <c r="D2" s="53">
        <v>0.56868370000000001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4.8141000000000003E-2</v>
      </c>
      <c r="D3" s="53">
        <v>0.13101789999999999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5.8573399999999998E-2</v>
      </c>
      <c r="D4" s="53">
        <v>0.23337350000000001</v>
      </c>
      <c r="E4" s="53">
        <v>0.97636279999999998</v>
      </c>
      <c r="F4" s="53">
        <v>0.83200169999999996</v>
      </c>
      <c r="G4" s="53">
        <v>0</v>
      </c>
    </row>
    <row r="5" spans="1:7" x14ac:dyDescent="0.25">
      <c r="B5" s="3" t="s">
        <v>122</v>
      </c>
      <c r="C5" s="52">
        <v>9.0194700000000003E-2</v>
      </c>
      <c r="D5" s="52">
        <v>6.6924900000000009E-2</v>
      </c>
      <c r="E5" s="52">
        <f>1-SUM(E2:E4)</f>
        <v>2.3637200000000025E-2</v>
      </c>
      <c r="F5" s="52">
        <f>1-SUM(F2:F4)</f>
        <v>0.16799830000000004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ht="13.25" customHeight="1" x14ac:dyDescent="0.25">
      <c r="A2" s="8" t="s">
        <v>137</v>
      </c>
      <c r="B2" s="41">
        <v>10</v>
      </c>
    </row>
    <row r="3" spans="1:2" ht="13.25" customHeight="1" x14ac:dyDescent="0.25">
      <c r="A3" s="8" t="s">
        <v>138</v>
      </c>
      <c r="B3" s="41">
        <v>10</v>
      </c>
    </row>
    <row r="4" spans="1:2" ht="13.25" customHeight="1" x14ac:dyDescent="0.25">
      <c r="A4" s="8" t="s">
        <v>139</v>
      </c>
      <c r="B4" s="41">
        <v>10</v>
      </c>
    </row>
    <row r="5" spans="1:2" ht="13.25" customHeight="1" x14ac:dyDescent="0.25">
      <c r="A5" s="8" t="s">
        <v>140</v>
      </c>
      <c r="B5" s="41">
        <v>10</v>
      </c>
    </row>
    <row r="6" spans="1:2" ht="13.25" customHeight="1" x14ac:dyDescent="0.25">
      <c r="A6" s="8" t="s">
        <v>141</v>
      </c>
      <c r="B6" s="41">
        <v>10</v>
      </c>
    </row>
    <row r="7" spans="1:2" ht="13.25" customHeight="1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ht="13.25" customHeight="1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ht="13.25" customHeight="1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ht="13.25" customHeight="1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ht="13.25" customHeight="1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67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77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ht="13.25" customHeight="1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ht="13.25" customHeight="1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ht="13.25" customHeight="1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ht="13.25" customHeight="1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abSelected="1"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65.60734264525216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25.026928085364101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7.2861200073283072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0.1203130428229381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0.19283527130965261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0.10284547803181469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0.5</v>
      </c>
      <c r="C9" s="98">
        <v>0.95</v>
      </c>
      <c r="D9" s="56">
        <v>0.13284207579109411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0.33427040000000002</v>
      </c>
      <c r="C10" s="98">
        <v>0.95</v>
      </c>
      <c r="D10" s="56">
        <v>14.13040526178168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14.13040526178168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14.13040526178168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14.13040526178168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0.33427040000000002</v>
      </c>
      <c r="C14" s="98">
        <v>0.95</v>
      </c>
      <c r="D14" s="56">
        <v>14.13040526178168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14.13040526178168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0.75737939999999992</v>
      </c>
      <c r="C16" s="98">
        <v>0.95</v>
      </c>
      <c r="D16" s="56">
        <v>2.503642449664842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3.1508066666666702E-2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0.51400000000000001</v>
      </c>
      <c r="C18" s="98">
        <v>0.95</v>
      </c>
      <c r="D18" s="56">
        <v>7.2861200073283072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0.56868370000000001</v>
      </c>
      <c r="C19" s="98">
        <v>0.95</v>
      </c>
      <c r="D19" s="56">
        <v>7.2861200073283072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</v>
      </c>
      <c r="C21" s="98">
        <v>0.95</v>
      </c>
      <c r="D21" s="56">
        <v>7.4846345450640612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24.054885882818429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0.74117850000000007</v>
      </c>
      <c r="C23" s="98">
        <v>0.95</v>
      </c>
      <c r="D23" s="56">
        <v>4.621869686333798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0.93888883792254008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2.1000000000000001E-2</v>
      </c>
      <c r="C26" s="98">
        <v>0.95</v>
      </c>
      <c r="D26" s="56">
        <v>3.4665816434934871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13.803307962555669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0.513741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0.17305509999999999</v>
      </c>
      <c r="C29" s="98">
        <v>0.95</v>
      </c>
      <c r="D29" s="56">
        <v>88.005851455993124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7.1500000000000008E-2</v>
      </c>
      <c r="C31" s="98">
        <v>0.95</v>
      </c>
      <c r="D31" s="56">
        <v>180.94215297303569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0.77</v>
      </c>
      <c r="C32" s="98">
        <v>0.95</v>
      </c>
      <c r="D32" s="56">
        <v>0.65266805708153031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0.15307589999999999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0.88163790000000009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1.8209000000000001E-3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0.20602480000000001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0.24399999999999999</v>
      </c>
      <c r="C38" s="98">
        <v>0.95</v>
      </c>
      <c r="D38" s="56">
        <v>2.4488574538288082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3.4277904548683669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ht="13.25" customHeight="1" x14ac:dyDescent="0.25">
      <c r="A2" s="57" t="s">
        <v>179</v>
      </c>
      <c r="B2" s="47" t="s">
        <v>189</v>
      </c>
      <c r="C2" s="47"/>
    </row>
    <row r="3" spans="1:3" ht="13.25" customHeight="1" x14ac:dyDescent="0.25">
      <c r="A3" s="57" t="s">
        <v>180</v>
      </c>
      <c r="B3" s="47" t="s">
        <v>189</v>
      </c>
      <c r="C3" s="47"/>
    </row>
    <row r="4" spans="1:3" ht="13.25" customHeight="1" x14ac:dyDescent="0.25">
      <c r="A4" s="57" t="s">
        <v>191</v>
      </c>
      <c r="B4" s="47" t="s">
        <v>184</v>
      </c>
      <c r="C4" s="47"/>
    </row>
    <row r="5" spans="1:3" ht="13.25" customHeight="1" x14ac:dyDescent="0.25">
      <c r="A5" s="57" t="s">
        <v>188</v>
      </c>
      <c r="B5" s="47" t="s">
        <v>184</v>
      </c>
      <c r="C5" s="47"/>
    </row>
    <row r="6" spans="1:3" ht="13.25" customHeight="1" x14ac:dyDescent="0.25">
      <c r="A6" s="57" t="s">
        <v>191</v>
      </c>
      <c r="B6" s="58" t="s">
        <v>192</v>
      </c>
      <c r="C6" s="58"/>
    </row>
    <row r="7" spans="1:3" ht="13.25" customHeight="1" x14ac:dyDescent="0.25">
      <c r="A7" s="57" t="s">
        <v>188</v>
      </c>
      <c r="B7" s="58" t="s">
        <v>192</v>
      </c>
      <c r="C7" s="58"/>
    </row>
    <row r="8" spans="1:3" ht="13.25" customHeight="1" x14ac:dyDescent="0.25">
      <c r="A8" s="57" t="s">
        <v>200</v>
      </c>
      <c r="B8" s="58" t="s">
        <v>192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ht="13.25" customHeight="1" x14ac:dyDescent="0.25">
      <c r="A2" s="33" t="s">
        <v>171</v>
      </c>
    </row>
    <row r="3" spans="1:1" ht="13.25" customHeight="1" x14ac:dyDescent="0.25">
      <c r="A3" s="33" t="s">
        <v>181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157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3.3</v>
      </c>
      <c r="C2" s="21">
        <f>'Baseline year population inputs'!C52</f>
        <v>3.3</v>
      </c>
      <c r="D2" s="21">
        <f>'Baseline year population inputs'!C53</f>
        <v>3.3</v>
      </c>
      <c r="E2" s="21">
        <f>'Baseline year population inputs'!C54</f>
        <v>3.3</v>
      </c>
      <c r="F2" s="21">
        <f>'Baseline year population inputs'!C55</f>
        <v>3.3</v>
      </c>
    </row>
    <row r="3" spans="1:6" ht="15.75" customHeight="1" x14ac:dyDescent="0.25">
      <c r="A3" s="3" t="s">
        <v>204</v>
      </c>
      <c r="B3" s="21">
        <f>frac_mam_1month * 2.6</f>
        <v>3.8956579999999998E-2</v>
      </c>
      <c r="C3" s="21">
        <f>frac_mam_1_5months * 2.6</f>
        <v>3.8956579999999998E-2</v>
      </c>
      <c r="D3" s="21">
        <f>frac_mam_6_11months * 2.6</f>
        <v>4.2182400000000002E-2</v>
      </c>
      <c r="E3" s="21">
        <f>frac_mam_12_23months * 2.6</f>
        <v>8.2663879999999995E-2</v>
      </c>
      <c r="F3" s="21">
        <f>frac_mam_24_59months * 2.6</f>
        <v>3.7688039999999999E-2</v>
      </c>
    </row>
    <row r="4" spans="1:6" ht="15.75" customHeight="1" x14ac:dyDescent="0.25">
      <c r="A4" s="3" t="s">
        <v>205</v>
      </c>
      <c r="B4" s="21">
        <f>frac_sam_1month * 2.6</f>
        <v>2.5979460000000003E-2</v>
      </c>
      <c r="C4" s="21">
        <f>frac_sam_1_5months * 2.6</f>
        <v>2.5979460000000003E-2</v>
      </c>
      <c r="D4" s="21">
        <f>frac_sam_6_11months * 2.6</f>
        <v>2.5468560000000001E-2</v>
      </c>
      <c r="E4" s="21">
        <f>frac_sam_12_23months * 2.6</f>
        <v>3.4719360000000005E-2</v>
      </c>
      <c r="F4" s="21">
        <f>frac_sam_24_59months * 2.6</f>
        <v>1.1243959999999999E-2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0.70299999999999996</v>
      </c>
      <c r="E2" s="60">
        <f>food_insecure</f>
        <v>0.70299999999999996</v>
      </c>
      <c r="F2" s="60">
        <f>food_insecure</f>
        <v>0.70299999999999996</v>
      </c>
      <c r="G2" s="60">
        <f>food_insecure</f>
        <v>0.70299999999999996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0.70299999999999996</v>
      </c>
      <c r="F5" s="60">
        <f>food_insecure</f>
        <v>0.70299999999999996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0.70299999999999996</v>
      </c>
      <c r="F8" s="60">
        <f>food_insecure</f>
        <v>0.70299999999999996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0.70299999999999996</v>
      </c>
      <c r="F9" s="60">
        <f>food_insecure</f>
        <v>0.70299999999999996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0.70299999999999996</v>
      </c>
      <c r="I15" s="60">
        <f>food_insecure</f>
        <v>0.70299999999999996</v>
      </c>
      <c r="J15" s="60">
        <f>food_insecure</f>
        <v>0.70299999999999996</v>
      </c>
      <c r="K15" s="60">
        <f>food_insecure</f>
        <v>0.70299999999999996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0.77</v>
      </c>
      <c r="I19" s="60">
        <f>frac_malaria_risk</f>
        <v>0.77</v>
      </c>
      <c r="J19" s="60">
        <f>frac_malaria_risk</f>
        <v>0.77</v>
      </c>
      <c r="K19" s="60">
        <f>frac_malaria_risk</f>
        <v>0.77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0.254</v>
      </c>
      <c r="M24" s="60">
        <f>famplan_unmet_need</f>
        <v>0.254</v>
      </c>
      <c r="N24" s="60">
        <f>famplan_unmet_need</f>
        <v>0.254</v>
      </c>
      <c r="O24" s="60">
        <f>famplan_unmet_need</f>
        <v>0.254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0.44125296585788709</v>
      </c>
      <c r="M25" s="60">
        <f>(1-food_insecure)*(0.49)+food_insecure*(0.7)</f>
        <v>0.63762999999999992</v>
      </c>
      <c r="N25" s="60">
        <f>(1-food_insecure)*(0.49)+food_insecure*(0.7)</f>
        <v>0.63762999999999992</v>
      </c>
      <c r="O25" s="60">
        <f>(1-food_insecure)*(0.49)+food_insecure*(0.7)</f>
        <v>0.63762999999999992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0.18910841393909447</v>
      </c>
      <c r="M26" s="60">
        <f>(1-food_insecure)*(0.21)+food_insecure*(0.3)</f>
        <v>0.27327000000000001</v>
      </c>
      <c r="N26" s="60">
        <f>(1-food_insecure)*(0.21)+food_insecure*(0.3)</f>
        <v>0.27327000000000001</v>
      </c>
      <c r="O26" s="60">
        <f>(1-food_insecure)*(0.21)+food_insecure*(0.3)</f>
        <v>0.27327000000000001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6.1659017389297473E-2</v>
      </c>
      <c r="M27" s="60">
        <f>(1-food_insecure)*(0.3)</f>
        <v>8.9100000000000013E-2</v>
      </c>
      <c r="N27" s="60">
        <f>(1-food_insecure)*(0.3)</f>
        <v>8.9100000000000013E-2</v>
      </c>
      <c r="O27" s="60">
        <f>(1-food_insecure)*(0.3)</f>
        <v>8.9100000000000013E-2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0.307979602813721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0.77</v>
      </c>
      <c r="D34" s="60">
        <f t="shared" si="3"/>
        <v>0.77</v>
      </c>
      <c r="E34" s="60">
        <f t="shared" si="3"/>
        <v>0.77</v>
      </c>
      <c r="F34" s="60">
        <f t="shared" si="3"/>
        <v>0.77</v>
      </c>
      <c r="G34" s="60">
        <f t="shared" si="3"/>
        <v>0.77</v>
      </c>
      <c r="H34" s="60">
        <f t="shared" si="3"/>
        <v>0.77</v>
      </c>
      <c r="I34" s="60">
        <f t="shared" si="3"/>
        <v>0.77</v>
      </c>
      <c r="J34" s="60">
        <f t="shared" si="3"/>
        <v>0.77</v>
      </c>
      <c r="K34" s="60">
        <f t="shared" si="3"/>
        <v>0.77</v>
      </c>
      <c r="L34" s="60">
        <f t="shared" si="3"/>
        <v>0.77</v>
      </c>
      <c r="M34" s="60">
        <f t="shared" si="3"/>
        <v>0.77</v>
      </c>
      <c r="N34" s="60">
        <f t="shared" si="3"/>
        <v>0.77</v>
      </c>
      <c r="O34" s="60">
        <f t="shared" si="3"/>
        <v>0.77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ht="13.25" customHeight="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ht="13.25" customHeight="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ht="13.25" customHeight="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ht="13.25" customHeight="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ht="13.25" customHeight="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ht="13.25" customHeight="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ht="13.25" customHeight="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ht="13.25" customHeight="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ht="13.25" customHeight="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ht="13.25" customHeight="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ht="13.25" customHeight="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ht="13.25" customHeight="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ht="13.25" customHeight="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ht="13.25" customHeight="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ht="13.25" customHeight="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ht="13.25" customHeight="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ht="13.25" customHeight="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ht="13.25" customHeight="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ht="13.25" customHeight="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ht="13.25" customHeight="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ht="13.25" customHeight="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A8" sqref="A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67</v>
      </c>
      <c r="C5" s="8" t="s">
        <v>145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146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77</v>
      </c>
      <c r="C8" s="8" t="s">
        <v>145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146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146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67</v>
      </c>
      <c r="C58" s="8" t="s">
        <v>145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146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77</v>
      </c>
      <c r="C61" s="8" t="s">
        <v>145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146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67</v>
      </c>
      <c r="C111" s="8" t="s">
        <v>145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146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147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77</v>
      </c>
      <c r="C114" s="8" t="s">
        <v>145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146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147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78</v>
      </c>
      <c r="C117" s="8" t="s">
        <v>145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146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147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79</v>
      </c>
      <c r="C120" s="8" t="s">
        <v>145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146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147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146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147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67</v>
      </c>
      <c r="C128" s="8" t="s">
        <v>145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146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147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77</v>
      </c>
      <c r="C131" s="8" t="s">
        <v>145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146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147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78</v>
      </c>
      <c r="C134" s="8" t="s">
        <v>145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146</v>
      </c>
      <c r="D135" s="88">
        <f t="shared" ref="D135:H144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147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79</v>
      </c>
      <c r="C137" s="8" t="s">
        <v>145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146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147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146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147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67</v>
      </c>
      <c r="C145" s="8" t="s">
        <v>145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146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147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77</v>
      </c>
      <c r="C148" s="8" t="s">
        <v>145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146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147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78</v>
      </c>
      <c r="C151" s="8" t="s">
        <v>145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146</v>
      </c>
      <c r="D152" s="88">
        <f t="shared" ref="D152:H161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147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79</v>
      </c>
      <c r="C154" s="8" t="s">
        <v>145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146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147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9:B21"/>
    <mergeCell ref="B2:B4"/>
    <mergeCell ref="B5:B7"/>
    <mergeCell ref="B8:B10"/>
    <mergeCell ref="B11:B13"/>
    <mergeCell ref="B14:B16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55:B57"/>
    <mergeCell ref="B58:B60"/>
    <mergeCell ref="B61:B63"/>
    <mergeCell ref="B64:B66"/>
    <mergeCell ref="B67:B69"/>
    <mergeCell ref="B72:B74"/>
    <mergeCell ref="B75:B77"/>
    <mergeCell ref="B78:B80"/>
    <mergeCell ref="B81:B83"/>
    <mergeCell ref="B84:B86"/>
    <mergeCell ref="B108:B110"/>
    <mergeCell ref="B89:B91"/>
    <mergeCell ref="B92:B94"/>
    <mergeCell ref="B95:B97"/>
    <mergeCell ref="B98:B100"/>
    <mergeCell ref="B101:B103"/>
    <mergeCell ref="B111:B113"/>
    <mergeCell ref="B114:B116"/>
    <mergeCell ref="B117:B119"/>
    <mergeCell ref="B120:B122"/>
    <mergeCell ref="B125:B127"/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A8" sqref="A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A8" sqref="A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A8" sqref="A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289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302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111</v>
      </c>
      <c r="B40" s="11" t="s">
        <v>303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307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316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111</v>
      </c>
      <c r="B63" s="11" t="s">
        <v>317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A8" sqref="A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A8" sqref="A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175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49" sqref="C49:O61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ht="13.25" customHeight="1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ht="13.25" customHeight="1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ht="13.25" customHeight="1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A8" sqref="A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ht="13.25" customHeight="1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340</v>
      </c>
      <c r="D18" s="90">
        <v>0</v>
      </c>
      <c r="E18" s="90">
        <v>0</v>
      </c>
      <c r="F18" s="90">
        <f>MIN(MAX(1-0.89/(1-frac_sam_6_11months+(frac_sam_6_11months*0.89)),0),1)</f>
        <v>0.10903997631912343</v>
      </c>
      <c r="G18" s="90">
        <f>MIN(MAX(1-0.89/(1-frac_sam_12_23months+(frac_sam_12_23months*0.89)),0),1)</f>
        <v>0.10869075942175155</v>
      </c>
      <c r="H18" s="90">
        <f>MIN(MAX(1-0.89/(1-frac_sam_24_59months+(frac_sam_24_59months*0.89)),0),1)</f>
        <v>0.10957642016052882</v>
      </c>
    </row>
    <row r="19" spans="1:8" ht="13.25" customHeight="1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340</v>
      </c>
      <c r="D20" s="90">
        <v>0</v>
      </c>
      <c r="E20" s="90">
        <v>0</v>
      </c>
      <c r="F20" s="90">
        <f>MIN(MAX(1-0.89/(1-frac_mam_6_11months+(frac_mam_6_11months*0.89)),0),1)</f>
        <v>0.10840883073568408</v>
      </c>
      <c r="G20" s="90">
        <f>MIN(MAX(1-0.89/(1-frac_mam_12_23months+(frac_mam_12_23months*0.89)),0),1)</f>
        <v>0.10687646297774844</v>
      </c>
      <c r="H20" s="90">
        <f>MIN(MAX(1-0.89/(1-frac_mam_24_59months+(frac_mam_24_59months*0.89)),0),1)</f>
        <v>0.1085786339804099</v>
      </c>
    </row>
    <row r="21" spans="1:8" ht="13.25" customHeight="1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339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9.903014059645221E-3</v>
      </c>
      <c r="G73" s="90">
        <f>MIN(MAX(1-0.99/(1-frac_sam_12_23months+(frac_sam_12_23months*0.99)),0),1)</f>
        <v>9.8677817040976334E-3</v>
      </c>
      <c r="H73" s="90">
        <f>MIN(MAX(1-0.99/(1-frac_sam_24_59months+(frac_sam_24_59months*0.99)),0),1)</f>
        <v>9.957184608405556E-3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9.8393563371721449E-3</v>
      </c>
      <c r="G75" s="90">
        <f>MIN(MAX(1-0.99/(1-frac_mam_12_23months+(frac_mam_12_23months*0.99)),0),1)</f>
        <v>9.6851412744465293E-3</v>
      </c>
      <c r="H75" s="90">
        <f>MIN(MAX(1-0.99/(1-frac_mam_24_59months+(frac_mam_24_59months*0.99)),0),1)</f>
        <v>9.8564747354388249E-3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0.1984296274517332</v>
      </c>
      <c r="G128" s="90">
        <f>MIN(MAX(1-0.8/(1-frac_sam_12_23months+(frac_sam_12_23months*0.8)),0),1)</f>
        <v>0.19785770252328294</v>
      </c>
      <c r="H128" s="90">
        <f>MIN(MAX(1-0.8/(1-frac_sam_24_59months+(frac_sam_24_59months*0.8)),0),1)</f>
        <v>0.19930746501263863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0.19739570959850516</v>
      </c>
      <c r="G130" s="90">
        <f>MIN(MAX(1-0.8/(1-frac_mam_12_23months+(frac_mam_12_23months*0.8)),0),1)</f>
        <v>0.19488043793351406</v>
      </c>
      <c r="H130" s="90">
        <f>MIN(MAX(1-0.8/(1-frac_mam_24_59months+(frac_mam_24_59months*0.8)),0),1)</f>
        <v>0.19767399271881114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A8" sqref="A8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ht="13.25" customHeight="1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ht="13.25" customHeight="1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ht="13.25" customHeight="1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2024-08-06T06:31:49Z</dcterms:modified>
</cp:coreProperties>
</file>