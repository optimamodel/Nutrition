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8A4DE71-F117-4ED4-AF61-81E66DE170E4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29" i="2"/>
  <c r="A28" i="2"/>
  <c r="A27" i="2"/>
  <c r="A21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2" i="2" l="1"/>
  <c r="A30" i="2"/>
  <c r="A15" i="2"/>
  <c r="A23" i="2"/>
  <c r="A31" i="2"/>
  <c r="A16" i="2"/>
  <c r="A24" i="2"/>
  <c r="A32" i="2"/>
  <c r="A14" i="2"/>
  <c r="A40" i="2"/>
  <c r="A17" i="2"/>
  <c r="A25" i="2"/>
  <c r="A33" i="2"/>
  <c r="A38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<sst xmlns="http://schemas.openxmlformats.org/spreadsheetml/2006/main" count="2094" uniqueCount="341">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</sst>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3244306.5</v>
      </c>
    </row>
    <row r="8" spans="1:3" ht="15" customHeight="1" x14ac:dyDescent="0.25">
      <c r="B8" s="5" t="s">
        <v>8</v>
      </c>
      <c r="C8" s="44">
        <v>0.70299999999999996</v>
      </c>
    </row>
    <row r="9" spans="1:3" ht="15" customHeight="1" x14ac:dyDescent="0.25">
      <c r="B9" s="5" t="s">
        <v>9</v>
      </c>
      <c r="C9" s="45">
        <v>0.77</v>
      </c>
    </row>
    <row r="10" spans="1:3" ht="15" customHeight="1" x14ac:dyDescent="0.25">
      <c r="B10" s="5" t="s">
        <v>10</v>
      </c>
      <c r="C10" s="45">
        <v>0.307979602813721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0.15459999999999999</v>
      </c>
    </row>
    <row r="24" spans="1:3" ht="15" customHeight="1" x14ac:dyDescent="0.25">
      <c r="B24" s="15" t="s">
        <v>22</v>
      </c>
      <c r="C24" s="45">
        <v>0.46519999999999989</v>
      </c>
    </row>
    <row r="25" spans="1:3" ht="15" customHeight="1" x14ac:dyDescent="0.25">
      <c r="B25" s="15" t="s">
        <v>23</v>
      </c>
      <c r="C25" s="45">
        <v>0.30449999999999999</v>
      </c>
    </row>
    <row r="26" spans="1:3" ht="15" customHeight="1" x14ac:dyDescent="0.25">
      <c r="B26" s="15" t="s">
        <v>24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0.26147459341354901</v>
      </c>
    </row>
    <row r="30" spans="1:3" ht="14.25" customHeight="1" x14ac:dyDescent="0.25">
      <c r="B30" s="25" t="s">
        <v>27</v>
      </c>
      <c r="C30" s="99">
        <v>3.1847694141973401E-2</v>
      </c>
    </row>
    <row r="31" spans="1:3" ht="14.25" customHeight="1" x14ac:dyDescent="0.25">
      <c r="B31" s="25" t="s">
        <v>28</v>
      </c>
      <c r="C31" s="99">
        <v>5.2301559488866299E-2</v>
      </c>
    </row>
    <row r="32" spans="1:3" ht="14.25" customHeight="1" x14ac:dyDescent="0.25">
      <c r="B32" s="25" t="s">
        <v>29</v>
      </c>
      <c r="C32" s="99">
        <v>0.65437615295561202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19.29918</v>
      </c>
    </row>
    <row r="38" spans="1:5" ht="15" customHeight="1" x14ac:dyDescent="0.25">
      <c r="B38" s="11" t="s">
        <v>34</v>
      </c>
      <c r="C38" s="43">
        <v>31.23901</v>
      </c>
      <c r="D38" s="12"/>
      <c r="E38" s="13"/>
    </row>
    <row r="39" spans="1:5" ht="15" customHeight="1" x14ac:dyDescent="0.25">
      <c r="B39" s="11" t="s">
        <v>35</v>
      </c>
      <c r="C39" s="43">
        <v>41.899279999999997</v>
      </c>
      <c r="D39" s="12"/>
      <c r="E39" s="12"/>
    </row>
    <row r="40" spans="1:5" ht="15" customHeight="1" x14ac:dyDescent="0.25">
      <c r="B40" s="11" t="s">
        <v>36</v>
      </c>
      <c r="C40" s="100">
        <v>3.81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1.25431E-2</v>
      </c>
      <c r="D45" s="12"/>
    </row>
    <row r="46" spans="1:5" ht="15.75" customHeight="1" x14ac:dyDescent="0.25">
      <c r="B46" s="11" t="s">
        <v>41</v>
      </c>
      <c r="C46" s="45">
        <v>0.1325692</v>
      </c>
      <c r="D46" s="12"/>
    </row>
    <row r="47" spans="1:5" ht="15.75" customHeight="1" x14ac:dyDescent="0.25">
      <c r="B47" s="11" t="s">
        <v>42</v>
      </c>
      <c r="C47" s="45">
        <v>0.15164759999999999</v>
      </c>
      <c r="D47" s="12"/>
      <c r="E47" s="13"/>
    </row>
    <row r="48" spans="1:5" ht="15" customHeight="1" x14ac:dyDescent="0.25">
      <c r="B48" s="11" t="s">
        <v>43</v>
      </c>
      <c r="C48" s="46">
        <v>0.70324010000000003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0.49510700000000002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0.14464293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687950</v>
      </c>
      <c r="C2" s="49">
        <v>1578030</v>
      </c>
      <c r="D2" s="49">
        <v>1963398</v>
      </c>
      <c r="E2" s="49">
        <v>1410655</v>
      </c>
      <c r="F2" s="49">
        <v>831126.5</v>
      </c>
      <c r="G2" s="17">
        <f t="shared" ref="G2:G13" si="0">C2+D2+E2+F2</f>
        <v>5783209.5</v>
      </c>
      <c r="H2" s="17">
        <f t="shared" ref="H2:H13" si="1">(B2 + stillbirth*B2/(1000-stillbirth))/(1-abortion)</f>
        <v>794519.35823116044</v>
      </c>
      <c r="I2" s="17">
        <f t="shared" ref="I2:I13" si="2">G2-H2</f>
        <v>4988690.1417688392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698306</v>
      </c>
      <c r="C3" s="50">
        <v>1607686</v>
      </c>
      <c r="D3" s="50">
        <v>2042677</v>
      </c>
      <c r="E3" s="50">
        <v>1438951.5</v>
      </c>
      <c r="F3" s="50">
        <v>887830.5</v>
      </c>
      <c r="G3" s="17">
        <f t="shared" si="0"/>
        <v>5977145</v>
      </c>
      <c r="H3" s="17">
        <f t="shared" si="1"/>
        <v>806479.59149497608</v>
      </c>
      <c r="I3" s="17">
        <f t="shared" si="2"/>
        <v>5170665.4085050244</v>
      </c>
    </row>
    <row r="4" spans="1:9" ht="15.75" customHeight="1" x14ac:dyDescent="0.25">
      <c r="A4" s="5">
        <f t="shared" si="3"/>
        <v>2026</v>
      </c>
      <c r="B4" s="49">
        <v>709710</v>
      </c>
      <c r="C4" s="50">
        <v>1631297.5</v>
      </c>
      <c r="D4" s="50">
        <v>2124874.5</v>
      </c>
      <c r="E4" s="50">
        <v>1471056</v>
      </c>
      <c r="F4" s="50">
        <v>941192.00000000012</v>
      </c>
      <c r="G4" s="17">
        <f t="shared" si="0"/>
        <v>6168420</v>
      </c>
      <c r="H4" s="17">
        <f t="shared" si="1"/>
        <v>819650.16895157634</v>
      </c>
      <c r="I4" s="17">
        <f t="shared" si="2"/>
        <v>5348769.8310484234</v>
      </c>
    </row>
    <row r="5" spans="1:9" ht="15.75" customHeight="1" x14ac:dyDescent="0.25">
      <c r="A5" s="5">
        <f t="shared" si="3"/>
        <v>2027</v>
      </c>
      <c r="B5" s="49">
        <v>717845</v>
      </c>
      <c r="C5" s="50">
        <v>1650578</v>
      </c>
      <c r="D5" s="50">
        <v>2207309.5</v>
      </c>
      <c r="E5" s="50">
        <v>1508576.5</v>
      </c>
      <c r="F5" s="50">
        <v>989544.5</v>
      </c>
      <c r="G5" s="17">
        <f t="shared" si="0"/>
        <v>6356008.5</v>
      </c>
      <c r="H5" s="17">
        <f t="shared" si="1"/>
        <v>829045.35025720962</v>
      </c>
      <c r="I5" s="17">
        <f t="shared" si="2"/>
        <v>5526963.1497427905</v>
      </c>
    </row>
    <row r="6" spans="1:9" ht="15.75" customHeight="1" x14ac:dyDescent="0.25">
      <c r="A6" s="5">
        <f t="shared" si="3"/>
        <v>2028</v>
      </c>
      <c r="B6" s="49">
        <v>727908</v>
      </c>
      <c r="C6" s="50">
        <v>1666904.5</v>
      </c>
      <c r="D6" s="50">
        <v>2287016.5</v>
      </c>
      <c r="E6" s="50">
        <v>1550820.5</v>
      </c>
      <c r="F6" s="50">
        <v>1031364</v>
      </c>
      <c r="G6" s="17">
        <f t="shared" si="0"/>
        <v>6536105.5</v>
      </c>
      <c r="H6" s="17">
        <f t="shared" si="1"/>
        <v>840667.19530682114</v>
      </c>
      <c r="I6" s="17">
        <f t="shared" si="2"/>
        <v>5695438.3046931792</v>
      </c>
    </row>
    <row r="7" spans="1:9" ht="15.75" customHeight="1" x14ac:dyDescent="0.25">
      <c r="A7" s="5">
        <f t="shared" si="3"/>
        <v>2029</v>
      </c>
      <c r="B7" s="49">
        <v>736141</v>
      </c>
      <c r="C7" s="50">
        <v>1680324</v>
      </c>
      <c r="D7" s="50">
        <v>2362908</v>
      </c>
      <c r="E7" s="50">
        <v>1597427</v>
      </c>
      <c r="F7" s="50">
        <v>1068222.5</v>
      </c>
      <c r="G7" s="17">
        <f t="shared" si="0"/>
        <v>6708881.5</v>
      </c>
      <c r="H7" s="17">
        <f t="shared" si="1"/>
        <v>850175.55765338289</v>
      </c>
      <c r="I7" s="17">
        <f t="shared" si="2"/>
        <v>5858705.9423466176</v>
      </c>
    </row>
    <row r="8" spans="1:9" ht="15.75" customHeight="1" x14ac:dyDescent="0.25">
      <c r="A8" s="5">
        <f t="shared" si="3"/>
        <v>2030</v>
      </c>
      <c r="B8" s="49">
        <v>746353</v>
      </c>
      <c r="C8" s="50">
        <v>1691184</v>
      </c>
      <c r="D8" s="50">
        <v>2435285.5</v>
      </c>
      <c r="E8" s="50">
        <v>1649088.5</v>
      </c>
      <c r="F8" s="50">
        <v>1100319.5</v>
      </c>
      <c r="G8" s="17">
        <f t="shared" si="0"/>
        <v>6875877.5</v>
      </c>
      <c r="H8" s="17">
        <f t="shared" si="1"/>
        <v>861969.48408154852</v>
      </c>
      <c r="I8" s="17">
        <f t="shared" si="2"/>
        <v>6013908.0159184514</v>
      </c>
    </row>
    <row r="9" spans="1:9" ht="15.75" customHeight="1" x14ac:dyDescent="0.25">
      <c r="A9" s="5">
        <f t="shared" si="3"/>
        <v>2031</v>
      </c>
      <c r="B9" s="49">
        <v>748584</v>
      </c>
      <c r="C9" s="50">
        <v>1701640</v>
      </c>
      <c r="D9" s="50">
        <v>2503337.5</v>
      </c>
      <c r="E9" s="50">
        <v>1705467.5</v>
      </c>
      <c r="F9" s="50">
        <v>1126941</v>
      </c>
      <c r="G9" s="17">
        <f t="shared" si="0"/>
        <v>7037386</v>
      </c>
      <c r="H9" s="17">
        <f t="shared" si="1"/>
        <v>864546.08512553968</v>
      </c>
      <c r="I9" s="17">
        <f t="shared" si="2"/>
        <v>6172839.9148744605</v>
      </c>
    </row>
    <row r="10" spans="1:9" ht="15.75" customHeight="1" x14ac:dyDescent="0.25">
      <c r="A10" s="5">
        <f t="shared" si="3"/>
        <v>2032</v>
      </c>
      <c r="B10" s="49">
        <v>757906</v>
      </c>
      <c r="C10" s="50">
        <v>1714255.5</v>
      </c>
      <c r="D10" s="50">
        <v>2564983.5</v>
      </c>
      <c r="E10" s="50">
        <v>1767321.5</v>
      </c>
      <c r="F10" s="50">
        <v>1150241</v>
      </c>
      <c r="G10" s="17">
        <f t="shared" si="0"/>
        <v>7196801.5</v>
      </c>
      <c r="H10" s="17">
        <f t="shared" si="1"/>
        <v>875312.14291670313</v>
      </c>
      <c r="I10" s="17">
        <f t="shared" si="2"/>
        <v>6321489.3570832964</v>
      </c>
    </row>
    <row r="11" spans="1:9" ht="15.75" customHeight="1" x14ac:dyDescent="0.25">
      <c r="A11" s="5">
        <f t="shared" si="3"/>
        <v>2033</v>
      </c>
      <c r="B11" s="49">
        <v>760142</v>
      </c>
      <c r="C11" s="50">
        <v>1730029</v>
      </c>
      <c r="D11" s="50">
        <v>2619056.5</v>
      </c>
      <c r="E11" s="50">
        <v>1835174.5</v>
      </c>
      <c r="F11" s="50">
        <v>1172298.5</v>
      </c>
      <c r="G11" s="17">
        <f t="shared" si="0"/>
        <v>7356558.5</v>
      </c>
      <c r="H11" s="17">
        <f t="shared" si="1"/>
        <v>877894.51850359887</v>
      </c>
      <c r="I11" s="17">
        <f t="shared" si="2"/>
        <v>6478663.9814964011</v>
      </c>
    </row>
    <row r="12" spans="1:9" ht="15.75" customHeight="1" x14ac:dyDescent="0.25">
      <c r="A12" s="5">
        <f t="shared" si="3"/>
        <v>2034</v>
      </c>
      <c r="B12" s="49">
        <v>766161</v>
      </c>
      <c r="C12" s="50">
        <v>1749604</v>
      </c>
      <c r="D12" s="50">
        <v>2664942</v>
      </c>
      <c r="E12" s="50">
        <v>1909073</v>
      </c>
      <c r="F12" s="50">
        <v>1194684.5</v>
      </c>
      <c r="G12" s="17">
        <f t="shared" si="0"/>
        <v>7518303.5</v>
      </c>
      <c r="H12" s="17">
        <f t="shared" si="1"/>
        <v>884845.9132520447</v>
      </c>
      <c r="I12" s="17">
        <f t="shared" si="2"/>
        <v>6633457.5867479555</v>
      </c>
    </row>
    <row r="13" spans="1:9" ht="15.75" customHeight="1" x14ac:dyDescent="0.25">
      <c r="A13" s="5">
        <f t="shared" si="3"/>
        <v>2035</v>
      </c>
      <c r="B13" s="49">
        <v>770109</v>
      </c>
      <c r="C13" s="50">
        <v>1773523.5</v>
      </c>
      <c r="D13" s="50">
        <v>2701851.5</v>
      </c>
      <c r="E13" s="50">
        <v>1987695</v>
      </c>
      <c r="F13" s="50">
        <v>1218143</v>
      </c>
      <c r="G13" s="17">
        <f t="shared" si="0"/>
        <v>7681213</v>
      </c>
      <c r="H13" s="17">
        <f t="shared" si="1"/>
        <v>889405.49232944357</v>
      </c>
      <c r="I13" s="17">
        <f t="shared" si="2"/>
        <v>6791807.5076705562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1.277209872279011E-2</v>
      </c>
    </row>
    <row r="4" spans="1:8" ht="15.75" customHeight="1" x14ac:dyDescent="0.25">
      <c r="B4" s="19" t="s">
        <v>69</v>
      </c>
      <c r="C4" s="101">
        <v>5.3933894606610487E-2</v>
      </c>
    </row>
    <row r="5" spans="1:8" ht="15.75" customHeight="1" x14ac:dyDescent="0.25">
      <c r="B5" s="19" t="s">
        <v>70</v>
      </c>
      <c r="C5" s="101">
        <v>7.7123692287630718E-2</v>
      </c>
    </row>
    <row r="6" spans="1:8" ht="15.75" customHeight="1" x14ac:dyDescent="0.25">
      <c r="B6" s="19" t="s">
        <v>71</v>
      </c>
      <c r="C6" s="101">
        <v>0.244385075561493</v>
      </c>
    </row>
    <row r="7" spans="1:8" ht="15.75" customHeight="1" x14ac:dyDescent="0.25">
      <c r="B7" s="19" t="s">
        <v>72</v>
      </c>
      <c r="C7" s="101">
        <v>0.41540115845988412</v>
      </c>
    </row>
    <row r="8" spans="1:8" ht="15.75" customHeight="1" x14ac:dyDescent="0.25">
      <c r="B8" s="19" t="s">
        <v>73</v>
      </c>
      <c r="C8" s="101">
        <v>1.690199830980013E-3</v>
      </c>
    </row>
    <row r="9" spans="1:8" ht="15.75" customHeight="1" x14ac:dyDescent="0.25">
      <c r="B9" s="19" t="s">
        <v>74</v>
      </c>
      <c r="C9" s="101">
        <v>8.066139193386071E-2</v>
      </c>
    </row>
    <row r="10" spans="1:8" ht="15.75" customHeight="1" x14ac:dyDescent="0.25">
      <c r="B10" s="19" t="s">
        <v>75</v>
      </c>
      <c r="C10" s="101">
        <v>0.1140324885967509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82</v>
      </c>
      <c r="C15" s="101">
        <v>0.20191777974539041</v>
      </c>
      <c r="D15" s="101">
        <v>0.20191777974539041</v>
      </c>
      <c r="E15" s="101">
        <v>0.20191777974539041</v>
      </c>
      <c r="F15" s="101">
        <v>0.20191777974539041</v>
      </c>
    </row>
    <row r="16" spans="1:8" ht="15.75" customHeight="1" x14ac:dyDescent="0.25">
      <c r="B16" s="19" t="s">
        <v>83</v>
      </c>
      <c r="C16" s="101">
        <v>2.0552870920946771E-2</v>
      </c>
      <c r="D16" s="101">
        <v>2.0552870920946771E-2</v>
      </c>
      <c r="E16" s="101">
        <v>2.0552870920946771E-2</v>
      </c>
      <c r="F16" s="101">
        <v>2.0552870920946771E-2</v>
      </c>
    </row>
    <row r="17" spans="1:8" ht="15.75" customHeight="1" x14ac:dyDescent="0.25">
      <c r="B17" s="19" t="s">
        <v>84</v>
      </c>
      <c r="C17" s="101">
        <v>3.5305723411494921E-4</v>
      </c>
      <c r="D17" s="101">
        <v>3.5305723411494921E-4</v>
      </c>
      <c r="E17" s="101">
        <v>3.5305723411494921E-4</v>
      </c>
      <c r="F17" s="101">
        <v>3.5305723411494921E-4</v>
      </c>
    </row>
    <row r="18" spans="1:8" ht="15.75" customHeight="1" x14ac:dyDescent="0.25">
      <c r="B18" s="19" t="s">
        <v>85</v>
      </c>
      <c r="C18" s="101">
        <v>0.1866708259468263</v>
      </c>
      <c r="D18" s="101">
        <v>0.1866708259468263</v>
      </c>
      <c r="E18" s="101">
        <v>0.1866708259468263</v>
      </c>
      <c r="F18" s="101">
        <v>0.1866708259468263</v>
      </c>
    </row>
    <row r="19" spans="1:8" ht="15.75" customHeight="1" x14ac:dyDescent="0.25">
      <c r="B19" s="19" t="s">
        <v>86</v>
      </c>
      <c r="C19" s="101">
        <v>1.9600096966901188E-2</v>
      </c>
      <c r="D19" s="101">
        <v>1.9600096966901188E-2</v>
      </c>
      <c r="E19" s="101">
        <v>1.9600096966901188E-2</v>
      </c>
      <c r="F19" s="101">
        <v>1.9600096966901188E-2</v>
      </c>
    </row>
    <row r="20" spans="1:8" ht="15.75" customHeight="1" x14ac:dyDescent="0.25">
      <c r="B20" s="19" t="s">
        <v>87</v>
      </c>
      <c r="C20" s="101">
        <v>0.14215586047956941</v>
      </c>
      <c r="D20" s="101">
        <v>0.14215586047956941</v>
      </c>
      <c r="E20" s="101">
        <v>0.14215586047956941</v>
      </c>
      <c r="F20" s="101">
        <v>0.14215586047956941</v>
      </c>
    </row>
    <row r="21" spans="1:8" ht="15.75" customHeight="1" x14ac:dyDescent="0.25">
      <c r="B21" s="19" t="s">
        <v>88</v>
      </c>
      <c r="C21" s="101">
        <v>0.11798716773771729</v>
      </c>
      <c r="D21" s="101">
        <v>0.11798716773771729</v>
      </c>
      <c r="E21" s="101">
        <v>0.11798716773771729</v>
      </c>
      <c r="F21" s="101">
        <v>0.11798716773771729</v>
      </c>
    </row>
    <row r="22" spans="1:8" ht="15.75" customHeight="1" x14ac:dyDescent="0.25">
      <c r="B22" s="19" t="s">
        <v>89</v>
      </c>
      <c r="C22" s="101">
        <v>0.1678329481431616</v>
      </c>
      <c r="D22" s="101">
        <v>0.1678329481431616</v>
      </c>
      <c r="E22" s="101">
        <v>0.1678329481431616</v>
      </c>
      <c r="F22" s="101">
        <v>0.1678329481431616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8.1884283999999988E-2</v>
      </c>
    </row>
    <row r="27" spans="1:8" ht="15.75" customHeight="1" x14ac:dyDescent="0.25">
      <c r="B27" s="19" t="s">
        <v>92</v>
      </c>
      <c r="C27" s="101">
        <v>8.1848189999999994E-3</v>
      </c>
    </row>
    <row r="28" spans="1:8" ht="15.75" customHeight="1" x14ac:dyDescent="0.25">
      <c r="B28" s="19" t="s">
        <v>93</v>
      </c>
      <c r="C28" s="101">
        <v>0.14548327699999999</v>
      </c>
    </row>
    <row r="29" spans="1:8" ht="15.75" customHeight="1" x14ac:dyDescent="0.25">
      <c r="B29" s="19" t="s">
        <v>94</v>
      </c>
      <c r="C29" s="101">
        <v>0.157612682</v>
      </c>
    </row>
    <row r="30" spans="1:8" ht="15.75" customHeight="1" x14ac:dyDescent="0.25">
      <c r="B30" s="19" t="s">
        <v>95</v>
      </c>
      <c r="C30" s="101">
        <v>9.9204118000000008E-2</v>
      </c>
    </row>
    <row r="31" spans="1:8" ht="15.75" customHeight="1" x14ac:dyDescent="0.25">
      <c r="B31" s="19" t="s">
        <v>96</v>
      </c>
      <c r="C31" s="101">
        <v>0.10218857200000001</v>
      </c>
    </row>
    <row r="32" spans="1:8" ht="15.75" customHeight="1" x14ac:dyDescent="0.25">
      <c r="B32" s="19" t="s">
        <v>97</v>
      </c>
      <c r="C32" s="101">
        <v>1.7390224999999999E-2</v>
      </c>
    </row>
    <row r="33" spans="2:3" ht="15.75" customHeight="1" x14ac:dyDescent="0.25">
      <c r="B33" s="19" t="s">
        <v>98</v>
      </c>
      <c r="C33" s="101">
        <v>7.9143570999999996E-2</v>
      </c>
    </row>
    <row r="34" spans="2:3" ht="15.75" customHeight="1" x14ac:dyDescent="0.25">
      <c r="B34" s="19" t="s">
        <v>99</v>
      </c>
      <c r="C34" s="101">
        <v>0.308908452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104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105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109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110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122</v>
      </c>
      <c r="C5" s="52">
        <v>9.0194700000000003E-2</v>
      </c>
      <c r="D5" s="52">
        <v>6.6924900000000009E-2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33.512328306813657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0.15484974159402001</v>
      </c>
      <c r="C3" s="98">
        <v>0.95</v>
      </c>
      <c r="D3" s="56">
        <v>44.605343392661311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30.030766511576608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0.1203130428229381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0.33427040000000002</v>
      </c>
      <c r="C10" s="98">
        <v>0.95</v>
      </c>
      <c r="D10" s="56">
        <v>14.13040526178168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0.33427040000000002</v>
      </c>
      <c r="C11" s="98">
        <v>0.95</v>
      </c>
      <c r="D11" s="56">
        <v>14.13040526178168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0.33427040000000002</v>
      </c>
      <c r="C12" s="98">
        <v>0.95</v>
      </c>
      <c r="D12" s="56">
        <v>14.13040526178168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0.33427040000000002</v>
      </c>
      <c r="C13" s="98">
        <v>0.95</v>
      </c>
      <c r="D13" s="56">
        <v>14.13040526178168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0.33427040000000002</v>
      </c>
      <c r="C14" s="98">
        <v>0.95</v>
      </c>
      <c r="D14" s="56">
        <v>14.13040526178168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0.33427040000000002</v>
      </c>
      <c r="C15" s="98">
        <v>0.95</v>
      </c>
      <c r="D15" s="56">
        <v>14.13040526178168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</v>
      </c>
      <c r="C16" s="98">
        <v>0.95</v>
      </c>
      <c r="D16" s="56">
        <v>0.1866821098142778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3.1508066666666702E-2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0.1297400871818</v>
      </c>
      <c r="C18" s="98">
        <v>0.95</v>
      </c>
      <c r="D18" s="56">
        <v>0.80800494022236113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0.49241289999999999</v>
      </c>
      <c r="C19" s="98">
        <v>0.95</v>
      </c>
      <c r="D19" s="56">
        <v>0.80800494022236113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0.20602480000000001</v>
      </c>
      <c r="C21" s="98">
        <v>0.95</v>
      </c>
      <c r="D21" s="56">
        <v>0.80110146350938183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24.054885882818429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4.621869686333798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0.8975014143608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0.33427040000000002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20.43896045604918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0.85758132799216003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57.691469774981172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0.77</v>
      </c>
      <c r="C31" s="98">
        <v>0.95</v>
      </c>
      <c r="D31" s="56">
        <v>0.45959500925169477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0.33618374922887551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0.17305509999999999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0.513741</v>
      </c>
      <c r="C38" s="98">
        <v>0.95</v>
      </c>
      <c r="D38" s="56">
        <v>6.3798849579053014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205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0.70299999999999996</v>
      </c>
      <c r="E2" s="60">
        <f>food_insecure</f>
        <v>0.70299999999999996</v>
      </c>
      <c r="F2" s="60">
        <f>food_insecure</f>
        <v>0.70299999999999996</v>
      </c>
      <c r="G2" s="60">
        <f>food_insecure</f>
        <v>0.70299999999999996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0.70299999999999996</v>
      </c>
      <c r="F5" s="60">
        <f>food_insecure</f>
        <v>0.70299999999999996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0.70299999999999996</v>
      </c>
      <c r="F8" s="60">
        <f>food_insecure</f>
        <v>0.70299999999999996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0.70299999999999996</v>
      </c>
      <c r="F9" s="60">
        <f>food_insecure</f>
        <v>0.70299999999999996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0.70299999999999996</v>
      </c>
      <c r="I15" s="60">
        <f>food_insecure</f>
        <v>0.70299999999999996</v>
      </c>
      <c r="J15" s="60">
        <f>food_insecure</f>
        <v>0.70299999999999996</v>
      </c>
      <c r="K15" s="60">
        <f>food_insecure</f>
        <v>0.70299999999999996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0.254</v>
      </c>
      <c r="M24" s="60">
        <f>famplan_unmet_need</f>
        <v>0.254</v>
      </c>
      <c r="N24" s="60">
        <f>famplan_unmet_need</f>
        <v>0.254</v>
      </c>
      <c r="O24" s="60">
        <f>famplan_unmet_need</f>
        <v>0.254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0.44125296585788709</v>
      </c>
      <c r="M25" s="60">
        <f>(1-food_insecure)*(0.49)+food_insecure*(0.7)</f>
        <v>0.63762999999999992</v>
      </c>
      <c r="N25" s="60">
        <f>(1-food_insecure)*(0.49)+food_insecure*(0.7)</f>
        <v>0.63762999999999992</v>
      </c>
      <c r="O25" s="60">
        <f>(1-food_insecure)*(0.49)+food_insecure*(0.7)</f>
        <v>0.63762999999999992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0.18910841393909447</v>
      </c>
      <c r="M26" s="60">
        <f>(1-food_insecure)*(0.21)+food_insecure*(0.3)</f>
        <v>0.27327000000000001</v>
      </c>
      <c r="N26" s="60">
        <f>(1-food_insecure)*(0.21)+food_insecure*(0.3)</f>
        <v>0.27327000000000001</v>
      </c>
      <c r="O26" s="60">
        <f>(1-food_insecure)*(0.21)+food_insecure*(0.3)</f>
        <v>0.27327000000000001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6.1659017389297473E-2</v>
      </c>
      <c r="M27" s="60">
        <f>(1-food_insecure)*(0.3)</f>
        <v>8.9100000000000013E-2</v>
      </c>
      <c r="N27" s="60">
        <f>(1-food_insecure)*(0.3)</f>
        <v>8.9100000000000013E-2</v>
      </c>
      <c r="O27" s="60">
        <f>(1-food_insecure)*(0.3)</f>
        <v>8.9100000000000013E-2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0.307979602813721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0.77</v>
      </c>
      <c r="D34" s="60">
        <f t="shared" si="3"/>
        <v>0.77</v>
      </c>
      <c r="E34" s="60">
        <f t="shared" si="3"/>
        <v>0.77</v>
      </c>
      <c r="F34" s="60">
        <f t="shared" si="3"/>
        <v>0.77</v>
      </c>
      <c r="G34" s="60">
        <f t="shared" si="3"/>
        <v>0.77</v>
      </c>
      <c r="H34" s="60">
        <f t="shared" si="3"/>
        <v>0.77</v>
      </c>
      <c r="I34" s="60">
        <f t="shared" si="3"/>
        <v>0.77</v>
      </c>
      <c r="J34" s="60">
        <f t="shared" si="3"/>
        <v>0.77</v>
      </c>
      <c r="K34" s="60">
        <f t="shared" si="3"/>
        <v>0.77</v>
      </c>
      <c r="L34" s="60">
        <f t="shared" si="3"/>
        <v>0.77</v>
      </c>
      <c r="M34" s="60">
        <f t="shared" si="3"/>
        <v>0.77</v>
      </c>
      <c r="N34" s="60">
        <f t="shared" si="3"/>
        <v>0.77</v>
      </c>
      <c r="O34" s="60">
        <f t="shared" si="3"/>
        <v>0.77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EA67FCF-EA91-47E1-924C-327C465660CA}"/>
</file>

<file path=customXml/itemProps2.xml><?xml version="1.0" encoding="utf-8"?>
<ds:datastoreItem xmlns:ds="http://schemas.openxmlformats.org/officeDocument/2006/customXml" ds:itemID="{A831BA4B-8CD3-4E5C-838C-F43EA3BE375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2024-04-11T00:41:10Z</dcterms:modified>
</cp:coreProperties>
</file>