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270809A-7E2B-4BD6-82D8-0B8505FD12F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<sst xmlns="http://schemas.openxmlformats.org/spreadsheetml/2006/main" count="2102" uniqueCount="341">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</sst>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3244306.5</v>
      </c>
    </row>
    <row r="8" spans="1:3" ht="15" customHeight="1" x14ac:dyDescent="0.25">
      <c r="B8" s="5" t="s">
        <v>8</v>
      </c>
      <c r="C8" s="44">
        <v>0.70299999999999996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0.307979602813721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9">
        <v>3.1847694141973401E-2</v>
      </c>
    </row>
    <row r="31" spans="1:3" ht="14.25" customHeight="1" x14ac:dyDescent="0.25">
      <c r="B31" s="25" t="s">
        <v>28</v>
      </c>
      <c r="C31" s="99">
        <v>5.2301559488866299E-2</v>
      </c>
    </row>
    <row r="32" spans="1:3" ht="14.25" customHeight="1" x14ac:dyDescent="0.25">
      <c r="B32" s="25" t="s">
        <v>29</v>
      </c>
      <c r="C32" s="99">
        <v>0.65437615295561202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0.14464293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687950</v>
      </c>
      <c r="C2" s="49">
        <v>1578030</v>
      </c>
      <c r="D2" s="49">
        <v>1963398</v>
      </c>
      <c r="E2" s="49">
        <v>1410655</v>
      </c>
      <c r="F2" s="49">
        <v>831126.5</v>
      </c>
      <c r="G2" s="17">
        <f t="shared" ref="G2:G13" si="0">C2+D2+E2+F2</f>
        <v>5783209.5</v>
      </c>
      <c r="H2" s="17">
        <f t="shared" ref="H2:H13" si="1">(B2 + stillbirth*B2/(1000-stillbirth))/(1-abortion)</f>
        <v>794519.35823116044</v>
      </c>
      <c r="I2" s="17">
        <f t="shared" ref="I2:I13" si="2">G2-H2</f>
        <v>4988690.1417688392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698306</v>
      </c>
      <c r="C3" s="50">
        <v>1607686</v>
      </c>
      <c r="D3" s="50">
        <v>2042677</v>
      </c>
      <c r="E3" s="50">
        <v>1438951.5</v>
      </c>
      <c r="F3" s="50">
        <v>887830.5</v>
      </c>
      <c r="G3" s="17">
        <f t="shared" si="0"/>
        <v>5977145</v>
      </c>
      <c r="H3" s="17">
        <f t="shared" si="1"/>
        <v>806479.59149497608</v>
      </c>
      <c r="I3" s="17">
        <f t="shared" si="2"/>
        <v>5170665.4085050244</v>
      </c>
    </row>
    <row r="4" spans="1:9" ht="15.75" customHeight="1" x14ac:dyDescent="0.25">
      <c r="A4" s="5">
        <f t="shared" si="3"/>
        <v>2026</v>
      </c>
      <c r="B4" s="49">
        <v>709710</v>
      </c>
      <c r="C4" s="50">
        <v>1631297.5</v>
      </c>
      <c r="D4" s="50">
        <v>2124874.5</v>
      </c>
      <c r="E4" s="50">
        <v>1471056</v>
      </c>
      <c r="F4" s="50">
        <v>941192.00000000012</v>
      </c>
      <c r="G4" s="17">
        <f t="shared" si="0"/>
        <v>6168420</v>
      </c>
      <c r="H4" s="17">
        <f t="shared" si="1"/>
        <v>819650.16895157634</v>
      </c>
      <c r="I4" s="17">
        <f t="shared" si="2"/>
        <v>5348769.8310484234</v>
      </c>
    </row>
    <row r="5" spans="1:9" ht="15.75" customHeight="1" x14ac:dyDescent="0.25">
      <c r="A5" s="5">
        <f t="shared" si="3"/>
        <v>2027</v>
      </c>
      <c r="B5" s="49">
        <v>717845</v>
      </c>
      <c r="C5" s="50">
        <v>1650578</v>
      </c>
      <c r="D5" s="50">
        <v>2207309.5</v>
      </c>
      <c r="E5" s="50">
        <v>1508576.5</v>
      </c>
      <c r="F5" s="50">
        <v>989544.5</v>
      </c>
      <c r="G5" s="17">
        <f t="shared" si="0"/>
        <v>6356008.5</v>
      </c>
      <c r="H5" s="17">
        <f t="shared" si="1"/>
        <v>829045.35025720962</v>
      </c>
      <c r="I5" s="17">
        <f t="shared" si="2"/>
        <v>5526963.1497427905</v>
      </c>
    </row>
    <row r="6" spans="1:9" ht="15.75" customHeight="1" x14ac:dyDescent="0.25">
      <c r="A6" s="5">
        <f t="shared" si="3"/>
        <v>2028</v>
      </c>
      <c r="B6" s="49">
        <v>727908</v>
      </c>
      <c r="C6" s="50">
        <v>1666904.5</v>
      </c>
      <c r="D6" s="50">
        <v>2287016.5</v>
      </c>
      <c r="E6" s="50">
        <v>1550820.5</v>
      </c>
      <c r="F6" s="50">
        <v>1031364</v>
      </c>
      <c r="G6" s="17">
        <f t="shared" si="0"/>
        <v>6536105.5</v>
      </c>
      <c r="H6" s="17">
        <f t="shared" si="1"/>
        <v>840667.19530682114</v>
      </c>
      <c r="I6" s="17">
        <f t="shared" si="2"/>
        <v>5695438.3046931792</v>
      </c>
    </row>
    <row r="7" spans="1:9" ht="15.75" customHeight="1" x14ac:dyDescent="0.25">
      <c r="A7" s="5">
        <f t="shared" si="3"/>
        <v>2029</v>
      </c>
      <c r="B7" s="49">
        <v>736141</v>
      </c>
      <c r="C7" s="50">
        <v>1680324</v>
      </c>
      <c r="D7" s="50">
        <v>2362908</v>
      </c>
      <c r="E7" s="50">
        <v>1597427</v>
      </c>
      <c r="F7" s="50">
        <v>1068222.5</v>
      </c>
      <c r="G7" s="17">
        <f t="shared" si="0"/>
        <v>6708881.5</v>
      </c>
      <c r="H7" s="17">
        <f t="shared" si="1"/>
        <v>850175.55765338289</v>
      </c>
      <c r="I7" s="17">
        <f t="shared" si="2"/>
        <v>5858705.9423466176</v>
      </c>
    </row>
    <row r="8" spans="1:9" ht="15.75" customHeight="1" x14ac:dyDescent="0.25">
      <c r="A8" s="5">
        <f t="shared" si="3"/>
        <v>2030</v>
      </c>
      <c r="B8" s="49">
        <v>746353</v>
      </c>
      <c r="C8" s="50">
        <v>1691184</v>
      </c>
      <c r="D8" s="50">
        <v>2435285.5</v>
      </c>
      <c r="E8" s="50">
        <v>1649088.5</v>
      </c>
      <c r="F8" s="50">
        <v>1100319.5</v>
      </c>
      <c r="G8" s="17">
        <f t="shared" si="0"/>
        <v>6875877.5</v>
      </c>
      <c r="H8" s="17">
        <f t="shared" si="1"/>
        <v>861969.48408154852</v>
      </c>
      <c r="I8" s="17">
        <f t="shared" si="2"/>
        <v>6013908.0159184514</v>
      </c>
    </row>
    <row r="9" spans="1:9" ht="15.75" customHeight="1" x14ac:dyDescent="0.25">
      <c r="A9" s="5">
        <f t="shared" si="3"/>
        <v>2031</v>
      </c>
      <c r="B9" s="49">
        <v>748584</v>
      </c>
      <c r="C9" s="50">
        <v>1701640</v>
      </c>
      <c r="D9" s="50">
        <v>2503337.5</v>
      </c>
      <c r="E9" s="50">
        <v>1705467.5</v>
      </c>
      <c r="F9" s="50">
        <v>1126941</v>
      </c>
      <c r="G9" s="17">
        <f t="shared" si="0"/>
        <v>7037386</v>
      </c>
      <c r="H9" s="17">
        <f t="shared" si="1"/>
        <v>864546.08512553968</v>
      </c>
      <c r="I9" s="17">
        <f t="shared" si="2"/>
        <v>6172839.9148744605</v>
      </c>
    </row>
    <row r="10" spans="1:9" ht="15.75" customHeight="1" x14ac:dyDescent="0.25">
      <c r="A10" s="5">
        <f t="shared" si="3"/>
        <v>2032</v>
      </c>
      <c r="B10" s="49">
        <v>757906</v>
      </c>
      <c r="C10" s="50">
        <v>1714255.5</v>
      </c>
      <c r="D10" s="50">
        <v>2564983.5</v>
      </c>
      <c r="E10" s="50">
        <v>1767321.5</v>
      </c>
      <c r="F10" s="50">
        <v>1150241</v>
      </c>
      <c r="G10" s="17">
        <f t="shared" si="0"/>
        <v>7196801.5</v>
      </c>
      <c r="H10" s="17">
        <f t="shared" si="1"/>
        <v>875312.14291670313</v>
      </c>
      <c r="I10" s="17">
        <f t="shared" si="2"/>
        <v>6321489.3570832964</v>
      </c>
    </row>
    <row r="11" spans="1:9" ht="15.75" customHeight="1" x14ac:dyDescent="0.25">
      <c r="A11" s="5">
        <f t="shared" si="3"/>
        <v>2033</v>
      </c>
      <c r="B11" s="49">
        <v>760142</v>
      </c>
      <c r="C11" s="50">
        <v>1730029</v>
      </c>
      <c r="D11" s="50">
        <v>2619056.5</v>
      </c>
      <c r="E11" s="50">
        <v>1835174.5</v>
      </c>
      <c r="F11" s="50">
        <v>1172298.5</v>
      </c>
      <c r="G11" s="17">
        <f t="shared" si="0"/>
        <v>7356558.5</v>
      </c>
      <c r="H11" s="17">
        <f t="shared" si="1"/>
        <v>877894.51850359887</v>
      </c>
      <c r="I11" s="17">
        <f t="shared" si="2"/>
        <v>6478663.9814964011</v>
      </c>
    </row>
    <row r="12" spans="1:9" ht="15.75" customHeight="1" x14ac:dyDescent="0.25">
      <c r="A12" s="5">
        <f t="shared" si="3"/>
        <v>2034</v>
      </c>
      <c r="B12" s="49">
        <v>766161</v>
      </c>
      <c r="C12" s="50">
        <v>1749604</v>
      </c>
      <c r="D12" s="50">
        <v>2664942</v>
      </c>
      <c r="E12" s="50">
        <v>1909073</v>
      </c>
      <c r="F12" s="50">
        <v>1194684.5</v>
      </c>
      <c r="G12" s="17">
        <f t="shared" si="0"/>
        <v>7518303.5</v>
      </c>
      <c r="H12" s="17">
        <f t="shared" si="1"/>
        <v>884845.9132520447</v>
      </c>
      <c r="I12" s="17">
        <f t="shared" si="2"/>
        <v>6633457.5867479555</v>
      </c>
    </row>
    <row r="13" spans="1:9" ht="15.75" customHeight="1" x14ac:dyDescent="0.25">
      <c r="A13" s="5">
        <f t="shared" si="3"/>
        <v>2035</v>
      </c>
      <c r="B13" s="49">
        <v>770109</v>
      </c>
      <c r="C13" s="50">
        <v>1773523.5</v>
      </c>
      <c r="D13" s="50">
        <v>2701851.5</v>
      </c>
      <c r="E13" s="50">
        <v>1987695</v>
      </c>
      <c r="F13" s="50">
        <v>1218143</v>
      </c>
      <c r="G13" s="17">
        <f t="shared" si="0"/>
        <v>7681213</v>
      </c>
      <c r="H13" s="17">
        <f t="shared" si="1"/>
        <v>889405.49232944357</v>
      </c>
      <c r="I13" s="17">
        <f t="shared" si="2"/>
        <v>6791807.5076705562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101">
        <v>5.3933894606610487E-2</v>
      </c>
    </row>
    <row r="5" spans="1:8" ht="15.75" customHeight="1" x14ac:dyDescent="0.25">
      <c r="B5" s="19" t="s">
        <v>70</v>
      </c>
      <c r="C5" s="101">
        <v>7.7123692287630718E-2</v>
      </c>
    </row>
    <row r="6" spans="1:8" ht="15.75" customHeight="1" x14ac:dyDescent="0.25">
      <c r="B6" s="19" t="s">
        <v>71</v>
      </c>
      <c r="C6" s="101">
        <v>0.244385075561493</v>
      </c>
    </row>
    <row r="7" spans="1:8" ht="15.75" customHeight="1" x14ac:dyDescent="0.25">
      <c r="B7" s="19" t="s">
        <v>72</v>
      </c>
      <c r="C7" s="101">
        <v>0.41540115845988412</v>
      </c>
    </row>
    <row r="8" spans="1:8" ht="15.75" customHeight="1" x14ac:dyDescent="0.25">
      <c r="B8" s="19" t="s">
        <v>73</v>
      </c>
      <c r="C8" s="101">
        <v>1.690199830980013E-3</v>
      </c>
    </row>
    <row r="9" spans="1:8" ht="15.75" customHeight="1" x14ac:dyDescent="0.25">
      <c r="B9" s="19" t="s">
        <v>74</v>
      </c>
      <c r="C9" s="101">
        <v>8.066139193386071E-2</v>
      </c>
    </row>
    <row r="10" spans="1:8" ht="15.75" customHeight="1" x14ac:dyDescent="0.25">
      <c r="B10" s="19" t="s">
        <v>75</v>
      </c>
      <c r="C10" s="101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83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84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85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86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87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89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101">
        <v>8.1848189999999994E-3</v>
      </c>
    </row>
    <row r="28" spans="1:8" ht="15.75" customHeight="1" x14ac:dyDescent="0.25">
      <c r="B28" s="19" t="s">
        <v>93</v>
      </c>
      <c r="C28" s="101">
        <v>0.14548327699999999</v>
      </c>
    </row>
    <row r="29" spans="1:8" ht="15.75" customHeight="1" x14ac:dyDescent="0.25">
      <c r="B29" s="19" t="s">
        <v>94</v>
      </c>
      <c r="C29" s="101">
        <v>0.157612682</v>
      </c>
    </row>
    <row r="30" spans="1:8" ht="15.75" customHeight="1" x14ac:dyDescent="0.25">
      <c r="B30" s="19" t="s">
        <v>95</v>
      </c>
      <c r="C30" s="101">
        <v>9.9204118000000008E-2</v>
      </c>
    </row>
    <row r="31" spans="1:8" ht="15.75" customHeight="1" x14ac:dyDescent="0.25">
      <c r="B31" s="19" t="s">
        <v>96</v>
      </c>
      <c r="C31" s="101">
        <v>0.10218857200000001</v>
      </c>
    </row>
    <row r="32" spans="1:8" ht="15.75" customHeight="1" x14ac:dyDescent="0.25">
      <c r="B32" s="19" t="s">
        <v>97</v>
      </c>
      <c r="C32" s="101">
        <v>1.7390224999999999E-2</v>
      </c>
    </row>
    <row r="33" spans="2:3" ht="15.75" customHeight="1" x14ac:dyDescent="0.25">
      <c r="B33" s="19" t="s">
        <v>98</v>
      </c>
      <c r="C33" s="101">
        <v>7.9143570999999996E-2</v>
      </c>
    </row>
    <row r="34" spans="2:3" ht="15.75" customHeight="1" x14ac:dyDescent="0.25">
      <c r="B34" s="19" t="s">
        <v>99</v>
      </c>
      <c r="C34" s="101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33.512328306813657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0.15484974159402001</v>
      </c>
      <c r="C3" s="98">
        <v>0.95</v>
      </c>
      <c r="D3" s="56">
        <v>44.605343392661311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30.030766511576608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0.1203130428229381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0.33427040000000002</v>
      </c>
      <c r="C10" s="98">
        <v>0.95</v>
      </c>
      <c r="D10" s="56">
        <v>14.13040526178168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0.33427040000000002</v>
      </c>
      <c r="C11" s="98">
        <v>0.95</v>
      </c>
      <c r="D11" s="56">
        <v>14.13040526178168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0.33427040000000002</v>
      </c>
      <c r="C12" s="98">
        <v>0.95</v>
      </c>
      <c r="D12" s="56">
        <v>14.13040526178168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0.33427040000000002</v>
      </c>
      <c r="C13" s="98">
        <v>0.95</v>
      </c>
      <c r="D13" s="56">
        <v>14.13040526178168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0.33427040000000002</v>
      </c>
      <c r="C14" s="98">
        <v>0.95</v>
      </c>
      <c r="D14" s="56">
        <v>14.13040526178168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0.33427040000000002</v>
      </c>
      <c r="C15" s="98">
        <v>0.95</v>
      </c>
      <c r="D15" s="56">
        <v>14.13040526178168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0.1866821098142778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3.1508066666666702E-2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0.1297400871818</v>
      </c>
      <c r="C18" s="98">
        <v>0.95</v>
      </c>
      <c r="D18" s="56">
        <v>0.80800494022236113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0.49241289999999999</v>
      </c>
      <c r="C19" s="98">
        <v>0.95</v>
      </c>
      <c r="D19" s="56">
        <v>0.80800494022236113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0.20602480000000001</v>
      </c>
      <c r="C21" s="98">
        <v>0.95</v>
      </c>
      <c r="D21" s="56">
        <v>0.80110146350938183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24.054885882818429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4.621869686333798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0.8975014143608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0.33427040000000002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20.43896045604918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0.85758132799216003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57.691469774981172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0.77</v>
      </c>
      <c r="C31" s="98">
        <v>0.95</v>
      </c>
      <c r="D31" s="56">
        <v>0.45959500925169477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0.33618374922887551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0.17305509999999999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0.513741</v>
      </c>
      <c r="C38" s="98">
        <v>0.95</v>
      </c>
      <c r="D38" s="56">
        <v>6.3798849579053014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205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2024-05-09T01:46:32Z</dcterms:modified>
</cp:coreProperties>
</file>