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07197D6-9087-429F-AAE0-A5227D13D27A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2" i="2"/>
  <c r="A31" i="2"/>
  <c r="A29" i="2"/>
  <c r="A28" i="2"/>
  <c r="A27" i="2"/>
  <c r="A26" i="2"/>
  <c r="A24" i="2"/>
  <c r="A23" i="2"/>
  <c r="A21" i="2"/>
  <c r="A20" i="2"/>
  <c r="A19" i="2"/>
  <c r="A18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<sst xmlns="http://schemas.openxmlformats.org/spreadsheetml/2006/main" count="2092" uniqueCount="341">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</sst>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1487954.1875</v>
      </c>
    </row>
    <row r="8" spans="1:3" ht="15" customHeight="1" x14ac:dyDescent="0.25">
      <c r="B8" s="5" t="s">
        <v>8</v>
      </c>
      <c r="C8" s="44">
        <v>8.0000000000000002E-3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0.90408493041992199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3.6700000000000003E-2</v>
      </c>
    </row>
    <row r="24" spans="1:3" ht="15" customHeight="1" x14ac:dyDescent="0.25">
      <c r="B24" s="15" t="s">
        <v>22</v>
      </c>
      <c r="C24" s="45">
        <v>0.48730000000000001</v>
      </c>
    </row>
    <row r="25" spans="1:3" ht="15" customHeight="1" x14ac:dyDescent="0.25">
      <c r="B25" s="15" t="s">
        <v>23</v>
      </c>
      <c r="C25" s="45">
        <v>0.43280000000000002</v>
      </c>
    </row>
    <row r="26" spans="1:3" ht="15" customHeight="1" x14ac:dyDescent="0.25">
      <c r="B26" s="15" t="s">
        <v>24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3.8523700000000001</v>
      </c>
    </row>
    <row r="38" spans="1:5" ht="15" customHeight="1" x14ac:dyDescent="0.25">
      <c r="B38" s="11" t="s">
        <v>34</v>
      </c>
      <c r="C38" s="43">
        <v>5.7698299999999998</v>
      </c>
      <c r="D38" s="12"/>
      <c r="E38" s="13"/>
    </row>
    <row r="39" spans="1:5" ht="15" customHeight="1" x14ac:dyDescent="0.25">
      <c r="B39" s="11" t="s">
        <v>35</v>
      </c>
      <c r="C39" s="43">
        <v>6.7480700000000002</v>
      </c>
      <c r="D39" s="12"/>
      <c r="E39" s="12"/>
    </row>
    <row r="40" spans="1:5" ht="15" customHeight="1" x14ac:dyDescent="0.25">
      <c r="B40" s="11" t="s">
        <v>36</v>
      </c>
      <c r="C40" s="100">
        <v>0.28999999999999998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6.7450000000000001E-3</v>
      </c>
      <c r="D45" s="12"/>
    </row>
    <row r="46" spans="1:5" ht="15.75" customHeight="1" x14ac:dyDescent="0.25">
      <c r="B46" s="11" t="s">
        <v>41</v>
      </c>
      <c r="C46" s="45">
        <v>7.1213499999999999E-2</v>
      </c>
      <c r="D46" s="12"/>
    </row>
    <row r="47" spans="1:5" ht="15.75" customHeight="1" x14ac:dyDescent="0.25">
      <c r="B47" s="11" t="s">
        <v>42</v>
      </c>
      <c r="C47" s="45">
        <v>0.17027529999999999</v>
      </c>
      <c r="D47" s="12"/>
      <c r="E47" s="13"/>
    </row>
    <row r="48" spans="1:5" ht="15" customHeight="1" x14ac:dyDescent="0.25">
      <c r="B48" s="11" t="s">
        <v>43</v>
      </c>
      <c r="C48" s="46">
        <v>0.75176620000000005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0.62930399999999997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0.15888087000000001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293845.08600000001</v>
      </c>
      <c r="C2" s="49">
        <v>873000</v>
      </c>
      <c r="D2" s="49">
        <v>1547000</v>
      </c>
      <c r="E2" s="49">
        <v>2953000</v>
      </c>
      <c r="F2" s="49">
        <v>2154000</v>
      </c>
      <c r="G2" s="17">
        <f t="shared" ref="G2:G13" si="0">C2+D2+E2+F2</f>
        <v>7527000</v>
      </c>
      <c r="H2" s="17">
        <f t="shared" ref="H2:H13" si="1">(B2 + stillbirth*B2/(1000-stillbirth))/(1-abortion)</f>
        <v>335932.9777403312</v>
      </c>
      <c r="I2" s="17">
        <f t="shared" ref="I2:I13" si="2">G2-H2</f>
        <v>7191067.0222596684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290021.08299999998</v>
      </c>
      <c r="C3" s="50">
        <v>869000</v>
      </c>
      <c r="D3" s="50">
        <v>1558000</v>
      </c>
      <c r="E3" s="50">
        <v>3055000</v>
      </c>
      <c r="F3" s="50">
        <v>2215000</v>
      </c>
      <c r="G3" s="17">
        <f t="shared" si="0"/>
        <v>7697000</v>
      </c>
      <c r="H3" s="17">
        <f t="shared" si="1"/>
        <v>331561.25680340873</v>
      </c>
      <c r="I3" s="17">
        <f t="shared" si="2"/>
        <v>7365438.7431965917</v>
      </c>
    </row>
    <row r="4" spans="1:9" ht="15.75" customHeight="1" x14ac:dyDescent="0.25">
      <c r="A4" s="5">
        <f t="shared" si="3"/>
        <v>2026</v>
      </c>
      <c r="B4" s="49">
        <v>288513.61920000007</v>
      </c>
      <c r="C4" s="50">
        <v>858000</v>
      </c>
      <c r="D4" s="50">
        <v>1573000</v>
      </c>
      <c r="E4" s="50">
        <v>3166000</v>
      </c>
      <c r="F4" s="50">
        <v>2272000</v>
      </c>
      <c r="G4" s="17">
        <f t="shared" si="0"/>
        <v>7869000</v>
      </c>
      <c r="H4" s="17">
        <f t="shared" si="1"/>
        <v>329837.87660310237</v>
      </c>
      <c r="I4" s="17">
        <f t="shared" si="2"/>
        <v>7539162.1233968977</v>
      </c>
    </row>
    <row r="5" spans="1:9" ht="15.75" customHeight="1" x14ac:dyDescent="0.25">
      <c r="A5" s="5">
        <f t="shared" si="3"/>
        <v>2027</v>
      </c>
      <c r="B5" s="49">
        <v>286922.52940000012</v>
      </c>
      <c r="C5" s="50">
        <v>842000</v>
      </c>
      <c r="D5" s="50">
        <v>1589000</v>
      </c>
      <c r="E5" s="50">
        <v>3284000</v>
      </c>
      <c r="F5" s="50">
        <v>2328000</v>
      </c>
      <c r="G5" s="17">
        <f t="shared" si="0"/>
        <v>8043000</v>
      </c>
      <c r="H5" s="17">
        <f t="shared" si="1"/>
        <v>328018.89251988288</v>
      </c>
      <c r="I5" s="17">
        <f t="shared" si="2"/>
        <v>7714981.1074801171</v>
      </c>
    </row>
    <row r="6" spans="1:9" ht="15.75" customHeight="1" x14ac:dyDescent="0.25">
      <c r="A6" s="5">
        <f t="shared" si="3"/>
        <v>2028</v>
      </c>
      <c r="B6" s="49">
        <v>285262.33260000008</v>
      </c>
      <c r="C6" s="50">
        <v>824000</v>
      </c>
      <c r="D6" s="50">
        <v>1604000</v>
      </c>
      <c r="E6" s="50">
        <v>3407000</v>
      </c>
      <c r="F6" s="50">
        <v>2386000</v>
      </c>
      <c r="G6" s="17">
        <f t="shared" si="0"/>
        <v>8221000</v>
      </c>
      <c r="H6" s="17">
        <f t="shared" si="1"/>
        <v>326120.90313285269</v>
      </c>
      <c r="I6" s="17">
        <f t="shared" si="2"/>
        <v>7894879.0968671469</v>
      </c>
    </row>
    <row r="7" spans="1:9" ht="15.75" customHeight="1" x14ac:dyDescent="0.25">
      <c r="A7" s="5">
        <f t="shared" si="3"/>
        <v>2029</v>
      </c>
      <c r="B7" s="49">
        <v>283547.19900000008</v>
      </c>
      <c r="C7" s="50">
        <v>807000</v>
      </c>
      <c r="D7" s="50">
        <v>1615000</v>
      </c>
      <c r="E7" s="50">
        <v>3531000</v>
      </c>
      <c r="F7" s="50">
        <v>2448000</v>
      </c>
      <c r="G7" s="17">
        <f t="shared" si="0"/>
        <v>8401000</v>
      </c>
      <c r="H7" s="17">
        <f t="shared" si="1"/>
        <v>324160.10826194409</v>
      </c>
      <c r="I7" s="17">
        <f t="shared" si="2"/>
        <v>8076839.8917380562</v>
      </c>
    </row>
    <row r="8" spans="1:9" ht="15.75" customHeight="1" x14ac:dyDescent="0.25">
      <c r="A8" s="5">
        <f t="shared" si="3"/>
        <v>2030</v>
      </c>
      <c r="B8" s="49">
        <v>281765.40000000002</v>
      </c>
      <c r="C8" s="50">
        <v>792000</v>
      </c>
      <c r="D8" s="50">
        <v>1620000</v>
      </c>
      <c r="E8" s="50">
        <v>3654000</v>
      </c>
      <c r="F8" s="50">
        <v>2516000</v>
      </c>
      <c r="G8" s="17">
        <f t="shared" si="0"/>
        <v>8582000</v>
      </c>
      <c r="H8" s="17">
        <f t="shared" si="1"/>
        <v>322123.09940141562</v>
      </c>
      <c r="I8" s="17">
        <f t="shared" si="2"/>
        <v>8259876.9005985847</v>
      </c>
    </row>
    <row r="9" spans="1:9" ht="15.75" customHeight="1" x14ac:dyDescent="0.25">
      <c r="A9" s="5">
        <f t="shared" si="3"/>
        <v>2031</v>
      </c>
      <c r="B9" s="49">
        <v>280039.7305714286</v>
      </c>
      <c r="C9" s="50">
        <v>780428.57142857148</v>
      </c>
      <c r="D9" s="50">
        <v>1630428.5714285709</v>
      </c>
      <c r="E9" s="50">
        <v>3754142.8571428568</v>
      </c>
      <c r="F9" s="50">
        <v>2567714.2857142859</v>
      </c>
      <c r="G9" s="17">
        <f t="shared" si="0"/>
        <v>8732714.2857142854</v>
      </c>
      <c r="H9" s="17">
        <f t="shared" si="1"/>
        <v>320150.25963871338</v>
      </c>
      <c r="I9" s="17">
        <f t="shared" si="2"/>
        <v>8412564.0260755718</v>
      </c>
    </row>
    <row r="10" spans="1:9" ht="15.75" customHeight="1" x14ac:dyDescent="0.25">
      <c r="A10" s="5">
        <f t="shared" si="3"/>
        <v>2032</v>
      </c>
      <c r="B10" s="49">
        <v>278613.82308163273</v>
      </c>
      <c r="C10" s="50">
        <v>767775.51020408166</v>
      </c>
      <c r="D10" s="50">
        <v>1640775.5102040819</v>
      </c>
      <c r="E10" s="50">
        <v>3854020.4081632649</v>
      </c>
      <c r="F10" s="50">
        <v>2618102.0408163271</v>
      </c>
      <c r="G10" s="17">
        <f t="shared" si="0"/>
        <v>8880673.4693877567</v>
      </c>
      <c r="H10" s="17">
        <f t="shared" si="1"/>
        <v>318520.11718661408</v>
      </c>
      <c r="I10" s="17">
        <f t="shared" si="2"/>
        <v>8562153.3522011433</v>
      </c>
    </row>
    <row r="11" spans="1:9" ht="15.75" customHeight="1" x14ac:dyDescent="0.25">
      <c r="A11" s="5">
        <f t="shared" si="3"/>
        <v>2033</v>
      </c>
      <c r="B11" s="49">
        <v>277199.56649329449</v>
      </c>
      <c r="C11" s="50">
        <v>754886.29737609334</v>
      </c>
      <c r="D11" s="50">
        <v>1650457.7259475221</v>
      </c>
      <c r="E11" s="50">
        <v>3952309.0379008749</v>
      </c>
      <c r="F11" s="50">
        <v>2667545.1895043729</v>
      </c>
      <c r="G11" s="17">
        <f t="shared" si="0"/>
        <v>9025198.2507288642</v>
      </c>
      <c r="H11" s="17">
        <f t="shared" si="1"/>
        <v>316903.29441282997</v>
      </c>
      <c r="I11" s="17">
        <f t="shared" si="2"/>
        <v>8708294.9563160334</v>
      </c>
    </row>
    <row r="12" spans="1:9" ht="15.75" customHeight="1" x14ac:dyDescent="0.25">
      <c r="A12" s="5">
        <f t="shared" si="3"/>
        <v>2034</v>
      </c>
      <c r="B12" s="49">
        <v>275810.57179233647</v>
      </c>
      <c r="C12" s="50">
        <v>742441.48271553521</v>
      </c>
      <c r="D12" s="50">
        <v>1659237.401082882</v>
      </c>
      <c r="E12" s="50">
        <v>4047781.7576009999</v>
      </c>
      <c r="F12" s="50">
        <v>2716051.6451478549</v>
      </c>
      <c r="G12" s="17">
        <f t="shared" si="0"/>
        <v>9165512.2865472715</v>
      </c>
      <c r="H12" s="17">
        <f t="shared" si="1"/>
        <v>315315.35182610806</v>
      </c>
      <c r="I12" s="17">
        <f t="shared" si="2"/>
        <v>8850196.9347211644</v>
      </c>
    </row>
    <row r="13" spans="1:9" ht="15.75" customHeight="1" x14ac:dyDescent="0.25">
      <c r="A13" s="5">
        <f t="shared" si="3"/>
        <v>2035</v>
      </c>
      <c r="B13" s="49">
        <v>274460.32024838461</v>
      </c>
      <c r="C13" s="50">
        <v>730790.26596061164</v>
      </c>
      <c r="D13" s="50">
        <v>1667128.458380437</v>
      </c>
      <c r="E13" s="50">
        <v>4139322.0086868568</v>
      </c>
      <c r="F13" s="50">
        <v>2763201.8801689781</v>
      </c>
      <c r="G13" s="17">
        <f t="shared" si="0"/>
        <v>9300442.6131968834</v>
      </c>
      <c r="H13" s="17">
        <f t="shared" si="1"/>
        <v>313771.70163943036</v>
      </c>
      <c r="I13" s="17">
        <f t="shared" si="2"/>
        <v>8986670.9115574528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6.7294099999999968E-2</v>
      </c>
    </row>
    <row r="5" spans="1:8" ht="15.75" customHeight="1" x14ac:dyDescent="0.25">
      <c r="B5" s="19" t="s">
        <v>70</v>
      </c>
      <c r="C5" s="101">
        <v>1.80132E-2</v>
      </c>
    </row>
    <row r="6" spans="1:8" ht="15.75" customHeight="1" x14ac:dyDescent="0.25">
      <c r="B6" s="19" t="s">
        <v>71</v>
      </c>
      <c r="C6" s="101">
        <v>0.12381249999999989</v>
      </c>
    </row>
    <row r="7" spans="1:8" ht="15.75" customHeight="1" x14ac:dyDescent="0.25">
      <c r="B7" s="19" t="s">
        <v>72</v>
      </c>
      <c r="C7" s="101">
        <v>0.38642470000000018</v>
      </c>
    </row>
    <row r="8" spans="1:8" ht="15.75" customHeight="1" x14ac:dyDescent="0.25">
      <c r="B8" s="19" t="s">
        <v>73</v>
      </c>
      <c r="C8" s="101">
        <v>1.914869999999996E-2</v>
      </c>
    </row>
    <row r="9" spans="1:8" ht="15.75" customHeight="1" x14ac:dyDescent="0.25">
      <c r="B9" s="19" t="s">
        <v>74</v>
      </c>
      <c r="C9" s="101">
        <v>0.26609360000000021</v>
      </c>
    </row>
    <row r="10" spans="1:8" ht="15.75" customHeight="1" x14ac:dyDescent="0.25">
      <c r="B10" s="19" t="s">
        <v>75</v>
      </c>
      <c r="C10" s="101">
        <v>0.1192131999999998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82</v>
      </c>
      <c r="C15" s="101">
        <v>0.14568781322098809</v>
      </c>
      <c r="D15" s="101">
        <v>0.14568781322098809</v>
      </c>
      <c r="E15" s="101">
        <v>0.14568781322098809</v>
      </c>
      <c r="F15" s="101">
        <v>0.14568781322098809</v>
      </c>
    </row>
    <row r="16" spans="1:8" ht="15.75" customHeight="1" x14ac:dyDescent="0.25">
      <c r="B16" s="19" t="s">
        <v>83</v>
      </c>
      <c r="C16" s="101">
        <v>4.4828200364618188E-2</v>
      </c>
      <c r="D16" s="101">
        <v>4.4828200364618188E-2</v>
      </c>
      <c r="E16" s="101">
        <v>4.4828200364618188E-2</v>
      </c>
      <c r="F16" s="101">
        <v>4.4828200364618188E-2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9.4837782257655406E-2</v>
      </c>
      <c r="D19" s="101">
        <v>9.4837782257655406E-2</v>
      </c>
      <c r="E19" s="101">
        <v>9.4837782257655406E-2</v>
      </c>
      <c r="F19" s="101">
        <v>9.4837782257655406E-2</v>
      </c>
    </row>
    <row r="20" spans="1:8" ht="15.75" customHeight="1" x14ac:dyDescent="0.25">
      <c r="B20" s="19" t="s">
        <v>87</v>
      </c>
      <c r="C20" s="101">
        <v>1.385700301523442E-3</v>
      </c>
      <c r="D20" s="101">
        <v>1.385700301523442E-3</v>
      </c>
      <c r="E20" s="101">
        <v>1.385700301523442E-3</v>
      </c>
      <c r="F20" s="101">
        <v>1.385700301523442E-3</v>
      </c>
    </row>
    <row r="21" spans="1:8" ht="15.75" customHeight="1" x14ac:dyDescent="0.25">
      <c r="B21" s="19" t="s">
        <v>88</v>
      </c>
      <c r="C21" s="101">
        <v>0.53798862315887519</v>
      </c>
      <c r="D21" s="101">
        <v>0.53798862315887519</v>
      </c>
      <c r="E21" s="101">
        <v>0.53798862315887519</v>
      </c>
      <c r="F21" s="101">
        <v>0.53798862315887519</v>
      </c>
    </row>
    <row r="22" spans="1:8" ht="15.75" customHeight="1" x14ac:dyDescent="0.25">
      <c r="B22" s="19" t="s">
        <v>89</v>
      </c>
      <c r="C22" s="101">
        <v>0.126245598195453</v>
      </c>
      <c r="D22" s="101">
        <v>0.126245598195453</v>
      </c>
      <c r="E22" s="101">
        <v>0.126245598195453</v>
      </c>
      <c r="F22" s="101">
        <v>0.126245598195453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6.2575125999999995E-2</v>
      </c>
    </row>
    <row r="27" spans="1:8" ht="15.75" customHeight="1" x14ac:dyDescent="0.25">
      <c r="B27" s="19" t="s">
        <v>92</v>
      </c>
      <c r="C27" s="101">
        <v>2.7904689999999998E-3</v>
      </c>
    </row>
    <row r="28" spans="1:8" ht="15.75" customHeight="1" x14ac:dyDescent="0.25">
      <c r="B28" s="19" t="s">
        <v>93</v>
      </c>
      <c r="C28" s="101">
        <v>0.17595467200000001</v>
      </c>
    </row>
    <row r="29" spans="1:8" ht="15.75" customHeight="1" x14ac:dyDescent="0.25">
      <c r="B29" s="19" t="s">
        <v>94</v>
      </c>
      <c r="C29" s="101">
        <v>0.129916751</v>
      </c>
    </row>
    <row r="30" spans="1:8" ht="15.75" customHeight="1" x14ac:dyDescent="0.25">
      <c r="B30" s="19" t="s">
        <v>95</v>
      </c>
      <c r="C30" s="101">
        <v>6.5542224999999996E-2</v>
      </c>
    </row>
    <row r="31" spans="1:8" ht="15.75" customHeight="1" x14ac:dyDescent="0.25">
      <c r="B31" s="19" t="s">
        <v>96</v>
      </c>
      <c r="C31" s="101">
        <v>0.16151726199999999</v>
      </c>
    </row>
    <row r="32" spans="1:8" ht="15.75" customHeight="1" x14ac:dyDescent="0.25">
      <c r="B32" s="19" t="s">
        <v>97</v>
      </c>
      <c r="C32" s="101">
        <v>7.3741798999999997E-2</v>
      </c>
    </row>
    <row r="33" spans="2:3" ht="15.75" customHeight="1" x14ac:dyDescent="0.25">
      <c r="B33" s="19" t="s">
        <v>98</v>
      </c>
      <c r="C33" s="101">
        <v>3.4829341E-2</v>
      </c>
    </row>
    <row r="34" spans="2:3" ht="15.75" customHeight="1" x14ac:dyDescent="0.25">
      <c r="B34" s="19" t="s">
        <v>99</v>
      </c>
      <c r="C34" s="101">
        <v>0.29313235599999998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0.17329532750000001</v>
      </c>
      <c r="C2" s="98">
        <v>0.95</v>
      </c>
      <c r="D2" s="56">
        <v>56.060857440763883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39.836007367771657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383.53948171134112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2.5281939935860849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12.968306811567571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12.968306811567571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12.968306811567571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12.968306811567571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12.968306811567571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12.968306811567571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0.24425928799999999</v>
      </c>
      <c r="C16" s="98">
        <v>0.95</v>
      </c>
      <c r="D16" s="56">
        <v>0.67507261146291864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8.8512484629968728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8.8512484629968728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0.90599999999999992</v>
      </c>
      <c r="C21" s="98">
        <v>0.95</v>
      </c>
      <c r="D21" s="56">
        <v>24.480490916001791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22.356153156487789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4.2519172670834697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0.74457849949999999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0.22219129000000001</v>
      </c>
      <c r="C27" s="98">
        <v>0.95</v>
      </c>
      <c r="D27" s="56">
        <v>18.528185290228219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109.15510136543379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3.341585585510273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1.4449724110069491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0.95086360000000003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2.490967096558574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0.72599999999999998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8.0000000000000002E-3</v>
      </c>
      <c r="E2" s="60">
        <f>food_insecure</f>
        <v>8.0000000000000002E-3</v>
      </c>
      <c r="F2" s="60">
        <f>food_insecure</f>
        <v>8.0000000000000002E-3</v>
      </c>
      <c r="G2" s="60">
        <f>food_insecure</f>
        <v>8.0000000000000002E-3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8.0000000000000002E-3</v>
      </c>
      <c r="F5" s="60">
        <f>food_insecure</f>
        <v>8.0000000000000002E-3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8.0000000000000002E-3</v>
      </c>
      <c r="F8" s="60">
        <f>food_insecure</f>
        <v>8.0000000000000002E-3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8.0000000000000002E-3</v>
      </c>
      <c r="F9" s="60">
        <f>food_insecure</f>
        <v>8.0000000000000002E-3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8.0000000000000002E-3</v>
      </c>
      <c r="I15" s="60">
        <f>food_insecure</f>
        <v>8.0000000000000002E-3</v>
      </c>
      <c r="J15" s="60">
        <f>food_insecure</f>
        <v>8.0000000000000002E-3</v>
      </c>
      <c r="K15" s="60">
        <f>food_insecure</f>
        <v>8.0000000000000002E-3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4.7159521411132756E-2</v>
      </c>
      <c r="M25" s="60">
        <f>(1-food_insecure)*(0.49)+food_insecure*(0.7)</f>
        <v>0.49168000000000001</v>
      </c>
      <c r="N25" s="60">
        <f>(1-food_insecure)*(0.49)+food_insecure*(0.7)</f>
        <v>0.49168000000000001</v>
      </c>
      <c r="O25" s="60">
        <f>(1-food_insecure)*(0.49)+food_insecure*(0.7)</f>
        <v>0.49168000000000001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2.0211223461914035E-2</v>
      </c>
      <c r="M26" s="60">
        <f>(1-food_insecure)*(0.21)+food_insecure*(0.3)</f>
        <v>0.21071999999999999</v>
      </c>
      <c r="N26" s="60">
        <f>(1-food_insecure)*(0.21)+food_insecure*(0.3)</f>
        <v>0.21071999999999999</v>
      </c>
      <c r="O26" s="60">
        <f>(1-food_insecure)*(0.21)+food_insecure*(0.3)</f>
        <v>0.21071999999999999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2.8544324707031211E-2</v>
      </c>
      <c r="M27" s="60">
        <f>(1-food_insecure)*(0.3)</f>
        <v>0.29759999999999998</v>
      </c>
      <c r="N27" s="60">
        <f>(1-food_insecure)*(0.3)</f>
        <v>0.29759999999999998</v>
      </c>
      <c r="O27" s="60">
        <f>(1-food_insecure)*(0.3)</f>
        <v>0.29759999999999998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0.90408493041992199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0.88587731811697601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2024-03-28T03:04:42Z</dcterms:modified>
</cp:coreProperties>
</file>