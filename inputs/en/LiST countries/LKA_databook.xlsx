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9F1B8D5D-0DC1-4F81-BD5D-35C48319060A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H38" i="2"/>
  <c r="G38" i="2"/>
  <c r="I38" i="2" s="1"/>
  <c r="A34" i="2"/>
  <c r="A31" i="2"/>
  <c r="A26" i="2"/>
  <c r="A25" i="2"/>
  <c r="A23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I6" i="2" l="1"/>
  <c r="I12" i="2"/>
  <c r="A35" i="2"/>
  <c r="A36" i="2"/>
  <c r="I11" i="2"/>
  <c r="A37" i="2"/>
  <c r="I2" i="2"/>
  <c r="I8" i="2"/>
  <c r="A19" i="2"/>
  <c r="A22" i="2"/>
  <c r="I39" i="2"/>
  <c r="A2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<sst xmlns="http://schemas.openxmlformats.org/spreadsheetml/2006/main" count="2169" uniqueCount="373">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</sst>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1607403</v>
      </c>
    </row>
    <row r="8" spans="1:3" ht="15" customHeight="1" x14ac:dyDescent="0.25">
      <c r="B8" s="5" t="s">
        <v>8</v>
      </c>
      <c r="C8" s="44">
        <v>0.14299999999999999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0.92255489999999996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7.4999999999999997E-2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3.6700000000000003E-2</v>
      </c>
    </row>
    <row r="24" spans="1:3" ht="15" customHeight="1" x14ac:dyDescent="0.25">
      <c r="B24" s="15" t="s">
        <v>22</v>
      </c>
      <c r="C24" s="45">
        <v>0.48730000000000001</v>
      </c>
    </row>
    <row r="25" spans="1:3" ht="15" customHeight="1" x14ac:dyDescent="0.25">
      <c r="B25" s="15" t="s">
        <v>23</v>
      </c>
      <c r="C25" s="45">
        <v>0.43280000000000002</v>
      </c>
    </row>
    <row r="26" spans="1:3" ht="15" customHeight="1" x14ac:dyDescent="0.25">
      <c r="B26" s="15" t="s">
        <v>24</v>
      </c>
      <c r="C26" s="45">
        <v>4.3200000000000002E-2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0.3567553</v>
      </c>
    </row>
    <row r="30" spans="1:3" ht="14.25" customHeight="1" x14ac:dyDescent="0.25">
      <c r="B30" s="25" t="s">
        <v>27</v>
      </c>
      <c r="C30" s="97">
        <v>6.59106E-2</v>
      </c>
    </row>
    <row r="31" spans="1:3" ht="14.25" customHeight="1" x14ac:dyDescent="0.25">
      <c r="B31" s="25" t="s">
        <v>28</v>
      </c>
      <c r="C31" s="97">
        <v>9.2620400000000006E-2</v>
      </c>
    </row>
    <row r="32" spans="1:3" ht="14.25" customHeight="1" x14ac:dyDescent="0.25">
      <c r="B32" s="25" t="s">
        <v>29</v>
      </c>
      <c r="C32" s="97">
        <v>0.48471370000000003</v>
      </c>
    </row>
    <row r="33" spans="1:5" ht="13.25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3.8523700000000001</v>
      </c>
    </row>
    <row r="38" spans="1:5" ht="15" customHeight="1" x14ac:dyDescent="0.25">
      <c r="B38" s="11" t="s">
        <v>34</v>
      </c>
      <c r="C38" s="43">
        <v>5.7698299999999998</v>
      </c>
      <c r="D38" s="12"/>
      <c r="E38" s="13"/>
    </row>
    <row r="39" spans="1:5" ht="15" customHeight="1" x14ac:dyDescent="0.25">
      <c r="B39" s="11" t="s">
        <v>35</v>
      </c>
      <c r="C39" s="43">
        <v>6.7480700000000002</v>
      </c>
      <c r="D39" s="12"/>
      <c r="E39" s="12"/>
    </row>
    <row r="40" spans="1:5" ht="15" customHeight="1" x14ac:dyDescent="0.25">
      <c r="B40" s="11" t="s">
        <v>36</v>
      </c>
      <c r="C40" s="98">
        <v>0.28999999999999998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6.0074699999999996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6.7450000000000001E-3</v>
      </c>
      <c r="D45" s="12"/>
    </row>
    <row r="46" spans="1:5" ht="15.75" customHeight="1" x14ac:dyDescent="0.25">
      <c r="B46" s="11" t="s">
        <v>41</v>
      </c>
      <c r="C46" s="45">
        <v>7.1213499999999999E-2</v>
      </c>
      <c r="D46" s="12"/>
    </row>
    <row r="47" spans="1:5" ht="15.75" customHeight="1" x14ac:dyDescent="0.25">
      <c r="B47" s="11" t="s">
        <v>42</v>
      </c>
      <c r="C47" s="45">
        <v>0.17027529999999999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2.4</v>
      </c>
      <c r="D51" s="12"/>
    </row>
    <row r="52" spans="1:4" ht="15" customHeight="1" x14ac:dyDescent="0.25">
      <c r="B52" s="11" t="s">
        <v>46</v>
      </c>
      <c r="C52" s="98">
        <v>2.4</v>
      </c>
    </row>
    <row r="53" spans="1:4" ht="15.75" customHeight="1" x14ac:dyDescent="0.25">
      <c r="B53" s="11" t="s">
        <v>47</v>
      </c>
      <c r="C53" s="98">
        <v>2.4</v>
      </c>
    </row>
    <row r="54" spans="1:4" ht="15.75" customHeight="1" x14ac:dyDescent="0.25">
      <c r="B54" s="11" t="s">
        <v>48</v>
      </c>
      <c r="C54" s="98">
        <v>2.4</v>
      </c>
    </row>
    <row r="55" spans="1:4" ht="15.75" customHeight="1" x14ac:dyDescent="0.25">
      <c r="B55" s="11" t="s">
        <v>49</v>
      </c>
      <c r="C55" s="98">
        <v>2.4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2.1666666666666671E-2</v>
      </c>
    </row>
    <row r="59" spans="1:4" ht="15.75" customHeight="1" x14ac:dyDescent="0.25">
      <c r="B59" s="11" t="s">
        <v>52</v>
      </c>
      <c r="C59" s="45">
        <v>0.62930399999999997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0.17978289859999999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320429</v>
      </c>
      <c r="C2" s="49">
        <v>894482.5</v>
      </c>
      <c r="D2" s="49">
        <v>1655025.5</v>
      </c>
      <c r="E2" s="49">
        <v>1614266.9999999998</v>
      </c>
      <c r="F2" s="49">
        <v>1629127.5</v>
      </c>
      <c r="G2" s="17">
        <f t="shared" ref="G2:G13" si="0">C2+D2+E2+F2</f>
        <v>5792902.5</v>
      </c>
      <c r="H2" s="17">
        <f t="shared" ref="H2:H13" si="1">(B2 + stillbirth*B2/(1000-stillbirth))/(1-abortion)</f>
        <v>366324.54736492201</v>
      </c>
      <c r="I2" s="17">
        <f t="shared" ref="I2:I13" si="2">G2-H2</f>
        <v>5426577.9526350778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318489</v>
      </c>
      <c r="C3" s="50">
        <v>892927</v>
      </c>
      <c r="D3" s="50">
        <v>1661383</v>
      </c>
      <c r="E3" s="50">
        <v>1613825</v>
      </c>
      <c r="F3" s="50">
        <v>1645088.5</v>
      </c>
      <c r="G3" s="17">
        <f t="shared" si="0"/>
        <v>5813223.5</v>
      </c>
      <c r="H3" s="17">
        <f t="shared" si="1"/>
        <v>364106.67812746862</v>
      </c>
      <c r="I3" s="17">
        <f t="shared" si="2"/>
        <v>5449116.8218725314</v>
      </c>
    </row>
    <row r="4" spans="1:9" ht="15.75" customHeight="1" x14ac:dyDescent="0.25">
      <c r="A4" s="5">
        <f t="shared" si="3"/>
        <v>2026</v>
      </c>
      <c r="B4" s="49">
        <v>316459</v>
      </c>
      <c r="C4" s="50">
        <v>888383</v>
      </c>
      <c r="D4" s="50">
        <v>1669654</v>
      </c>
      <c r="E4" s="50">
        <v>1613936.0000000002</v>
      </c>
      <c r="F4" s="50">
        <v>1653855.5000000002</v>
      </c>
      <c r="G4" s="17">
        <f t="shared" si="0"/>
        <v>5825828.5</v>
      </c>
      <c r="H4" s="17">
        <f t="shared" si="1"/>
        <v>361785.91804910247</v>
      </c>
      <c r="I4" s="17">
        <f t="shared" si="2"/>
        <v>5464042.5819508974</v>
      </c>
    </row>
    <row r="5" spans="1:9" ht="15.75" customHeight="1" x14ac:dyDescent="0.25">
      <c r="A5" s="5">
        <f t="shared" si="3"/>
        <v>2027</v>
      </c>
      <c r="B5" s="49">
        <v>314866</v>
      </c>
      <c r="C5" s="50">
        <v>882279.5</v>
      </c>
      <c r="D5" s="50">
        <v>1680071</v>
      </c>
      <c r="E5" s="50">
        <v>1613340.0000000002</v>
      </c>
      <c r="F5" s="50">
        <v>1654402</v>
      </c>
      <c r="G5" s="17">
        <f t="shared" si="0"/>
        <v>5830092.5</v>
      </c>
      <c r="H5" s="17">
        <f t="shared" si="1"/>
        <v>359964.75016494613</v>
      </c>
      <c r="I5" s="17">
        <f t="shared" si="2"/>
        <v>5470127.7498350535</v>
      </c>
    </row>
    <row r="6" spans="1:9" ht="15.75" customHeight="1" x14ac:dyDescent="0.25">
      <c r="A6" s="5">
        <f t="shared" si="3"/>
        <v>2028</v>
      </c>
      <c r="B6" s="49">
        <v>313284</v>
      </c>
      <c r="C6" s="50">
        <v>876557.5</v>
      </c>
      <c r="D6" s="50">
        <v>1691592.5</v>
      </c>
      <c r="E6" s="50">
        <v>1611810</v>
      </c>
      <c r="F6" s="50">
        <v>1647257.5000000002</v>
      </c>
      <c r="G6" s="17">
        <f t="shared" si="0"/>
        <v>5827217.5</v>
      </c>
      <c r="H6" s="17">
        <f t="shared" si="1"/>
        <v>358156.15782801248</v>
      </c>
      <c r="I6" s="17">
        <f t="shared" si="2"/>
        <v>5469061.3421719875</v>
      </c>
    </row>
    <row r="7" spans="1:9" ht="15.75" customHeight="1" x14ac:dyDescent="0.25">
      <c r="A7" s="5">
        <f t="shared" si="3"/>
        <v>2029</v>
      </c>
      <c r="B7" s="49">
        <v>312034</v>
      </c>
      <c r="C7" s="50">
        <v>870095.5</v>
      </c>
      <c r="D7" s="50">
        <v>1702816.5</v>
      </c>
      <c r="E7" s="50">
        <v>1609554</v>
      </c>
      <c r="F7" s="50">
        <v>1634765.5</v>
      </c>
      <c r="G7" s="17">
        <f t="shared" si="0"/>
        <v>5817231.5</v>
      </c>
      <c r="H7" s="17">
        <f t="shared" si="1"/>
        <v>356727.1183708905</v>
      </c>
      <c r="I7" s="17">
        <f t="shared" si="2"/>
        <v>5460504.3816291094</v>
      </c>
    </row>
    <row r="8" spans="1:9" ht="15.75" customHeight="1" x14ac:dyDescent="0.25">
      <c r="A8" s="5">
        <f t="shared" si="3"/>
        <v>2030</v>
      </c>
      <c r="B8" s="49">
        <v>311150</v>
      </c>
      <c r="C8" s="50">
        <v>861352.5</v>
      </c>
      <c r="D8" s="50">
        <v>1712608.5</v>
      </c>
      <c r="E8" s="50">
        <v>1607167</v>
      </c>
      <c r="F8" s="50">
        <v>1619935</v>
      </c>
      <c r="G8" s="17">
        <f t="shared" si="0"/>
        <v>5801063</v>
      </c>
      <c r="H8" s="17">
        <f t="shared" si="1"/>
        <v>355716.50166681374</v>
      </c>
      <c r="I8" s="17">
        <f t="shared" si="2"/>
        <v>5445346.4983331859</v>
      </c>
    </row>
    <row r="9" spans="1:9" ht="15.75" customHeight="1" x14ac:dyDescent="0.25">
      <c r="A9" s="5">
        <f t="shared" si="3"/>
        <v>2031</v>
      </c>
      <c r="B9" s="49">
        <v>310127</v>
      </c>
      <c r="C9" s="50">
        <v>851407.5</v>
      </c>
      <c r="D9" s="50">
        <v>1719015.5</v>
      </c>
      <c r="E9" s="50">
        <v>1605658</v>
      </c>
      <c r="F9" s="50">
        <v>1605841</v>
      </c>
      <c r="G9" s="17">
        <f t="shared" si="0"/>
        <v>5781922</v>
      </c>
      <c r="H9" s="17">
        <f t="shared" si="1"/>
        <v>354546.97577510512</v>
      </c>
      <c r="I9" s="17">
        <f t="shared" si="2"/>
        <v>5427375.0242248951</v>
      </c>
    </row>
    <row r="10" spans="1:9" ht="15.75" customHeight="1" x14ac:dyDescent="0.25">
      <c r="A10" s="5">
        <f t="shared" si="3"/>
        <v>2032</v>
      </c>
      <c r="B10" s="49">
        <v>309526</v>
      </c>
      <c r="C10" s="50">
        <v>840602</v>
      </c>
      <c r="D10" s="50">
        <v>1721407.0000000002</v>
      </c>
      <c r="E10" s="50">
        <v>1605715.0000000002</v>
      </c>
      <c r="F10" s="50">
        <v>1595130.5</v>
      </c>
      <c r="G10" s="17">
        <f t="shared" si="0"/>
        <v>5762854.5</v>
      </c>
      <c r="H10" s="17">
        <f t="shared" si="1"/>
        <v>353859.89360412088</v>
      </c>
      <c r="I10" s="17">
        <f t="shared" si="2"/>
        <v>5408994.6063958788</v>
      </c>
    </row>
    <row r="11" spans="1:9" ht="15.75" customHeight="1" x14ac:dyDescent="0.25">
      <c r="A11" s="5">
        <f t="shared" si="3"/>
        <v>2033</v>
      </c>
      <c r="B11" s="49">
        <v>309081</v>
      </c>
      <c r="C11" s="50">
        <v>828313.5</v>
      </c>
      <c r="D11" s="50">
        <v>1720858.4999999998</v>
      </c>
      <c r="E11" s="50">
        <v>1607778.5</v>
      </c>
      <c r="F11" s="50">
        <v>1588896</v>
      </c>
      <c r="G11" s="17">
        <f t="shared" si="0"/>
        <v>5745846.5</v>
      </c>
      <c r="H11" s="17">
        <f t="shared" si="1"/>
        <v>353351.15555738541</v>
      </c>
      <c r="I11" s="17">
        <f t="shared" si="2"/>
        <v>5392495.3444426144</v>
      </c>
    </row>
    <row r="12" spans="1:9" ht="15.75" customHeight="1" x14ac:dyDescent="0.25">
      <c r="A12" s="5">
        <f t="shared" si="3"/>
        <v>2034</v>
      </c>
      <c r="B12" s="49">
        <v>308281</v>
      </c>
      <c r="C12" s="50">
        <v>816292</v>
      </c>
      <c r="D12" s="50">
        <v>1716071</v>
      </c>
      <c r="E12" s="50">
        <v>1611825.5</v>
      </c>
      <c r="F12" s="50">
        <v>1586308</v>
      </c>
      <c r="G12" s="17">
        <f t="shared" si="0"/>
        <v>5730496.5</v>
      </c>
      <c r="H12" s="17">
        <f t="shared" si="1"/>
        <v>352436.5703048273</v>
      </c>
      <c r="I12" s="17">
        <f t="shared" si="2"/>
        <v>5378059.9296951722</v>
      </c>
    </row>
    <row r="13" spans="1:9" ht="15.75" customHeight="1" x14ac:dyDescent="0.25">
      <c r="A13" s="5">
        <f t="shared" si="3"/>
        <v>2035</v>
      </c>
      <c r="B13" s="49">
        <v>307430</v>
      </c>
      <c r="C13" s="50">
        <v>806445.5</v>
      </c>
      <c r="D13" s="50">
        <v>1705764.5</v>
      </c>
      <c r="E13" s="50">
        <v>1617948.5</v>
      </c>
      <c r="F13" s="50">
        <v>1585915</v>
      </c>
      <c r="G13" s="17">
        <f t="shared" si="0"/>
        <v>5716073.5</v>
      </c>
      <c r="H13" s="17">
        <f t="shared" si="1"/>
        <v>351463.68024241866</v>
      </c>
      <c r="I13" s="17">
        <f t="shared" si="2"/>
        <v>5364609.8197575817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99">
        <v>6.7294099999999968E-2</v>
      </c>
    </row>
    <row r="5" spans="1:8" ht="15.75" customHeight="1" x14ac:dyDescent="0.25">
      <c r="B5" s="19" t="s">
        <v>70</v>
      </c>
      <c r="C5" s="99">
        <v>1.80132E-2</v>
      </c>
    </row>
    <row r="6" spans="1:8" ht="15.75" customHeight="1" x14ac:dyDescent="0.25">
      <c r="B6" s="19" t="s">
        <v>71</v>
      </c>
      <c r="C6" s="99">
        <v>0.12381249999999989</v>
      </c>
    </row>
    <row r="7" spans="1:8" ht="15.75" customHeight="1" x14ac:dyDescent="0.25">
      <c r="B7" s="19" t="s">
        <v>72</v>
      </c>
      <c r="C7" s="99">
        <v>0.38642470000000018</v>
      </c>
    </row>
    <row r="8" spans="1:8" ht="15.75" customHeight="1" x14ac:dyDescent="0.25">
      <c r="B8" s="19" t="s">
        <v>73</v>
      </c>
      <c r="C8" s="99">
        <v>1.914869999999996E-2</v>
      </c>
    </row>
    <row r="9" spans="1:8" ht="15.75" customHeight="1" x14ac:dyDescent="0.25">
      <c r="B9" s="19" t="s">
        <v>74</v>
      </c>
      <c r="C9" s="99">
        <v>0.26609360000000021</v>
      </c>
    </row>
    <row r="10" spans="1:8" ht="15.75" customHeight="1" x14ac:dyDescent="0.25">
      <c r="B10" s="19" t="s">
        <v>75</v>
      </c>
      <c r="C10" s="99">
        <v>0.1192131999999998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4.9026282500886732E-2</v>
      </c>
      <c r="D14" s="55">
        <v>4.9026282500886732E-2</v>
      </c>
      <c r="E14" s="55">
        <v>4.9026282500886732E-2</v>
      </c>
      <c r="F14" s="55">
        <v>4.9026282500886732E-2</v>
      </c>
    </row>
    <row r="15" spans="1:8" ht="15.75" customHeight="1" x14ac:dyDescent="0.25">
      <c r="B15" s="19" t="s">
        <v>82</v>
      </c>
      <c r="C15" s="99">
        <v>0.14568781322098809</v>
      </c>
      <c r="D15" s="99">
        <v>0.14568781322098809</v>
      </c>
      <c r="E15" s="99">
        <v>0.14568781322098809</v>
      </c>
      <c r="F15" s="99">
        <v>0.14568781322098809</v>
      </c>
    </row>
    <row r="16" spans="1:8" ht="15.75" customHeight="1" x14ac:dyDescent="0.25">
      <c r="B16" s="19" t="s">
        <v>83</v>
      </c>
      <c r="C16" s="99">
        <v>4.4828200364618188E-2</v>
      </c>
      <c r="D16" s="99">
        <v>4.4828200364618188E-2</v>
      </c>
      <c r="E16" s="99">
        <v>4.4828200364618188E-2</v>
      </c>
      <c r="F16" s="99">
        <v>4.4828200364618188E-2</v>
      </c>
    </row>
    <row r="17" spans="1:8" ht="15.75" customHeight="1" x14ac:dyDescent="0.25">
      <c r="B17" s="19" t="s">
        <v>84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85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86</v>
      </c>
      <c r="C19" s="99">
        <v>9.4837782257655406E-2</v>
      </c>
      <c r="D19" s="99">
        <v>9.4837782257655406E-2</v>
      </c>
      <c r="E19" s="99">
        <v>9.4837782257655406E-2</v>
      </c>
      <c r="F19" s="99">
        <v>9.4837782257655406E-2</v>
      </c>
    </row>
    <row r="20" spans="1:8" ht="15.75" customHeight="1" x14ac:dyDescent="0.25">
      <c r="B20" s="19" t="s">
        <v>87</v>
      </c>
      <c r="C20" s="99">
        <v>1.385700301523442E-3</v>
      </c>
      <c r="D20" s="99">
        <v>1.385700301523442E-3</v>
      </c>
      <c r="E20" s="99">
        <v>1.385700301523442E-3</v>
      </c>
      <c r="F20" s="99">
        <v>1.385700301523442E-3</v>
      </c>
    </row>
    <row r="21" spans="1:8" ht="15.75" customHeight="1" x14ac:dyDescent="0.25">
      <c r="B21" s="19" t="s">
        <v>88</v>
      </c>
      <c r="C21" s="99">
        <v>0.53798862315887519</v>
      </c>
      <c r="D21" s="99">
        <v>0.53798862315887519</v>
      </c>
      <c r="E21" s="99">
        <v>0.53798862315887519</v>
      </c>
      <c r="F21" s="99">
        <v>0.53798862315887519</v>
      </c>
    </row>
    <row r="22" spans="1:8" ht="15.75" customHeight="1" x14ac:dyDescent="0.25">
      <c r="B22" s="19" t="s">
        <v>89</v>
      </c>
      <c r="C22" s="99">
        <v>0.126245598195453</v>
      </c>
      <c r="D22" s="99">
        <v>0.126245598195453</v>
      </c>
      <c r="E22" s="99">
        <v>0.126245598195453</v>
      </c>
      <c r="F22" s="99">
        <v>0.126245598195453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6.2575125999999995E-2</v>
      </c>
    </row>
    <row r="27" spans="1:8" ht="15.75" customHeight="1" x14ac:dyDescent="0.25">
      <c r="B27" s="19" t="s">
        <v>92</v>
      </c>
      <c r="C27" s="99">
        <v>2.7904689999999998E-3</v>
      </c>
    </row>
    <row r="28" spans="1:8" ht="15.75" customHeight="1" x14ac:dyDescent="0.25">
      <c r="B28" s="19" t="s">
        <v>93</v>
      </c>
      <c r="C28" s="99">
        <v>0.17595467200000001</v>
      </c>
    </row>
    <row r="29" spans="1:8" ht="15.75" customHeight="1" x14ac:dyDescent="0.25">
      <c r="B29" s="19" t="s">
        <v>94</v>
      </c>
      <c r="C29" s="99">
        <v>0.129916751</v>
      </c>
    </row>
    <row r="30" spans="1:8" ht="15.75" customHeight="1" x14ac:dyDescent="0.25">
      <c r="B30" s="19" t="s">
        <v>95</v>
      </c>
      <c r="C30" s="99">
        <v>6.5542224999999996E-2</v>
      </c>
    </row>
    <row r="31" spans="1:8" ht="15.75" customHeight="1" x14ac:dyDescent="0.25">
      <c r="B31" s="19" t="s">
        <v>96</v>
      </c>
      <c r="C31" s="99">
        <v>0.16151726199999999</v>
      </c>
    </row>
    <row r="32" spans="1:8" ht="15.75" customHeight="1" x14ac:dyDescent="0.25">
      <c r="B32" s="19" t="s">
        <v>97</v>
      </c>
      <c r="C32" s="99">
        <v>7.3741798999999997E-2</v>
      </c>
    </row>
    <row r="33" spans="2:3" ht="15.75" customHeight="1" x14ac:dyDescent="0.25">
      <c r="B33" s="19" t="s">
        <v>98</v>
      </c>
      <c r="C33" s="99">
        <v>3.4829341E-2</v>
      </c>
    </row>
    <row r="34" spans="2:3" ht="15.75" customHeight="1" x14ac:dyDescent="0.25">
      <c r="B34" s="19" t="s">
        <v>99</v>
      </c>
      <c r="C34" s="99">
        <v>0.29313235599999998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0.37582732899999999</v>
      </c>
      <c r="D14" s="54">
        <v>0.36131474626900001</v>
      </c>
      <c r="E14" s="54">
        <v>0.36131474626900001</v>
      </c>
      <c r="F14" s="54">
        <v>0.174274205716</v>
      </c>
      <c r="G14" s="54">
        <v>0.174274205716</v>
      </c>
      <c r="H14" s="45">
        <v>0.35399999999999998</v>
      </c>
      <c r="I14" s="55">
        <v>0.35399999999999998</v>
      </c>
      <c r="J14" s="55">
        <v>0.35399999999999998</v>
      </c>
      <c r="K14" s="55">
        <v>0.35399999999999998</v>
      </c>
      <c r="L14" s="45">
        <v>0.32500000000000001</v>
      </c>
      <c r="M14" s="55">
        <v>0.32500000000000001</v>
      </c>
      <c r="N14" s="55">
        <v>0.32500000000000001</v>
      </c>
      <c r="O14" s="55">
        <v>0.32500000000000001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0.23650964144901598</v>
      </c>
      <c r="D15" s="52">
        <f t="shared" si="0"/>
        <v>0.22737681508606677</v>
      </c>
      <c r="E15" s="52">
        <f t="shared" si="0"/>
        <v>0.22737681508606677</v>
      </c>
      <c r="F15" s="52">
        <f t="shared" si="0"/>
        <v>0.10967145475390165</v>
      </c>
      <c r="G15" s="52">
        <f t="shared" si="0"/>
        <v>0.10967145475390165</v>
      </c>
      <c r="H15" s="52">
        <f t="shared" si="0"/>
        <v>0.22277361599999998</v>
      </c>
      <c r="I15" s="52">
        <f t="shared" si="0"/>
        <v>0.22277361599999998</v>
      </c>
      <c r="J15" s="52">
        <f t="shared" si="0"/>
        <v>0.22277361599999998</v>
      </c>
      <c r="K15" s="52">
        <f t="shared" si="0"/>
        <v>0.22277361599999998</v>
      </c>
      <c r="L15" s="52">
        <f t="shared" si="0"/>
        <v>0.20452380000000001</v>
      </c>
      <c r="M15" s="52">
        <f t="shared" si="0"/>
        <v>0.20452380000000001</v>
      </c>
      <c r="N15" s="52">
        <f t="shared" si="0"/>
        <v>0.20452380000000001</v>
      </c>
      <c r="O15" s="52">
        <f t="shared" si="0"/>
        <v>0.20452380000000001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3.9978647384305122E-2</v>
      </c>
      <c r="D5" s="52">
        <f t="shared" si="0"/>
        <v>6.9181625352112919E-2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3354.3834075756499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0.37237999999999999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0.36241999999999996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1.3419451631607049E-2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99294.167350000003</v>
      </c>
      <c r="C22" s="107">
        <v>99219.714189999999</v>
      </c>
      <c r="D22" s="107">
        <v>99128.427190000002</v>
      </c>
      <c r="E22" s="107">
        <v>98803.164210000003</v>
      </c>
      <c r="F22" s="107">
        <v>98380.559210000007</v>
      </c>
      <c r="G22" s="107">
        <v>97978.862309999997</v>
      </c>
      <c r="H22" s="107">
        <v>97553.587979999997</v>
      </c>
      <c r="I22" s="107">
        <v>97071.106329999995</v>
      </c>
      <c r="J22" s="107">
        <v>96342.997470000002</v>
      </c>
      <c r="K22" s="107">
        <v>95008.854999999996</v>
      </c>
      <c r="L22" s="107">
        <v>92808.687170000005</v>
      </c>
      <c r="M22" s="107">
        <v>89439.914000000004</v>
      </c>
      <c r="N22" s="107">
        <v>84404.234909999999</v>
      </c>
      <c r="O22" s="107">
        <v>78169.212710000007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17.026484135107474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17.026484135107474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8.0705350947424606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0.48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0.61278763993956276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0.5</v>
      </c>
      <c r="C9" s="96">
        <v>0.95</v>
      </c>
      <c r="D9" s="56">
        <v>0.24171699078812695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</v>
      </c>
      <c r="C10" s="96">
        <v>0.95</v>
      </c>
      <c r="D10" s="56">
        <v>12.968306811567571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12.968306811567571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12.968306811567571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12.968306811567571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</v>
      </c>
      <c r="C14" s="96">
        <v>0.95</v>
      </c>
      <c r="D14" s="56">
        <v>12.968306811567571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12.968306811567571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3.4000000000000002E-2</v>
      </c>
      <c r="C16" s="96">
        <v>0.95</v>
      </c>
      <c r="D16" s="56">
        <v>2.5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</v>
      </c>
      <c r="C17" s="96">
        <v>0.95</v>
      </c>
      <c r="D17" s="56">
        <v>9.7330203637492063E-2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</v>
      </c>
      <c r="C18" s="96">
        <v>0.95</v>
      </c>
      <c r="D18" s="56">
        <v>8.0705350947424606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</v>
      </c>
      <c r="C19" s="96">
        <v>0.95</v>
      </c>
      <c r="D19" s="56">
        <v>8.8512484629968728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7.48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8.0705350947424606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6.4000000000000001E-2</v>
      </c>
      <c r="C23" s="96">
        <v>0.95</v>
      </c>
      <c r="D23" s="56">
        <v>4.2519172670834697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0.71148211299999997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4.7229528222409431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17.846880984952122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0.54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0.72599999999999998</v>
      </c>
      <c r="C29" s="96">
        <v>0.95</v>
      </c>
      <c r="D29" s="56">
        <v>26.81689264396762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</v>
      </c>
      <c r="C31" s="96">
        <v>0.95</v>
      </c>
      <c r="D31" s="56">
        <v>175.48809161556471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0.93</v>
      </c>
      <c r="C32" s="96">
        <v>0.95</v>
      </c>
      <c r="D32" s="56">
        <v>0.45463218100922231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0.85346329999999992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0.90599999999999992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0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0.52352160000000003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</v>
      </c>
      <c r="C38" s="96">
        <v>0.95</v>
      </c>
      <c r="D38" s="56">
        <v>1.6798709086682517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3.43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2.4</v>
      </c>
      <c r="C2" s="21">
        <f>'Baseline year population inputs'!C52</f>
        <v>2.4</v>
      </c>
      <c r="D2" s="21">
        <f>'Baseline year population inputs'!C53</f>
        <v>2.4</v>
      </c>
      <c r="E2" s="21">
        <f>'Baseline year population inputs'!C54</f>
        <v>2.4</v>
      </c>
      <c r="F2" s="21">
        <f>'Baseline year population inputs'!C55</f>
        <v>2.4</v>
      </c>
    </row>
    <row r="3" spans="1:6" ht="15.75" customHeight="1" x14ac:dyDescent="0.25">
      <c r="A3" s="3" t="s">
        <v>197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198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0.14299999999999999</v>
      </c>
      <c r="F2" s="60">
        <f>food_insecure</f>
        <v>0.14299999999999999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0.14299999999999999</v>
      </c>
      <c r="F5" s="60">
        <f>food_insecure</f>
        <v>0.14299999999999999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0.14299999999999999</v>
      </c>
      <c r="F8" s="60">
        <f>food_insecure</f>
        <v>0.14299999999999999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0.14299999999999999</v>
      </c>
      <c r="F9" s="60">
        <f>food_insecure</f>
        <v>0.14299999999999999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0.14299999999999999</v>
      </c>
      <c r="I15" s="60">
        <f t="shared" si="0"/>
        <v>0.14299999999999999</v>
      </c>
      <c r="J15" s="60">
        <f t="shared" si="0"/>
        <v>0.14299999999999999</v>
      </c>
      <c r="K15" s="60">
        <f t="shared" si="0"/>
        <v>0.14299999999999999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0.14299999999999999</v>
      </c>
      <c r="I16" s="60">
        <f t="shared" si="0"/>
        <v>0.14299999999999999</v>
      </c>
      <c r="J16" s="60">
        <f t="shared" si="0"/>
        <v>0.14299999999999999</v>
      </c>
      <c r="K16" s="60">
        <f t="shared" si="0"/>
        <v>0.14299999999999999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7.4999999999999997E-2</v>
      </c>
      <c r="M24" s="60">
        <f>famplan_unmet_need</f>
        <v>7.4999999999999997E-2</v>
      </c>
      <c r="N24" s="60">
        <f>famplan_unmet_need</f>
        <v>7.4999999999999997E-2</v>
      </c>
      <c r="O24" s="60">
        <f>famplan_unmet_need</f>
        <v>7.4999999999999997E-2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4.0273775353000016E-2</v>
      </c>
      <c r="M25" s="60">
        <f>(1-food_insecure)*(0.49)+food_insecure*(0.7)</f>
        <v>0.52002999999999999</v>
      </c>
      <c r="N25" s="60">
        <f>(1-food_insecure)*(0.49)+food_insecure*(0.7)</f>
        <v>0.52002999999999999</v>
      </c>
      <c r="O25" s="60">
        <f>(1-food_insecure)*(0.49)+food_insecure*(0.7)</f>
        <v>0.52002999999999999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1.7260189437000008E-2</v>
      </c>
      <c r="M26" s="60">
        <f>(1-food_insecure)*(0.21)+food_insecure*(0.3)</f>
        <v>0.22286999999999998</v>
      </c>
      <c r="N26" s="60">
        <f>(1-food_insecure)*(0.21)+food_insecure*(0.3)</f>
        <v>0.22286999999999998</v>
      </c>
      <c r="O26" s="60">
        <f>(1-food_insecure)*(0.21)+food_insecure*(0.3)</f>
        <v>0.22286999999999998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1.991113521000001E-2</v>
      </c>
      <c r="M27" s="60">
        <f>(1-food_insecure)*(0.3)</f>
        <v>0.2571</v>
      </c>
      <c r="N27" s="60">
        <f>(1-food_insecure)*(0.3)</f>
        <v>0.2571</v>
      </c>
      <c r="O27" s="60">
        <f>(1-food_insecure)*(0.3)</f>
        <v>0.2571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0.92255489999999996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