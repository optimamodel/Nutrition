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7F520D1-CCB7-4DE6-ACBF-55B50A25C61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5" i="2"/>
  <c r="A34" i="2"/>
  <c r="A27" i="2"/>
  <c r="A26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22" i="2" s="1"/>
  <c r="C33" i="1"/>
  <c r="C20" i="1"/>
  <c r="A38" i="2" l="1"/>
  <c r="A16" i="2"/>
  <c r="A24" i="2"/>
  <c r="A32" i="2"/>
  <c r="A17" i="2"/>
  <c r="A25" i="2"/>
  <c r="A33" i="2"/>
  <c r="A20" i="2"/>
  <c r="A28" i="2"/>
  <c r="A36" i="2"/>
  <c r="A21" i="2"/>
  <c r="A29" i="2"/>
  <c r="A37" i="2"/>
  <c r="A4" i="2"/>
  <c r="A5" i="2" s="1"/>
  <c r="A14" i="2"/>
  <c r="A40" i="2"/>
  <c r="A6" i="2"/>
  <c r="A7" i="2" s="1"/>
  <c r="A8" i="2" s="1"/>
  <c r="A9" i="2" s="1"/>
  <c r="A10" i="2" s="1"/>
  <c r="A11" i="2" s="1"/>
  <c r="A12" i="2" s="1"/>
  <c r="A13" i="2" s="1"/>
  <c r="A30" i="2"/>
  <c r="A15" i="2"/>
  <c r="A23" i="2"/>
  <c r="A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<sst xmlns="http://schemas.openxmlformats.org/spreadsheetml/2006/main" count="2103" uniqueCount="341">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</sst>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1487954.1875</v>
      </c>
    </row>
    <row r="8" spans="1:3" ht="15" customHeight="1" x14ac:dyDescent="0.25">
      <c r="B8" s="5" t="s">
        <v>8</v>
      </c>
      <c r="C8" s="44">
        <v>8.0000000000000002E-3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0.90408493041992199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3.6700000000000003E-2</v>
      </c>
    </row>
    <row r="24" spans="1:3" ht="15" customHeight="1" x14ac:dyDescent="0.25">
      <c r="B24" s="15" t="s">
        <v>22</v>
      </c>
      <c r="C24" s="45">
        <v>0.48730000000000001</v>
      </c>
    </row>
    <row r="25" spans="1:3" ht="15" customHeight="1" x14ac:dyDescent="0.25">
      <c r="B25" s="15" t="s">
        <v>23</v>
      </c>
      <c r="C25" s="45">
        <v>0.43280000000000002</v>
      </c>
    </row>
    <row r="26" spans="1:3" ht="15" customHeight="1" x14ac:dyDescent="0.25">
      <c r="B26" s="15" t="s">
        <v>24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3.8523700000000001</v>
      </c>
    </row>
    <row r="38" spans="1:5" ht="15" customHeight="1" x14ac:dyDescent="0.25">
      <c r="B38" s="11" t="s">
        <v>34</v>
      </c>
      <c r="C38" s="43">
        <v>5.7698299999999998</v>
      </c>
      <c r="D38" s="12"/>
      <c r="E38" s="13"/>
    </row>
    <row r="39" spans="1:5" ht="15" customHeight="1" x14ac:dyDescent="0.25">
      <c r="B39" s="11" t="s">
        <v>35</v>
      </c>
      <c r="C39" s="43">
        <v>6.7480700000000002</v>
      </c>
      <c r="D39" s="12"/>
      <c r="E39" s="12"/>
    </row>
    <row r="40" spans="1:5" ht="15" customHeight="1" x14ac:dyDescent="0.25">
      <c r="B40" s="11" t="s">
        <v>36</v>
      </c>
      <c r="C40" s="100">
        <v>0.28999999999999998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6.7450000000000001E-3</v>
      </c>
      <c r="D45" s="12"/>
    </row>
    <row r="46" spans="1:5" ht="15.75" customHeight="1" x14ac:dyDescent="0.25">
      <c r="B46" s="11" t="s">
        <v>41</v>
      </c>
      <c r="C46" s="45">
        <v>7.1213499999999999E-2</v>
      </c>
      <c r="D46" s="12"/>
    </row>
    <row r="47" spans="1:5" ht="15.75" customHeight="1" x14ac:dyDescent="0.25">
      <c r="B47" s="11" t="s">
        <v>42</v>
      </c>
      <c r="C47" s="45">
        <v>0.17027529999999999</v>
      </c>
      <c r="D47" s="12"/>
      <c r="E47" s="13"/>
    </row>
    <row r="48" spans="1:5" ht="15" customHeight="1" x14ac:dyDescent="0.25">
      <c r="B48" s="11" t="s">
        <v>43</v>
      </c>
      <c r="C48" s="46">
        <v>0.75176620000000005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0.62930399999999997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0.15888087000000001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295432</v>
      </c>
      <c r="C2" s="49">
        <v>1052264</v>
      </c>
      <c r="D2" s="49">
        <v>1545255</v>
      </c>
      <c r="E2" s="49">
        <v>1464186.5</v>
      </c>
      <c r="F2" s="49">
        <v>1397880</v>
      </c>
      <c r="G2" s="17">
        <f t="shared" ref="G2:G13" si="0">C2+D2+E2+F2</f>
        <v>5459585.5</v>
      </c>
      <c r="H2" s="17">
        <f t="shared" ref="H2:H13" si="1">(B2 + stillbirth*B2/(1000-stillbirth))/(1-abortion)</f>
        <v>337747.18791717861</v>
      </c>
      <c r="I2" s="17">
        <f t="shared" ref="I2:I13" si="2">G2-H2</f>
        <v>5121838.3120828215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294245</v>
      </c>
      <c r="C3" s="50">
        <v>1046889</v>
      </c>
      <c r="D3" s="50">
        <v>1554029.5</v>
      </c>
      <c r="E3" s="50">
        <v>1449803</v>
      </c>
      <c r="F3" s="50">
        <v>1409977.5</v>
      </c>
      <c r="G3" s="17">
        <f t="shared" si="0"/>
        <v>5460699</v>
      </c>
      <c r="H3" s="17">
        <f t="shared" si="1"/>
        <v>336390.17204869556</v>
      </c>
      <c r="I3" s="17">
        <f t="shared" si="2"/>
        <v>5124308.8279513046</v>
      </c>
    </row>
    <row r="4" spans="1:9" ht="15.75" customHeight="1" x14ac:dyDescent="0.25">
      <c r="A4" s="5">
        <f t="shared" si="3"/>
        <v>2026</v>
      </c>
      <c r="B4" s="49">
        <v>291602</v>
      </c>
      <c r="C4" s="50">
        <v>1039723</v>
      </c>
      <c r="D4" s="50">
        <v>1566933.5</v>
      </c>
      <c r="E4" s="50">
        <v>1438735</v>
      </c>
      <c r="F4" s="50">
        <v>1414976</v>
      </c>
      <c r="G4" s="17">
        <f t="shared" si="0"/>
        <v>5460367.5</v>
      </c>
      <c r="H4" s="17">
        <f t="shared" si="1"/>
        <v>333368.61102055671</v>
      </c>
      <c r="I4" s="17">
        <f t="shared" si="2"/>
        <v>5126998.8889794433</v>
      </c>
    </row>
    <row r="5" spans="1:9" ht="15.75" customHeight="1" x14ac:dyDescent="0.25">
      <c r="A5" s="5">
        <f t="shared" si="3"/>
        <v>2027</v>
      </c>
      <c r="B5" s="49">
        <v>290163</v>
      </c>
      <c r="C5" s="50">
        <v>1030161</v>
      </c>
      <c r="D5" s="50">
        <v>1583101.5</v>
      </c>
      <c r="E5" s="50">
        <v>1431091</v>
      </c>
      <c r="F5" s="50">
        <v>1409943.5</v>
      </c>
      <c r="G5" s="17">
        <f t="shared" si="0"/>
        <v>5454297</v>
      </c>
      <c r="H5" s="17">
        <f t="shared" si="1"/>
        <v>331723.50079751789</v>
      </c>
      <c r="I5" s="17">
        <f t="shared" si="2"/>
        <v>5122573.4992024824</v>
      </c>
    </row>
    <row r="6" spans="1:9" ht="15.75" customHeight="1" x14ac:dyDescent="0.25">
      <c r="A6" s="5">
        <f t="shared" si="3"/>
        <v>2028</v>
      </c>
      <c r="B6" s="49">
        <v>288952</v>
      </c>
      <c r="C6" s="50">
        <v>1017749.5</v>
      </c>
      <c r="D6" s="50">
        <v>1599278</v>
      </c>
      <c r="E6" s="50">
        <v>1424285</v>
      </c>
      <c r="F6" s="50">
        <v>1393265</v>
      </c>
      <c r="G6" s="17">
        <f t="shared" si="0"/>
        <v>5434577.5</v>
      </c>
      <c r="H6" s="17">
        <f t="shared" si="1"/>
        <v>330339.04737145803</v>
      </c>
      <c r="I6" s="17">
        <f t="shared" si="2"/>
        <v>5104238.4526285417</v>
      </c>
    </row>
    <row r="7" spans="1:9" ht="15.75" customHeight="1" x14ac:dyDescent="0.25">
      <c r="A7" s="5">
        <f t="shared" si="3"/>
        <v>2029</v>
      </c>
      <c r="B7" s="49">
        <v>289102</v>
      </c>
      <c r="C7" s="50">
        <v>1002999</v>
      </c>
      <c r="D7" s="50">
        <v>1612315.5</v>
      </c>
      <c r="E7" s="50">
        <v>1418125</v>
      </c>
      <c r="F7" s="50">
        <v>1369326</v>
      </c>
      <c r="G7" s="17">
        <f t="shared" si="0"/>
        <v>5402765.5</v>
      </c>
      <c r="H7" s="17">
        <f t="shared" si="1"/>
        <v>330510.53210631269</v>
      </c>
      <c r="I7" s="17">
        <f t="shared" si="2"/>
        <v>5072254.9678936871</v>
      </c>
    </row>
    <row r="8" spans="1:9" ht="15.75" customHeight="1" x14ac:dyDescent="0.25">
      <c r="A8" s="5">
        <f t="shared" si="3"/>
        <v>2030</v>
      </c>
      <c r="B8" s="49">
        <v>287955</v>
      </c>
      <c r="C8" s="50">
        <v>988146.5</v>
      </c>
      <c r="D8" s="50">
        <v>1619137</v>
      </c>
      <c r="E8" s="50">
        <v>1414975.5</v>
      </c>
      <c r="F8" s="50">
        <v>1340822</v>
      </c>
      <c r="G8" s="17">
        <f t="shared" si="0"/>
        <v>5363081</v>
      </c>
      <c r="H8" s="17">
        <f t="shared" si="1"/>
        <v>329199.24550045753</v>
      </c>
      <c r="I8" s="17">
        <f t="shared" si="2"/>
        <v>5033881.7544995425</v>
      </c>
    </row>
    <row r="9" spans="1:9" ht="15.75" customHeight="1" x14ac:dyDescent="0.25">
      <c r="A9" s="5">
        <f t="shared" si="3"/>
        <v>2031</v>
      </c>
      <c r="B9" s="49">
        <v>287155</v>
      </c>
      <c r="C9" s="50">
        <v>972055.99999999988</v>
      </c>
      <c r="D9" s="50">
        <v>1620897.5</v>
      </c>
      <c r="E9" s="50">
        <v>1413424</v>
      </c>
      <c r="F9" s="50">
        <v>1309024.5</v>
      </c>
      <c r="G9" s="17">
        <f t="shared" si="0"/>
        <v>5315402</v>
      </c>
      <c r="H9" s="17">
        <f t="shared" si="1"/>
        <v>328284.66024789948</v>
      </c>
      <c r="I9" s="17">
        <f t="shared" si="2"/>
        <v>4987117.3397521004</v>
      </c>
    </row>
    <row r="10" spans="1:9" ht="15.75" customHeight="1" x14ac:dyDescent="0.25">
      <c r="A10" s="5">
        <f t="shared" si="3"/>
        <v>2032</v>
      </c>
      <c r="B10" s="49">
        <v>286652</v>
      </c>
      <c r="C10" s="50">
        <v>952664</v>
      </c>
      <c r="D10" s="50">
        <v>1620791</v>
      </c>
      <c r="E10" s="50">
        <v>1411215</v>
      </c>
      <c r="F10" s="50">
        <v>1283351.5</v>
      </c>
      <c r="G10" s="17">
        <f t="shared" si="0"/>
        <v>5268021.5</v>
      </c>
      <c r="H10" s="17">
        <f t="shared" si="1"/>
        <v>327709.61477035354</v>
      </c>
      <c r="I10" s="17">
        <f t="shared" si="2"/>
        <v>4940311.8852296462</v>
      </c>
    </row>
    <row r="11" spans="1:9" ht="15.75" customHeight="1" x14ac:dyDescent="0.25">
      <c r="A11" s="5">
        <f t="shared" si="3"/>
        <v>2033</v>
      </c>
      <c r="B11" s="49">
        <v>286825</v>
      </c>
      <c r="C11" s="50">
        <v>931797.5</v>
      </c>
      <c r="D11" s="50">
        <v>1618124.5</v>
      </c>
      <c r="E11" s="50">
        <v>1411992</v>
      </c>
      <c r="F11" s="50">
        <v>1266740.5</v>
      </c>
      <c r="G11" s="17">
        <f t="shared" si="0"/>
        <v>5228654.5</v>
      </c>
      <c r="H11" s="17">
        <f t="shared" si="1"/>
        <v>327907.39383121923</v>
      </c>
      <c r="I11" s="17">
        <f t="shared" si="2"/>
        <v>4900747.1061687805</v>
      </c>
    </row>
    <row r="12" spans="1:9" ht="15.75" customHeight="1" x14ac:dyDescent="0.25">
      <c r="A12" s="5">
        <f t="shared" si="3"/>
        <v>2034</v>
      </c>
      <c r="B12" s="49">
        <v>285678</v>
      </c>
      <c r="C12" s="50">
        <v>912264</v>
      </c>
      <c r="D12" s="50">
        <v>1610306</v>
      </c>
      <c r="E12" s="50">
        <v>1417014</v>
      </c>
      <c r="F12" s="50">
        <v>1254172</v>
      </c>
      <c r="G12" s="17">
        <f t="shared" si="0"/>
        <v>5193756</v>
      </c>
      <c r="H12" s="17">
        <f t="shared" si="1"/>
        <v>326596.10722536407</v>
      </c>
      <c r="I12" s="17">
        <f t="shared" si="2"/>
        <v>4867159.8927746359</v>
      </c>
    </row>
    <row r="13" spans="1:9" ht="15.75" customHeight="1" x14ac:dyDescent="0.25">
      <c r="A13" s="5">
        <f t="shared" si="3"/>
        <v>2035</v>
      </c>
      <c r="B13" s="49">
        <v>283859</v>
      </c>
      <c r="C13" s="50">
        <v>895391.99999999988</v>
      </c>
      <c r="D13" s="50">
        <v>1595734.5</v>
      </c>
      <c r="E13" s="50">
        <v>1425891</v>
      </c>
      <c r="F13" s="50">
        <v>1242077</v>
      </c>
      <c r="G13" s="17">
        <f t="shared" si="0"/>
        <v>5159094.5</v>
      </c>
      <c r="H13" s="17">
        <f t="shared" si="1"/>
        <v>324516.56900736014</v>
      </c>
      <c r="I13" s="17">
        <f t="shared" si="2"/>
        <v>4834577.9309926396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6.7294099999999968E-2</v>
      </c>
    </row>
    <row r="5" spans="1:8" ht="15.75" customHeight="1" x14ac:dyDescent="0.25">
      <c r="B5" s="19" t="s">
        <v>70</v>
      </c>
      <c r="C5" s="101">
        <v>1.80132E-2</v>
      </c>
    </row>
    <row r="6" spans="1:8" ht="15.75" customHeight="1" x14ac:dyDescent="0.25">
      <c r="B6" s="19" t="s">
        <v>71</v>
      </c>
      <c r="C6" s="101">
        <v>0.12381249999999989</v>
      </c>
    </row>
    <row r="7" spans="1:8" ht="15.75" customHeight="1" x14ac:dyDescent="0.25">
      <c r="B7" s="19" t="s">
        <v>72</v>
      </c>
      <c r="C7" s="101">
        <v>0.38642470000000018</v>
      </c>
    </row>
    <row r="8" spans="1:8" ht="15.75" customHeight="1" x14ac:dyDescent="0.25">
      <c r="B8" s="19" t="s">
        <v>73</v>
      </c>
      <c r="C8" s="101">
        <v>1.914869999999996E-2</v>
      </c>
    </row>
    <row r="9" spans="1:8" ht="15.75" customHeight="1" x14ac:dyDescent="0.25">
      <c r="B9" s="19" t="s">
        <v>74</v>
      </c>
      <c r="C9" s="101">
        <v>0.26609360000000021</v>
      </c>
    </row>
    <row r="10" spans="1:8" ht="15.75" customHeight="1" x14ac:dyDescent="0.25">
      <c r="B10" s="19" t="s">
        <v>75</v>
      </c>
      <c r="C10" s="101">
        <v>0.1192131999999998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82</v>
      </c>
      <c r="C15" s="101">
        <v>0.14568781322098809</v>
      </c>
      <c r="D15" s="101">
        <v>0.14568781322098809</v>
      </c>
      <c r="E15" s="101">
        <v>0.14568781322098809</v>
      </c>
      <c r="F15" s="101">
        <v>0.14568781322098809</v>
      </c>
    </row>
    <row r="16" spans="1:8" ht="15.75" customHeight="1" x14ac:dyDescent="0.25">
      <c r="B16" s="19" t="s">
        <v>83</v>
      </c>
      <c r="C16" s="101">
        <v>4.4828200364618188E-2</v>
      </c>
      <c r="D16" s="101">
        <v>4.4828200364618188E-2</v>
      </c>
      <c r="E16" s="101">
        <v>4.4828200364618188E-2</v>
      </c>
      <c r="F16" s="101">
        <v>4.4828200364618188E-2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9.4837782257655406E-2</v>
      </c>
      <c r="D19" s="101">
        <v>9.4837782257655406E-2</v>
      </c>
      <c r="E19" s="101">
        <v>9.4837782257655406E-2</v>
      </c>
      <c r="F19" s="101">
        <v>9.4837782257655406E-2</v>
      </c>
    </row>
    <row r="20" spans="1:8" ht="15.75" customHeight="1" x14ac:dyDescent="0.25">
      <c r="B20" s="19" t="s">
        <v>87</v>
      </c>
      <c r="C20" s="101">
        <v>1.385700301523442E-3</v>
      </c>
      <c r="D20" s="101">
        <v>1.385700301523442E-3</v>
      </c>
      <c r="E20" s="101">
        <v>1.385700301523442E-3</v>
      </c>
      <c r="F20" s="101">
        <v>1.385700301523442E-3</v>
      </c>
    </row>
    <row r="21" spans="1:8" ht="15.75" customHeight="1" x14ac:dyDescent="0.25">
      <c r="B21" s="19" t="s">
        <v>88</v>
      </c>
      <c r="C21" s="101">
        <v>0.53798862315887519</v>
      </c>
      <c r="D21" s="101">
        <v>0.53798862315887519</v>
      </c>
      <c r="E21" s="101">
        <v>0.53798862315887519</v>
      </c>
      <c r="F21" s="101">
        <v>0.53798862315887519</v>
      </c>
    </row>
    <row r="22" spans="1:8" ht="15.75" customHeight="1" x14ac:dyDescent="0.25">
      <c r="B22" s="19" t="s">
        <v>89</v>
      </c>
      <c r="C22" s="101">
        <v>0.126245598195453</v>
      </c>
      <c r="D22" s="101">
        <v>0.126245598195453</v>
      </c>
      <c r="E22" s="101">
        <v>0.126245598195453</v>
      </c>
      <c r="F22" s="101">
        <v>0.126245598195453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6.2575125999999995E-2</v>
      </c>
    </row>
    <row r="27" spans="1:8" ht="15.75" customHeight="1" x14ac:dyDescent="0.25">
      <c r="B27" s="19" t="s">
        <v>92</v>
      </c>
      <c r="C27" s="101">
        <v>2.7904689999999998E-3</v>
      </c>
    </row>
    <row r="28" spans="1:8" ht="15.75" customHeight="1" x14ac:dyDescent="0.25">
      <c r="B28" s="19" t="s">
        <v>93</v>
      </c>
      <c r="C28" s="101">
        <v>0.17595467200000001</v>
      </c>
    </row>
    <row r="29" spans="1:8" ht="15.75" customHeight="1" x14ac:dyDescent="0.25">
      <c r="B29" s="19" t="s">
        <v>94</v>
      </c>
      <c r="C29" s="101">
        <v>0.129916751</v>
      </c>
    </row>
    <row r="30" spans="1:8" ht="15.75" customHeight="1" x14ac:dyDescent="0.25">
      <c r="B30" s="19" t="s">
        <v>95</v>
      </c>
      <c r="C30" s="101">
        <v>6.5542224999999996E-2</v>
      </c>
    </row>
    <row r="31" spans="1:8" ht="15.75" customHeight="1" x14ac:dyDescent="0.25">
      <c r="B31" s="19" t="s">
        <v>96</v>
      </c>
      <c r="C31" s="101">
        <v>0.16151726199999999</v>
      </c>
    </row>
    <row r="32" spans="1:8" ht="15.75" customHeight="1" x14ac:dyDescent="0.25">
      <c r="B32" s="19" t="s">
        <v>97</v>
      </c>
      <c r="C32" s="101">
        <v>7.3741798999999997E-2</v>
      </c>
    </row>
    <row r="33" spans="2:3" ht="15.75" customHeight="1" x14ac:dyDescent="0.25">
      <c r="B33" s="19" t="s">
        <v>98</v>
      </c>
      <c r="C33" s="101">
        <v>3.4829341E-2</v>
      </c>
    </row>
    <row r="34" spans="2:3" ht="15.75" customHeight="1" x14ac:dyDescent="0.25">
      <c r="B34" s="19" t="s">
        <v>99</v>
      </c>
      <c r="C34" s="101">
        <v>0.29313235599999998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56.060857440763883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39.836007367771657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383.53948171134112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2.6821610077954769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12.968306811567571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12.968306811567571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12.968306811567571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12.968306811567571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12.968306811567571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12.968306811567571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3.4000000000000002E-2</v>
      </c>
      <c r="C16" s="98">
        <v>0.95</v>
      </c>
      <c r="D16" s="56">
        <v>0.67507261146291864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8.8512484629968728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8.8512484629968728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24.480490916001791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22.356153156487789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6.4000000000000001E-2</v>
      </c>
      <c r="C23" s="98">
        <v>0.95</v>
      </c>
      <c r="D23" s="56">
        <v>4.2519172670834697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0.71148211299999997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18.528185290228219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0.72599999999999998</v>
      </c>
      <c r="C29" s="98">
        <v>0.95</v>
      </c>
      <c r="D29" s="56">
        <v>109.15510136543379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3.341585585510273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0.93</v>
      </c>
      <c r="C32" s="98">
        <v>0.95</v>
      </c>
      <c r="D32" s="56">
        <v>1.4449724110069491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0.85346329999999992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0.90599999999999992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0.52352160000000003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2.490967096558574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8.0000000000000002E-3</v>
      </c>
      <c r="E2" s="60">
        <f>food_insecure</f>
        <v>8.0000000000000002E-3</v>
      </c>
      <c r="F2" s="60">
        <f>food_insecure</f>
        <v>8.0000000000000002E-3</v>
      </c>
      <c r="G2" s="60">
        <f>food_insecure</f>
        <v>8.0000000000000002E-3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8.0000000000000002E-3</v>
      </c>
      <c r="F5" s="60">
        <f>food_insecure</f>
        <v>8.0000000000000002E-3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8.0000000000000002E-3</v>
      </c>
      <c r="F8" s="60">
        <f>food_insecure</f>
        <v>8.0000000000000002E-3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8.0000000000000002E-3</v>
      </c>
      <c r="F9" s="60">
        <f>food_insecure</f>
        <v>8.0000000000000002E-3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8.0000000000000002E-3</v>
      </c>
      <c r="I15" s="60">
        <f>food_insecure</f>
        <v>8.0000000000000002E-3</v>
      </c>
      <c r="J15" s="60">
        <f>food_insecure</f>
        <v>8.0000000000000002E-3</v>
      </c>
      <c r="K15" s="60">
        <f>food_insecure</f>
        <v>8.0000000000000002E-3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4.7159521411132756E-2</v>
      </c>
      <c r="M25" s="60">
        <f>(1-food_insecure)*(0.49)+food_insecure*(0.7)</f>
        <v>0.49168000000000001</v>
      </c>
      <c r="N25" s="60">
        <f>(1-food_insecure)*(0.49)+food_insecure*(0.7)</f>
        <v>0.49168000000000001</v>
      </c>
      <c r="O25" s="60">
        <f>(1-food_insecure)*(0.49)+food_insecure*(0.7)</f>
        <v>0.49168000000000001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2.0211223461914035E-2</v>
      </c>
      <c r="M26" s="60">
        <f>(1-food_insecure)*(0.21)+food_insecure*(0.3)</f>
        <v>0.21071999999999999</v>
      </c>
      <c r="N26" s="60">
        <f>(1-food_insecure)*(0.21)+food_insecure*(0.3)</f>
        <v>0.21071999999999999</v>
      </c>
      <c r="O26" s="60">
        <f>(1-food_insecure)*(0.21)+food_insecure*(0.3)</f>
        <v>0.21071999999999999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2.8544324707031211E-2</v>
      </c>
      <c r="M27" s="60">
        <f>(1-food_insecure)*(0.3)</f>
        <v>0.29759999999999998</v>
      </c>
      <c r="N27" s="60">
        <f>(1-food_insecure)*(0.3)</f>
        <v>0.29759999999999998</v>
      </c>
      <c r="O27" s="60">
        <f>(1-food_insecure)*(0.3)</f>
        <v>0.29759999999999998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0.90408493041992199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2024-06-18T06:57:16Z</dcterms:modified>
</cp:coreProperties>
</file>