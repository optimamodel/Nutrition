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29243A2-65EB-4368-9C72-06B1EC08BAC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22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<sst xmlns="http://schemas.openxmlformats.org/spreadsheetml/2006/main" count="2092" uniqueCount="341">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</sst>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3718927.21875</v>
      </c>
    </row>
    <row r="8" spans="1:3" ht="15" customHeight="1" x14ac:dyDescent="0.25">
      <c r="B8" s="5" t="s">
        <v>8</v>
      </c>
      <c r="C8" s="44">
        <v>0.43700000000000011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0.29334579467773397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0.55000000000000004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0.1002</v>
      </c>
    </row>
    <row r="24" spans="1:3" ht="15" customHeight="1" x14ac:dyDescent="0.25">
      <c r="B24" s="15" t="s">
        <v>22</v>
      </c>
      <c r="C24" s="45">
        <v>0.46389999999999998</v>
      </c>
    </row>
    <row r="25" spans="1:3" ht="15" customHeight="1" x14ac:dyDescent="0.25">
      <c r="B25" s="15" t="s">
        <v>23</v>
      </c>
      <c r="C25" s="45">
        <v>0.34920000000000001</v>
      </c>
    </row>
    <row r="26" spans="1:3" ht="15" customHeight="1" x14ac:dyDescent="0.25">
      <c r="B26" s="15" t="s">
        <v>24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0.21763249840316501</v>
      </c>
    </row>
    <row r="30" spans="1:3" ht="14.25" customHeight="1" x14ac:dyDescent="0.25">
      <c r="B30" s="25" t="s">
        <v>27</v>
      </c>
      <c r="C30" s="99">
        <v>2.8261826382030401E-2</v>
      </c>
    </row>
    <row r="31" spans="1:3" ht="14.25" customHeight="1" x14ac:dyDescent="0.25">
      <c r="B31" s="25" t="s">
        <v>28</v>
      </c>
      <c r="C31" s="99">
        <v>5.3921783185132001E-2</v>
      </c>
    </row>
    <row r="32" spans="1:3" ht="14.25" customHeight="1" x14ac:dyDescent="0.25">
      <c r="B32" s="25" t="s">
        <v>29</v>
      </c>
      <c r="C32" s="99">
        <v>0.70018389202967202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25.253029999999999</v>
      </c>
    </row>
    <row r="38" spans="1:5" ht="15" customHeight="1" x14ac:dyDescent="0.25">
      <c r="B38" s="11" t="s">
        <v>34</v>
      </c>
      <c r="C38" s="43">
        <v>51.773859999999999</v>
      </c>
      <c r="D38" s="12"/>
      <c r="E38" s="13"/>
    </row>
    <row r="39" spans="1:5" ht="15" customHeight="1" x14ac:dyDescent="0.25">
      <c r="B39" s="11" t="s">
        <v>35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100">
        <v>2.64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7.9159E-3</v>
      </c>
      <c r="D45" s="12"/>
    </row>
    <row r="46" spans="1:5" ht="15.75" customHeight="1" x14ac:dyDescent="0.25">
      <c r="B46" s="11" t="s">
        <v>41</v>
      </c>
      <c r="C46" s="45">
        <v>8.5054999999999992E-2</v>
      </c>
      <c r="D46" s="12"/>
    </row>
    <row r="47" spans="1:5" ht="15.75" customHeight="1" x14ac:dyDescent="0.25">
      <c r="B47" s="11" t="s">
        <v>42</v>
      </c>
      <c r="C47" s="45">
        <v>7.3472799999999991E-2</v>
      </c>
      <c r="D47" s="12"/>
      <c r="E47" s="13"/>
    </row>
    <row r="48" spans="1:5" ht="15" customHeight="1" x14ac:dyDescent="0.25">
      <c r="B48" s="11" t="s">
        <v>43</v>
      </c>
      <c r="C48" s="46">
        <v>0.83355630000000003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0.41227000000000008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824668.00079999981</v>
      </c>
      <c r="C2" s="49">
        <v>1284000</v>
      </c>
      <c r="D2" s="49">
        <v>1965000</v>
      </c>
      <c r="E2" s="49">
        <v>1364000</v>
      </c>
      <c r="F2" s="49">
        <v>947000</v>
      </c>
      <c r="G2" s="17">
        <f t="shared" ref="G2:G13" si="0">C2+D2+E2+F2</f>
        <v>5560000</v>
      </c>
      <c r="H2" s="17">
        <f t="shared" ref="H2:H13" si="1">(B2 + stillbirth*B2/(1000-stillbirth))/(1-abortion)</f>
        <v>956622.24823562335</v>
      </c>
      <c r="I2" s="17">
        <f t="shared" ref="I2:I13" si="2">G2-H2</f>
        <v>4603377.7517643766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837261.90899999999</v>
      </c>
      <c r="C3" s="50">
        <v>1321000</v>
      </c>
      <c r="D3" s="50">
        <v>2031000</v>
      </c>
      <c r="E3" s="50">
        <v>1407000</v>
      </c>
      <c r="F3" s="50">
        <v>982000</v>
      </c>
      <c r="G3" s="17">
        <f t="shared" si="0"/>
        <v>5741000</v>
      </c>
      <c r="H3" s="17">
        <f t="shared" si="1"/>
        <v>971231.29425738007</v>
      </c>
      <c r="I3" s="17">
        <f t="shared" si="2"/>
        <v>4769768.7057426199</v>
      </c>
    </row>
    <row r="4" spans="1:9" ht="15.75" customHeight="1" x14ac:dyDescent="0.25">
      <c r="A4" s="5">
        <f t="shared" si="3"/>
        <v>2026</v>
      </c>
      <c r="B4" s="49">
        <v>850710.91120000009</v>
      </c>
      <c r="C4" s="50">
        <v>1355000</v>
      </c>
      <c r="D4" s="50">
        <v>2098000</v>
      </c>
      <c r="E4" s="50">
        <v>1450000</v>
      </c>
      <c r="F4" s="50">
        <v>1014000</v>
      </c>
      <c r="G4" s="17">
        <f t="shared" si="0"/>
        <v>5917000</v>
      </c>
      <c r="H4" s="17">
        <f t="shared" si="1"/>
        <v>986832.25695825985</v>
      </c>
      <c r="I4" s="17">
        <f t="shared" si="2"/>
        <v>4930167.7430417398</v>
      </c>
    </row>
    <row r="5" spans="1:9" ht="15.75" customHeight="1" x14ac:dyDescent="0.25">
      <c r="A5" s="5">
        <f t="shared" si="3"/>
        <v>2027</v>
      </c>
      <c r="B5" s="49">
        <v>864035.2448000001</v>
      </c>
      <c r="C5" s="50">
        <v>1388000</v>
      </c>
      <c r="D5" s="50">
        <v>2169000</v>
      </c>
      <c r="E5" s="50">
        <v>1496000</v>
      </c>
      <c r="F5" s="50">
        <v>1049000</v>
      </c>
      <c r="G5" s="17">
        <f t="shared" si="0"/>
        <v>6102000</v>
      </c>
      <c r="H5" s="17">
        <f t="shared" si="1"/>
        <v>1002288.6029693921</v>
      </c>
      <c r="I5" s="17">
        <f t="shared" si="2"/>
        <v>5099711.3970306078</v>
      </c>
    </row>
    <row r="6" spans="1:9" ht="15.75" customHeight="1" x14ac:dyDescent="0.25">
      <c r="A6" s="5">
        <f t="shared" si="3"/>
        <v>2028</v>
      </c>
      <c r="B6" s="49">
        <v>877289.81760000018</v>
      </c>
      <c r="C6" s="50">
        <v>1419000</v>
      </c>
      <c r="D6" s="50">
        <v>2241000</v>
      </c>
      <c r="E6" s="50">
        <v>1546000</v>
      </c>
      <c r="F6" s="50">
        <v>1082000</v>
      </c>
      <c r="G6" s="17">
        <f t="shared" si="0"/>
        <v>6288000</v>
      </c>
      <c r="H6" s="17">
        <f t="shared" si="1"/>
        <v>1017664.0258293048</v>
      </c>
      <c r="I6" s="17">
        <f t="shared" si="2"/>
        <v>5270335.9741706951</v>
      </c>
    </row>
    <row r="7" spans="1:9" ht="15.75" customHeight="1" x14ac:dyDescent="0.25">
      <c r="A7" s="5">
        <f t="shared" si="3"/>
        <v>2029</v>
      </c>
      <c r="B7" s="49">
        <v>890392.99580000015</v>
      </c>
      <c r="C7" s="50">
        <v>1451000</v>
      </c>
      <c r="D7" s="50">
        <v>2314000</v>
      </c>
      <c r="E7" s="50">
        <v>1596000</v>
      </c>
      <c r="F7" s="50">
        <v>1116000</v>
      </c>
      <c r="G7" s="17">
        <f t="shared" si="0"/>
        <v>6477000</v>
      </c>
      <c r="H7" s="17">
        <f t="shared" si="1"/>
        <v>1032863.8296007088</v>
      </c>
      <c r="I7" s="17">
        <f t="shared" si="2"/>
        <v>5444136.1703992914</v>
      </c>
    </row>
    <row r="8" spans="1:9" ht="15.75" customHeight="1" x14ac:dyDescent="0.25">
      <c r="A8" s="5">
        <f t="shared" si="3"/>
        <v>2030</v>
      </c>
      <c r="B8" s="49">
        <v>903332.18</v>
      </c>
      <c r="C8" s="50">
        <v>1483000</v>
      </c>
      <c r="D8" s="50">
        <v>2386000</v>
      </c>
      <c r="E8" s="50">
        <v>1649000</v>
      </c>
      <c r="F8" s="50">
        <v>1151000</v>
      </c>
      <c r="G8" s="17">
        <f t="shared" si="0"/>
        <v>6669000</v>
      </c>
      <c r="H8" s="17">
        <f t="shared" si="1"/>
        <v>1047873.3988670451</v>
      </c>
      <c r="I8" s="17">
        <f t="shared" si="2"/>
        <v>5621126.6011329554</v>
      </c>
    </row>
    <row r="9" spans="1:9" ht="15.75" customHeight="1" x14ac:dyDescent="0.25">
      <c r="A9" s="5">
        <f t="shared" si="3"/>
        <v>2031</v>
      </c>
      <c r="B9" s="49">
        <v>914569.91988571442</v>
      </c>
      <c r="C9" s="50">
        <v>1511428.5714285709</v>
      </c>
      <c r="D9" s="50">
        <v>2446142.8571428568</v>
      </c>
      <c r="E9" s="50">
        <v>1689714.2857142859</v>
      </c>
      <c r="F9" s="50">
        <v>1180142.857142857</v>
      </c>
      <c r="G9" s="17">
        <f t="shared" si="0"/>
        <v>6827428.5714285709</v>
      </c>
      <c r="H9" s="17">
        <f t="shared" si="1"/>
        <v>1060909.2775286769</v>
      </c>
      <c r="I9" s="17">
        <f t="shared" si="2"/>
        <v>5766519.2938998938</v>
      </c>
    </row>
    <row r="10" spans="1:9" ht="15.75" customHeight="1" x14ac:dyDescent="0.25">
      <c r="A10" s="5">
        <f t="shared" si="3"/>
        <v>2032</v>
      </c>
      <c r="B10" s="49">
        <v>925613.92144081648</v>
      </c>
      <c r="C10" s="50">
        <v>1538632.6530612239</v>
      </c>
      <c r="D10" s="50">
        <v>2505448.9795918372</v>
      </c>
      <c r="E10" s="50">
        <v>1730102.0408163259</v>
      </c>
      <c r="F10" s="50">
        <v>1208448.9795918369</v>
      </c>
      <c r="G10" s="17">
        <f t="shared" si="0"/>
        <v>6982632.6530612241</v>
      </c>
      <c r="H10" s="17">
        <f t="shared" si="1"/>
        <v>1073720.4179960049</v>
      </c>
      <c r="I10" s="17">
        <f t="shared" si="2"/>
        <v>5908912.235065219</v>
      </c>
    </row>
    <row r="11" spans="1:9" ht="15.75" customHeight="1" x14ac:dyDescent="0.25">
      <c r="A11" s="5">
        <f t="shared" si="3"/>
        <v>2033</v>
      </c>
      <c r="B11" s="49">
        <v>936314.35147521878</v>
      </c>
      <c r="C11" s="50">
        <v>1564865.8892128279</v>
      </c>
      <c r="D11" s="50">
        <v>2563655.9766763849</v>
      </c>
      <c r="E11" s="50">
        <v>1770116.618075802</v>
      </c>
      <c r="F11" s="50">
        <v>1236227.4052478131</v>
      </c>
      <c r="G11" s="17">
        <f t="shared" si="0"/>
        <v>7134865.8892128281</v>
      </c>
      <c r="H11" s="17">
        <f t="shared" si="1"/>
        <v>1086133.0124299685</v>
      </c>
      <c r="I11" s="17">
        <f t="shared" si="2"/>
        <v>6048732.8767828597</v>
      </c>
    </row>
    <row r="12" spans="1:9" ht="15.75" customHeight="1" x14ac:dyDescent="0.25">
      <c r="A12" s="5">
        <f t="shared" si="3"/>
        <v>2034</v>
      </c>
      <c r="B12" s="49">
        <v>946639.93814310711</v>
      </c>
      <c r="C12" s="50">
        <v>1590132.4448146599</v>
      </c>
      <c r="D12" s="50">
        <v>2620035.4019158678</v>
      </c>
      <c r="E12" s="50">
        <v>1809276.134943773</v>
      </c>
      <c r="F12" s="50">
        <v>1262974.1774260721</v>
      </c>
      <c r="G12" s="17">
        <f t="shared" si="0"/>
        <v>7282418.1591003723</v>
      </c>
      <c r="H12" s="17">
        <f t="shared" si="1"/>
        <v>1098110.7852100509</v>
      </c>
      <c r="I12" s="17">
        <f t="shared" si="2"/>
        <v>6184307.3738903217</v>
      </c>
    </row>
    <row r="13" spans="1:9" ht="15.75" customHeight="1" x14ac:dyDescent="0.25">
      <c r="A13" s="5">
        <f t="shared" si="3"/>
        <v>2035</v>
      </c>
      <c r="B13" s="49">
        <v>956547.09822069376</v>
      </c>
      <c r="C13" s="50">
        <v>1614579.9369310399</v>
      </c>
      <c r="D13" s="50">
        <v>2674183.3164752782</v>
      </c>
      <c r="E13" s="50">
        <v>1846887.0113643119</v>
      </c>
      <c r="F13" s="50">
        <v>1288827.631344083</v>
      </c>
      <c r="G13" s="17">
        <f t="shared" si="0"/>
        <v>7424477.8961147126</v>
      </c>
      <c r="H13" s="17">
        <f t="shared" si="1"/>
        <v>1109603.1794073002</v>
      </c>
      <c r="I13" s="17">
        <f t="shared" si="2"/>
        <v>6314874.7167074122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2.0333900000000009E-2</v>
      </c>
    </row>
    <row r="4" spans="1:8" ht="15.75" customHeight="1" x14ac:dyDescent="0.25">
      <c r="B4" s="19" t="s">
        <v>69</v>
      </c>
      <c r="C4" s="101">
        <v>5.8515499999999963E-2</v>
      </c>
    </row>
    <row r="5" spans="1:8" ht="15.75" customHeight="1" x14ac:dyDescent="0.25">
      <c r="B5" s="19" t="s">
        <v>70</v>
      </c>
      <c r="C5" s="101">
        <v>8.584010000000003E-2</v>
      </c>
    </row>
    <row r="6" spans="1:8" ht="15.75" customHeight="1" x14ac:dyDescent="0.25">
      <c r="B6" s="19" t="s">
        <v>71</v>
      </c>
      <c r="C6" s="101">
        <v>0.24612210000000009</v>
      </c>
    </row>
    <row r="7" spans="1:8" ht="15.75" customHeight="1" x14ac:dyDescent="0.25">
      <c r="B7" s="19" t="s">
        <v>72</v>
      </c>
      <c r="C7" s="101">
        <v>0.40482630000000008</v>
      </c>
    </row>
    <row r="8" spans="1:8" ht="15.75" customHeight="1" x14ac:dyDescent="0.25">
      <c r="B8" s="19" t="s">
        <v>73</v>
      </c>
      <c r="C8" s="101">
        <v>2.627099999999999E-3</v>
      </c>
    </row>
    <row r="9" spans="1:8" ht="15.75" customHeight="1" x14ac:dyDescent="0.25">
      <c r="B9" s="19" t="s">
        <v>74</v>
      </c>
      <c r="C9" s="101">
        <v>7.09566999999999E-2</v>
      </c>
    </row>
    <row r="10" spans="1:8" ht="15.75" customHeight="1" x14ac:dyDescent="0.25">
      <c r="B10" s="19" t="s">
        <v>75</v>
      </c>
      <c r="C10" s="101">
        <v>0.1107782999999999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82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83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84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85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86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87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88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89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8.7586460000000005E-2</v>
      </c>
    </row>
    <row r="27" spans="1:8" ht="15.75" customHeight="1" x14ac:dyDescent="0.25">
      <c r="B27" s="19" t="s">
        <v>92</v>
      </c>
      <c r="C27" s="101">
        <v>8.3866540000000003E-3</v>
      </c>
    </row>
    <row r="28" spans="1:8" ht="15.75" customHeight="1" x14ac:dyDescent="0.25">
      <c r="B28" s="19" t="s">
        <v>93</v>
      </c>
      <c r="C28" s="101">
        <v>0.15511656900000001</v>
      </c>
    </row>
    <row r="29" spans="1:8" ht="15.75" customHeight="1" x14ac:dyDescent="0.25">
      <c r="B29" s="19" t="s">
        <v>94</v>
      </c>
      <c r="C29" s="101">
        <v>0.16688481799999999</v>
      </c>
    </row>
    <row r="30" spans="1:8" ht="15.75" customHeight="1" x14ac:dyDescent="0.25">
      <c r="B30" s="19" t="s">
        <v>95</v>
      </c>
      <c r="C30" s="101">
        <v>0.10560810299999999</v>
      </c>
    </row>
    <row r="31" spans="1:8" ht="15.75" customHeight="1" x14ac:dyDescent="0.25">
      <c r="B31" s="19" t="s">
        <v>96</v>
      </c>
      <c r="C31" s="101">
        <v>0.107401392</v>
      </c>
    </row>
    <row r="32" spans="1:8" ht="15.75" customHeight="1" x14ac:dyDescent="0.25">
      <c r="B32" s="19" t="s">
        <v>97</v>
      </c>
      <c r="C32" s="101">
        <v>1.8908227E-2</v>
      </c>
    </row>
    <row r="33" spans="2:3" ht="15.75" customHeight="1" x14ac:dyDescent="0.25">
      <c r="B33" s="19" t="s">
        <v>98</v>
      </c>
      <c r="C33" s="101">
        <v>8.4811863000000015E-2</v>
      </c>
    </row>
    <row r="34" spans="2:3" ht="15.75" customHeight="1" x14ac:dyDescent="0.25">
      <c r="B34" s="19" t="s">
        <v>99</v>
      </c>
      <c r="C34" s="101">
        <v>0.26529591499999999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104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122</v>
      </c>
      <c r="C5" s="52">
        <v>1.1916599999999999E-2</v>
      </c>
      <c r="D5" s="52">
        <v>8.6671000000000005E-3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7.2822640000000001E-3</v>
      </c>
      <c r="C2" s="98">
        <v>0.95</v>
      </c>
      <c r="D2" s="56">
        <v>35.596790609555818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44.652064108478527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62.710307875329853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0.24845483936730431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14.1771259775989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14.1771259775989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14.1771259775989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14.1771259775989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14.1771259775989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14.1771259775989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8.4015009909432004E-2</v>
      </c>
      <c r="C16" s="98">
        <v>0.95</v>
      </c>
      <c r="D16" s="56">
        <v>0.23340244055012849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1.551549577453486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1.551549577453486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0.20785490000000001</v>
      </c>
      <c r="C21" s="98">
        <v>0.95</v>
      </c>
      <c r="D21" s="56">
        <v>2.4393581689457542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24.160007493407178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3.8836000000000001E-3</v>
      </c>
      <c r="C23" s="98">
        <v>0.95</v>
      </c>
      <c r="D23" s="56">
        <v>4.6510701337195632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0.526041010700668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6.4216328000000003E-2</v>
      </c>
      <c r="C27" s="98">
        <v>0.95</v>
      </c>
      <c r="D27" s="56">
        <v>20.48810894130915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0.2117704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62.448941953110591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0.26090000000000002</v>
      </c>
      <c r="C31" s="98">
        <v>0.95</v>
      </c>
      <c r="D31" s="56">
        <v>1.2252665410686781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0.22145599999999999</v>
      </c>
      <c r="C32" s="98">
        <v>0.95</v>
      </c>
      <c r="D32" s="56">
        <v>0.44130531545716389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0.2475649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3.6618000000000002E-3</v>
      </c>
      <c r="C38" s="98">
        <v>0.95</v>
      </c>
      <c r="D38" s="56">
        <v>4.5629156859560327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5.1927199999999993E-2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205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0.43700000000000011</v>
      </c>
      <c r="E2" s="60">
        <f>food_insecure</f>
        <v>0.43700000000000011</v>
      </c>
      <c r="F2" s="60">
        <f>food_insecure</f>
        <v>0.43700000000000011</v>
      </c>
      <c r="G2" s="60">
        <f>food_insecure</f>
        <v>0.43700000000000011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0.43700000000000011</v>
      </c>
      <c r="F5" s="60">
        <f>food_insecure</f>
        <v>0.43700000000000011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0.43700000000000011</v>
      </c>
      <c r="F8" s="60">
        <f>food_insecure</f>
        <v>0.43700000000000011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0.43700000000000011</v>
      </c>
      <c r="F9" s="60">
        <f>food_insecure</f>
        <v>0.43700000000000011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0.43700000000000011</v>
      </c>
      <c r="I15" s="60">
        <f>food_insecure</f>
        <v>0.43700000000000011</v>
      </c>
      <c r="J15" s="60">
        <f>food_insecure</f>
        <v>0.43700000000000011</v>
      </c>
      <c r="K15" s="60">
        <f>food_insecure</f>
        <v>0.43700000000000011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0.55000000000000004</v>
      </c>
      <c r="M24" s="60">
        <f>famplan_unmet_need</f>
        <v>0.55000000000000004</v>
      </c>
      <c r="N24" s="60">
        <f>famplan_unmet_need</f>
        <v>0.55000000000000004</v>
      </c>
      <c r="O24" s="60">
        <f>famplan_unmet_need</f>
        <v>0.55000000000000004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0.41111021703033468</v>
      </c>
      <c r="M25" s="60">
        <f>(1-food_insecure)*(0.49)+food_insecure*(0.7)</f>
        <v>0.58177000000000001</v>
      </c>
      <c r="N25" s="60">
        <f>(1-food_insecure)*(0.49)+food_insecure*(0.7)</f>
        <v>0.58177000000000001</v>
      </c>
      <c r="O25" s="60">
        <f>(1-food_insecure)*(0.49)+food_insecure*(0.7)</f>
        <v>0.58177000000000001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0.17619009301300059</v>
      </c>
      <c r="M26" s="60">
        <f>(1-food_insecure)*(0.21)+food_insecure*(0.3)</f>
        <v>0.24933</v>
      </c>
      <c r="N26" s="60">
        <f>(1-food_insecure)*(0.21)+food_insecure*(0.3)</f>
        <v>0.24933</v>
      </c>
      <c r="O26" s="60">
        <f>(1-food_insecure)*(0.21)+food_insecure*(0.3)</f>
        <v>0.24933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0.1193538952789307</v>
      </c>
      <c r="M27" s="60">
        <f>(1-food_insecure)*(0.3)</f>
        <v>0.16889999999999997</v>
      </c>
      <c r="N27" s="60">
        <f>(1-food_insecure)*(0.3)</f>
        <v>0.16889999999999997</v>
      </c>
      <c r="O27" s="60">
        <f>(1-food_insecure)*(0.3)</f>
        <v>0.16889999999999997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0.29334579467773397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0.85506196101166743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2024-03-28T03:03:47Z</dcterms:modified>
</cp:coreProperties>
</file>