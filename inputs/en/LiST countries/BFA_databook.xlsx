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F5F0BE05-D8B5-4032-AF6B-94FE9B46F260}" xr6:coauthVersionLast="47" xr6:coauthVersionMax="47" xr10:uidLastSave="{00000000-0000-0000-0000-000000000000}"/>
  <bookViews>
    <workbookView xWindow="0" yWindow="3670" windowWidth="19200" windowHeight="6530" tabRatio="961" firstSheet="6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<sst xmlns="http://schemas.openxmlformats.org/spreadsheetml/2006/main" count="2102" uniqueCount="341">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</sst>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3718927.21875</v>
      </c>
    </row>
    <row r="8" spans="1:3" ht="15" customHeight="1" x14ac:dyDescent="0.25">
      <c r="B8" s="5" t="s">
        <v>8</v>
      </c>
      <c r="C8" s="44">
        <v>0.43700000000000011</v>
      </c>
    </row>
    <row r="9" spans="1:3" ht="15" customHeight="1" x14ac:dyDescent="0.25">
      <c r="B9" s="5" t="s">
        <v>9</v>
      </c>
      <c r="C9" s="45">
        <v>1</v>
      </c>
    </row>
    <row r="10" spans="1:3" ht="15" customHeight="1" x14ac:dyDescent="0.25">
      <c r="B10" s="5" t="s">
        <v>10</v>
      </c>
      <c r="C10" s="45">
        <v>0.29334579467773397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0.55000000000000004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0.1002</v>
      </c>
    </row>
    <row r="24" spans="1:3" ht="15" customHeight="1" x14ac:dyDescent="0.25">
      <c r="B24" s="15" t="s">
        <v>22</v>
      </c>
      <c r="C24" s="45">
        <v>0.46389999999999998</v>
      </c>
    </row>
    <row r="25" spans="1:3" ht="15" customHeight="1" x14ac:dyDescent="0.25">
      <c r="B25" s="15" t="s">
        <v>23</v>
      </c>
      <c r="C25" s="45">
        <v>0.34920000000000001</v>
      </c>
    </row>
    <row r="26" spans="1:3" ht="15" customHeight="1" x14ac:dyDescent="0.25">
      <c r="B26" s="15" t="s">
        <v>24</v>
      </c>
      <c r="C26" s="45">
        <v>8.6699999999999999E-2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0.21763249840316501</v>
      </c>
    </row>
    <row r="30" spans="1:3" ht="14.25" customHeight="1" x14ac:dyDescent="0.25">
      <c r="B30" s="25" t="s">
        <v>27</v>
      </c>
      <c r="C30" s="99">
        <v>2.8261826382030401E-2</v>
      </c>
    </row>
    <row r="31" spans="1:3" ht="14.25" customHeight="1" x14ac:dyDescent="0.25">
      <c r="B31" s="25" t="s">
        <v>28</v>
      </c>
      <c r="C31" s="99">
        <v>5.3921783185132001E-2</v>
      </c>
    </row>
    <row r="32" spans="1:3" ht="14.25" customHeight="1" x14ac:dyDescent="0.25">
      <c r="B32" s="25" t="s">
        <v>29</v>
      </c>
      <c r="C32" s="99">
        <v>0.70018389202967202</v>
      </c>
    </row>
    <row r="33" spans="1:5" ht="13" customHeight="1" x14ac:dyDescent="0.25">
      <c r="B33" s="27" t="s">
        <v>30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25.253029999999999</v>
      </c>
    </row>
    <row r="38" spans="1:5" ht="15" customHeight="1" x14ac:dyDescent="0.25">
      <c r="B38" s="11" t="s">
        <v>34</v>
      </c>
      <c r="C38" s="43">
        <v>51.773859999999999</v>
      </c>
      <c r="D38" s="12"/>
      <c r="E38" s="13"/>
    </row>
    <row r="39" spans="1:5" ht="15" customHeight="1" x14ac:dyDescent="0.25">
      <c r="B39" s="11" t="s">
        <v>35</v>
      </c>
      <c r="C39" s="43">
        <v>82.607579999999999</v>
      </c>
      <c r="D39" s="12"/>
      <c r="E39" s="12"/>
    </row>
    <row r="40" spans="1:5" ht="15" customHeight="1" x14ac:dyDescent="0.25">
      <c r="B40" s="11" t="s">
        <v>36</v>
      </c>
      <c r="C40" s="100">
        <v>2.64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20.38372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7.9159E-3</v>
      </c>
      <c r="D45" s="12"/>
    </row>
    <row r="46" spans="1:5" ht="15.75" customHeight="1" x14ac:dyDescent="0.25">
      <c r="B46" s="11" t="s">
        <v>41</v>
      </c>
      <c r="C46" s="45">
        <v>8.5054999999999992E-2</v>
      </c>
      <c r="D46" s="12"/>
    </row>
    <row r="47" spans="1:5" ht="15.75" customHeight="1" x14ac:dyDescent="0.25">
      <c r="B47" s="11" t="s">
        <v>42</v>
      </c>
      <c r="C47" s="45">
        <v>7.3472799999999991E-2</v>
      </c>
      <c r="D47" s="12"/>
      <c r="E47" s="13"/>
    </row>
    <row r="48" spans="1:5" ht="15" customHeight="1" x14ac:dyDescent="0.25">
      <c r="B48" s="11" t="s">
        <v>43</v>
      </c>
      <c r="C48" s="46">
        <v>0.83355630000000003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0.41227000000000008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0.13137902000000001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810065</v>
      </c>
      <c r="C2" s="49">
        <v>1614385</v>
      </c>
      <c r="D2" s="49">
        <v>1990041.5</v>
      </c>
      <c r="E2" s="49">
        <v>1430003.5</v>
      </c>
      <c r="F2" s="49">
        <v>873738.5</v>
      </c>
      <c r="G2" s="17">
        <f t="shared" ref="G2:G13" si="0">C2+D2+E2+F2</f>
        <v>5908168.5</v>
      </c>
      <c r="H2" s="17">
        <f t="shared" ref="H2:H13" si="1">(B2 + stillbirth*B2/(1000-stillbirth))/(1-abortion)</f>
        <v>939682.63684930699</v>
      </c>
      <c r="I2" s="17">
        <f t="shared" ref="I2:I13" si="2">G2-H2</f>
        <v>4968485.8631506935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819320</v>
      </c>
      <c r="C3" s="50">
        <v>1667263</v>
      </c>
      <c r="D3" s="50">
        <v>2055105</v>
      </c>
      <c r="E3" s="50">
        <v>1466491.5</v>
      </c>
      <c r="F3" s="50">
        <v>909040.5</v>
      </c>
      <c r="G3" s="17">
        <f t="shared" si="0"/>
        <v>6097900</v>
      </c>
      <c r="H3" s="17">
        <f t="shared" si="1"/>
        <v>950418.5195303763</v>
      </c>
      <c r="I3" s="17">
        <f t="shared" si="2"/>
        <v>5147481.4804696236</v>
      </c>
    </row>
    <row r="4" spans="1:9" ht="15.75" customHeight="1" x14ac:dyDescent="0.25">
      <c r="A4" s="5">
        <f t="shared" si="3"/>
        <v>2026</v>
      </c>
      <c r="B4" s="49">
        <v>829433</v>
      </c>
      <c r="C4" s="50">
        <v>1717394.5</v>
      </c>
      <c r="D4" s="50">
        <v>2124671</v>
      </c>
      <c r="E4" s="50">
        <v>1504437</v>
      </c>
      <c r="F4" s="50">
        <v>945033</v>
      </c>
      <c r="G4" s="17">
        <f t="shared" si="0"/>
        <v>6291535.5</v>
      </c>
      <c r="H4" s="17">
        <f t="shared" si="1"/>
        <v>962149.68987652997</v>
      </c>
      <c r="I4" s="17">
        <f t="shared" si="2"/>
        <v>5329385.8101234697</v>
      </c>
    </row>
    <row r="5" spans="1:9" ht="15.75" customHeight="1" x14ac:dyDescent="0.25">
      <c r="A5" s="5">
        <f t="shared" si="3"/>
        <v>2027</v>
      </c>
      <c r="B5" s="49">
        <v>838900</v>
      </c>
      <c r="C5" s="50">
        <v>1764451.5</v>
      </c>
      <c r="D5" s="50">
        <v>2198692</v>
      </c>
      <c r="E5" s="50">
        <v>1544377</v>
      </c>
      <c r="F5" s="50">
        <v>980763.5</v>
      </c>
      <c r="G5" s="17">
        <f t="shared" si="0"/>
        <v>6488284</v>
      </c>
      <c r="H5" s="17">
        <f t="shared" si="1"/>
        <v>973131.49445153621</v>
      </c>
      <c r="I5" s="17">
        <f t="shared" si="2"/>
        <v>5515152.5055484641</v>
      </c>
    </row>
    <row r="6" spans="1:9" ht="15.75" customHeight="1" x14ac:dyDescent="0.25">
      <c r="A6" s="5">
        <f t="shared" si="3"/>
        <v>2028</v>
      </c>
      <c r="B6" s="49">
        <v>847849</v>
      </c>
      <c r="C6" s="50">
        <v>1808540.5</v>
      </c>
      <c r="D6" s="50">
        <v>2276166.5</v>
      </c>
      <c r="E6" s="50">
        <v>1586507.5</v>
      </c>
      <c r="F6" s="50">
        <v>1015073</v>
      </c>
      <c r="G6" s="17">
        <f t="shared" si="0"/>
        <v>6686287.5</v>
      </c>
      <c r="H6" s="17">
        <f t="shared" si="1"/>
        <v>983512.41439890396</v>
      </c>
      <c r="I6" s="17">
        <f t="shared" si="2"/>
        <v>5702775.085601096</v>
      </c>
    </row>
    <row r="7" spans="1:9" ht="15.75" customHeight="1" x14ac:dyDescent="0.25">
      <c r="A7" s="5">
        <f t="shared" si="3"/>
        <v>2029</v>
      </c>
      <c r="B7" s="49">
        <v>859738</v>
      </c>
      <c r="C7" s="50">
        <v>1849047</v>
      </c>
      <c r="D7" s="50">
        <v>2356110</v>
      </c>
      <c r="E7" s="50">
        <v>1631418</v>
      </c>
      <c r="F7" s="50">
        <v>1047668</v>
      </c>
      <c r="G7" s="17">
        <f t="shared" si="0"/>
        <v>6884243</v>
      </c>
      <c r="H7" s="17">
        <f t="shared" si="1"/>
        <v>997303.76061124669</v>
      </c>
      <c r="I7" s="17">
        <f t="shared" si="2"/>
        <v>5886939.2393887537</v>
      </c>
    </row>
    <row r="8" spans="1:9" ht="15.75" customHeight="1" x14ac:dyDescent="0.25">
      <c r="A8" s="5">
        <f t="shared" si="3"/>
        <v>2030</v>
      </c>
      <c r="B8" s="49">
        <v>868480</v>
      </c>
      <c r="C8" s="50">
        <v>1884293</v>
      </c>
      <c r="D8" s="50">
        <v>2437734</v>
      </c>
      <c r="E8" s="50">
        <v>1679331.5</v>
      </c>
      <c r="F8" s="50">
        <v>1078934.5</v>
      </c>
      <c r="G8" s="17">
        <f t="shared" si="0"/>
        <v>7080293</v>
      </c>
      <c r="H8" s="17">
        <f t="shared" si="1"/>
        <v>1007444.5587093458</v>
      </c>
      <c r="I8" s="17">
        <f t="shared" si="2"/>
        <v>6072848.4412906542</v>
      </c>
    </row>
    <row r="9" spans="1:9" ht="15.75" customHeight="1" x14ac:dyDescent="0.25">
      <c r="A9" s="5">
        <f t="shared" si="3"/>
        <v>2031</v>
      </c>
      <c r="B9" s="49">
        <v>877438</v>
      </c>
      <c r="C9" s="50">
        <v>1913035</v>
      </c>
      <c r="D9" s="50">
        <v>2520966.5</v>
      </c>
      <c r="E9" s="50">
        <v>1729757</v>
      </c>
      <c r="F9" s="50">
        <v>1109668.5</v>
      </c>
      <c r="G9" s="17">
        <f t="shared" si="0"/>
        <v>7273427</v>
      </c>
      <c r="H9" s="17">
        <f t="shared" si="1"/>
        <v>1017835.9187371165</v>
      </c>
      <c r="I9" s="17">
        <f t="shared" si="2"/>
        <v>6255591.0812628837</v>
      </c>
    </row>
    <row r="10" spans="1:9" ht="15.75" customHeight="1" x14ac:dyDescent="0.25">
      <c r="A10" s="5">
        <f t="shared" si="3"/>
        <v>2032</v>
      </c>
      <c r="B10" s="49">
        <v>885899</v>
      </c>
      <c r="C10" s="50">
        <v>1937496</v>
      </c>
      <c r="D10" s="50">
        <v>2605389</v>
      </c>
      <c r="E10" s="50">
        <v>1782572.5</v>
      </c>
      <c r="F10" s="50">
        <v>1140558</v>
      </c>
      <c r="G10" s="17">
        <f t="shared" si="0"/>
        <v>7466015.5</v>
      </c>
      <c r="H10" s="17">
        <f t="shared" si="1"/>
        <v>1027650.7543248557</v>
      </c>
      <c r="I10" s="17">
        <f t="shared" si="2"/>
        <v>6438364.7456751447</v>
      </c>
    </row>
    <row r="11" spans="1:9" ht="15.75" customHeight="1" x14ac:dyDescent="0.25">
      <c r="A11" s="5">
        <f t="shared" si="3"/>
        <v>2033</v>
      </c>
      <c r="B11" s="49">
        <v>895298</v>
      </c>
      <c r="C11" s="50">
        <v>1960068.5</v>
      </c>
      <c r="D11" s="50">
        <v>2688922.5</v>
      </c>
      <c r="E11" s="50">
        <v>1839143</v>
      </c>
      <c r="F11" s="50">
        <v>1171704</v>
      </c>
      <c r="G11" s="17">
        <f t="shared" si="0"/>
        <v>7659838</v>
      </c>
      <c r="H11" s="17">
        <f t="shared" si="1"/>
        <v>1038553.6782923727</v>
      </c>
      <c r="I11" s="17">
        <f t="shared" si="2"/>
        <v>6621284.3217076268</v>
      </c>
    </row>
    <row r="12" spans="1:9" ht="15.75" customHeight="1" x14ac:dyDescent="0.25">
      <c r="A12" s="5">
        <f t="shared" si="3"/>
        <v>2034</v>
      </c>
      <c r="B12" s="49">
        <v>902614</v>
      </c>
      <c r="C12" s="50">
        <v>1981544</v>
      </c>
      <c r="D12" s="50">
        <v>2769751.5</v>
      </c>
      <c r="E12" s="50">
        <v>1899610</v>
      </c>
      <c r="F12" s="50">
        <v>1202576.5</v>
      </c>
      <c r="G12" s="17">
        <f t="shared" si="0"/>
        <v>7853482</v>
      </c>
      <c r="H12" s="17">
        <f t="shared" si="1"/>
        <v>1047040.3036510656</v>
      </c>
      <c r="I12" s="17">
        <f t="shared" si="2"/>
        <v>6806441.6963489344</v>
      </c>
    </row>
    <row r="13" spans="1:9" ht="15.75" customHeight="1" x14ac:dyDescent="0.25">
      <c r="A13" s="5">
        <f t="shared" si="3"/>
        <v>2035</v>
      </c>
      <c r="B13" s="49">
        <v>907160</v>
      </c>
      <c r="C13" s="50">
        <v>2003061.5</v>
      </c>
      <c r="D13" s="50">
        <v>2846439</v>
      </c>
      <c r="E13" s="50">
        <v>1963561.5</v>
      </c>
      <c r="F13" s="50">
        <v>1233267.5</v>
      </c>
      <c r="G13" s="17">
        <f t="shared" si="0"/>
        <v>8046329.5</v>
      </c>
      <c r="H13" s="17">
        <f t="shared" si="1"/>
        <v>1052313.7042635065</v>
      </c>
      <c r="I13" s="17">
        <f t="shared" si="2"/>
        <v>6994015.7957364935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2.0333900000000009E-2</v>
      </c>
    </row>
    <row r="4" spans="1:8" ht="15.75" customHeight="1" x14ac:dyDescent="0.25">
      <c r="B4" s="19" t="s">
        <v>69</v>
      </c>
      <c r="C4" s="101">
        <v>5.8515499999999963E-2</v>
      </c>
    </row>
    <row r="5" spans="1:8" ht="15.75" customHeight="1" x14ac:dyDescent="0.25">
      <c r="B5" s="19" t="s">
        <v>70</v>
      </c>
      <c r="C5" s="101">
        <v>8.584010000000003E-2</v>
      </c>
    </row>
    <row r="6" spans="1:8" ht="15.75" customHeight="1" x14ac:dyDescent="0.25">
      <c r="B6" s="19" t="s">
        <v>71</v>
      </c>
      <c r="C6" s="101">
        <v>0.24612210000000009</v>
      </c>
    </row>
    <row r="7" spans="1:8" ht="15.75" customHeight="1" x14ac:dyDescent="0.25">
      <c r="B7" s="19" t="s">
        <v>72</v>
      </c>
      <c r="C7" s="101">
        <v>0.40482630000000008</v>
      </c>
    </row>
    <row r="8" spans="1:8" ht="15.75" customHeight="1" x14ac:dyDescent="0.25">
      <c r="B8" s="19" t="s">
        <v>73</v>
      </c>
      <c r="C8" s="101">
        <v>2.627099999999999E-3</v>
      </c>
    </row>
    <row r="9" spans="1:8" ht="15.75" customHeight="1" x14ac:dyDescent="0.25">
      <c r="B9" s="19" t="s">
        <v>74</v>
      </c>
      <c r="C9" s="101">
        <v>7.09566999999999E-2</v>
      </c>
    </row>
    <row r="10" spans="1:8" ht="15.75" customHeight="1" x14ac:dyDescent="0.25">
      <c r="B10" s="19" t="s">
        <v>75</v>
      </c>
      <c r="C10" s="101">
        <v>0.1107782999999999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0.12640519562225519</v>
      </c>
      <c r="D14" s="55">
        <v>0.12640519562225519</v>
      </c>
      <c r="E14" s="55">
        <v>0.12640519562225519</v>
      </c>
      <c r="F14" s="55">
        <v>0.12640519562225519</v>
      </c>
    </row>
    <row r="15" spans="1:8" ht="15.75" customHeight="1" x14ac:dyDescent="0.25">
      <c r="B15" s="19" t="s">
        <v>82</v>
      </c>
      <c r="C15" s="101">
        <v>0.19098412290106179</v>
      </c>
      <c r="D15" s="101">
        <v>0.19098412290106179</v>
      </c>
      <c r="E15" s="101">
        <v>0.19098412290106179</v>
      </c>
      <c r="F15" s="101">
        <v>0.19098412290106179</v>
      </c>
    </row>
    <row r="16" spans="1:8" ht="15.75" customHeight="1" x14ac:dyDescent="0.25">
      <c r="B16" s="19" t="s">
        <v>83</v>
      </c>
      <c r="C16" s="101">
        <v>2.6058078020985261E-2</v>
      </c>
      <c r="D16" s="101">
        <v>2.6058078020985261E-2</v>
      </c>
      <c r="E16" s="101">
        <v>2.6058078020985261E-2</v>
      </c>
      <c r="F16" s="101">
        <v>2.6058078020985261E-2</v>
      </c>
    </row>
    <row r="17" spans="1:8" ht="15.75" customHeight="1" x14ac:dyDescent="0.25">
      <c r="B17" s="19" t="s">
        <v>84</v>
      </c>
      <c r="C17" s="101">
        <v>2.5256963390322511E-2</v>
      </c>
      <c r="D17" s="101">
        <v>2.5256963390322511E-2</v>
      </c>
      <c r="E17" s="101">
        <v>2.5256963390322511E-2</v>
      </c>
      <c r="F17" s="101">
        <v>2.5256963390322511E-2</v>
      </c>
    </row>
    <row r="18" spans="1:8" ht="15.75" customHeight="1" x14ac:dyDescent="0.25">
      <c r="B18" s="19" t="s">
        <v>85</v>
      </c>
      <c r="C18" s="101">
        <v>0.41568012984165698</v>
      </c>
      <c r="D18" s="101">
        <v>0.41568012984165698</v>
      </c>
      <c r="E18" s="101">
        <v>0.41568012984165698</v>
      </c>
      <c r="F18" s="101">
        <v>0.41568012984165698</v>
      </c>
    </row>
    <row r="19" spans="1:8" ht="15.75" customHeight="1" x14ac:dyDescent="0.25">
      <c r="B19" s="19" t="s">
        <v>86</v>
      </c>
      <c r="C19" s="101">
        <v>1.2538035018300199E-2</v>
      </c>
      <c r="D19" s="101">
        <v>1.2538035018300199E-2</v>
      </c>
      <c r="E19" s="101">
        <v>1.2538035018300199E-2</v>
      </c>
      <c r="F19" s="101">
        <v>1.2538035018300199E-2</v>
      </c>
    </row>
    <row r="20" spans="1:8" ht="15.75" customHeight="1" x14ac:dyDescent="0.25">
      <c r="B20" s="19" t="s">
        <v>87</v>
      </c>
      <c r="C20" s="101">
        <v>1.0855404083290819E-2</v>
      </c>
      <c r="D20" s="101">
        <v>1.0855404083290819E-2</v>
      </c>
      <c r="E20" s="101">
        <v>1.0855404083290819E-2</v>
      </c>
      <c r="F20" s="101">
        <v>1.0855404083290819E-2</v>
      </c>
    </row>
    <row r="21" spans="1:8" ht="15.75" customHeight="1" x14ac:dyDescent="0.25">
      <c r="B21" s="19" t="s">
        <v>88</v>
      </c>
      <c r="C21" s="101">
        <v>7.773013437261285E-2</v>
      </c>
      <c r="D21" s="101">
        <v>7.773013437261285E-2</v>
      </c>
      <c r="E21" s="101">
        <v>7.773013437261285E-2</v>
      </c>
      <c r="F21" s="101">
        <v>7.773013437261285E-2</v>
      </c>
    </row>
    <row r="22" spans="1:8" ht="15.75" customHeight="1" x14ac:dyDescent="0.25">
      <c r="B22" s="19" t="s">
        <v>89</v>
      </c>
      <c r="C22" s="101">
        <v>0.11449193674951449</v>
      </c>
      <c r="D22" s="101">
        <v>0.11449193674951449</v>
      </c>
      <c r="E22" s="101">
        <v>0.11449193674951449</v>
      </c>
      <c r="F22" s="101">
        <v>0.11449193674951449</v>
      </c>
    </row>
    <row r="23" spans="1:8" ht="15.75" customHeight="1" x14ac:dyDescent="0.25">
      <c r="B23" s="27" t="s">
        <v>30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8.7586460000000005E-2</v>
      </c>
    </row>
    <row r="27" spans="1:8" ht="15.75" customHeight="1" x14ac:dyDescent="0.25">
      <c r="B27" s="19" t="s">
        <v>92</v>
      </c>
      <c r="C27" s="101">
        <v>8.3866540000000003E-3</v>
      </c>
    </row>
    <row r="28" spans="1:8" ht="15.75" customHeight="1" x14ac:dyDescent="0.25">
      <c r="B28" s="19" t="s">
        <v>93</v>
      </c>
      <c r="C28" s="101">
        <v>0.15511656900000001</v>
      </c>
    </row>
    <row r="29" spans="1:8" ht="15.75" customHeight="1" x14ac:dyDescent="0.25">
      <c r="B29" s="19" t="s">
        <v>94</v>
      </c>
      <c r="C29" s="101">
        <v>0.16688481799999999</v>
      </c>
    </row>
    <row r="30" spans="1:8" ht="15.75" customHeight="1" x14ac:dyDescent="0.25">
      <c r="B30" s="19" t="s">
        <v>95</v>
      </c>
      <c r="C30" s="101">
        <v>0.10560810299999999</v>
      </c>
    </row>
    <row r="31" spans="1:8" ht="15.75" customHeight="1" x14ac:dyDescent="0.25">
      <c r="B31" s="19" t="s">
        <v>96</v>
      </c>
      <c r="C31" s="101">
        <v>0.107401392</v>
      </c>
    </row>
    <row r="32" spans="1:8" ht="15.75" customHeight="1" x14ac:dyDescent="0.25">
      <c r="B32" s="19" t="s">
        <v>97</v>
      </c>
      <c r="C32" s="101">
        <v>1.8908227E-2</v>
      </c>
    </row>
    <row r="33" spans="2:3" ht="15.75" customHeight="1" x14ac:dyDescent="0.25">
      <c r="B33" s="19" t="s">
        <v>98</v>
      </c>
      <c r="C33" s="101">
        <v>8.4811863000000015E-2</v>
      </c>
    </row>
    <row r="34" spans="2:3" ht="15.75" customHeight="1" x14ac:dyDescent="0.25">
      <c r="B34" s="19" t="s">
        <v>99</v>
      </c>
      <c r="C34" s="101">
        <v>0.26529591499999999</v>
      </c>
    </row>
    <row r="35" spans="2:3" ht="15.75" customHeight="1" x14ac:dyDescent="0.25">
      <c r="B35" s="27" t="s">
        <v>30</v>
      </c>
      <c r="C35" s="48">
        <f>SUM(C26:C34)</f>
        <v>1.0000000009999999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0.56081525744999583</v>
      </c>
      <c r="D2" s="52">
        <f>IFERROR(1-_xlfn.NORM.DIST(_xlfn.NORM.INV(SUM(D4:D5), 0, 1) + 1, 0, 1, TRUE), "")</f>
        <v>0.56081525744999583</v>
      </c>
      <c r="E2" s="52">
        <f>IFERROR(1-_xlfn.NORM.DIST(_xlfn.NORM.INV(SUM(E4:E5), 0, 1) + 1, 0, 1, TRUE), "")</f>
        <v>0.44804499101871387</v>
      </c>
      <c r="F2" s="52">
        <f>IFERROR(1-_xlfn.NORM.DIST(_xlfn.NORM.INV(SUM(F4:F5), 0, 1) + 1, 0, 1, TRUE), "")</f>
        <v>0.25846119734364026</v>
      </c>
      <c r="G2" s="52">
        <f>IFERROR(1-_xlfn.NORM.DIST(_xlfn.NORM.INV(SUM(G4:G5), 0, 1) + 1, 0, 1, TRUE), "")</f>
        <v>0.22007551425281902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0.31473704255000412</v>
      </c>
      <c r="D3" s="52">
        <f>IFERROR(_xlfn.NORM.DIST(_xlfn.NORM.INV(SUM(D4:D5), 0, 1) + 1, 0, 1, TRUE) - SUM(D4:D5), "")</f>
        <v>0.31473704255000412</v>
      </c>
      <c r="E3" s="52">
        <f>IFERROR(_xlfn.NORM.DIST(_xlfn.NORM.INV(SUM(E4:E5), 0, 1) + 1, 0, 1, TRUE) - SUM(E4:E5), "")</f>
        <v>0.35964020898128612</v>
      </c>
      <c r="F3" s="52">
        <f>IFERROR(_xlfn.NORM.DIST(_xlfn.NORM.INV(SUM(F4:F5), 0, 1) + 1, 0, 1, TRUE) - SUM(F4:F5), "")</f>
        <v>0.37908340265635976</v>
      </c>
      <c r="G3" s="52">
        <f>IFERROR(_xlfn.NORM.DIST(_xlfn.NORM.INV(SUM(G4:G5), 0, 1) + 1, 0, 1, TRUE) - SUM(G4:G5), "")</f>
        <v>0.37012538574718101</v>
      </c>
    </row>
    <row r="4" spans="1:15" ht="15.75" customHeight="1" x14ac:dyDescent="0.25">
      <c r="B4" s="5" t="s">
        <v>104</v>
      </c>
      <c r="C4" s="45">
        <v>6.2856700000000001E-2</v>
      </c>
      <c r="D4" s="53">
        <v>6.2856700000000001E-2</v>
      </c>
      <c r="E4" s="53">
        <v>0.10433199999999999</v>
      </c>
      <c r="F4" s="53">
        <v>0.21864349999999999</v>
      </c>
      <c r="G4" s="53">
        <v>0.23300409999999999</v>
      </c>
    </row>
    <row r="5" spans="1:15" ht="15.75" customHeight="1" x14ac:dyDescent="0.25">
      <c r="B5" s="5" t="s">
        <v>105</v>
      </c>
      <c r="C5" s="45">
        <v>6.1590999999999993E-2</v>
      </c>
      <c r="D5" s="53">
        <v>6.1590999999999993E-2</v>
      </c>
      <c r="E5" s="53">
        <v>8.79828E-2</v>
      </c>
      <c r="F5" s="53">
        <v>0.14381189999999999</v>
      </c>
      <c r="G5" s="53">
        <v>0.17679500000000001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0.37371158739936605</v>
      </c>
      <c r="D8" s="52">
        <f>IFERROR(1-_xlfn.NORM.DIST(_xlfn.NORM.INV(SUM(D10:D11), 0, 1) + 1, 0, 1, TRUE), "")</f>
        <v>0.37371158739936605</v>
      </c>
      <c r="E8" s="52">
        <f>IFERROR(1-_xlfn.NORM.DIST(_xlfn.NORM.INV(SUM(E10:E11), 0, 1) + 1, 0, 1, TRUE), "")</f>
        <v>0.29152079254185748</v>
      </c>
      <c r="F8" s="52">
        <f>IFERROR(1-_xlfn.NORM.DIST(_xlfn.NORM.INV(SUM(F10:F11), 0, 1) + 1, 0, 1, TRUE), "")</f>
        <v>0.41646700484351018</v>
      </c>
      <c r="G8" s="52">
        <f>IFERROR(1-_xlfn.NORM.DIST(_xlfn.NORM.INV(SUM(G10:G11), 0, 1) + 1, 0, 1, TRUE), "")</f>
        <v>0.63092565917604604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0.37739021260063393</v>
      </c>
      <c r="D9" s="52">
        <f>IFERROR(_xlfn.NORM.DIST(_xlfn.NORM.INV(SUM(D10:D11), 0, 1) + 1, 0, 1, TRUE) - SUM(D10:D11), "")</f>
        <v>0.37739021260063393</v>
      </c>
      <c r="E9" s="52">
        <f>IFERROR(_xlfn.NORM.DIST(_xlfn.NORM.INV(SUM(E10:E11), 0, 1) + 1, 0, 1, TRUE) - SUM(E10:E11), "")</f>
        <v>0.38250340745814249</v>
      </c>
      <c r="F9" s="52">
        <f>IFERROR(_xlfn.NORM.DIST(_xlfn.NORM.INV(SUM(F10:F11), 0, 1) + 1, 0, 1, TRUE) - SUM(F10:F11), "")</f>
        <v>0.3684944951564898</v>
      </c>
      <c r="G9" s="52">
        <f>IFERROR(_xlfn.NORM.DIST(_xlfn.NORM.INV(SUM(G10:G11), 0, 1) + 1, 0, 1, TRUE) - SUM(G10:G11), "")</f>
        <v>0.27802254082395395</v>
      </c>
    </row>
    <row r="10" spans="1:15" ht="15.75" customHeight="1" x14ac:dyDescent="0.25">
      <c r="B10" s="5" t="s">
        <v>109</v>
      </c>
      <c r="C10" s="45">
        <v>0.1370034</v>
      </c>
      <c r="D10" s="53">
        <v>0.1370034</v>
      </c>
      <c r="E10" s="53">
        <v>0.1992322</v>
      </c>
      <c r="F10" s="53">
        <v>0.13461000000000001</v>
      </c>
      <c r="G10" s="53">
        <v>5.9339299999999998E-2</v>
      </c>
    </row>
    <row r="11" spans="1:15" ht="15.75" customHeight="1" x14ac:dyDescent="0.25">
      <c r="B11" s="5" t="s">
        <v>110</v>
      </c>
      <c r="C11" s="45">
        <v>0.1118948</v>
      </c>
      <c r="D11" s="53">
        <v>0.1118948</v>
      </c>
      <c r="E11" s="53">
        <v>0.12674360000000001</v>
      </c>
      <c r="F11" s="53">
        <v>8.04285E-2</v>
      </c>
      <c r="G11" s="53">
        <v>3.1712499999999998E-2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0.91193049400000004</v>
      </c>
      <c r="D14" s="54">
        <v>0.91065858191199989</v>
      </c>
      <c r="E14" s="54">
        <v>0.91065858191199989</v>
      </c>
      <c r="F14" s="54">
        <v>0.88906768971299999</v>
      </c>
      <c r="G14" s="54">
        <v>0.88906768971299999</v>
      </c>
      <c r="H14" s="45">
        <v>0.57499999999999996</v>
      </c>
      <c r="I14" s="55">
        <v>0.57499999999999996</v>
      </c>
      <c r="J14" s="55">
        <v>0.57499999999999996</v>
      </c>
      <c r="K14" s="55">
        <v>0.57499999999999996</v>
      </c>
      <c r="L14" s="45">
        <v>0.48699999999999999</v>
      </c>
      <c r="M14" s="55">
        <v>0.48699999999999999</v>
      </c>
      <c r="N14" s="55">
        <v>0.48699999999999999</v>
      </c>
      <c r="O14" s="55">
        <v>0.48699999999999999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0.37596158476138009</v>
      </c>
      <c r="D15" s="52">
        <f t="shared" si="0"/>
        <v>0.37543721356486026</v>
      </c>
      <c r="E15" s="52">
        <f t="shared" si="0"/>
        <v>0.37543721356486026</v>
      </c>
      <c r="F15" s="52">
        <f t="shared" si="0"/>
        <v>0.36653593643797855</v>
      </c>
      <c r="G15" s="52">
        <f t="shared" si="0"/>
        <v>0.36653593643797855</v>
      </c>
      <c r="H15" s="52">
        <f t="shared" si="0"/>
        <v>0.23705525000000002</v>
      </c>
      <c r="I15" s="52">
        <f t="shared" si="0"/>
        <v>0.23705525000000002</v>
      </c>
      <c r="J15" s="52">
        <f t="shared" si="0"/>
        <v>0.23705525000000002</v>
      </c>
      <c r="K15" s="52">
        <f t="shared" si="0"/>
        <v>0.23705525000000002</v>
      </c>
      <c r="L15" s="52">
        <f t="shared" si="0"/>
        <v>0.20077549000000003</v>
      </c>
      <c r="M15" s="52">
        <f t="shared" si="0"/>
        <v>0.20077549000000003</v>
      </c>
      <c r="N15" s="52">
        <f t="shared" si="0"/>
        <v>0.20077549000000003</v>
      </c>
      <c r="O15" s="52">
        <f t="shared" si="0"/>
        <v>0.20077549000000003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0.41070549999999989</v>
      </c>
      <c r="D2" s="53">
        <v>0.22145599999999999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0.5674129</v>
      </c>
      <c r="D3" s="53">
        <v>0.70792730000000004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9.9650999999999993E-3</v>
      </c>
      <c r="D4" s="53">
        <v>6.19496E-2</v>
      </c>
      <c r="E4" s="53">
        <v>0.98096860000000008</v>
      </c>
      <c r="F4" s="53">
        <v>0.90478809999999998</v>
      </c>
      <c r="G4" s="53">
        <v>0</v>
      </c>
    </row>
    <row r="5" spans="1:7" x14ac:dyDescent="0.25">
      <c r="B5" s="3" t="s">
        <v>122</v>
      </c>
      <c r="C5" s="52">
        <v>1.1916599999999999E-2</v>
      </c>
      <c r="D5" s="52">
        <v>8.6671000000000005E-3</v>
      </c>
      <c r="E5" s="52">
        <f>1-SUM(E2:E4)</f>
        <v>1.9031399999999921E-2</v>
      </c>
      <c r="F5" s="52">
        <f>1-SUM(F2:F4)</f>
        <v>9.5211900000000016E-2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35.596790609555818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8.4015009909432004E-2</v>
      </c>
      <c r="C3" s="98">
        <v>0.95</v>
      </c>
      <c r="D3" s="56">
        <v>44.652064108478527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62.710307875329853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0.26358573908477312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0.50202689999999994</v>
      </c>
      <c r="C10" s="98">
        <v>0.95</v>
      </c>
      <c r="D10" s="56">
        <v>14.1771259775989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0.50202689999999994</v>
      </c>
      <c r="C11" s="98">
        <v>0.95</v>
      </c>
      <c r="D11" s="56">
        <v>14.1771259775989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0.50202689999999994</v>
      </c>
      <c r="C12" s="98">
        <v>0.95</v>
      </c>
      <c r="D12" s="56">
        <v>14.1771259775989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0.50202689999999994</v>
      </c>
      <c r="C13" s="98">
        <v>0.95</v>
      </c>
      <c r="D13" s="56">
        <v>14.1771259775989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0.50202689999999994</v>
      </c>
      <c r="C14" s="98">
        <v>0.95</v>
      </c>
      <c r="D14" s="56">
        <v>14.1771259775989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0.50202689999999994</v>
      </c>
      <c r="C15" s="98">
        <v>0.95</v>
      </c>
      <c r="D15" s="56">
        <v>14.1771259775989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0.95</v>
      </c>
      <c r="C16" s="98">
        <v>0.95</v>
      </c>
      <c r="D16" s="56">
        <v>0.23340244055012849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7.7161999999999994E-2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5.8176289436778002E-2</v>
      </c>
      <c r="C18" s="98">
        <v>0.95</v>
      </c>
      <c r="D18" s="56">
        <v>1.551549577453486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0.2475649</v>
      </c>
      <c r="C19" s="98">
        <v>0.95</v>
      </c>
      <c r="D19" s="56">
        <v>1.551549577453486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0.31716830000000001</v>
      </c>
      <c r="C21" s="98">
        <v>0.95</v>
      </c>
      <c r="D21" s="56">
        <v>2.4393581689457542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24.160007493407178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4.6510701337195632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0.65539535270066807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0.50202689999999994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20.48810894130915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0.526041010700668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62.448941953110591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0.99</v>
      </c>
      <c r="C31" s="98">
        <v>0.95</v>
      </c>
      <c r="D31" s="56">
        <v>1.2252665410686781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0.44130531545716389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0.99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5.1927199999999993E-2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0.2117704</v>
      </c>
      <c r="C38" s="98">
        <v>0.95</v>
      </c>
      <c r="D38" s="56">
        <v>4.5629156859560327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SwqShMKjZ/Tc3FrdHQz/MjdsWftRTk85s02s32k0tDk98bBhXaGhkqbuII/OivPUJtqXOhQ4ck/oX/RBAeMIgQ==" saltValue="RORLzDUZEp7fquGh4DZ5h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 t="s">
        <v>191</v>
      </c>
      <c r="B6" s="58" t="s">
        <v>192</v>
      </c>
      <c r="C6" s="58"/>
    </row>
    <row r="7" spans="1:3" x14ac:dyDescent="0.25">
      <c r="A7" s="57" t="s">
        <v>188</v>
      </c>
      <c r="B7" s="58" t="s">
        <v>192</v>
      </c>
      <c r="C7" s="58"/>
    </row>
    <row r="8" spans="1:3" x14ac:dyDescent="0.25">
      <c r="A8" s="57" t="s">
        <v>200</v>
      </c>
      <c r="B8" s="58" t="s">
        <v>192</v>
      </c>
      <c r="C8" s="58"/>
    </row>
    <row r="9" spans="1:3" x14ac:dyDescent="0.25">
      <c r="A9" s="57" t="s">
        <v>193</v>
      </c>
      <c r="B9" s="58" t="s">
        <v>192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0.35620884000000003</v>
      </c>
      <c r="C3" s="21">
        <f>frac_mam_1_5months * 2.6</f>
        <v>0.35620884000000003</v>
      </c>
      <c r="D3" s="21">
        <f>frac_mam_6_11months * 2.6</f>
        <v>0.51800372000000006</v>
      </c>
      <c r="E3" s="21">
        <f>frac_mam_12_23months * 2.6</f>
        <v>0.34998600000000002</v>
      </c>
      <c r="F3" s="21">
        <f>frac_mam_24_59months * 2.6</f>
        <v>0.15428217999999999</v>
      </c>
    </row>
    <row r="4" spans="1:6" ht="15.75" customHeight="1" x14ac:dyDescent="0.25">
      <c r="A4" s="3" t="s">
        <v>205</v>
      </c>
      <c r="B4" s="21">
        <f>frac_sam_1month * 2.6</f>
        <v>0.29092648000000004</v>
      </c>
      <c r="C4" s="21">
        <f>frac_sam_1_5months * 2.6</f>
        <v>0.29092648000000004</v>
      </c>
      <c r="D4" s="21">
        <f>frac_sam_6_11months * 2.6</f>
        <v>0.32953336000000005</v>
      </c>
      <c r="E4" s="21">
        <f>frac_sam_12_23months * 2.6</f>
        <v>0.2091141</v>
      </c>
      <c r="F4" s="21">
        <f>frac_sam_24_59months * 2.6</f>
        <v>8.2452499999999998E-2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0.43700000000000011</v>
      </c>
      <c r="E2" s="60">
        <f>food_insecure</f>
        <v>0.43700000000000011</v>
      </c>
      <c r="F2" s="60">
        <f>food_insecure</f>
        <v>0.43700000000000011</v>
      </c>
      <c r="G2" s="60">
        <f>food_insecure</f>
        <v>0.43700000000000011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0.43700000000000011</v>
      </c>
      <c r="F5" s="60">
        <f>food_insecure</f>
        <v>0.43700000000000011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0.43700000000000011</v>
      </c>
      <c r="F8" s="60">
        <f>food_insecure</f>
        <v>0.43700000000000011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0.43700000000000011</v>
      </c>
      <c r="F9" s="60">
        <f>food_insecure</f>
        <v>0.43700000000000011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0.43700000000000011</v>
      </c>
      <c r="I15" s="60">
        <f>food_insecure</f>
        <v>0.43700000000000011</v>
      </c>
      <c r="J15" s="60">
        <f>food_insecure</f>
        <v>0.43700000000000011</v>
      </c>
      <c r="K15" s="60">
        <f>food_insecure</f>
        <v>0.43700000000000011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1</v>
      </c>
      <c r="I19" s="60">
        <f>frac_malaria_risk</f>
        <v>1</v>
      </c>
      <c r="J19" s="60">
        <f>frac_malaria_risk</f>
        <v>1</v>
      </c>
      <c r="K19" s="60">
        <f>frac_malaria_risk</f>
        <v>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0.55000000000000004</v>
      </c>
      <c r="M24" s="60">
        <f>famplan_unmet_need</f>
        <v>0.55000000000000004</v>
      </c>
      <c r="N24" s="60">
        <f>famplan_unmet_need</f>
        <v>0.55000000000000004</v>
      </c>
      <c r="O24" s="60">
        <f>famplan_unmet_need</f>
        <v>0.55000000000000004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0.41111021703033468</v>
      </c>
      <c r="M25" s="60">
        <f>(1-food_insecure)*(0.49)+food_insecure*(0.7)</f>
        <v>0.58177000000000001</v>
      </c>
      <c r="N25" s="60">
        <f>(1-food_insecure)*(0.49)+food_insecure*(0.7)</f>
        <v>0.58177000000000001</v>
      </c>
      <c r="O25" s="60">
        <f>(1-food_insecure)*(0.49)+food_insecure*(0.7)</f>
        <v>0.58177000000000001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0.17619009301300059</v>
      </c>
      <c r="M26" s="60">
        <f>(1-food_insecure)*(0.21)+food_insecure*(0.3)</f>
        <v>0.24933</v>
      </c>
      <c r="N26" s="60">
        <f>(1-food_insecure)*(0.21)+food_insecure*(0.3)</f>
        <v>0.24933</v>
      </c>
      <c r="O26" s="60">
        <f>(1-food_insecure)*(0.21)+food_insecure*(0.3)</f>
        <v>0.24933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0.1193538952789307</v>
      </c>
      <c r="M27" s="60">
        <f>(1-food_insecure)*(0.3)</f>
        <v>0.16889999999999997</v>
      </c>
      <c r="N27" s="60">
        <f>(1-food_insecure)*(0.3)</f>
        <v>0.16889999999999997</v>
      </c>
      <c r="O27" s="60">
        <f>(1-food_insecure)*(0.3)</f>
        <v>0.16889999999999997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0.29334579467773397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1</v>
      </c>
      <c r="D34" s="60">
        <f t="shared" si="3"/>
        <v>1</v>
      </c>
      <c r="E34" s="60">
        <f t="shared" si="3"/>
        <v>1</v>
      </c>
      <c r="F34" s="60">
        <f t="shared" si="3"/>
        <v>1</v>
      </c>
      <c r="G34" s="60">
        <f t="shared" si="3"/>
        <v>1</v>
      </c>
      <c r="H34" s="60">
        <f t="shared" si="3"/>
        <v>1</v>
      </c>
      <c r="I34" s="60">
        <f t="shared" si="3"/>
        <v>1</v>
      </c>
      <c r="J34" s="60">
        <f t="shared" si="3"/>
        <v>1</v>
      </c>
      <c r="K34" s="60">
        <f t="shared" si="3"/>
        <v>1</v>
      </c>
      <c r="L34" s="60">
        <f t="shared" si="3"/>
        <v>1</v>
      </c>
      <c r="M34" s="60">
        <f t="shared" si="3"/>
        <v>1</v>
      </c>
      <c r="N34" s="60">
        <f t="shared" si="3"/>
        <v>1</v>
      </c>
      <c r="O34" s="60">
        <f t="shared" si="3"/>
        <v>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2024-05-09T01:45:58Z</dcterms:modified>
</cp:coreProperties>
</file>