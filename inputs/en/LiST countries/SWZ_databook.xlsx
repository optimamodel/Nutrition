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FB7646EB-FD4A-43A0-A9D3-1B8D84B426AE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H38" i="2"/>
  <c r="G38" i="2"/>
  <c r="I38" i="2" s="1"/>
  <c r="A36" i="2"/>
  <c r="A35" i="2"/>
  <c r="A28" i="2"/>
  <c r="A27" i="2"/>
  <c r="A20" i="2"/>
  <c r="A19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39" i="2" s="1"/>
  <c r="C33" i="1"/>
  <c r="C20" i="1"/>
  <c r="A21" i="2" l="1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31" i="2"/>
  <c r="A23" i="2"/>
  <c r="A25" i="2"/>
  <c r="A16" i="2"/>
  <c r="A24" i="2"/>
  <c r="A32" i="2"/>
  <c r="A17" i="2"/>
  <c r="A33" i="2"/>
  <c r="A3" i="2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<sst xmlns="http://schemas.openxmlformats.org/spreadsheetml/2006/main" count="2094" uniqueCount="341">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</sst>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503774.5703125</v>
      </c>
    </row>
    <row r="8" spans="1:3" ht="15" customHeight="1" x14ac:dyDescent="0.25">
      <c r="B8" s="5" t="s">
        <v>8</v>
      </c>
      <c r="C8" s="44">
        <v>0.45200000000000001</v>
      </c>
    </row>
    <row r="9" spans="1:3" ht="15" customHeight="1" x14ac:dyDescent="0.25">
      <c r="B9" s="5" t="s">
        <v>9</v>
      </c>
      <c r="C9" s="45">
        <v>0.16</v>
      </c>
    </row>
    <row r="10" spans="1:3" ht="15" customHeight="1" x14ac:dyDescent="0.25">
      <c r="B10" s="5" t="s">
        <v>10</v>
      </c>
      <c r="C10" s="45">
        <v>0.41391979217529301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0.19400000000000001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0.12809999999999999</v>
      </c>
    </row>
    <row r="24" spans="1:3" ht="15" customHeight="1" x14ac:dyDescent="0.25">
      <c r="B24" s="15" t="s">
        <v>22</v>
      </c>
      <c r="C24" s="45">
        <v>0.52129999999999999</v>
      </c>
    </row>
    <row r="25" spans="1:3" ht="15" customHeight="1" x14ac:dyDescent="0.25">
      <c r="B25" s="15" t="s">
        <v>23</v>
      </c>
      <c r="C25" s="45">
        <v>0.2964</v>
      </c>
    </row>
    <row r="26" spans="1:3" ht="15" customHeight="1" x14ac:dyDescent="0.25">
      <c r="B26" s="15" t="s">
        <v>24</v>
      </c>
      <c r="C26" s="45">
        <v>5.4199999999999998E-2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</v>
      </c>
    </row>
    <row r="30" spans="1:3" ht="14.25" customHeight="1" x14ac:dyDescent="0.25">
      <c r="B30" s="25" t="s">
        <v>27</v>
      </c>
      <c r="C30" s="99">
        <v>0</v>
      </c>
    </row>
    <row r="31" spans="1:3" ht="14.25" customHeight="1" x14ac:dyDescent="0.25">
      <c r="B31" s="25" t="s">
        <v>28</v>
      </c>
      <c r="C31" s="99">
        <v>0</v>
      </c>
    </row>
    <row r="32" spans="1:3" ht="14.25" customHeight="1" x14ac:dyDescent="0.25">
      <c r="B32" s="25" t="s">
        <v>29</v>
      </c>
      <c r="C32" s="99">
        <v>0</v>
      </c>
    </row>
    <row r="33" spans="1:5" ht="13" customHeight="1" x14ac:dyDescent="0.25">
      <c r="B33" s="27" t="s">
        <v>30</v>
      </c>
      <c r="C33" s="48">
        <f>SUM(C29:C32)</f>
        <v>0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17.335930000000001</v>
      </c>
    </row>
    <row r="38" spans="1:5" ht="15" customHeight="1" x14ac:dyDescent="0.25">
      <c r="B38" s="11" t="s">
        <v>34</v>
      </c>
      <c r="C38" s="43">
        <v>28.94961</v>
      </c>
      <c r="D38" s="12"/>
      <c r="E38" s="13"/>
    </row>
    <row r="39" spans="1:5" ht="15" customHeight="1" x14ac:dyDescent="0.25">
      <c r="B39" s="11" t="s">
        <v>35</v>
      </c>
      <c r="C39" s="43">
        <v>38.091560000000001</v>
      </c>
      <c r="D39" s="12"/>
      <c r="E39" s="12"/>
    </row>
    <row r="40" spans="1:5" ht="15" customHeight="1" x14ac:dyDescent="0.25">
      <c r="B40" s="11" t="s">
        <v>36</v>
      </c>
      <c r="C40" s="100">
        <v>3.22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16.13758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7.9316999999999999E-3</v>
      </c>
      <c r="D45" s="12"/>
    </row>
    <row r="46" spans="1:5" ht="15.75" customHeight="1" x14ac:dyDescent="0.25">
      <c r="B46" s="11" t="s">
        <v>41</v>
      </c>
      <c r="C46" s="45">
        <v>8.5224899999999992E-2</v>
      </c>
      <c r="D46" s="12"/>
    </row>
    <row r="47" spans="1:5" ht="15.75" customHeight="1" x14ac:dyDescent="0.25">
      <c r="B47" s="11" t="s">
        <v>42</v>
      </c>
      <c r="C47" s="45">
        <v>7.3457800000000004E-2</v>
      </c>
      <c r="D47" s="12"/>
      <c r="E47" s="13"/>
    </row>
    <row r="48" spans="1:5" ht="15" customHeight="1" x14ac:dyDescent="0.25">
      <c r="B48" s="11" t="s">
        <v>43</v>
      </c>
      <c r="C48" s="46">
        <v>0.83338560000000006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0.50167899999999999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0.10321427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28210</v>
      </c>
      <c r="C2" s="49">
        <v>78249</v>
      </c>
      <c r="D2" s="49">
        <v>105532.5</v>
      </c>
      <c r="E2" s="49">
        <v>95414</v>
      </c>
      <c r="F2" s="49">
        <v>51882</v>
      </c>
      <c r="G2" s="17">
        <f t="shared" ref="G2:G13" si="0">C2+D2+E2+F2</f>
        <v>331077.5</v>
      </c>
      <c r="H2" s="17">
        <f t="shared" ref="H2:H13" si="1">(B2 + stillbirth*B2/(1000-stillbirth))/(1-abortion)</f>
        <v>32582.622864910503</v>
      </c>
      <c r="I2" s="17">
        <f t="shared" ref="I2:I13" si="2">G2-H2</f>
        <v>298494.87713508948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28228</v>
      </c>
      <c r="C3" s="50">
        <v>79431.999999999985</v>
      </c>
      <c r="D3" s="50">
        <v>106479</v>
      </c>
      <c r="E3" s="50">
        <v>96245</v>
      </c>
      <c r="F3" s="50">
        <v>54683</v>
      </c>
      <c r="G3" s="17">
        <f t="shared" si="0"/>
        <v>336839</v>
      </c>
      <c r="H3" s="17">
        <f t="shared" si="1"/>
        <v>32603.412911403535</v>
      </c>
      <c r="I3" s="17">
        <f t="shared" si="2"/>
        <v>304235.58708859648</v>
      </c>
    </row>
    <row r="4" spans="1:9" ht="15.75" customHeight="1" x14ac:dyDescent="0.25">
      <c r="A4" s="5">
        <f t="shared" si="3"/>
        <v>2026</v>
      </c>
      <c r="B4" s="49">
        <v>28126</v>
      </c>
      <c r="C4" s="50">
        <v>80536.499999999985</v>
      </c>
      <c r="D4" s="50">
        <v>108238.5</v>
      </c>
      <c r="E4" s="50">
        <v>96404.5</v>
      </c>
      <c r="F4" s="50">
        <v>57623</v>
      </c>
      <c r="G4" s="17">
        <f t="shared" si="0"/>
        <v>342802.5</v>
      </c>
      <c r="H4" s="17">
        <f t="shared" si="1"/>
        <v>32485.602647943029</v>
      </c>
      <c r="I4" s="17">
        <f t="shared" si="2"/>
        <v>310316.89735205699</v>
      </c>
    </row>
    <row r="5" spans="1:9" ht="15.75" customHeight="1" x14ac:dyDescent="0.25">
      <c r="A5" s="5">
        <f t="shared" si="3"/>
        <v>2027</v>
      </c>
      <c r="B5" s="49">
        <v>28243</v>
      </c>
      <c r="C5" s="50">
        <v>81536.499999999985</v>
      </c>
      <c r="D5" s="50">
        <v>110359</v>
      </c>
      <c r="E5" s="50">
        <v>96399</v>
      </c>
      <c r="F5" s="50">
        <v>60538</v>
      </c>
      <c r="G5" s="17">
        <f t="shared" si="0"/>
        <v>348832.5</v>
      </c>
      <c r="H5" s="17">
        <f t="shared" si="1"/>
        <v>32620.737950147726</v>
      </c>
      <c r="I5" s="17">
        <f t="shared" si="2"/>
        <v>316211.76204985229</v>
      </c>
    </row>
    <row r="6" spans="1:9" ht="15.75" customHeight="1" x14ac:dyDescent="0.25">
      <c r="A6" s="5">
        <f t="shared" si="3"/>
        <v>2028</v>
      </c>
      <c r="B6" s="49">
        <v>28210</v>
      </c>
      <c r="C6" s="50">
        <v>82222.000000000015</v>
      </c>
      <c r="D6" s="50">
        <v>112937</v>
      </c>
      <c r="E6" s="50">
        <v>96319.5</v>
      </c>
      <c r="F6" s="50">
        <v>63387.5</v>
      </c>
      <c r="G6" s="17">
        <f t="shared" si="0"/>
        <v>354866</v>
      </c>
      <c r="H6" s="17">
        <f t="shared" si="1"/>
        <v>32582.622864910503</v>
      </c>
      <c r="I6" s="17">
        <f t="shared" si="2"/>
        <v>322283.37713508948</v>
      </c>
    </row>
    <row r="7" spans="1:9" ht="15.75" customHeight="1" x14ac:dyDescent="0.25">
      <c r="A7" s="5">
        <f t="shared" si="3"/>
        <v>2029</v>
      </c>
      <c r="B7" s="49">
        <v>28373</v>
      </c>
      <c r="C7" s="50">
        <v>82560</v>
      </c>
      <c r="D7" s="50">
        <v>115786</v>
      </c>
      <c r="E7" s="50">
        <v>96295</v>
      </c>
      <c r="F7" s="50">
        <v>66144</v>
      </c>
      <c r="G7" s="17">
        <f t="shared" si="0"/>
        <v>360785</v>
      </c>
      <c r="H7" s="17">
        <f t="shared" si="1"/>
        <v>32770.888285930727</v>
      </c>
      <c r="I7" s="17">
        <f t="shared" si="2"/>
        <v>328014.11171406927</v>
      </c>
    </row>
    <row r="8" spans="1:9" ht="15.75" customHeight="1" x14ac:dyDescent="0.25">
      <c r="A8" s="5">
        <f t="shared" si="3"/>
        <v>2030</v>
      </c>
      <c r="B8" s="49">
        <v>28426</v>
      </c>
      <c r="C8" s="50">
        <v>82802.5</v>
      </c>
      <c r="D8" s="50">
        <v>118668</v>
      </c>
      <c r="E8" s="50">
        <v>96542.5</v>
      </c>
      <c r="F8" s="50">
        <v>68904</v>
      </c>
      <c r="G8" s="17">
        <f t="shared" si="0"/>
        <v>366917</v>
      </c>
      <c r="H8" s="17">
        <f t="shared" si="1"/>
        <v>32832.103422826869</v>
      </c>
      <c r="I8" s="17">
        <f t="shared" si="2"/>
        <v>334084.89657717315</v>
      </c>
    </row>
    <row r="9" spans="1:9" ht="15.75" customHeight="1" x14ac:dyDescent="0.25">
      <c r="A9" s="5">
        <f t="shared" si="3"/>
        <v>2031</v>
      </c>
      <c r="B9" s="49">
        <v>28520</v>
      </c>
      <c r="C9" s="50">
        <v>82957</v>
      </c>
      <c r="D9" s="50">
        <v>121671.5</v>
      </c>
      <c r="E9" s="50">
        <v>97045.5</v>
      </c>
      <c r="F9" s="50">
        <v>71516.5</v>
      </c>
      <c r="G9" s="17">
        <f t="shared" si="0"/>
        <v>373190.5</v>
      </c>
      <c r="H9" s="17">
        <f t="shared" si="1"/>
        <v>32940.673665623806</v>
      </c>
      <c r="I9" s="17">
        <f t="shared" si="2"/>
        <v>340249.82633437618</v>
      </c>
    </row>
    <row r="10" spans="1:9" ht="15.75" customHeight="1" x14ac:dyDescent="0.25">
      <c r="A10" s="5">
        <f t="shared" si="3"/>
        <v>2032</v>
      </c>
      <c r="B10" s="49">
        <v>28650</v>
      </c>
      <c r="C10" s="50">
        <v>82899</v>
      </c>
      <c r="D10" s="50">
        <v>124865</v>
      </c>
      <c r="E10" s="50">
        <v>97584.5</v>
      </c>
      <c r="F10" s="50">
        <v>73933</v>
      </c>
      <c r="G10" s="17">
        <f t="shared" si="0"/>
        <v>379281.5</v>
      </c>
      <c r="H10" s="17">
        <f t="shared" si="1"/>
        <v>33090.824001406807</v>
      </c>
      <c r="I10" s="17">
        <f t="shared" si="2"/>
        <v>346190.67599859321</v>
      </c>
    </row>
    <row r="11" spans="1:9" ht="15.75" customHeight="1" x14ac:dyDescent="0.25">
      <c r="A11" s="5">
        <f t="shared" si="3"/>
        <v>2033</v>
      </c>
      <c r="B11" s="49">
        <v>28895</v>
      </c>
      <c r="C11" s="50">
        <v>82622.5</v>
      </c>
      <c r="D11" s="50">
        <v>128029</v>
      </c>
      <c r="E11" s="50">
        <v>98270</v>
      </c>
      <c r="F11" s="50">
        <v>76313.5</v>
      </c>
      <c r="G11" s="17">
        <f t="shared" si="0"/>
        <v>385235</v>
      </c>
      <c r="H11" s="17">
        <f t="shared" si="1"/>
        <v>33373.799634228606</v>
      </c>
      <c r="I11" s="17">
        <f t="shared" si="2"/>
        <v>351861.20036577142</v>
      </c>
    </row>
    <row r="12" spans="1:9" ht="15.75" customHeight="1" x14ac:dyDescent="0.25">
      <c r="A12" s="5">
        <f t="shared" si="3"/>
        <v>2034</v>
      </c>
      <c r="B12" s="49">
        <v>29025</v>
      </c>
      <c r="C12" s="50">
        <v>82179</v>
      </c>
      <c r="D12" s="50">
        <v>130855.5</v>
      </c>
      <c r="E12" s="50">
        <v>99392.5</v>
      </c>
      <c r="F12" s="50">
        <v>78494</v>
      </c>
      <c r="G12" s="17">
        <f t="shared" si="0"/>
        <v>390921</v>
      </c>
      <c r="H12" s="17">
        <f t="shared" si="1"/>
        <v>33523.949970011607</v>
      </c>
      <c r="I12" s="17">
        <f t="shared" si="2"/>
        <v>357397.0500299884</v>
      </c>
    </row>
    <row r="13" spans="1:9" ht="15.75" customHeight="1" x14ac:dyDescent="0.25">
      <c r="A13" s="5">
        <f t="shared" si="3"/>
        <v>2035</v>
      </c>
      <c r="B13" s="49">
        <v>29169</v>
      </c>
      <c r="C13" s="50">
        <v>81660</v>
      </c>
      <c r="D13" s="50">
        <v>133218</v>
      </c>
      <c r="E13" s="50">
        <v>101447.5</v>
      </c>
      <c r="F13" s="50">
        <v>80335.5</v>
      </c>
      <c r="G13" s="17">
        <f t="shared" si="0"/>
        <v>396661</v>
      </c>
      <c r="H13" s="17">
        <f t="shared" si="1"/>
        <v>33690.270341955853</v>
      </c>
      <c r="I13" s="17">
        <f t="shared" si="2"/>
        <v>362970.72965804418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9.54159904584009E-3</v>
      </c>
    </row>
    <row r="4" spans="1:8" ht="15.75" customHeight="1" x14ac:dyDescent="0.25">
      <c r="B4" s="19" t="s">
        <v>69</v>
      </c>
      <c r="C4" s="101">
        <v>6.4930893506910725E-2</v>
      </c>
    </row>
    <row r="5" spans="1:8" ht="15.75" customHeight="1" x14ac:dyDescent="0.25">
      <c r="B5" s="19" t="s">
        <v>70</v>
      </c>
      <c r="C5" s="101">
        <v>8.333079166692095E-2</v>
      </c>
    </row>
    <row r="6" spans="1:8" ht="15.75" customHeight="1" x14ac:dyDescent="0.25">
      <c r="B6" s="19" t="s">
        <v>71</v>
      </c>
      <c r="C6" s="101">
        <v>0.24122667587733301</v>
      </c>
    </row>
    <row r="7" spans="1:8" ht="15.75" customHeight="1" x14ac:dyDescent="0.25">
      <c r="B7" s="19" t="s">
        <v>72</v>
      </c>
      <c r="C7" s="101">
        <v>0.41004985899501339</v>
      </c>
    </row>
    <row r="8" spans="1:8" ht="15.75" customHeight="1" x14ac:dyDescent="0.25">
      <c r="B8" s="19" t="s">
        <v>73</v>
      </c>
      <c r="C8" s="101">
        <v>1.193399880660011E-3</v>
      </c>
    </row>
    <row r="9" spans="1:8" ht="15.75" customHeight="1" x14ac:dyDescent="0.25">
      <c r="B9" s="19" t="s">
        <v>74</v>
      </c>
      <c r="C9" s="101">
        <v>8.1527291847270894E-2</v>
      </c>
    </row>
    <row r="10" spans="1:8" ht="15.75" customHeight="1" x14ac:dyDescent="0.25">
      <c r="B10" s="19" t="s">
        <v>75</v>
      </c>
      <c r="C10" s="101">
        <v>0.108199489180051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0.17628801217640019</v>
      </c>
      <c r="D14" s="55">
        <v>0.17628801217640019</v>
      </c>
      <c r="E14" s="55">
        <v>0.17628801217640019</v>
      </c>
      <c r="F14" s="55">
        <v>0.17628801217640019</v>
      </c>
    </row>
    <row r="15" spans="1:8" ht="15.75" customHeight="1" x14ac:dyDescent="0.25">
      <c r="B15" s="19" t="s">
        <v>82</v>
      </c>
      <c r="C15" s="101">
        <v>0.24104474898363951</v>
      </c>
      <c r="D15" s="101">
        <v>0.24104474898363951</v>
      </c>
      <c r="E15" s="101">
        <v>0.24104474898363951</v>
      </c>
      <c r="F15" s="101">
        <v>0.24104474898363951</v>
      </c>
    </row>
    <row r="16" spans="1:8" ht="15.75" customHeight="1" x14ac:dyDescent="0.25">
      <c r="B16" s="19" t="s">
        <v>83</v>
      </c>
      <c r="C16" s="101">
        <v>2.6390130677189091E-2</v>
      </c>
      <c r="D16" s="101">
        <v>2.6390130677189091E-2</v>
      </c>
      <c r="E16" s="101">
        <v>2.6390130677189091E-2</v>
      </c>
      <c r="F16" s="101">
        <v>2.6390130677189091E-2</v>
      </c>
    </row>
    <row r="17" spans="1:8" ht="15.75" customHeight="1" x14ac:dyDescent="0.25">
      <c r="B17" s="19" t="s">
        <v>84</v>
      </c>
      <c r="C17" s="101">
        <v>6.6708176145966061E-3</v>
      </c>
      <c r="D17" s="101">
        <v>6.6708176145966061E-3</v>
      </c>
      <c r="E17" s="101">
        <v>6.6708176145966061E-3</v>
      </c>
      <c r="F17" s="101">
        <v>6.6708176145966061E-3</v>
      </c>
    </row>
    <row r="18" spans="1:8" ht="15.75" customHeight="1" x14ac:dyDescent="0.25">
      <c r="B18" s="19" t="s">
        <v>85</v>
      </c>
      <c r="C18" s="101">
        <v>8.4191652621648683E-2</v>
      </c>
      <c r="D18" s="101">
        <v>8.4191652621648683E-2</v>
      </c>
      <c r="E18" s="101">
        <v>8.4191652621648683E-2</v>
      </c>
      <c r="F18" s="101">
        <v>8.4191652621648683E-2</v>
      </c>
    </row>
    <row r="19" spans="1:8" ht="15.75" customHeight="1" x14ac:dyDescent="0.25">
      <c r="B19" s="19" t="s">
        <v>86</v>
      </c>
      <c r="C19" s="101">
        <v>6.8330843258333274E-2</v>
      </c>
      <c r="D19" s="101">
        <v>6.8330843258333274E-2</v>
      </c>
      <c r="E19" s="101">
        <v>6.8330843258333274E-2</v>
      </c>
      <c r="F19" s="101">
        <v>6.8330843258333274E-2</v>
      </c>
    </row>
    <row r="20" spans="1:8" ht="15.75" customHeight="1" x14ac:dyDescent="0.25">
      <c r="B20" s="19" t="s">
        <v>87</v>
      </c>
      <c r="C20" s="101">
        <v>1.250400620514191E-2</v>
      </c>
      <c r="D20" s="101">
        <v>1.250400620514191E-2</v>
      </c>
      <c r="E20" s="101">
        <v>1.250400620514191E-2</v>
      </c>
      <c r="F20" s="101">
        <v>1.250400620514191E-2</v>
      </c>
    </row>
    <row r="21" spans="1:8" ht="15.75" customHeight="1" x14ac:dyDescent="0.25">
      <c r="B21" s="19" t="s">
        <v>88</v>
      </c>
      <c r="C21" s="101">
        <v>0.1655459558925296</v>
      </c>
      <c r="D21" s="101">
        <v>0.1655459558925296</v>
      </c>
      <c r="E21" s="101">
        <v>0.1655459558925296</v>
      </c>
      <c r="F21" s="101">
        <v>0.1655459558925296</v>
      </c>
    </row>
    <row r="22" spans="1:8" ht="15.75" customHeight="1" x14ac:dyDescent="0.25">
      <c r="B22" s="19" t="s">
        <v>89</v>
      </c>
      <c r="C22" s="101">
        <v>0.21903383257052109</v>
      </c>
      <c r="D22" s="101">
        <v>0.21903383257052109</v>
      </c>
      <c r="E22" s="101">
        <v>0.21903383257052109</v>
      </c>
      <c r="F22" s="101">
        <v>0.21903383257052109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8.7620265000000017E-2</v>
      </c>
    </row>
    <row r="27" spans="1:8" ht="15.75" customHeight="1" x14ac:dyDescent="0.25">
      <c r="B27" s="19" t="s">
        <v>92</v>
      </c>
      <c r="C27" s="101">
        <v>8.4936790000000005E-3</v>
      </c>
    </row>
    <row r="28" spans="1:8" ht="15.75" customHeight="1" x14ac:dyDescent="0.25">
      <c r="B28" s="19" t="s">
        <v>93</v>
      </c>
      <c r="C28" s="101">
        <v>0.15420750799999999</v>
      </c>
    </row>
    <row r="29" spans="1:8" ht="15.75" customHeight="1" x14ac:dyDescent="0.25">
      <c r="B29" s="19" t="s">
        <v>94</v>
      </c>
      <c r="C29" s="101">
        <v>0.168404365</v>
      </c>
    </row>
    <row r="30" spans="1:8" ht="15.75" customHeight="1" x14ac:dyDescent="0.25">
      <c r="B30" s="19" t="s">
        <v>95</v>
      </c>
      <c r="C30" s="101">
        <v>0.105568509</v>
      </c>
    </row>
    <row r="31" spans="1:8" ht="15.75" customHeight="1" x14ac:dyDescent="0.25">
      <c r="B31" s="19" t="s">
        <v>96</v>
      </c>
      <c r="C31" s="101">
        <v>0.10981025899999999</v>
      </c>
    </row>
    <row r="32" spans="1:8" ht="15.75" customHeight="1" x14ac:dyDescent="0.25">
      <c r="B32" s="19" t="s">
        <v>97</v>
      </c>
      <c r="C32" s="101">
        <v>1.8832593000000002E-2</v>
      </c>
    </row>
    <row r="33" spans="2:3" ht="15.75" customHeight="1" x14ac:dyDescent="0.25">
      <c r="B33" s="19" t="s">
        <v>98</v>
      </c>
      <c r="C33" s="101">
        <v>8.4520607999999997E-2</v>
      </c>
    </row>
    <row r="34" spans="2:3" ht="15.75" customHeight="1" x14ac:dyDescent="0.25">
      <c r="B34" s="19" t="s">
        <v>99</v>
      </c>
      <c r="C34" s="101">
        <v>0.26254221300000002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104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105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109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110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0.69576059900000009</v>
      </c>
      <c r="D14" s="54">
        <v>0.66532394163700004</v>
      </c>
      <c r="E14" s="54">
        <v>0.66532394163700004</v>
      </c>
      <c r="F14" s="54">
        <v>0.35589304969399999</v>
      </c>
      <c r="G14" s="54">
        <v>0.35589304969399999</v>
      </c>
      <c r="H14" s="45">
        <v>0.40699999999999997</v>
      </c>
      <c r="I14" s="55">
        <v>0.40699999999999997</v>
      </c>
      <c r="J14" s="55">
        <v>0.40699999999999997</v>
      </c>
      <c r="K14" s="55">
        <v>0.40699999999999997</v>
      </c>
      <c r="L14" s="45">
        <v>0.37799999999999989</v>
      </c>
      <c r="M14" s="55">
        <v>0.37799999999999989</v>
      </c>
      <c r="N14" s="55">
        <v>0.37799999999999989</v>
      </c>
      <c r="O14" s="55">
        <v>0.37799999999999989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0.34904848154572105</v>
      </c>
      <c r="D15" s="52">
        <f t="shared" si="0"/>
        <v>0.33377904971650851</v>
      </c>
      <c r="E15" s="52">
        <f t="shared" si="0"/>
        <v>0.33377904971650851</v>
      </c>
      <c r="F15" s="52">
        <f t="shared" si="0"/>
        <v>0.17854406927743621</v>
      </c>
      <c r="G15" s="52">
        <f t="shared" si="0"/>
        <v>0.17854406927743621</v>
      </c>
      <c r="H15" s="52">
        <f t="shared" si="0"/>
        <v>0.20418335299999998</v>
      </c>
      <c r="I15" s="52">
        <f t="shared" si="0"/>
        <v>0.20418335299999998</v>
      </c>
      <c r="J15" s="52">
        <f t="shared" si="0"/>
        <v>0.20418335299999998</v>
      </c>
      <c r="K15" s="52">
        <f t="shared" si="0"/>
        <v>0.20418335299999998</v>
      </c>
      <c r="L15" s="52">
        <f t="shared" si="0"/>
        <v>0.18963466199999995</v>
      </c>
      <c r="M15" s="52">
        <f t="shared" si="0"/>
        <v>0.18963466199999995</v>
      </c>
      <c r="N15" s="52">
        <f t="shared" si="0"/>
        <v>0.18963466199999995</v>
      </c>
      <c r="O15" s="52">
        <f t="shared" si="0"/>
        <v>0.18963466199999995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0.79400000000000004</v>
      </c>
      <c r="D2" s="53">
        <v>0.25800000000000001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0.183</v>
      </c>
      <c r="D3" s="53">
        <v>0.53900000000000003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2.3E-2</v>
      </c>
      <c r="D4" s="53">
        <v>0.20200000000000001</v>
      </c>
      <c r="E4" s="53">
        <v>0.97900000000000009</v>
      </c>
      <c r="F4" s="53">
        <v>0.77599999999999991</v>
      </c>
      <c r="G4" s="53">
        <v>0</v>
      </c>
    </row>
    <row r="5" spans="1:7" x14ac:dyDescent="0.25">
      <c r="B5" s="3" t="s">
        <v>122</v>
      </c>
      <c r="C5" s="52">
        <v>0</v>
      </c>
      <c r="D5" s="52">
        <v>1E-3</v>
      </c>
      <c r="E5" s="52">
        <f>1-SUM(E2:E4)</f>
        <v>2.0999999999999908E-2</v>
      </c>
      <c r="F5" s="52">
        <f>1-SUM(F2:F4)</f>
        <v>0.22400000000000009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49.266516263145533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0.17454155599999999</v>
      </c>
      <c r="C3" s="98">
        <v>0.95</v>
      </c>
      <c r="D3" s="56">
        <v>39.683720380903551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277.01994750756228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0.76214099246628997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12.81601982469946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12.81601982469946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12.81601982469946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12.81601982469946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12.81601982469946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12.81601982469946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0.99</v>
      </c>
      <c r="C16" s="98">
        <v>0.95</v>
      </c>
      <c r="D16" s="56">
        <v>0.51560582851631831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4.23121776E-2</v>
      </c>
      <c r="C18" s="98">
        <v>0.95</v>
      </c>
      <c r="D18" s="56">
        <v>6.4276517687842469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0.1193997</v>
      </c>
      <c r="C19" s="98">
        <v>0.95</v>
      </c>
      <c r="D19" s="56">
        <v>6.4276517687842469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0.51764500000000002</v>
      </c>
      <c r="C21" s="98">
        <v>0.95</v>
      </c>
      <c r="D21" s="56">
        <v>6.3700694345543054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22.013507436034541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4.1567379002909028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0.32062773119999999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18.37373470672004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0.25143555359999997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93.648037947344875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0.78</v>
      </c>
      <c r="C31" s="98">
        <v>0.95</v>
      </c>
      <c r="D31" s="56">
        <v>0.27944402791567008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1.1023285790628059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0.78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0.42499999999999999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0.434</v>
      </c>
      <c r="C38" s="98">
        <v>0.95</v>
      </c>
      <c r="D38" s="56">
        <v>4.1510025254524336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205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0.45200000000000001</v>
      </c>
      <c r="E2" s="60">
        <f>food_insecure</f>
        <v>0.45200000000000001</v>
      </c>
      <c r="F2" s="60">
        <f>food_insecure</f>
        <v>0.45200000000000001</v>
      </c>
      <c r="G2" s="60">
        <f>food_insecure</f>
        <v>0.45200000000000001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0.45200000000000001</v>
      </c>
      <c r="I15" s="60">
        <f>food_insecure</f>
        <v>0.45200000000000001</v>
      </c>
      <c r="J15" s="60">
        <f>food_insecure</f>
        <v>0.45200000000000001</v>
      </c>
      <c r="K15" s="60">
        <f>food_insecure</f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0.16</v>
      </c>
      <c r="I19" s="60">
        <f>frac_malaria_risk</f>
        <v>0.16</v>
      </c>
      <c r="J19" s="60">
        <f>frac_malaria_risk</f>
        <v>0.16</v>
      </c>
      <c r="K19" s="60">
        <f>frac_malaria_risk</f>
        <v>0.16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0.19400000000000001</v>
      </c>
      <c r="M24" s="60">
        <f>famplan_unmet_need</f>
        <v>0.19400000000000001</v>
      </c>
      <c r="N24" s="60">
        <f>famplan_unmet_need</f>
        <v>0.19400000000000001</v>
      </c>
      <c r="O24" s="60">
        <f>famplan_unmet_need</f>
        <v>0.19400000000000001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0.34281003516082764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0.14691858649749753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9.6351586166381828E-2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0.41391979217529307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0.16</v>
      </c>
      <c r="D34" s="60">
        <f t="shared" si="3"/>
        <v>0.16</v>
      </c>
      <c r="E34" s="60">
        <f t="shared" si="3"/>
        <v>0.16</v>
      </c>
      <c r="F34" s="60">
        <f t="shared" si="3"/>
        <v>0.16</v>
      </c>
      <c r="G34" s="60">
        <f t="shared" si="3"/>
        <v>0.16</v>
      </c>
      <c r="H34" s="60">
        <f t="shared" si="3"/>
        <v>0.16</v>
      </c>
      <c r="I34" s="60">
        <f t="shared" si="3"/>
        <v>0.16</v>
      </c>
      <c r="J34" s="60">
        <f t="shared" si="3"/>
        <v>0.16</v>
      </c>
      <c r="K34" s="60">
        <f t="shared" si="3"/>
        <v>0.16</v>
      </c>
      <c r="L34" s="60">
        <f t="shared" si="3"/>
        <v>0.16</v>
      </c>
      <c r="M34" s="60">
        <f t="shared" si="3"/>
        <v>0.16</v>
      </c>
      <c r="N34" s="60">
        <f t="shared" si="3"/>
        <v>0.16</v>
      </c>
      <c r="O34" s="60">
        <f t="shared" si="3"/>
        <v>0.16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A6B64E-BF9C-4437-A564-2C7E9F9884D7}"/>
</file>

<file path=customXml/itemProps2.xml><?xml version="1.0" encoding="utf-8"?>
<ds:datastoreItem xmlns:ds="http://schemas.openxmlformats.org/officeDocument/2006/customXml" ds:itemID="{236AD2FD-58BD-4FE7-A656-58C81C705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2024-04-11T00:40:27Z</dcterms:modified>
</cp:coreProperties>
</file>