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A2C13639-D5EB-4D40-99E0-7216D4F33B66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A40" i="2"/>
  <c r="H39" i="2"/>
  <c r="G39" i="2"/>
  <c r="H38" i="2"/>
  <c r="G38" i="2"/>
  <c r="I38" i="2" s="1"/>
  <c r="A35" i="2"/>
  <c r="A34" i="2"/>
  <c r="A31" i="2"/>
  <c r="A24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A2" i="2"/>
  <c r="A39" i="2" s="1"/>
  <c r="C33" i="1"/>
  <c r="C20" i="1"/>
  <c r="A36" i="2" l="1"/>
  <c r="I7" i="2"/>
  <c r="I13" i="2"/>
  <c r="A37" i="2"/>
  <c r="I11" i="2"/>
  <c r="I2" i="2"/>
  <c r="I8" i="2"/>
  <c r="A19" i="2"/>
  <c r="A22" i="2"/>
  <c r="I39" i="2"/>
  <c r="I3" i="2"/>
  <c r="I9" i="2"/>
  <c r="A23" i="2"/>
  <c r="I4" i="2"/>
  <c r="A25" i="2"/>
  <c r="A2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<sst xmlns="http://schemas.openxmlformats.org/spreadsheetml/2006/main" count="2169" uniqueCount="373">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</sst>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2348513.28125</v>
      </c>
    </row>
    <row r="8" spans="1:3" ht="15" customHeight="1" x14ac:dyDescent="0.25">
      <c r="B8" s="5" t="s">
        <v>8</v>
      </c>
      <c r="C8" s="44">
        <v>0.33900000000000002</v>
      </c>
    </row>
    <row r="9" spans="1:3" ht="15" customHeight="1" x14ac:dyDescent="0.25">
      <c r="B9" s="5" t="s">
        <v>9</v>
      </c>
      <c r="C9" s="45">
        <v>0.54</v>
      </c>
    </row>
    <row r="10" spans="1:3" ht="15" customHeight="1" x14ac:dyDescent="0.25">
      <c r="B10" s="5" t="s">
        <v>10</v>
      </c>
      <c r="C10" s="45">
        <v>0.44076328277587901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0.14799999999999999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0.14299999999999999</v>
      </c>
    </row>
    <row r="24" spans="1:3" ht="15" customHeight="1" x14ac:dyDescent="0.25">
      <c r="B24" s="15" t="s">
        <v>22</v>
      </c>
      <c r="C24" s="45">
        <v>0.49020000000000002</v>
      </c>
    </row>
    <row r="25" spans="1:3" ht="15" customHeight="1" x14ac:dyDescent="0.25">
      <c r="B25" s="15" t="s">
        <v>23</v>
      </c>
      <c r="C25" s="45">
        <v>0.31659999999999999</v>
      </c>
    </row>
    <row r="26" spans="1:3" ht="15" customHeight="1" x14ac:dyDescent="0.25">
      <c r="B26" s="15" t="s">
        <v>24</v>
      </c>
      <c r="C26" s="45">
        <v>5.0199999999999988E-2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0.26023901489541001</v>
      </c>
    </row>
    <row r="30" spans="1:3" ht="14.25" customHeight="1" x14ac:dyDescent="0.25">
      <c r="B30" s="25" t="s">
        <v>27</v>
      </c>
      <c r="C30" s="97">
        <v>3.0772499372884701E-2</v>
      </c>
    </row>
    <row r="31" spans="1:3" ht="14.25" customHeight="1" x14ac:dyDescent="0.25">
      <c r="B31" s="25" t="s">
        <v>28</v>
      </c>
      <c r="C31" s="97">
        <v>5.3241858709985899E-2</v>
      </c>
    </row>
    <row r="32" spans="1:3" ht="14.25" customHeight="1" x14ac:dyDescent="0.25">
      <c r="B32" s="25" t="s">
        <v>29</v>
      </c>
      <c r="C32" s="97">
        <v>0.65574662702171904</v>
      </c>
    </row>
    <row r="33" spans="1:5" ht="13.25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24.99306</v>
      </c>
    </row>
    <row r="38" spans="1:5" ht="15" customHeight="1" x14ac:dyDescent="0.25">
      <c r="B38" s="11" t="s">
        <v>34</v>
      </c>
      <c r="C38" s="43">
        <v>35.713000000000001</v>
      </c>
      <c r="D38" s="12"/>
      <c r="E38" s="13"/>
    </row>
    <row r="39" spans="1:5" ht="15" customHeight="1" x14ac:dyDescent="0.25">
      <c r="B39" s="11" t="s">
        <v>35</v>
      </c>
      <c r="C39" s="43">
        <v>49.521970000000003</v>
      </c>
      <c r="D39" s="12"/>
      <c r="E39" s="12"/>
    </row>
    <row r="40" spans="1:5" ht="15" customHeight="1" x14ac:dyDescent="0.25">
      <c r="B40" s="11" t="s">
        <v>36</v>
      </c>
      <c r="C40" s="98">
        <v>3.57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19.479679999999998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8.0598000000000006E-3</v>
      </c>
      <c r="D45" s="12"/>
    </row>
    <row r="46" spans="1:5" ht="15.75" customHeight="1" x14ac:dyDescent="0.25">
      <c r="B46" s="11" t="s">
        <v>41</v>
      </c>
      <c r="C46" s="45">
        <v>8.5329799999999997E-2</v>
      </c>
      <c r="D46" s="12"/>
    </row>
    <row r="47" spans="1:5" ht="15.75" customHeight="1" x14ac:dyDescent="0.25">
      <c r="B47" s="11" t="s">
        <v>42</v>
      </c>
      <c r="C47" s="45">
        <v>0.16232050000000001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3.3</v>
      </c>
      <c r="D51" s="12"/>
    </row>
    <row r="52" spans="1:4" ht="15" customHeight="1" x14ac:dyDescent="0.25">
      <c r="B52" s="11" t="s">
        <v>46</v>
      </c>
      <c r="C52" s="98">
        <v>3.3</v>
      </c>
    </row>
    <row r="53" spans="1:4" ht="15.75" customHeight="1" x14ac:dyDescent="0.25">
      <c r="B53" s="11" t="s">
        <v>47</v>
      </c>
      <c r="C53" s="98">
        <v>3.3</v>
      </c>
    </row>
    <row r="54" spans="1:4" ht="15.75" customHeight="1" x14ac:dyDescent="0.25">
      <c r="B54" s="11" t="s">
        <v>48</v>
      </c>
      <c r="C54" s="98">
        <v>3.3</v>
      </c>
    </row>
    <row r="55" spans="1:4" ht="15.75" customHeight="1" x14ac:dyDescent="0.25">
      <c r="B55" s="11" t="s">
        <v>49</v>
      </c>
      <c r="C55" s="98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0.51205699999999998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0.12628009000000001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497215</v>
      </c>
      <c r="C2" s="49">
        <v>943081.5</v>
      </c>
      <c r="D2" s="49">
        <v>1424072.5</v>
      </c>
      <c r="E2" s="49">
        <v>1075065</v>
      </c>
      <c r="F2" s="49">
        <v>961262</v>
      </c>
      <c r="G2" s="17">
        <f t="shared" ref="G2:G13" si="0">C2+D2+E2+F2</f>
        <v>4403481</v>
      </c>
      <c r="H2" s="17">
        <f t="shared" ref="H2:H13" si="1">(B2 + stillbirth*B2/(1000-stillbirth))/(1-abortion)</f>
        <v>576242.05631408584</v>
      </c>
      <c r="I2" s="17">
        <f t="shared" ref="I2:I13" si="2">G2-H2</f>
        <v>3827238.9436859144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500731</v>
      </c>
      <c r="C3" s="50">
        <v>976099.5</v>
      </c>
      <c r="D3" s="50">
        <v>1484061</v>
      </c>
      <c r="E3" s="50">
        <v>1047817.5</v>
      </c>
      <c r="F3" s="50">
        <v>1005189</v>
      </c>
      <c r="G3" s="17">
        <f t="shared" si="0"/>
        <v>4513167</v>
      </c>
      <c r="H3" s="17">
        <f t="shared" si="1"/>
        <v>580316.88726246904</v>
      </c>
      <c r="I3" s="17">
        <f t="shared" si="2"/>
        <v>3932850.1127375308</v>
      </c>
    </row>
    <row r="4" spans="1:9" ht="15.75" customHeight="1" x14ac:dyDescent="0.25">
      <c r="A4" s="5">
        <f t="shared" si="3"/>
        <v>2026</v>
      </c>
      <c r="B4" s="49">
        <v>505305</v>
      </c>
      <c r="C4" s="50">
        <v>1015498.5</v>
      </c>
      <c r="D4" s="50">
        <v>1541681</v>
      </c>
      <c r="E4" s="50">
        <v>1025359.5</v>
      </c>
      <c r="F4" s="50">
        <v>1042407.5</v>
      </c>
      <c r="G4" s="17">
        <f t="shared" si="0"/>
        <v>4624946.5</v>
      </c>
      <c r="H4" s="17">
        <f t="shared" si="1"/>
        <v>585617.87610146345</v>
      </c>
      <c r="I4" s="17">
        <f t="shared" si="2"/>
        <v>4039328.6238985364</v>
      </c>
    </row>
    <row r="5" spans="1:9" ht="15.75" customHeight="1" x14ac:dyDescent="0.25">
      <c r="A5" s="5">
        <f t="shared" si="3"/>
        <v>2027</v>
      </c>
      <c r="B5" s="49">
        <v>511119</v>
      </c>
      <c r="C5" s="50">
        <v>1056181</v>
      </c>
      <c r="D5" s="50">
        <v>1595650.5</v>
      </c>
      <c r="E5" s="50">
        <v>1022916.5</v>
      </c>
      <c r="F5" s="50">
        <v>1062114.5</v>
      </c>
      <c r="G5" s="17">
        <f t="shared" si="0"/>
        <v>4736862.5</v>
      </c>
      <c r="H5" s="17">
        <f t="shared" si="1"/>
        <v>592355.94980280008</v>
      </c>
      <c r="I5" s="17">
        <f t="shared" si="2"/>
        <v>4144506.5501971999</v>
      </c>
    </row>
    <row r="6" spans="1:9" ht="15.75" customHeight="1" x14ac:dyDescent="0.25">
      <c r="A6" s="5">
        <f t="shared" si="3"/>
        <v>2028</v>
      </c>
      <c r="B6" s="49">
        <v>518464.00000000012</v>
      </c>
      <c r="C6" s="50">
        <v>1090633.5</v>
      </c>
      <c r="D6" s="50">
        <v>1648295</v>
      </c>
      <c r="E6" s="50">
        <v>1041830.5</v>
      </c>
      <c r="F6" s="50">
        <v>1064350.5</v>
      </c>
      <c r="G6" s="17">
        <f t="shared" si="0"/>
        <v>4845109.5</v>
      </c>
      <c r="H6" s="17">
        <f t="shared" si="1"/>
        <v>600868.35973336734</v>
      </c>
      <c r="I6" s="17">
        <f t="shared" si="2"/>
        <v>4244241.1402666327</v>
      </c>
    </row>
    <row r="7" spans="1:9" ht="15.75" customHeight="1" x14ac:dyDescent="0.25">
      <c r="A7" s="5">
        <f t="shared" si="3"/>
        <v>2029</v>
      </c>
      <c r="B7" s="49">
        <v>525707</v>
      </c>
      <c r="C7" s="50">
        <v>1112077</v>
      </c>
      <c r="D7" s="50">
        <v>1701426</v>
      </c>
      <c r="E7" s="50">
        <v>1071356.5</v>
      </c>
      <c r="F7" s="50">
        <v>1061668.5</v>
      </c>
      <c r="G7" s="17">
        <f t="shared" si="0"/>
        <v>4946528</v>
      </c>
      <c r="H7" s="17">
        <f t="shared" si="1"/>
        <v>609262.55784461275</v>
      </c>
      <c r="I7" s="17">
        <f t="shared" si="2"/>
        <v>4337265.4421553873</v>
      </c>
    </row>
    <row r="8" spans="1:9" ht="15.75" customHeight="1" x14ac:dyDescent="0.25">
      <c r="A8" s="5">
        <f t="shared" si="3"/>
        <v>2030</v>
      </c>
      <c r="B8" s="49">
        <v>533092</v>
      </c>
      <c r="C8" s="50">
        <v>1118520</v>
      </c>
      <c r="D8" s="50">
        <v>1755792.5</v>
      </c>
      <c r="E8" s="50">
        <v>1109022</v>
      </c>
      <c r="F8" s="50">
        <v>1054888.5</v>
      </c>
      <c r="G8" s="17">
        <f t="shared" si="0"/>
        <v>5038223</v>
      </c>
      <c r="H8" s="17">
        <f t="shared" si="1"/>
        <v>617821.32535138447</v>
      </c>
      <c r="I8" s="17">
        <f t="shared" si="2"/>
        <v>4420401.6746486155</v>
      </c>
    </row>
    <row r="9" spans="1:9" ht="15.75" customHeight="1" x14ac:dyDescent="0.25">
      <c r="A9" s="5">
        <f t="shared" si="3"/>
        <v>2031</v>
      </c>
      <c r="B9" s="49">
        <v>540143</v>
      </c>
      <c r="C9" s="50">
        <v>1113000</v>
      </c>
      <c r="D9" s="50">
        <v>1811132</v>
      </c>
      <c r="E9" s="50">
        <v>1152015</v>
      </c>
      <c r="F9" s="50">
        <v>1041790</v>
      </c>
      <c r="G9" s="17">
        <f t="shared" si="0"/>
        <v>5117937</v>
      </c>
      <c r="H9" s="17">
        <f t="shared" si="1"/>
        <v>625993.00709684798</v>
      </c>
      <c r="I9" s="17">
        <f t="shared" si="2"/>
        <v>4491943.9929031525</v>
      </c>
    </row>
    <row r="10" spans="1:9" ht="15.75" customHeight="1" x14ac:dyDescent="0.25">
      <c r="A10" s="5">
        <f t="shared" si="3"/>
        <v>2032</v>
      </c>
      <c r="B10" s="49">
        <v>546702</v>
      </c>
      <c r="C10" s="50">
        <v>1099422</v>
      </c>
      <c r="D10" s="50">
        <v>1867262.5</v>
      </c>
      <c r="E10" s="50">
        <v>1199038</v>
      </c>
      <c r="F10" s="50">
        <v>1025046.5</v>
      </c>
      <c r="G10" s="17">
        <f t="shared" si="0"/>
        <v>5190769</v>
      </c>
      <c r="H10" s="17">
        <f t="shared" si="1"/>
        <v>633594.49065499497</v>
      </c>
      <c r="I10" s="17">
        <f t="shared" si="2"/>
        <v>4557174.5093450053</v>
      </c>
    </row>
    <row r="11" spans="1:9" ht="15.75" customHeight="1" x14ac:dyDescent="0.25">
      <c r="A11" s="5">
        <f t="shared" si="3"/>
        <v>2033</v>
      </c>
      <c r="B11" s="49">
        <v>551936</v>
      </c>
      <c r="C11" s="50">
        <v>1083757</v>
      </c>
      <c r="D11" s="50">
        <v>1921063</v>
      </c>
      <c r="E11" s="50">
        <v>1252222</v>
      </c>
      <c r="F11" s="50">
        <v>1005788.5</v>
      </c>
      <c r="G11" s="17">
        <f t="shared" si="0"/>
        <v>5262830.5</v>
      </c>
      <c r="H11" s="17">
        <f t="shared" si="1"/>
        <v>639660.37950136513</v>
      </c>
      <c r="I11" s="17">
        <f t="shared" si="2"/>
        <v>4623170.1204986349</v>
      </c>
    </row>
    <row r="12" spans="1:9" ht="15.75" customHeight="1" x14ac:dyDescent="0.25">
      <c r="A12" s="5">
        <f t="shared" si="3"/>
        <v>2034</v>
      </c>
      <c r="B12" s="49">
        <v>557018</v>
      </c>
      <c r="C12" s="50">
        <v>1072336.5</v>
      </c>
      <c r="D12" s="50">
        <v>1967889.5</v>
      </c>
      <c r="E12" s="50">
        <v>1310660.5</v>
      </c>
      <c r="F12" s="50">
        <v>982467</v>
      </c>
      <c r="G12" s="17">
        <f t="shared" si="0"/>
        <v>5333353.5</v>
      </c>
      <c r="H12" s="17">
        <f t="shared" si="1"/>
        <v>645550.10955815786</v>
      </c>
      <c r="I12" s="17">
        <f t="shared" si="2"/>
        <v>4687803.3904418424</v>
      </c>
    </row>
    <row r="13" spans="1:9" ht="15.75" customHeight="1" x14ac:dyDescent="0.25">
      <c r="A13" s="5">
        <f t="shared" si="3"/>
        <v>2035</v>
      </c>
      <c r="B13" s="49">
        <v>561188</v>
      </c>
      <c r="C13" s="50">
        <v>1069095</v>
      </c>
      <c r="D13" s="50">
        <v>2007533.5</v>
      </c>
      <c r="E13" s="50">
        <v>1370348</v>
      </c>
      <c r="F13" s="50">
        <v>958658</v>
      </c>
      <c r="G13" s="17">
        <f t="shared" si="0"/>
        <v>5405634.5</v>
      </c>
      <c r="H13" s="17">
        <f t="shared" si="1"/>
        <v>650382.88687748602</v>
      </c>
      <c r="I13" s="17">
        <f t="shared" si="2"/>
        <v>4755251.6131225135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7.6781645030920614E-3</v>
      </c>
    </row>
    <row r="4" spans="1:8" ht="15.75" customHeight="1" x14ac:dyDescent="0.25">
      <c r="B4" s="19" t="s">
        <v>69</v>
      </c>
      <c r="C4" s="99">
        <v>5.8812394804291353E-2</v>
      </c>
    </row>
    <row r="5" spans="1:8" ht="15.75" customHeight="1" x14ac:dyDescent="0.25">
      <c r="B5" s="19" t="s">
        <v>70</v>
      </c>
      <c r="C5" s="99">
        <v>7.8175276577129568E-2</v>
      </c>
    </row>
    <row r="6" spans="1:8" ht="15.75" customHeight="1" x14ac:dyDescent="0.25">
      <c r="B6" s="19" t="s">
        <v>71</v>
      </c>
      <c r="C6" s="99">
        <v>0.24960349261539741</v>
      </c>
    </row>
    <row r="7" spans="1:8" ht="15.75" customHeight="1" x14ac:dyDescent="0.25">
      <c r="B7" s="19" t="s">
        <v>72</v>
      </c>
      <c r="C7" s="99">
        <v>0.41445225906640448</v>
      </c>
    </row>
    <row r="8" spans="1:8" ht="15.75" customHeight="1" x14ac:dyDescent="0.25">
      <c r="B8" s="19" t="s">
        <v>73</v>
      </c>
      <c r="C8" s="99">
        <v>1.37938727358503E-3</v>
      </c>
    </row>
    <row r="9" spans="1:8" ht="15.75" customHeight="1" x14ac:dyDescent="0.25">
      <c r="B9" s="19" t="s">
        <v>74</v>
      </c>
      <c r="C9" s="99">
        <v>7.090718662675477E-2</v>
      </c>
    </row>
    <row r="10" spans="1:8" ht="15.75" customHeight="1" x14ac:dyDescent="0.25">
      <c r="B10" s="19" t="s">
        <v>75</v>
      </c>
      <c r="C10" s="99">
        <v>0.11899183853334561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0.14098500302902989</v>
      </c>
      <c r="D14" s="55">
        <v>0.14098500302902989</v>
      </c>
      <c r="E14" s="55">
        <v>0.14098500302902989</v>
      </c>
      <c r="F14" s="55">
        <v>0.14098500302902989</v>
      </c>
    </row>
    <row r="15" spans="1:8" ht="15.75" customHeight="1" x14ac:dyDescent="0.25">
      <c r="B15" s="19" t="s">
        <v>82</v>
      </c>
      <c r="C15" s="99">
        <v>0.19832440760021011</v>
      </c>
      <c r="D15" s="99">
        <v>0.19832440760021011</v>
      </c>
      <c r="E15" s="99">
        <v>0.19832440760021011</v>
      </c>
      <c r="F15" s="99">
        <v>0.19832440760021011</v>
      </c>
    </row>
    <row r="16" spans="1:8" ht="15.75" customHeight="1" x14ac:dyDescent="0.25">
      <c r="B16" s="19" t="s">
        <v>83</v>
      </c>
      <c r="C16" s="99">
        <v>1.3637982633177439E-2</v>
      </c>
      <c r="D16" s="99">
        <v>1.3637982633177439E-2</v>
      </c>
      <c r="E16" s="99">
        <v>1.3637982633177439E-2</v>
      </c>
      <c r="F16" s="99">
        <v>1.3637982633177439E-2</v>
      </c>
    </row>
    <row r="17" spans="1:8" ht="15.75" customHeight="1" x14ac:dyDescent="0.25">
      <c r="B17" s="19" t="s">
        <v>84</v>
      </c>
      <c r="C17" s="99">
        <v>2.119301663174158E-3</v>
      </c>
      <c r="D17" s="99">
        <v>2.119301663174158E-3</v>
      </c>
      <c r="E17" s="99">
        <v>2.119301663174158E-3</v>
      </c>
      <c r="F17" s="99">
        <v>2.119301663174158E-3</v>
      </c>
    </row>
    <row r="18" spans="1:8" ht="15.75" customHeight="1" x14ac:dyDescent="0.25">
      <c r="B18" s="19" t="s">
        <v>85</v>
      </c>
      <c r="C18" s="99">
        <v>5.8880676578246922E-2</v>
      </c>
      <c r="D18" s="99">
        <v>5.8880676578246922E-2</v>
      </c>
      <c r="E18" s="99">
        <v>5.8880676578246922E-2</v>
      </c>
      <c r="F18" s="99">
        <v>5.8880676578246922E-2</v>
      </c>
    </row>
    <row r="19" spans="1:8" ht="15.75" customHeight="1" x14ac:dyDescent="0.25">
      <c r="B19" s="19" t="s">
        <v>86</v>
      </c>
      <c r="C19" s="99">
        <v>2.8333878533845368E-3</v>
      </c>
      <c r="D19" s="99">
        <v>2.8333878533845368E-3</v>
      </c>
      <c r="E19" s="99">
        <v>2.8333878533845368E-3</v>
      </c>
      <c r="F19" s="99">
        <v>2.8333878533845368E-3</v>
      </c>
    </row>
    <row r="20" spans="1:8" ht="15.75" customHeight="1" x14ac:dyDescent="0.25">
      <c r="B20" s="19" t="s">
        <v>87</v>
      </c>
      <c r="C20" s="99">
        <v>0.30756059391783608</v>
      </c>
      <c r="D20" s="99">
        <v>0.30756059391783608</v>
      </c>
      <c r="E20" s="99">
        <v>0.30756059391783608</v>
      </c>
      <c r="F20" s="99">
        <v>0.30756059391783608</v>
      </c>
    </row>
    <row r="21" spans="1:8" ht="15.75" customHeight="1" x14ac:dyDescent="0.25">
      <c r="B21" s="19" t="s">
        <v>88</v>
      </c>
      <c r="C21" s="99">
        <v>0.1054258064472985</v>
      </c>
      <c r="D21" s="99">
        <v>0.1054258064472985</v>
      </c>
      <c r="E21" s="99">
        <v>0.1054258064472985</v>
      </c>
      <c r="F21" s="99">
        <v>0.1054258064472985</v>
      </c>
    </row>
    <row r="22" spans="1:8" ht="15.75" customHeight="1" x14ac:dyDescent="0.25">
      <c r="B22" s="19" t="s">
        <v>89</v>
      </c>
      <c r="C22" s="99">
        <v>0.17023284027764241</v>
      </c>
      <c r="D22" s="99">
        <v>0.17023284027764241</v>
      </c>
      <c r="E22" s="99">
        <v>0.17023284027764241</v>
      </c>
      <c r="F22" s="99">
        <v>0.17023284027764241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3.5976796000000012E-2</v>
      </c>
    </row>
    <row r="27" spans="1:8" ht="15.75" customHeight="1" x14ac:dyDescent="0.25">
      <c r="B27" s="19" t="s">
        <v>92</v>
      </c>
      <c r="C27" s="99">
        <v>5.2873009999999986E-3</v>
      </c>
    </row>
    <row r="28" spans="1:8" ht="15.75" customHeight="1" x14ac:dyDescent="0.25">
      <c r="B28" s="19" t="s">
        <v>93</v>
      </c>
      <c r="C28" s="99">
        <v>0.15022722299999999</v>
      </c>
    </row>
    <row r="29" spans="1:8" ht="15.75" customHeight="1" x14ac:dyDescent="0.25">
      <c r="B29" s="19" t="s">
        <v>94</v>
      </c>
      <c r="C29" s="99">
        <v>0.123445323</v>
      </c>
    </row>
    <row r="30" spans="1:8" ht="15.75" customHeight="1" x14ac:dyDescent="0.25">
      <c r="B30" s="19" t="s">
        <v>95</v>
      </c>
      <c r="C30" s="99">
        <v>8.7992374999999998E-2</v>
      </c>
    </row>
    <row r="31" spans="1:8" ht="15.75" customHeight="1" x14ac:dyDescent="0.25">
      <c r="B31" s="19" t="s">
        <v>96</v>
      </c>
      <c r="C31" s="99">
        <v>8.5764472999999994E-2</v>
      </c>
    </row>
    <row r="32" spans="1:8" ht="15.75" customHeight="1" x14ac:dyDescent="0.25">
      <c r="B32" s="19" t="s">
        <v>97</v>
      </c>
      <c r="C32" s="99">
        <v>9.7807150000000006E-3</v>
      </c>
    </row>
    <row r="33" spans="2:3" ht="15.75" customHeight="1" x14ac:dyDescent="0.25">
      <c r="B33" s="19" t="s">
        <v>98</v>
      </c>
      <c r="C33" s="99">
        <v>0.11793519700000001</v>
      </c>
    </row>
    <row r="34" spans="2:3" ht="15.75" customHeight="1" x14ac:dyDescent="0.25">
      <c r="B34" s="19" t="s">
        <v>99</v>
      </c>
      <c r="C34" s="99">
        <v>0.38359059600000001</v>
      </c>
    </row>
    <row r="35" spans="2:3" ht="15.75" customHeight="1" x14ac:dyDescent="0.25">
      <c r="B35" s="27" t="s">
        <v>30</v>
      </c>
      <c r="C35" s="48">
        <f>SUM(C26:C34)</f>
        <v>0.99999999900000003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0.57790553256836363</v>
      </c>
      <c r="D2" s="52">
        <f>IFERROR(1-_xlfn.NORM.DIST(_xlfn.NORM.INV(SUM(D4:D5), 0, 1) + 1, 0, 1, TRUE), "")</f>
        <v>0.57790553256836363</v>
      </c>
      <c r="E2" s="52">
        <f>IFERROR(1-_xlfn.NORM.DIST(_xlfn.NORM.INV(SUM(E4:E5), 0, 1) + 1, 0, 1, TRUE), "")</f>
        <v>0.57759159533532234</v>
      </c>
      <c r="F2" s="52">
        <f>IFERROR(1-_xlfn.NORM.DIST(_xlfn.NORM.INV(SUM(F4:F5), 0, 1) + 1, 0, 1, TRUE), "")</f>
        <v>0.31549882770014459</v>
      </c>
      <c r="G2" s="52">
        <f>IFERROR(1-_xlfn.NORM.DIST(_xlfn.NORM.INV(SUM(G4:G5), 0, 1) + 1, 0, 1, TRUE), "")</f>
        <v>0.36954299522339773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0.30635116743163637</v>
      </c>
      <c r="D3" s="52">
        <f>IFERROR(_xlfn.NORM.DIST(_xlfn.NORM.INV(SUM(D4:D5), 0, 1) + 1, 0, 1, TRUE) - SUM(D4:D5), "")</f>
        <v>0.30635116743163637</v>
      </c>
      <c r="E3" s="52">
        <f>IFERROR(_xlfn.NORM.DIST(_xlfn.NORM.INV(SUM(E4:E5), 0, 1) + 1, 0, 1, TRUE) - SUM(E4:E5), "")</f>
        <v>0.30650860466467766</v>
      </c>
      <c r="F3" s="52">
        <f>IFERROR(_xlfn.NORM.DIST(_xlfn.NORM.INV(SUM(F4:F5), 0, 1) + 1, 0, 1, TRUE) - SUM(F4:F5), "")</f>
        <v>0.38285677229985543</v>
      </c>
      <c r="G3" s="52">
        <f>IFERROR(_xlfn.NORM.DIST(_xlfn.NORM.INV(SUM(G4:G5), 0, 1) + 1, 0, 1, TRUE) - SUM(G4:G5), "")</f>
        <v>0.37805050477660229</v>
      </c>
    </row>
    <row r="4" spans="1:15" ht="15.75" customHeight="1" x14ac:dyDescent="0.25">
      <c r="B4" s="5" t="s">
        <v>104</v>
      </c>
      <c r="C4" s="45">
        <v>8.6150800000000013E-2</v>
      </c>
      <c r="D4" s="53">
        <v>8.6150800000000013E-2</v>
      </c>
      <c r="E4" s="53">
        <v>9.2486499999999999E-2</v>
      </c>
      <c r="F4" s="53">
        <v>0.20753369999999999</v>
      </c>
      <c r="G4" s="53">
        <v>0.19701050000000001</v>
      </c>
    </row>
    <row r="5" spans="1:15" ht="15.75" customHeight="1" x14ac:dyDescent="0.25">
      <c r="B5" s="5" t="s">
        <v>105</v>
      </c>
      <c r="C5" s="45">
        <v>2.9592500000000001E-2</v>
      </c>
      <c r="D5" s="53">
        <v>2.9592500000000001E-2</v>
      </c>
      <c r="E5" s="53">
        <v>2.3413300000000001E-2</v>
      </c>
      <c r="F5" s="53">
        <v>9.4110700000000005E-2</v>
      </c>
      <c r="G5" s="53">
        <v>5.5396000000000001E-2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0.79254265195873708</v>
      </c>
      <c r="D8" s="52">
        <f>IFERROR(1-_xlfn.NORM.DIST(_xlfn.NORM.INV(SUM(D10:D11), 0, 1) + 1, 0, 1, TRUE), "")</f>
        <v>0.79254265195873708</v>
      </c>
      <c r="E8" s="52">
        <f>IFERROR(1-_xlfn.NORM.DIST(_xlfn.NORM.INV(SUM(E10:E11), 0, 1) + 1, 0, 1, TRUE), "")</f>
        <v>0.77011652423707055</v>
      </c>
      <c r="F8" s="52">
        <f>IFERROR(1-_xlfn.NORM.DIST(_xlfn.NORM.INV(SUM(F10:F11), 0, 1) + 1, 0, 1, TRUE), "")</f>
        <v>0.76022921967238788</v>
      </c>
      <c r="G8" s="52">
        <f>IFERROR(1-_xlfn.NORM.DIST(_xlfn.NORM.INV(SUM(G10:G11), 0, 1) + 1, 0, 1, TRUE), "")</f>
        <v>0.84893168095746219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0.17271654804126296</v>
      </c>
      <c r="D9" s="52">
        <f>IFERROR(_xlfn.NORM.DIST(_xlfn.NORM.INV(SUM(D10:D11), 0, 1) + 1, 0, 1, TRUE) - SUM(D10:D11), "")</f>
        <v>0.17271654804126296</v>
      </c>
      <c r="E9" s="52">
        <f>IFERROR(_xlfn.NORM.DIST(_xlfn.NORM.INV(SUM(E10:E11), 0, 1) + 1, 0, 1, TRUE) - SUM(E10:E11), "")</f>
        <v>0.18888637576292944</v>
      </c>
      <c r="F9" s="52">
        <f>IFERROR(_xlfn.NORM.DIST(_xlfn.NORM.INV(SUM(F10:F11), 0, 1) + 1, 0, 1, TRUE) - SUM(F10:F11), "")</f>
        <v>0.19586348032761211</v>
      </c>
      <c r="G9" s="52">
        <f>IFERROR(_xlfn.NORM.DIST(_xlfn.NORM.INV(SUM(G10:G11), 0, 1) + 1, 0, 1, TRUE) - SUM(G10:G11), "")</f>
        <v>0.12998451904253777</v>
      </c>
    </row>
    <row r="10" spans="1:15" ht="15.75" customHeight="1" x14ac:dyDescent="0.25">
      <c r="B10" s="5" t="s">
        <v>109</v>
      </c>
      <c r="C10" s="45">
        <v>2.6199299999999998E-2</v>
      </c>
      <c r="D10" s="53">
        <v>2.6199299999999998E-2</v>
      </c>
      <c r="E10" s="53">
        <v>3.6626800000000001E-2</v>
      </c>
      <c r="F10" s="53">
        <v>3.9041600000000003E-2</v>
      </c>
      <c r="G10" s="53">
        <v>1.9322599999999999E-2</v>
      </c>
    </row>
    <row r="11" spans="1:15" ht="15.75" customHeight="1" x14ac:dyDescent="0.25">
      <c r="B11" s="5" t="s">
        <v>110</v>
      </c>
      <c r="C11" s="45">
        <v>8.5415000000000005E-3</v>
      </c>
      <c r="D11" s="53">
        <v>8.5415000000000005E-3</v>
      </c>
      <c r="E11" s="53">
        <v>4.3702999999999997E-3</v>
      </c>
      <c r="F11" s="53">
        <v>4.8656999999999997E-3</v>
      </c>
      <c r="G11" s="53">
        <v>1.7612000000000001E-3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0.76416372425000001</v>
      </c>
      <c r="D14" s="54">
        <v>0.73473477243899987</v>
      </c>
      <c r="E14" s="54">
        <v>0.73473477243899987</v>
      </c>
      <c r="F14" s="54">
        <v>0.43763231825400001</v>
      </c>
      <c r="G14" s="54">
        <v>0.43763231825400001</v>
      </c>
      <c r="H14" s="45">
        <v>0.34</v>
      </c>
      <c r="I14" s="55">
        <v>0.34</v>
      </c>
      <c r="J14" s="55">
        <v>0.34</v>
      </c>
      <c r="K14" s="55">
        <v>0.34</v>
      </c>
      <c r="L14" s="45">
        <v>0.28399999999999997</v>
      </c>
      <c r="M14" s="55">
        <v>0.28399999999999997</v>
      </c>
      <c r="N14" s="55">
        <v>0.28399999999999997</v>
      </c>
      <c r="O14" s="55">
        <v>0.28399999999999997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0.39129538414828224</v>
      </c>
      <c r="D15" s="52">
        <f t="shared" si="0"/>
        <v>0.37622608337079694</v>
      </c>
      <c r="E15" s="52">
        <f t="shared" si="0"/>
        <v>0.37622608337079694</v>
      </c>
      <c r="F15" s="52">
        <f t="shared" si="0"/>
        <v>0.22409269198818849</v>
      </c>
      <c r="G15" s="52">
        <f t="shared" si="0"/>
        <v>0.22409269198818849</v>
      </c>
      <c r="H15" s="52">
        <f t="shared" si="0"/>
        <v>0.17409938</v>
      </c>
      <c r="I15" s="52">
        <f t="shared" si="0"/>
        <v>0.17409938</v>
      </c>
      <c r="J15" s="52">
        <f t="shared" si="0"/>
        <v>0.17409938</v>
      </c>
      <c r="K15" s="52">
        <f t="shared" si="0"/>
        <v>0.17409938</v>
      </c>
      <c r="L15" s="52">
        <f t="shared" si="0"/>
        <v>0.14542418799999998</v>
      </c>
      <c r="M15" s="52">
        <f t="shared" si="0"/>
        <v>0.14542418799999998</v>
      </c>
      <c r="N15" s="52">
        <f t="shared" si="0"/>
        <v>0.14542418799999998</v>
      </c>
      <c r="O15" s="52">
        <f t="shared" si="0"/>
        <v>0.14542418799999998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0.73495149999999998</v>
      </c>
      <c r="D2" s="53">
        <v>0.33603460000000002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0.1755929</v>
      </c>
      <c r="D3" s="53">
        <v>0.26254559999999999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8.37923E-2</v>
      </c>
      <c r="D4" s="53">
        <v>0.38363609999999998</v>
      </c>
      <c r="E4" s="53">
        <v>0.97589309999999996</v>
      </c>
      <c r="F4" s="53">
        <v>0.50347750000000002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5.6632999999999267E-3</v>
      </c>
      <c r="D5" s="52">
        <f t="shared" si="0"/>
        <v>1.7783700000000069E-2</v>
      </c>
      <c r="E5" s="52">
        <f>1-SUM(E2:E4)</f>
        <v>2.4106900000000042E-2</v>
      </c>
      <c r="F5" s="52">
        <f>1-SUM(F2:F4)</f>
        <v>0.49652249999999998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1676.8214889672599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0.52639999999999998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0.61380000000000001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1.8404221201330232E-2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94197.735440000004</v>
      </c>
      <c r="C22" s="107">
        <v>93710.279790000001</v>
      </c>
      <c r="D22" s="107">
        <v>93086.861749999996</v>
      </c>
      <c r="E22" s="107">
        <v>92239.293489999996</v>
      </c>
      <c r="F22" s="107">
        <v>91001.323950000005</v>
      </c>
      <c r="G22" s="107">
        <v>89496.404930000004</v>
      </c>
      <c r="H22" s="107">
        <v>87403.599629999997</v>
      </c>
      <c r="I22" s="107">
        <v>84393.39344</v>
      </c>
      <c r="J22" s="107">
        <v>80110.121910000002</v>
      </c>
      <c r="K22" s="107">
        <v>74684.315640000001</v>
      </c>
      <c r="L22" s="107">
        <v>67868.859670000005</v>
      </c>
      <c r="M22" s="107">
        <v>60184.518989999997</v>
      </c>
      <c r="N22" s="107">
        <v>51361.249510000001</v>
      </c>
      <c r="O22" s="107">
        <v>41533.464840000001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6.8747382117628364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2.1291837256908908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</v>
      </c>
      <c r="C9" s="96">
        <v>0.95</v>
      </c>
      <c r="D9" s="56">
        <v>0.22197642864885933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0.39672310000000011</v>
      </c>
      <c r="C10" s="96">
        <v>0.95</v>
      </c>
      <c r="D10" s="56">
        <v>15.09709288172251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15.09709288172251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15.09709288172251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15.09709288172251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0.42699999999999999</v>
      </c>
      <c r="C14" s="96">
        <v>0.95</v>
      </c>
      <c r="D14" s="56">
        <v>2.7509100930955666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15.09709288172251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0.2755978</v>
      </c>
      <c r="C16" s="96">
        <v>0.95</v>
      </c>
      <c r="D16" s="56">
        <v>2.1562548532894295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8.6839288888888894E-2</v>
      </c>
      <c r="C17" s="96">
        <v>0.95</v>
      </c>
      <c r="D17" s="56">
        <v>0.58636119533868591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0.33603460000000002</v>
      </c>
      <c r="C18" s="96">
        <v>0.95</v>
      </c>
      <c r="D18" s="56">
        <v>6.8747382117628364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0.33603460000000002</v>
      </c>
      <c r="C19" s="96">
        <v>0.95</v>
      </c>
      <c r="D19" s="56">
        <v>2.4661440905760248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7.2638561333206297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6.8747382117628364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0.38460499999999997</v>
      </c>
      <c r="C23" s="96">
        <v>0.95</v>
      </c>
      <c r="D23" s="56">
        <v>4.9613185520035712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0.85257555200732993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4.4432147531692987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8.8360724993186164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0.32846330000000001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0.1671841</v>
      </c>
      <c r="C29" s="96">
        <v>0.95</v>
      </c>
      <c r="D29" s="56">
        <v>68.300854175426551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57.448392612859095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8.9499999999999996E-2</v>
      </c>
      <c r="C31" s="96">
        <v>0.95</v>
      </c>
      <c r="D31" s="56">
        <v>125.66324080233395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0.16</v>
      </c>
      <c r="C32" s="96">
        <v>0.95</v>
      </c>
      <c r="D32" s="56">
        <v>0.65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0.42456090000000002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0.64379720000000007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1.3108E-3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0.26926600000000001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0.151</v>
      </c>
      <c r="C38" s="96">
        <v>0.95</v>
      </c>
      <c r="D38" s="56">
        <v>2.2145073762257557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5.8497136845734818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197</v>
      </c>
      <c r="B3" s="21">
        <f>frac_mam_1month * 2.6</f>
        <v>6.811818E-2</v>
      </c>
      <c r="C3" s="21">
        <f>frac_mam_1_5months * 2.6</f>
        <v>6.811818E-2</v>
      </c>
      <c r="D3" s="21">
        <f>frac_mam_6_11months * 2.6</f>
        <v>9.5229680000000011E-2</v>
      </c>
      <c r="E3" s="21">
        <f>frac_mam_12_23months * 2.6</f>
        <v>0.10150816000000001</v>
      </c>
      <c r="F3" s="21">
        <f>frac_mam_24_59months * 2.6</f>
        <v>5.023876E-2</v>
      </c>
    </row>
    <row r="4" spans="1:6" ht="15.75" customHeight="1" x14ac:dyDescent="0.25">
      <c r="A4" s="3" t="s">
        <v>198</v>
      </c>
      <c r="B4" s="21">
        <f>frac_sam_1month * 2.6</f>
        <v>2.2207900000000003E-2</v>
      </c>
      <c r="C4" s="21">
        <f>frac_sam_1_5months * 2.6</f>
        <v>2.2207900000000003E-2</v>
      </c>
      <c r="D4" s="21">
        <f>frac_sam_6_11months * 2.6</f>
        <v>1.1362779999999999E-2</v>
      </c>
      <c r="E4" s="21">
        <f>frac_sam_12_23months * 2.6</f>
        <v>1.265082E-2</v>
      </c>
      <c r="F4" s="21">
        <f>frac_sam_24_59months * 2.6</f>
        <v>4.5791200000000008E-3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0.33900000000000002</v>
      </c>
      <c r="F2" s="60">
        <f>food_insecure</f>
        <v>0.33900000000000002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0.33900000000000002</v>
      </c>
      <c r="F5" s="60">
        <f>food_insecure</f>
        <v>0.33900000000000002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0.33900000000000002</v>
      </c>
      <c r="F8" s="60">
        <f>food_insecure</f>
        <v>0.33900000000000002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0.33900000000000002</v>
      </c>
      <c r="F9" s="60">
        <f>food_insecure</f>
        <v>0.33900000000000002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0.33900000000000002</v>
      </c>
      <c r="I15" s="60">
        <f t="shared" si="0"/>
        <v>0.33900000000000002</v>
      </c>
      <c r="J15" s="60">
        <f t="shared" si="0"/>
        <v>0.33900000000000002</v>
      </c>
      <c r="K15" s="60">
        <f t="shared" si="0"/>
        <v>0.33900000000000002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0.33900000000000002</v>
      </c>
      <c r="I16" s="60">
        <f t="shared" si="0"/>
        <v>0.33900000000000002</v>
      </c>
      <c r="J16" s="60">
        <f t="shared" si="0"/>
        <v>0.33900000000000002</v>
      </c>
      <c r="K16" s="60">
        <f t="shared" si="0"/>
        <v>0.33900000000000002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0.54</v>
      </c>
      <c r="I19" s="60">
        <f>frac_malaria_risk</f>
        <v>0.54</v>
      </c>
      <c r="J19" s="60">
        <f>frac_malaria_risk</f>
        <v>0.54</v>
      </c>
      <c r="K19" s="60">
        <f>frac_malaria_risk</f>
        <v>0.54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0.14799999999999999</v>
      </c>
      <c r="M24" s="60">
        <f>famplan_unmet_need</f>
        <v>0.14799999999999999</v>
      </c>
      <c r="N24" s="60">
        <f>famplan_unmet_need</f>
        <v>0.14799999999999999</v>
      </c>
      <c r="O24" s="60">
        <f>famplan_unmet_need</f>
        <v>0.14799999999999999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0.3138380533390045</v>
      </c>
      <c r="M25" s="60">
        <f>(1-food_insecure)*(0.49)+food_insecure*(0.7)</f>
        <v>0.56119000000000008</v>
      </c>
      <c r="N25" s="60">
        <f>(1-food_insecure)*(0.49)+food_insecure*(0.7)</f>
        <v>0.56119000000000008</v>
      </c>
      <c r="O25" s="60">
        <f>(1-food_insecure)*(0.49)+food_insecure*(0.7)</f>
        <v>0.56119000000000008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0.13450202285957336</v>
      </c>
      <c r="M26" s="60">
        <f>(1-food_insecure)*(0.21)+food_insecure*(0.3)</f>
        <v>0.24051</v>
      </c>
      <c r="N26" s="60">
        <f>(1-food_insecure)*(0.21)+food_insecure*(0.3)</f>
        <v>0.24051</v>
      </c>
      <c r="O26" s="60">
        <f>(1-food_insecure)*(0.21)+food_insecure*(0.3)</f>
        <v>0.24051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0.11089664102554321</v>
      </c>
      <c r="M27" s="60">
        <f>(1-food_insecure)*(0.3)</f>
        <v>0.1983</v>
      </c>
      <c r="N27" s="60">
        <f>(1-food_insecure)*(0.3)</f>
        <v>0.1983</v>
      </c>
      <c r="O27" s="60">
        <f>(1-food_insecure)*(0.3)</f>
        <v>0.1983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0.44076328277587906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0.54</v>
      </c>
      <c r="D34" s="60">
        <f t="shared" si="4"/>
        <v>0.54</v>
      </c>
      <c r="E34" s="60">
        <f t="shared" si="4"/>
        <v>0.54</v>
      </c>
      <c r="F34" s="60">
        <f t="shared" si="4"/>
        <v>0.54</v>
      </c>
      <c r="G34" s="60">
        <f t="shared" si="4"/>
        <v>0.54</v>
      </c>
      <c r="H34" s="60">
        <f t="shared" si="4"/>
        <v>0.54</v>
      </c>
      <c r="I34" s="60">
        <f t="shared" si="4"/>
        <v>0.54</v>
      </c>
      <c r="J34" s="60">
        <f t="shared" si="4"/>
        <v>0.54</v>
      </c>
      <c r="K34" s="60">
        <f t="shared" si="4"/>
        <v>0.54</v>
      </c>
      <c r="L34" s="60">
        <f t="shared" si="4"/>
        <v>0.54</v>
      </c>
      <c r="M34" s="60">
        <f t="shared" si="4"/>
        <v>0.54</v>
      </c>
      <c r="N34" s="60">
        <f t="shared" si="4"/>
        <v>0.54</v>
      </c>
      <c r="O34" s="60">
        <f t="shared" si="4"/>
        <v>0.54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