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9C05063-5997-4D6C-A091-41F2717598D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" i="2"/>
  <c r="A18" i="2"/>
  <c r="A26" i="2"/>
  <c r="A34" i="2"/>
  <c r="A39" i="2"/>
  <c r="A19" i="2"/>
  <c r="A27" i="2"/>
  <c r="A3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<sst xmlns="http://schemas.openxmlformats.org/spreadsheetml/2006/main" count="2101" uniqueCount="341">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</sst>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38.160776266150833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47.437843551227417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102.9076648678451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0.48473115959564478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0.39672310000000011</v>
      </c>
      <c r="C10" s="98">
        <v>0.95</v>
      </c>
      <c r="D10" s="56">
        <v>15.09709288172251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15.09709288172251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15.09709288172251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15.09709288172251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0.39672310000000011</v>
      </c>
      <c r="C14" s="98">
        <v>0.95</v>
      </c>
      <c r="D14" s="56">
        <v>15.09709288172251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15.09709288172251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0.2755978</v>
      </c>
      <c r="C16" s="98">
        <v>0.95</v>
      </c>
      <c r="D16" s="56">
        <v>0.29966946653826387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8.6839288888888894E-2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0.33603460000000002</v>
      </c>
      <c r="C18" s="98">
        <v>0.95</v>
      </c>
      <c r="D18" s="56">
        <v>2.4661440905760248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0.33603460000000002</v>
      </c>
      <c r="C19" s="98">
        <v>0.95</v>
      </c>
      <c r="D19" s="56">
        <v>2.4661440905760248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3.3085818740876318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0.38460499999999997</v>
      </c>
      <c r="C23" s="98">
        <v>0.95</v>
      </c>
      <c r="D23" s="56">
        <v>4.9613185520035712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0.85257555200732993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0.39672310000000011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21.789130572923639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0.32846330000000001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0.1671841</v>
      </c>
      <c r="C29" s="98">
        <v>0.95</v>
      </c>
      <c r="D29" s="56">
        <v>68.300854175426551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8.9499999999999996E-2</v>
      </c>
      <c r="C31" s="98">
        <v>0.95</v>
      </c>
      <c r="D31" s="56">
        <v>0.8470232226654113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0.16</v>
      </c>
      <c r="C32" s="98">
        <v>0.95</v>
      </c>
      <c r="D32" s="56">
        <v>0.58527783165992031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0.42456090000000002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0.64379720000000007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1.3108E-3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0.26926600000000001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0.22490360000000001</v>
      </c>
      <c r="C38" s="98">
        <v>0.95</v>
      </c>
      <c r="D38" s="56">
        <v>5.2830002631247943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205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0.10957194184832053</v>
      </c>
      <c r="G18" s="90">
        <f>MIN(MAX(1-0.89/(1-frac_sam_12_23months+(frac_sam_12_23months*0.89)),0),1)</f>
        <v>0.10952339287699941</v>
      </c>
      <c r="H18" s="90">
        <f>MIN(MAX(1-0.89/(1-frac_sam_24_59months+(frac_sam_24_59months*0.89)),0),1)</f>
        <v>0.10982754510996917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0.10639973098334587</v>
      </c>
      <c r="G20" s="90">
        <f>MIN(MAX(1-0.89/(1-frac_mam_12_23months+(frac_mam_12_23months*0.89)),0),1)</f>
        <v>0.10616134195127169</v>
      </c>
      <c r="H20" s="90">
        <f>MIN(MAX(1-0.89/(1-frac_mam_24_59months+(frac_mam_24_59months*0.89)),0),1)</f>
        <v>0.10810428815100492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9.9567321390646724E-3</v>
      </c>
      <c r="G73" s="90">
        <f>MIN(MAX(1-0.99/(1-frac_sam_12_23months+(frac_sam_12_23months*0.99)),0),1)</f>
        <v>9.9518272260573637E-3</v>
      </c>
      <c r="H73" s="90">
        <f>MIN(MAX(1-0.99/(1-frac_sam_24_59months+(frac_sam_24_59months*0.99)),0),1)</f>
        <v>9.9825638129138472E-3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9.6372618206125304E-3</v>
      </c>
      <c r="G75" s="90">
        <f>MIN(MAX(1-0.99/(1-frac_mam_12_23months+(frac_mam_12_23months*0.99)),0),1)</f>
        <v>9.613337200656491E-3</v>
      </c>
      <c r="H75" s="90">
        <f>MIN(MAX(1-0.99/(1-frac_mam_24_59months+(frac_mam_24_59months*0.99)),0),1)</f>
        <v>9.8086692899322925E-3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0.1993001402806136</v>
      </c>
      <c r="G128" s="90">
        <f>MIN(MAX(1-0.8/(1-frac_sam_12_23months+(frac_sam_12_23months*0.8)),0),1)</f>
        <v>0.19922072966086224</v>
      </c>
      <c r="H128" s="90">
        <f>MIN(MAX(1-0.8/(1-frac_sam_24_59months+(frac_sam_24_59months*0.8)),0),1)</f>
        <v>0.19971810870661078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0.19409646649178025</v>
      </c>
      <c r="G130" s="90">
        <f>MIN(MAX(1-0.8/(1-frac_mam_12_23months+(frac_mam_12_23months*0.8)),0),1)</f>
        <v>0.19370418425600988</v>
      </c>
      <c r="H130" s="90">
        <f>MIN(MAX(1-0.8/(1-frac_mam_24_59months+(frac_mam_24_59months*0.8)),0),1)</f>
        <v>0.1968963900372267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2024-08-06T06:32:37Z</dcterms:modified>
</cp:coreProperties>
</file>