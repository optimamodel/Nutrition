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628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80124D44-C444-426F-A7FC-12096508D890}" xr6:coauthVersionLast="47" xr6:coauthVersionMax="47" xr10:uidLastSave="{00000000-0000-0000-0000-000000000000}"/>
  <bookViews>
    <workbookView xWindow="-110" yWindow="-110" windowWidth="19420" windowHeight="10420" tabRatio="961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 calcOnSave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152" i="27"/>
  <c r="G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I40" i="2" s="1"/>
  <c r="G40" i="2"/>
  <c r="H39" i="2"/>
  <c r="G39" i="2"/>
  <c r="I39" i="2" s="1"/>
  <c r="A39" i="2"/>
  <c r="H38" i="2"/>
  <c r="I38" i="2" s="1"/>
  <c r="G38" i="2"/>
  <c r="A37" i="2"/>
  <c r="A36" i="2"/>
  <c r="A35" i="2"/>
  <c r="A34" i="2"/>
  <c r="A33" i="2"/>
  <c r="A32" i="2"/>
  <c r="A29" i="2"/>
  <c r="A28" i="2"/>
  <c r="A27" i="2"/>
  <c r="A26" i="2"/>
  <c r="A25" i="2"/>
  <c r="A24" i="2"/>
  <c r="A21" i="2"/>
  <c r="A20" i="2"/>
  <c r="A19" i="2"/>
  <c r="A18" i="2"/>
  <c r="A17" i="2"/>
  <c r="A16" i="2"/>
  <c r="H13" i="2"/>
  <c r="G13" i="2"/>
  <c r="I13" i="2" s="1"/>
  <c r="H12" i="2"/>
  <c r="I12" i="2" s="1"/>
  <c r="G12" i="2"/>
  <c r="H11" i="2"/>
  <c r="G11" i="2"/>
  <c r="I11" i="2" s="1"/>
  <c r="H10" i="2"/>
  <c r="I10" i="2" s="1"/>
  <c r="G10" i="2"/>
  <c r="H9" i="2"/>
  <c r="G9" i="2"/>
  <c r="I9" i="2" s="1"/>
  <c r="H8" i="2"/>
  <c r="I8" i="2" s="1"/>
  <c r="G8" i="2"/>
  <c r="H7" i="2"/>
  <c r="G7" i="2"/>
  <c r="I7" i="2" s="1"/>
  <c r="H6" i="2"/>
  <c r="I6" i="2" s="1"/>
  <c r="G6" i="2"/>
  <c r="H5" i="2"/>
  <c r="G5" i="2"/>
  <c r="I5" i="2" s="1"/>
  <c r="H4" i="2"/>
  <c r="I4" i="2" s="1"/>
  <c r="G4" i="2"/>
  <c r="H3" i="2"/>
  <c r="G3" i="2"/>
  <c r="I3" i="2" s="1"/>
  <c r="A3" i="2"/>
  <c r="H2" i="2"/>
  <c r="I2" i="2" s="1"/>
  <c r="G2" i="2"/>
  <c r="A2" i="2"/>
  <c r="A31" i="2" s="1"/>
  <c r="C33" i="1"/>
  <c r="C20" i="1"/>
  <c r="A30" i="2" l="1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/>
  <c r="A22" i="2"/>
  <c r="A38" i="2"/>
  <c r="A40" i="2"/>
  <c r="A15" i="2"/>
  <c r="A23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B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6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7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9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A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B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C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D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E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61" authorId="0" shapeId="0" xr:uid="{00000000-0006-0000-1600-000020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1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2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3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4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A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6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6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6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6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6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7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7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7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7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7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8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8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7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9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9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9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9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A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B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1D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1E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1F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0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2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3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4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5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7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8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9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A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2C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2D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2E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2F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1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4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B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3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3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3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3F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1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3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5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8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49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4A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4B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4C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4D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4E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4F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0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1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2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3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4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5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6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7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58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59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5A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5B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5C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5D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5E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5F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0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1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2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3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4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5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6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68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69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6A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6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6C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6D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6E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6F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0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1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2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3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4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7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7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7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7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79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7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7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7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7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7E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7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3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8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8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8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8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88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89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<sst xmlns="http://schemas.openxmlformats.org/spreadsheetml/2006/main" count="2103" uniqueCount="341">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</sst>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2348513.28125</v>
      </c>
    </row>
    <row r="8" spans="1:3" ht="15" customHeight="1" x14ac:dyDescent="0.25">
      <c r="B8" s="5" t="s">
        <v>8</v>
      </c>
      <c r="C8" s="44">
        <v>0.33900000000000002</v>
      </c>
    </row>
    <row r="9" spans="1:3" ht="15" customHeight="1" x14ac:dyDescent="0.25">
      <c r="B9" s="5" t="s">
        <v>9</v>
      </c>
      <c r="C9" s="45">
        <v>0.54</v>
      </c>
    </row>
    <row r="10" spans="1:3" ht="15" customHeight="1" x14ac:dyDescent="0.25">
      <c r="B10" s="5" t="s">
        <v>10</v>
      </c>
      <c r="C10" s="45">
        <v>0.44076328277587901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0.14799999999999999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0.14299999999999999</v>
      </c>
    </row>
    <row r="24" spans="1:3" ht="15" customHeight="1" x14ac:dyDescent="0.25">
      <c r="B24" s="15" t="s">
        <v>22</v>
      </c>
      <c r="C24" s="45">
        <v>0.49020000000000002</v>
      </c>
    </row>
    <row r="25" spans="1:3" ht="15" customHeight="1" x14ac:dyDescent="0.25">
      <c r="B25" s="15" t="s">
        <v>23</v>
      </c>
      <c r="C25" s="45">
        <v>0.31659999999999999</v>
      </c>
    </row>
    <row r="26" spans="1:3" ht="15" customHeight="1" x14ac:dyDescent="0.25">
      <c r="B26" s="15" t="s">
        <v>24</v>
      </c>
      <c r="C26" s="45">
        <v>5.0199999999999988E-2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0.26023901489541001</v>
      </c>
    </row>
    <row r="30" spans="1:3" ht="14.25" customHeight="1" x14ac:dyDescent="0.25">
      <c r="B30" s="25" t="s">
        <v>27</v>
      </c>
      <c r="C30" s="99">
        <v>3.0772499372884701E-2</v>
      </c>
    </row>
    <row r="31" spans="1:3" ht="14.25" customHeight="1" x14ac:dyDescent="0.25">
      <c r="B31" s="25" t="s">
        <v>28</v>
      </c>
      <c r="C31" s="99">
        <v>5.3241858709985899E-2</v>
      </c>
    </row>
    <row r="32" spans="1:3" ht="14.25" customHeight="1" x14ac:dyDescent="0.25">
      <c r="B32" s="25" t="s">
        <v>29</v>
      </c>
      <c r="C32" s="99">
        <v>0.65574662702171904</v>
      </c>
    </row>
    <row r="33" spans="1:5" ht="13" customHeight="1" x14ac:dyDescent="0.25">
      <c r="B33" s="27" t="s">
        <v>30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24.99306</v>
      </c>
    </row>
    <row r="38" spans="1:5" ht="15" customHeight="1" x14ac:dyDescent="0.25">
      <c r="B38" s="11" t="s">
        <v>34</v>
      </c>
      <c r="C38" s="43">
        <v>35.713000000000001</v>
      </c>
      <c r="D38" s="12"/>
      <c r="E38" s="13"/>
    </row>
    <row r="39" spans="1:5" ht="15" customHeight="1" x14ac:dyDescent="0.25">
      <c r="B39" s="11" t="s">
        <v>35</v>
      </c>
      <c r="C39" s="43">
        <v>49.521970000000003</v>
      </c>
      <c r="D39" s="12"/>
      <c r="E39" s="12"/>
    </row>
    <row r="40" spans="1:5" ht="15" customHeight="1" x14ac:dyDescent="0.25">
      <c r="B40" s="11" t="s">
        <v>36</v>
      </c>
      <c r="C40" s="100">
        <v>3.57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19.479679999999998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8.0598000000000006E-3</v>
      </c>
      <c r="D45" s="12"/>
    </row>
    <row r="46" spans="1:5" ht="15.75" customHeight="1" x14ac:dyDescent="0.25">
      <c r="B46" s="11" t="s">
        <v>41</v>
      </c>
      <c r="C46" s="45">
        <v>8.5329799999999997E-2</v>
      </c>
      <c r="D46" s="12"/>
    </row>
    <row r="47" spans="1:5" ht="15.75" customHeight="1" x14ac:dyDescent="0.25">
      <c r="B47" s="11" t="s">
        <v>42</v>
      </c>
      <c r="C47" s="45">
        <v>0.16232050000000001</v>
      </c>
      <c r="D47" s="12"/>
      <c r="E47" s="13"/>
    </row>
    <row r="48" spans="1:5" ht="15" customHeight="1" x14ac:dyDescent="0.25">
      <c r="B48" s="11" t="s">
        <v>43</v>
      </c>
      <c r="C48" s="46">
        <v>0.74428989999999995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3.3</v>
      </c>
      <c r="D51" s="12"/>
    </row>
    <row r="52" spans="1:4" ht="15" customHeight="1" x14ac:dyDescent="0.25">
      <c r="B52" s="11" t="s">
        <v>46</v>
      </c>
      <c r="C52" s="100">
        <v>3.3</v>
      </c>
    </row>
    <row r="53" spans="1:4" ht="15.75" customHeight="1" x14ac:dyDescent="0.25">
      <c r="B53" s="11" t="s">
        <v>47</v>
      </c>
      <c r="C53" s="100">
        <v>3.3</v>
      </c>
    </row>
    <row r="54" spans="1:4" ht="15.75" customHeight="1" x14ac:dyDescent="0.25">
      <c r="B54" s="11" t="s">
        <v>48</v>
      </c>
      <c r="C54" s="100">
        <v>3.3</v>
      </c>
    </row>
    <row r="55" spans="1:4" ht="15.75" customHeight="1" x14ac:dyDescent="0.25">
      <c r="B55" s="11" t="s">
        <v>49</v>
      </c>
      <c r="C55" s="100">
        <v>3.3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2.181818181818182E-2</v>
      </c>
    </row>
    <row r="59" spans="1:4" ht="15.75" customHeight="1" x14ac:dyDescent="0.25">
      <c r="B59" s="11" t="s">
        <v>52</v>
      </c>
      <c r="C59" s="45">
        <v>0.51205699999999998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0.12628009000000001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496655</v>
      </c>
      <c r="C2" s="49">
        <v>1157106.5</v>
      </c>
      <c r="D2" s="49">
        <v>1614829</v>
      </c>
      <c r="E2" s="49">
        <v>1188365</v>
      </c>
      <c r="F2" s="49">
        <v>790811</v>
      </c>
      <c r="G2" s="17">
        <f t="shared" ref="G2:G13" si="0">C2+D2+E2+F2</f>
        <v>4751111.5</v>
      </c>
      <c r="H2" s="17">
        <f t="shared" ref="H2:H13" si="1">(B2 + stillbirth*B2/(1000-stillbirth))/(1-abortion)</f>
        <v>575593.0502472216</v>
      </c>
      <c r="I2" s="17">
        <f t="shared" ref="I2:I13" si="2">G2-H2</f>
        <v>4175518.4497527783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498207</v>
      </c>
      <c r="C3" s="50">
        <v>1188586.5</v>
      </c>
      <c r="D3" s="50">
        <v>1661403</v>
      </c>
      <c r="E3" s="50">
        <v>1191023.5</v>
      </c>
      <c r="F3" s="50">
        <v>835030</v>
      </c>
      <c r="G3" s="17">
        <f t="shared" si="0"/>
        <v>4876043</v>
      </c>
      <c r="H3" s="17">
        <f t="shared" si="1"/>
        <v>577391.72420395957</v>
      </c>
      <c r="I3" s="17">
        <f t="shared" si="2"/>
        <v>4298651.2757960409</v>
      </c>
    </row>
    <row r="4" spans="1:9" ht="15.75" customHeight="1" x14ac:dyDescent="0.25">
      <c r="A4" s="5">
        <f t="shared" si="3"/>
        <v>2026</v>
      </c>
      <c r="B4" s="49">
        <v>503836</v>
      </c>
      <c r="C4" s="50">
        <v>1225384</v>
      </c>
      <c r="D4" s="50">
        <v>1701819.5</v>
      </c>
      <c r="E4" s="50">
        <v>1200031.5</v>
      </c>
      <c r="F4" s="50">
        <v>875042</v>
      </c>
      <c r="G4" s="17">
        <f t="shared" si="0"/>
        <v>5002277</v>
      </c>
      <c r="H4" s="17">
        <f t="shared" si="1"/>
        <v>583915.39411534998</v>
      </c>
      <c r="I4" s="17">
        <f t="shared" si="2"/>
        <v>4418361.6058846498</v>
      </c>
    </row>
    <row r="5" spans="1:9" ht="15.75" customHeight="1" x14ac:dyDescent="0.25">
      <c r="A5" s="5">
        <f t="shared" si="3"/>
        <v>2027</v>
      </c>
      <c r="B5" s="49">
        <v>507954</v>
      </c>
      <c r="C5" s="50">
        <v>1262562.5</v>
      </c>
      <c r="D5" s="50">
        <v>1736599.5</v>
      </c>
      <c r="E5" s="50">
        <v>1218753</v>
      </c>
      <c r="F5" s="50">
        <v>910412</v>
      </c>
      <c r="G5" s="17">
        <f t="shared" si="0"/>
        <v>5128327</v>
      </c>
      <c r="H5" s="17">
        <f t="shared" si="1"/>
        <v>588687.90658561222</v>
      </c>
      <c r="I5" s="17">
        <f t="shared" si="2"/>
        <v>4539639.0934143877</v>
      </c>
    </row>
    <row r="6" spans="1:9" ht="15.75" customHeight="1" x14ac:dyDescent="0.25">
      <c r="A6" s="5">
        <f t="shared" si="3"/>
        <v>2028</v>
      </c>
      <c r="B6" s="49">
        <v>512476</v>
      </c>
      <c r="C6" s="50">
        <v>1293652</v>
      </c>
      <c r="D6" s="50">
        <v>1769749</v>
      </c>
      <c r="E6" s="50">
        <v>1248221</v>
      </c>
      <c r="F6" s="50">
        <v>940871.49999999988</v>
      </c>
      <c r="G6" s="17">
        <f t="shared" si="0"/>
        <v>5252493.5</v>
      </c>
      <c r="H6" s="17">
        <f t="shared" si="1"/>
        <v>593928.63057554071</v>
      </c>
      <c r="I6" s="17">
        <f t="shared" si="2"/>
        <v>4658564.8694244595</v>
      </c>
    </row>
    <row r="7" spans="1:9" ht="15.75" customHeight="1" x14ac:dyDescent="0.25">
      <c r="A7" s="5">
        <f t="shared" si="3"/>
        <v>2029</v>
      </c>
      <c r="B7" s="49">
        <v>517058.99999999988</v>
      </c>
      <c r="C7" s="50">
        <v>1313644.5</v>
      </c>
      <c r="D7" s="50">
        <v>1803800</v>
      </c>
      <c r="E7" s="50">
        <v>1288382.5</v>
      </c>
      <c r="F7" s="50">
        <v>965744</v>
      </c>
      <c r="G7" s="17">
        <f t="shared" si="0"/>
        <v>5371571</v>
      </c>
      <c r="H7" s="17">
        <f t="shared" si="1"/>
        <v>599240.04986918101</v>
      </c>
      <c r="I7" s="17">
        <f t="shared" si="2"/>
        <v>4772330.9501308193</v>
      </c>
    </row>
    <row r="8" spans="1:9" ht="15.75" customHeight="1" x14ac:dyDescent="0.25">
      <c r="A8" s="5">
        <f t="shared" si="3"/>
        <v>2030</v>
      </c>
      <c r="B8" s="49">
        <v>522659.99999999988</v>
      </c>
      <c r="C8" s="50">
        <v>1323860.5</v>
      </c>
      <c r="D8" s="50">
        <v>1839474.5</v>
      </c>
      <c r="E8" s="50">
        <v>1335961</v>
      </c>
      <c r="F8" s="50">
        <v>982374</v>
      </c>
      <c r="G8" s="17">
        <f t="shared" si="0"/>
        <v>5481670</v>
      </c>
      <c r="H8" s="17">
        <f t="shared" si="1"/>
        <v>605731.26947722817</v>
      </c>
      <c r="I8" s="17">
        <f t="shared" si="2"/>
        <v>4875938.7305227723</v>
      </c>
    </row>
    <row r="9" spans="1:9" ht="15.75" customHeight="1" x14ac:dyDescent="0.25">
      <c r="A9" s="5">
        <f t="shared" si="3"/>
        <v>2031</v>
      </c>
      <c r="B9" s="49">
        <v>528818</v>
      </c>
      <c r="C9" s="50">
        <v>1328000</v>
      </c>
      <c r="D9" s="50">
        <v>1876647.5</v>
      </c>
      <c r="E9" s="50">
        <v>1386852.5</v>
      </c>
      <c r="F9" s="50">
        <v>988459.5</v>
      </c>
      <c r="G9" s="17">
        <f t="shared" si="0"/>
        <v>5579959.5</v>
      </c>
      <c r="H9" s="17">
        <f t="shared" si="1"/>
        <v>612868.01833392447</v>
      </c>
      <c r="I9" s="17">
        <f t="shared" si="2"/>
        <v>4967091.4816660751</v>
      </c>
    </row>
    <row r="10" spans="1:9" ht="15.75" customHeight="1" x14ac:dyDescent="0.25">
      <c r="A10" s="5">
        <f t="shared" si="3"/>
        <v>2032</v>
      </c>
      <c r="B10" s="49">
        <v>534114</v>
      </c>
      <c r="C10" s="50">
        <v>1329072</v>
      </c>
      <c r="D10" s="50">
        <v>1915226</v>
      </c>
      <c r="E10" s="50">
        <v>1438200</v>
      </c>
      <c r="F10" s="50">
        <v>987786</v>
      </c>
      <c r="G10" s="17">
        <f t="shared" si="0"/>
        <v>5670284</v>
      </c>
      <c r="H10" s="17">
        <f t="shared" si="1"/>
        <v>619005.76142341178</v>
      </c>
      <c r="I10" s="17">
        <f t="shared" si="2"/>
        <v>5051278.2385765882</v>
      </c>
    </row>
    <row r="11" spans="1:9" ht="15.75" customHeight="1" x14ac:dyDescent="0.25">
      <c r="A11" s="5">
        <f t="shared" si="3"/>
        <v>2033</v>
      </c>
      <c r="B11" s="49">
        <v>538307</v>
      </c>
      <c r="C11" s="50">
        <v>1329372.5</v>
      </c>
      <c r="D11" s="50">
        <v>1954295.5</v>
      </c>
      <c r="E11" s="50">
        <v>1488586</v>
      </c>
      <c r="F11" s="50">
        <v>985384.5</v>
      </c>
      <c r="G11" s="17">
        <f t="shared" si="0"/>
        <v>5757638.5</v>
      </c>
      <c r="H11" s="17">
        <f t="shared" si="1"/>
        <v>623865.19434905751</v>
      </c>
      <c r="I11" s="17">
        <f t="shared" si="2"/>
        <v>5133773.305650942</v>
      </c>
    </row>
    <row r="12" spans="1:9" ht="15.75" customHeight="1" x14ac:dyDescent="0.25">
      <c r="A12" s="5">
        <f t="shared" si="3"/>
        <v>2034</v>
      </c>
      <c r="B12" s="49">
        <v>542656</v>
      </c>
      <c r="C12" s="50">
        <v>1330596</v>
      </c>
      <c r="D12" s="50">
        <v>1992573.5</v>
      </c>
      <c r="E12" s="50">
        <v>1537194.5</v>
      </c>
      <c r="F12" s="50">
        <v>983776.5</v>
      </c>
      <c r="G12" s="17">
        <f t="shared" si="0"/>
        <v>5844140.5</v>
      </c>
      <c r="H12" s="17">
        <f t="shared" si="1"/>
        <v>628905.42182190111</v>
      </c>
      <c r="I12" s="17">
        <f t="shared" si="2"/>
        <v>5215235.0781780984</v>
      </c>
    </row>
    <row r="13" spans="1:9" ht="15.75" customHeight="1" x14ac:dyDescent="0.25">
      <c r="A13" s="5">
        <f t="shared" si="3"/>
        <v>2035</v>
      </c>
      <c r="B13" s="49">
        <v>545670</v>
      </c>
      <c r="C13" s="50">
        <v>1335004</v>
      </c>
      <c r="D13" s="50">
        <v>2028993</v>
      </c>
      <c r="E13" s="50">
        <v>1582820</v>
      </c>
      <c r="F13" s="50">
        <v>984799.5</v>
      </c>
      <c r="G13" s="17">
        <f t="shared" si="0"/>
        <v>5931616.5</v>
      </c>
      <c r="H13" s="17">
        <f t="shared" si="1"/>
        <v>632398.46518891666</v>
      </c>
      <c r="I13" s="17">
        <f t="shared" si="2"/>
        <v>5299218.0348110832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7.6781645030920614E-3</v>
      </c>
    </row>
    <row r="4" spans="1:8" ht="15.75" customHeight="1" x14ac:dyDescent="0.25">
      <c r="B4" s="19" t="s">
        <v>69</v>
      </c>
      <c r="C4" s="101">
        <v>5.8812394804291353E-2</v>
      </c>
    </row>
    <row r="5" spans="1:8" ht="15.75" customHeight="1" x14ac:dyDescent="0.25">
      <c r="B5" s="19" t="s">
        <v>70</v>
      </c>
      <c r="C5" s="101">
        <v>7.8175276577129568E-2</v>
      </c>
    </row>
    <row r="6" spans="1:8" ht="15.75" customHeight="1" x14ac:dyDescent="0.25">
      <c r="B6" s="19" t="s">
        <v>71</v>
      </c>
      <c r="C6" s="101">
        <v>0.24960349261539741</v>
      </c>
    </row>
    <row r="7" spans="1:8" ht="15.75" customHeight="1" x14ac:dyDescent="0.25">
      <c r="B7" s="19" t="s">
        <v>72</v>
      </c>
      <c r="C7" s="101">
        <v>0.41445225906640448</v>
      </c>
    </row>
    <row r="8" spans="1:8" ht="15.75" customHeight="1" x14ac:dyDescent="0.25">
      <c r="B8" s="19" t="s">
        <v>73</v>
      </c>
      <c r="C8" s="101">
        <v>1.37938727358503E-3</v>
      </c>
    </row>
    <row r="9" spans="1:8" ht="15.75" customHeight="1" x14ac:dyDescent="0.25">
      <c r="B9" s="19" t="s">
        <v>74</v>
      </c>
      <c r="C9" s="101">
        <v>7.090718662675477E-2</v>
      </c>
    </row>
    <row r="10" spans="1:8" ht="15.75" customHeight="1" x14ac:dyDescent="0.25">
      <c r="B10" s="19" t="s">
        <v>75</v>
      </c>
      <c r="C10" s="101">
        <v>0.11899183853334561</v>
      </c>
    </row>
    <row r="11" spans="1:8" ht="15.75" customHeight="1" x14ac:dyDescent="0.25">
      <c r="B11" s="27" t="s">
        <v>30</v>
      </c>
      <c r="C11" s="48">
        <f>SUM(C3:C10)</f>
        <v>1.0000000000000002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0.14098500302902989</v>
      </c>
      <c r="D14" s="55">
        <v>0.14098500302902989</v>
      </c>
      <c r="E14" s="55">
        <v>0.14098500302902989</v>
      </c>
      <c r="F14" s="55">
        <v>0.14098500302902989</v>
      </c>
    </row>
    <row r="15" spans="1:8" ht="15.75" customHeight="1" x14ac:dyDescent="0.25">
      <c r="B15" s="19" t="s">
        <v>82</v>
      </c>
      <c r="C15" s="101">
        <v>0.19832440760021011</v>
      </c>
      <c r="D15" s="101">
        <v>0.19832440760021011</v>
      </c>
      <c r="E15" s="101">
        <v>0.19832440760021011</v>
      </c>
      <c r="F15" s="101">
        <v>0.19832440760021011</v>
      </c>
    </row>
    <row r="16" spans="1:8" ht="15.75" customHeight="1" x14ac:dyDescent="0.25">
      <c r="B16" s="19" t="s">
        <v>83</v>
      </c>
      <c r="C16" s="101">
        <v>1.3637982633177439E-2</v>
      </c>
      <c r="D16" s="101">
        <v>1.3637982633177439E-2</v>
      </c>
      <c r="E16" s="101">
        <v>1.3637982633177439E-2</v>
      </c>
      <c r="F16" s="101">
        <v>1.3637982633177439E-2</v>
      </c>
    </row>
    <row r="17" spans="1:8" ht="15.75" customHeight="1" x14ac:dyDescent="0.25">
      <c r="B17" s="19" t="s">
        <v>84</v>
      </c>
      <c r="C17" s="101">
        <v>2.119301663174158E-3</v>
      </c>
      <c r="D17" s="101">
        <v>2.119301663174158E-3</v>
      </c>
      <c r="E17" s="101">
        <v>2.119301663174158E-3</v>
      </c>
      <c r="F17" s="101">
        <v>2.119301663174158E-3</v>
      </c>
    </row>
    <row r="18" spans="1:8" ht="15.75" customHeight="1" x14ac:dyDescent="0.25">
      <c r="B18" s="19" t="s">
        <v>85</v>
      </c>
      <c r="C18" s="101">
        <v>5.8880676578246922E-2</v>
      </c>
      <c r="D18" s="101">
        <v>5.8880676578246922E-2</v>
      </c>
      <c r="E18" s="101">
        <v>5.8880676578246922E-2</v>
      </c>
      <c r="F18" s="101">
        <v>5.8880676578246922E-2</v>
      </c>
    </row>
    <row r="19" spans="1:8" ht="15.75" customHeight="1" x14ac:dyDescent="0.25">
      <c r="B19" s="19" t="s">
        <v>86</v>
      </c>
      <c r="C19" s="101">
        <v>2.8333878533845368E-3</v>
      </c>
      <c r="D19" s="101">
        <v>2.8333878533845368E-3</v>
      </c>
      <c r="E19" s="101">
        <v>2.8333878533845368E-3</v>
      </c>
      <c r="F19" s="101">
        <v>2.8333878533845368E-3</v>
      </c>
    </row>
    <row r="20" spans="1:8" ht="15.75" customHeight="1" x14ac:dyDescent="0.25">
      <c r="B20" s="19" t="s">
        <v>87</v>
      </c>
      <c r="C20" s="101">
        <v>0.30756059391783608</v>
      </c>
      <c r="D20" s="101">
        <v>0.30756059391783608</v>
      </c>
      <c r="E20" s="101">
        <v>0.30756059391783608</v>
      </c>
      <c r="F20" s="101">
        <v>0.30756059391783608</v>
      </c>
    </row>
    <row r="21" spans="1:8" ht="15.75" customHeight="1" x14ac:dyDescent="0.25">
      <c r="B21" s="19" t="s">
        <v>88</v>
      </c>
      <c r="C21" s="101">
        <v>0.1054258064472985</v>
      </c>
      <c r="D21" s="101">
        <v>0.1054258064472985</v>
      </c>
      <c r="E21" s="101">
        <v>0.1054258064472985</v>
      </c>
      <c r="F21" s="101">
        <v>0.1054258064472985</v>
      </c>
    </row>
    <row r="22" spans="1:8" ht="15.75" customHeight="1" x14ac:dyDescent="0.25">
      <c r="B22" s="19" t="s">
        <v>89</v>
      </c>
      <c r="C22" s="101">
        <v>0.17023284027764241</v>
      </c>
      <c r="D22" s="101">
        <v>0.17023284027764241</v>
      </c>
      <c r="E22" s="101">
        <v>0.17023284027764241</v>
      </c>
      <c r="F22" s="101">
        <v>0.17023284027764241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3.5976796000000012E-2</v>
      </c>
    </row>
    <row r="27" spans="1:8" ht="15.75" customHeight="1" x14ac:dyDescent="0.25">
      <c r="B27" s="19" t="s">
        <v>92</v>
      </c>
      <c r="C27" s="101">
        <v>5.2873009999999986E-3</v>
      </c>
    </row>
    <row r="28" spans="1:8" ht="15.75" customHeight="1" x14ac:dyDescent="0.25">
      <c r="B28" s="19" t="s">
        <v>93</v>
      </c>
      <c r="C28" s="101">
        <v>0.15022722299999999</v>
      </c>
    </row>
    <row r="29" spans="1:8" ht="15.75" customHeight="1" x14ac:dyDescent="0.25">
      <c r="B29" s="19" t="s">
        <v>94</v>
      </c>
      <c r="C29" s="101">
        <v>0.123445323</v>
      </c>
    </row>
    <row r="30" spans="1:8" ht="15.75" customHeight="1" x14ac:dyDescent="0.25">
      <c r="B30" s="19" t="s">
        <v>95</v>
      </c>
      <c r="C30" s="101">
        <v>8.7992374999999998E-2</v>
      </c>
    </row>
    <row r="31" spans="1:8" ht="15.75" customHeight="1" x14ac:dyDescent="0.25">
      <c r="B31" s="19" t="s">
        <v>96</v>
      </c>
      <c r="C31" s="101">
        <v>8.5764472999999994E-2</v>
      </c>
    </row>
    <row r="32" spans="1:8" ht="15.75" customHeight="1" x14ac:dyDescent="0.25">
      <c r="B32" s="19" t="s">
        <v>97</v>
      </c>
      <c r="C32" s="101">
        <v>9.7807150000000006E-3</v>
      </c>
    </row>
    <row r="33" spans="2:3" ht="15.75" customHeight="1" x14ac:dyDescent="0.25">
      <c r="B33" s="19" t="s">
        <v>98</v>
      </c>
      <c r="C33" s="101">
        <v>0.11793519700000001</v>
      </c>
    </row>
    <row r="34" spans="2:3" ht="15.75" customHeight="1" x14ac:dyDescent="0.25">
      <c r="B34" s="19" t="s">
        <v>99</v>
      </c>
      <c r="C34" s="101">
        <v>0.38359059600000001</v>
      </c>
    </row>
    <row r="35" spans="2:3" ht="15.75" customHeight="1" x14ac:dyDescent="0.25">
      <c r="B35" s="27" t="s">
        <v>30</v>
      </c>
      <c r="C35" s="48">
        <f>SUM(C26:C34)</f>
        <v>0.99999999900000003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0.57790553256836363</v>
      </c>
      <c r="D2" s="52">
        <f>IFERROR(1-_xlfn.NORM.DIST(_xlfn.NORM.INV(SUM(D4:D5), 0, 1) + 1, 0, 1, TRUE), "")</f>
        <v>0.57790553256836363</v>
      </c>
      <c r="E2" s="52">
        <f>IFERROR(1-_xlfn.NORM.DIST(_xlfn.NORM.INV(SUM(E4:E5), 0, 1) + 1, 0, 1, TRUE), "")</f>
        <v>0.57759159533532234</v>
      </c>
      <c r="F2" s="52">
        <f>IFERROR(1-_xlfn.NORM.DIST(_xlfn.NORM.INV(SUM(F4:F5), 0, 1) + 1, 0, 1, TRUE), "")</f>
        <v>0.31549882770014459</v>
      </c>
      <c r="G2" s="52">
        <f>IFERROR(1-_xlfn.NORM.DIST(_xlfn.NORM.INV(SUM(G4:G5), 0, 1) + 1, 0, 1, TRUE), "")</f>
        <v>0.36954299522339773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0.30635116743163637</v>
      </c>
      <c r="D3" s="52">
        <f>IFERROR(_xlfn.NORM.DIST(_xlfn.NORM.INV(SUM(D4:D5), 0, 1) + 1, 0, 1, TRUE) - SUM(D4:D5), "")</f>
        <v>0.30635116743163637</v>
      </c>
      <c r="E3" s="52">
        <f>IFERROR(_xlfn.NORM.DIST(_xlfn.NORM.INV(SUM(E4:E5), 0, 1) + 1, 0, 1, TRUE) - SUM(E4:E5), "")</f>
        <v>0.30650860466467766</v>
      </c>
      <c r="F3" s="52">
        <f>IFERROR(_xlfn.NORM.DIST(_xlfn.NORM.INV(SUM(F4:F5), 0, 1) + 1, 0, 1, TRUE) - SUM(F4:F5), "")</f>
        <v>0.38285677229985543</v>
      </c>
      <c r="G3" s="52">
        <f>IFERROR(_xlfn.NORM.DIST(_xlfn.NORM.INV(SUM(G4:G5), 0, 1) + 1, 0, 1, TRUE) - SUM(G4:G5), "")</f>
        <v>0.37805050477660229</v>
      </c>
    </row>
    <row r="4" spans="1:15" ht="15.75" customHeight="1" x14ac:dyDescent="0.25">
      <c r="B4" s="5" t="s">
        <v>104</v>
      </c>
      <c r="C4" s="45">
        <v>8.6150800000000013E-2</v>
      </c>
      <c r="D4" s="53">
        <v>8.6150800000000013E-2</v>
      </c>
      <c r="E4" s="53">
        <v>9.2486499999999999E-2</v>
      </c>
      <c r="F4" s="53">
        <v>0.20753369999999999</v>
      </c>
      <c r="G4" s="53">
        <v>0.19701050000000001</v>
      </c>
    </row>
    <row r="5" spans="1:15" ht="15.75" customHeight="1" x14ac:dyDescent="0.25">
      <c r="B5" s="5" t="s">
        <v>105</v>
      </c>
      <c r="C5" s="45">
        <v>2.9592500000000001E-2</v>
      </c>
      <c r="D5" s="53">
        <v>2.9592500000000001E-2</v>
      </c>
      <c r="E5" s="53">
        <v>2.3413300000000001E-2</v>
      </c>
      <c r="F5" s="53">
        <v>9.4110700000000005E-2</v>
      </c>
      <c r="G5" s="53">
        <v>5.5396000000000001E-2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0.79254265195873708</v>
      </c>
      <c r="D8" s="52">
        <f>IFERROR(1-_xlfn.NORM.DIST(_xlfn.NORM.INV(SUM(D10:D11), 0, 1) + 1, 0, 1, TRUE), "")</f>
        <v>0.79254265195873708</v>
      </c>
      <c r="E8" s="52">
        <f>IFERROR(1-_xlfn.NORM.DIST(_xlfn.NORM.INV(SUM(E10:E11), 0, 1) + 1, 0, 1, TRUE), "")</f>
        <v>0.77011652423707055</v>
      </c>
      <c r="F8" s="52">
        <f>IFERROR(1-_xlfn.NORM.DIST(_xlfn.NORM.INV(SUM(F10:F11), 0, 1) + 1, 0, 1, TRUE), "")</f>
        <v>0.76022921967238788</v>
      </c>
      <c r="G8" s="52">
        <f>IFERROR(1-_xlfn.NORM.DIST(_xlfn.NORM.INV(SUM(G10:G11), 0, 1) + 1, 0, 1, TRUE), "")</f>
        <v>0.84893168095746219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0.17271654804126296</v>
      </c>
      <c r="D9" s="52">
        <f>IFERROR(_xlfn.NORM.DIST(_xlfn.NORM.INV(SUM(D10:D11), 0, 1) + 1, 0, 1, TRUE) - SUM(D10:D11), "")</f>
        <v>0.17271654804126296</v>
      </c>
      <c r="E9" s="52">
        <f>IFERROR(_xlfn.NORM.DIST(_xlfn.NORM.INV(SUM(E10:E11), 0, 1) + 1, 0, 1, TRUE) - SUM(E10:E11), "")</f>
        <v>0.18888637576292944</v>
      </c>
      <c r="F9" s="52">
        <f>IFERROR(_xlfn.NORM.DIST(_xlfn.NORM.INV(SUM(F10:F11), 0, 1) + 1, 0, 1, TRUE) - SUM(F10:F11), "")</f>
        <v>0.19586348032761211</v>
      </c>
      <c r="G9" s="52">
        <f>IFERROR(_xlfn.NORM.DIST(_xlfn.NORM.INV(SUM(G10:G11), 0, 1) + 1, 0, 1, TRUE) - SUM(G10:G11), "")</f>
        <v>0.12998451904253777</v>
      </c>
    </row>
    <row r="10" spans="1:15" ht="15.75" customHeight="1" x14ac:dyDescent="0.25">
      <c r="B10" s="5" t="s">
        <v>109</v>
      </c>
      <c r="C10" s="45">
        <v>2.6199299999999998E-2</v>
      </c>
      <c r="D10" s="53">
        <v>2.6199299999999998E-2</v>
      </c>
      <c r="E10" s="53">
        <v>3.6626800000000001E-2</v>
      </c>
      <c r="F10" s="53">
        <v>3.9041600000000003E-2</v>
      </c>
      <c r="G10" s="53">
        <v>1.9322599999999999E-2</v>
      </c>
    </row>
    <row r="11" spans="1:15" ht="15.75" customHeight="1" x14ac:dyDescent="0.25">
      <c r="B11" s="5" t="s">
        <v>110</v>
      </c>
      <c r="C11" s="45">
        <v>8.5415000000000005E-3</v>
      </c>
      <c r="D11" s="53">
        <v>8.5415000000000005E-3</v>
      </c>
      <c r="E11" s="53">
        <v>4.3702999999999997E-3</v>
      </c>
      <c r="F11" s="53">
        <v>4.8656999999999997E-3</v>
      </c>
      <c r="G11" s="53">
        <v>1.7612000000000001E-3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0.76416372425000001</v>
      </c>
      <c r="D14" s="54">
        <v>0.73473477243899987</v>
      </c>
      <c r="E14" s="54">
        <v>0.73473477243899987</v>
      </c>
      <c r="F14" s="54">
        <v>0.43763231825400001</v>
      </c>
      <c r="G14" s="54">
        <v>0.43763231825400001</v>
      </c>
      <c r="H14" s="45">
        <v>0.34</v>
      </c>
      <c r="I14" s="55">
        <v>0.34</v>
      </c>
      <c r="J14" s="55">
        <v>0.34</v>
      </c>
      <c r="K14" s="55">
        <v>0.34</v>
      </c>
      <c r="L14" s="45">
        <v>0.28399999999999997</v>
      </c>
      <c r="M14" s="55">
        <v>0.28399999999999997</v>
      </c>
      <c r="N14" s="55">
        <v>0.28399999999999997</v>
      </c>
      <c r="O14" s="55">
        <v>0.28399999999999997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0.39129538414828224</v>
      </c>
      <c r="D15" s="52">
        <f t="shared" si="0"/>
        <v>0.37622608337079694</v>
      </c>
      <c r="E15" s="52">
        <f t="shared" si="0"/>
        <v>0.37622608337079694</v>
      </c>
      <c r="F15" s="52">
        <f t="shared" si="0"/>
        <v>0.22409269198818849</v>
      </c>
      <c r="G15" s="52">
        <f t="shared" si="0"/>
        <v>0.22409269198818849</v>
      </c>
      <c r="H15" s="52">
        <f t="shared" si="0"/>
        <v>0.17409938</v>
      </c>
      <c r="I15" s="52">
        <f t="shared" si="0"/>
        <v>0.17409938</v>
      </c>
      <c r="J15" s="52">
        <f t="shared" si="0"/>
        <v>0.17409938</v>
      </c>
      <c r="K15" s="52">
        <f t="shared" si="0"/>
        <v>0.17409938</v>
      </c>
      <c r="L15" s="52">
        <f t="shared" si="0"/>
        <v>0.14542418799999998</v>
      </c>
      <c r="M15" s="52">
        <f t="shared" si="0"/>
        <v>0.14542418799999998</v>
      </c>
      <c r="N15" s="52">
        <f t="shared" si="0"/>
        <v>0.14542418799999998</v>
      </c>
      <c r="O15" s="52">
        <f t="shared" si="0"/>
        <v>0.14542418799999998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0.73495149999999998</v>
      </c>
      <c r="D2" s="53">
        <v>0.33603460000000002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0.1755929</v>
      </c>
      <c r="D3" s="53">
        <v>0.26254559999999999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8.37923E-2</v>
      </c>
      <c r="D4" s="53">
        <v>0.38363609999999998</v>
      </c>
      <c r="E4" s="53">
        <v>0.97589309999999996</v>
      </c>
      <c r="F4" s="53">
        <v>0.50347750000000002</v>
      </c>
      <c r="G4" s="53">
        <v>0</v>
      </c>
    </row>
    <row r="5" spans="1:7" x14ac:dyDescent="0.25">
      <c r="B5" s="3" t="s">
        <v>122</v>
      </c>
      <c r="C5" s="52">
        <v>5.6632000000000002E-3</v>
      </c>
      <c r="D5" s="52">
        <v>1.77837E-2</v>
      </c>
      <c r="E5" s="52">
        <f>1-SUM(E2:E4)</f>
        <v>2.4106900000000042E-2</v>
      </c>
      <c r="F5" s="52">
        <f>1-SUM(F2:F4)</f>
        <v>0.49652249999999998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ht="13.25" customHeight="1" x14ac:dyDescent="0.25">
      <c r="A2" s="8" t="s">
        <v>137</v>
      </c>
      <c r="B2" s="41">
        <v>10</v>
      </c>
    </row>
    <row r="3" spans="1:2" ht="13.25" customHeight="1" x14ac:dyDescent="0.25">
      <c r="A3" s="8" t="s">
        <v>138</v>
      </c>
      <c r="B3" s="41">
        <v>10</v>
      </c>
    </row>
    <row r="4" spans="1:2" ht="13.25" customHeight="1" x14ac:dyDescent="0.25">
      <c r="A4" s="8" t="s">
        <v>139</v>
      </c>
      <c r="B4" s="41">
        <v>10</v>
      </c>
    </row>
    <row r="5" spans="1:2" ht="13.25" customHeight="1" x14ac:dyDescent="0.25">
      <c r="A5" s="8" t="s">
        <v>140</v>
      </c>
      <c r="B5" s="41">
        <v>10</v>
      </c>
    </row>
    <row r="6" spans="1:2" ht="13.25" customHeight="1" x14ac:dyDescent="0.25">
      <c r="A6" s="8" t="s">
        <v>141</v>
      </c>
      <c r="B6" s="41">
        <v>10</v>
      </c>
    </row>
    <row r="7" spans="1:2" ht="13.25" customHeight="1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ht="13.25" customHeight="1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ht="13.25" customHeight="1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ht="13.25" customHeight="1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ht="13.25" customHeight="1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67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77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ht="13.25" customHeight="1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ht="13.25" customHeight="1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6"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38.160776266150833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47.437843551227417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102.9076648678451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0.48473115959564478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0.39672310000000011</v>
      </c>
      <c r="C10" s="98">
        <v>0.95</v>
      </c>
      <c r="D10" s="56">
        <v>15.09709288172251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15.09709288172251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15.09709288172251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15.09709288172251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0.39672310000000011</v>
      </c>
      <c r="C14" s="98">
        <v>0.95</v>
      </c>
      <c r="D14" s="56">
        <v>15.09709288172251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15.09709288172251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0.2755978</v>
      </c>
      <c r="C16" s="98">
        <v>0.95</v>
      </c>
      <c r="D16" s="56">
        <v>0.29966946653826387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8.6839288888888894E-2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0.33603460000000002</v>
      </c>
      <c r="C18" s="98">
        <v>0.95</v>
      </c>
      <c r="D18" s="56">
        <v>2.4661440905760248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0.33603460000000002</v>
      </c>
      <c r="C19" s="98">
        <v>0.95</v>
      </c>
      <c r="D19" s="56">
        <v>2.4661440905760248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</v>
      </c>
      <c r="C21" s="98">
        <v>0.95</v>
      </c>
      <c r="D21" s="56">
        <v>3.3085818740876318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25.756145724245069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0.38460499999999997</v>
      </c>
      <c r="C23" s="98">
        <v>0.95</v>
      </c>
      <c r="D23" s="56">
        <v>4.9613185520035712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0.85257555200732993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0.39672310000000011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21.789130572923639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0.32846330000000001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0.1671841</v>
      </c>
      <c r="C29" s="98">
        <v>0.95</v>
      </c>
      <c r="D29" s="56">
        <v>68.300854175426551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8.9499999999999996E-2</v>
      </c>
      <c r="C31" s="98">
        <v>0.95</v>
      </c>
      <c r="D31" s="56">
        <v>0.8470232226654113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0.16</v>
      </c>
      <c r="C32" s="98">
        <v>0.95</v>
      </c>
      <c r="D32" s="56">
        <v>0.58527783165992031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0.42456090000000002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0.64379720000000007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1.3108E-3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0.26926600000000001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0.22490360000000001</v>
      </c>
      <c r="C38" s="98">
        <v>0.95</v>
      </c>
      <c r="D38" s="56">
        <v>5.2830002631247943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C8" sqref="C8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ht="13.25" customHeight="1" x14ac:dyDescent="0.25">
      <c r="A2" s="57" t="s">
        <v>179</v>
      </c>
      <c r="B2" s="47" t="s">
        <v>189</v>
      </c>
      <c r="C2" s="47"/>
    </row>
    <row r="3" spans="1:3" ht="13.25" customHeight="1" x14ac:dyDescent="0.25">
      <c r="A3" s="57" t="s">
        <v>180</v>
      </c>
      <c r="B3" s="47" t="s">
        <v>189</v>
      </c>
      <c r="C3" s="47"/>
    </row>
    <row r="4" spans="1:3" ht="13.25" customHeight="1" x14ac:dyDescent="0.25">
      <c r="A4" s="57" t="s">
        <v>191</v>
      </c>
      <c r="B4" s="47" t="s">
        <v>184</v>
      </c>
      <c r="C4" s="47"/>
    </row>
    <row r="5" spans="1:3" ht="13.25" customHeight="1" x14ac:dyDescent="0.25">
      <c r="A5" s="57" t="s">
        <v>188</v>
      </c>
      <c r="B5" s="47" t="s">
        <v>184</v>
      </c>
      <c r="C5" s="47"/>
    </row>
    <row r="6" spans="1:3" ht="13.25" customHeight="1" x14ac:dyDescent="0.25">
      <c r="A6" s="57" t="s">
        <v>191</v>
      </c>
      <c r="B6" s="58" t="s">
        <v>192</v>
      </c>
      <c r="C6" s="58"/>
    </row>
    <row r="7" spans="1:3" ht="13.25" customHeight="1" x14ac:dyDescent="0.25">
      <c r="A7" s="57" t="s">
        <v>188</v>
      </c>
      <c r="B7" s="58" t="s">
        <v>192</v>
      </c>
      <c r="C7" s="58"/>
    </row>
    <row r="8" spans="1:3" ht="13.25" customHeight="1" x14ac:dyDescent="0.25">
      <c r="A8" s="57" t="s">
        <v>200</v>
      </c>
      <c r="B8" s="58" t="s">
        <v>192</v>
      </c>
      <c r="C8" s="58"/>
    </row>
    <row r="9" spans="1:3" ht="13.25" customHeight="1" x14ac:dyDescent="0.25">
      <c r="A9" s="57" t="s">
        <v>193</v>
      </c>
      <c r="B9" s="58" t="s">
        <v>192</v>
      </c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ht="13.25" customHeight="1" x14ac:dyDescent="0.25">
      <c r="A2" s="33" t="s">
        <v>171</v>
      </c>
    </row>
    <row r="3" spans="1:1" ht="13.25" customHeight="1" x14ac:dyDescent="0.25">
      <c r="A3" s="33" t="s">
        <v>181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157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3.3</v>
      </c>
      <c r="C2" s="21">
        <f>'Baseline year population inputs'!C52</f>
        <v>3.3</v>
      </c>
      <c r="D2" s="21">
        <f>'Baseline year population inputs'!C53</f>
        <v>3.3</v>
      </c>
      <c r="E2" s="21">
        <f>'Baseline year population inputs'!C54</f>
        <v>3.3</v>
      </c>
      <c r="F2" s="21">
        <f>'Baseline year population inputs'!C55</f>
        <v>3.3</v>
      </c>
    </row>
    <row r="3" spans="1:6" ht="15.75" customHeight="1" x14ac:dyDescent="0.25">
      <c r="A3" s="3" t="s">
        <v>204</v>
      </c>
      <c r="B3" s="21">
        <f>frac_mam_1month * 2.6</f>
        <v>6.811818E-2</v>
      </c>
      <c r="C3" s="21">
        <f>frac_mam_1_5months * 2.6</f>
        <v>6.811818E-2</v>
      </c>
      <c r="D3" s="21">
        <f>frac_mam_6_11months * 2.6</f>
        <v>9.5229680000000011E-2</v>
      </c>
      <c r="E3" s="21">
        <f>frac_mam_12_23months * 2.6</f>
        <v>0.10150816000000001</v>
      </c>
      <c r="F3" s="21">
        <f>frac_mam_24_59months * 2.6</f>
        <v>5.023876E-2</v>
      </c>
    </row>
    <row r="4" spans="1:6" ht="15.75" customHeight="1" x14ac:dyDescent="0.25">
      <c r="A4" s="3" t="s">
        <v>205</v>
      </c>
      <c r="B4" s="21">
        <f>frac_sam_1month * 2.6</f>
        <v>2.2207900000000003E-2</v>
      </c>
      <c r="C4" s="21">
        <f>frac_sam_1_5months * 2.6</f>
        <v>2.2207900000000003E-2</v>
      </c>
      <c r="D4" s="21">
        <f>frac_sam_6_11months * 2.6</f>
        <v>1.1362779999999999E-2</v>
      </c>
      <c r="E4" s="21">
        <f>frac_sam_12_23months * 2.6</f>
        <v>1.265082E-2</v>
      </c>
      <c r="F4" s="21">
        <f>frac_sam_24_59months * 2.6</f>
        <v>4.5791200000000008E-3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0.33900000000000002</v>
      </c>
      <c r="E2" s="60">
        <f>food_insecure</f>
        <v>0.33900000000000002</v>
      </c>
      <c r="F2" s="60">
        <f>food_insecure</f>
        <v>0.33900000000000002</v>
      </c>
      <c r="G2" s="60">
        <f>food_insecure</f>
        <v>0.33900000000000002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0.33900000000000002</v>
      </c>
      <c r="F5" s="60">
        <f>food_insecure</f>
        <v>0.33900000000000002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0.33900000000000002</v>
      </c>
      <c r="F8" s="60">
        <f>food_insecure</f>
        <v>0.33900000000000002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0.33900000000000002</v>
      </c>
      <c r="F9" s="60">
        <f>food_insecure</f>
        <v>0.33900000000000002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0.33900000000000002</v>
      </c>
      <c r="I15" s="60">
        <f>food_insecure</f>
        <v>0.33900000000000002</v>
      </c>
      <c r="J15" s="60">
        <f>food_insecure</f>
        <v>0.33900000000000002</v>
      </c>
      <c r="K15" s="60">
        <f>food_insecure</f>
        <v>0.33900000000000002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0.54</v>
      </c>
      <c r="I19" s="60">
        <f>frac_malaria_risk</f>
        <v>0.54</v>
      </c>
      <c r="J19" s="60">
        <f>frac_malaria_risk</f>
        <v>0.54</v>
      </c>
      <c r="K19" s="60">
        <f>frac_malaria_risk</f>
        <v>0.54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0.14799999999999999</v>
      </c>
      <c r="M24" s="60">
        <f>famplan_unmet_need</f>
        <v>0.14799999999999999</v>
      </c>
      <c r="N24" s="60">
        <f>famplan_unmet_need</f>
        <v>0.14799999999999999</v>
      </c>
      <c r="O24" s="60">
        <f>famplan_unmet_need</f>
        <v>0.14799999999999999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0.3138380533390045</v>
      </c>
      <c r="M25" s="60">
        <f>(1-food_insecure)*(0.49)+food_insecure*(0.7)</f>
        <v>0.56119000000000008</v>
      </c>
      <c r="N25" s="60">
        <f>(1-food_insecure)*(0.49)+food_insecure*(0.7)</f>
        <v>0.56119000000000008</v>
      </c>
      <c r="O25" s="60">
        <f>(1-food_insecure)*(0.49)+food_insecure*(0.7)</f>
        <v>0.56119000000000008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0.13450202285957336</v>
      </c>
      <c r="M26" s="60">
        <f>(1-food_insecure)*(0.21)+food_insecure*(0.3)</f>
        <v>0.24051</v>
      </c>
      <c r="N26" s="60">
        <f>(1-food_insecure)*(0.21)+food_insecure*(0.3)</f>
        <v>0.24051</v>
      </c>
      <c r="O26" s="60">
        <f>(1-food_insecure)*(0.21)+food_insecure*(0.3)</f>
        <v>0.24051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0.11089664102554321</v>
      </c>
      <c r="M27" s="60">
        <f>(1-food_insecure)*(0.3)</f>
        <v>0.1983</v>
      </c>
      <c r="N27" s="60">
        <f>(1-food_insecure)*(0.3)</f>
        <v>0.1983</v>
      </c>
      <c r="O27" s="60">
        <f>(1-food_insecure)*(0.3)</f>
        <v>0.1983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0.44076328277587906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0.54</v>
      </c>
      <c r="D34" s="60">
        <f t="shared" si="3"/>
        <v>0.54</v>
      </c>
      <c r="E34" s="60">
        <f t="shared" si="3"/>
        <v>0.54</v>
      </c>
      <c r="F34" s="60">
        <f t="shared" si="3"/>
        <v>0.54</v>
      </c>
      <c r="G34" s="60">
        <f t="shared" si="3"/>
        <v>0.54</v>
      </c>
      <c r="H34" s="60">
        <f t="shared" si="3"/>
        <v>0.54</v>
      </c>
      <c r="I34" s="60">
        <f t="shared" si="3"/>
        <v>0.54</v>
      </c>
      <c r="J34" s="60">
        <f t="shared" si="3"/>
        <v>0.54</v>
      </c>
      <c r="K34" s="60">
        <f t="shared" si="3"/>
        <v>0.54</v>
      </c>
      <c r="L34" s="60">
        <f t="shared" si="3"/>
        <v>0.54</v>
      </c>
      <c r="M34" s="60">
        <f t="shared" si="3"/>
        <v>0.54</v>
      </c>
      <c r="N34" s="60">
        <f t="shared" si="3"/>
        <v>0.54</v>
      </c>
      <c r="O34" s="60">
        <f t="shared" si="3"/>
        <v>0.54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ht="13.25" customHeight="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ht="13.25" customHeight="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ht="13.25" customHeight="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ht="13.25" customHeight="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ht="13.25" customHeight="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ht="13.25" customHeight="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ht="13.25" customHeight="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ht="13.25" customHeight="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ht="13.25" customHeight="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ht="13.25" customHeight="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ht="13.25" customHeight="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ht="13.25" customHeight="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ht="13.25" customHeight="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ht="13.25" customHeight="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ht="13.25" customHeight="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ht="13.25" customHeight="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ht="13.25" customHeight="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ht="13.25" customHeight="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ht="13.25" customHeight="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ht="13.25" customHeight="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5" zoomScale="85" zoomScaleNormal="85" workbookViewId="0">
      <selection activeCell="C61" sqref="C61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ht="13.25" customHeight="1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ht="13.25" customHeight="1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C61" sqref="C6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C61" sqref="C61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43" zoomScale="70" zoomScaleNormal="70" workbookViewId="0">
      <selection activeCell="C61" sqref="C61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289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302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111</v>
      </c>
      <c r="B40" s="11" t="s">
        <v>303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307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316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111</v>
      </c>
      <c r="B63" s="11" t="s">
        <v>317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61" sqref="C61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49" sqref="C49:O61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0">IF(E3=1,1,E3*0.9)</f>
        <v>1</v>
      </c>
      <c r="F26" s="90">
        <f t="shared" si="0"/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9">IF(E3=1,1,E3*1.05)</f>
        <v>1</v>
      </c>
      <c r="F49" s="90">
        <f t="shared" si="9"/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175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ht="13.25" customHeight="1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ht="13.25" customHeight="1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ht="13.25" customHeight="1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zoomScale="80" zoomScaleNormal="80" workbookViewId="0">
      <selection activeCell="C49" sqref="C49:O61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ht="13.25" customHeight="1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340</v>
      </c>
      <c r="D18" s="90">
        <v>0</v>
      </c>
      <c r="E18" s="90">
        <v>0</v>
      </c>
      <c r="F18" s="90">
        <f>MIN(MAX(1-0.89/(1-frac_sam_6_11months+(frac_sam_6_11months*0.89)),0),1)</f>
        <v>0.10957194184832053</v>
      </c>
      <c r="G18" s="90">
        <f>MIN(MAX(1-0.89/(1-frac_sam_12_23months+(frac_sam_12_23months*0.89)),0),1)</f>
        <v>0.10952339287699941</v>
      </c>
      <c r="H18" s="90">
        <f>MIN(MAX(1-0.89/(1-frac_sam_24_59months+(frac_sam_24_59months*0.89)),0),1)</f>
        <v>0.10982754510996917</v>
      </c>
    </row>
    <row r="19" spans="1:8" ht="13.25" customHeight="1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340</v>
      </c>
      <c r="D20" s="90">
        <v>0</v>
      </c>
      <c r="E20" s="90">
        <v>0</v>
      </c>
      <c r="F20" s="90">
        <f>MIN(MAX(1-0.89/(1-frac_mam_6_11months+(frac_mam_6_11months*0.89)),0),1)</f>
        <v>0.10639973098334587</v>
      </c>
      <c r="G20" s="90">
        <f>MIN(MAX(1-0.89/(1-frac_mam_12_23months+(frac_mam_12_23months*0.89)),0),1)</f>
        <v>0.10616134195127169</v>
      </c>
      <c r="H20" s="90">
        <f>MIN(MAX(1-0.89/(1-frac_mam_24_59months+(frac_mam_24_59months*0.89)),0),1)</f>
        <v>0.10810428815100492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9.9567321390646724E-3</v>
      </c>
      <c r="G73" s="90">
        <f>MIN(MAX(1-0.99/(1-frac_sam_12_23months+(frac_sam_12_23months*0.99)),0),1)</f>
        <v>9.9518272260573637E-3</v>
      </c>
      <c r="H73" s="90">
        <f>MIN(MAX(1-0.99/(1-frac_sam_24_59months+(frac_sam_24_59months*0.99)),0),1)</f>
        <v>9.9825638129138472E-3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9.6372618206125304E-3</v>
      </c>
      <c r="G75" s="90">
        <f>MIN(MAX(1-0.99/(1-frac_mam_12_23months+(frac_mam_12_23months*0.99)),0),1)</f>
        <v>9.613337200656491E-3</v>
      </c>
      <c r="H75" s="90">
        <f>MIN(MAX(1-0.99/(1-frac_mam_24_59months+(frac_mam_24_59months*0.99)),0),1)</f>
        <v>9.8086692899322925E-3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0.1993001402806136</v>
      </c>
      <c r="G128" s="90">
        <f>MIN(MAX(1-0.8/(1-frac_sam_12_23months+(frac_sam_12_23months*0.8)),0),1)</f>
        <v>0.19922072966086224</v>
      </c>
      <c r="H128" s="90">
        <f>MIN(MAX(1-0.8/(1-frac_sam_24_59months+(frac_sam_24_59months*0.8)),0),1)</f>
        <v>0.19971810870661078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0.19409646649178025</v>
      </c>
      <c r="G130" s="90">
        <f>MIN(MAX(1-0.8/(1-frac_mam_12_23months+(frac_mam_12_23months*0.8)),0),1)</f>
        <v>0.19370418425600988</v>
      </c>
      <c r="H130" s="90">
        <f>MIN(MAX(1-0.8/(1-frac_mam_24_59months+(frac_mam_24_59months*0.8)),0),1)</f>
        <v>0.1968963900372267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ht="13.25" customHeight="1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ht="13.25" customHeight="1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2024-06-18T06:57:54Z</dcterms:modified>
</cp:coreProperties>
</file>