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74126EC7-F2BA-45A2-8D17-17F89F84562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I12" i="2" l="1"/>
  <c r="A35" i="2"/>
  <c r="I7" i="2"/>
  <c r="I13" i="2"/>
  <c r="A37" i="2"/>
  <c r="A19" i="2"/>
  <c r="I3" i="2"/>
  <c r="I9" i="2"/>
  <c r="A23" i="2"/>
  <c r="A24" i="2"/>
  <c r="I4" i="2"/>
  <c r="A25" i="2"/>
  <c r="I2" i="2"/>
  <c r="A26" i="2"/>
  <c r="A40" i="2"/>
  <c r="A31" i="2"/>
  <c r="A36" i="2"/>
  <c r="A22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<sst xmlns="http://schemas.openxmlformats.org/spreadsheetml/2006/main" count="2169" uniqueCount="373">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</sst>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751867.5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0.8706096649169921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0.55500000000000005</v>
      </c>
    </row>
    <row r="25" spans="1:3" ht="15" customHeight="1" x14ac:dyDescent="0.25">
      <c r="B25" s="15" t="s">
        <v>23</v>
      </c>
      <c r="C25" s="45">
        <v>0.30480000000000002</v>
      </c>
    </row>
    <row r="26" spans="1:3" ht="15" customHeight="1" x14ac:dyDescent="0.25">
      <c r="B26" s="15" t="s">
        <v>24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7">
        <v>6.2561187920877309E-2</v>
      </c>
    </row>
    <row r="31" spans="1:3" ht="14.25" customHeight="1" x14ac:dyDescent="0.25">
      <c r="B31" s="25" t="s">
        <v>28</v>
      </c>
      <c r="C31" s="97">
        <v>0.10830365564404</v>
      </c>
    </row>
    <row r="32" spans="1:3" ht="14.25" customHeight="1" x14ac:dyDescent="0.25">
      <c r="B32" s="25" t="s">
        <v>29</v>
      </c>
      <c r="C32" s="97">
        <v>0.48930695990294498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98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150335</v>
      </c>
      <c r="C2" s="49">
        <v>296027</v>
      </c>
      <c r="D2" s="49">
        <v>540735.5</v>
      </c>
      <c r="E2" s="49">
        <v>545356</v>
      </c>
      <c r="F2" s="49">
        <v>402690.5</v>
      </c>
      <c r="G2" s="17">
        <f t="shared" ref="G2:G13" si="0">C2+D2+E2+F2</f>
        <v>1784809</v>
      </c>
      <c r="H2" s="17">
        <f t="shared" ref="H2:H13" si="1">(B2 + stillbirth*B2/(1000-stillbirth))/(1-abortion)</f>
        <v>171937.94440162936</v>
      </c>
      <c r="I2" s="17">
        <f t="shared" ref="I2:I13" si="2">G2-H2</f>
        <v>1612871.0555983707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149483</v>
      </c>
      <c r="C3" s="50">
        <v>310987.5</v>
      </c>
      <c r="D3" s="50">
        <v>538145.5</v>
      </c>
      <c r="E3" s="50">
        <v>553833.00000000012</v>
      </c>
      <c r="F3" s="50">
        <v>414979.00000000006</v>
      </c>
      <c r="G3" s="17">
        <f t="shared" si="0"/>
        <v>1817945</v>
      </c>
      <c r="H3" s="17">
        <f t="shared" si="1"/>
        <v>170963.51310731872</v>
      </c>
      <c r="I3" s="17">
        <f t="shared" si="2"/>
        <v>1646981.4868926813</v>
      </c>
    </row>
    <row r="4" spans="1:9" ht="15.75" customHeight="1" x14ac:dyDescent="0.25">
      <c r="A4" s="5">
        <f t="shared" si="3"/>
        <v>2026</v>
      </c>
      <c r="B4" s="49">
        <v>148668</v>
      </c>
      <c r="C4" s="50">
        <v>327039.5</v>
      </c>
      <c r="D4" s="50">
        <v>536492.99999999988</v>
      </c>
      <c r="E4" s="50">
        <v>559402</v>
      </c>
      <c r="F4" s="50">
        <v>428397.50000000006</v>
      </c>
      <c r="G4" s="17">
        <f t="shared" si="0"/>
        <v>1851332</v>
      </c>
      <c r="H4" s="17">
        <f t="shared" si="1"/>
        <v>170031.39866499108</v>
      </c>
      <c r="I4" s="17">
        <f t="shared" si="2"/>
        <v>1681300.6013350089</v>
      </c>
    </row>
    <row r="5" spans="1:9" ht="15.75" customHeight="1" x14ac:dyDescent="0.25">
      <c r="A5" s="5">
        <f t="shared" si="3"/>
        <v>2027</v>
      </c>
      <c r="B5" s="49">
        <v>148267</v>
      </c>
      <c r="C5" s="50">
        <v>340812.5</v>
      </c>
      <c r="D5" s="50">
        <v>539191</v>
      </c>
      <c r="E5" s="50">
        <v>561262.99999999988</v>
      </c>
      <c r="F5" s="50">
        <v>442918</v>
      </c>
      <c r="G5" s="17">
        <f t="shared" si="0"/>
        <v>1884184.5</v>
      </c>
      <c r="H5" s="17">
        <f t="shared" si="1"/>
        <v>169572.77548539182</v>
      </c>
      <c r="I5" s="17">
        <f t="shared" si="2"/>
        <v>1714611.7245146083</v>
      </c>
    </row>
    <row r="6" spans="1:9" ht="15.75" customHeight="1" x14ac:dyDescent="0.25">
      <c r="A6" s="5">
        <f t="shared" si="3"/>
        <v>2028</v>
      </c>
      <c r="B6" s="49">
        <v>148207</v>
      </c>
      <c r="C6" s="50">
        <v>351986</v>
      </c>
      <c r="D6" s="50">
        <v>546937</v>
      </c>
      <c r="E6" s="50">
        <v>560208</v>
      </c>
      <c r="F6" s="50">
        <v>458320</v>
      </c>
      <c r="G6" s="17">
        <f t="shared" si="0"/>
        <v>1917451</v>
      </c>
      <c r="H6" s="17">
        <f t="shared" si="1"/>
        <v>169504.15356325728</v>
      </c>
      <c r="I6" s="17">
        <f t="shared" si="2"/>
        <v>1747946.8464367427</v>
      </c>
    </row>
    <row r="7" spans="1:9" ht="15.75" customHeight="1" x14ac:dyDescent="0.25">
      <c r="A7" s="5">
        <f t="shared" si="3"/>
        <v>2029</v>
      </c>
      <c r="B7" s="49">
        <v>148645</v>
      </c>
      <c r="C7" s="50">
        <v>361269.5</v>
      </c>
      <c r="D7" s="50">
        <v>558527</v>
      </c>
      <c r="E7" s="50">
        <v>557851.5</v>
      </c>
      <c r="F7" s="50">
        <v>473937.5</v>
      </c>
      <c r="G7" s="17">
        <f t="shared" si="0"/>
        <v>1951585.5</v>
      </c>
      <c r="H7" s="17">
        <f t="shared" si="1"/>
        <v>170005.09359483948</v>
      </c>
      <c r="I7" s="17">
        <f t="shared" si="2"/>
        <v>1781580.4064051604</v>
      </c>
    </row>
    <row r="8" spans="1:9" ht="15.75" customHeight="1" x14ac:dyDescent="0.25">
      <c r="A8" s="5">
        <f t="shared" si="3"/>
        <v>2030</v>
      </c>
      <c r="B8" s="49">
        <v>149392</v>
      </c>
      <c r="C8" s="50">
        <v>368658</v>
      </c>
      <c r="D8" s="50">
        <v>573977.5</v>
      </c>
      <c r="E8" s="50">
        <v>554585</v>
      </c>
      <c r="F8" s="50">
        <v>489184.5</v>
      </c>
      <c r="G8" s="17">
        <f t="shared" si="0"/>
        <v>1986405</v>
      </c>
      <c r="H8" s="17">
        <f t="shared" si="1"/>
        <v>170859.43652541464</v>
      </c>
      <c r="I8" s="17">
        <f t="shared" si="2"/>
        <v>1815545.5634745853</v>
      </c>
    </row>
    <row r="9" spans="1:9" ht="15.75" customHeight="1" x14ac:dyDescent="0.25">
      <c r="A9" s="5">
        <f t="shared" si="3"/>
        <v>2031</v>
      </c>
      <c r="B9" s="49">
        <v>150421</v>
      </c>
      <c r="C9" s="50">
        <v>374676.5</v>
      </c>
      <c r="D9" s="50">
        <v>591496.00000000012</v>
      </c>
      <c r="E9" s="50">
        <v>550661.49999999988</v>
      </c>
      <c r="F9" s="50">
        <v>503435</v>
      </c>
      <c r="G9" s="17">
        <f t="shared" si="0"/>
        <v>2020269</v>
      </c>
      <c r="H9" s="17">
        <f t="shared" si="1"/>
        <v>172036.30249002218</v>
      </c>
      <c r="I9" s="17">
        <f t="shared" si="2"/>
        <v>1848232.6975099777</v>
      </c>
    </row>
    <row r="10" spans="1:9" ht="15.75" customHeight="1" x14ac:dyDescent="0.25">
      <c r="A10" s="5">
        <f t="shared" si="3"/>
        <v>2032</v>
      </c>
      <c r="B10" s="49">
        <v>151395</v>
      </c>
      <c r="C10" s="50">
        <v>380137</v>
      </c>
      <c r="D10" s="50">
        <v>609725</v>
      </c>
      <c r="E10" s="50">
        <v>546171</v>
      </c>
      <c r="F10" s="50">
        <v>516621.49999999994</v>
      </c>
      <c r="G10" s="17">
        <f t="shared" si="0"/>
        <v>2052654.5</v>
      </c>
      <c r="H10" s="17">
        <f t="shared" si="1"/>
        <v>173150.26502600641</v>
      </c>
      <c r="I10" s="17">
        <f t="shared" si="2"/>
        <v>1879504.2349739936</v>
      </c>
    </row>
    <row r="11" spans="1:9" ht="15.75" customHeight="1" x14ac:dyDescent="0.25">
      <c r="A11" s="5">
        <f t="shared" si="3"/>
        <v>2033</v>
      </c>
      <c r="B11" s="49">
        <v>152829</v>
      </c>
      <c r="C11" s="50">
        <v>386706</v>
      </c>
      <c r="D11" s="50">
        <v>628415</v>
      </c>
      <c r="E11" s="50">
        <v>542123.49999999988</v>
      </c>
      <c r="F11" s="50">
        <v>528350</v>
      </c>
      <c r="G11" s="17">
        <f t="shared" si="0"/>
        <v>2085594.5</v>
      </c>
      <c r="H11" s="17">
        <f t="shared" si="1"/>
        <v>174790.3289650222</v>
      </c>
      <c r="I11" s="17">
        <f t="shared" si="2"/>
        <v>1910804.1710349778</v>
      </c>
    </row>
    <row r="12" spans="1:9" ht="15.75" customHeight="1" x14ac:dyDescent="0.25">
      <c r="A12" s="5">
        <f t="shared" si="3"/>
        <v>2034</v>
      </c>
      <c r="B12" s="49">
        <v>154449</v>
      </c>
      <c r="C12" s="50">
        <v>393270.5</v>
      </c>
      <c r="D12" s="50">
        <v>648161</v>
      </c>
      <c r="E12" s="50">
        <v>538556.5</v>
      </c>
      <c r="F12" s="50">
        <v>538239.49999999988</v>
      </c>
      <c r="G12" s="17">
        <f t="shared" si="0"/>
        <v>2118227.5</v>
      </c>
      <c r="H12" s="17">
        <f t="shared" si="1"/>
        <v>176643.12086265508</v>
      </c>
      <c r="I12" s="17">
        <f t="shared" si="2"/>
        <v>1941584.3791373449</v>
      </c>
    </row>
    <row r="13" spans="1:9" ht="15.75" customHeight="1" x14ac:dyDescent="0.25">
      <c r="A13" s="5">
        <f t="shared" si="3"/>
        <v>2035</v>
      </c>
      <c r="B13" s="49">
        <v>155850</v>
      </c>
      <c r="C13" s="50">
        <v>395648.5</v>
      </c>
      <c r="D13" s="50">
        <v>669603.00000000012</v>
      </c>
      <c r="E13" s="50">
        <v>534877.99999999988</v>
      </c>
      <c r="F13" s="50">
        <v>546140</v>
      </c>
      <c r="G13" s="17">
        <f t="shared" si="0"/>
        <v>2146269.5</v>
      </c>
      <c r="H13" s="17">
        <f t="shared" si="1"/>
        <v>178245.44274449683</v>
      </c>
      <c r="I13" s="17">
        <f t="shared" si="2"/>
        <v>1968024.0572555033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99">
        <v>5.5218899999999987E-2</v>
      </c>
    </row>
    <row r="5" spans="1:8" ht="15.75" customHeight="1" x14ac:dyDescent="0.25">
      <c r="B5" s="19" t="s">
        <v>70</v>
      </c>
      <c r="C5" s="99">
        <v>4.9336599999999987E-2</v>
      </c>
    </row>
    <row r="6" spans="1:8" ht="15.75" customHeight="1" x14ac:dyDescent="0.25">
      <c r="B6" s="19" t="s">
        <v>71</v>
      </c>
      <c r="C6" s="99">
        <v>0.19651040000000031</v>
      </c>
    </row>
    <row r="7" spans="1:8" ht="15.75" customHeight="1" x14ac:dyDescent="0.25">
      <c r="B7" s="19" t="s">
        <v>72</v>
      </c>
      <c r="C7" s="99">
        <v>0.41559819999999958</v>
      </c>
    </row>
    <row r="8" spans="1:8" ht="15.75" customHeight="1" x14ac:dyDescent="0.25">
      <c r="B8" s="19" t="s">
        <v>73</v>
      </c>
      <c r="C8" s="99">
        <v>1.9750000000000041E-4</v>
      </c>
    </row>
    <row r="9" spans="1:8" ht="15.75" customHeight="1" x14ac:dyDescent="0.25">
      <c r="B9" s="19" t="s">
        <v>74</v>
      </c>
      <c r="C9" s="99">
        <v>0.19013440000000001</v>
      </c>
    </row>
    <row r="10" spans="1:8" ht="15.75" customHeight="1" x14ac:dyDescent="0.25">
      <c r="B10" s="19" t="s">
        <v>75</v>
      </c>
      <c r="C10" s="99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83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84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87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88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89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99">
        <v>5.4674084999999983E-2</v>
      </c>
    </row>
    <row r="28" spans="1:8" ht="15.75" customHeight="1" x14ac:dyDescent="0.25">
      <c r="B28" s="19" t="s">
        <v>93</v>
      </c>
      <c r="C28" s="99">
        <v>7.8007822000000004E-2</v>
      </c>
    </row>
    <row r="29" spans="1:8" ht="15.75" customHeight="1" x14ac:dyDescent="0.25">
      <c r="B29" s="19" t="s">
        <v>94</v>
      </c>
      <c r="C29" s="99">
        <v>0.25304623700000001</v>
      </c>
    </row>
    <row r="30" spans="1:8" ht="15.75" customHeight="1" x14ac:dyDescent="0.25">
      <c r="B30" s="19" t="s">
        <v>95</v>
      </c>
      <c r="C30" s="99">
        <v>6.4168437999999994E-2</v>
      </c>
    </row>
    <row r="31" spans="1:8" ht="15.75" customHeight="1" x14ac:dyDescent="0.25">
      <c r="B31" s="19" t="s">
        <v>96</v>
      </c>
      <c r="C31" s="99">
        <v>3.8459681000000003E-2</v>
      </c>
    </row>
    <row r="32" spans="1:8" ht="15.75" customHeight="1" x14ac:dyDescent="0.25">
      <c r="B32" s="19" t="s">
        <v>97</v>
      </c>
      <c r="C32" s="99">
        <v>7.8795084000000001E-2</v>
      </c>
    </row>
    <row r="33" spans="2:3" ht="15.75" customHeight="1" x14ac:dyDescent="0.25">
      <c r="B33" s="19" t="s">
        <v>98</v>
      </c>
      <c r="C33" s="99">
        <v>6.8855599000000017E-2</v>
      </c>
    </row>
    <row r="34" spans="2:3" ht="15.75" customHeight="1" x14ac:dyDescent="0.25">
      <c r="B34" s="19" t="s">
        <v>99</v>
      </c>
      <c r="C34" s="99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1655.07269765044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0.33655000000000002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0.56600000000000006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1.2636041052752059E-2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98042.033899999995</v>
      </c>
      <c r="C22" s="107">
        <v>97912.659759999995</v>
      </c>
      <c r="D22" s="107">
        <v>97749.127779999995</v>
      </c>
      <c r="E22" s="107">
        <v>97479.829180000001</v>
      </c>
      <c r="F22" s="107">
        <v>97136.501770000003</v>
      </c>
      <c r="G22" s="107">
        <v>96707.586909999998</v>
      </c>
      <c r="H22" s="107">
        <v>96198.437900000004</v>
      </c>
      <c r="I22" s="107">
        <v>95237.58829</v>
      </c>
      <c r="J22" s="107">
        <v>93551.134969999999</v>
      </c>
      <c r="K22" s="107">
        <v>91657.480989999996</v>
      </c>
      <c r="L22" s="107">
        <v>89148.463789999994</v>
      </c>
      <c r="M22" s="107">
        <v>85234.066699999996</v>
      </c>
      <c r="N22" s="107">
        <v>79899.282659999997</v>
      </c>
      <c r="O22" s="107">
        <v>71025.679950000005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2.3195500000000001E-2</v>
      </c>
      <c r="C10" s="96">
        <v>0.95</v>
      </c>
      <c r="D10" s="56">
        <v>13.55153367590807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13.55153367590807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13.55153367590807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13.55153367590807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2.3195500000000001E-2</v>
      </c>
      <c r="C14" s="96">
        <v>0.95</v>
      </c>
      <c r="D14" s="56">
        <v>13.55153367590807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13.55153367590807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0.41442689999999999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0.41442689999999999</v>
      </c>
      <c r="C19" s="96">
        <v>0.95</v>
      </c>
      <c r="D19" s="56">
        <v>2.5765543589847759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4.4684305312370904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0.71204221746141994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2.3195500000000001E-2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0.36409789999999997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0.59765410000000008</v>
      </c>
      <c r="C29" s="96">
        <v>0.95</v>
      </c>
      <c r="D29" s="56">
        <v>69.007299698442466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0.97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0.61718569999999995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7.1143999999999999E-2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0.93661349999999999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0.21817230000000001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198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9.0000000000000011E-3</v>
      </c>
      <c r="F2" s="60">
        <f>food_insecure</f>
        <v>9.0000000000000011E-3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9.0000000000000011E-3</v>
      </c>
      <c r="I15" s="60">
        <f t="shared" si="0"/>
        <v>9.0000000000000011E-3</v>
      </c>
      <c r="J15" s="60">
        <f t="shared" si="0"/>
        <v>9.0000000000000011E-3</v>
      </c>
      <c r="K15" s="60">
        <f t="shared" si="0"/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9.0000000000000011E-3</v>
      </c>
      <c r="I16" s="60">
        <f t="shared" si="0"/>
        <v>9.0000000000000011E-3</v>
      </c>
      <c r="J16" s="60">
        <f t="shared" si="0"/>
        <v>9.0000000000000011E-3</v>
      </c>
      <c r="K16" s="60">
        <f t="shared" si="0"/>
        <v>9.0000000000000011E-3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