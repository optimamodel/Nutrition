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12.xml" ContentType="application/vnd.openxmlformats-officedocument.spreadsheetml.comments+xml"/>
  <Override PartName="/xl/comments8.xml" ContentType="application/vnd.openxmlformats-officedocument.spreadsheetml.comments+xml"/>
  <Override PartName="/xl/comments13.xml" ContentType="application/vnd.openxmlformats-officedocument.spreadsheetml.comments+xml"/>
  <Override PartName="/xl/comments10.xml" ContentType="application/vnd.openxmlformats-officedocument.spreadsheetml.comments+xml"/>
  <Override PartName="/xl/comments14.xml" ContentType="application/vnd.openxmlformats-officedocument.spreadsheetml.comments+xml"/>
  <Override PartName="/xl/comments7.xml" ContentType="application/vnd.openxmlformats-officedocument.spreadsheetml.comments+xml"/>
  <Override PartName="/xl/comments1.xml" ContentType="application/vnd.openxmlformats-officedocument.spreadsheetml.comments+xml"/>
  <Override PartName="/xl/comments15.xml" ContentType="application/vnd.openxmlformats-officedocument.spreadsheetml.comments+xml"/>
  <Override PartName="/xl/comments11.xml" ContentType="application/vnd.openxmlformats-officedocument.spreadsheetml.comments+xml"/>
  <Override PartName="/xl/comments16.xml" ContentType="application/vnd.openxmlformats-officedocument.spreadsheetml.comments+xml"/>
  <Override PartName="/xl/comments9.xml" ContentType="application/vnd.openxmlformats-officedocument.spreadsheetml.comments+xml"/>
  <Override PartName="/xl/comments17.xml" ContentType="application/vnd.openxmlformats-officedocument.spreadsheetml.comments+xml"/>
  <Override PartName="/xl/comments6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xl/comments5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7089B3EE-CE12-4AE0-A6A6-70EFCD8AD64F}" xr6:coauthVersionLast="47" xr6:coauthVersionMax="47" xr10:uidLastSave="{00000000-0000-0000-0000-000000000000}"/>
  <bookViews>
    <workbookView xWindow="0" yWindow="3670" windowWidth="19200" windowHeight="6530" tabRatio="961" firstSheet="6" activeTab="7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152" i="27"/>
  <c r="F152" i="27"/>
  <c r="D152" i="27"/>
  <c r="H136" i="27"/>
  <c r="G136" i="27"/>
  <c r="F136" i="27"/>
  <c r="E136" i="27"/>
  <c r="H135" i="27"/>
  <c r="G135" i="27"/>
  <c r="F135" i="27"/>
  <c r="E135" i="27"/>
  <c r="D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E130" i="27"/>
  <c r="D130" i="27"/>
  <c r="H129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E112" i="27"/>
  <c r="D112" i="27"/>
  <c r="H97" i="27"/>
  <c r="G97" i="27"/>
  <c r="G152" i="27" s="1"/>
  <c r="F97" i="27"/>
  <c r="E97" i="27"/>
  <c r="E152" i="27" s="1"/>
  <c r="D97" i="27"/>
  <c r="H81" i="27"/>
  <c r="G81" i="27"/>
  <c r="F81" i="27"/>
  <c r="E81" i="27"/>
  <c r="H80" i="27"/>
  <c r="G80" i="27"/>
  <c r="F80" i="27"/>
  <c r="E80" i="27"/>
  <c r="D80" i="27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H74" i="27"/>
  <c r="G74" i="27"/>
  <c r="G129" i="27" s="1"/>
  <c r="F74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G112" i="27" s="1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66" i="25"/>
  <c r="N66" i="25"/>
  <c r="M66" i="25"/>
  <c r="L66" i="25"/>
  <c r="K66" i="25"/>
  <c r="J66" i="25"/>
  <c r="I66" i="25"/>
  <c r="H66" i="25"/>
  <c r="G66" i="25"/>
  <c r="F66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I40" i="2" s="1"/>
  <c r="G40" i="2"/>
  <c r="H39" i="2"/>
  <c r="G39" i="2"/>
  <c r="I39" i="2" s="1"/>
  <c r="A39" i="2"/>
  <c r="H38" i="2"/>
  <c r="I38" i="2" s="1"/>
  <c r="G38" i="2"/>
  <c r="A37" i="2"/>
  <c r="A35" i="2"/>
  <c r="A34" i="2"/>
  <c r="A29" i="2"/>
  <c r="A27" i="2"/>
  <c r="A26" i="2"/>
  <c r="A21" i="2"/>
  <c r="A19" i="2"/>
  <c r="A18" i="2"/>
  <c r="H13" i="2"/>
  <c r="G13" i="2"/>
  <c r="I13" i="2" s="1"/>
  <c r="H12" i="2"/>
  <c r="I12" i="2" s="1"/>
  <c r="G12" i="2"/>
  <c r="H11" i="2"/>
  <c r="G11" i="2"/>
  <c r="I11" i="2" s="1"/>
  <c r="H10" i="2"/>
  <c r="I10" i="2" s="1"/>
  <c r="G10" i="2"/>
  <c r="H9" i="2"/>
  <c r="G9" i="2"/>
  <c r="I9" i="2" s="1"/>
  <c r="H8" i="2"/>
  <c r="I8" i="2" s="1"/>
  <c r="G8" i="2"/>
  <c r="H7" i="2"/>
  <c r="G7" i="2"/>
  <c r="I7" i="2" s="1"/>
  <c r="H6" i="2"/>
  <c r="I6" i="2" s="1"/>
  <c r="G6" i="2"/>
  <c r="H5" i="2"/>
  <c r="G5" i="2"/>
  <c r="I5" i="2" s="1"/>
  <c r="H4" i="2"/>
  <c r="I4" i="2" s="1"/>
  <c r="G4" i="2"/>
  <c r="H3" i="2"/>
  <c r="G3" i="2"/>
  <c r="I3" i="2" s="1"/>
  <c r="A3" i="2"/>
  <c r="H2" i="2"/>
  <c r="I2" i="2" s="1"/>
  <c r="G2" i="2"/>
  <c r="A2" i="2"/>
  <c r="A33" i="2" s="1"/>
  <c r="C33" i="1"/>
  <c r="C20" i="1"/>
  <c r="A20" i="2" l="1"/>
  <c r="A28" i="2"/>
  <c r="A36" i="2"/>
  <c r="A4" i="2"/>
  <c r="A5" i="2" s="1"/>
  <c r="A6" i="2"/>
  <c r="A7" i="2" s="1"/>
  <c r="A8" i="2" s="1"/>
  <c r="A9" i="2" s="1"/>
  <c r="A10" i="2" s="1"/>
  <c r="A11" i="2" s="1"/>
  <c r="A12" i="2" s="1"/>
  <c r="A13" i="2" s="1"/>
  <c r="A14" i="2"/>
  <c r="A22" i="2"/>
  <c r="A30" i="2"/>
  <c r="A38" i="2"/>
  <c r="A40" i="2"/>
  <c r="A15" i="2"/>
  <c r="A23" i="2"/>
  <c r="A31" i="2"/>
  <c r="A16" i="2"/>
  <c r="A24" i="2"/>
  <c r="A32" i="2"/>
  <c r="A17" i="2"/>
  <c r="A2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<sst xmlns="http://schemas.openxmlformats.org/spreadsheetml/2006/main" count="2094" uniqueCount="341">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</sst>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opLeftCell="A32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765421.328125</v>
      </c>
    </row>
    <row r="8" spans="1:3" ht="15" customHeight="1" x14ac:dyDescent="0.25">
      <c r="B8" s="5" t="s">
        <v>8</v>
      </c>
      <c r="C8" s="44">
        <v>9.0000000000000011E-3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0.8706096649169921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0.379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0.7</v>
      </c>
    </row>
    <row r="18" spans="1:3" ht="15" customHeight="1" x14ac:dyDescent="0.25">
      <c r="B18" s="5" t="s">
        <v>17</v>
      </c>
      <c r="C18" s="45">
        <v>0.05</v>
      </c>
    </row>
    <row r="19" spans="1:3" ht="15" customHeight="1" x14ac:dyDescent="0.25">
      <c r="B19" s="5" t="s">
        <v>18</v>
      </c>
      <c r="C19" s="45">
        <v>0.05</v>
      </c>
    </row>
    <row r="20" spans="1:3" ht="15" customHeight="1" x14ac:dyDescent="0.25">
      <c r="B20" s="5" t="s">
        <v>19</v>
      </c>
      <c r="C20" s="46">
        <f>1-frac_rice-frac_wheat-frac_maize</f>
        <v>0.20000000000000007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9.9700000000000011E-2</v>
      </c>
    </row>
    <row r="24" spans="1:3" ht="15" customHeight="1" x14ac:dyDescent="0.25">
      <c r="B24" s="15" t="s">
        <v>22</v>
      </c>
      <c r="C24" s="45">
        <v>0.55500000000000005</v>
      </c>
    </row>
    <row r="25" spans="1:3" ht="15" customHeight="1" x14ac:dyDescent="0.25">
      <c r="B25" s="15" t="s">
        <v>23</v>
      </c>
      <c r="C25" s="45">
        <v>0.30480000000000002</v>
      </c>
    </row>
    <row r="26" spans="1:3" ht="15" customHeight="1" x14ac:dyDescent="0.25">
      <c r="B26" s="15" t="s">
        <v>24</v>
      </c>
      <c r="C26" s="45">
        <v>4.0500000000000001E-2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0.33982819653213803</v>
      </c>
    </row>
    <row r="30" spans="1:3" ht="14.25" customHeight="1" x14ac:dyDescent="0.25">
      <c r="B30" s="25" t="s">
        <v>27</v>
      </c>
      <c r="C30" s="99">
        <v>6.2561187920877309E-2</v>
      </c>
    </row>
    <row r="31" spans="1:3" ht="14.25" customHeight="1" x14ac:dyDescent="0.25">
      <c r="B31" s="25" t="s">
        <v>28</v>
      </c>
      <c r="C31" s="99">
        <v>0.10830365564404</v>
      </c>
    </row>
    <row r="32" spans="1:3" ht="14.25" customHeight="1" x14ac:dyDescent="0.25">
      <c r="B32" s="25" t="s">
        <v>29</v>
      </c>
      <c r="C32" s="99">
        <v>0.48930695990294498</v>
      </c>
    </row>
    <row r="33" spans="1:5" ht="13" customHeight="1" x14ac:dyDescent="0.25">
      <c r="B33" s="27" t="s">
        <v>30</v>
      </c>
      <c r="C33" s="48">
        <f>SUM(C29:C32)</f>
        <v>1.0000000000000002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11.92366</v>
      </c>
    </row>
    <row r="38" spans="1:5" ht="15" customHeight="1" x14ac:dyDescent="0.25">
      <c r="B38" s="11" t="s">
        <v>34</v>
      </c>
      <c r="C38" s="43">
        <v>15.550739999999999</v>
      </c>
      <c r="D38" s="12"/>
      <c r="E38" s="13"/>
    </row>
    <row r="39" spans="1:5" ht="15" customHeight="1" x14ac:dyDescent="0.25">
      <c r="B39" s="11" t="s">
        <v>35</v>
      </c>
      <c r="C39" s="43">
        <v>17.399979999999999</v>
      </c>
      <c r="D39" s="12"/>
      <c r="E39" s="12"/>
    </row>
    <row r="40" spans="1:5" ht="15" customHeight="1" x14ac:dyDescent="0.25">
      <c r="B40" s="11" t="s">
        <v>36</v>
      </c>
      <c r="C40" s="100">
        <v>0.5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6.4134599999999997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5.9365999999999993E-3</v>
      </c>
      <c r="D45" s="12"/>
    </row>
    <row r="46" spans="1:5" ht="15.75" customHeight="1" x14ac:dyDescent="0.25">
      <c r="B46" s="11" t="s">
        <v>41</v>
      </c>
      <c r="C46" s="45">
        <v>6.3787999999999997E-2</v>
      </c>
      <c r="D46" s="12"/>
    </row>
    <row r="47" spans="1:5" ht="15.75" customHeight="1" x14ac:dyDescent="0.25">
      <c r="B47" s="11" t="s">
        <v>42</v>
      </c>
      <c r="C47" s="45">
        <v>7.5355800000000001E-2</v>
      </c>
      <c r="D47" s="12"/>
      <c r="E47" s="13"/>
    </row>
    <row r="48" spans="1:5" ht="15" customHeight="1" x14ac:dyDescent="0.25">
      <c r="B48" s="11" t="s">
        <v>43</v>
      </c>
      <c r="C48" s="46">
        <v>0.85491960000000011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2.8</v>
      </c>
      <c r="D51" s="12"/>
    </row>
    <row r="52" spans="1:4" ht="15" customHeight="1" x14ac:dyDescent="0.25">
      <c r="B52" s="11" t="s">
        <v>46</v>
      </c>
      <c r="C52" s="100">
        <v>2.8</v>
      </c>
    </row>
    <row r="53" spans="1:4" ht="15.75" customHeight="1" x14ac:dyDescent="0.25">
      <c r="B53" s="11" t="s">
        <v>47</v>
      </c>
      <c r="C53" s="100">
        <v>2.8</v>
      </c>
    </row>
    <row r="54" spans="1:4" ht="15.75" customHeight="1" x14ac:dyDescent="0.25">
      <c r="B54" s="11" t="s">
        <v>48</v>
      </c>
      <c r="C54" s="100">
        <v>2.8</v>
      </c>
    </row>
    <row r="55" spans="1:4" ht="15.75" customHeight="1" x14ac:dyDescent="0.25">
      <c r="B55" s="11" t="s">
        <v>49</v>
      </c>
      <c r="C55" s="100">
        <v>2.8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1.6428571428571431E-2</v>
      </c>
    </row>
    <row r="59" spans="1:4" ht="15.75" customHeight="1" x14ac:dyDescent="0.25">
      <c r="B59" s="11" t="s">
        <v>52</v>
      </c>
      <c r="C59" s="45">
        <v>0.58899100000000004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5.5305958000000002E-2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150624</v>
      </c>
      <c r="C2" s="49">
        <v>360380.00000000012</v>
      </c>
      <c r="D2" s="49">
        <v>512246.5</v>
      </c>
      <c r="E2" s="49">
        <v>549783.5</v>
      </c>
      <c r="F2" s="49">
        <v>320180</v>
      </c>
      <c r="G2" s="17">
        <f t="shared" ref="G2:G13" si="0">C2+D2+E2+F2</f>
        <v>1742590</v>
      </c>
      <c r="H2" s="17">
        <f t="shared" ref="H2:H13" si="1">(B2 + stillbirth*B2/(1000-stillbirth))/(1-abortion)</f>
        <v>172268.47332657743</v>
      </c>
      <c r="I2" s="17">
        <f t="shared" ref="I2:I13" si="2">G2-H2</f>
        <v>1570321.5266734227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149214</v>
      </c>
      <c r="C3" s="50">
        <v>378594</v>
      </c>
      <c r="D3" s="50">
        <v>508348.5</v>
      </c>
      <c r="E3" s="50">
        <v>554364.5</v>
      </c>
      <c r="F3" s="50">
        <v>332360.5</v>
      </c>
      <c r="G3" s="17">
        <f t="shared" si="0"/>
        <v>1773667.5</v>
      </c>
      <c r="H3" s="17">
        <f t="shared" si="1"/>
        <v>170655.85815641549</v>
      </c>
      <c r="I3" s="17">
        <f t="shared" si="2"/>
        <v>1603011.6418435846</v>
      </c>
    </row>
    <row r="4" spans="1:9" ht="15.75" customHeight="1" x14ac:dyDescent="0.25">
      <c r="A4" s="5">
        <f t="shared" si="3"/>
        <v>2026</v>
      </c>
      <c r="B4" s="49">
        <v>148152</v>
      </c>
      <c r="C4" s="50">
        <v>397519</v>
      </c>
      <c r="D4" s="50">
        <v>507045.5</v>
      </c>
      <c r="E4" s="50">
        <v>555494</v>
      </c>
      <c r="F4" s="50">
        <v>346646.5</v>
      </c>
      <c r="G4" s="17">
        <f t="shared" si="0"/>
        <v>1806705</v>
      </c>
      <c r="H4" s="17">
        <f t="shared" si="1"/>
        <v>169441.25013463391</v>
      </c>
      <c r="I4" s="17">
        <f t="shared" si="2"/>
        <v>1637263.7498653661</v>
      </c>
    </row>
    <row r="5" spans="1:9" ht="15.75" customHeight="1" x14ac:dyDescent="0.25">
      <c r="A5" s="5">
        <f t="shared" si="3"/>
        <v>2027</v>
      </c>
      <c r="B5" s="49">
        <v>147606</v>
      </c>
      <c r="C5" s="50">
        <v>415273</v>
      </c>
      <c r="D5" s="50">
        <v>510834.5</v>
      </c>
      <c r="E5" s="50">
        <v>551346</v>
      </c>
      <c r="F5" s="50">
        <v>363447.5</v>
      </c>
      <c r="G5" s="17">
        <f t="shared" si="0"/>
        <v>1840901</v>
      </c>
      <c r="H5" s="17">
        <f t="shared" si="1"/>
        <v>168816.7906432095</v>
      </c>
      <c r="I5" s="17">
        <f t="shared" si="2"/>
        <v>1672084.2093567904</v>
      </c>
    </row>
    <row r="6" spans="1:9" ht="15.75" customHeight="1" x14ac:dyDescent="0.25">
      <c r="A6" s="5">
        <f t="shared" si="3"/>
        <v>2028</v>
      </c>
      <c r="B6" s="49">
        <v>147585</v>
      </c>
      <c r="C6" s="50">
        <v>431528.5</v>
      </c>
      <c r="D6" s="50">
        <v>518980.5</v>
      </c>
      <c r="E6" s="50">
        <v>544269</v>
      </c>
      <c r="F6" s="50">
        <v>383275</v>
      </c>
      <c r="G6" s="17">
        <f t="shared" si="0"/>
        <v>1878053</v>
      </c>
      <c r="H6" s="17">
        <f t="shared" si="1"/>
        <v>168792.77297046239</v>
      </c>
      <c r="I6" s="17">
        <f t="shared" si="2"/>
        <v>1709260.2270295375</v>
      </c>
    </row>
    <row r="7" spans="1:9" ht="15.75" customHeight="1" x14ac:dyDescent="0.25">
      <c r="A7" s="5">
        <f t="shared" si="3"/>
        <v>2029</v>
      </c>
      <c r="B7" s="49">
        <v>148026</v>
      </c>
      <c r="C7" s="50">
        <v>445164</v>
      </c>
      <c r="D7" s="50">
        <v>531334</v>
      </c>
      <c r="E7" s="50">
        <v>536101</v>
      </c>
      <c r="F7" s="50">
        <v>403728.5</v>
      </c>
      <c r="G7" s="17">
        <f t="shared" si="0"/>
        <v>1916327.5</v>
      </c>
      <c r="H7" s="17">
        <f t="shared" si="1"/>
        <v>169297.14409815136</v>
      </c>
      <c r="I7" s="17">
        <f t="shared" si="2"/>
        <v>1747030.3559018485</v>
      </c>
    </row>
    <row r="8" spans="1:9" ht="15.75" customHeight="1" x14ac:dyDescent="0.25">
      <c r="A8" s="5">
        <f t="shared" si="3"/>
        <v>2030</v>
      </c>
      <c r="B8" s="49">
        <v>148902</v>
      </c>
      <c r="C8" s="50">
        <v>454578.99999999988</v>
      </c>
      <c r="D8" s="50">
        <v>548649.5</v>
      </c>
      <c r="E8" s="50">
        <v>526612.5</v>
      </c>
      <c r="F8" s="50">
        <v>423602</v>
      </c>
      <c r="G8" s="17">
        <f t="shared" si="0"/>
        <v>1953443</v>
      </c>
      <c r="H8" s="17">
        <f t="shared" si="1"/>
        <v>170299.02416131581</v>
      </c>
      <c r="I8" s="17">
        <f t="shared" si="2"/>
        <v>1783143.9758386842</v>
      </c>
    </row>
    <row r="9" spans="1:9" ht="15.75" customHeight="1" x14ac:dyDescent="0.25">
      <c r="A9" s="5">
        <f t="shared" si="3"/>
        <v>2031</v>
      </c>
      <c r="B9" s="49">
        <v>150695</v>
      </c>
      <c r="C9" s="50">
        <v>460047</v>
      </c>
      <c r="D9" s="50">
        <v>570192</v>
      </c>
      <c r="E9" s="50">
        <v>516308</v>
      </c>
      <c r="F9" s="50">
        <v>441966</v>
      </c>
      <c r="G9" s="17">
        <f t="shared" si="0"/>
        <v>1988513</v>
      </c>
      <c r="H9" s="17">
        <f t="shared" si="1"/>
        <v>172349.67593443667</v>
      </c>
      <c r="I9" s="17">
        <f t="shared" si="2"/>
        <v>1816163.3240655633</v>
      </c>
    </row>
    <row r="10" spans="1:9" ht="15.75" customHeight="1" x14ac:dyDescent="0.25">
      <c r="A10" s="5">
        <f t="shared" si="3"/>
        <v>2032</v>
      </c>
      <c r="B10" s="49">
        <v>152303</v>
      </c>
      <c r="C10" s="50">
        <v>464304.99999999988</v>
      </c>
      <c r="D10" s="50">
        <v>594033</v>
      </c>
      <c r="E10" s="50">
        <v>506524</v>
      </c>
      <c r="F10" s="50">
        <v>458011</v>
      </c>
      <c r="G10" s="17">
        <f t="shared" si="0"/>
        <v>2022873</v>
      </c>
      <c r="H10" s="17">
        <f t="shared" si="1"/>
        <v>174188.74344764263</v>
      </c>
      <c r="I10" s="17">
        <f t="shared" si="2"/>
        <v>1848684.2565523575</v>
      </c>
    </row>
    <row r="11" spans="1:9" ht="15.75" customHeight="1" x14ac:dyDescent="0.25">
      <c r="A11" s="5">
        <f t="shared" si="3"/>
        <v>2033</v>
      </c>
      <c r="B11" s="49">
        <v>154795</v>
      </c>
      <c r="C11" s="50">
        <v>467833.49999999988</v>
      </c>
      <c r="D11" s="50">
        <v>618813.50000000012</v>
      </c>
      <c r="E11" s="50">
        <v>498579.5</v>
      </c>
      <c r="F11" s="50">
        <v>471585</v>
      </c>
      <c r="G11" s="17">
        <f t="shared" si="0"/>
        <v>2056811.5</v>
      </c>
      <c r="H11" s="17">
        <f t="shared" si="1"/>
        <v>177038.84061363101</v>
      </c>
      <c r="I11" s="17">
        <f t="shared" si="2"/>
        <v>1879772.6593863689</v>
      </c>
    </row>
    <row r="12" spans="1:9" ht="15.75" customHeight="1" x14ac:dyDescent="0.25">
      <c r="A12" s="5">
        <f t="shared" si="3"/>
        <v>2034</v>
      </c>
      <c r="B12" s="49">
        <v>156752</v>
      </c>
      <c r="C12" s="50">
        <v>468206.49999999988</v>
      </c>
      <c r="D12" s="50">
        <v>643693.5</v>
      </c>
      <c r="E12" s="50">
        <v>493337</v>
      </c>
      <c r="F12" s="50">
        <v>480871.5</v>
      </c>
      <c r="G12" s="17">
        <f t="shared" si="0"/>
        <v>2086108.5</v>
      </c>
      <c r="H12" s="17">
        <f t="shared" si="1"/>
        <v>179277.0589739196</v>
      </c>
      <c r="I12" s="17">
        <f t="shared" si="2"/>
        <v>1906831.4410260804</v>
      </c>
    </row>
    <row r="13" spans="1:9" ht="15.75" customHeight="1" x14ac:dyDescent="0.25">
      <c r="A13" s="5">
        <f t="shared" si="3"/>
        <v>2035</v>
      </c>
      <c r="B13" s="49">
        <v>159181</v>
      </c>
      <c r="C13" s="50">
        <v>465727</v>
      </c>
      <c r="D13" s="50">
        <v>667980</v>
      </c>
      <c r="E13" s="50">
        <v>489537</v>
      </c>
      <c r="F13" s="50">
        <v>485528.5</v>
      </c>
      <c r="G13" s="17">
        <f t="shared" si="0"/>
        <v>2108772.5</v>
      </c>
      <c r="H13" s="17">
        <f t="shared" si="1"/>
        <v>182055.10312166667</v>
      </c>
      <c r="I13" s="17">
        <f t="shared" si="2"/>
        <v>1926717.3968783333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1.5407999999999991E-3</v>
      </c>
    </row>
    <row r="4" spans="1:8" ht="15.75" customHeight="1" x14ac:dyDescent="0.25">
      <c r="B4" s="19" t="s">
        <v>69</v>
      </c>
      <c r="C4" s="101">
        <v>5.5218899999999987E-2</v>
      </c>
    </row>
    <row r="5" spans="1:8" ht="15.75" customHeight="1" x14ac:dyDescent="0.25">
      <c r="B5" s="19" t="s">
        <v>70</v>
      </c>
      <c r="C5" s="101">
        <v>4.9336599999999987E-2</v>
      </c>
    </row>
    <row r="6" spans="1:8" ht="15.75" customHeight="1" x14ac:dyDescent="0.25">
      <c r="B6" s="19" t="s">
        <v>71</v>
      </c>
      <c r="C6" s="101">
        <v>0.19651040000000031</v>
      </c>
    </row>
    <row r="7" spans="1:8" ht="15.75" customHeight="1" x14ac:dyDescent="0.25">
      <c r="B7" s="19" t="s">
        <v>72</v>
      </c>
      <c r="C7" s="101">
        <v>0.41559819999999958</v>
      </c>
    </row>
    <row r="8" spans="1:8" ht="15.75" customHeight="1" x14ac:dyDescent="0.25">
      <c r="B8" s="19" t="s">
        <v>73</v>
      </c>
      <c r="C8" s="101">
        <v>1.9750000000000041E-4</v>
      </c>
    </row>
    <row r="9" spans="1:8" ht="15.75" customHeight="1" x14ac:dyDescent="0.25">
      <c r="B9" s="19" t="s">
        <v>74</v>
      </c>
      <c r="C9" s="101">
        <v>0.19013440000000001</v>
      </c>
    </row>
    <row r="10" spans="1:8" ht="15.75" customHeight="1" x14ac:dyDescent="0.25">
      <c r="B10" s="19" t="s">
        <v>75</v>
      </c>
      <c r="C10" s="101">
        <v>9.1463199999999953E-2</v>
      </c>
    </row>
    <row r="11" spans="1:8" ht="15.75" customHeight="1" x14ac:dyDescent="0.25">
      <c r="B11" s="27" t="s">
        <v>30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0.11521433516938739</v>
      </c>
      <c r="D14" s="55">
        <v>0.11521433516938739</v>
      </c>
      <c r="E14" s="55">
        <v>0.11521433516938739</v>
      </c>
      <c r="F14" s="55">
        <v>0.11521433516938739</v>
      </c>
    </row>
    <row r="15" spans="1:8" ht="15.75" customHeight="1" x14ac:dyDescent="0.25">
      <c r="B15" s="19" t="s">
        <v>82</v>
      </c>
      <c r="C15" s="101">
        <v>0.54966072134015409</v>
      </c>
      <c r="D15" s="101">
        <v>0.54966072134015409</v>
      </c>
      <c r="E15" s="101">
        <v>0.54966072134015409</v>
      </c>
      <c r="F15" s="101">
        <v>0.54966072134015409</v>
      </c>
    </row>
    <row r="16" spans="1:8" ht="15.75" customHeight="1" x14ac:dyDescent="0.25">
      <c r="B16" s="19" t="s">
        <v>83</v>
      </c>
      <c r="C16" s="101">
        <v>4.0830961878845301E-2</v>
      </c>
      <c r="D16" s="101">
        <v>4.0830961878845301E-2</v>
      </c>
      <c r="E16" s="101">
        <v>4.0830961878845301E-2</v>
      </c>
      <c r="F16" s="101">
        <v>4.0830961878845301E-2</v>
      </c>
    </row>
    <row r="17" spans="1:8" ht="15.75" customHeight="1" x14ac:dyDescent="0.25">
      <c r="B17" s="19" t="s">
        <v>84</v>
      </c>
      <c r="C17" s="101">
        <v>1.353392173711137E-3</v>
      </c>
      <c r="D17" s="101">
        <v>1.353392173711137E-3</v>
      </c>
      <c r="E17" s="101">
        <v>1.353392173711137E-3</v>
      </c>
      <c r="F17" s="101">
        <v>1.353392173711137E-3</v>
      </c>
    </row>
    <row r="18" spans="1:8" ht="15.75" customHeight="1" x14ac:dyDescent="0.25">
      <c r="B18" s="19" t="s">
        <v>85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86</v>
      </c>
      <c r="C19" s="101">
        <v>6.0295701086369472E-3</v>
      </c>
      <c r="D19" s="101">
        <v>6.0295701086369472E-3</v>
      </c>
      <c r="E19" s="101">
        <v>6.0295701086369472E-3</v>
      </c>
      <c r="F19" s="101">
        <v>6.0295701086369472E-3</v>
      </c>
    </row>
    <row r="20" spans="1:8" ht="15.75" customHeight="1" x14ac:dyDescent="0.25">
      <c r="B20" s="19" t="s">
        <v>87</v>
      </c>
      <c r="C20" s="101">
        <v>2.2324405642405711E-2</v>
      </c>
      <c r="D20" s="101">
        <v>2.2324405642405711E-2</v>
      </c>
      <c r="E20" s="101">
        <v>2.2324405642405711E-2</v>
      </c>
      <c r="F20" s="101">
        <v>2.2324405642405711E-2</v>
      </c>
    </row>
    <row r="21" spans="1:8" ht="15.75" customHeight="1" x14ac:dyDescent="0.25">
      <c r="B21" s="19" t="s">
        <v>88</v>
      </c>
      <c r="C21" s="101">
        <v>0.2122611559734788</v>
      </c>
      <c r="D21" s="101">
        <v>0.2122611559734788</v>
      </c>
      <c r="E21" s="101">
        <v>0.2122611559734788</v>
      </c>
      <c r="F21" s="101">
        <v>0.2122611559734788</v>
      </c>
    </row>
    <row r="22" spans="1:8" ht="15.75" customHeight="1" x14ac:dyDescent="0.25">
      <c r="B22" s="19" t="s">
        <v>89</v>
      </c>
      <c r="C22" s="101">
        <v>5.2325457713380492E-2</v>
      </c>
      <c r="D22" s="101">
        <v>5.2325457713380492E-2</v>
      </c>
      <c r="E22" s="101">
        <v>5.2325457713380492E-2</v>
      </c>
      <c r="F22" s="101">
        <v>5.2325457713380492E-2</v>
      </c>
    </row>
    <row r="23" spans="1:8" ht="15.75" customHeight="1" x14ac:dyDescent="0.25">
      <c r="B23" s="27" t="s">
        <v>30</v>
      </c>
      <c r="C23" s="48">
        <f>SUM(C14:C22)</f>
        <v>0.99999999999999978</v>
      </c>
      <c r="D23" s="48">
        <f>SUM(D14:D22)</f>
        <v>0.99999999999999978</v>
      </c>
      <c r="E23" s="48">
        <f>SUM(E14:E22)</f>
        <v>0.99999999999999978</v>
      </c>
      <c r="F23" s="48">
        <f>SUM(F14:F22)</f>
        <v>0.99999999999999978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8.6989028999999995E-2</v>
      </c>
    </row>
    <row r="27" spans="1:8" ht="15.75" customHeight="1" x14ac:dyDescent="0.25">
      <c r="B27" s="19" t="s">
        <v>92</v>
      </c>
      <c r="C27" s="101">
        <v>5.4674084999999983E-2</v>
      </c>
    </row>
    <row r="28" spans="1:8" ht="15.75" customHeight="1" x14ac:dyDescent="0.25">
      <c r="B28" s="19" t="s">
        <v>93</v>
      </c>
      <c r="C28" s="101">
        <v>7.8007822000000004E-2</v>
      </c>
    </row>
    <row r="29" spans="1:8" ht="15.75" customHeight="1" x14ac:dyDescent="0.25">
      <c r="B29" s="19" t="s">
        <v>94</v>
      </c>
      <c r="C29" s="101">
        <v>0.25304623700000001</v>
      </c>
    </row>
    <row r="30" spans="1:8" ht="15.75" customHeight="1" x14ac:dyDescent="0.25">
      <c r="B30" s="19" t="s">
        <v>95</v>
      </c>
      <c r="C30" s="101">
        <v>6.4168437999999994E-2</v>
      </c>
    </row>
    <row r="31" spans="1:8" ht="15.75" customHeight="1" x14ac:dyDescent="0.25">
      <c r="B31" s="19" t="s">
        <v>96</v>
      </c>
      <c r="C31" s="101">
        <v>3.8459681000000003E-2</v>
      </c>
    </row>
    <row r="32" spans="1:8" ht="15.75" customHeight="1" x14ac:dyDescent="0.25">
      <c r="B32" s="19" t="s">
        <v>97</v>
      </c>
      <c r="C32" s="101">
        <v>7.8795084000000001E-2</v>
      </c>
    </row>
    <row r="33" spans="2:3" ht="15.75" customHeight="1" x14ac:dyDescent="0.25">
      <c r="B33" s="19" t="s">
        <v>98</v>
      </c>
      <c r="C33" s="101">
        <v>6.8855599000000017E-2</v>
      </c>
    </row>
    <row r="34" spans="2:3" ht="15.75" customHeight="1" x14ac:dyDescent="0.25">
      <c r="B34" s="19" t="s">
        <v>99</v>
      </c>
      <c r="C34" s="101">
        <v>0.27700402600000001</v>
      </c>
    </row>
    <row r="35" spans="2:3" ht="15.75" customHeight="1" x14ac:dyDescent="0.25">
      <c r="B35" s="27" t="s">
        <v>30</v>
      </c>
      <c r="C35" s="48">
        <f>SUM(C26:C34)</f>
        <v>1.0000000010000001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0.72671771537825036</v>
      </c>
      <c r="D2" s="52">
        <f>IFERROR(1-_xlfn.NORM.DIST(_xlfn.NORM.INV(SUM(D4:D5), 0, 1) + 1, 0, 1, TRUE), "")</f>
        <v>0.72671771537825036</v>
      </c>
      <c r="E2" s="52">
        <f>IFERROR(1-_xlfn.NORM.DIST(_xlfn.NORM.INV(SUM(E4:E5), 0, 1) + 1, 0, 1, TRUE), "")</f>
        <v>0.62659155412491141</v>
      </c>
      <c r="F2" s="52">
        <f>IFERROR(1-_xlfn.NORM.DIST(_xlfn.NORM.INV(SUM(F4:F5), 0, 1) + 1, 0, 1, TRUE), "")</f>
        <v>0.51965388532462375</v>
      </c>
      <c r="G2" s="52">
        <f>IFERROR(1-_xlfn.NORM.DIST(_xlfn.NORM.INV(SUM(G4:G5), 0, 1) + 1, 0, 1, TRUE), "")</f>
        <v>0.56275773337121771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0.21880568462174965</v>
      </c>
      <c r="D3" s="52">
        <f>IFERROR(_xlfn.NORM.DIST(_xlfn.NORM.INV(SUM(D4:D5), 0, 1) + 1, 0, 1, TRUE) - SUM(D4:D5), "")</f>
        <v>0.21880568462174965</v>
      </c>
      <c r="E3" s="52">
        <f>IFERROR(_xlfn.NORM.DIST(_xlfn.NORM.INV(SUM(E4:E5), 0, 1) + 1, 0, 1, TRUE) - SUM(E4:E5), "")</f>
        <v>0.28046404587508861</v>
      </c>
      <c r="F3" s="52">
        <f>IFERROR(_xlfn.NORM.DIST(_xlfn.NORM.INV(SUM(F4:F5), 0, 1) + 1, 0, 1, TRUE) - SUM(F4:F5), "")</f>
        <v>0.33332261467537627</v>
      </c>
      <c r="G3" s="52">
        <f>IFERROR(_xlfn.NORM.DIST(_xlfn.NORM.INV(SUM(G4:G5), 0, 1) + 1, 0, 1, TRUE) - SUM(G4:G5), "")</f>
        <v>0.31380306662878238</v>
      </c>
    </row>
    <row r="4" spans="1:15" ht="15.75" customHeight="1" x14ac:dyDescent="0.25">
      <c r="B4" s="5" t="s">
        <v>104</v>
      </c>
      <c r="C4" s="45">
        <v>3.57805E-2</v>
      </c>
      <c r="D4" s="53">
        <v>3.57805E-2</v>
      </c>
      <c r="E4" s="53">
        <v>3.1043899999999999E-2</v>
      </c>
      <c r="F4" s="53">
        <v>0.11139780000000001</v>
      </c>
      <c r="G4" s="53">
        <v>9.3345199999999989E-2</v>
      </c>
    </row>
    <row r="5" spans="1:15" ht="15.75" customHeight="1" x14ac:dyDescent="0.25">
      <c r="B5" s="5" t="s">
        <v>105</v>
      </c>
      <c r="C5" s="45">
        <v>1.86961E-2</v>
      </c>
      <c r="D5" s="53">
        <v>1.86961E-2</v>
      </c>
      <c r="E5" s="53">
        <v>6.1900499999999997E-2</v>
      </c>
      <c r="F5" s="53">
        <v>3.5625700000000003E-2</v>
      </c>
      <c r="G5" s="53">
        <v>3.0093999999999999E-2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0.73878735174891208</v>
      </c>
      <c r="D8" s="52">
        <f>IFERROR(1-_xlfn.NORM.DIST(_xlfn.NORM.INV(SUM(D10:D11), 0, 1) + 1, 0, 1, TRUE), "")</f>
        <v>0.73878735174891208</v>
      </c>
      <c r="E8" s="52">
        <f>IFERROR(1-_xlfn.NORM.DIST(_xlfn.NORM.INV(SUM(E10:E11), 0, 1) + 1, 0, 1, TRUE), "")</f>
        <v>0.81092131378354604</v>
      </c>
      <c r="F8" s="52">
        <f>IFERROR(1-_xlfn.NORM.DIST(_xlfn.NORM.INV(SUM(F10:F11), 0, 1) + 1, 0, 1, TRUE), "")</f>
        <v>0.85378692413781465</v>
      </c>
      <c r="G8" s="52">
        <f>IFERROR(1-_xlfn.NORM.DIST(_xlfn.NORM.INV(SUM(G10:G11), 0, 1) + 1, 0, 1, TRUE), "")</f>
        <v>0.88685105031614997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0.21066964825108792</v>
      </c>
      <c r="D9" s="52">
        <f>IFERROR(_xlfn.NORM.DIST(_xlfn.NORM.INV(SUM(D10:D11), 0, 1) + 1, 0, 1, TRUE) - SUM(D10:D11), "")</f>
        <v>0.21066964825108792</v>
      </c>
      <c r="E9" s="52">
        <f>IFERROR(_xlfn.NORM.DIST(_xlfn.NORM.INV(SUM(E10:E11), 0, 1) + 1, 0, 1, TRUE) - SUM(E10:E11), "")</f>
        <v>0.15911288621645392</v>
      </c>
      <c r="F9" s="52">
        <f>IFERROR(_xlfn.NORM.DIST(_xlfn.NORM.INV(SUM(F10:F11), 0, 1) + 1, 0, 1, TRUE) - SUM(F10:F11), "")</f>
        <v>0.12616777586218536</v>
      </c>
      <c r="G9" s="52">
        <f>IFERROR(_xlfn.NORM.DIST(_xlfn.NORM.INV(SUM(G10:G11), 0, 1) + 1, 0, 1, TRUE) - SUM(G10:G11), "")</f>
        <v>9.9594649683850053E-2</v>
      </c>
    </row>
    <row r="10" spans="1:15" ht="15.75" customHeight="1" x14ac:dyDescent="0.25">
      <c r="B10" s="5" t="s">
        <v>109</v>
      </c>
      <c r="C10" s="45">
        <v>3.4095800000000002E-2</v>
      </c>
      <c r="D10" s="53">
        <v>3.4095800000000002E-2</v>
      </c>
      <c r="E10" s="53">
        <v>2.0798899999999999E-2</v>
      </c>
      <c r="F10" s="53">
        <v>1.07309E-2</v>
      </c>
      <c r="G10" s="53">
        <v>9.4171000000000012E-3</v>
      </c>
    </row>
    <row r="11" spans="1:15" ht="15.75" customHeight="1" x14ac:dyDescent="0.25">
      <c r="B11" s="5" t="s">
        <v>110</v>
      </c>
      <c r="C11" s="45">
        <v>1.6447199999999999E-2</v>
      </c>
      <c r="D11" s="53">
        <v>1.6447199999999999E-2</v>
      </c>
      <c r="E11" s="53">
        <v>9.1669000000000004E-3</v>
      </c>
      <c r="F11" s="53">
        <v>9.3144000000000005E-3</v>
      </c>
      <c r="G11" s="53">
        <v>4.1371999999999997E-3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0.66876521474999995</v>
      </c>
      <c r="D14" s="54">
        <v>0.63119051921299996</v>
      </c>
      <c r="E14" s="54">
        <v>0.63119051921299996</v>
      </c>
      <c r="F14" s="54">
        <v>0.45397782957600002</v>
      </c>
      <c r="G14" s="54">
        <v>0.45397782957600002</v>
      </c>
      <c r="H14" s="45">
        <v>0.39800000000000002</v>
      </c>
      <c r="I14" s="55">
        <v>0.39800000000000002</v>
      </c>
      <c r="J14" s="55">
        <v>0.39800000000000002</v>
      </c>
      <c r="K14" s="55">
        <v>0.39800000000000002</v>
      </c>
      <c r="L14" s="45">
        <v>0.35899999999999999</v>
      </c>
      <c r="M14" s="55">
        <v>0.35899999999999999</v>
      </c>
      <c r="N14" s="55">
        <v>0.35899999999999999</v>
      </c>
      <c r="O14" s="55">
        <v>0.35899999999999999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0.39389669260081722</v>
      </c>
      <c r="D15" s="52">
        <f t="shared" si="0"/>
        <v>0.37176553510178406</v>
      </c>
      <c r="E15" s="52">
        <f t="shared" si="0"/>
        <v>0.37176553510178406</v>
      </c>
      <c r="F15" s="52">
        <f t="shared" si="0"/>
        <v>0.26738885581979788</v>
      </c>
      <c r="G15" s="52">
        <f t="shared" si="0"/>
        <v>0.26738885581979788</v>
      </c>
      <c r="H15" s="52">
        <f t="shared" si="0"/>
        <v>0.23441841800000002</v>
      </c>
      <c r="I15" s="52">
        <f t="shared" si="0"/>
        <v>0.23441841800000002</v>
      </c>
      <c r="J15" s="52">
        <f t="shared" si="0"/>
        <v>0.23441841800000002</v>
      </c>
      <c r="K15" s="52">
        <f t="shared" si="0"/>
        <v>0.23441841800000002</v>
      </c>
      <c r="L15" s="52">
        <f t="shared" si="0"/>
        <v>0.21144776900000001</v>
      </c>
      <c r="M15" s="52">
        <f t="shared" si="0"/>
        <v>0.21144776900000001</v>
      </c>
      <c r="N15" s="52">
        <f t="shared" si="0"/>
        <v>0.21144776900000001</v>
      </c>
      <c r="O15" s="52">
        <f t="shared" si="0"/>
        <v>0.21144776900000001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0.70550790000000008</v>
      </c>
      <c r="D2" s="53">
        <v>0.41442689999999999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0.14739630000000001</v>
      </c>
      <c r="D3" s="53">
        <v>0.24610799999999999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0.1441006</v>
      </c>
      <c r="D4" s="53">
        <v>0.319693</v>
      </c>
      <c r="E4" s="53">
        <v>0.90135670000000001</v>
      </c>
      <c r="F4" s="53">
        <v>0.47346310000000003</v>
      </c>
      <c r="G4" s="53">
        <v>0</v>
      </c>
    </row>
    <row r="5" spans="1:7" x14ac:dyDescent="0.25">
      <c r="B5" s="3" t="s">
        <v>122</v>
      </c>
      <c r="C5" s="52">
        <v>2.9951999999999999E-3</v>
      </c>
      <c r="D5" s="52">
        <v>1.9772100000000001E-2</v>
      </c>
      <c r="E5" s="52">
        <f>1-SUM(E2:E4)</f>
        <v>9.8643299999999989E-2</v>
      </c>
      <c r="F5" s="52">
        <f>1-SUM(F2:F4)</f>
        <v>0.52653689999999997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tabSelected="1"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38.470301788640938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0.2467053173214</v>
      </c>
      <c r="C3" s="98">
        <v>0.95</v>
      </c>
      <c r="D3" s="56">
        <v>42.533821775887482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107.7603082099896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3.2952999808707668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2.3195500000000001E-2</v>
      </c>
      <c r="C10" s="98">
        <v>0.95</v>
      </c>
      <c r="D10" s="56">
        <v>13.55153367590807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2.3195500000000001E-2</v>
      </c>
      <c r="C11" s="98">
        <v>0.95</v>
      </c>
      <c r="D11" s="56">
        <v>13.55153367590807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2.3195500000000001E-2</v>
      </c>
      <c r="C12" s="98">
        <v>0.95</v>
      </c>
      <c r="D12" s="56">
        <v>13.55153367590807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2.3195500000000001E-2</v>
      </c>
      <c r="C13" s="98">
        <v>0.95</v>
      </c>
      <c r="D13" s="56">
        <v>13.55153367590807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2.3195500000000001E-2</v>
      </c>
      <c r="C14" s="98">
        <v>0.95</v>
      </c>
      <c r="D14" s="56">
        <v>13.55153367590807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2.3195500000000001E-2</v>
      </c>
      <c r="C15" s="98">
        <v>0.95</v>
      </c>
      <c r="D15" s="56">
        <v>13.55153367590807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</v>
      </c>
      <c r="C16" s="98">
        <v>0.95</v>
      </c>
      <c r="D16" s="56">
        <v>0.29077641375814661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0.12539809476402999</v>
      </c>
      <c r="C18" s="98">
        <v>0.95</v>
      </c>
      <c r="D18" s="56">
        <v>2.5765543589847759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0.97864569999999995</v>
      </c>
      <c r="C19" s="98">
        <v>0.95</v>
      </c>
      <c r="D19" s="56">
        <v>2.5765543589847759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0.93661349999999999</v>
      </c>
      <c r="C21" s="98">
        <v>0.95</v>
      </c>
      <c r="D21" s="56">
        <v>29.985420494092399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23.13145465735499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4.4684305312370904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0.95022541739835997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2.3195500000000001E-2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19.554423814166139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0.74516465863433001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69.007299698442466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0.97</v>
      </c>
      <c r="C31" s="98">
        <v>0.95</v>
      </c>
      <c r="D31" s="56">
        <v>0.90872808870784549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0.57448447746283704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0.97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0.59765410000000008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0.36409789999999997</v>
      </c>
      <c r="C38" s="98">
        <v>0.95</v>
      </c>
      <c r="D38" s="56">
        <v>1.4631854953882599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/>
      <c r="B6" s="58"/>
      <c r="C6" s="58"/>
    </row>
    <row r="7" spans="1:3" x14ac:dyDescent="0.25">
      <c r="A7" s="57"/>
      <c r="B7" s="58"/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2.8</v>
      </c>
      <c r="C2" s="21">
        <f>'Baseline year population inputs'!C52</f>
        <v>2.8</v>
      </c>
      <c r="D2" s="21">
        <f>'Baseline year population inputs'!C53</f>
        <v>2.8</v>
      </c>
      <c r="E2" s="21">
        <f>'Baseline year population inputs'!C54</f>
        <v>2.8</v>
      </c>
      <c r="F2" s="21">
        <f>'Baseline year population inputs'!C55</f>
        <v>2.8</v>
      </c>
    </row>
    <row r="3" spans="1:6" ht="15.75" customHeight="1" x14ac:dyDescent="0.25">
      <c r="A3" s="3" t="s">
        <v>204</v>
      </c>
      <c r="B3" s="21">
        <f>frac_mam_1month * 2.6</f>
        <v>8.8649080000000005E-2</v>
      </c>
      <c r="C3" s="21">
        <f>frac_mam_1_5months * 2.6</f>
        <v>8.8649080000000005E-2</v>
      </c>
      <c r="D3" s="21">
        <f>frac_mam_6_11months * 2.6</f>
        <v>5.4077139999999996E-2</v>
      </c>
      <c r="E3" s="21">
        <f>frac_mam_12_23months * 2.6</f>
        <v>2.7900339999999999E-2</v>
      </c>
      <c r="F3" s="21">
        <f>frac_mam_24_59months * 2.6</f>
        <v>2.4484460000000003E-2</v>
      </c>
    </row>
    <row r="4" spans="1:6" ht="15.75" customHeight="1" x14ac:dyDescent="0.25">
      <c r="A4" s="3" t="s">
        <v>205</v>
      </c>
      <c r="B4" s="21">
        <f>frac_sam_1month * 2.6</f>
        <v>4.2762719999999997E-2</v>
      </c>
      <c r="C4" s="21">
        <f>frac_sam_1_5months * 2.6</f>
        <v>4.2762719999999997E-2</v>
      </c>
      <c r="D4" s="21">
        <f>frac_sam_6_11months * 2.6</f>
        <v>2.3833940000000001E-2</v>
      </c>
      <c r="E4" s="21">
        <f>frac_sam_12_23months * 2.6</f>
        <v>2.4217440000000003E-2</v>
      </c>
      <c r="F4" s="21">
        <f>frac_sam_24_59months * 2.6</f>
        <v>1.0756719999999999E-2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9.0000000000000011E-3</v>
      </c>
      <c r="E2" s="60">
        <f>food_insecure</f>
        <v>9.0000000000000011E-3</v>
      </c>
      <c r="F2" s="60">
        <f>food_insecure</f>
        <v>9.0000000000000011E-3</v>
      </c>
      <c r="G2" s="60">
        <f>food_insecure</f>
        <v>9.0000000000000011E-3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9.0000000000000011E-3</v>
      </c>
      <c r="F5" s="60">
        <f>food_insecure</f>
        <v>9.0000000000000011E-3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4.6000000000000006E-2</v>
      </c>
      <c r="D7" s="60">
        <f>diarrhoea_1_5mo*frac_diarrhea_severe</f>
        <v>4.6000000000000006E-2</v>
      </c>
      <c r="E7" s="60">
        <f>diarrhoea_6_11mo*frac_diarrhea_severe</f>
        <v>4.6000000000000006E-2</v>
      </c>
      <c r="F7" s="60">
        <f>diarrhoea_12_23mo*frac_diarrhea_severe</f>
        <v>4.6000000000000006E-2</v>
      </c>
      <c r="G7" s="60">
        <f>diarrhoea_24_59mo*frac_diarrhea_severe</f>
        <v>4.6000000000000006E-2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9.0000000000000011E-3</v>
      </c>
      <c r="F8" s="60">
        <f>food_insecure</f>
        <v>9.0000000000000011E-3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9.0000000000000011E-3</v>
      </c>
      <c r="F9" s="60">
        <f>food_insecure</f>
        <v>9.0000000000000011E-3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4.6000000000000006E-2</v>
      </c>
      <c r="D12" s="60">
        <f>diarrhoea_1_5mo*frac_diarrhea_severe</f>
        <v>4.6000000000000006E-2</v>
      </c>
      <c r="E12" s="60">
        <f>diarrhoea_6_11mo*frac_diarrhea_severe</f>
        <v>4.6000000000000006E-2</v>
      </c>
      <c r="F12" s="60">
        <f>diarrhoea_12_23mo*frac_diarrhea_severe</f>
        <v>4.6000000000000006E-2</v>
      </c>
      <c r="G12" s="60">
        <f>diarrhoea_24_59mo*frac_diarrhea_severe</f>
        <v>4.6000000000000006E-2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9.0000000000000011E-3</v>
      </c>
      <c r="I15" s="60">
        <f>food_insecure</f>
        <v>9.0000000000000011E-3</v>
      </c>
      <c r="J15" s="60">
        <f>food_insecure</f>
        <v>9.0000000000000011E-3</v>
      </c>
      <c r="K15" s="60">
        <f>food_insecure</f>
        <v>9.0000000000000011E-3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0.379</v>
      </c>
      <c r="M24" s="60">
        <f>famplan_unmet_need</f>
        <v>0.379</v>
      </c>
      <c r="N24" s="60">
        <f>famplan_unmet_need</f>
        <v>0.379</v>
      </c>
      <c r="O24" s="60">
        <f>famplan_unmet_need</f>
        <v>0.379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6.364581192398075E-2</v>
      </c>
      <c r="M25" s="60">
        <f>(1-food_insecure)*(0.49)+food_insecure*(0.7)</f>
        <v>0.49188999999999994</v>
      </c>
      <c r="N25" s="60">
        <f>(1-food_insecure)*(0.49)+food_insecure*(0.7)</f>
        <v>0.49188999999999994</v>
      </c>
      <c r="O25" s="60">
        <f>(1-food_insecure)*(0.49)+food_insecure*(0.7)</f>
        <v>0.49188999999999994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2.7276776538848895E-2</v>
      </c>
      <c r="M26" s="60">
        <f>(1-food_insecure)*(0.21)+food_insecure*(0.3)</f>
        <v>0.21081</v>
      </c>
      <c r="N26" s="60">
        <f>(1-food_insecure)*(0.21)+food_insecure*(0.3)</f>
        <v>0.21081</v>
      </c>
      <c r="O26" s="60">
        <f>(1-food_insecure)*(0.21)+food_insecure*(0.3)</f>
        <v>0.21081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3.8467746620178253E-2</v>
      </c>
      <c r="M27" s="60">
        <f>(1-food_insecure)*(0.3)</f>
        <v>0.29730000000000001</v>
      </c>
      <c r="N27" s="60">
        <f>(1-food_insecure)*(0.3)</f>
        <v>0.29730000000000001</v>
      </c>
      <c r="O27" s="60">
        <f>(1-food_insecure)*(0.3)</f>
        <v>0.29730000000000001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0.8706096649169921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0.05</v>
      </c>
      <c r="F30" s="60">
        <f t="shared" si="0"/>
        <v>0.05</v>
      </c>
      <c r="G30" s="60">
        <f t="shared" si="0"/>
        <v>0.05</v>
      </c>
      <c r="H30" s="60">
        <f t="shared" si="0"/>
        <v>0.05</v>
      </c>
      <c r="I30" s="60">
        <f t="shared" si="0"/>
        <v>0.05</v>
      </c>
      <c r="J30" s="60">
        <f t="shared" si="0"/>
        <v>0.05</v>
      </c>
      <c r="K30" s="60">
        <f t="shared" si="0"/>
        <v>0.05</v>
      </c>
      <c r="L30" s="60">
        <f t="shared" si="0"/>
        <v>0.05</v>
      </c>
      <c r="M30" s="60">
        <f t="shared" si="0"/>
        <v>0.05</v>
      </c>
      <c r="N30" s="60">
        <f t="shared" si="0"/>
        <v>0.05</v>
      </c>
      <c r="O30" s="60">
        <f t="shared" si="0"/>
        <v>0.05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0.7</v>
      </c>
      <c r="F31" s="60">
        <f t="shared" si="1"/>
        <v>0.7</v>
      </c>
      <c r="G31" s="60">
        <f t="shared" si="1"/>
        <v>0.7</v>
      </c>
      <c r="H31" s="60">
        <f t="shared" si="1"/>
        <v>0.7</v>
      </c>
      <c r="I31" s="60">
        <f t="shared" si="1"/>
        <v>0.7</v>
      </c>
      <c r="J31" s="60">
        <f t="shared" si="1"/>
        <v>0.7</v>
      </c>
      <c r="K31" s="60">
        <f t="shared" si="1"/>
        <v>0.7</v>
      </c>
      <c r="L31" s="60">
        <f t="shared" si="1"/>
        <v>0.7</v>
      </c>
      <c r="M31" s="60">
        <f t="shared" si="1"/>
        <v>0.7</v>
      </c>
      <c r="N31" s="60">
        <f t="shared" si="1"/>
        <v>0.7</v>
      </c>
      <c r="O31" s="60">
        <f t="shared" si="1"/>
        <v>0.7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0.05</v>
      </c>
      <c r="F32" s="60">
        <f t="shared" si="2"/>
        <v>0.05</v>
      </c>
      <c r="G32" s="60">
        <f t="shared" si="2"/>
        <v>0.05</v>
      </c>
      <c r="H32" s="60">
        <f t="shared" si="2"/>
        <v>0.05</v>
      </c>
      <c r="I32" s="60">
        <f t="shared" si="2"/>
        <v>0.05</v>
      </c>
      <c r="J32" s="60">
        <f t="shared" si="2"/>
        <v>0.05</v>
      </c>
      <c r="K32" s="60">
        <f t="shared" si="2"/>
        <v>0.05</v>
      </c>
      <c r="L32" s="60">
        <f t="shared" si="2"/>
        <v>0.05</v>
      </c>
      <c r="M32" s="60">
        <f t="shared" si="2"/>
        <v>0.05</v>
      </c>
      <c r="N32" s="60">
        <f t="shared" si="2"/>
        <v>0.05</v>
      </c>
      <c r="O32" s="60">
        <f t="shared" si="2"/>
        <v>0.05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F28" sqref="F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F28" sqref="F2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1gEiboypgN1VYdmLYuHEsviiXDH91vsC32xKqzOEbclcsh2pOXs0vX071vry3NRJsC+T2/BNfpXbXWW7dldjVQ==" saltValue="XZihSWmo245BlR0GYalyd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topLeftCell="A28" zoomScale="70" zoomScaleNormal="70" workbookViewId="0">
      <selection activeCell="C27" sqref="C27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F51" sqref="F51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v>1</v>
      </c>
      <c r="M14" s="90">
        <v>1</v>
      </c>
      <c r="N14" s="90">
        <v>1</v>
      </c>
      <c r="O14" s="90">
        <v>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90">
        <v>1</v>
      </c>
      <c r="J20" s="90">
        <v>1</v>
      </c>
      <c r="K20" s="90">
        <v>1</v>
      </c>
      <c r="L20" s="90">
        <v>1</v>
      </c>
      <c r="M20" s="90">
        <v>1</v>
      </c>
      <c r="N20" s="90">
        <v>1</v>
      </c>
      <c r="O20" s="90">
        <v>1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0">IF(E3=1,1,E3*0.9)</f>
        <v>1</v>
      </c>
      <c r="F26" s="90">
        <f t="shared" si="0"/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8">IF(C18=1,1,C18*0.9)</f>
        <v>1</v>
      </c>
      <c r="D41" s="90">
        <f t="shared" si="8"/>
        <v>1</v>
      </c>
      <c r="E41" s="90">
        <f t="shared" si="8"/>
        <v>1</v>
      </c>
      <c r="F41" s="90">
        <f t="shared" si="8"/>
        <v>1</v>
      </c>
      <c r="G41" s="90">
        <f t="shared" si="8"/>
        <v>1</v>
      </c>
      <c r="H41" s="90">
        <f t="shared" si="8"/>
        <v>1</v>
      </c>
      <c r="I41" s="90">
        <f t="shared" si="8"/>
        <v>1</v>
      </c>
      <c r="J41" s="90">
        <f t="shared" si="8"/>
        <v>1</v>
      </c>
      <c r="K41" s="90">
        <f t="shared" si="8"/>
        <v>1</v>
      </c>
      <c r="L41" s="90">
        <f t="shared" si="8"/>
        <v>1</v>
      </c>
      <c r="M41" s="90">
        <f t="shared" si="8"/>
        <v>1</v>
      </c>
      <c r="N41" s="90">
        <f t="shared" si="8"/>
        <v>1</v>
      </c>
      <c r="O41" s="90">
        <f t="shared" si="8"/>
        <v>1</v>
      </c>
    </row>
    <row r="42" spans="1:15" x14ac:dyDescent="0.25">
      <c r="B42" s="5" t="s">
        <v>173</v>
      </c>
      <c r="C42" s="90">
        <f t="shared" ref="C42:D44" si="9">IF(C19=1,1,C19*0.9)</f>
        <v>1</v>
      </c>
      <c r="D42" s="90">
        <f t="shared" si="9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9"/>
        <v>1</v>
      </c>
      <c r="D43" s="90">
        <f t="shared" si="9"/>
        <v>1</v>
      </c>
      <c r="E43" s="90">
        <f t="shared" ref="E43:O43" si="10">IF(E20=1,1,E20*0.9)</f>
        <v>1</v>
      </c>
      <c r="F43" s="90">
        <f t="shared" si="10"/>
        <v>1</v>
      </c>
      <c r="G43" s="90">
        <f t="shared" si="10"/>
        <v>1</v>
      </c>
      <c r="H43" s="90">
        <f t="shared" si="10"/>
        <v>1</v>
      </c>
      <c r="I43" s="90">
        <f t="shared" si="10"/>
        <v>1</v>
      </c>
      <c r="J43" s="90">
        <f t="shared" si="10"/>
        <v>1</v>
      </c>
      <c r="K43" s="90">
        <f t="shared" si="10"/>
        <v>1</v>
      </c>
      <c r="L43" s="90">
        <f t="shared" si="10"/>
        <v>1</v>
      </c>
      <c r="M43" s="90">
        <f t="shared" si="10"/>
        <v>1</v>
      </c>
      <c r="N43" s="90">
        <f t="shared" si="10"/>
        <v>1</v>
      </c>
      <c r="O43" s="90">
        <f t="shared" si="10"/>
        <v>1</v>
      </c>
    </row>
    <row r="44" spans="1:15" x14ac:dyDescent="0.25">
      <c r="B44" s="5" t="s">
        <v>182</v>
      </c>
      <c r="C44" s="90">
        <f t="shared" si="9"/>
        <v>1</v>
      </c>
      <c r="D44" s="90">
        <f t="shared" si="9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11">IF(E3=1,1,E3*1.05)</f>
        <v>1</v>
      </c>
      <c r="F49" s="90">
        <f t="shared" si="11"/>
        <v>1</v>
      </c>
      <c r="G49" s="90">
        <f t="shared" si="11"/>
        <v>1</v>
      </c>
      <c r="H49" s="90">
        <f t="shared" si="11"/>
        <v>1</v>
      </c>
      <c r="I49" s="90">
        <f t="shared" si="11"/>
        <v>1</v>
      </c>
      <c r="J49" s="90">
        <f t="shared" si="11"/>
        <v>1</v>
      </c>
      <c r="K49" s="90">
        <f t="shared" si="11"/>
        <v>1</v>
      </c>
      <c r="L49" s="90">
        <f t="shared" si="11"/>
        <v>1</v>
      </c>
      <c r="M49" s="90">
        <f t="shared" si="11"/>
        <v>1</v>
      </c>
      <c r="N49" s="90">
        <f t="shared" si="11"/>
        <v>1</v>
      </c>
      <c r="O49" s="90">
        <f t="shared" si="11"/>
        <v>1</v>
      </c>
    </row>
    <row r="50" spans="1:15" x14ac:dyDescent="0.25">
      <c r="B50" s="11" t="s">
        <v>175</v>
      </c>
      <c r="C50" s="90">
        <f t="shared" ref="C50:G56" si="12">IF(C4=1,1,C4*1.05)</f>
        <v>1</v>
      </c>
      <c r="D50" s="90">
        <f t="shared" si="12"/>
        <v>1</v>
      </c>
      <c r="E50" s="90">
        <f t="shared" si="12"/>
        <v>1</v>
      </c>
      <c r="F50" s="90">
        <f t="shared" si="12"/>
        <v>1</v>
      </c>
      <c r="G50" s="90">
        <f t="shared" si="12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3">IF(L4=1,1,L4*1.05)</f>
        <v>1</v>
      </c>
      <c r="M50" s="90">
        <f t="shared" si="13"/>
        <v>1</v>
      </c>
      <c r="N50" s="90">
        <f t="shared" si="13"/>
        <v>1</v>
      </c>
      <c r="O50" s="90">
        <f t="shared" si="13"/>
        <v>1</v>
      </c>
    </row>
    <row r="51" spans="1:15" x14ac:dyDescent="0.25">
      <c r="B51" s="11" t="s">
        <v>176</v>
      </c>
      <c r="C51" s="90">
        <f t="shared" si="12"/>
        <v>1</v>
      </c>
      <c r="D51" s="90">
        <f t="shared" si="12"/>
        <v>1</v>
      </c>
      <c r="E51" s="90">
        <f t="shared" si="12"/>
        <v>1</v>
      </c>
      <c r="F51" s="90">
        <f t="shared" si="12"/>
        <v>1</v>
      </c>
      <c r="G51" s="90">
        <f t="shared" si="12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3"/>
        <v>1</v>
      </c>
      <c r="M51" s="90">
        <f t="shared" si="13"/>
        <v>1</v>
      </c>
      <c r="N51" s="90">
        <f t="shared" si="13"/>
        <v>1</v>
      </c>
      <c r="O51" s="90">
        <f t="shared" si="13"/>
        <v>1</v>
      </c>
    </row>
    <row r="52" spans="1:15" x14ac:dyDescent="0.25">
      <c r="B52" s="11" t="s">
        <v>177</v>
      </c>
      <c r="C52" s="90">
        <f t="shared" si="12"/>
        <v>1</v>
      </c>
      <c r="D52" s="90">
        <f t="shared" si="12"/>
        <v>1</v>
      </c>
      <c r="E52" s="90">
        <f t="shared" si="12"/>
        <v>1</v>
      </c>
      <c r="F52" s="90">
        <f t="shared" si="12"/>
        <v>1</v>
      </c>
      <c r="G52" s="90">
        <f t="shared" si="12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3"/>
        <v>1</v>
      </c>
      <c r="M52" s="90">
        <f t="shared" si="13"/>
        <v>1</v>
      </c>
      <c r="N52" s="90">
        <f t="shared" si="13"/>
        <v>1</v>
      </c>
      <c r="O52" s="90">
        <f t="shared" si="13"/>
        <v>1</v>
      </c>
    </row>
    <row r="53" spans="1:15" x14ac:dyDescent="0.25">
      <c r="B53" s="11" t="s">
        <v>178</v>
      </c>
      <c r="C53" s="90">
        <f t="shared" si="12"/>
        <v>1</v>
      </c>
      <c r="D53" s="90">
        <f t="shared" si="12"/>
        <v>1</v>
      </c>
      <c r="E53" s="90">
        <f t="shared" si="12"/>
        <v>1</v>
      </c>
      <c r="F53" s="90">
        <f t="shared" si="12"/>
        <v>1</v>
      </c>
      <c r="G53" s="90">
        <f t="shared" si="12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3"/>
        <v>1</v>
      </c>
      <c r="M53" s="90">
        <f t="shared" si="13"/>
        <v>1</v>
      </c>
      <c r="N53" s="90">
        <f t="shared" si="13"/>
        <v>1</v>
      </c>
      <c r="O53" s="90">
        <f t="shared" si="13"/>
        <v>1</v>
      </c>
    </row>
    <row r="54" spans="1:15" x14ac:dyDescent="0.25">
      <c r="B54" s="5" t="s">
        <v>179</v>
      </c>
      <c r="C54" s="90">
        <f t="shared" si="12"/>
        <v>1</v>
      </c>
      <c r="D54" s="90">
        <f t="shared" si="12"/>
        <v>1</v>
      </c>
      <c r="E54" s="90">
        <f t="shared" si="12"/>
        <v>1</v>
      </c>
      <c r="F54" s="90">
        <f t="shared" si="12"/>
        <v>1</v>
      </c>
      <c r="G54" s="90">
        <f t="shared" si="12"/>
        <v>1</v>
      </c>
      <c r="H54" s="90">
        <f t="shared" ref="H54:K57" si="14">IF(H8=1,1,H8*1.05)</f>
        <v>1</v>
      </c>
      <c r="I54" s="90">
        <f t="shared" si="14"/>
        <v>1</v>
      </c>
      <c r="J54" s="90">
        <f t="shared" si="14"/>
        <v>1</v>
      </c>
      <c r="K54" s="90">
        <f t="shared" si="14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2"/>
        <v>1</v>
      </c>
      <c r="D55" s="90">
        <f t="shared" si="12"/>
        <v>1</v>
      </c>
      <c r="E55" s="90">
        <f t="shared" si="12"/>
        <v>1</v>
      </c>
      <c r="F55" s="90">
        <f t="shared" si="12"/>
        <v>1</v>
      </c>
      <c r="G55" s="90">
        <f t="shared" si="12"/>
        <v>1</v>
      </c>
      <c r="H55" s="90">
        <f t="shared" si="14"/>
        <v>1</v>
      </c>
      <c r="I55" s="90">
        <f t="shared" si="14"/>
        <v>1</v>
      </c>
      <c r="J55" s="90">
        <f t="shared" si="14"/>
        <v>1</v>
      </c>
      <c r="K55" s="90">
        <f t="shared" si="14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2"/>
        <v>1</v>
      </c>
      <c r="D56" s="90">
        <f t="shared" si="12"/>
        <v>1</v>
      </c>
      <c r="E56" s="90">
        <f t="shared" si="12"/>
        <v>1</v>
      </c>
      <c r="F56" s="90">
        <f t="shared" si="12"/>
        <v>1</v>
      </c>
      <c r="G56" s="90">
        <f t="shared" si="12"/>
        <v>1</v>
      </c>
      <c r="H56" s="90">
        <f t="shared" si="14"/>
        <v>1</v>
      </c>
      <c r="I56" s="90">
        <f t="shared" si="14"/>
        <v>1</v>
      </c>
      <c r="J56" s="90">
        <f t="shared" si="14"/>
        <v>1</v>
      </c>
      <c r="K56" s="90">
        <f t="shared" si="14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4"/>
        <v>1</v>
      </c>
      <c r="I57" s="90">
        <f t="shared" si="14"/>
        <v>1</v>
      </c>
      <c r="J57" s="90">
        <f t="shared" si="14"/>
        <v>1</v>
      </c>
      <c r="K57" s="90">
        <f t="shared" si="14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5">IF(C13=1,1,C13*1.05)</f>
        <v>1</v>
      </c>
      <c r="D59" s="90">
        <f t="shared" si="15"/>
        <v>1</v>
      </c>
      <c r="E59" s="90">
        <v>0.77</v>
      </c>
      <c r="F59" s="90">
        <v>0.77</v>
      </c>
      <c r="G59" s="90">
        <v>0.77</v>
      </c>
      <c r="H59" s="90">
        <f t="shared" ref="H59:O59" si="16">IF(H13=1,1,H13*1.05)</f>
        <v>1</v>
      </c>
      <c r="I59" s="90">
        <f t="shared" si="16"/>
        <v>1</v>
      </c>
      <c r="J59" s="90">
        <f t="shared" si="16"/>
        <v>1</v>
      </c>
      <c r="K59" s="90">
        <f t="shared" si="16"/>
        <v>1</v>
      </c>
      <c r="L59" s="90">
        <f t="shared" si="16"/>
        <v>1</v>
      </c>
      <c r="M59" s="90">
        <f t="shared" si="16"/>
        <v>1</v>
      </c>
      <c r="N59" s="90">
        <f t="shared" si="16"/>
        <v>1</v>
      </c>
      <c r="O59" s="90">
        <f t="shared" si="16"/>
        <v>1</v>
      </c>
    </row>
    <row r="60" spans="1:15" x14ac:dyDescent="0.25">
      <c r="B60" s="11" t="s">
        <v>189</v>
      </c>
      <c r="C60" s="90">
        <f t="shared" si="15"/>
        <v>1</v>
      </c>
      <c r="D60" s="90">
        <f t="shared" si="15"/>
        <v>1</v>
      </c>
      <c r="E60" s="90">
        <f t="shared" ref="E60:K60" si="17">IF(E14=1,1,E14*1.05)</f>
        <v>1</v>
      </c>
      <c r="F60" s="90">
        <f t="shared" si="17"/>
        <v>1</v>
      </c>
      <c r="G60" s="90">
        <f t="shared" si="17"/>
        <v>1</v>
      </c>
      <c r="H60" s="90">
        <f t="shared" si="17"/>
        <v>1</v>
      </c>
      <c r="I60" s="90">
        <f t="shared" si="17"/>
        <v>1</v>
      </c>
      <c r="J60" s="90">
        <f t="shared" si="17"/>
        <v>1</v>
      </c>
      <c r="K60" s="90">
        <f t="shared" si="17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5"/>
        <v>1</v>
      </c>
      <c r="D61" s="90">
        <f t="shared" si="15"/>
        <v>1</v>
      </c>
      <c r="E61" s="90">
        <v>0.44</v>
      </c>
      <c r="F61" s="90">
        <v>0.44</v>
      </c>
      <c r="G61" s="90">
        <f t="shared" ref="G61:O61" si="18">IF(G15=1,1,G15*1.05)</f>
        <v>1</v>
      </c>
      <c r="H61" s="90">
        <f t="shared" si="18"/>
        <v>1</v>
      </c>
      <c r="I61" s="90">
        <f t="shared" si="18"/>
        <v>1</v>
      </c>
      <c r="J61" s="90">
        <f t="shared" si="18"/>
        <v>1</v>
      </c>
      <c r="K61" s="90">
        <f t="shared" si="18"/>
        <v>1</v>
      </c>
      <c r="L61" s="90">
        <f t="shared" si="18"/>
        <v>1</v>
      </c>
      <c r="M61" s="90">
        <f t="shared" si="18"/>
        <v>1</v>
      </c>
      <c r="N61" s="90">
        <f t="shared" si="18"/>
        <v>1</v>
      </c>
      <c r="O61" s="90">
        <f t="shared" si="18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19">IF(C18=1,1,C18*1.05)</f>
        <v>1</v>
      </c>
      <c r="D64" s="90">
        <f t="shared" si="19"/>
        <v>1</v>
      </c>
      <c r="E64" s="90">
        <f t="shared" si="19"/>
        <v>1</v>
      </c>
      <c r="F64" s="90">
        <f t="shared" si="19"/>
        <v>1</v>
      </c>
      <c r="G64" s="90">
        <f t="shared" si="19"/>
        <v>1</v>
      </c>
      <c r="H64" s="90">
        <f t="shared" si="19"/>
        <v>1</v>
      </c>
      <c r="I64" s="90">
        <f t="shared" si="19"/>
        <v>1</v>
      </c>
      <c r="J64" s="90">
        <f t="shared" si="19"/>
        <v>1</v>
      </c>
      <c r="K64" s="90">
        <f t="shared" si="19"/>
        <v>1</v>
      </c>
      <c r="L64" s="90">
        <f t="shared" si="19"/>
        <v>1</v>
      </c>
      <c r="M64" s="90">
        <f t="shared" si="19"/>
        <v>1</v>
      </c>
      <c r="N64" s="90">
        <f t="shared" si="19"/>
        <v>1</v>
      </c>
      <c r="O64" s="90">
        <f t="shared" si="19"/>
        <v>1</v>
      </c>
    </row>
    <row r="65" spans="2:15" x14ac:dyDescent="0.25">
      <c r="B65" s="5" t="s">
        <v>173</v>
      </c>
      <c r="C65" s="90">
        <f t="shared" ref="C65:D67" si="20">IF(C19=1,1,C19*1.05)</f>
        <v>1</v>
      </c>
      <c r="D65" s="90">
        <f t="shared" si="20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20"/>
        <v>1</v>
      </c>
      <c r="D66" s="90">
        <f t="shared" si="20"/>
        <v>1</v>
      </c>
      <c r="E66" s="90">
        <f t="shared" ref="E66:O66" si="21">IF(E20=1,1,E20*1.05)</f>
        <v>1</v>
      </c>
      <c r="F66" s="90">
        <f t="shared" si="21"/>
        <v>1</v>
      </c>
      <c r="G66" s="90">
        <f t="shared" si="21"/>
        <v>1</v>
      </c>
      <c r="H66" s="90">
        <f t="shared" si="21"/>
        <v>1</v>
      </c>
      <c r="I66" s="90">
        <f t="shared" si="21"/>
        <v>1</v>
      </c>
      <c r="J66" s="90">
        <f t="shared" si="21"/>
        <v>1</v>
      </c>
      <c r="K66" s="90">
        <f t="shared" si="21"/>
        <v>1</v>
      </c>
      <c r="L66" s="90">
        <f t="shared" si="21"/>
        <v>1</v>
      </c>
      <c r="M66" s="90">
        <f t="shared" si="21"/>
        <v>1</v>
      </c>
      <c r="N66" s="90">
        <f t="shared" si="21"/>
        <v>1</v>
      </c>
      <c r="O66" s="90">
        <f t="shared" si="21"/>
        <v>1</v>
      </c>
    </row>
    <row r="67" spans="2:15" x14ac:dyDescent="0.25">
      <c r="B67" s="5" t="s">
        <v>182</v>
      </c>
      <c r="C67" s="90">
        <f t="shared" si="20"/>
        <v>1</v>
      </c>
      <c r="D67" s="90">
        <f t="shared" si="20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6" ma:contentTypeDescription="Create a new document." ma:contentTypeScope="" ma:versionID="107b52809c0cc4b5077f1ac81d3c69cc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82b7e1b740270cfb0676be859a78f3d0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B61301EE-63BC-41A3-A3F2-7FEA8DEC7941}"/>
</file>

<file path=customXml/itemProps2.xml><?xml version="1.0" encoding="utf-8"?>
<ds:datastoreItem xmlns:ds="http://schemas.openxmlformats.org/officeDocument/2006/customXml" ds:itemID="{C561B4D7-EC4D-475E-9600-B1945F20A35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2024-04-11T00:41:00Z</dcterms:modified>
</cp:coreProperties>
</file>