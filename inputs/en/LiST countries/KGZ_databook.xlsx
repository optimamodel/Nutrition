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F4D942F-ACE1-4095-9182-39968ECF3AD0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<sst xmlns="http://schemas.openxmlformats.org/spreadsheetml/2006/main" count="2092" uniqueCount="341">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</sst>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765421.328125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0.8706096649169921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0.55500000000000005</v>
      </c>
    </row>
    <row r="25" spans="1:3" ht="15" customHeight="1" x14ac:dyDescent="0.25">
      <c r="B25" s="15" t="s">
        <v>23</v>
      </c>
      <c r="C25" s="45">
        <v>0.30480000000000002</v>
      </c>
    </row>
    <row r="26" spans="1:3" ht="15" customHeight="1" x14ac:dyDescent="0.25">
      <c r="B26" s="15" t="s">
        <v>24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135805.9472</v>
      </c>
      <c r="C2" s="49">
        <v>277000</v>
      </c>
      <c r="D2" s="49">
        <v>466000</v>
      </c>
      <c r="E2" s="49">
        <v>554000</v>
      </c>
      <c r="F2" s="49">
        <v>366000</v>
      </c>
      <c r="G2" s="17">
        <f t="shared" ref="G2:G13" si="0">C2+D2+E2+F2</f>
        <v>1663000</v>
      </c>
      <c r="H2" s="17">
        <f t="shared" ref="H2:H13" si="1">(B2 + stillbirth*B2/(1000-stillbirth))/(1-abortion)</f>
        <v>155321.08556945628</v>
      </c>
      <c r="I2" s="17">
        <f t="shared" ref="I2:I13" si="2">G2-H2</f>
        <v>1507678.9144305438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133445.916</v>
      </c>
      <c r="C3" s="50">
        <v>293000</v>
      </c>
      <c r="D3" s="50">
        <v>459000</v>
      </c>
      <c r="E3" s="50">
        <v>554000</v>
      </c>
      <c r="F3" s="50">
        <v>380000</v>
      </c>
      <c r="G3" s="17">
        <f t="shared" si="0"/>
        <v>1686000</v>
      </c>
      <c r="H3" s="17">
        <f t="shared" si="1"/>
        <v>152621.92094876443</v>
      </c>
      <c r="I3" s="17">
        <f t="shared" si="2"/>
        <v>1533378.0790512357</v>
      </c>
    </row>
    <row r="4" spans="1:9" ht="15.75" customHeight="1" x14ac:dyDescent="0.25">
      <c r="A4" s="5">
        <f t="shared" si="3"/>
        <v>2026</v>
      </c>
      <c r="B4" s="49">
        <v>132981.64000000001</v>
      </c>
      <c r="C4" s="50">
        <v>309000</v>
      </c>
      <c r="D4" s="50">
        <v>458000</v>
      </c>
      <c r="E4" s="50">
        <v>547000</v>
      </c>
      <c r="F4" s="50">
        <v>398000</v>
      </c>
      <c r="G4" s="17">
        <f t="shared" si="0"/>
        <v>1712000</v>
      </c>
      <c r="H4" s="17">
        <f t="shared" si="1"/>
        <v>152090.92909008209</v>
      </c>
      <c r="I4" s="17">
        <f t="shared" si="2"/>
        <v>1559909.0709099178</v>
      </c>
    </row>
    <row r="5" spans="1:9" ht="15.75" customHeight="1" x14ac:dyDescent="0.25">
      <c r="A5" s="5">
        <f t="shared" si="3"/>
        <v>2027</v>
      </c>
      <c r="B5" s="49">
        <v>132422.6</v>
      </c>
      <c r="C5" s="50">
        <v>326000</v>
      </c>
      <c r="D5" s="50">
        <v>460000</v>
      </c>
      <c r="E5" s="50">
        <v>537000</v>
      </c>
      <c r="F5" s="50">
        <v>419000</v>
      </c>
      <c r="G5" s="17">
        <f t="shared" si="0"/>
        <v>1742000</v>
      </c>
      <c r="H5" s="17">
        <f t="shared" si="1"/>
        <v>151451.55576758043</v>
      </c>
      <c r="I5" s="17">
        <f t="shared" si="2"/>
        <v>1590548.4442324196</v>
      </c>
    </row>
    <row r="6" spans="1:9" ht="15.75" customHeight="1" x14ac:dyDescent="0.25">
      <c r="A6" s="5">
        <f t="shared" si="3"/>
        <v>2028</v>
      </c>
      <c r="B6" s="49">
        <v>131827.24799999999</v>
      </c>
      <c r="C6" s="50">
        <v>342000</v>
      </c>
      <c r="D6" s="50">
        <v>467000</v>
      </c>
      <c r="E6" s="50">
        <v>522000</v>
      </c>
      <c r="F6" s="50">
        <v>444000</v>
      </c>
      <c r="G6" s="17">
        <f t="shared" si="0"/>
        <v>1775000</v>
      </c>
      <c r="H6" s="17">
        <f t="shared" si="1"/>
        <v>150770.65245780293</v>
      </c>
      <c r="I6" s="17">
        <f t="shared" si="2"/>
        <v>1624229.347542197</v>
      </c>
    </row>
    <row r="7" spans="1:9" ht="15.75" customHeight="1" x14ac:dyDescent="0.25">
      <c r="A7" s="5">
        <f t="shared" si="3"/>
        <v>2029</v>
      </c>
      <c r="B7" s="49">
        <v>131140.33600000001</v>
      </c>
      <c r="C7" s="50">
        <v>355000</v>
      </c>
      <c r="D7" s="50">
        <v>479000</v>
      </c>
      <c r="E7" s="50">
        <v>505000</v>
      </c>
      <c r="F7" s="50">
        <v>466000</v>
      </c>
      <c r="G7" s="17">
        <f t="shared" si="0"/>
        <v>1805000</v>
      </c>
      <c r="H7" s="17">
        <f t="shared" si="1"/>
        <v>149985.03209484814</v>
      </c>
      <c r="I7" s="17">
        <f t="shared" si="2"/>
        <v>1655014.9679051519</v>
      </c>
    </row>
    <row r="8" spans="1:9" ht="15.75" customHeight="1" x14ac:dyDescent="0.25">
      <c r="A8" s="5">
        <f t="shared" si="3"/>
        <v>2030</v>
      </c>
      <c r="B8" s="49">
        <v>130418.71400000001</v>
      </c>
      <c r="C8" s="50">
        <v>364000</v>
      </c>
      <c r="D8" s="50">
        <v>495000</v>
      </c>
      <c r="E8" s="50">
        <v>489000</v>
      </c>
      <c r="F8" s="50">
        <v>486000</v>
      </c>
      <c r="G8" s="17">
        <f t="shared" si="0"/>
        <v>1834000</v>
      </c>
      <c r="H8" s="17">
        <f t="shared" si="1"/>
        <v>149159.71394993848</v>
      </c>
      <c r="I8" s="17">
        <f t="shared" si="2"/>
        <v>1684840.2860500615</v>
      </c>
    </row>
    <row r="9" spans="1:9" ht="15.75" customHeight="1" x14ac:dyDescent="0.25">
      <c r="A9" s="5">
        <f t="shared" si="3"/>
        <v>2031</v>
      </c>
      <c r="B9" s="49">
        <v>129649.1092571429</v>
      </c>
      <c r="C9" s="50">
        <v>376428.57142857142</v>
      </c>
      <c r="D9" s="50">
        <v>499142.85714285722</v>
      </c>
      <c r="E9" s="50">
        <v>479714.28571428568</v>
      </c>
      <c r="F9" s="50">
        <v>503142.85714285722</v>
      </c>
      <c r="G9" s="17">
        <f t="shared" si="0"/>
        <v>1858428.5714285716</v>
      </c>
      <c r="H9" s="17">
        <f t="shared" si="1"/>
        <v>148279.51800429312</v>
      </c>
      <c r="I9" s="17">
        <f t="shared" si="2"/>
        <v>1710149.0534242785</v>
      </c>
    </row>
    <row r="10" spans="1:9" ht="15.75" customHeight="1" x14ac:dyDescent="0.25">
      <c r="A10" s="5">
        <f t="shared" si="3"/>
        <v>2032</v>
      </c>
      <c r="B10" s="49">
        <v>129106.7082938776</v>
      </c>
      <c r="C10" s="50">
        <v>388346.93877551018</v>
      </c>
      <c r="D10" s="50">
        <v>504877.55102040822</v>
      </c>
      <c r="E10" s="50">
        <v>469102.04081632663</v>
      </c>
      <c r="F10" s="50">
        <v>520734.69387755112</v>
      </c>
      <c r="G10" s="17">
        <f t="shared" si="0"/>
        <v>1883061.224489796</v>
      </c>
      <c r="H10" s="17">
        <f t="shared" si="1"/>
        <v>147659.1747265115</v>
      </c>
      <c r="I10" s="17">
        <f t="shared" si="2"/>
        <v>1735402.0497632844</v>
      </c>
    </row>
    <row r="11" spans="1:9" ht="15.75" customHeight="1" x14ac:dyDescent="0.25">
      <c r="A11" s="5">
        <f t="shared" si="3"/>
        <v>2033</v>
      </c>
      <c r="B11" s="49">
        <v>128553.1466215743</v>
      </c>
      <c r="C11" s="50">
        <v>399682.2157434402</v>
      </c>
      <c r="D11" s="50">
        <v>511574.34402332362</v>
      </c>
      <c r="E11" s="50">
        <v>457973.76093294472</v>
      </c>
      <c r="F11" s="50">
        <v>538268.22157434409</v>
      </c>
      <c r="G11" s="17">
        <f t="shared" si="0"/>
        <v>1907498.5422740527</v>
      </c>
      <c r="H11" s="17">
        <f t="shared" si="1"/>
        <v>147026.06696028702</v>
      </c>
      <c r="I11" s="17">
        <f t="shared" si="2"/>
        <v>1760472.4753137657</v>
      </c>
    </row>
    <row r="12" spans="1:9" ht="15.75" customHeight="1" x14ac:dyDescent="0.25">
      <c r="A12" s="5">
        <f t="shared" si="3"/>
        <v>2034</v>
      </c>
      <c r="B12" s="49">
        <v>128000.3675675135</v>
      </c>
      <c r="C12" s="50">
        <v>410208.24656393158</v>
      </c>
      <c r="D12" s="50">
        <v>518942.107455227</v>
      </c>
      <c r="E12" s="50">
        <v>446684.2982090796</v>
      </c>
      <c r="F12" s="50">
        <v>555306.53894210758</v>
      </c>
      <c r="G12" s="17">
        <f t="shared" si="0"/>
        <v>1931141.1911703455</v>
      </c>
      <c r="H12" s="17">
        <f t="shared" si="1"/>
        <v>146393.85427353083</v>
      </c>
      <c r="I12" s="17">
        <f t="shared" si="2"/>
        <v>1784747.3368968146</v>
      </c>
    </row>
    <row r="13" spans="1:9" ht="15.75" customHeight="1" x14ac:dyDescent="0.25">
      <c r="A13" s="5">
        <f t="shared" si="3"/>
        <v>2035</v>
      </c>
      <c r="B13" s="49">
        <v>127453.6703628726</v>
      </c>
      <c r="C13" s="50">
        <v>419952.28178735042</v>
      </c>
      <c r="D13" s="50">
        <v>526362.40852025943</v>
      </c>
      <c r="E13" s="50">
        <v>435924.91223894811</v>
      </c>
      <c r="F13" s="50">
        <v>571207.47307669441</v>
      </c>
      <c r="G13" s="17">
        <f t="shared" si="0"/>
        <v>1953447.0756232524</v>
      </c>
      <c r="H13" s="17">
        <f t="shared" si="1"/>
        <v>145768.5973900634</v>
      </c>
      <c r="I13" s="17">
        <f t="shared" si="2"/>
        <v>1807678.4782331891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0.17657707263710001</v>
      </c>
      <c r="C2" s="98">
        <v>0.95</v>
      </c>
      <c r="D2" s="56">
        <v>38.470301788640938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42.533821775887482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107.7603082099896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3.1061362813373239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13.55153367590807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13.55153367590807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13.55153367590807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13.55153367590807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13.55153367590807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13.55153367590807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0.2467053173214</v>
      </c>
      <c r="C16" s="98">
        <v>0.95</v>
      </c>
      <c r="D16" s="56">
        <v>0.29077641375814661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2.5765543589847759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2.5765543589847759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0.61718569999999995</v>
      </c>
      <c r="C21" s="98">
        <v>0.95</v>
      </c>
      <c r="D21" s="56">
        <v>29.985420494092399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23.13145465735499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7.1143999999999999E-2</v>
      </c>
      <c r="C23" s="98">
        <v>0.95</v>
      </c>
      <c r="D23" s="56">
        <v>4.4684305312370904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0.74516465863433001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0.2263989925156</v>
      </c>
      <c r="C27" s="98">
        <v>0.95</v>
      </c>
      <c r="D27" s="56">
        <v>19.554423814166139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0.36409789999999997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69.007299698442466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0.90872808870784549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0.41442689999999999</v>
      </c>
      <c r="C32" s="98">
        <v>0.95</v>
      </c>
      <c r="D32" s="56">
        <v>0.57448447746283704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0.97864569999999995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0.21817230000000001</v>
      </c>
      <c r="C38" s="98">
        <v>0.95</v>
      </c>
      <c r="D38" s="56">
        <v>1.4631854953882599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0.59765410000000008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205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0.8805470943080691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2024-03-28T03:04:15Z</dcterms:modified>
</cp:coreProperties>
</file>