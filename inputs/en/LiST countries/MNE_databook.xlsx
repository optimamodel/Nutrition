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3140AA1-D371-4DB4-9CD6-2CBEE173E792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40" i="2" s="1"/>
  <c r="C33" i="1"/>
  <c r="C20" i="1"/>
  <c r="A21" i="2" l="1"/>
  <c r="A29" i="2"/>
  <c r="A37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<sst xmlns="http://schemas.openxmlformats.org/spreadsheetml/2006/main" count="2092" uniqueCount="341">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</sst>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33985.198974609397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0.89240097045898392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0.53120000000000001</v>
      </c>
    </row>
    <row r="25" spans="1:3" ht="15" customHeight="1" x14ac:dyDescent="0.25">
      <c r="B25" s="15" t="s">
        <v>23</v>
      </c>
      <c r="C25" s="45">
        <v>0.40350000000000003</v>
      </c>
    </row>
    <row r="26" spans="1:3" ht="15" customHeight="1" x14ac:dyDescent="0.25">
      <c r="B26" s="15" t="s">
        <v>24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0.96101999999999999</v>
      </c>
    </row>
    <row r="38" spans="1:5" ht="15" customHeight="1" x14ac:dyDescent="0.25">
      <c r="B38" s="11" t="s">
        <v>34</v>
      </c>
      <c r="C38" s="43">
        <v>1.9053599999999999</v>
      </c>
      <c r="D38" s="12"/>
      <c r="E38" s="13"/>
    </row>
    <row r="39" spans="1:5" ht="15" customHeight="1" x14ac:dyDescent="0.25">
      <c r="B39" s="11" t="s">
        <v>35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5.9347000000000002E-3</v>
      </c>
      <c r="D45" s="12"/>
    </row>
    <row r="46" spans="1:5" ht="15.75" customHeight="1" x14ac:dyDescent="0.25">
      <c r="B46" s="11" t="s">
        <v>41</v>
      </c>
      <c r="C46" s="45">
        <v>6.3767500000000005E-2</v>
      </c>
      <c r="D46" s="12"/>
    </row>
    <row r="47" spans="1:5" ht="15.75" customHeight="1" x14ac:dyDescent="0.25">
      <c r="B47" s="11" t="s">
        <v>42</v>
      </c>
      <c r="C47" s="45">
        <v>7.53577E-2</v>
      </c>
      <c r="D47" s="12"/>
      <c r="E47" s="13"/>
    </row>
    <row r="48" spans="1:5" ht="15" customHeight="1" x14ac:dyDescent="0.25">
      <c r="B48" s="11" t="s">
        <v>43</v>
      </c>
      <c r="C48" s="46">
        <v>0.85494009999999998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0.62463999999999997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6510.439800000001</v>
      </c>
      <c r="C2" s="49">
        <v>19000</v>
      </c>
      <c r="D2" s="49">
        <v>39000</v>
      </c>
      <c r="E2" s="49">
        <v>41000</v>
      </c>
      <c r="F2" s="49">
        <v>43000</v>
      </c>
      <c r="G2" s="17">
        <f t="shared" ref="G2:G13" si="0">C2+D2+E2+F2</f>
        <v>142000</v>
      </c>
      <c r="H2" s="17">
        <f t="shared" ref="H2:H13" si="1">(B2 + stillbirth*B2/(1000-stillbirth))/(1-abortion)</f>
        <v>7423.2653483111326</v>
      </c>
      <c r="I2" s="17">
        <f t="shared" ref="I2:I13" si="2">G2-H2</f>
        <v>134576.73465168886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6452.19</v>
      </c>
      <c r="C3" s="50">
        <v>19000</v>
      </c>
      <c r="D3" s="50">
        <v>37000</v>
      </c>
      <c r="E3" s="50">
        <v>40000</v>
      </c>
      <c r="F3" s="50">
        <v>43000</v>
      </c>
      <c r="G3" s="17">
        <f t="shared" si="0"/>
        <v>139000</v>
      </c>
      <c r="H3" s="17">
        <f t="shared" si="1"/>
        <v>7356.8483726275444</v>
      </c>
      <c r="I3" s="17">
        <f t="shared" si="2"/>
        <v>131643.15162737246</v>
      </c>
    </row>
    <row r="4" spans="1:9" ht="15.75" customHeight="1" x14ac:dyDescent="0.25">
      <c r="A4" s="5">
        <f t="shared" si="3"/>
        <v>2026</v>
      </c>
      <c r="B4" s="49">
        <v>6398.7719999999999</v>
      </c>
      <c r="C4" s="50">
        <v>18000</v>
      </c>
      <c r="D4" s="50">
        <v>37000</v>
      </c>
      <c r="E4" s="50">
        <v>40000</v>
      </c>
      <c r="F4" s="50">
        <v>43000</v>
      </c>
      <c r="G4" s="17">
        <f t="shared" si="0"/>
        <v>138000</v>
      </c>
      <c r="H4" s="17">
        <f t="shared" si="1"/>
        <v>7295.9406612351304</v>
      </c>
      <c r="I4" s="17">
        <f t="shared" si="2"/>
        <v>130704.05933876487</v>
      </c>
    </row>
    <row r="5" spans="1:9" ht="15.75" customHeight="1" x14ac:dyDescent="0.25">
      <c r="A5" s="5">
        <f t="shared" si="3"/>
        <v>2027</v>
      </c>
      <c r="B5" s="49">
        <v>6355.7440000000006</v>
      </c>
      <c r="C5" s="50">
        <v>18000</v>
      </c>
      <c r="D5" s="50">
        <v>37000</v>
      </c>
      <c r="E5" s="50">
        <v>40000</v>
      </c>
      <c r="F5" s="50">
        <v>44000</v>
      </c>
      <c r="G5" s="17">
        <f t="shared" si="0"/>
        <v>139000</v>
      </c>
      <c r="H5" s="17">
        <f t="shared" si="1"/>
        <v>7246.8797266102338</v>
      </c>
      <c r="I5" s="17">
        <f t="shared" si="2"/>
        <v>131753.12027338977</v>
      </c>
    </row>
    <row r="6" spans="1:9" ht="15.75" customHeight="1" x14ac:dyDescent="0.25">
      <c r="A6" s="5">
        <f t="shared" si="3"/>
        <v>2028</v>
      </c>
      <c r="B6" s="49">
        <v>6302.5342000000001</v>
      </c>
      <c r="C6" s="50">
        <v>18000</v>
      </c>
      <c r="D6" s="50">
        <v>37000</v>
      </c>
      <c r="E6" s="50">
        <v>40000</v>
      </c>
      <c r="F6" s="50">
        <v>43000</v>
      </c>
      <c r="G6" s="17">
        <f t="shared" si="0"/>
        <v>138000</v>
      </c>
      <c r="H6" s="17">
        <f t="shared" si="1"/>
        <v>7186.2094068369724</v>
      </c>
      <c r="I6" s="17">
        <f t="shared" si="2"/>
        <v>130813.79059316302</v>
      </c>
    </row>
    <row r="7" spans="1:9" ht="15.75" customHeight="1" x14ac:dyDescent="0.25">
      <c r="A7" s="5">
        <f t="shared" si="3"/>
        <v>2029</v>
      </c>
      <c r="B7" s="49">
        <v>6249.4632000000001</v>
      </c>
      <c r="C7" s="50">
        <v>18000</v>
      </c>
      <c r="D7" s="50">
        <v>36000</v>
      </c>
      <c r="E7" s="50">
        <v>40000</v>
      </c>
      <c r="F7" s="50">
        <v>42000</v>
      </c>
      <c r="G7" s="17">
        <f t="shared" si="0"/>
        <v>136000</v>
      </c>
      <c r="H7" s="17">
        <f t="shared" si="1"/>
        <v>7125.6973481431469</v>
      </c>
      <c r="I7" s="17">
        <f t="shared" si="2"/>
        <v>128874.30265185685</v>
      </c>
    </row>
    <row r="8" spans="1:9" ht="15.75" customHeight="1" x14ac:dyDescent="0.25">
      <c r="A8" s="5">
        <f t="shared" si="3"/>
        <v>2030</v>
      </c>
      <c r="B8" s="49">
        <v>6196.5309999999999</v>
      </c>
      <c r="C8" s="50">
        <v>18000</v>
      </c>
      <c r="D8" s="50">
        <v>36000</v>
      </c>
      <c r="E8" s="50">
        <v>39000</v>
      </c>
      <c r="F8" s="50">
        <v>42000</v>
      </c>
      <c r="G8" s="17">
        <f t="shared" si="0"/>
        <v>135000</v>
      </c>
      <c r="H8" s="17">
        <f t="shared" si="1"/>
        <v>7065.3435505287553</v>
      </c>
      <c r="I8" s="17">
        <f t="shared" si="2"/>
        <v>127934.65644947125</v>
      </c>
    </row>
    <row r="9" spans="1:9" ht="15.75" customHeight="1" x14ac:dyDescent="0.25">
      <c r="A9" s="5">
        <f t="shared" si="3"/>
        <v>2031</v>
      </c>
      <c r="B9" s="49">
        <v>6151.6868857142854</v>
      </c>
      <c r="C9" s="50">
        <v>17857.142857142859</v>
      </c>
      <c r="D9" s="50">
        <v>35571.428571428572</v>
      </c>
      <c r="E9" s="50">
        <v>38714.285714285717</v>
      </c>
      <c r="F9" s="50">
        <v>41857.142857142862</v>
      </c>
      <c r="G9" s="17">
        <f t="shared" si="0"/>
        <v>134000.00000000003</v>
      </c>
      <c r="H9" s="17">
        <f t="shared" si="1"/>
        <v>7014.211865131273</v>
      </c>
      <c r="I9" s="17">
        <f t="shared" si="2"/>
        <v>126985.78813486875</v>
      </c>
    </row>
    <row r="10" spans="1:9" ht="15.75" customHeight="1" x14ac:dyDescent="0.25">
      <c r="A10" s="5">
        <f t="shared" si="3"/>
        <v>2032</v>
      </c>
      <c r="B10" s="49">
        <v>6108.7578693877549</v>
      </c>
      <c r="C10" s="50">
        <v>17693.87755102041</v>
      </c>
      <c r="D10" s="50">
        <v>35367.34693877551</v>
      </c>
      <c r="E10" s="50">
        <v>38530.612244897973</v>
      </c>
      <c r="F10" s="50">
        <v>41693.877551020407</v>
      </c>
      <c r="G10" s="17">
        <f t="shared" si="0"/>
        <v>133285.71428571429</v>
      </c>
      <c r="H10" s="17">
        <f t="shared" si="1"/>
        <v>6965.2637926318066</v>
      </c>
      <c r="I10" s="17">
        <f t="shared" si="2"/>
        <v>126320.45049308248</v>
      </c>
    </row>
    <row r="11" spans="1:9" ht="15.75" customHeight="1" x14ac:dyDescent="0.25">
      <c r="A11" s="5">
        <f t="shared" si="3"/>
        <v>2033</v>
      </c>
      <c r="B11" s="49">
        <v>6067.3272793002916</v>
      </c>
      <c r="C11" s="50">
        <v>17650.145772594751</v>
      </c>
      <c r="D11" s="50">
        <v>35134.110787172009</v>
      </c>
      <c r="E11" s="50">
        <v>38320.69970845482</v>
      </c>
      <c r="F11" s="50">
        <v>41507.28862973761</v>
      </c>
      <c r="G11" s="17">
        <f t="shared" si="0"/>
        <v>132612.24489795917</v>
      </c>
      <c r="H11" s="17">
        <f t="shared" si="1"/>
        <v>6918.0242399741883</v>
      </c>
      <c r="I11" s="17">
        <f t="shared" si="2"/>
        <v>125694.22065798499</v>
      </c>
    </row>
    <row r="12" spans="1:9" ht="15.75" customHeight="1" x14ac:dyDescent="0.25">
      <c r="A12" s="5">
        <f t="shared" si="3"/>
        <v>2034</v>
      </c>
      <c r="B12" s="49">
        <v>6026.1248906289047</v>
      </c>
      <c r="C12" s="50">
        <v>17600.166597251151</v>
      </c>
      <c r="D12" s="50">
        <v>34867.555185339443</v>
      </c>
      <c r="E12" s="50">
        <v>38080.799666805513</v>
      </c>
      <c r="F12" s="50">
        <v>41151.187005414409</v>
      </c>
      <c r="G12" s="17">
        <f t="shared" si="0"/>
        <v>131699.70845481052</v>
      </c>
      <c r="H12" s="17">
        <f t="shared" si="1"/>
        <v>6871.0448847404678</v>
      </c>
      <c r="I12" s="17">
        <f t="shared" si="2"/>
        <v>124828.66357007006</v>
      </c>
    </row>
    <row r="13" spans="1:9" ht="15.75" customHeight="1" x14ac:dyDescent="0.25">
      <c r="A13" s="5">
        <f t="shared" si="3"/>
        <v>2035</v>
      </c>
      <c r="B13" s="49">
        <v>5986.6378464330337</v>
      </c>
      <c r="C13" s="50">
        <v>17543.047539715601</v>
      </c>
      <c r="D13" s="50">
        <v>34562.920211816498</v>
      </c>
      <c r="E13" s="50">
        <v>37806.628190634867</v>
      </c>
      <c r="F13" s="50">
        <v>40887.070863330751</v>
      </c>
      <c r="G13" s="17">
        <f t="shared" si="0"/>
        <v>130799.66680549771</v>
      </c>
      <c r="H13" s="17">
        <f t="shared" si="1"/>
        <v>6826.0213815838242</v>
      </c>
      <c r="I13" s="17">
        <f t="shared" si="2"/>
        <v>123973.64542391388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3.4142703414270288E-2</v>
      </c>
    </row>
    <row r="5" spans="1:8" ht="15.75" customHeight="1" x14ac:dyDescent="0.25">
      <c r="B5" s="19" t="s">
        <v>70</v>
      </c>
      <c r="C5" s="101">
        <v>3.795040379504043E-2</v>
      </c>
    </row>
    <row r="6" spans="1:8" ht="15.75" customHeight="1" x14ac:dyDescent="0.25">
      <c r="B6" s="19" t="s">
        <v>71</v>
      </c>
      <c r="C6" s="101">
        <v>0.4935597493559748</v>
      </c>
    </row>
    <row r="7" spans="1:8" ht="15.75" customHeight="1" x14ac:dyDescent="0.25">
      <c r="B7" s="19" t="s">
        <v>72</v>
      </c>
      <c r="C7" s="101">
        <v>0.35620743562074381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7.3214107321410649E-2</v>
      </c>
    </row>
    <row r="10" spans="1:8" ht="15.75" customHeight="1" x14ac:dyDescent="0.25">
      <c r="B10" s="19" t="s">
        <v>75</v>
      </c>
      <c r="C10" s="101">
        <v>4.9256004925600444E-3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83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88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89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4.1039101000000001E-2</v>
      </c>
    </row>
    <row r="27" spans="1:8" ht="15.75" customHeight="1" x14ac:dyDescent="0.25">
      <c r="B27" s="19" t="s">
        <v>92</v>
      </c>
      <c r="C27" s="101">
        <v>0.311955555</v>
      </c>
    </row>
    <row r="28" spans="1:8" ht="15.75" customHeight="1" x14ac:dyDescent="0.25">
      <c r="B28" s="19" t="s">
        <v>93</v>
      </c>
      <c r="C28" s="101">
        <v>7.1433338999999998E-2</v>
      </c>
    </row>
    <row r="29" spans="1:8" ht="15.75" customHeight="1" x14ac:dyDescent="0.25">
      <c r="B29" s="19" t="s">
        <v>94</v>
      </c>
      <c r="C29" s="101">
        <v>8.7817816000000007E-2</v>
      </c>
    </row>
    <row r="30" spans="1:8" ht="15.75" customHeight="1" x14ac:dyDescent="0.25">
      <c r="B30" s="19" t="s">
        <v>95</v>
      </c>
      <c r="C30" s="101">
        <v>4.5304205E-2</v>
      </c>
    </row>
    <row r="31" spans="1:8" ht="15.75" customHeight="1" x14ac:dyDescent="0.25">
      <c r="B31" s="19" t="s">
        <v>96</v>
      </c>
      <c r="C31" s="101">
        <v>6.0519333000000002E-2</v>
      </c>
    </row>
    <row r="32" spans="1:8" ht="15.75" customHeight="1" x14ac:dyDescent="0.25">
      <c r="B32" s="19" t="s">
        <v>97</v>
      </c>
      <c r="C32" s="101">
        <v>0.111584815</v>
      </c>
    </row>
    <row r="33" spans="2:3" ht="15.75" customHeight="1" x14ac:dyDescent="0.25">
      <c r="B33" s="19" t="s">
        <v>98</v>
      </c>
      <c r="C33" s="101">
        <v>0.13530931600000001</v>
      </c>
    </row>
    <row r="34" spans="2:3" ht="15.75" customHeight="1" x14ac:dyDescent="0.25">
      <c r="B34" s="19" t="s">
        <v>99</v>
      </c>
      <c r="C34" s="101">
        <v>0.13503651999999999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104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122</v>
      </c>
      <c r="C5" s="52">
        <v>0.22041330000000001</v>
      </c>
      <c r="D5" s="52">
        <v>0.2679011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0.17640147295010999</v>
      </c>
      <c r="C2" s="98">
        <v>0.95</v>
      </c>
      <c r="D2" s="56">
        <v>76.430830296277207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40.292575813137638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702.89347992688124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6.6292215715502589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13.42487525693355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13.42487525693355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13.42487525693355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13.42487525693355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13.42487525693355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13.42487525693355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0.2403544522204</v>
      </c>
      <c r="C16" s="98">
        <v>0.95</v>
      </c>
      <c r="D16" s="56">
        <v>1.131641056828899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16.11738326300533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16.11738326300533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0.21345500000000001</v>
      </c>
      <c r="C21" s="98">
        <v>0.95</v>
      </c>
      <c r="D21" s="56">
        <v>70.114008769456447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23.383432158561249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1.4174000000000001E-2</v>
      </c>
      <c r="C23" s="98">
        <v>0.95</v>
      </c>
      <c r="D23" s="56">
        <v>4.5372725454372071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0.73790266105588997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0.22617384668196</v>
      </c>
      <c r="C27" s="98">
        <v>0.95</v>
      </c>
      <c r="D27" s="56">
        <v>18.854821117415401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0.31886409999999998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155.6465054085146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1.36088480804361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0.17159460000000001</v>
      </c>
      <c r="C32" s="98">
        <v>0.95</v>
      </c>
      <c r="D32" s="56">
        <v>2.472250321876178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0.97810450000000004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2.134910144430378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0.66023089999999995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205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0.89597961200395271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2024-03-28T03:04:24Z</dcterms:modified>
</cp:coreProperties>
</file>