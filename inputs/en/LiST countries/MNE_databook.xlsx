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689107F8-8251-4212-8F96-84ECFBDF2DC0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7" i="2"/>
  <c r="A31" i="2"/>
  <c r="A25" i="2"/>
  <c r="A23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6" i="2" l="1"/>
  <c r="I39" i="2"/>
  <c r="A34" i="2"/>
  <c r="A40" i="2"/>
  <c r="I2" i="2"/>
  <c r="I6" i="2"/>
  <c r="A19" i="2"/>
  <c r="A35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<sst xmlns="http://schemas.openxmlformats.org/spreadsheetml/2006/main" count="2159" uniqueCount="372">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</sst>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35581</v>
      </c>
    </row>
    <row r="8" spans="1:3" ht="15" customHeight="1" x14ac:dyDescent="0.25">
      <c r="B8" s="5" t="s">
        <v>8</v>
      </c>
      <c r="C8" s="44">
        <v>1.7000000000000001E-2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0.89240097045898392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0.65900000000000003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3.6700000000000003E-2</v>
      </c>
    </row>
    <row r="24" spans="1:3" ht="15" customHeight="1" x14ac:dyDescent="0.25">
      <c r="B24" s="15" t="s">
        <v>22</v>
      </c>
      <c r="C24" s="45">
        <v>0.53120000000000001</v>
      </c>
    </row>
    <row r="25" spans="1:3" ht="15" customHeight="1" x14ac:dyDescent="0.25">
      <c r="B25" s="15" t="s">
        <v>23</v>
      </c>
      <c r="C25" s="45">
        <v>0.40350000000000003</v>
      </c>
    </row>
    <row r="26" spans="1:3" ht="15" customHeight="1" x14ac:dyDescent="0.25">
      <c r="B26" s="15" t="s">
        <v>24</v>
      </c>
      <c r="C26" s="45">
        <v>2.86E-2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0.443381353500297</v>
      </c>
    </row>
    <row r="30" spans="1:3" ht="14.25" customHeight="1" x14ac:dyDescent="0.25">
      <c r="B30" s="25" t="s">
        <v>27</v>
      </c>
      <c r="C30" s="99">
        <v>5.9529082105141198E-2</v>
      </c>
    </row>
    <row r="31" spans="1:3" ht="14.25" customHeight="1" x14ac:dyDescent="0.25">
      <c r="B31" s="25" t="s">
        <v>28</v>
      </c>
      <c r="C31" s="99">
        <v>6.7946136004371396E-2</v>
      </c>
    </row>
    <row r="32" spans="1:3" ht="14.25" customHeight="1" x14ac:dyDescent="0.25">
      <c r="B32" s="25" t="s">
        <v>29</v>
      </c>
      <c r="C32" s="99">
        <v>0.42914342839018998</v>
      </c>
    </row>
    <row r="33" spans="1:5" ht="13.25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0.96101999999999999</v>
      </c>
    </row>
    <row r="38" spans="1:5" ht="15" customHeight="1" x14ac:dyDescent="0.25">
      <c r="B38" s="11" t="s">
        <v>34</v>
      </c>
      <c r="C38" s="43">
        <v>1.9053599999999999</v>
      </c>
      <c r="D38" s="12"/>
      <c r="E38" s="13"/>
    </row>
    <row r="39" spans="1:5" ht="15" customHeight="1" x14ac:dyDescent="0.25">
      <c r="B39" s="11" t="s">
        <v>35</v>
      </c>
      <c r="C39" s="43">
        <v>2.26294</v>
      </c>
      <c r="D39" s="12"/>
      <c r="E39" s="12"/>
    </row>
    <row r="40" spans="1:5" ht="15" customHeight="1" x14ac:dyDescent="0.25">
      <c r="B40" s="11" t="s">
        <v>36</v>
      </c>
      <c r="C40" s="100">
        <v>0.06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3.3729499999999999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5.9347000000000002E-3</v>
      </c>
      <c r="D45" s="12"/>
    </row>
    <row r="46" spans="1:5" ht="15.75" customHeight="1" x14ac:dyDescent="0.25">
      <c r="B46" s="11" t="s">
        <v>41</v>
      </c>
      <c r="C46" s="45">
        <v>6.3767500000000005E-2</v>
      </c>
      <c r="D46" s="12"/>
    </row>
    <row r="47" spans="1:5" ht="15.75" customHeight="1" x14ac:dyDescent="0.25">
      <c r="B47" s="11" t="s">
        <v>42</v>
      </c>
      <c r="C47" s="45">
        <v>7.53577E-2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0.62463999999999997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5.4530763999999898E-2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7058</v>
      </c>
      <c r="C2" s="49">
        <v>19234</v>
      </c>
      <c r="D2" s="49">
        <v>38638.999999999993</v>
      </c>
      <c r="E2" s="49">
        <v>39997.5</v>
      </c>
      <c r="F2" s="49">
        <v>45464.5</v>
      </c>
      <c r="G2" s="17">
        <f t="shared" ref="G2:G13" si="0">C2+D2+E2+F2</f>
        <v>143335</v>
      </c>
      <c r="H2" s="17">
        <f t="shared" ref="H2:H13" si="1">(B2 + stillbirth*B2/(1000-stillbirth))/(1-abortion)</f>
        <v>8047.5986934676775</v>
      </c>
      <c r="I2" s="17">
        <f t="shared" ref="I2:I13" si="2">G2-H2</f>
        <v>135287.40130653232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6969</v>
      </c>
      <c r="C3" s="50">
        <v>19419.5</v>
      </c>
      <c r="D3" s="50">
        <v>37473</v>
      </c>
      <c r="E3" s="50">
        <v>38891.999999999993</v>
      </c>
      <c r="F3" s="50">
        <v>45142.5</v>
      </c>
      <c r="G3" s="17">
        <f t="shared" si="0"/>
        <v>140927</v>
      </c>
      <c r="H3" s="17">
        <f t="shared" si="1"/>
        <v>7946.1200474321686</v>
      </c>
      <c r="I3" s="17">
        <f t="shared" si="2"/>
        <v>132980.87995256783</v>
      </c>
    </row>
    <row r="4" spans="1:9" ht="15.75" customHeight="1" x14ac:dyDescent="0.25">
      <c r="A4" s="5">
        <f t="shared" si="3"/>
        <v>2026</v>
      </c>
      <c r="B4" s="49">
        <v>6694</v>
      </c>
      <c r="C4" s="50">
        <v>19495</v>
      </c>
      <c r="D4" s="50">
        <v>36205</v>
      </c>
      <c r="E4" s="50">
        <v>37792</v>
      </c>
      <c r="F4" s="50">
        <v>44633.5</v>
      </c>
      <c r="G4" s="17">
        <f t="shared" si="0"/>
        <v>138125.5</v>
      </c>
      <c r="H4" s="17">
        <f t="shared" si="1"/>
        <v>7632.5624332775051</v>
      </c>
      <c r="I4" s="17">
        <f t="shared" si="2"/>
        <v>130492.9375667225</v>
      </c>
    </row>
    <row r="5" spans="1:9" ht="15.75" customHeight="1" x14ac:dyDescent="0.25">
      <c r="A5" s="5">
        <f t="shared" si="3"/>
        <v>2027</v>
      </c>
      <c r="B5" s="49">
        <v>6578</v>
      </c>
      <c r="C5" s="50">
        <v>19450.5</v>
      </c>
      <c r="D5" s="50">
        <v>35778.5</v>
      </c>
      <c r="E5" s="50">
        <v>36974.000000000007</v>
      </c>
      <c r="F5" s="50">
        <v>44137.5</v>
      </c>
      <c r="G5" s="17">
        <f t="shared" si="0"/>
        <v>136340.5</v>
      </c>
      <c r="H5" s="17">
        <f t="shared" si="1"/>
        <v>7500.2981305795383</v>
      </c>
      <c r="I5" s="17">
        <f t="shared" si="2"/>
        <v>128840.20186942046</v>
      </c>
    </row>
    <row r="6" spans="1:9" ht="15.75" customHeight="1" x14ac:dyDescent="0.25">
      <c r="A6" s="5">
        <f t="shared" si="3"/>
        <v>2028</v>
      </c>
      <c r="B6" s="49">
        <v>6482</v>
      </c>
      <c r="C6" s="50">
        <v>19273</v>
      </c>
      <c r="D6" s="50">
        <v>35623.5</v>
      </c>
      <c r="E6" s="50">
        <v>36235.5</v>
      </c>
      <c r="F6" s="50">
        <v>43439.5</v>
      </c>
      <c r="G6" s="17">
        <f t="shared" si="0"/>
        <v>134571.5</v>
      </c>
      <c r="H6" s="17">
        <f t="shared" si="1"/>
        <v>7390.8380180019103</v>
      </c>
      <c r="I6" s="17">
        <f t="shared" si="2"/>
        <v>127180.66198199808</v>
      </c>
    </row>
    <row r="7" spans="1:9" ht="15.75" customHeight="1" x14ac:dyDescent="0.25">
      <c r="A7" s="5">
        <f t="shared" si="3"/>
        <v>2029</v>
      </c>
      <c r="B7" s="49">
        <v>6391</v>
      </c>
      <c r="C7" s="50">
        <v>18985.5</v>
      </c>
      <c r="D7" s="50">
        <v>35644.999999999993</v>
      </c>
      <c r="E7" s="50">
        <v>35629.999999999993</v>
      </c>
      <c r="F7" s="50">
        <v>42544</v>
      </c>
      <c r="G7" s="17">
        <f t="shared" si="0"/>
        <v>132804.5</v>
      </c>
      <c r="H7" s="17">
        <f t="shared" si="1"/>
        <v>7287.0789529543672</v>
      </c>
      <c r="I7" s="17">
        <f t="shared" si="2"/>
        <v>125517.42104704563</v>
      </c>
    </row>
    <row r="8" spans="1:9" ht="15.75" customHeight="1" x14ac:dyDescent="0.25">
      <c r="A8" s="5">
        <f t="shared" si="3"/>
        <v>2030</v>
      </c>
      <c r="B8" s="49">
        <v>6305</v>
      </c>
      <c r="C8" s="50">
        <v>18608</v>
      </c>
      <c r="D8" s="50">
        <v>35705.5</v>
      </c>
      <c r="E8" s="50">
        <v>35176</v>
      </c>
      <c r="F8" s="50">
        <v>41530.5</v>
      </c>
      <c r="G8" s="17">
        <f t="shared" si="0"/>
        <v>131020</v>
      </c>
      <c r="H8" s="17">
        <f t="shared" si="1"/>
        <v>7189.020935436909</v>
      </c>
      <c r="I8" s="17">
        <f t="shared" si="2"/>
        <v>123830.97906456309</v>
      </c>
    </row>
    <row r="9" spans="1:9" ht="15.75" customHeight="1" x14ac:dyDescent="0.25">
      <c r="A9" s="5">
        <f t="shared" si="3"/>
        <v>2031</v>
      </c>
      <c r="B9" s="49">
        <v>6226</v>
      </c>
      <c r="C9" s="50">
        <v>18359</v>
      </c>
      <c r="D9" s="50">
        <v>35522</v>
      </c>
      <c r="E9" s="50">
        <v>34903.5</v>
      </c>
      <c r="F9" s="50">
        <v>40463.499999999993</v>
      </c>
      <c r="G9" s="17">
        <f t="shared" si="0"/>
        <v>129248</v>
      </c>
      <c r="H9" s="17">
        <f t="shared" si="1"/>
        <v>7098.9443844615698</v>
      </c>
      <c r="I9" s="17">
        <f t="shared" si="2"/>
        <v>122149.05561553843</v>
      </c>
    </row>
    <row r="10" spans="1:9" ht="15.75" customHeight="1" x14ac:dyDescent="0.25">
      <c r="A10" s="5">
        <f t="shared" si="3"/>
        <v>2032</v>
      </c>
      <c r="B10" s="49">
        <v>6149</v>
      </c>
      <c r="C10" s="50">
        <v>18210.5</v>
      </c>
      <c r="D10" s="50">
        <v>35189</v>
      </c>
      <c r="E10" s="50">
        <v>34573.499999999993</v>
      </c>
      <c r="F10" s="50">
        <v>39456</v>
      </c>
      <c r="G10" s="17">
        <f t="shared" si="0"/>
        <v>127429</v>
      </c>
      <c r="H10" s="17">
        <f t="shared" si="1"/>
        <v>7011.1482524982639</v>
      </c>
      <c r="I10" s="17">
        <f t="shared" si="2"/>
        <v>120417.85174750173</v>
      </c>
    </row>
    <row r="11" spans="1:9" ht="15.75" customHeight="1" x14ac:dyDescent="0.25">
      <c r="A11" s="5">
        <f t="shared" si="3"/>
        <v>2033</v>
      </c>
      <c r="B11" s="49">
        <v>6077</v>
      </c>
      <c r="C11" s="50">
        <v>17929.5</v>
      </c>
      <c r="D11" s="50">
        <v>34960</v>
      </c>
      <c r="E11" s="50">
        <v>34176.5</v>
      </c>
      <c r="F11" s="50">
        <v>38402</v>
      </c>
      <c r="G11" s="17">
        <f t="shared" si="0"/>
        <v>125468</v>
      </c>
      <c r="H11" s="17">
        <f t="shared" si="1"/>
        <v>6929.0531680650429</v>
      </c>
      <c r="I11" s="17">
        <f t="shared" si="2"/>
        <v>118538.94683193495</v>
      </c>
    </row>
    <row r="12" spans="1:9" ht="15.75" customHeight="1" x14ac:dyDescent="0.25">
      <c r="A12" s="5">
        <f t="shared" si="3"/>
        <v>2034</v>
      </c>
      <c r="B12" s="49">
        <v>6014</v>
      </c>
      <c r="C12" s="50">
        <v>17597.5</v>
      </c>
      <c r="D12" s="50">
        <v>34855.500000000007</v>
      </c>
      <c r="E12" s="50">
        <v>33731.5</v>
      </c>
      <c r="F12" s="50">
        <v>37389.5</v>
      </c>
      <c r="G12" s="17">
        <f t="shared" si="0"/>
        <v>123574</v>
      </c>
      <c r="H12" s="17">
        <f t="shared" si="1"/>
        <v>6857.2199691859751</v>
      </c>
      <c r="I12" s="17">
        <f t="shared" si="2"/>
        <v>116716.78003081403</v>
      </c>
    </row>
    <row r="13" spans="1:9" ht="15.75" customHeight="1" x14ac:dyDescent="0.25">
      <c r="A13" s="5">
        <f t="shared" si="3"/>
        <v>2035</v>
      </c>
      <c r="B13" s="49">
        <v>5958</v>
      </c>
      <c r="C13" s="50">
        <v>17290</v>
      </c>
      <c r="D13" s="50">
        <v>34838.499999999993</v>
      </c>
      <c r="E13" s="50">
        <v>33106.5</v>
      </c>
      <c r="F13" s="50">
        <v>36572.500000000007</v>
      </c>
      <c r="G13" s="17">
        <f t="shared" si="0"/>
        <v>121807.5</v>
      </c>
      <c r="H13" s="17">
        <f t="shared" si="1"/>
        <v>6793.3682368490254</v>
      </c>
      <c r="I13" s="17">
        <f t="shared" si="2"/>
        <v>115014.13176315097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3.4142703414270288E-2</v>
      </c>
    </row>
    <row r="5" spans="1:8" ht="15.75" customHeight="1" x14ac:dyDescent="0.25">
      <c r="B5" s="19" t="s">
        <v>70</v>
      </c>
      <c r="C5" s="101">
        <v>3.795040379504043E-2</v>
      </c>
    </row>
    <row r="6" spans="1:8" ht="15.75" customHeight="1" x14ac:dyDescent="0.25">
      <c r="B6" s="19" t="s">
        <v>71</v>
      </c>
      <c r="C6" s="101">
        <v>0.4935597493559748</v>
      </c>
    </row>
    <row r="7" spans="1:8" ht="15.75" customHeight="1" x14ac:dyDescent="0.25">
      <c r="B7" s="19" t="s">
        <v>72</v>
      </c>
      <c r="C7" s="101">
        <v>0.35620743562074381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7.3214107321410649E-2</v>
      </c>
    </row>
    <row r="10" spans="1:8" ht="15.75" customHeight="1" x14ac:dyDescent="0.25">
      <c r="B10" s="19" t="s">
        <v>75</v>
      </c>
      <c r="C10" s="101">
        <v>4.9256004925600444E-3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</v>
      </c>
      <c r="D14" s="55">
        <v>0</v>
      </c>
      <c r="E14" s="55">
        <v>0</v>
      </c>
      <c r="F14" s="55">
        <v>0</v>
      </c>
    </row>
    <row r="15" spans="1:8" ht="15.75" customHeight="1" x14ac:dyDescent="0.25">
      <c r="B15" s="19" t="s">
        <v>82</v>
      </c>
      <c r="C15" s="101">
        <v>0.28262021445446389</v>
      </c>
      <c r="D15" s="101">
        <v>0.28262021445446389</v>
      </c>
      <c r="E15" s="101">
        <v>0.28262021445446389</v>
      </c>
      <c r="F15" s="101">
        <v>0.28262021445446389</v>
      </c>
    </row>
    <row r="16" spans="1:8" ht="15.75" customHeight="1" x14ac:dyDescent="0.25">
      <c r="B16" s="19" t="s">
        <v>83</v>
      </c>
      <c r="C16" s="101">
        <v>0.1449917491390243</v>
      </c>
      <c r="D16" s="101">
        <v>0.1449917491390243</v>
      </c>
      <c r="E16" s="101">
        <v>0.1449917491390243</v>
      </c>
      <c r="F16" s="101">
        <v>0.1449917491390243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1.370030254797487E-2</v>
      </c>
      <c r="D20" s="101">
        <v>1.370030254797487E-2</v>
      </c>
      <c r="E20" s="101">
        <v>1.370030254797487E-2</v>
      </c>
      <c r="F20" s="101">
        <v>1.370030254797487E-2</v>
      </c>
    </row>
    <row r="21" spans="1:8" ht="15.75" customHeight="1" x14ac:dyDescent="0.25">
      <c r="B21" s="19" t="s">
        <v>88</v>
      </c>
      <c r="C21" s="101">
        <v>0.25732604138176512</v>
      </c>
      <c r="D21" s="101">
        <v>0.25732604138176512</v>
      </c>
      <c r="E21" s="101">
        <v>0.25732604138176512</v>
      </c>
      <c r="F21" s="101">
        <v>0.25732604138176512</v>
      </c>
    </row>
    <row r="22" spans="1:8" ht="15.75" customHeight="1" x14ac:dyDescent="0.25">
      <c r="B22" s="19" t="s">
        <v>89</v>
      </c>
      <c r="C22" s="101">
        <v>0.3013616924767718</v>
      </c>
      <c r="D22" s="101">
        <v>0.3013616924767718</v>
      </c>
      <c r="E22" s="101">
        <v>0.3013616924767718</v>
      </c>
      <c r="F22" s="101">
        <v>0.3013616924767718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4.1039101000000001E-2</v>
      </c>
    </row>
    <row r="27" spans="1:8" ht="15.75" customHeight="1" x14ac:dyDescent="0.25">
      <c r="B27" s="19" t="s">
        <v>92</v>
      </c>
      <c r="C27" s="101">
        <v>0.311955555</v>
      </c>
    </row>
    <row r="28" spans="1:8" ht="15.75" customHeight="1" x14ac:dyDescent="0.25">
      <c r="B28" s="19" t="s">
        <v>93</v>
      </c>
      <c r="C28" s="101">
        <v>7.1433338999999998E-2</v>
      </c>
    </row>
    <row r="29" spans="1:8" ht="15.75" customHeight="1" x14ac:dyDescent="0.25">
      <c r="B29" s="19" t="s">
        <v>94</v>
      </c>
      <c r="C29" s="101">
        <v>8.7817816000000007E-2</v>
      </c>
    </row>
    <row r="30" spans="1:8" ht="15.75" customHeight="1" x14ac:dyDescent="0.25">
      <c r="B30" s="19" t="s">
        <v>95</v>
      </c>
      <c r="C30" s="101">
        <v>4.5304205E-2</v>
      </c>
    </row>
    <row r="31" spans="1:8" ht="15.75" customHeight="1" x14ac:dyDescent="0.25">
      <c r="B31" s="19" t="s">
        <v>96</v>
      </c>
      <c r="C31" s="101">
        <v>6.0519333000000002E-2</v>
      </c>
    </row>
    <row r="32" spans="1:8" ht="15.75" customHeight="1" x14ac:dyDescent="0.25">
      <c r="B32" s="19" t="s">
        <v>97</v>
      </c>
      <c r="C32" s="101">
        <v>0.111584815</v>
      </c>
    </row>
    <row r="33" spans="2:3" ht="15.75" customHeight="1" x14ac:dyDescent="0.25">
      <c r="B33" s="19" t="s">
        <v>98</v>
      </c>
      <c r="C33" s="101">
        <v>0.13530931600000001</v>
      </c>
    </row>
    <row r="34" spans="2:3" ht="15.75" customHeight="1" x14ac:dyDescent="0.25">
      <c r="B34" s="19" t="s">
        <v>99</v>
      </c>
      <c r="C34" s="101">
        <v>0.13503651999999999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0.73379732410774468</v>
      </c>
      <c r="D2" s="52">
        <f>IFERROR(1-_xlfn.NORM.DIST(_xlfn.NORM.INV(SUM(D4:D5), 0, 1) + 1, 0, 1, TRUE), "")</f>
        <v>0.73379732410774468</v>
      </c>
      <c r="E2" s="52">
        <f>IFERROR(1-_xlfn.NORM.DIST(_xlfn.NORM.INV(SUM(E4:E5), 0, 1) + 1, 0, 1, TRUE), "")</f>
        <v>0.84971398857514879</v>
      </c>
      <c r="F2" s="52">
        <f>IFERROR(1-_xlfn.NORM.DIST(_xlfn.NORM.INV(SUM(F4:F5), 0, 1) + 1, 0, 1, TRUE), "")</f>
        <v>0.51602508714629003</v>
      </c>
      <c r="G2" s="52">
        <f>IFERROR(1-_xlfn.NORM.DIST(_xlfn.NORM.INV(SUM(G4:G5), 0, 1) + 1, 0, 1, TRUE), "")</f>
        <v>0.70998917774218107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0.21405087589225538</v>
      </c>
      <c r="D3" s="52">
        <f>IFERROR(_xlfn.NORM.DIST(_xlfn.NORM.INV(SUM(D4:D5), 0, 1) + 1, 0, 1, TRUE) - SUM(D4:D5), "")</f>
        <v>0.21405087589225538</v>
      </c>
      <c r="E3" s="52">
        <f>IFERROR(_xlfn.NORM.DIST(_xlfn.NORM.INV(SUM(E4:E5), 0, 1) + 1, 0, 1, TRUE) - SUM(E4:E5), "")</f>
        <v>0.12937101142485125</v>
      </c>
      <c r="F3" s="52">
        <f>IFERROR(_xlfn.NORM.DIST(_xlfn.NORM.INV(SUM(F4:F5), 0, 1) + 1, 0, 1, TRUE) - SUM(F4:F5), "")</f>
        <v>0.33484671285370993</v>
      </c>
      <c r="G3" s="52">
        <f>IFERROR(_xlfn.NORM.DIST(_xlfn.NORM.INV(SUM(G4:G5), 0, 1) + 1, 0, 1, TRUE) - SUM(G4:G5), "")</f>
        <v>0.22984142225781892</v>
      </c>
    </row>
    <row r="4" spans="1:15" ht="15.75" customHeight="1" x14ac:dyDescent="0.25">
      <c r="B4" s="5" t="s">
        <v>104</v>
      </c>
      <c r="C4" s="45">
        <v>2.89261E-2</v>
      </c>
      <c r="D4" s="53">
        <v>2.89261E-2</v>
      </c>
      <c r="E4" s="53">
        <v>4.0536000000000001E-3</v>
      </c>
      <c r="F4" s="53">
        <v>2.2028599999999999E-2</v>
      </c>
      <c r="G4" s="53">
        <v>5.1829600000000003E-2</v>
      </c>
    </row>
    <row r="5" spans="1:15" ht="15.75" customHeight="1" x14ac:dyDescent="0.25">
      <c r="B5" s="5" t="s">
        <v>105</v>
      </c>
      <c r="C5" s="45">
        <v>2.3225699999999998E-2</v>
      </c>
      <c r="D5" s="53">
        <v>2.3225699999999998E-2</v>
      </c>
      <c r="E5" s="53">
        <v>1.6861399999999999E-2</v>
      </c>
      <c r="F5" s="53">
        <v>0.12709960000000001</v>
      </c>
      <c r="G5" s="53">
        <v>8.3398000000000014E-3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0.62194306958466594</v>
      </c>
      <c r="D8" s="52">
        <f>IFERROR(1-_xlfn.NORM.DIST(_xlfn.NORM.INV(SUM(D10:D11), 0, 1) + 1, 0, 1, TRUE), "")</f>
        <v>0.62194306958466594</v>
      </c>
      <c r="E8" s="52">
        <f>IFERROR(1-_xlfn.NORM.DIST(_xlfn.NORM.INV(SUM(E10:E11), 0, 1) + 1, 0, 1, TRUE), "")</f>
        <v>0.78668978038263804</v>
      </c>
      <c r="F8" s="52">
        <f>IFERROR(1-_xlfn.NORM.DIST(_xlfn.NORM.INV(SUM(F10:F11), 0, 1) + 1, 0, 1, TRUE), "")</f>
        <v>0.91254295194752388</v>
      </c>
      <c r="G8" s="52">
        <f>IFERROR(1-_xlfn.NORM.DIST(_xlfn.NORM.INV(SUM(G10:G11), 0, 1) + 1, 0, 1, TRUE), "")</f>
        <v>0.88141686201740033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0.28305843041533413</v>
      </c>
      <c r="D9" s="52">
        <f>IFERROR(_xlfn.NORM.DIST(_xlfn.NORM.INV(SUM(D10:D11), 0, 1) + 1, 0, 1, TRUE) - SUM(D10:D11), "")</f>
        <v>0.28305843041533413</v>
      </c>
      <c r="E9" s="52">
        <f>IFERROR(_xlfn.NORM.DIST(_xlfn.NORM.INV(SUM(E10:E11), 0, 1) + 1, 0, 1, TRUE) - SUM(E10:E11), "")</f>
        <v>0.17698241961736197</v>
      </c>
      <c r="F9" s="52">
        <f>IFERROR(_xlfn.NORM.DIST(_xlfn.NORM.INV(SUM(F10:F11), 0, 1) + 1, 0, 1, TRUE) - SUM(F10:F11), "")</f>
        <v>7.8235048052476164E-2</v>
      </c>
      <c r="G9" s="52">
        <f>IFERROR(_xlfn.NORM.DIST(_xlfn.NORM.INV(SUM(G10:G11), 0, 1) + 1, 0, 1, TRUE) - SUM(G10:G11), "")</f>
        <v>0.10403203798259969</v>
      </c>
    </row>
    <row r="10" spans="1:15" ht="15.75" customHeight="1" x14ac:dyDescent="0.25">
      <c r="B10" s="5" t="s">
        <v>109</v>
      </c>
      <c r="C10" s="45">
        <v>7.9534300000000002E-2</v>
      </c>
      <c r="D10" s="53">
        <v>7.9534300000000002E-2</v>
      </c>
      <c r="E10" s="53">
        <v>3.63278E-2</v>
      </c>
      <c r="F10" s="53">
        <v>0</v>
      </c>
      <c r="G10" s="53">
        <v>1.0352800000000001E-2</v>
      </c>
    </row>
    <row r="11" spans="1:15" ht="15.75" customHeight="1" x14ac:dyDescent="0.25">
      <c r="B11" s="5" t="s">
        <v>110</v>
      </c>
      <c r="C11" s="45">
        <v>1.5464200000000001E-2</v>
      </c>
      <c r="D11" s="53">
        <v>1.5464200000000001E-2</v>
      </c>
      <c r="E11" s="53">
        <v>0</v>
      </c>
      <c r="F11" s="53">
        <v>9.222000000000001E-3</v>
      </c>
      <c r="G11" s="53">
        <v>4.1982999999999994E-3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0.38283535024999998</v>
      </c>
      <c r="D14" s="54">
        <v>0.38541007546400002</v>
      </c>
      <c r="E14" s="54">
        <v>0.38541007546400002</v>
      </c>
      <c r="F14" s="54">
        <v>0.17029895451300001</v>
      </c>
      <c r="G14" s="54">
        <v>0.17029895451300001</v>
      </c>
      <c r="H14" s="45">
        <v>0.27200000000000002</v>
      </c>
      <c r="I14" s="55">
        <v>0.27200000000000002</v>
      </c>
      <c r="J14" s="55">
        <v>0.27200000000000002</v>
      </c>
      <c r="K14" s="55">
        <v>0.27200000000000002</v>
      </c>
      <c r="L14" s="45">
        <v>0.251</v>
      </c>
      <c r="M14" s="55">
        <v>0.251</v>
      </c>
      <c r="N14" s="55">
        <v>0.251</v>
      </c>
      <c r="O14" s="55">
        <v>0.251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0.23913427318015998</v>
      </c>
      <c r="D15" s="52">
        <f t="shared" si="0"/>
        <v>0.24074254953783297</v>
      </c>
      <c r="E15" s="52">
        <f t="shared" si="0"/>
        <v>0.24074254953783297</v>
      </c>
      <c r="F15" s="52">
        <f t="shared" si="0"/>
        <v>0.10637553894700032</v>
      </c>
      <c r="G15" s="52">
        <f t="shared" si="0"/>
        <v>0.10637553894700032</v>
      </c>
      <c r="H15" s="52">
        <f t="shared" si="0"/>
        <v>0.16990208000000001</v>
      </c>
      <c r="I15" s="52">
        <f t="shared" si="0"/>
        <v>0.16990208000000001</v>
      </c>
      <c r="J15" s="52">
        <f t="shared" si="0"/>
        <v>0.16990208000000001</v>
      </c>
      <c r="K15" s="52">
        <f t="shared" si="0"/>
        <v>0.16990208000000001</v>
      </c>
      <c r="L15" s="52">
        <f t="shared" si="0"/>
        <v>0.15678464</v>
      </c>
      <c r="M15" s="52">
        <f t="shared" si="0"/>
        <v>0.15678464</v>
      </c>
      <c r="N15" s="52">
        <f t="shared" si="0"/>
        <v>0.15678464</v>
      </c>
      <c r="O15" s="52">
        <f t="shared" si="0"/>
        <v>0.15678464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0.31399870000000002</v>
      </c>
      <c r="D2" s="53">
        <v>0.17159460000000001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5.1355600000000001E-2</v>
      </c>
      <c r="D3" s="53">
        <v>0.1553949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0.4142324</v>
      </c>
      <c r="D4" s="53">
        <v>0.40510950000000001</v>
      </c>
      <c r="E4" s="53">
        <v>0.42326510000000001</v>
      </c>
      <c r="F4" s="53">
        <v>0.2488464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0.22041329999999992</v>
      </c>
      <c r="D5" s="52">
        <f t="shared" si="0"/>
        <v>0.26790099999999994</v>
      </c>
      <c r="E5" s="52">
        <f>1-SUM(E2:E4)</f>
        <v>0.57673489999999994</v>
      </c>
      <c r="F5" s="52">
        <f>1-SUM(F2:F4)</f>
        <v>0.75115359999999998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10093.4387007266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0.46494999999999997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0.61499999999999999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1.3562755373185902E-2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99774.199460000003</v>
      </c>
      <c r="C22" s="109">
        <v>99722.030140000003</v>
      </c>
      <c r="D22" s="109">
        <v>99679.394329999996</v>
      </c>
      <c r="E22" s="109">
        <v>99544.296289999998</v>
      </c>
      <c r="F22" s="109">
        <v>99249.454559999998</v>
      </c>
      <c r="G22" s="109">
        <v>98918.60398</v>
      </c>
      <c r="H22" s="109">
        <v>98524.083310000002</v>
      </c>
      <c r="I22" s="109">
        <v>97926.059599999993</v>
      </c>
      <c r="J22" s="109">
        <v>97053.615149999998</v>
      </c>
      <c r="K22" s="109">
        <v>95562.162639999995</v>
      </c>
      <c r="L22" s="109">
        <v>92874.677689999997</v>
      </c>
      <c r="M22" s="109">
        <v>88601.694440000007</v>
      </c>
      <c r="N22" s="109">
        <v>82306.548200000005</v>
      </c>
      <c r="O22" s="109">
        <v>73159.824200000003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12.008526100307062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12.008526100307062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8.8894216990788131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0.40262538382804508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13.42487525693355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13.42487525693355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13.42487525693355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13.42487525693355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13.42487525693355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13.42487525693355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0.17159460000000001</v>
      </c>
      <c r="C18" s="98">
        <v>0.95</v>
      </c>
      <c r="D18" s="56">
        <v>8.8894216990788131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0.17159460000000001</v>
      </c>
      <c r="C19" s="98">
        <v>0.95</v>
      </c>
      <c r="D19" s="56">
        <v>16.11738326300533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8.8894216990788131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4.5372725454372071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0.70510301442886003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5.1498336745138182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11.470990276356194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0.31886409999999998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0.66023089999999995</v>
      </c>
      <c r="C29" s="98">
        <v>0.95</v>
      </c>
      <c r="D29" s="56">
        <v>155.6465054085146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170.92419651995908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1.1057036847492325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0.99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0.21345500000000001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1.4174000000000001E-2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0.89577870000000004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2.6374181166837261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0.20678918000000002</v>
      </c>
      <c r="C3" s="21">
        <f>frac_mam_1_5months * 2.6</f>
        <v>0.20678918000000002</v>
      </c>
      <c r="D3" s="21">
        <f>frac_mam_6_11months * 2.6</f>
        <v>9.445228E-2</v>
      </c>
      <c r="E3" s="21">
        <f>frac_mam_12_23months * 2.6</f>
        <v>0</v>
      </c>
      <c r="F3" s="21">
        <f>frac_mam_24_59months * 2.6</f>
        <v>2.6917280000000002E-2</v>
      </c>
    </row>
    <row r="4" spans="1:6" ht="15.75" customHeight="1" x14ac:dyDescent="0.25">
      <c r="A4" s="3" t="s">
        <v>198</v>
      </c>
      <c r="B4" s="21">
        <f>frac_sam_1month * 2.6</f>
        <v>4.020692E-2</v>
      </c>
      <c r="C4" s="21">
        <f>frac_sam_1_5months * 2.6</f>
        <v>4.020692E-2</v>
      </c>
      <c r="D4" s="21">
        <f>frac_sam_6_11months * 2.6</f>
        <v>0</v>
      </c>
      <c r="E4" s="21">
        <f>frac_sam_12_23months * 2.6</f>
        <v>2.3977200000000004E-2</v>
      </c>
      <c r="F4" s="21">
        <f>frac_sam_24_59months * 2.6</f>
        <v>1.0915579999999999E-2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1.7000000000000001E-2</v>
      </c>
      <c r="F2" s="60">
        <f>food_insecure</f>
        <v>1.7000000000000001E-2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1.7000000000000001E-2</v>
      </c>
      <c r="I15" s="60">
        <f t="shared" si="0"/>
        <v>1.7000000000000001E-2</v>
      </c>
      <c r="J15" s="60">
        <f t="shared" si="0"/>
        <v>1.7000000000000001E-2</v>
      </c>
      <c r="K15" s="60">
        <f t="shared" si="0"/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1.7000000000000001E-2</v>
      </c>
      <c r="I16" s="60">
        <f t="shared" si="0"/>
        <v>1.7000000000000001E-2</v>
      </c>
      <c r="J16" s="60">
        <f t="shared" si="0"/>
        <v>1.7000000000000001E-2</v>
      </c>
      <c r="K16" s="60">
        <f t="shared" si="0"/>
        <v>1.7000000000000001E-2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0.65900000000000003</v>
      </c>
      <c r="M24" s="60">
        <f>famplan_unmet_need</f>
        <v>0.65900000000000003</v>
      </c>
      <c r="N24" s="60">
        <f>famplan_unmet_need</f>
        <v>0.65900000000000003</v>
      </c>
      <c r="O24" s="60">
        <f>famplan_unmet_need</f>
        <v>0.65900000000000003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5.3107653010559308E-2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2.2760422718811131E-2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3.1730953811645639E-2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0.89240097045898392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