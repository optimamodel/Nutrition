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xl/comments8.xml" ContentType="application/vnd.openxmlformats-officedocument.spreadsheetml.comments+xml"/>
  <Override PartName="/xl/comments13.xml" ContentType="application/vnd.openxmlformats-officedocument.spreadsheetml.comments+xml"/>
  <Override PartName="/xl/comments10.xml" ContentType="application/vnd.openxmlformats-officedocument.spreadsheetml.comments+xml"/>
  <Override PartName="/xl/comments14.xml" ContentType="application/vnd.openxmlformats-officedocument.spreadsheetml.comments+xml"/>
  <Override PartName="/xl/comments7.xml" ContentType="application/vnd.openxmlformats-officedocument.spreadsheetml.comments+xml"/>
  <Override PartName="/xl/comments1.xml" ContentType="application/vnd.openxmlformats-officedocument.spreadsheetml.comments+xml"/>
  <Override PartName="/xl/comments15.xml" ContentType="application/vnd.openxmlformats-officedocument.spreadsheetml.comments+xml"/>
  <Override PartName="/xl/comments11.xml" ContentType="application/vnd.openxmlformats-officedocument.spreadsheetml.comments+xml"/>
  <Override PartName="/xl/comments16.xml" ContentType="application/vnd.openxmlformats-officedocument.spreadsheetml.comments+xml"/>
  <Override PartName="/xl/comments9.xml" ContentType="application/vnd.openxmlformats-officedocument.spreadsheetml.comments+xml"/>
  <Override PartName="/xl/comments17.xml" ContentType="application/vnd.openxmlformats-officedocument.spreadsheetml.comments+xml"/>
  <Override PartName="/xl/comments6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5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48755745-C423-4E02-84C0-626BCE959046}" xr6:coauthVersionLast="47" xr6:coauthVersionMax="47" xr10:uidLastSave="{00000000-0000-0000-0000-000000000000}"/>
  <bookViews>
    <workbookView xWindow="0" yWindow="3670" windowWidth="19200" windowHeight="6530" tabRatio="961" firstSheet="6" activeTab="7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D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F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E75" i="27"/>
  <c r="D75" i="27"/>
  <c r="H74" i="27"/>
  <c r="H129" i="27" s="1"/>
  <c r="G74" i="27"/>
  <c r="G129" i="27" s="1"/>
  <c r="F74" i="27"/>
  <c r="F129" i="27" s="1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H38" i="2"/>
  <c r="G38" i="2"/>
  <c r="I38" i="2" s="1"/>
  <c r="A37" i="2"/>
  <c r="A29" i="2"/>
  <c r="A21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H2" i="2"/>
  <c r="G2" i="2"/>
  <c r="I2" i="2" s="1"/>
  <c r="A2" i="2"/>
  <c r="A26" i="2" s="1"/>
  <c r="C33" i="1"/>
  <c r="C20" i="1"/>
  <c r="A19" i="2" l="1"/>
  <c r="A27" i="2"/>
  <c r="A35" i="2"/>
  <c r="A16" i="2"/>
  <c r="A3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4" i="2"/>
  <c r="A39" i="2"/>
  <c r="A20" i="2"/>
  <c r="A28" i="2"/>
  <c r="A36" i="2"/>
  <c r="A15" i="2"/>
  <c r="A23" i="2"/>
  <c r="A24" i="2"/>
  <c r="A17" i="2"/>
  <c r="A25" i="2"/>
  <c r="A33" i="2"/>
  <c r="A14" i="2"/>
  <c r="A22" i="2"/>
  <c r="A30" i="2"/>
  <c r="A38" i="2"/>
  <c r="A40" i="2"/>
  <c r="A3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<sst xmlns="http://schemas.openxmlformats.org/spreadsheetml/2006/main" count="2094" uniqueCount="341">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</sst>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2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33985.198974609397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0.89240097045898392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0.65900000000000003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3.6700000000000003E-2</v>
      </c>
    </row>
    <row r="24" spans="1:3" ht="15" customHeight="1" x14ac:dyDescent="0.25">
      <c r="B24" s="15" t="s">
        <v>22</v>
      </c>
      <c r="C24" s="45">
        <v>0.53120000000000001</v>
      </c>
    </row>
    <row r="25" spans="1:3" ht="15" customHeight="1" x14ac:dyDescent="0.25">
      <c r="B25" s="15" t="s">
        <v>23</v>
      </c>
      <c r="C25" s="45">
        <v>0.40350000000000003</v>
      </c>
    </row>
    <row r="26" spans="1:3" ht="15" customHeight="1" x14ac:dyDescent="0.25">
      <c r="B26" s="15" t="s">
        <v>24</v>
      </c>
      <c r="C26" s="45">
        <v>2.86E-2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0.443381353500297</v>
      </c>
    </row>
    <row r="30" spans="1:3" ht="14.25" customHeight="1" x14ac:dyDescent="0.25">
      <c r="B30" s="25" t="s">
        <v>27</v>
      </c>
      <c r="C30" s="99">
        <v>5.9529082105141198E-2</v>
      </c>
    </row>
    <row r="31" spans="1:3" ht="14.25" customHeight="1" x14ac:dyDescent="0.25">
      <c r="B31" s="25" t="s">
        <v>28</v>
      </c>
      <c r="C31" s="99">
        <v>6.7946136004371396E-2</v>
      </c>
    </row>
    <row r="32" spans="1:3" ht="14.25" customHeight="1" x14ac:dyDescent="0.25">
      <c r="B32" s="25" t="s">
        <v>29</v>
      </c>
      <c r="C32" s="99">
        <v>0.42914342839018998</v>
      </c>
    </row>
    <row r="33" spans="1:5" ht="13" customHeight="1" x14ac:dyDescent="0.25">
      <c r="B33" s="27" t="s">
        <v>30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0.96101999999999999</v>
      </c>
    </row>
    <row r="38" spans="1:5" ht="15" customHeight="1" x14ac:dyDescent="0.25">
      <c r="B38" s="11" t="s">
        <v>34</v>
      </c>
      <c r="C38" s="43">
        <v>1.9053599999999999</v>
      </c>
      <c r="D38" s="12"/>
      <c r="E38" s="13"/>
    </row>
    <row r="39" spans="1:5" ht="15" customHeight="1" x14ac:dyDescent="0.25">
      <c r="B39" s="11" t="s">
        <v>35</v>
      </c>
      <c r="C39" s="43">
        <v>2.26294</v>
      </c>
      <c r="D39" s="12"/>
      <c r="E39" s="12"/>
    </row>
    <row r="40" spans="1:5" ht="15" customHeight="1" x14ac:dyDescent="0.25">
      <c r="B40" s="11" t="s">
        <v>36</v>
      </c>
      <c r="C40" s="100">
        <v>0.06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3.3729499999999999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5.9347000000000002E-3</v>
      </c>
      <c r="D45" s="12"/>
    </row>
    <row r="46" spans="1:5" ht="15.75" customHeight="1" x14ac:dyDescent="0.25">
      <c r="B46" s="11" t="s">
        <v>41</v>
      </c>
      <c r="C46" s="45">
        <v>6.3767500000000005E-2</v>
      </c>
      <c r="D46" s="12"/>
    </row>
    <row r="47" spans="1:5" ht="15.75" customHeight="1" x14ac:dyDescent="0.25">
      <c r="B47" s="11" t="s">
        <v>42</v>
      </c>
      <c r="C47" s="45">
        <v>7.53577E-2</v>
      </c>
      <c r="D47" s="12"/>
      <c r="E47" s="13"/>
    </row>
    <row r="48" spans="1:5" ht="15" customHeight="1" x14ac:dyDescent="0.25">
      <c r="B48" s="11" t="s">
        <v>43</v>
      </c>
      <c r="C48" s="46">
        <v>0.85494009999999998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2.8</v>
      </c>
      <c r="D51" s="12"/>
    </row>
    <row r="52" spans="1:4" ht="15" customHeight="1" x14ac:dyDescent="0.25">
      <c r="B52" s="11" t="s">
        <v>46</v>
      </c>
      <c r="C52" s="100">
        <v>2.8</v>
      </c>
    </row>
    <row r="53" spans="1:4" ht="15.75" customHeight="1" x14ac:dyDescent="0.25">
      <c r="B53" s="11" t="s">
        <v>47</v>
      </c>
      <c r="C53" s="100">
        <v>2.8</v>
      </c>
    </row>
    <row r="54" spans="1:4" ht="15.75" customHeight="1" x14ac:dyDescent="0.25">
      <c r="B54" s="11" t="s">
        <v>48</v>
      </c>
      <c r="C54" s="100">
        <v>2.8</v>
      </c>
    </row>
    <row r="55" spans="1:4" ht="15.75" customHeight="1" x14ac:dyDescent="0.25">
      <c r="B55" s="11" t="s">
        <v>49</v>
      </c>
      <c r="C55" s="100">
        <v>2.8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1.6428571428571431E-2</v>
      </c>
    </row>
    <row r="59" spans="1:4" ht="15.75" customHeight="1" x14ac:dyDescent="0.25">
      <c r="B59" s="11" t="s">
        <v>52</v>
      </c>
      <c r="C59" s="45">
        <v>0.62463999999999997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5.4530763999999898E-2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6707</v>
      </c>
      <c r="C2" s="49">
        <v>22235.5</v>
      </c>
      <c r="D2" s="49">
        <v>39059.5</v>
      </c>
      <c r="E2" s="49">
        <v>41160.5</v>
      </c>
      <c r="F2" s="49">
        <v>39869</v>
      </c>
      <c r="G2" s="17">
        <f t="shared" ref="G2:G13" si="0">C2+D2+E2+F2</f>
        <v>142324.5</v>
      </c>
      <c r="H2" s="17">
        <f t="shared" ref="H2:H13" si="1">(B2 + stillbirth*B2/(1000-stillbirth))/(1-abortion)</f>
        <v>7647.3851568557257</v>
      </c>
      <c r="I2" s="17">
        <f t="shared" ref="I2:I13" si="2">G2-H2</f>
        <v>134677.11484314429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6635</v>
      </c>
      <c r="C3" s="50">
        <v>22376</v>
      </c>
      <c r="D3" s="50">
        <v>38399.5</v>
      </c>
      <c r="E3" s="50">
        <v>40790.5</v>
      </c>
      <c r="F3" s="50">
        <v>40054</v>
      </c>
      <c r="G3" s="17">
        <f t="shared" si="0"/>
        <v>141620</v>
      </c>
      <c r="H3" s="17">
        <f t="shared" si="1"/>
        <v>7565.2900724225046</v>
      </c>
      <c r="I3" s="17">
        <f t="shared" si="2"/>
        <v>134054.7099275775</v>
      </c>
    </row>
    <row r="4" spans="1:9" ht="15.75" customHeight="1" x14ac:dyDescent="0.25">
      <c r="A4" s="5">
        <f t="shared" si="3"/>
        <v>2026</v>
      </c>
      <c r="B4" s="49">
        <v>6568</v>
      </c>
      <c r="C4" s="50">
        <v>22428.5</v>
      </c>
      <c r="D4" s="50">
        <v>37717</v>
      </c>
      <c r="E4" s="50">
        <v>40484.5</v>
      </c>
      <c r="F4" s="50">
        <v>40091.5</v>
      </c>
      <c r="G4" s="17">
        <f t="shared" si="0"/>
        <v>140721.5</v>
      </c>
      <c r="H4" s="17">
        <f t="shared" si="1"/>
        <v>7488.8960355193685</v>
      </c>
      <c r="I4" s="17">
        <f t="shared" si="2"/>
        <v>133232.60396448063</v>
      </c>
    </row>
    <row r="5" spans="1:9" ht="15.75" customHeight="1" x14ac:dyDescent="0.25">
      <c r="A5" s="5">
        <f t="shared" si="3"/>
        <v>2027</v>
      </c>
      <c r="B5" s="49">
        <v>6472</v>
      </c>
      <c r="C5" s="50">
        <v>22437</v>
      </c>
      <c r="D5" s="50">
        <v>37285</v>
      </c>
      <c r="E5" s="50">
        <v>40088.5</v>
      </c>
      <c r="F5" s="50">
        <v>39988.5</v>
      </c>
      <c r="G5" s="17">
        <f t="shared" si="0"/>
        <v>139799</v>
      </c>
      <c r="H5" s="17">
        <f t="shared" si="1"/>
        <v>7379.4359229417405</v>
      </c>
      <c r="I5" s="17">
        <f t="shared" si="2"/>
        <v>132419.56407705825</v>
      </c>
    </row>
    <row r="6" spans="1:9" ht="15.75" customHeight="1" x14ac:dyDescent="0.25">
      <c r="A6" s="5">
        <f t="shared" si="3"/>
        <v>2028</v>
      </c>
      <c r="B6" s="49">
        <v>6423</v>
      </c>
      <c r="C6" s="50">
        <v>22315.5</v>
      </c>
      <c r="D6" s="50">
        <v>37078.5</v>
      </c>
      <c r="E6" s="50">
        <v>39735</v>
      </c>
      <c r="F6" s="50">
        <v>39767</v>
      </c>
      <c r="G6" s="17">
        <f t="shared" si="0"/>
        <v>138896</v>
      </c>
      <c r="H6" s="17">
        <f t="shared" si="1"/>
        <v>7323.5656571469099</v>
      </c>
      <c r="I6" s="17">
        <f t="shared" si="2"/>
        <v>131572.43434285308</v>
      </c>
    </row>
    <row r="7" spans="1:9" ht="15.75" customHeight="1" x14ac:dyDescent="0.25">
      <c r="A7" s="5">
        <f t="shared" si="3"/>
        <v>2029</v>
      </c>
      <c r="B7" s="49">
        <v>6367</v>
      </c>
      <c r="C7" s="50">
        <v>22093.5</v>
      </c>
      <c r="D7" s="50">
        <v>37029.499999999993</v>
      </c>
      <c r="E7" s="50">
        <v>39466.5</v>
      </c>
      <c r="F7" s="50">
        <v>39417.5</v>
      </c>
      <c r="G7" s="17">
        <f t="shared" si="0"/>
        <v>138007</v>
      </c>
      <c r="H7" s="17">
        <f t="shared" si="1"/>
        <v>7259.7139248099602</v>
      </c>
      <c r="I7" s="17">
        <f t="shared" si="2"/>
        <v>130747.28607519004</v>
      </c>
    </row>
    <row r="8" spans="1:9" ht="15.75" customHeight="1" x14ac:dyDescent="0.25">
      <c r="A8" s="5">
        <f t="shared" si="3"/>
        <v>2030</v>
      </c>
      <c r="B8" s="49">
        <v>6309</v>
      </c>
      <c r="C8" s="50">
        <v>21839.5</v>
      </c>
      <c r="D8" s="50">
        <v>37011.5</v>
      </c>
      <c r="E8" s="50">
        <v>39284</v>
      </c>
      <c r="F8" s="50">
        <v>38901.5</v>
      </c>
      <c r="G8" s="17">
        <f t="shared" si="0"/>
        <v>137036.5</v>
      </c>
      <c r="H8" s="17">
        <f t="shared" si="1"/>
        <v>7193.5817734609764</v>
      </c>
      <c r="I8" s="17">
        <f t="shared" si="2"/>
        <v>129842.91822653903</v>
      </c>
    </row>
    <row r="9" spans="1:9" ht="15.75" customHeight="1" x14ac:dyDescent="0.25">
      <c r="A9" s="5">
        <f t="shared" si="3"/>
        <v>2031</v>
      </c>
      <c r="B9" s="49">
        <v>6252</v>
      </c>
      <c r="C9" s="50">
        <v>21779</v>
      </c>
      <c r="D9" s="50">
        <v>36740.5</v>
      </c>
      <c r="E9" s="50">
        <v>39203.5</v>
      </c>
      <c r="F9" s="50">
        <v>38313.5</v>
      </c>
      <c r="G9" s="17">
        <f t="shared" si="0"/>
        <v>136036.5</v>
      </c>
      <c r="H9" s="17">
        <f t="shared" si="1"/>
        <v>7128.5898316180101</v>
      </c>
      <c r="I9" s="17">
        <f t="shared" si="2"/>
        <v>128907.91016838199</v>
      </c>
    </row>
    <row r="10" spans="1:9" ht="15.75" customHeight="1" x14ac:dyDescent="0.25">
      <c r="A10" s="5">
        <f t="shared" si="3"/>
        <v>2032</v>
      </c>
      <c r="B10" s="49">
        <v>6195</v>
      </c>
      <c r="C10" s="50">
        <v>21794.5</v>
      </c>
      <c r="D10" s="50">
        <v>36358.5</v>
      </c>
      <c r="E10" s="50">
        <v>38978.5</v>
      </c>
      <c r="F10" s="50">
        <v>37650.5</v>
      </c>
      <c r="G10" s="17">
        <f t="shared" si="0"/>
        <v>134782</v>
      </c>
      <c r="H10" s="17">
        <f t="shared" si="1"/>
        <v>7063.5978897750438</v>
      </c>
      <c r="I10" s="17">
        <f t="shared" si="2"/>
        <v>127718.40211022495</v>
      </c>
    </row>
    <row r="11" spans="1:9" ht="15.75" customHeight="1" x14ac:dyDescent="0.25">
      <c r="A11" s="5">
        <f t="shared" si="3"/>
        <v>2033</v>
      </c>
      <c r="B11" s="49">
        <v>6131</v>
      </c>
      <c r="C11" s="50">
        <v>21690</v>
      </c>
      <c r="D11" s="50">
        <v>36137.5</v>
      </c>
      <c r="E11" s="50">
        <v>38632</v>
      </c>
      <c r="F11" s="50">
        <v>37030.5</v>
      </c>
      <c r="G11" s="17">
        <f t="shared" si="0"/>
        <v>133490</v>
      </c>
      <c r="H11" s="17">
        <f t="shared" si="1"/>
        <v>6990.6244813899593</v>
      </c>
      <c r="I11" s="17">
        <f t="shared" si="2"/>
        <v>126499.37551861005</v>
      </c>
    </row>
    <row r="12" spans="1:9" ht="15.75" customHeight="1" x14ac:dyDescent="0.25">
      <c r="A12" s="5">
        <f t="shared" si="3"/>
        <v>2034</v>
      </c>
      <c r="B12" s="49">
        <v>6098</v>
      </c>
      <c r="C12" s="50">
        <v>21478.5</v>
      </c>
      <c r="D12" s="50">
        <v>36082.5</v>
      </c>
      <c r="E12" s="50">
        <v>38195.5</v>
      </c>
      <c r="F12" s="50">
        <v>36536</v>
      </c>
      <c r="G12" s="17">
        <f t="shared" si="0"/>
        <v>132292.5</v>
      </c>
      <c r="H12" s="17">
        <f t="shared" si="1"/>
        <v>6952.9975676913991</v>
      </c>
      <c r="I12" s="17">
        <f t="shared" si="2"/>
        <v>125339.5024323086</v>
      </c>
    </row>
    <row r="13" spans="1:9" ht="15.75" customHeight="1" x14ac:dyDescent="0.25">
      <c r="A13" s="5">
        <f t="shared" si="3"/>
        <v>2035</v>
      </c>
      <c r="B13" s="49">
        <v>6050</v>
      </c>
      <c r="C13" s="50">
        <v>21190</v>
      </c>
      <c r="D13" s="50">
        <v>36149.5</v>
      </c>
      <c r="E13" s="50">
        <v>37539</v>
      </c>
      <c r="F13" s="50">
        <v>36097</v>
      </c>
      <c r="G13" s="17">
        <f t="shared" si="0"/>
        <v>130975.5</v>
      </c>
      <c r="H13" s="17">
        <f t="shared" si="1"/>
        <v>6898.2675114025851</v>
      </c>
      <c r="I13" s="17">
        <f t="shared" si="2"/>
        <v>124077.23248859741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3.4142703414270288E-2</v>
      </c>
    </row>
    <row r="5" spans="1:8" ht="15.75" customHeight="1" x14ac:dyDescent="0.25">
      <c r="B5" s="19" t="s">
        <v>70</v>
      </c>
      <c r="C5" s="101">
        <v>3.795040379504043E-2</v>
      </c>
    </row>
    <row r="6" spans="1:8" ht="15.75" customHeight="1" x14ac:dyDescent="0.25">
      <c r="B6" s="19" t="s">
        <v>71</v>
      </c>
      <c r="C6" s="101">
        <v>0.4935597493559748</v>
      </c>
    </row>
    <row r="7" spans="1:8" ht="15.75" customHeight="1" x14ac:dyDescent="0.25">
      <c r="B7" s="19" t="s">
        <v>72</v>
      </c>
      <c r="C7" s="101">
        <v>0.35620743562074381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7.3214107321410649E-2</v>
      </c>
    </row>
    <row r="10" spans="1:8" ht="15.75" customHeight="1" x14ac:dyDescent="0.25">
      <c r="B10" s="19" t="s">
        <v>75</v>
      </c>
      <c r="C10" s="101">
        <v>4.9256004925600444E-3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</v>
      </c>
      <c r="D14" s="55">
        <v>0</v>
      </c>
      <c r="E14" s="55">
        <v>0</v>
      </c>
      <c r="F14" s="55">
        <v>0</v>
      </c>
    </row>
    <row r="15" spans="1:8" ht="15.75" customHeight="1" x14ac:dyDescent="0.25">
      <c r="B15" s="19" t="s">
        <v>82</v>
      </c>
      <c r="C15" s="101">
        <v>0.28262021445446389</v>
      </c>
      <c r="D15" s="101">
        <v>0.28262021445446389</v>
      </c>
      <c r="E15" s="101">
        <v>0.28262021445446389</v>
      </c>
      <c r="F15" s="101">
        <v>0.28262021445446389</v>
      </c>
    </row>
    <row r="16" spans="1:8" ht="15.75" customHeight="1" x14ac:dyDescent="0.25">
      <c r="B16" s="19" t="s">
        <v>83</v>
      </c>
      <c r="C16" s="101">
        <v>0.1449917491390243</v>
      </c>
      <c r="D16" s="101">
        <v>0.1449917491390243</v>
      </c>
      <c r="E16" s="101">
        <v>0.1449917491390243</v>
      </c>
      <c r="F16" s="101">
        <v>0.1449917491390243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87</v>
      </c>
      <c r="C20" s="101">
        <v>1.370030254797487E-2</v>
      </c>
      <c r="D20" s="101">
        <v>1.370030254797487E-2</v>
      </c>
      <c r="E20" s="101">
        <v>1.370030254797487E-2</v>
      </c>
      <c r="F20" s="101">
        <v>1.370030254797487E-2</v>
      </c>
    </row>
    <row r="21" spans="1:8" ht="15.75" customHeight="1" x14ac:dyDescent="0.25">
      <c r="B21" s="19" t="s">
        <v>88</v>
      </c>
      <c r="C21" s="101">
        <v>0.25732604138176512</v>
      </c>
      <c r="D21" s="101">
        <v>0.25732604138176512</v>
      </c>
      <c r="E21" s="101">
        <v>0.25732604138176512</v>
      </c>
      <c r="F21" s="101">
        <v>0.25732604138176512</v>
      </c>
    </row>
    <row r="22" spans="1:8" ht="15.75" customHeight="1" x14ac:dyDescent="0.25">
      <c r="B22" s="19" t="s">
        <v>89</v>
      </c>
      <c r="C22" s="101">
        <v>0.3013616924767718</v>
      </c>
      <c r="D22" s="101">
        <v>0.3013616924767718</v>
      </c>
      <c r="E22" s="101">
        <v>0.3013616924767718</v>
      </c>
      <c r="F22" s="101">
        <v>0.3013616924767718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4.1039101000000001E-2</v>
      </c>
    </row>
    <row r="27" spans="1:8" ht="15.75" customHeight="1" x14ac:dyDescent="0.25">
      <c r="B27" s="19" t="s">
        <v>92</v>
      </c>
      <c r="C27" s="101">
        <v>0.311955555</v>
      </c>
    </row>
    <row r="28" spans="1:8" ht="15.75" customHeight="1" x14ac:dyDescent="0.25">
      <c r="B28" s="19" t="s">
        <v>93</v>
      </c>
      <c r="C28" s="101">
        <v>7.1433338999999998E-2</v>
      </c>
    </row>
    <row r="29" spans="1:8" ht="15.75" customHeight="1" x14ac:dyDescent="0.25">
      <c r="B29" s="19" t="s">
        <v>94</v>
      </c>
      <c r="C29" s="101">
        <v>8.7817816000000007E-2</v>
      </c>
    </row>
    <row r="30" spans="1:8" ht="15.75" customHeight="1" x14ac:dyDescent="0.25">
      <c r="B30" s="19" t="s">
        <v>95</v>
      </c>
      <c r="C30" s="101">
        <v>4.5304205E-2</v>
      </c>
    </row>
    <row r="31" spans="1:8" ht="15.75" customHeight="1" x14ac:dyDescent="0.25">
      <c r="B31" s="19" t="s">
        <v>96</v>
      </c>
      <c r="C31" s="101">
        <v>6.0519333000000002E-2</v>
      </c>
    </row>
    <row r="32" spans="1:8" ht="15.75" customHeight="1" x14ac:dyDescent="0.25">
      <c r="B32" s="19" t="s">
        <v>97</v>
      </c>
      <c r="C32" s="101">
        <v>0.111584815</v>
      </c>
    </row>
    <row r="33" spans="2:3" ht="15.75" customHeight="1" x14ac:dyDescent="0.25">
      <c r="B33" s="19" t="s">
        <v>98</v>
      </c>
      <c r="C33" s="101">
        <v>0.13530931600000001</v>
      </c>
    </row>
    <row r="34" spans="2:3" ht="15.75" customHeight="1" x14ac:dyDescent="0.25">
      <c r="B34" s="19" t="s">
        <v>99</v>
      </c>
      <c r="C34" s="101">
        <v>0.13503651999999999</v>
      </c>
    </row>
    <row r="35" spans="2:3" ht="15.75" customHeight="1" x14ac:dyDescent="0.25">
      <c r="B35" s="27" t="s">
        <v>30</v>
      </c>
      <c r="C35" s="48">
        <f>SUM(C26:C34)</f>
        <v>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0.73379732410774468</v>
      </c>
      <c r="D2" s="52">
        <f>IFERROR(1-_xlfn.NORM.DIST(_xlfn.NORM.INV(SUM(D4:D5), 0, 1) + 1, 0, 1, TRUE), "")</f>
        <v>0.73379732410774468</v>
      </c>
      <c r="E2" s="52">
        <f>IFERROR(1-_xlfn.NORM.DIST(_xlfn.NORM.INV(SUM(E4:E5), 0, 1) + 1, 0, 1, TRUE), "")</f>
        <v>0.84971398857514879</v>
      </c>
      <c r="F2" s="52">
        <f>IFERROR(1-_xlfn.NORM.DIST(_xlfn.NORM.INV(SUM(F4:F5), 0, 1) + 1, 0, 1, TRUE), "")</f>
        <v>0.51602508714629003</v>
      </c>
      <c r="G2" s="52">
        <f>IFERROR(1-_xlfn.NORM.DIST(_xlfn.NORM.INV(SUM(G4:G5), 0, 1) + 1, 0, 1, TRUE), "")</f>
        <v>0.70998917774218107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0.21405087589225538</v>
      </c>
      <c r="D3" s="52">
        <f>IFERROR(_xlfn.NORM.DIST(_xlfn.NORM.INV(SUM(D4:D5), 0, 1) + 1, 0, 1, TRUE) - SUM(D4:D5), "")</f>
        <v>0.21405087589225538</v>
      </c>
      <c r="E3" s="52">
        <f>IFERROR(_xlfn.NORM.DIST(_xlfn.NORM.INV(SUM(E4:E5), 0, 1) + 1, 0, 1, TRUE) - SUM(E4:E5), "")</f>
        <v>0.12937101142485125</v>
      </c>
      <c r="F3" s="52">
        <f>IFERROR(_xlfn.NORM.DIST(_xlfn.NORM.INV(SUM(F4:F5), 0, 1) + 1, 0, 1, TRUE) - SUM(F4:F5), "")</f>
        <v>0.33484671285370993</v>
      </c>
      <c r="G3" s="52">
        <f>IFERROR(_xlfn.NORM.DIST(_xlfn.NORM.INV(SUM(G4:G5), 0, 1) + 1, 0, 1, TRUE) - SUM(G4:G5), "")</f>
        <v>0.22984142225781892</v>
      </c>
    </row>
    <row r="4" spans="1:15" ht="15.75" customHeight="1" x14ac:dyDescent="0.25">
      <c r="B4" s="5" t="s">
        <v>104</v>
      </c>
      <c r="C4" s="45">
        <v>2.89261E-2</v>
      </c>
      <c r="D4" s="53">
        <v>2.89261E-2</v>
      </c>
      <c r="E4" s="53">
        <v>4.0536000000000001E-3</v>
      </c>
      <c r="F4" s="53">
        <v>2.2028599999999999E-2</v>
      </c>
      <c r="G4" s="53">
        <v>5.1829600000000003E-2</v>
      </c>
    </row>
    <row r="5" spans="1:15" ht="15.75" customHeight="1" x14ac:dyDescent="0.25">
      <c r="B5" s="5" t="s">
        <v>105</v>
      </c>
      <c r="C5" s="45">
        <v>2.3225699999999998E-2</v>
      </c>
      <c r="D5" s="53">
        <v>2.3225699999999998E-2</v>
      </c>
      <c r="E5" s="53">
        <v>1.6861399999999999E-2</v>
      </c>
      <c r="F5" s="53">
        <v>0.12709960000000001</v>
      </c>
      <c r="G5" s="53">
        <v>8.3398000000000014E-3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0.62194306958466594</v>
      </c>
      <c r="D8" s="52">
        <f>IFERROR(1-_xlfn.NORM.DIST(_xlfn.NORM.INV(SUM(D10:D11), 0, 1) + 1, 0, 1, TRUE), "")</f>
        <v>0.62194306958466594</v>
      </c>
      <c r="E8" s="52">
        <f>IFERROR(1-_xlfn.NORM.DIST(_xlfn.NORM.INV(SUM(E10:E11), 0, 1) + 1, 0, 1, TRUE), "")</f>
        <v>0.78668978038263804</v>
      </c>
      <c r="F8" s="52">
        <f>IFERROR(1-_xlfn.NORM.DIST(_xlfn.NORM.INV(SUM(F10:F11), 0, 1) + 1, 0, 1, TRUE), "")</f>
        <v>0.91254295194752388</v>
      </c>
      <c r="G8" s="52">
        <f>IFERROR(1-_xlfn.NORM.DIST(_xlfn.NORM.INV(SUM(G10:G11), 0, 1) + 1, 0, 1, TRUE), "")</f>
        <v>0.88141686201740033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0.28305843041533413</v>
      </c>
      <c r="D9" s="52">
        <f>IFERROR(_xlfn.NORM.DIST(_xlfn.NORM.INV(SUM(D10:D11), 0, 1) + 1, 0, 1, TRUE) - SUM(D10:D11), "")</f>
        <v>0.28305843041533413</v>
      </c>
      <c r="E9" s="52">
        <f>IFERROR(_xlfn.NORM.DIST(_xlfn.NORM.INV(SUM(E10:E11), 0, 1) + 1, 0, 1, TRUE) - SUM(E10:E11), "")</f>
        <v>0.17698241961736197</v>
      </c>
      <c r="F9" s="52">
        <f>IFERROR(_xlfn.NORM.DIST(_xlfn.NORM.INV(SUM(F10:F11), 0, 1) + 1, 0, 1, TRUE) - SUM(F10:F11), "")</f>
        <v>7.8235048052476164E-2</v>
      </c>
      <c r="G9" s="52">
        <f>IFERROR(_xlfn.NORM.DIST(_xlfn.NORM.INV(SUM(G10:G11), 0, 1) + 1, 0, 1, TRUE) - SUM(G10:G11), "")</f>
        <v>0.10403203798259969</v>
      </c>
    </row>
    <row r="10" spans="1:15" ht="15.75" customHeight="1" x14ac:dyDescent="0.25">
      <c r="B10" s="5" t="s">
        <v>109</v>
      </c>
      <c r="C10" s="45">
        <v>7.9534300000000002E-2</v>
      </c>
      <c r="D10" s="53">
        <v>7.9534300000000002E-2</v>
      </c>
      <c r="E10" s="53">
        <v>3.63278E-2</v>
      </c>
      <c r="F10" s="53">
        <v>0</v>
      </c>
      <c r="G10" s="53">
        <v>1.0352800000000001E-2</v>
      </c>
    </row>
    <row r="11" spans="1:15" ht="15.75" customHeight="1" x14ac:dyDescent="0.25">
      <c r="B11" s="5" t="s">
        <v>110</v>
      </c>
      <c r="C11" s="45">
        <v>1.5464200000000001E-2</v>
      </c>
      <c r="D11" s="53">
        <v>1.5464200000000001E-2</v>
      </c>
      <c r="E11" s="53">
        <v>0</v>
      </c>
      <c r="F11" s="53">
        <v>9.222000000000001E-3</v>
      </c>
      <c r="G11" s="53">
        <v>4.1982999999999994E-3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0.38283535024999998</v>
      </c>
      <c r="D14" s="54">
        <v>0.38541007546400002</v>
      </c>
      <c r="E14" s="54">
        <v>0.38541007546400002</v>
      </c>
      <c r="F14" s="54">
        <v>0.17029895451300001</v>
      </c>
      <c r="G14" s="54">
        <v>0.17029895451300001</v>
      </c>
      <c r="H14" s="45">
        <v>0.27200000000000002</v>
      </c>
      <c r="I14" s="55">
        <v>0.27200000000000002</v>
      </c>
      <c r="J14" s="55">
        <v>0.27200000000000002</v>
      </c>
      <c r="K14" s="55">
        <v>0.27200000000000002</v>
      </c>
      <c r="L14" s="45">
        <v>0.251</v>
      </c>
      <c r="M14" s="55">
        <v>0.251</v>
      </c>
      <c r="N14" s="55">
        <v>0.251</v>
      </c>
      <c r="O14" s="55">
        <v>0.251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0.23913427318015998</v>
      </c>
      <c r="D15" s="52">
        <f t="shared" si="0"/>
        <v>0.24074254953783297</v>
      </c>
      <c r="E15" s="52">
        <f t="shared" si="0"/>
        <v>0.24074254953783297</v>
      </c>
      <c r="F15" s="52">
        <f t="shared" si="0"/>
        <v>0.10637553894700032</v>
      </c>
      <c r="G15" s="52">
        <f t="shared" si="0"/>
        <v>0.10637553894700032</v>
      </c>
      <c r="H15" s="52">
        <f t="shared" si="0"/>
        <v>0.16990208000000001</v>
      </c>
      <c r="I15" s="52">
        <f t="shared" si="0"/>
        <v>0.16990208000000001</v>
      </c>
      <c r="J15" s="52">
        <f t="shared" si="0"/>
        <v>0.16990208000000001</v>
      </c>
      <c r="K15" s="52">
        <f t="shared" si="0"/>
        <v>0.16990208000000001</v>
      </c>
      <c r="L15" s="52">
        <f t="shared" si="0"/>
        <v>0.15678464</v>
      </c>
      <c r="M15" s="52">
        <f t="shared" si="0"/>
        <v>0.15678464</v>
      </c>
      <c r="N15" s="52">
        <f t="shared" si="0"/>
        <v>0.15678464</v>
      </c>
      <c r="O15" s="52">
        <f t="shared" si="0"/>
        <v>0.15678464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0.31399870000000002</v>
      </c>
      <c r="D2" s="53">
        <v>0.17159460000000001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5.1355600000000001E-2</v>
      </c>
      <c r="D3" s="53">
        <v>0.1553949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0.4142324</v>
      </c>
      <c r="D4" s="53">
        <v>0.40510950000000001</v>
      </c>
      <c r="E4" s="53">
        <v>0.42326510000000001</v>
      </c>
      <c r="F4" s="53">
        <v>0.2488464</v>
      </c>
      <c r="G4" s="53">
        <v>0</v>
      </c>
    </row>
    <row r="5" spans="1:7" x14ac:dyDescent="0.25">
      <c r="B5" s="3" t="s">
        <v>122</v>
      </c>
      <c r="C5" s="52">
        <v>0.22041330000000001</v>
      </c>
      <c r="D5" s="52">
        <v>0.2679011</v>
      </c>
      <c r="E5" s="52">
        <f>1-SUM(E2:E4)</f>
        <v>0.57673489999999994</v>
      </c>
      <c r="F5" s="52">
        <f>1-SUM(F2:F4)</f>
        <v>0.75115359999999998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abSelected="1"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76.430830296277207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0.2403544522204</v>
      </c>
      <c r="C3" s="98">
        <v>0.95</v>
      </c>
      <c r="D3" s="56">
        <v>40.292575813137638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702.89347992688124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7.032941165257669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13.42487525693355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13.42487525693355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13.42487525693355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13.42487525693355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13.42487525693355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13.42487525693355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1.131641056828899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0.12417602840599</v>
      </c>
      <c r="C18" s="98">
        <v>0.95</v>
      </c>
      <c r="D18" s="56">
        <v>16.11738326300533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0.97810450000000004</v>
      </c>
      <c r="C19" s="98">
        <v>0.95</v>
      </c>
      <c r="D19" s="56">
        <v>16.11738326300533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0.89577870000000004</v>
      </c>
      <c r="C21" s="98">
        <v>0.95</v>
      </c>
      <c r="D21" s="56">
        <v>70.114008769456447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23.383432158561249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4.5372725454372071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0.94096500146188011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18.854821117415401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0.73790266105588997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155.6465054085146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1.36088480804361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2.472250321876178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0.66023089999999995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0.31886409999999998</v>
      </c>
      <c r="C38" s="98">
        <v>0.95</v>
      </c>
      <c r="D38" s="56">
        <v>2.134910144430378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2.8</v>
      </c>
      <c r="C2" s="21">
        <f>'Baseline year population inputs'!C52</f>
        <v>2.8</v>
      </c>
      <c r="D2" s="21">
        <f>'Baseline year population inputs'!C53</f>
        <v>2.8</v>
      </c>
      <c r="E2" s="21">
        <f>'Baseline year population inputs'!C54</f>
        <v>2.8</v>
      </c>
      <c r="F2" s="21">
        <f>'Baseline year population inputs'!C55</f>
        <v>2.8</v>
      </c>
    </row>
    <row r="3" spans="1:6" ht="15.75" customHeight="1" x14ac:dyDescent="0.25">
      <c r="A3" s="3" t="s">
        <v>204</v>
      </c>
      <c r="B3" s="21">
        <f>frac_mam_1month * 2.6</f>
        <v>0.20678918000000002</v>
      </c>
      <c r="C3" s="21">
        <f>frac_mam_1_5months * 2.6</f>
        <v>0.20678918000000002</v>
      </c>
      <c r="D3" s="21">
        <f>frac_mam_6_11months * 2.6</f>
        <v>9.445228E-2</v>
      </c>
      <c r="E3" s="21">
        <f>frac_mam_12_23months * 2.6</f>
        <v>0</v>
      </c>
      <c r="F3" s="21">
        <f>frac_mam_24_59months * 2.6</f>
        <v>2.6917280000000002E-2</v>
      </c>
    </row>
    <row r="4" spans="1:6" ht="15.75" customHeight="1" x14ac:dyDescent="0.25">
      <c r="A4" s="3" t="s">
        <v>205</v>
      </c>
      <c r="B4" s="21">
        <f>frac_sam_1month * 2.6</f>
        <v>4.020692E-2</v>
      </c>
      <c r="C4" s="21">
        <f>frac_sam_1_5months * 2.6</f>
        <v>4.020692E-2</v>
      </c>
      <c r="D4" s="21">
        <f>frac_sam_6_11months * 2.6</f>
        <v>0</v>
      </c>
      <c r="E4" s="21">
        <f>frac_sam_12_23months * 2.6</f>
        <v>2.3977200000000004E-2</v>
      </c>
      <c r="F4" s="21">
        <f>frac_sam_24_59months * 2.6</f>
        <v>1.0915579999999999E-2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1.7000000000000001E-2</v>
      </c>
      <c r="E2" s="60">
        <f>food_insecure</f>
        <v>1.7000000000000001E-2</v>
      </c>
      <c r="F2" s="60">
        <f>food_insecure</f>
        <v>1.7000000000000001E-2</v>
      </c>
      <c r="G2" s="60">
        <f>food_insecure</f>
        <v>1.7000000000000001E-2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4.6000000000000006E-2</v>
      </c>
      <c r="D7" s="60">
        <f>diarrhoea_1_5mo*frac_diarrhea_severe</f>
        <v>4.6000000000000006E-2</v>
      </c>
      <c r="E7" s="60">
        <f>diarrhoea_6_11mo*frac_diarrhea_severe</f>
        <v>4.6000000000000006E-2</v>
      </c>
      <c r="F7" s="60">
        <f>diarrhoea_12_23mo*frac_diarrhea_severe</f>
        <v>4.6000000000000006E-2</v>
      </c>
      <c r="G7" s="60">
        <f>diarrhoea_24_59mo*frac_diarrhea_severe</f>
        <v>4.6000000000000006E-2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4.6000000000000006E-2</v>
      </c>
      <c r="D12" s="60">
        <f>diarrhoea_1_5mo*frac_diarrhea_severe</f>
        <v>4.6000000000000006E-2</v>
      </c>
      <c r="E12" s="60">
        <f>diarrhoea_6_11mo*frac_diarrhea_severe</f>
        <v>4.6000000000000006E-2</v>
      </c>
      <c r="F12" s="60">
        <f>diarrhoea_12_23mo*frac_diarrhea_severe</f>
        <v>4.6000000000000006E-2</v>
      </c>
      <c r="G12" s="60">
        <f>diarrhoea_24_59mo*frac_diarrhea_severe</f>
        <v>4.6000000000000006E-2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1.7000000000000001E-2</v>
      </c>
      <c r="I15" s="60">
        <f>food_insecure</f>
        <v>1.7000000000000001E-2</v>
      </c>
      <c r="J15" s="60">
        <f>food_insecure</f>
        <v>1.7000000000000001E-2</v>
      </c>
      <c r="K15" s="60">
        <f>food_insecure</f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0.65900000000000003</v>
      </c>
      <c r="M24" s="60">
        <f>famplan_unmet_need</f>
        <v>0.65900000000000003</v>
      </c>
      <c r="N24" s="60">
        <f>famplan_unmet_need</f>
        <v>0.65900000000000003</v>
      </c>
      <c r="O24" s="60">
        <f>famplan_unmet_need</f>
        <v>0.65900000000000003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5.3107653010559308E-2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2.2760422718811131E-2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3.1730953811645639E-2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0.89240097045898392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28" zoomScale="70" zoomScaleNormal="70" workbookViewId="0">
      <selection activeCell="C27" sqref="C27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F51" sqref="F5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1</v>
      </c>
      <c r="M14" s="90">
        <v>1</v>
      </c>
      <c r="N14" s="90">
        <v>1</v>
      </c>
      <c r="O14" s="90">
        <v>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8">IF(C18=1,1,C18*0.9)</f>
        <v>1</v>
      </c>
      <c r="D41" s="90">
        <f t="shared" si="8"/>
        <v>1</v>
      </c>
      <c r="E41" s="90">
        <f t="shared" si="8"/>
        <v>1</v>
      </c>
      <c r="F41" s="90">
        <f t="shared" si="8"/>
        <v>1</v>
      </c>
      <c r="G41" s="90">
        <f t="shared" si="8"/>
        <v>1</v>
      </c>
      <c r="H41" s="90">
        <f t="shared" si="8"/>
        <v>1</v>
      </c>
      <c r="I41" s="90">
        <f t="shared" si="8"/>
        <v>1</v>
      </c>
      <c r="J41" s="90">
        <f t="shared" si="8"/>
        <v>1</v>
      </c>
      <c r="K41" s="90">
        <f t="shared" si="8"/>
        <v>1</v>
      </c>
      <c r="L41" s="90">
        <f t="shared" si="8"/>
        <v>1</v>
      </c>
      <c r="M41" s="90">
        <f t="shared" si="8"/>
        <v>1</v>
      </c>
      <c r="N41" s="90">
        <f t="shared" si="8"/>
        <v>1</v>
      </c>
      <c r="O41" s="90">
        <f t="shared" si="8"/>
        <v>1</v>
      </c>
    </row>
    <row r="42" spans="1:15" x14ac:dyDescent="0.25">
      <c r="B42" s="5" t="s">
        <v>173</v>
      </c>
      <c r="C42" s="90">
        <f t="shared" ref="C42:D44" si="9">IF(C19=1,1,C19*0.9)</f>
        <v>1</v>
      </c>
      <c r="D42" s="90">
        <f t="shared" si="9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9"/>
        <v>1</v>
      </c>
      <c r="D43" s="90">
        <f t="shared" si="9"/>
        <v>1</v>
      </c>
      <c r="E43" s="90">
        <f t="shared" ref="E43:O43" si="10">IF(E20=1,1,E20*0.9)</f>
        <v>1</v>
      </c>
      <c r="F43" s="90">
        <f t="shared" si="10"/>
        <v>1</v>
      </c>
      <c r="G43" s="90">
        <f t="shared" si="10"/>
        <v>1</v>
      </c>
      <c r="H43" s="90">
        <f t="shared" si="10"/>
        <v>1</v>
      </c>
      <c r="I43" s="90">
        <f t="shared" si="10"/>
        <v>1</v>
      </c>
      <c r="J43" s="90">
        <f t="shared" si="10"/>
        <v>1</v>
      </c>
      <c r="K43" s="90">
        <f t="shared" si="10"/>
        <v>1</v>
      </c>
      <c r="L43" s="90">
        <f t="shared" si="10"/>
        <v>1</v>
      </c>
      <c r="M43" s="90">
        <f t="shared" si="10"/>
        <v>1</v>
      </c>
      <c r="N43" s="90">
        <f t="shared" si="10"/>
        <v>1</v>
      </c>
      <c r="O43" s="90">
        <f t="shared" si="10"/>
        <v>1</v>
      </c>
    </row>
    <row r="44" spans="1:15" x14ac:dyDescent="0.25">
      <c r="B44" s="5" t="s">
        <v>182</v>
      </c>
      <c r="C44" s="90">
        <f t="shared" si="9"/>
        <v>1</v>
      </c>
      <c r="D44" s="90">
        <f t="shared" si="9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1">IF(E3=1,1,E3*1.05)</f>
        <v>1</v>
      </c>
      <c r="F49" s="90">
        <f t="shared" si="11"/>
        <v>1</v>
      </c>
      <c r="G49" s="90">
        <f t="shared" si="11"/>
        <v>1</v>
      </c>
      <c r="H49" s="90">
        <f t="shared" si="11"/>
        <v>1</v>
      </c>
      <c r="I49" s="90">
        <f t="shared" si="11"/>
        <v>1</v>
      </c>
      <c r="J49" s="90">
        <f t="shared" si="11"/>
        <v>1</v>
      </c>
      <c r="K49" s="90">
        <f t="shared" si="11"/>
        <v>1</v>
      </c>
      <c r="L49" s="90">
        <f t="shared" si="11"/>
        <v>1</v>
      </c>
      <c r="M49" s="90">
        <f t="shared" si="11"/>
        <v>1</v>
      </c>
      <c r="N49" s="90">
        <f t="shared" si="11"/>
        <v>1</v>
      </c>
      <c r="O49" s="90">
        <f t="shared" si="11"/>
        <v>1</v>
      </c>
    </row>
    <row r="50" spans="1:15" x14ac:dyDescent="0.25">
      <c r="B50" s="11" t="s">
        <v>175</v>
      </c>
      <c r="C50" s="90">
        <f t="shared" ref="C50:G56" si="12">IF(C4=1,1,C4*1.05)</f>
        <v>1</v>
      </c>
      <c r="D50" s="90">
        <f t="shared" si="12"/>
        <v>1</v>
      </c>
      <c r="E50" s="90">
        <f t="shared" si="12"/>
        <v>1</v>
      </c>
      <c r="F50" s="90">
        <f t="shared" si="12"/>
        <v>1</v>
      </c>
      <c r="G50" s="90">
        <f t="shared" si="12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3">IF(L4=1,1,L4*1.05)</f>
        <v>1</v>
      </c>
      <c r="M50" s="90">
        <f t="shared" si="13"/>
        <v>1</v>
      </c>
      <c r="N50" s="90">
        <f t="shared" si="13"/>
        <v>1</v>
      </c>
      <c r="O50" s="90">
        <f t="shared" si="13"/>
        <v>1</v>
      </c>
    </row>
    <row r="51" spans="1:15" x14ac:dyDescent="0.25">
      <c r="B51" s="11" t="s">
        <v>176</v>
      </c>
      <c r="C51" s="90">
        <f t="shared" si="12"/>
        <v>1</v>
      </c>
      <c r="D51" s="90">
        <f t="shared" si="12"/>
        <v>1</v>
      </c>
      <c r="E51" s="90">
        <f t="shared" si="12"/>
        <v>1</v>
      </c>
      <c r="F51" s="90">
        <f t="shared" si="12"/>
        <v>1</v>
      </c>
      <c r="G51" s="90">
        <f t="shared" si="12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3"/>
        <v>1</v>
      </c>
      <c r="M51" s="90">
        <f t="shared" si="13"/>
        <v>1</v>
      </c>
      <c r="N51" s="90">
        <f t="shared" si="13"/>
        <v>1</v>
      </c>
      <c r="O51" s="90">
        <f t="shared" si="13"/>
        <v>1</v>
      </c>
    </row>
    <row r="52" spans="1:15" x14ac:dyDescent="0.25">
      <c r="B52" s="11" t="s">
        <v>177</v>
      </c>
      <c r="C52" s="90">
        <f t="shared" si="12"/>
        <v>1</v>
      </c>
      <c r="D52" s="90">
        <f t="shared" si="12"/>
        <v>1</v>
      </c>
      <c r="E52" s="90">
        <f t="shared" si="12"/>
        <v>1</v>
      </c>
      <c r="F52" s="90">
        <f t="shared" si="12"/>
        <v>1</v>
      </c>
      <c r="G52" s="90">
        <f t="shared" si="12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3"/>
        <v>1</v>
      </c>
      <c r="M52" s="90">
        <f t="shared" si="13"/>
        <v>1</v>
      </c>
      <c r="N52" s="90">
        <f t="shared" si="13"/>
        <v>1</v>
      </c>
      <c r="O52" s="90">
        <f t="shared" si="13"/>
        <v>1</v>
      </c>
    </row>
    <row r="53" spans="1:15" x14ac:dyDescent="0.25">
      <c r="B53" s="11" t="s">
        <v>178</v>
      </c>
      <c r="C53" s="90">
        <f t="shared" si="12"/>
        <v>1</v>
      </c>
      <c r="D53" s="90">
        <f t="shared" si="12"/>
        <v>1</v>
      </c>
      <c r="E53" s="90">
        <f t="shared" si="12"/>
        <v>1</v>
      </c>
      <c r="F53" s="90">
        <f t="shared" si="12"/>
        <v>1</v>
      </c>
      <c r="G53" s="90">
        <f t="shared" si="12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3"/>
        <v>1</v>
      </c>
      <c r="M53" s="90">
        <f t="shared" si="13"/>
        <v>1</v>
      </c>
      <c r="N53" s="90">
        <f t="shared" si="13"/>
        <v>1</v>
      </c>
      <c r="O53" s="90">
        <f t="shared" si="13"/>
        <v>1</v>
      </c>
    </row>
    <row r="54" spans="1:15" x14ac:dyDescent="0.25">
      <c r="B54" s="5" t="s">
        <v>179</v>
      </c>
      <c r="C54" s="90">
        <f t="shared" si="12"/>
        <v>1</v>
      </c>
      <c r="D54" s="90">
        <f t="shared" si="12"/>
        <v>1</v>
      </c>
      <c r="E54" s="90">
        <f t="shared" si="12"/>
        <v>1</v>
      </c>
      <c r="F54" s="90">
        <f t="shared" si="12"/>
        <v>1</v>
      </c>
      <c r="G54" s="90">
        <f t="shared" si="12"/>
        <v>1</v>
      </c>
      <c r="H54" s="90">
        <f t="shared" ref="H54:K57" si="14">IF(H8=1,1,H8*1.05)</f>
        <v>1</v>
      </c>
      <c r="I54" s="90">
        <f t="shared" si="14"/>
        <v>1</v>
      </c>
      <c r="J54" s="90">
        <f t="shared" si="14"/>
        <v>1</v>
      </c>
      <c r="K54" s="90">
        <f t="shared" si="14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2"/>
        <v>1</v>
      </c>
      <c r="D55" s="90">
        <f t="shared" si="12"/>
        <v>1</v>
      </c>
      <c r="E55" s="90">
        <f t="shared" si="12"/>
        <v>1</v>
      </c>
      <c r="F55" s="90">
        <f t="shared" si="12"/>
        <v>1</v>
      </c>
      <c r="G55" s="90">
        <f t="shared" si="12"/>
        <v>1</v>
      </c>
      <c r="H55" s="90">
        <f t="shared" si="14"/>
        <v>1</v>
      </c>
      <c r="I55" s="90">
        <f t="shared" si="14"/>
        <v>1</v>
      </c>
      <c r="J55" s="90">
        <f t="shared" si="14"/>
        <v>1</v>
      </c>
      <c r="K55" s="90">
        <f t="shared" si="14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2"/>
        <v>1</v>
      </c>
      <c r="D56" s="90">
        <f t="shared" si="12"/>
        <v>1</v>
      </c>
      <c r="E56" s="90">
        <f t="shared" si="12"/>
        <v>1</v>
      </c>
      <c r="F56" s="90">
        <f t="shared" si="12"/>
        <v>1</v>
      </c>
      <c r="G56" s="90">
        <f t="shared" si="12"/>
        <v>1</v>
      </c>
      <c r="H56" s="90">
        <f t="shared" si="14"/>
        <v>1</v>
      </c>
      <c r="I56" s="90">
        <f t="shared" si="14"/>
        <v>1</v>
      </c>
      <c r="J56" s="90">
        <f t="shared" si="14"/>
        <v>1</v>
      </c>
      <c r="K56" s="90">
        <f t="shared" si="14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4"/>
        <v>1</v>
      </c>
      <c r="I57" s="90">
        <f t="shared" si="14"/>
        <v>1</v>
      </c>
      <c r="J57" s="90">
        <f t="shared" si="14"/>
        <v>1</v>
      </c>
      <c r="K57" s="90">
        <f t="shared" si="14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5">IF(C13=1,1,C13*1.05)</f>
        <v>1</v>
      </c>
      <c r="D59" s="90">
        <f t="shared" si="15"/>
        <v>1</v>
      </c>
      <c r="E59" s="90">
        <v>0.77</v>
      </c>
      <c r="F59" s="90">
        <v>0.77</v>
      </c>
      <c r="G59" s="90">
        <v>0.77</v>
      </c>
      <c r="H59" s="90">
        <f t="shared" ref="H59:O59" si="16">IF(H13=1,1,H13*1.05)</f>
        <v>1</v>
      </c>
      <c r="I59" s="90">
        <f t="shared" si="16"/>
        <v>1</v>
      </c>
      <c r="J59" s="90">
        <f t="shared" si="16"/>
        <v>1</v>
      </c>
      <c r="K59" s="90">
        <f t="shared" si="16"/>
        <v>1</v>
      </c>
      <c r="L59" s="90">
        <f t="shared" si="16"/>
        <v>1</v>
      </c>
      <c r="M59" s="90">
        <f t="shared" si="16"/>
        <v>1</v>
      </c>
      <c r="N59" s="90">
        <f t="shared" si="16"/>
        <v>1</v>
      </c>
      <c r="O59" s="90">
        <f t="shared" si="16"/>
        <v>1</v>
      </c>
    </row>
    <row r="60" spans="1:15" x14ac:dyDescent="0.25">
      <c r="B60" s="11" t="s">
        <v>189</v>
      </c>
      <c r="C60" s="90">
        <f t="shared" si="15"/>
        <v>1</v>
      </c>
      <c r="D60" s="90">
        <f t="shared" si="15"/>
        <v>1</v>
      </c>
      <c r="E60" s="90">
        <f t="shared" ref="E60:K60" si="17">IF(E14=1,1,E14*1.05)</f>
        <v>1</v>
      </c>
      <c r="F60" s="90">
        <f t="shared" si="17"/>
        <v>1</v>
      </c>
      <c r="G60" s="90">
        <f t="shared" si="17"/>
        <v>1</v>
      </c>
      <c r="H60" s="90">
        <f t="shared" si="17"/>
        <v>1</v>
      </c>
      <c r="I60" s="90">
        <f t="shared" si="17"/>
        <v>1</v>
      </c>
      <c r="J60" s="90">
        <f t="shared" si="17"/>
        <v>1</v>
      </c>
      <c r="K60" s="90">
        <f t="shared" si="17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5"/>
        <v>1</v>
      </c>
      <c r="D61" s="90">
        <f t="shared" si="15"/>
        <v>1</v>
      </c>
      <c r="E61" s="90">
        <v>0.44</v>
      </c>
      <c r="F61" s="90">
        <v>0.44</v>
      </c>
      <c r="G61" s="90">
        <f t="shared" ref="G61:O61" si="18">IF(G15=1,1,G15*1.05)</f>
        <v>1</v>
      </c>
      <c r="H61" s="90">
        <f t="shared" si="18"/>
        <v>1</v>
      </c>
      <c r="I61" s="90">
        <f t="shared" si="18"/>
        <v>1</v>
      </c>
      <c r="J61" s="90">
        <f t="shared" si="18"/>
        <v>1</v>
      </c>
      <c r="K61" s="90">
        <f t="shared" si="18"/>
        <v>1</v>
      </c>
      <c r="L61" s="90">
        <f t="shared" si="18"/>
        <v>1</v>
      </c>
      <c r="M61" s="90">
        <f t="shared" si="18"/>
        <v>1</v>
      </c>
      <c r="N61" s="90">
        <f t="shared" si="18"/>
        <v>1</v>
      </c>
      <c r="O61" s="90">
        <f t="shared" si="18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19">IF(C18=1,1,C18*1.05)</f>
        <v>1</v>
      </c>
      <c r="D64" s="90">
        <f t="shared" si="19"/>
        <v>1</v>
      </c>
      <c r="E64" s="90">
        <f t="shared" si="19"/>
        <v>1</v>
      </c>
      <c r="F64" s="90">
        <f t="shared" si="19"/>
        <v>1</v>
      </c>
      <c r="G64" s="90">
        <f t="shared" si="19"/>
        <v>1</v>
      </c>
      <c r="H64" s="90">
        <f t="shared" si="19"/>
        <v>1</v>
      </c>
      <c r="I64" s="90">
        <f t="shared" si="19"/>
        <v>1</v>
      </c>
      <c r="J64" s="90">
        <f t="shared" si="19"/>
        <v>1</v>
      </c>
      <c r="K64" s="90">
        <f t="shared" si="19"/>
        <v>1</v>
      </c>
      <c r="L64" s="90">
        <f t="shared" si="19"/>
        <v>1</v>
      </c>
      <c r="M64" s="90">
        <f t="shared" si="19"/>
        <v>1</v>
      </c>
      <c r="N64" s="90">
        <f t="shared" si="19"/>
        <v>1</v>
      </c>
      <c r="O64" s="90">
        <f t="shared" si="19"/>
        <v>1</v>
      </c>
    </row>
    <row r="65" spans="2:15" x14ac:dyDescent="0.25">
      <c r="B65" s="5" t="s">
        <v>173</v>
      </c>
      <c r="C65" s="90">
        <f t="shared" ref="C65:D67" si="20">IF(C19=1,1,C19*1.05)</f>
        <v>1</v>
      </c>
      <c r="D65" s="90">
        <f t="shared" si="20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0"/>
        <v>1</v>
      </c>
      <c r="D66" s="90">
        <f t="shared" si="20"/>
        <v>1</v>
      </c>
      <c r="E66" s="90">
        <f t="shared" ref="E66:O66" si="21">IF(E20=1,1,E20*1.05)</f>
        <v>1</v>
      </c>
      <c r="F66" s="90">
        <f t="shared" si="21"/>
        <v>1</v>
      </c>
      <c r="G66" s="90">
        <f t="shared" si="21"/>
        <v>1</v>
      </c>
      <c r="H66" s="90">
        <f t="shared" si="21"/>
        <v>1</v>
      </c>
      <c r="I66" s="90">
        <f t="shared" si="21"/>
        <v>1</v>
      </c>
      <c r="J66" s="90">
        <f t="shared" si="21"/>
        <v>1</v>
      </c>
      <c r="K66" s="90">
        <f t="shared" si="21"/>
        <v>1</v>
      </c>
      <c r="L66" s="90">
        <f t="shared" si="21"/>
        <v>1</v>
      </c>
      <c r="M66" s="90">
        <f t="shared" si="21"/>
        <v>1</v>
      </c>
      <c r="N66" s="90">
        <f t="shared" si="21"/>
        <v>1</v>
      </c>
      <c r="O66" s="90">
        <f t="shared" si="21"/>
        <v>1</v>
      </c>
    </row>
    <row r="67" spans="2:15" x14ac:dyDescent="0.25">
      <c r="B67" s="5" t="s">
        <v>182</v>
      </c>
      <c r="C67" s="90">
        <f t="shared" si="20"/>
        <v>1</v>
      </c>
      <c r="D67" s="90">
        <f t="shared" si="20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6" ma:contentTypeDescription="Create a new document." ma:contentTypeScope="" ma:versionID="107b52809c0cc4b5077f1ac81d3c69cc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82b7e1b740270cfb0676be859a78f3d0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423921C-457A-46B6-BB81-D317A151D967}"/>
</file>

<file path=customXml/itemProps2.xml><?xml version="1.0" encoding="utf-8"?>
<ds:datastoreItem xmlns:ds="http://schemas.openxmlformats.org/officeDocument/2006/customXml" ds:itemID="{21C9D017-F2E6-4EB4-BEAD-103B77C0D14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2024-04-11T00:41:23Z</dcterms:modified>
</cp:coreProperties>
</file>