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D9525BF-352B-4A39-B85C-B93044C6FD99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<sst xmlns="http://schemas.openxmlformats.org/spreadsheetml/2006/main" count="2101" uniqueCount="341">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</sst>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33985.198974609397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0.89240097045898392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0.53120000000000001</v>
      </c>
    </row>
    <row r="25" spans="1:3" ht="15" customHeight="1" x14ac:dyDescent="0.25">
      <c r="B25" s="15" t="s">
        <v>23</v>
      </c>
      <c r="C25" s="45">
        <v>0.40350000000000003</v>
      </c>
    </row>
    <row r="26" spans="1:3" ht="15" customHeight="1" x14ac:dyDescent="0.25">
      <c r="B26" s="15" t="s">
        <v>24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0.96101999999999999</v>
      </c>
    </row>
    <row r="38" spans="1:5" ht="15" customHeight="1" x14ac:dyDescent="0.25">
      <c r="B38" s="11" t="s">
        <v>34</v>
      </c>
      <c r="C38" s="43">
        <v>1.9053599999999999</v>
      </c>
      <c r="D38" s="12"/>
      <c r="E38" s="13"/>
    </row>
    <row r="39" spans="1:5" ht="15" customHeight="1" x14ac:dyDescent="0.25">
      <c r="B39" s="11" t="s">
        <v>35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5.9347000000000002E-3</v>
      </c>
      <c r="D45" s="12"/>
    </row>
    <row r="46" spans="1:5" ht="15.75" customHeight="1" x14ac:dyDescent="0.25">
      <c r="B46" s="11" t="s">
        <v>41</v>
      </c>
      <c r="C46" s="45">
        <v>6.3767500000000005E-2</v>
      </c>
      <c r="D46" s="12"/>
    </row>
    <row r="47" spans="1:5" ht="15.75" customHeight="1" x14ac:dyDescent="0.25">
      <c r="B47" s="11" t="s">
        <v>42</v>
      </c>
      <c r="C47" s="45">
        <v>7.53577E-2</v>
      </c>
      <c r="D47" s="12"/>
      <c r="E47" s="13"/>
    </row>
    <row r="48" spans="1:5" ht="15" customHeight="1" x14ac:dyDescent="0.25">
      <c r="B48" s="11" t="s">
        <v>43</v>
      </c>
      <c r="C48" s="46">
        <v>0.85494009999999998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0.62463999999999997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6707</v>
      </c>
      <c r="C2" s="49">
        <v>22235.5</v>
      </c>
      <c r="D2" s="49">
        <v>39059.5</v>
      </c>
      <c r="E2" s="49">
        <v>41160.5</v>
      </c>
      <c r="F2" s="49">
        <v>39869</v>
      </c>
      <c r="G2" s="17">
        <f t="shared" ref="G2:G13" si="0">C2+D2+E2+F2</f>
        <v>142324.5</v>
      </c>
      <c r="H2" s="17">
        <f t="shared" ref="H2:H13" si="1">(B2 + stillbirth*B2/(1000-stillbirth))/(1-abortion)</f>
        <v>7647.3851568557257</v>
      </c>
      <c r="I2" s="17">
        <f t="shared" ref="I2:I13" si="2">G2-H2</f>
        <v>134677.11484314429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6635</v>
      </c>
      <c r="C3" s="50">
        <v>22376</v>
      </c>
      <c r="D3" s="50">
        <v>38399.5</v>
      </c>
      <c r="E3" s="50">
        <v>40790.5</v>
      </c>
      <c r="F3" s="50">
        <v>40054</v>
      </c>
      <c r="G3" s="17">
        <f t="shared" si="0"/>
        <v>141620</v>
      </c>
      <c r="H3" s="17">
        <f t="shared" si="1"/>
        <v>7565.2900724225046</v>
      </c>
      <c r="I3" s="17">
        <f t="shared" si="2"/>
        <v>134054.7099275775</v>
      </c>
    </row>
    <row r="4" spans="1:9" ht="15.75" customHeight="1" x14ac:dyDescent="0.25">
      <c r="A4" s="5">
        <f t="shared" si="3"/>
        <v>2026</v>
      </c>
      <c r="B4" s="49">
        <v>6568</v>
      </c>
      <c r="C4" s="50">
        <v>22428.5</v>
      </c>
      <c r="D4" s="50">
        <v>37717</v>
      </c>
      <c r="E4" s="50">
        <v>40484.5</v>
      </c>
      <c r="F4" s="50">
        <v>40091.5</v>
      </c>
      <c r="G4" s="17">
        <f t="shared" si="0"/>
        <v>140721.5</v>
      </c>
      <c r="H4" s="17">
        <f t="shared" si="1"/>
        <v>7488.8960355193685</v>
      </c>
      <c r="I4" s="17">
        <f t="shared" si="2"/>
        <v>133232.60396448063</v>
      </c>
    </row>
    <row r="5" spans="1:9" ht="15.75" customHeight="1" x14ac:dyDescent="0.25">
      <c r="A5" s="5">
        <f t="shared" si="3"/>
        <v>2027</v>
      </c>
      <c r="B5" s="49">
        <v>6472</v>
      </c>
      <c r="C5" s="50">
        <v>22437</v>
      </c>
      <c r="D5" s="50">
        <v>37285</v>
      </c>
      <c r="E5" s="50">
        <v>40088.5</v>
      </c>
      <c r="F5" s="50">
        <v>39988.5</v>
      </c>
      <c r="G5" s="17">
        <f t="shared" si="0"/>
        <v>139799</v>
      </c>
      <c r="H5" s="17">
        <f t="shared" si="1"/>
        <v>7379.4359229417405</v>
      </c>
      <c r="I5" s="17">
        <f t="shared" si="2"/>
        <v>132419.56407705825</v>
      </c>
    </row>
    <row r="6" spans="1:9" ht="15.75" customHeight="1" x14ac:dyDescent="0.25">
      <c r="A6" s="5">
        <f t="shared" si="3"/>
        <v>2028</v>
      </c>
      <c r="B6" s="49">
        <v>6423</v>
      </c>
      <c r="C6" s="50">
        <v>22315.5</v>
      </c>
      <c r="D6" s="50">
        <v>37078.5</v>
      </c>
      <c r="E6" s="50">
        <v>39735</v>
      </c>
      <c r="F6" s="50">
        <v>39767</v>
      </c>
      <c r="G6" s="17">
        <f t="shared" si="0"/>
        <v>138896</v>
      </c>
      <c r="H6" s="17">
        <f t="shared" si="1"/>
        <v>7323.5656571469099</v>
      </c>
      <c r="I6" s="17">
        <f t="shared" si="2"/>
        <v>131572.43434285308</v>
      </c>
    </row>
    <row r="7" spans="1:9" ht="15.75" customHeight="1" x14ac:dyDescent="0.25">
      <c r="A7" s="5">
        <f t="shared" si="3"/>
        <v>2029</v>
      </c>
      <c r="B7" s="49">
        <v>6367</v>
      </c>
      <c r="C7" s="50">
        <v>22093.5</v>
      </c>
      <c r="D7" s="50">
        <v>37029.499999999993</v>
      </c>
      <c r="E7" s="50">
        <v>39466.5</v>
      </c>
      <c r="F7" s="50">
        <v>39417.5</v>
      </c>
      <c r="G7" s="17">
        <f t="shared" si="0"/>
        <v>138007</v>
      </c>
      <c r="H7" s="17">
        <f t="shared" si="1"/>
        <v>7259.7139248099602</v>
      </c>
      <c r="I7" s="17">
        <f t="shared" si="2"/>
        <v>130747.28607519004</v>
      </c>
    </row>
    <row r="8" spans="1:9" ht="15.75" customHeight="1" x14ac:dyDescent="0.25">
      <c r="A8" s="5">
        <f t="shared" si="3"/>
        <v>2030</v>
      </c>
      <c r="B8" s="49">
        <v>6309</v>
      </c>
      <c r="C8" s="50">
        <v>21839.5</v>
      </c>
      <c r="D8" s="50">
        <v>37011.5</v>
      </c>
      <c r="E8" s="50">
        <v>39284</v>
      </c>
      <c r="F8" s="50">
        <v>38901.5</v>
      </c>
      <c r="G8" s="17">
        <f t="shared" si="0"/>
        <v>137036.5</v>
      </c>
      <c r="H8" s="17">
        <f t="shared" si="1"/>
        <v>7193.5817734609764</v>
      </c>
      <c r="I8" s="17">
        <f t="shared" si="2"/>
        <v>129842.91822653903</v>
      </c>
    </row>
    <row r="9" spans="1:9" ht="15.75" customHeight="1" x14ac:dyDescent="0.25">
      <c r="A9" s="5">
        <f t="shared" si="3"/>
        <v>2031</v>
      </c>
      <c r="B9" s="49">
        <v>6252</v>
      </c>
      <c r="C9" s="50">
        <v>21779</v>
      </c>
      <c r="D9" s="50">
        <v>36740.5</v>
      </c>
      <c r="E9" s="50">
        <v>39203.5</v>
      </c>
      <c r="F9" s="50">
        <v>38313.5</v>
      </c>
      <c r="G9" s="17">
        <f t="shared" si="0"/>
        <v>136036.5</v>
      </c>
      <c r="H9" s="17">
        <f t="shared" si="1"/>
        <v>7128.5898316180101</v>
      </c>
      <c r="I9" s="17">
        <f t="shared" si="2"/>
        <v>128907.91016838199</v>
      </c>
    </row>
    <row r="10" spans="1:9" ht="15.75" customHeight="1" x14ac:dyDescent="0.25">
      <c r="A10" s="5">
        <f t="shared" si="3"/>
        <v>2032</v>
      </c>
      <c r="B10" s="49">
        <v>6195</v>
      </c>
      <c r="C10" s="50">
        <v>21794.5</v>
      </c>
      <c r="D10" s="50">
        <v>36358.5</v>
      </c>
      <c r="E10" s="50">
        <v>38978.5</v>
      </c>
      <c r="F10" s="50">
        <v>37650.5</v>
      </c>
      <c r="G10" s="17">
        <f t="shared" si="0"/>
        <v>134782</v>
      </c>
      <c r="H10" s="17">
        <f t="shared" si="1"/>
        <v>7063.5978897750438</v>
      </c>
      <c r="I10" s="17">
        <f t="shared" si="2"/>
        <v>127718.40211022495</v>
      </c>
    </row>
    <row r="11" spans="1:9" ht="15.75" customHeight="1" x14ac:dyDescent="0.25">
      <c r="A11" s="5">
        <f t="shared" si="3"/>
        <v>2033</v>
      </c>
      <c r="B11" s="49">
        <v>6131</v>
      </c>
      <c r="C11" s="50">
        <v>21690</v>
      </c>
      <c r="D11" s="50">
        <v>36137.5</v>
      </c>
      <c r="E11" s="50">
        <v>38632</v>
      </c>
      <c r="F11" s="50">
        <v>37030.5</v>
      </c>
      <c r="G11" s="17">
        <f t="shared" si="0"/>
        <v>133490</v>
      </c>
      <c r="H11" s="17">
        <f t="shared" si="1"/>
        <v>6990.6244813899593</v>
      </c>
      <c r="I11" s="17">
        <f t="shared" si="2"/>
        <v>126499.37551861005</v>
      </c>
    </row>
    <row r="12" spans="1:9" ht="15.75" customHeight="1" x14ac:dyDescent="0.25">
      <c r="A12" s="5">
        <f t="shared" si="3"/>
        <v>2034</v>
      </c>
      <c r="B12" s="49">
        <v>6098</v>
      </c>
      <c r="C12" s="50">
        <v>21478.5</v>
      </c>
      <c r="D12" s="50">
        <v>36082.5</v>
      </c>
      <c r="E12" s="50">
        <v>38195.5</v>
      </c>
      <c r="F12" s="50">
        <v>36536</v>
      </c>
      <c r="G12" s="17">
        <f t="shared" si="0"/>
        <v>132292.5</v>
      </c>
      <c r="H12" s="17">
        <f t="shared" si="1"/>
        <v>6952.9975676913991</v>
      </c>
      <c r="I12" s="17">
        <f t="shared" si="2"/>
        <v>125339.5024323086</v>
      </c>
    </row>
    <row r="13" spans="1:9" ht="15.75" customHeight="1" x14ac:dyDescent="0.25">
      <c r="A13" s="5">
        <f t="shared" si="3"/>
        <v>2035</v>
      </c>
      <c r="B13" s="49">
        <v>6050</v>
      </c>
      <c r="C13" s="50">
        <v>21190</v>
      </c>
      <c r="D13" s="50">
        <v>36149.5</v>
      </c>
      <c r="E13" s="50">
        <v>37539</v>
      </c>
      <c r="F13" s="50">
        <v>36097</v>
      </c>
      <c r="G13" s="17">
        <f t="shared" si="0"/>
        <v>130975.5</v>
      </c>
      <c r="H13" s="17">
        <f t="shared" si="1"/>
        <v>6898.2675114025851</v>
      </c>
      <c r="I13" s="17">
        <f t="shared" si="2"/>
        <v>124077.23248859741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3.4142703414270288E-2</v>
      </c>
    </row>
    <row r="5" spans="1:8" ht="15.75" customHeight="1" x14ac:dyDescent="0.25">
      <c r="B5" s="19" t="s">
        <v>70</v>
      </c>
      <c r="C5" s="101">
        <v>3.795040379504043E-2</v>
      </c>
    </row>
    <row r="6" spans="1:8" ht="15.75" customHeight="1" x14ac:dyDescent="0.25">
      <c r="B6" s="19" t="s">
        <v>71</v>
      </c>
      <c r="C6" s="101">
        <v>0.4935597493559748</v>
      </c>
    </row>
    <row r="7" spans="1:8" ht="15.75" customHeight="1" x14ac:dyDescent="0.25">
      <c r="B7" s="19" t="s">
        <v>72</v>
      </c>
      <c r="C7" s="101">
        <v>0.35620743562074381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7.3214107321410649E-2</v>
      </c>
    </row>
    <row r="10" spans="1:8" ht="15.75" customHeight="1" x14ac:dyDescent="0.25">
      <c r="B10" s="19" t="s">
        <v>75</v>
      </c>
      <c r="C10" s="101">
        <v>4.9256004925600444E-3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83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88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89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4.1039101000000001E-2</v>
      </c>
    </row>
    <row r="27" spans="1:8" ht="15.75" customHeight="1" x14ac:dyDescent="0.25">
      <c r="B27" s="19" t="s">
        <v>92</v>
      </c>
      <c r="C27" s="101">
        <v>0.311955555</v>
      </c>
    </row>
    <row r="28" spans="1:8" ht="15.75" customHeight="1" x14ac:dyDescent="0.25">
      <c r="B28" s="19" t="s">
        <v>93</v>
      </c>
      <c r="C28" s="101">
        <v>7.1433338999999998E-2</v>
      </c>
    </row>
    <row r="29" spans="1:8" ht="15.75" customHeight="1" x14ac:dyDescent="0.25">
      <c r="B29" s="19" t="s">
        <v>94</v>
      </c>
      <c r="C29" s="101">
        <v>8.7817816000000007E-2</v>
      </c>
    </row>
    <row r="30" spans="1:8" ht="15.75" customHeight="1" x14ac:dyDescent="0.25">
      <c r="B30" s="19" t="s">
        <v>95</v>
      </c>
      <c r="C30" s="101">
        <v>4.5304205E-2</v>
      </c>
    </row>
    <row r="31" spans="1:8" ht="15.75" customHeight="1" x14ac:dyDescent="0.25">
      <c r="B31" s="19" t="s">
        <v>96</v>
      </c>
      <c r="C31" s="101">
        <v>6.0519333000000002E-2</v>
      </c>
    </row>
    <row r="32" spans="1:8" ht="15.75" customHeight="1" x14ac:dyDescent="0.25">
      <c r="B32" s="19" t="s">
        <v>97</v>
      </c>
      <c r="C32" s="101">
        <v>0.111584815</v>
      </c>
    </row>
    <row r="33" spans="2:3" ht="15.75" customHeight="1" x14ac:dyDescent="0.25">
      <c r="B33" s="19" t="s">
        <v>98</v>
      </c>
      <c r="C33" s="101">
        <v>0.13530931600000001</v>
      </c>
    </row>
    <row r="34" spans="2:3" ht="15.75" customHeight="1" x14ac:dyDescent="0.25">
      <c r="B34" s="19" t="s">
        <v>99</v>
      </c>
      <c r="C34" s="101">
        <v>0.13503651999999999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104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122</v>
      </c>
      <c r="C5" s="52">
        <v>0.22041330000000001</v>
      </c>
      <c r="D5" s="52">
        <v>0.2679011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76.430830296277207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40.292575813137638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702.89347992688124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7.032941165257669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13.42487525693355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13.42487525693355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13.42487525693355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13.42487525693355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13.42487525693355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13.42487525693355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1.131641056828899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0.17159460000000001</v>
      </c>
      <c r="C18" s="98">
        <v>0.95</v>
      </c>
      <c r="D18" s="56">
        <v>16.11738326300533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0.17159460000000001</v>
      </c>
      <c r="C19" s="98">
        <v>0.95</v>
      </c>
      <c r="D19" s="56">
        <v>16.11738326300533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70.114008769456447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23.383432158561249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4.5372725454372071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0.70510301442886003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18.854821117415401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0.31886409999999998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0.66023089999999995</v>
      </c>
      <c r="C29" s="98">
        <v>0.95</v>
      </c>
      <c r="D29" s="56">
        <v>155.6465054085146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1.36088480804361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2.472250321876178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0.21345500000000001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1.4174000000000001E-2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0.89577870000000004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2.134910144430378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205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0.10909624941733398</v>
      </c>
      <c r="H18" s="90">
        <f>MIN(MAX(1-0.89/(1-frac_sam_24_59months+(frac_sam_24_59months*0.89)),0),1)</f>
        <v>0.10958879653089226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0.10642923941359261</v>
      </c>
      <c r="G20" s="90">
        <f>MIN(MAX(1-0.89/(1-frac_mam_12_23months+(frac_mam_12_23months*0.89)),0),1)</f>
        <v>0.10999999999999999</v>
      </c>
      <c r="H20" s="90">
        <f>MIN(MAX(1-0.89/(1-frac_mam_24_59months+(frac_mam_24_59months*0.89)),0),1)</f>
        <v>0.10898530533760076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9.9086937797403518E-3</v>
      </c>
      <c r="H73" s="90">
        <f>MIN(MAX(1-0.99/(1-frac_sam_24_59months+(frac_sam_24_59months*0.99)),0),1)</f>
        <v>9.9584350849801773E-3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9.6402240813238116E-3</v>
      </c>
      <c r="G75" s="90">
        <f>MIN(MAX(1-0.99/(1-frac_mam_12_23months+(frac_mam_12_23months*0.99)),0),1)</f>
        <v>1.0000000000000009E-2</v>
      </c>
      <c r="H75" s="90">
        <f>MIN(MAX(1-0.99/(1-frac_mam_24_59months+(frac_mam_24_59months*0.99)),0),1)</f>
        <v>9.8974966680350773E-3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0.19852175352219636</v>
      </c>
      <c r="H128" s="90">
        <f>MIN(MAX(1-0.8/(1-frac_sam_24_59months+(frac_sam_24_59months*0.8)),0),1)</f>
        <v>0.19932770750288176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0.19414501223509473</v>
      </c>
      <c r="G130" s="90">
        <f>MIN(MAX(1-0.8/(1-frac_mam_12_23months+(frac_mam_12_23months*0.8)),0),1)</f>
        <v>0.19999999999999996</v>
      </c>
      <c r="H130" s="90">
        <f>MIN(MAX(1-0.8/(1-frac_mam_24_59months+(frac_mam_24_59months*0.8)),0),1)</f>
        <v>0.1983401151087395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2024-08-06T06:31:57Z</dcterms:modified>
</cp:coreProperties>
</file>