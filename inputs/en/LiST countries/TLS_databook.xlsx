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E3B2E5E-80AB-4B20-BB83-403074044EE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6" i="2"/>
  <c r="A25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I7" i="2"/>
  <c r="I13" i="2"/>
  <c r="A37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<sst xmlns="http://schemas.openxmlformats.org/spreadsheetml/2006/main" count="2169" uniqueCount="373">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</sst>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148583</v>
      </c>
    </row>
    <row r="8" spans="1:3" ht="15" customHeight="1" x14ac:dyDescent="0.25">
      <c r="B8" s="5" t="s">
        <v>8</v>
      </c>
      <c r="C8" s="44">
        <v>0.41799999999999998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0.67002499999999998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7">
        <v>9.0628283207226698E-2</v>
      </c>
    </row>
    <row r="31" spans="1:3" ht="14.25" customHeight="1" x14ac:dyDescent="0.25">
      <c r="B31" s="25" t="s">
        <v>28</v>
      </c>
      <c r="C31" s="97">
        <v>0.12440493600631899</v>
      </c>
    </row>
    <row r="32" spans="1:3" ht="14.25" customHeight="1" x14ac:dyDescent="0.25">
      <c r="B32" s="25" t="s">
        <v>29</v>
      </c>
      <c r="C32" s="97">
        <v>0.53914497925416693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98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2.028</v>
      </c>
      <c r="D51" s="12"/>
    </row>
    <row r="52" spans="1:4" ht="15" customHeight="1" x14ac:dyDescent="0.25">
      <c r="B52" s="11" t="s">
        <v>46</v>
      </c>
      <c r="C52" s="98">
        <v>2.028</v>
      </c>
    </row>
    <row r="53" spans="1:4" ht="15.75" customHeight="1" x14ac:dyDescent="0.25">
      <c r="B53" s="11" t="s">
        <v>47</v>
      </c>
      <c r="C53" s="98">
        <v>2.8079999999999998</v>
      </c>
    </row>
    <row r="54" spans="1:4" ht="15.75" customHeight="1" x14ac:dyDescent="0.25">
      <c r="B54" s="11" t="s">
        <v>48</v>
      </c>
      <c r="C54" s="98">
        <v>4.6280000000000001</v>
      </c>
    </row>
    <row r="55" spans="1:4" ht="15.75" customHeight="1" x14ac:dyDescent="0.25">
      <c r="B55" s="11" t="s">
        <v>49</v>
      </c>
      <c r="C55" s="98">
        <v>2.2706666666666671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99">
        <v>6.0140451444212033E-2</v>
      </c>
    </row>
    <row r="5" spans="1:8" ht="15.75" customHeight="1" x14ac:dyDescent="0.25">
      <c r="B5" s="19" t="s">
        <v>70</v>
      </c>
      <c r="C5" s="99">
        <v>8.0966120780000275E-2</v>
      </c>
    </row>
    <row r="6" spans="1:8" ht="15.75" customHeight="1" x14ac:dyDescent="0.25">
      <c r="B6" s="19" t="s">
        <v>71</v>
      </c>
      <c r="C6" s="99">
        <v>0.23734577736489759</v>
      </c>
    </row>
    <row r="7" spans="1:8" ht="15.75" customHeight="1" x14ac:dyDescent="0.25">
      <c r="B7" s="19" t="s">
        <v>72</v>
      </c>
      <c r="C7" s="99">
        <v>0.39154340758184181</v>
      </c>
    </row>
    <row r="8" spans="1:8" ht="15.75" customHeight="1" x14ac:dyDescent="0.25">
      <c r="B8" s="19" t="s">
        <v>73</v>
      </c>
      <c r="C8" s="99">
        <v>2.095209403917522E-3</v>
      </c>
    </row>
    <row r="9" spans="1:8" ht="15.75" customHeight="1" x14ac:dyDescent="0.25">
      <c r="B9" s="19" t="s">
        <v>74</v>
      </c>
      <c r="C9" s="99">
        <v>9.3685606167444854E-2</v>
      </c>
    </row>
    <row r="10" spans="1:8" ht="15.75" customHeight="1" x14ac:dyDescent="0.25">
      <c r="B10" s="19" t="s">
        <v>75</v>
      </c>
      <c r="C10" s="99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83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87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88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89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99">
        <v>1.9052040999999999E-2</v>
      </c>
    </row>
    <row r="28" spans="1:8" ht="15.75" customHeight="1" x14ac:dyDescent="0.25">
      <c r="B28" s="19" t="s">
        <v>93</v>
      </c>
      <c r="C28" s="99">
        <v>0.22942046699999999</v>
      </c>
    </row>
    <row r="29" spans="1:8" ht="15.75" customHeight="1" x14ac:dyDescent="0.25">
      <c r="B29" s="19" t="s">
        <v>94</v>
      </c>
      <c r="C29" s="99">
        <v>0.138432112</v>
      </c>
    </row>
    <row r="30" spans="1:8" ht="15.75" customHeight="1" x14ac:dyDescent="0.25">
      <c r="B30" s="19" t="s">
        <v>95</v>
      </c>
      <c r="C30" s="99">
        <v>5.0081873999999998E-2</v>
      </c>
    </row>
    <row r="31" spans="1:8" ht="15.75" customHeight="1" x14ac:dyDescent="0.25">
      <c r="B31" s="19" t="s">
        <v>96</v>
      </c>
      <c r="C31" s="99">
        <v>7.0297943000000002E-2</v>
      </c>
    </row>
    <row r="32" spans="1:8" ht="15.75" customHeight="1" x14ac:dyDescent="0.25">
      <c r="B32" s="19" t="s">
        <v>97</v>
      </c>
      <c r="C32" s="99">
        <v>0.149011013</v>
      </c>
    </row>
    <row r="33" spans="2:3" ht="15.75" customHeight="1" x14ac:dyDescent="0.25">
      <c r="B33" s="19" t="s">
        <v>98</v>
      </c>
      <c r="C33" s="99">
        <v>0.122429312</v>
      </c>
    </row>
    <row r="34" spans="2:3" ht="15.75" customHeight="1" x14ac:dyDescent="0.25">
      <c r="B34" s="19" t="s">
        <v>99</v>
      </c>
      <c r="C34" s="99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0.58266586520635255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0.1285596</v>
      </c>
      <c r="C10" s="96">
        <v>0.95</v>
      </c>
      <c r="D10" s="56">
        <v>13.598395744825829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13.598395744825829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13.598395744825829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13.598395744825829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0.1285596</v>
      </c>
      <c r="C14" s="96">
        <v>0.95</v>
      </c>
      <c r="D14" s="56">
        <v>13.598395744825829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13.598395744825829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0.60126389999999996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0.45200000000000001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0.48992069999999999</v>
      </c>
      <c r="C19" s="96">
        <v>0.95</v>
      </c>
      <c r="D19" s="56">
        <v>3.3223485837494819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0.6364107</v>
      </c>
      <c r="C23" s="96">
        <v>0.95</v>
      </c>
      <c r="D23" s="56">
        <v>4.4977193243106921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0.34695807796153999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7.2999999999999995E-2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0.69885220000000003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0.2760224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8.3000000000000004E-2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0.64500000000000002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0.28407529999999998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0.25466349999999999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6.3324999999999996E-3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0.71562439999999994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0.40300000000000002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2.028</v>
      </c>
      <c r="C2" s="21">
        <f>'Baseline year population inputs'!C52</f>
        <v>2.028</v>
      </c>
      <c r="D2" s="21">
        <f>'Baseline year population inputs'!C53</f>
        <v>2.8079999999999998</v>
      </c>
      <c r="E2" s="21">
        <f>'Baseline year population inputs'!C54</f>
        <v>4.6280000000000001</v>
      </c>
      <c r="F2" s="21">
        <f>'Baseline year population inputs'!C55</f>
        <v>2.2706666666666671</v>
      </c>
    </row>
    <row r="3" spans="1:6" ht="15.75" customHeight="1" x14ac:dyDescent="0.25">
      <c r="A3" s="3" t="s">
        <v>197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198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