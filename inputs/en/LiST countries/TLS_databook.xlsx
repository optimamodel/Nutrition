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1071F34D-4215-4F33-916F-3AB6F3C4FC9F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5" i="2"/>
  <c r="A31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6" i="2" l="1"/>
  <c r="I4" i="2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<sst xmlns="http://schemas.openxmlformats.org/spreadsheetml/2006/main" count="2159" uniqueCount="372">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</sst>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148583</v>
      </c>
    </row>
    <row r="8" spans="1:3" ht="15" customHeight="1" x14ac:dyDescent="0.25">
      <c r="B8" s="5" t="s">
        <v>8</v>
      </c>
      <c r="C8" s="44">
        <v>0.41799999999999998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0.67002499999999998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0.05</v>
      </c>
    </row>
    <row r="24" spans="1:3" ht="15" customHeight="1" x14ac:dyDescent="0.25">
      <c r="B24" s="15" t="s">
        <v>22</v>
      </c>
      <c r="C24" s="45">
        <v>0.46779999999999999</v>
      </c>
    </row>
    <row r="25" spans="1:3" ht="15" customHeight="1" x14ac:dyDescent="0.25">
      <c r="B25" s="15" t="s">
        <v>23</v>
      </c>
      <c r="C25" s="45">
        <v>0.38690000000000002</v>
      </c>
    </row>
    <row r="26" spans="1:3" ht="15" customHeight="1" x14ac:dyDescent="0.25">
      <c r="B26" s="15" t="s">
        <v>24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0.245821801532287</v>
      </c>
    </row>
    <row r="30" spans="1:3" ht="14.25" customHeight="1" x14ac:dyDescent="0.25">
      <c r="B30" s="25" t="s">
        <v>27</v>
      </c>
      <c r="C30" s="99">
        <v>9.0628283207226698E-2</v>
      </c>
    </row>
    <row r="31" spans="1:3" ht="14.25" customHeight="1" x14ac:dyDescent="0.25">
      <c r="B31" s="25" t="s">
        <v>28</v>
      </c>
      <c r="C31" s="99">
        <v>0.12440493600631899</v>
      </c>
    </row>
    <row r="32" spans="1:3" ht="14.25" customHeight="1" x14ac:dyDescent="0.25">
      <c r="B32" s="25" t="s">
        <v>29</v>
      </c>
      <c r="C32" s="99">
        <v>0.53914497925416693</v>
      </c>
    </row>
    <row r="33" spans="1:5" ht="13.25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22.225660000000001</v>
      </c>
    </row>
    <row r="38" spans="1:5" ht="15" customHeight="1" x14ac:dyDescent="0.25">
      <c r="B38" s="11" t="s">
        <v>34</v>
      </c>
      <c r="C38" s="43">
        <v>43.078240000000001</v>
      </c>
      <c r="D38" s="12"/>
      <c r="E38" s="13"/>
    </row>
    <row r="39" spans="1:5" ht="15" customHeight="1" x14ac:dyDescent="0.25">
      <c r="B39" s="11" t="s">
        <v>35</v>
      </c>
      <c r="C39" s="43">
        <v>50.548969999999997</v>
      </c>
      <c r="D39" s="12"/>
      <c r="E39" s="12"/>
    </row>
    <row r="40" spans="1:5" ht="15" customHeight="1" x14ac:dyDescent="0.25">
      <c r="B40" s="11" t="s">
        <v>36</v>
      </c>
      <c r="C40" s="100">
        <v>2.04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6.1151E-3</v>
      </c>
      <c r="D45" s="12"/>
    </row>
    <row r="46" spans="1:5" ht="15.75" customHeight="1" x14ac:dyDescent="0.25">
      <c r="B46" s="11" t="s">
        <v>41</v>
      </c>
      <c r="C46" s="45">
        <v>6.5706000000000001E-2</v>
      </c>
      <c r="D46" s="12"/>
    </row>
    <row r="47" spans="1:5" ht="15.75" customHeight="1" x14ac:dyDescent="0.25">
      <c r="B47" s="11" t="s">
        <v>42</v>
      </c>
      <c r="C47" s="45">
        <v>7.5186000000000003E-2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2.028</v>
      </c>
      <c r="D51" s="12"/>
    </row>
    <row r="52" spans="1:4" ht="15" customHeight="1" x14ac:dyDescent="0.25">
      <c r="B52" s="11" t="s">
        <v>46</v>
      </c>
      <c r="C52" s="100">
        <v>2.028</v>
      </c>
    </row>
    <row r="53" spans="1:4" ht="15.75" customHeight="1" x14ac:dyDescent="0.25">
      <c r="B53" s="11" t="s">
        <v>47</v>
      </c>
      <c r="C53" s="100">
        <v>2.8079999999999998</v>
      </c>
    </row>
    <row r="54" spans="1:4" ht="15.75" customHeight="1" x14ac:dyDescent="0.25">
      <c r="B54" s="11" t="s">
        <v>48</v>
      </c>
      <c r="C54" s="100">
        <v>4.6280000000000001</v>
      </c>
    </row>
    <row r="55" spans="1:4" ht="15.75" customHeight="1" x14ac:dyDescent="0.25">
      <c r="B55" s="11" t="s">
        <v>49</v>
      </c>
      <c r="C55" s="100">
        <v>2.2706666666666671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0.595418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0.18212018190000001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1.211166661965745E-2</v>
      </c>
    </row>
    <row r="4" spans="1:8" ht="15.75" customHeight="1" x14ac:dyDescent="0.25">
      <c r="B4" s="19" t="s">
        <v>69</v>
      </c>
      <c r="C4" s="101">
        <v>6.0140451444212033E-2</v>
      </c>
    </row>
    <row r="5" spans="1:8" ht="15.75" customHeight="1" x14ac:dyDescent="0.25">
      <c r="B5" s="19" t="s">
        <v>70</v>
      </c>
      <c r="C5" s="101">
        <v>8.0966120780000275E-2</v>
      </c>
    </row>
    <row r="6" spans="1:8" ht="15.75" customHeight="1" x14ac:dyDescent="0.25">
      <c r="B6" s="19" t="s">
        <v>71</v>
      </c>
      <c r="C6" s="101">
        <v>0.23734577736489759</v>
      </c>
    </row>
    <row r="7" spans="1:8" ht="15.75" customHeight="1" x14ac:dyDescent="0.25">
      <c r="B7" s="19" t="s">
        <v>72</v>
      </c>
      <c r="C7" s="101">
        <v>0.39154340758184181</v>
      </c>
    </row>
    <row r="8" spans="1:8" ht="15.75" customHeight="1" x14ac:dyDescent="0.25">
      <c r="B8" s="19" t="s">
        <v>73</v>
      </c>
      <c r="C8" s="101">
        <v>2.095209403917522E-3</v>
      </c>
    </row>
    <row r="9" spans="1:8" ht="15.75" customHeight="1" x14ac:dyDescent="0.25">
      <c r="B9" s="19" t="s">
        <v>74</v>
      </c>
      <c r="C9" s="101">
        <v>9.3685606167444854E-2</v>
      </c>
    </row>
    <row r="10" spans="1:8" ht="15.75" customHeight="1" x14ac:dyDescent="0.25">
      <c r="B10" s="19" t="s">
        <v>75</v>
      </c>
      <c r="C10" s="101">
        <v>0.1221117606380285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82</v>
      </c>
      <c r="C15" s="101">
        <v>0.26263023034971061</v>
      </c>
      <c r="D15" s="101">
        <v>0.26263023034971061</v>
      </c>
      <c r="E15" s="101">
        <v>0.26263023034971061</v>
      </c>
      <c r="F15" s="101">
        <v>0.26263023034971061</v>
      </c>
    </row>
    <row r="16" spans="1:8" ht="15.75" customHeight="1" x14ac:dyDescent="0.25">
      <c r="B16" s="19" t="s">
        <v>83</v>
      </c>
      <c r="C16" s="101">
        <v>3.0839661308733311E-2</v>
      </c>
      <c r="D16" s="101">
        <v>3.0839661308733311E-2</v>
      </c>
      <c r="E16" s="101">
        <v>3.0839661308733311E-2</v>
      </c>
      <c r="F16" s="101">
        <v>3.0839661308733311E-2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9.223166814531164E-2</v>
      </c>
      <c r="D19" s="101">
        <v>9.223166814531164E-2</v>
      </c>
      <c r="E19" s="101">
        <v>9.223166814531164E-2</v>
      </c>
      <c r="F19" s="101">
        <v>9.223166814531164E-2</v>
      </c>
    </row>
    <row r="20" spans="1:8" ht="15.75" customHeight="1" x14ac:dyDescent="0.25">
      <c r="B20" s="19" t="s">
        <v>87</v>
      </c>
      <c r="C20" s="101">
        <v>6.1898808544440694E-3</v>
      </c>
      <c r="D20" s="101">
        <v>6.1898808544440694E-3</v>
      </c>
      <c r="E20" s="101">
        <v>6.1898808544440694E-3</v>
      </c>
      <c r="F20" s="101">
        <v>6.1898808544440694E-3</v>
      </c>
    </row>
    <row r="21" spans="1:8" ht="15.75" customHeight="1" x14ac:dyDescent="0.25">
      <c r="B21" s="19" t="s">
        <v>88</v>
      </c>
      <c r="C21" s="101">
        <v>0.14044849122108119</v>
      </c>
      <c r="D21" s="101">
        <v>0.14044849122108119</v>
      </c>
      <c r="E21" s="101">
        <v>0.14044849122108119</v>
      </c>
      <c r="F21" s="101">
        <v>0.14044849122108119</v>
      </c>
    </row>
    <row r="22" spans="1:8" ht="15.75" customHeight="1" x14ac:dyDescent="0.25">
      <c r="B22" s="19" t="s">
        <v>89</v>
      </c>
      <c r="C22" s="101">
        <v>0.2616173474286661</v>
      </c>
      <c r="D22" s="101">
        <v>0.2616173474286661</v>
      </c>
      <c r="E22" s="101">
        <v>0.2616173474286661</v>
      </c>
      <c r="F22" s="101">
        <v>0.2616173474286661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4.8008347E-2</v>
      </c>
    </row>
    <row r="27" spans="1:8" ht="15.75" customHeight="1" x14ac:dyDescent="0.25">
      <c r="B27" s="19" t="s">
        <v>92</v>
      </c>
      <c r="C27" s="101">
        <v>1.9052040999999999E-2</v>
      </c>
    </row>
    <row r="28" spans="1:8" ht="15.75" customHeight="1" x14ac:dyDescent="0.25">
      <c r="B28" s="19" t="s">
        <v>93</v>
      </c>
      <c r="C28" s="101">
        <v>0.22942046699999999</v>
      </c>
    </row>
    <row r="29" spans="1:8" ht="15.75" customHeight="1" x14ac:dyDescent="0.25">
      <c r="B29" s="19" t="s">
        <v>94</v>
      </c>
      <c r="C29" s="101">
        <v>0.138432112</v>
      </c>
    </row>
    <row r="30" spans="1:8" ht="15.75" customHeight="1" x14ac:dyDescent="0.25">
      <c r="B30" s="19" t="s">
        <v>95</v>
      </c>
      <c r="C30" s="101">
        <v>5.0081873999999998E-2</v>
      </c>
    </row>
    <row r="31" spans="1:8" ht="15.75" customHeight="1" x14ac:dyDescent="0.25">
      <c r="B31" s="19" t="s">
        <v>96</v>
      </c>
      <c r="C31" s="101">
        <v>7.0297943000000002E-2</v>
      </c>
    </row>
    <row r="32" spans="1:8" ht="15.75" customHeight="1" x14ac:dyDescent="0.25">
      <c r="B32" s="19" t="s">
        <v>97</v>
      </c>
      <c r="C32" s="101">
        <v>0.149011013</v>
      </c>
    </row>
    <row r="33" spans="2:3" ht="15.75" customHeight="1" x14ac:dyDescent="0.25">
      <c r="B33" s="19" t="s">
        <v>98</v>
      </c>
      <c r="C33" s="101">
        <v>0.122429312</v>
      </c>
    </row>
    <row r="34" spans="2:3" ht="15.75" customHeight="1" x14ac:dyDescent="0.25">
      <c r="B34" s="19" t="s">
        <v>99</v>
      </c>
      <c r="C34" s="101">
        <v>0.17326689100000001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104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105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109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110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4.572849999999995E-2</v>
      </c>
      <c r="D5" s="52">
        <f t="shared" si="0"/>
        <v>6.9823700000000155E-2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2389.2958750343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0.19538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0.60650000000000004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7.2405080593062818E-3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95824.748210000005</v>
      </c>
      <c r="C22" s="109">
        <v>95358.628410000005</v>
      </c>
      <c r="D22" s="109">
        <v>95020.467839999998</v>
      </c>
      <c r="E22" s="109">
        <v>94638.46471</v>
      </c>
      <c r="F22" s="109">
        <v>94117.932780000003</v>
      </c>
      <c r="G22" s="109">
        <v>93546.187789999996</v>
      </c>
      <c r="H22" s="109">
        <v>92844.517940000005</v>
      </c>
      <c r="I22" s="109">
        <v>91884.464170000007</v>
      </c>
      <c r="J22" s="109">
        <v>90467.193469999998</v>
      </c>
      <c r="K22" s="109">
        <v>88331.026750000005</v>
      </c>
      <c r="L22" s="109">
        <v>85030.684659999999</v>
      </c>
      <c r="M22" s="109">
        <v>80138.207280000002</v>
      </c>
      <c r="N22" s="109">
        <v>72836.054139999993</v>
      </c>
      <c r="O22" s="109">
        <v>62816.467219999999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0.58266586520635255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1.899427422400078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0.1285596</v>
      </c>
      <c r="C10" s="98">
        <v>0.95</v>
      </c>
      <c r="D10" s="56">
        <v>13.598395744825829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13.598395744825829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13.598395744825829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13.598395744825829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0.1285596</v>
      </c>
      <c r="C14" s="98">
        <v>0.95</v>
      </c>
      <c r="D14" s="56">
        <v>13.598395744825829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13.598395744825829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0.60126389999999996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0.45200000000000001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0.48992069999999999</v>
      </c>
      <c r="C19" s="98">
        <v>0.95</v>
      </c>
      <c r="D19" s="56">
        <v>3.3223485837494819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0.6364107</v>
      </c>
      <c r="C23" s="98">
        <v>0.95</v>
      </c>
      <c r="D23" s="56">
        <v>4.4977193243106921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0.34695807796153999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7.2999999999999995E-2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0.69885220000000003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0.2760224</v>
      </c>
      <c r="C29" s="98">
        <v>0.95</v>
      </c>
      <c r="D29" s="56">
        <v>33.321934882307978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53.05041964170676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8.3000000000000004E-2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0.64500000000000002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0.28407529999999998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0.25466349999999999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6.3324999999999996E-3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0.71562439999999994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0.40300000000000002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2.028</v>
      </c>
      <c r="C2" s="21">
        <f>'Baseline year population inputs'!C52</f>
        <v>2.028</v>
      </c>
      <c r="D2" s="21">
        <f>'Baseline year population inputs'!C53</f>
        <v>2.8079999999999998</v>
      </c>
      <c r="E2" s="21">
        <f>'Baseline year population inputs'!C54</f>
        <v>4.6280000000000001</v>
      </c>
      <c r="F2" s="21">
        <f>'Baseline year population inputs'!C55</f>
        <v>2.2706666666666671</v>
      </c>
    </row>
    <row r="3" spans="1:6" ht="15.75" customHeight="1" x14ac:dyDescent="0.25">
      <c r="A3" s="3" t="s">
        <v>197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198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0.41799999999999998</v>
      </c>
      <c r="F2" s="60">
        <f>food_insecure</f>
        <v>0.41799999999999998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0.41799999999999998</v>
      </c>
      <c r="F5" s="60">
        <f>food_insecure</f>
        <v>0.41799999999999998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4.3940000000000007E-2</v>
      </c>
      <c r="D7" s="60">
        <f>diarrhoea_1_5mo*frac_diarrhea_severe</f>
        <v>4.3940000000000007E-2</v>
      </c>
      <c r="E7" s="60">
        <f>diarrhoea_6_11mo*frac_diarrhea_severe</f>
        <v>6.0840000000000005E-2</v>
      </c>
      <c r="F7" s="60">
        <f>diarrhoea_12_23mo*frac_diarrhea_severe</f>
        <v>0.10027333333333335</v>
      </c>
      <c r="G7" s="60">
        <f>diarrhoea_24_59mo*frac_diarrhea_severe</f>
        <v>4.9197777777777799E-2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0.41799999999999998</v>
      </c>
      <c r="F8" s="60">
        <f>food_insecure</f>
        <v>0.41799999999999998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0.41799999999999998</v>
      </c>
      <c r="F9" s="60">
        <f>food_insecure</f>
        <v>0.41799999999999998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4.3940000000000007E-2</v>
      </c>
      <c r="D12" s="60">
        <f>diarrhoea_1_5mo*frac_diarrhea_severe</f>
        <v>4.3940000000000007E-2</v>
      </c>
      <c r="E12" s="60">
        <f>diarrhoea_6_11mo*frac_diarrhea_severe</f>
        <v>6.0840000000000005E-2</v>
      </c>
      <c r="F12" s="60">
        <f>diarrhoea_12_23mo*frac_diarrhea_severe</f>
        <v>0.10027333333333335</v>
      </c>
      <c r="G12" s="60">
        <f>diarrhoea_24_59mo*frac_diarrhea_severe</f>
        <v>4.9197777777777799E-2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0.41799999999999998</v>
      </c>
      <c r="I15" s="60">
        <f t="shared" si="0"/>
        <v>0.41799999999999998</v>
      </c>
      <c r="J15" s="60">
        <f t="shared" si="0"/>
        <v>0.41799999999999998</v>
      </c>
      <c r="K15" s="60">
        <f t="shared" si="0"/>
        <v>0.41799999999999998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0.41799999999999998</v>
      </c>
      <c r="I16" s="60">
        <f t="shared" si="0"/>
        <v>0.41799999999999998</v>
      </c>
      <c r="J16" s="60">
        <f t="shared" si="0"/>
        <v>0.41799999999999998</v>
      </c>
      <c r="K16" s="60">
        <f t="shared" si="0"/>
        <v>0.41799999999999998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0.253</v>
      </c>
      <c r="M24" s="60">
        <f>famplan_unmet_need</f>
        <v>0.253</v>
      </c>
      <c r="N24" s="60">
        <f>famplan_unmet_need</f>
        <v>0.253</v>
      </c>
      <c r="O24" s="60">
        <f>famplan_unmet_need</f>
        <v>0.253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0.1906529555</v>
      </c>
      <c r="M25" s="60">
        <f>(1-food_insecure)*(0.49)+food_insecure*(0.7)</f>
        <v>0.57777999999999996</v>
      </c>
      <c r="N25" s="60">
        <f>(1-food_insecure)*(0.49)+food_insecure*(0.7)</f>
        <v>0.57777999999999996</v>
      </c>
      <c r="O25" s="60">
        <f>(1-food_insecure)*(0.49)+food_insecure*(0.7)</f>
        <v>0.57777999999999996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8.1708409499999995E-2</v>
      </c>
      <c r="M26" s="60">
        <f>(1-food_insecure)*(0.21)+food_insecure*(0.3)</f>
        <v>0.24762000000000001</v>
      </c>
      <c r="N26" s="60">
        <f>(1-food_insecure)*(0.21)+food_insecure*(0.3)</f>
        <v>0.24762000000000001</v>
      </c>
      <c r="O26" s="60">
        <f>(1-food_insecure)*(0.21)+food_insecure*(0.3)</f>
        <v>0.24762000000000001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5.7613635000000003E-2</v>
      </c>
      <c r="M27" s="60">
        <f>(1-food_insecure)*(0.3)</f>
        <v>0.17460000000000001</v>
      </c>
      <c r="N27" s="60">
        <f>(1-food_insecure)*(0.3)</f>
        <v>0.17460000000000001</v>
      </c>
      <c r="O27" s="60">
        <f>(1-food_insecure)*(0.3)</f>
        <v>0.17460000000000001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0.67002499999999998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