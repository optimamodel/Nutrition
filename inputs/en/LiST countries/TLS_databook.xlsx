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70D1C288-3503-43A1-97E7-CD7F20ECDF1F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40" i="2" s="1"/>
  <c r="C33" i="1"/>
  <c r="C20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<sst xmlns="http://schemas.openxmlformats.org/spreadsheetml/2006/main" count="2103" uniqueCount="341">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</sst>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158807.1201171875</v>
      </c>
    </row>
    <row r="8" spans="1:3" ht="15" customHeight="1" x14ac:dyDescent="0.25">
      <c r="B8" s="5" t="s">
        <v>8</v>
      </c>
      <c r="C8" s="44">
        <v>0.307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0.63727569580078092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0.53900000000000003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0.05</v>
      </c>
    </row>
    <row r="24" spans="1:3" ht="15" customHeight="1" x14ac:dyDescent="0.25">
      <c r="B24" s="15" t="s">
        <v>22</v>
      </c>
      <c r="C24" s="45">
        <v>0.46779999999999999</v>
      </c>
    </row>
    <row r="25" spans="1:3" ht="15" customHeight="1" x14ac:dyDescent="0.25">
      <c r="B25" s="15" t="s">
        <v>23</v>
      </c>
      <c r="C25" s="45">
        <v>0.38690000000000002</v>
      </c>
    </row>
    <row r="26" spans="1:3" ht="15" customHeight="1" x14ac:dyDescent="0.25">
      <c r="B26" s="15" t="s">
        <v>24</v>
      </c>
      <c r="C26" s="45">
        <v>9.530000000000001E-2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0.245821801532287</v>
      </c>
    </row>
    <row r="30" spans="1:3" ht="14.25" customHeight="1" x14ac:dyDescent="0.25">
      <c r="B30" s="25" t="s">
        <v>27</v>
      </c>
      <c r="C30" s="99">
        <v>9.0628283207226698E-2</v>
      </c>
    </row>
    <row r="31" spans="1:3" ht="14.25" customHeight="1" x14ac:dyDescent="0.25">
      <c r="B31" s="25" t="s">
        <v>28</v>
      </c>
      <c r="C31" s="99">
        <v>0.12440493600631899</v>
      </c>
    </row>
    <row r="32" spans="1:3" ht="14.25" customHeight="1" x14ac:dyDescent="0.25">
      <c r="B32" s="25" t="s">
        <v>29</v>
      </c>
      <c r="C32" s="99">
        <v>0.53914497925416693</v>
      </c>
    </row>
    <row r="33" spans="1:5" ht="13" customHeight="1" x14ac:dyDescent="0.25">
      <c r="B33" s="27" t="s">
        <v>30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22.225660000000001</v>
      </c>
    </row>
    <row r="38" spans="1:5" ht="15" customHeight="1" x14ac:dyDescent="0.25">
      <c r="B38" s="11" t="s">
        <v>34</v>
      </c>
      <c r="C38" s="43">
        <v>43.078240000000001</v>
      </c>
      <c r="D38" s="12"/>
      <c r="E38" s="13"/>
    </row>
    <row r="39" spans="1:5" ht="15" customHeight="1" x14ac:dyDescent="0.25">
      <c r="B39" s="11" t="s">
        <v>35</v>
      </c>
      <c r="C39" s="43">
        <v>50.548969999999997</v>
      </c>
      <c r="D39" s="12"/>
      <c r="E39" s="12"/>
    </row>
    <row r="40" spans="1:5" ht="15" customHeight="1" x14ac:dyDescent="0.25">
      <c r="B40" s="11" t="s">
        <v>36</v>
      </c>
      <c r="C40" s="100">
        <v>2.04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14.37551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6.1151E-3</v>
      </c>
      <c r="D45" s="12"/>
    </row>
    <row r="46" spans="1:5" ht="15.75" customHeight="1" x14ac:dyDescent="0.25">
      <c r="B46" s="11" t="s">
        <v>41</v>
      </c>
      <c r="C46" s="45">
        <v>6.5706000000000001E-2</v>
      </c>
      <c r="D46" s="12"/>
    </row>
    <row r="47" spans="1:5" ht="15.75" customHeight="1" x14ac:dyDescent="0.25">
      <c r="B47" s="11" t="s">
        <v>42</v>
      </c>
      <c r="C47" s="45">
        <v>7.5186000000000003E-2</v>
      </c>
      <c r="D47" s="12"/>
      <c r="E47" s="13"/>
    </row>
    <row r="48" spans="1:5" ht="15" customHeight="1" x14ac:dyDescent="0.25">
      <c r="B48" s="11" t="s">
        <v>43</v>
      </c>
      <c r="C48" s="46">
        <v>0.85299289999999994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2.4</v>
      </c>
      <c r="D51" s="12"/>
    </row>
    <row r="52" spans="1:4" ht="15" customHeight="1" x14ac:dyDescent="0.25">
      <c r="B52" s="11" t="s">
        <v>46</v>
      </c>
      <c r="C52" s="100">
        <v>2.4</v>
      </c>
    </row>
    <row r="53" spans="1:4" ht="15.75" customHeight="1" x14ac:dyDescent="0.25">
      <c r="B53" s="11" t="s">
        <v>47</v>
      </c>
      <c r="C53" s="100">
        <v>2.4</v>
      </c>
    </row>
    <row r="54" spans="1:4" ht="15.75" customHeight="1" x14ac:dyDescent="0.25">
      <c r="B54" s="11" t="s">
        <v>48</v>
      </c>
      <c r="C54" s="100">
        <v>2.4</v>
      </c>
    </row>
    <row r="55" spans="1:4" ht="15.75" customHeight="1" x14ac:dyDescent="0.25">
      <c r="B55" s="11" t="s">
        <v>49</v>
      </c>
      <c r="C55" s="100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0.595418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33096</v>
      </c>
      <c r="C2" s="49">
        <v>90119.000000000015</v>
      </c>
      <c r="D2" s="49">
        <v>132267</v>
      </c>
      <c r="E2" s="49">
        <v>91920</v>
      </c>
      <c r="F2" s="49">
        <v>49555.5</v>
      </c>
      <c r="G2" s="17">
        <f t="shared" ref="G2:G13" si="0">C2+D2+E2+F2</f>
        <v>363861.5</v>
      </c>
      <c r="H2" s="17">
        <f t="shared" ref="H2:H13" si="1">(B2 + stillbirth*B2/(1000-stillbirth))/(1-abortion)</f>
        <v>38157.626246777727</v>
      </c>
      <c r="I2" s="17">
        <f t="shared" ref="I2:I13" si="2">G2-H2</f>
        <v>325703.87375322229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33182</v>
      </c>
      <c r="C3" s="50">
        <v>89308.500000000015</v>
      </c>
      <c r="D3" s="50">
        <v>135170</v>
      </c>
      <c r="E3" s="50">
        <v>94773.5</v>
      </c>
      <c r="F3" s="50">
        <v>51522.5</v>
      </c>
      <c r="G3" s="17">
        <f t="shared" si="0"/>
        <v>370774.5</v>
      </c>
      <c r="H3" s="17">
        <f t="shared" si="1"/>
        <v>38256.778889309237</v>
      </c>
      <c r="I3" s="17">
        <f t="shared" si="2"/>
        <v>332517.72111069073</v>
      </c>
    </row>
    <row r="4" spans="1:9" ht="15.75" customHeight="1" x14ac:dyDescent="0.25">
      <c r="A4" s="5">
        <f t="shared" si="3"/>
        <v>2026</v>
      </c>
      <c r="B4" s="49">
        <v>33254</v>
      </c>
      <c r="C4" s="50">
        <v>88446.500000000015</v>
      </c>
      <c r="D4" s="50">
        <v>137718</v>
      </c>
      <c r="E4" s="50">
        <v>97580.5</v>
      </c>
      <c r="F4" s="50">
        <v>53845</v>
      </c>
      <c r="G4" s="17">
        <f t="shared" si="0"/>
        <v>377590</v>
      </c>
      <c r="H4" s="17">
        <f t="shared" si="1"/>
        <v>38339.790403986786</v>
      </c>
      <c r="I4" s="17">
        <f t="shared" si="2"/>
        <v>339250.20959601318</v>
      </c>
    </row>
    <row r="5" spans="1:9" ht="15.75" customHeight="1" x14ac:dyDescent="0.25">
      <c r="A5" s="5">
        <f t="shared" si="3"/>
        <v>2027</v>
      </c>
      <c r="B5" s="49">
        <v>33206</v>
      </c>
      <c r="C5" s="50">
        <v>87567.5</v>
      </c>
      <c r="D5" s="50">
        <v>139750</v>
      </c>
      <c r="E5" s="50">
        <v>100414.5</v>
      </c>
      <c r="F5" s="50">
        <v>56450</v>
      </c>
      <c r="G5" s="17">
        <f t="shared" si="0"/>
        <v>384182</v>
      </c>
      <c r="H5" s="17">
        <f t="shared" si="1"/>
        <v>38284.449394201751</v>
      </c>
      <c r="I5" s="17">
        <f t="shared" si="2"/>
        <v>345897.55060579826</v>
      </c>
    </row>
    <row r="6" spans="1:9" ht="15.75" customHeight="1" x14ac:dyDescent="0.25">
      <c r="A6" s="5">
        <f t="shared" si="3"/>
        <v>2028</v>
      </c>
      <c r="B6" s="49">
        <v>33091</v>
      </c>
      <c r="C6" s="50">
        <v>87060</v>
      </c>
      <c r="D6" s="50">
        <v>141092.5</v>
      </c>
      <c r="E6" s="50">
        <v>103393.5</v>
      </c>
      <c r="F6" s="50">
        <v>59260</v>
      </c>
      <c r="G6" s="17">
        <f t="shared" si="0"/>
        <v>390806</v>
      </c>
      <c r="H6" s="17">
        <f t="shared" si="1"/>
        <v>38151.861558258446</v>
      </c>
      <c r="I6" s="17">
        <f t="shared" si="2"/>
        <v>352654.13844174158</v>
      </c>
    </row>
    <row r="7" spans="1:9" ht="15.75" customHeight="1" x14ac:dyDescent="0.25">
      <c r="A7" s="5">
        <f t="shared" si="3"/>
        <v>2029</v>
      </c>
      <c r="B7" s="49">
        <v>33035</v>
      </c>
      <c r="C7" s="50">
        <v>87183.5</v>
      </c>
      <c r="D7" s="50">
        <v>141741</v>
      </c>
      <c r="E7" s="50">
        <v>106574</v>
      </c>
      <c r="F7" s="50">
        <v>62184.5</v>
      </c>
      <c r="G7" s="17">
        <f t="shared" si="0"/>
        <v>397683</v>
      </c>
      <c r="H7" s="17">
        <f t="shared" si="1"/>
        <v>38087.297046842585</v>
      </c>
      <c r="I7" s="17">
        <f t="shared" si="2"/>
        <v>359595.70295315742</v>
      </c>
    </row>
    <row r="8" spans="1:9" ht="15.75" customHeight="1" x14ac:dyDescent="0.25">
      <c r="A8" s="5">
        <f t="shared" si="3"/>
        <v>2030</v>
      </c>
      <c r="B8" s="49">
        <v>32768</v>
      </c>
      <c r="C8" s="50">
        <v>87509.5</v>
      </c>
      <c r="D8" s="50">
        <v>141945.5</v>
      </c>
      <c r="E8" s="50">
        <v>109889</v>
      </c>
      <c r="F8" s="50">
        <v>65142</v>
      </c>
      <c r="G8" s="17">
        <f t="shared" si="0"/>
        <v>404486</v>
      </c>
      <c r="H8" s="17">
        <f t="shared" si="1"/>
        <v>37779.462679913362</v>
      </c>
      <c r="I8" s="17">
        <f t="shared" si="2"/>
        <v>366706.53732008662</v>
      </c>
    </row>
    <row r="9" spans="1:9" ht="15.75" customHeight="1" x14ac:dyDescent="0.25">
      <c r="A9" s="5">
        <f t="shared" si="3"/>
        <v>2031</v>
      </c>
      <c r="B9" s="49">
        <v>32738</v>
      </c>
      <c r="C9" s="50">
        <v>87750</v>
      </c>
      <c r="D9" s="50">
        <v>141863</v>
      </c>
      <c r="E9" s="50">
        <v>113270</v>
      </c>
      <c r="F9" s="50">
        <v>68068</v>
      </c>
      <c r="G9" s="17">
        <f t="shared" si="0"/>
        <v>410951</v>
      </c>
      <c r="H9" s="17">
        <f t="shared" si="1"/>
        <v>37744.874548797714</v>
      </c>
      <c r="I9" s="17">
        <f t="shared" si="2"/>
        <v>373206.12545120227</v>
      </c>
    </row>
    <row r="10" spans="1:9" ht="15.75" customHeight="1" x14ac:dyDescent="0.25">
      <c r="A10" s="5">
        <f t="shared" si="3"/>
        <v>2032</v>
      </c>
      <c r="B10" s="49">
        <v>32378</v>
      </c>
      <c r="C10" s="50">
        <v>88025</v>
      </c>
      <c r="D10" s="50">
        <v>141488.5</v>
      </c>
      <c r="E10" s="50">
        <v>116601</v>
      </c>
      <c r="F10" s="50">
        <v>70900</v>
      </c>
      <c r="G10" s="17">
        <f t="shared" si="0"/>
        <v>417014.5</v>
      </c>
      <c r="H10" s="17">
        <f t="shared" si="1"/>
        <v>37329.816975409994</v>
      </c>
      <c r="I10" s="17">
        <f t="shared" si="2"/>
        <v>379684.68302459002</v>
      </c>
    </row>
    <row r="11" spans="1:9" ht="15.75" customHeight="1" x14ac:dyDescent="0.25">
      <c r="A11" s="5">
        <f t="shared" si="3"/>
        <v>2033</v>
      </c>
      <c r="B11" s="49">
        <v>32166</v>
      </c>
      <c r="C11" s="50">
        <v>88443.499999999985</v>
      </c>
      <c r="D11" s="50">
        <v>140770</v>
      </c>
      <c r="E11" s="50">
        <v>119803</v>
      </c>
      <c r="F11" s="50">
        <v>73601.999999999985</v>
      </c>
      <c r="G11" s="17">
        <f t="shared" si="0"/>
        <v>422618.5</v>
      </c>
      <c r="H11" s="17">
        <f t="shared" si="1"/>
        <v>37085.39418219278</v>
      </c>
      <c r="I11" s="17">
        <f t="shared" si="2"/>
        <v>385533.1058178072</v>
      </c>
    </row>
    <row r="12" spans="1:9" ht="15.75" customHeight="1" x14ac:dyDescent="0.25">
      <c r="A12" s="5">
        <f t="shared" si="3"/>
        <v>2034</v>
      </c>
      <c r="B12" s="49">
        <v>31884</v>
      </c>
      <c r="C12" s="50">
        <v>88813.5</v>
      </c>
      <c r="D12" s="50">
        <v>139942.5</v>
      </c>
      <c r="E12" s="50">
        <v>122902.5</v>
      </c>
      <c r="F12" s="50">
        <v>76199</v>
      </c>
      <c r="G12" s="17">
        <f t="shared" si="0"/>
        <v>427857.5</v>
      </c>
      <c r="H12" s="17">
        <f t="shared" si="1"/>
        <v>36760.26574970573</v>
      </c>
      <c r="I12" s="17">
        <f t="shared" si="2"/>
        <v>391097.23425029428</v>
      </c>
    </row>
    <row r="13" spans="1:9" ht="15.75" customHeight="1" x14ac:dyDescent="0.25">
      <c r="A13" s="5">
        <f t="shared" si="3"/>
        <v>2035</v>
      </c>
      <c r="B13" s="49">
        <v>31671</v>
      </c>
      <c r="C13" s="50">
        <v>88895.5</v>
      </c>
      <c r="D13" s="50">
        <v>139372.5</v>
      </c>
      <c r="E13" s="50">
        <v>125814</v>
      </c>
      <c r="F13" s="50">
        <v>78725.5</v>
      </c>
      <c r="G13" s="17">
        <f t="shared" si="0"/>
        <v>432807.5</v>
      </c>
      <c r="H13" s="17">
        <f t="shared" si="1"/>
        <v>36514.69001878467</v>
      </c>
      <c r="I13" s="17">
        <f t="shared" si="2"/>
        <v>396292.80998121534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1.211166661965745E-2</v>
      </c>
    </row>
    <row r="4" spans="1:8" ht="15.75" customHeight="1" x14ac:dyDescent="0.25">
      <c r="B4" s="19" t="s">
        <v>69</v>
      </c>
      <c r="C4" s="101">
        <v>6.0140451444212033E-2</v>
      </c>
    </row>
    <row r="5" spans="1:8" ht="15.75" customHeight="1" x14ac:dyDescent="0.25">
      <c r="B5" s="19" t="s">
        <v>70</v>
      </c>
      <c r="C5" s="101">
        <v>8.0966120780000275E-2</v>
      </c>
    </row>
    <row r="6" spans="1:8" ht="15.75" customHeight="1" x14ac:dyDescent="0.25">
      <c r="B6" s="19" t="s">
        <v>71</v>
      </c>
      <c r="C6" s="101">
        <v>0.23734577736489759</v>
      </c>
    </row>
    <row r="7" spans="1:8" ht="15.75" customHeight="1" x14ac:dyDescent="0.25">
      <c r="B7" s="19" t="s">
        <v>72</v>
      </c>
      <c r="C7" s="101">
        <v>0.39154340758184181</v>
      </c>
    </row>
    <row r="8" spans="1:8" ht="15.75" customHeight="1" x14ac:dyDescent="0.25">
      <c r="B8" s="19" t="s">
        <v>73</v>
      </c>
      <c r="C8" s="101">
        <v>2.095209403917522E-3</v>
      </c>
    </row>
    <row r="9" spans="1:8" ht="15.75" customHeight="1" x14ac:dyDescent="0.25">
      <c r="B9" s="19" t="s">
        <v>74</v>
      </c>
      <c r="C9" s="101">
        <v>9.3685606167444854E-2</v>
      </c>
    </row>
    <row r="10" spans="1:8" ht="15.75" customHeight="1" x14ac:dyDescent="0.25">
      <c r="B10" s="19" t="s">
        <v>75</v>
      </c>
      <c r="C10" s="101">
        <v>0.1221117606380285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0.20604272069205309</v>
      </c>
      <c r="D14" s="55">
        <v>0.20604272069205309</v>
      </c>
      <c r="E14" s="55">
        <v>0.20604272069205309</v>
      </c>
      <c r="F14" s="55">
        <v>0.20604272069205309</v>
      </c>
    </row>
    <row r="15" spans="1:8" ht="15.75" customHeight="1" x14ac:dyDescent="0.25">
      <c r="B15" s="19" t="s">
        <v>82</v>
      </c>
      <c r="C15" s="101">
        <v>0.26263023034971061</v>
      </c>
      <c r="D15" s="101">
        <v>0.26263023034971061</v>
      </c>
      <c r="E15" s="101">
        <v>0.26263023034971061</v>
      </c>
      <c r="F15" s="101">
        <v>0.26263023034971061</v>
      </c>
    </row>
    <row r="16" spans="1:8" ht="15.75" customHeight="1" x14ac:dyDescent="0.25">
      <c r="B16" s="19" t="s">
        <v>83</v>
      </c>
      <c r="C16" s="101">
        <v>3.0839661308733311E-2</v>
      </c>
      <c r="D16" s="101">
        <v>3.0839661308733311E-2</v>
      </c>
      <c r="E16" s="101">
        <v>3.0839661308733311E-2</v>
      </c>
      <c r="F16" s="101">
        <v>3.0839661308733311E-2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9.223166814531164E-2</v>
      </c>
      <c r="D19" s="101">
        <v>9.223166814531164E-2</v>
      </c>
      <c r="E19" s="101">
        <v>9.223166814531164E-2</v>
      </c>
      <c r="F19" s="101">
        <v>9.223166814531164E-2</v>
      </c>
    </row>
    <row r="20" spans="1:8" ht="15.75" customHeight="1" x14ac:dyDescent="0.25">
      <c r="B20" s="19" t="s">
        <v>87</v>
      </c>
      <c r="C20" s="101">
        <v>6.1898808544440694E-3</v>
      </c>
      <c r="D20" s="101">
        <v>6.1898808544440694E-3</v>
      </c>
      <c r="E20" s="101">
        <v>6.1898808544440694E-3</v>
      </c>
      <c r="F20" s="101">
        <v>6.1898808544440694E-3</v>
      </c>
    </row>
    <row r="21" spans="1:8" ht="15.75" customHeight="1" x14ac:dyDescent="0.25">
      <c r="B21" s="19" t="s">
        <v>88</v>
      </c>
      <c r="C21" s="101">
        <v>0.14044849122108119</v>
      </c>
      <c r="D21" s="101">
        <v>0.14044849122108119</v>
      </c>
      <c r="E21" s="101">
        <v>0.14044849122108119</v>
      </c>
      <c r="F21" s="101">
        <v>0.14044849122108119</v>
      </c>
    </row>
    <row r="22" spans="1:8" ht="15.75" customHeight="1" x14ac:dyDescent="0.25">
      <c r="B22" s="19" t="s">
        <v>89</v>
      </c>
      <c r="C22" s="101">
        <v>0.2616173474286661</v>
      </c>
      <c r="D22" s="101">
        <v>0.2616173474286661</v>
      </c>
      <c r="E22" s="101">
        <v>0.2616173474286661</v>
      </c>
      <c r="F22" s="101">
        <v>0.2616173474286661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4.8008347E-2</v>
      </c>
    </row>
    <row r="27" spans="1:8" ht="15.75" customHeight="1" x14ac:dyDescent="0.25">
      <c r="B27" s="19" t="s">
        <v>92</v>
      </c>
      <c r="C27" s="101">
        <v>1.9052040999999999E-2</v>
      </c>
    </row>
    <row r="28" spans="1:8" ht="15.75" customHeight="1" x14ac:dyDescent="0.25">
      <c r="B28" s="19" t="s">
        <v>93</v>
      </c>
      <c r="C28" s="101">
        <v>0.22942046699999999</v>
      </c>
    </row>
    <row r="29" spans="1:8" ht="15.75" customHeight="1" x14ac:dyDescent="0.25">
      <c r="B29" s="19" t="s">
        <v>94</v>
      </c>
      <c r="C29" s="101">
        <v>0.138432112</v>
      </c>
    </row>
    <row r="30" spans="1:8" ht="15.75" customHeight="1" x14ac:dyDescent="0.25">
      <c r="B30" s="19" t="s">
        <v>95</v>
      </c>
      <c r="C30" s="101">
        <v>5.0081873999999998E-2</v>
      </c>
    </row>
    <row r="31" spans="1:8" ht="15.75" customHeight="1" x14ac:dyDescent="0.25">
      <c r="B31" s="19" t="s">
        <v>96</v>
      </c>
      <c r="C31" s="101">
        <v>7.0297943000000002E-2</v>
      </c>
    </row>
    <row r="32" spans="1:8" ht="15.75" customHeight="1" x14ac:dyDescent="0.25">
      <c r="B32" s="19" t="s">
        <v>97</v>
      </c>
      <c r="C32" s="101">
        <v>0.149011013</v>
      </c>
    </row>
    <row r="33" spans="2:3" ht="15.75" customHeight="1" x14ac:dyDescent="0.25">
      <c r="B33" s="19" t="s">
        <v>98</v>
      </c>
      <c r="C33" s="101">
        <v>0.122429312</v>
      </c>
    </row>
    <row r="34" spans="2:3" ht="15.75" customHeight="1" x14ac:dyDescent="0.25">
      <c r="B34" s="19" t="s">
        <v>99</v>
      </c>
      <c r="C34" s="101">
        <v>0.17326689100000001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0.33144956646310353</v>
      </c>
      <c r="D2" s="52">
        <f>IFERROR(1-_xlfn.NORM.DIST(_xlfn.NORM.INV(SUM(D4:D5), 0, 1) + 1, 0, 1, TRUE), "")</f>
        <v>0.33144956646310353</v>
      </c>
      <c r="E2" s="52">
        <f>IFERROR(1-_xlfn.NORM.DIST(_xlfn.NORM.INV(SUM(E4:E5), 0, 1) + 1, 0, 1, TRUE), "")</f>
        <v>0.32694124030008864</v>
      </c>
      <c r="F2" s="52">
        <f>IFERROR(1-_xlfn.NORM.DIST(_xlfn.NORM.INV(SUM(F4:F5), 0, 1) + 1, 0, 1, TRUE), "")</f>
        <v>0.15957138950069116</v>
      </c>
      <c r="G2" s="52">
        <f>IFERROR(1-_xlfn.NORM.DIST(_xlfn.NORM.INV(SUM(G4:G5), 0, 1) + 1, 0, 1, TRUE), "")</f>
        <v>0.16620864477705677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0.38220263353689649</v>
      </c>
      <c r="D3" s="52">
        <f>IFERROR(_xlfn.NORM.DIST(_xlfn.NORM.INV(SUM(D4:D5), 0, 1) + 1, 0, 1, TRUE) - SUM(D4:D5), "")</f>
        <v>0.38220263353689649</v>
      </c>
      <c r="E3" s="52">
        <f>IFERROR(_xlfn.NORM.DIST(_xlfn.NORM.INV(SUM(E4:E5), 0, 1) + 1, 0, 1, TRUE) - SUM(E4:E5), "")</f>
        <v>0.38245605969991137</v>
      </c>
      <c r="F3" s="52">
        <f>IFERROR(_xlfn.NORM.DIST(_xlfn.NORM.INV(SUM(F4:F5), 0, 1) + 1, 0, 1, TRUE) - SUM(F4:F5), "")</f>
        <v>0.34193621049930889</v>
      </c>
      <c r="G3" s="52">
        <f>IFERROR(_xlfn.NORM.DIST(_xlfn.NORM.INV(SUM(G4:G5), 0, 1) + 1, 0, 1, TRUE) - SUM(G4:G5), "")</f>
        <v>0.34605435522294326</v>
      </c>
    </row>
    <row r="4" spans="1:15" ht="15.75" customHeight="1" x14ac:dyDescent="0.25">
      <c r="B4" s="5" t="s">
        <v>104</v>
      </c>
      <c r="C4" s="45">
        <v>0.10382470000000001</v>
      </c>
      <c r="D4" s="53">
        <v>0.10382470000000001</v>
      </c>
      <c r="E4" s="53">
        <v>0.12192790000000001</v>
      </c>
      <c r="F4" s="53">
        <v>0.21365999999999999</v>
      </c>
      <c r="G4" s="53">
        <v>0.26103850000000001</v>
      </c>
    </row>
    <row r="5" spans="1:15" ht="15.75" customHeight="1" x14ac:dyDescent="0.25">
      <c r="B5" s="5" t="s">
        <v>105</v>
      </c>
      <c r="C5" s="45">
        <v>0.18252309999999999</v>
      </c>
      <c r="D5" s="53">
        <v>0.18252309999999999</v>
      </c>
      <c r="E5" s="53">
        <v>0.16867480000000001</v>
      </c>
      <c r="F5" s="53">
        <v>0.28483239999999999</v>
      </c>
      <c r="G5" s="53">
        <v>0.2266985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0.39008568965726698</v>
      </c>
      <c r="D8" s="52">
        <f>IFERROR(1-_xlfn.NORM.DIST(_xlfn.NORM.INV(SUM(D10:D11), 0, 1) + 1, 0, 1, TRUE), "")</f>
        <v>0.39008568965726698</v>
      </c>
      <c r="E8" s="52">
        <f>IFERROR(1-_xlfn.NORM.DIST(_xlfn.NORM.INV(SUM(E10:E11), 0, 1) + 1, 0, 1, TRUE), "")</f>
        <v>0.34683685948972165</v>
      </c>
      <c r="F8" s="52">
        <f>IFERROR(1-_xlfn.NORM.DIST(_xlfn.NORM.INV(SUM(F10:F11), 0, 1) + 1, 0, 1, TRUE), "")</f>
        <v>0.36253994311518001</v>
      </c>
      <c r="G8" s="52">
        <f>IFERROR(1-_xlfn.NORM.DIST(_xlfn.NORM.INV(SUM(G10:G11), 0, 1) + 1, 0, 1, TRUE), "")</f>
        <v>0.39707647862480222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0.37443011034273299</v>
      </c>
      <c r="D9" s="52">
        <f>IFERROR(_xlfn.NORM.DIST(_xlfn.NORM.INV(SUM(D10:D11), 0, 1) + 1, 0, 1, TRUE) - SUM(D10:D11), "")</f>
        <v>0.37443011034273299</v>
      </c>
      <c r="E9" s="52">
        <f>IFERROR(_xlfn.NORM.DIST(_xlfn.NORM.INV(SUM(E10:E11), 0, 1) + 1, 0, 1, TRUE) - SUM(E10:E11), "")</f>
        <v>0.38094744051027835</v>
      </c>
      <c r="F9" s="52">
        <f>IFERROR(_xlfn.NORM.DIST(_xlfn.NORM.INV(SUM(F10:F11), 0, 1) + 1, 0, 1, TRUE) - SUM(F10:F11), "")</f>
        <v>0.37907175688481998</v>
      </c>
      <c r="G9" s="52">
        <f>IFERROR(_xlfn.NORM.DIST(_xlfn.NORM.INV(SUM(G10:G11), 0, 1) + 1, 0, 1, TRUE) - SUM(G10:G11), "")</f>
        <v>0.37299382137519776</v>
      </c>
    </row>
    <row r="10" spans="1:15" ht="15.75" customHeight="1" x14ac:dyDescent="0.25">
      <c r="B10" s="5" t="s">
        <v>109</v>
      </c>
      <c r="C10" s="45">
        <v>0.1040865</v>
      </c>
      <c r="D10" s="53">
        <v>0.1040865</v>
      </c>
      <c r="E10" s="53">
        <v>0.1470118</v>
      </c>
      <c r="F10" s="53">
        <v>0.14568739999999999</v>
      </c>
      <c r="G10" s="53">
        <v>0.14394280000000001</v>
      </c>
    </row>
    <row r="11" spans="1:15" ht="15.75" customHeight="1" x14ac:dyDescent="0.25">
      <c r="B11" s="5" t="s">
        <v>110</v>
      </c>
      <c r="C11" s="45">
        <v>0.13139770000000001</v>
      </c>
      <c r="D11" s="53">
        <v>0.13139770000000001</v>
      </c>
      <c r="E11" s="53">
        <v>0.12520390000000001</v>
      </c>
      <c r="F11" s="53">
        <v>0.11270090000000001</v>
      </c>
      <c r="G11" s="53">
        <v>8.5986899999999991E-2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0.83210275624999996</v>
      </c>
      <c r="D14" s="54">
        <v>0.82560761370299995</v>
      </c>
      <c r="E14" s="54">
        <v>0.82560761370299995</v>
      </c>
      <c r="F14" s="54">
        <v>0.71009336219999997</v>
      </c>
      <c r="G14" s="54">
        <v>0.71009336219999997</v>
      </c>
      <c r="H14" s="45">
        <v>0.42599999999999999</v>
      </c>
      <c r="I14" s="55">
        <v>0.42599999999999999</v>
      </c>
      <c r="J14" s="55">
        <v>0.42599999999999999</v>
      </c>
      <c r="K14" s="55">
        <v>0.42599999999999999</v>
      </c>
      <c r="L14" s="45">
        <v>0.41199999999999998</v>
      </c>
      <c r="M14" s="55">
        <v>0.41199999999999998</v>
      </c>
      <c r="N14" s="55">
        <v>0.41199999999999998</v>
      </c>
      <c r="O14" s="55">
        <v>0.41199999999999998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0.49544895892086249</v>
      </c>
      <c r="D15" s="52">
        <f t="shared" si="0"/>
        <v>0.49158163413581285</v>
      </c>
      <c r="E15" s="52">
        <f t="shared" si="0"/>
        <v>0.49158163413581285</v>
      </c>
      <c r="F15" s="52">
        <f t="shared" si="0"/>
        <v>0.42280236953439959</v>
      </c>
      <c r="G15" s="52">
        <f t="shared" si="0"/>
        <v>0.42280236953439959</v>
      </c>
      <c r="H15" s="52">
        <f t="shared" si="0"/>
        <v>0.253648068</v>
      </c>
      <c r="I15" s="52">
        <f t="shared" si="0"/>
        <v>0.253648068</v>
      </c>
      <c r="J15" s="52">
        <f t="shared" si="0"/>
        <v>0.253648068</v>
      </c>
      <c r="K15" s="52">
        <f t="shared" si="0"/>
        <v>0.253648068</v>
      </c>
      <c r="L15" s="52">
        <f t="shared" si="0"/>
        <v>0.245312216</v>
      </c>
      <c r="M15" s="52">
        <f t="shared" si="0"/>
        <v>0.245312216</v>
      </c>
      <c r="N15" s="52">
        <f t="shared" si="0"/>
        <v>0.245312216</v>
      </c>
      <c r="O15" s="52">
        <f t="shared" si="0"/>
        <v>0.245312216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0.64547160000000003</v>
      </c>
      <c r="D2" s="53">
        <v>0.48992069999999999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0.1411858</v>
      </c>
      <c r="D3" s="53">
        <v>0.14179639999999999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0.16761409999999999</v>
      </c>
      <c r="D4" s="53">
        <v>0.29845919999999998</v>
      </c>
      <c r="E4" s="53">
        <v>0.86139979999999994</v>
      </c>
      <c r="F4" s="53">
        <v>0.51718980000000003</v>
      </c>
      <c r="G4" s="53">
        <v>0</v>
      </c>
    </row>
    <row r="5" spans="1:7" x14ac:dyDescent="0.25">
      <c r="B5" s="3" t="s">
        <v>122</v>
      </c>
      <c r="C5" s="52">
        <v>4.5728400000000002E-2</v>
      </c>
      <c r="D5" s="52">
        <v>6.9823800000000005E-2</v>
      </c>
      <c r="E5" s="52">
        <f>1-SUM(E2:E4)</f>
        <v>0.13860020000000006</v>
      </c>
      <c r="F5" s="52">
        <f>1-SUM(F2:F4)</f>
        <v>0.48281019999999997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40.561070613111141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42.580683844805243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140.5387212287504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0.58266586520635255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0.1285596</v>
      </c>
      <c r="C10" s="98">
        <v>0.95</v>
      </c>
      <c r="D10" s="56">
        <v>13.598395744825829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13.598395744825829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13.598395744825829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13.598395744825829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0.1285596</v>
      </c>
      <c r="C14" s="98">
        <v>0.95</v>
      </c>
      <c r="D14" s="56">
        <v>13.598395744825829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13.598395744825829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0.60126389999999996</v>
      </c>
      <c r="C16" s="98">
        <v>0.95</v>
      </c>
      <c r="D16" s="56">
        <v>0.33763848267590918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0.48992069999999999</v>
      </c>
      <c r="C18" s="98">
        <v>0.95</v>
      </c>
      <c r="D18" s="56">
        <v>3.3223485837494819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0.48992069999999999</v>
      </c>
      <c r="C19" s="98">
        <v>0.95</v>
      </c>
      <c r="D19" s="56">
        <v>3.3223485837494819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5.0226201787989284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23.23689431241996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0.6364107</v>
      </c>
      <c r="C23" s="98">
        <v>0.95</v>
      </c>
      <c r="D23" s="56">
        <v>4.4977193243106921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0.34695807796153999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0.1285596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19.667951390170739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0.69885220000000003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0.2760224</v>
      </c>
      <c r="C29" s="98">
        <v>0.95</v>
      </c>
      <c r="D29" s="56">
        <v>73.779165565353139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5.5599999999999997E-2</v>
      </c>
      <c r="C31" s="98">
        <v>0.95</v>
      </c>
      <c r="D31" s="56">
        <v>2.1818074410904882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0.65</v>
      </c>
      <c r="C32" s="98">
        <v>0.95</v>
      </c>
      <c r="D32" s="56">
        <v>0.6799284291458918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0.28407529999999998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0.25466349999999999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6.3324999999999996E-3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0.71562439999999994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0.50206079999999997</v>
      </c>
      <c r="C38" s="98">
        <v>0.95</v>
      </c>
      <c r="D38" s="56">
        <v>3.7635013828042281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204</v>
      </c>
      <c r="B3" s="21">
        <f>frac_mam_1month * 2.6</f>
        <v>0.2706249</v>
      </c>
      <c r="C3" s="21">
        <f>frac_mam_1_5months * 2.6</f>
        <v>0.2706249</v>
      </c>
      <c r="D3" s="21">
        <f>frac_mam_6_11months * 2.6</f>
        <v>0.38223067999999999</v>
      </c>
      <c r="E3" s="21">
        <f>frac_mam_12_23months * 2.6</f>
        <v>0.37878724000000003</v>
      </c>
      <c r="F3" s="21">
        <f>frac_mam_24_59months * 2.6</f>
        <v>0.37425128000000002</v>
      </c>
    </row>
    <row r="4" spans="1:6" ht="15.75" customHeight="1" x14ac:dyDescent="0.25">
      <c r="A4" s="3" t="s">
        <v>205</v>
      </c>
      <c r="B4" s="21">
        <f>frac_sam_1month * 2.6</f>
        <v>0.34163402000000004</v>
      </c>
      <c r="C4" s="21">
        <f>frac_sam_1_5months * 2.6</f>
        <v>0.34163402000000004</v>
      </c>
      <c r="D4" s="21">
        <f>frac_sam_6_11months * 2.6</f>
        <v>0.32553014000000002</v>
      </c>
      <c r="E4" s="21">
        <f>frac_sam_12_23months * 2.6</f>
        <v>0.29302234000000005</v>
      </c>
      <c r="F4" s="21">
        <f>frac_sam_24_59months * 2.6</f>
        <v>0.22356593999999999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0.307</v>
      </c>
      <c r="E2" s="60">
        <f>food_insecure</f>
        <v>0.307</v>
      </c>
      <c r="F2" s="60">
        <f>food_insecure</f>
        <v>0.307</v>
      </c>
      <c r="G2" s="60">
        <f>food_insecure</f>
        <v>0.307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0.307</v>
      </c>
      <c r="F5" s="60">
        <f>food_insecure</f>
        <v>0.307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0.307</v>
      </c>
      <c r="F8" s="60">
        <f>food_insecure</f>
        <v>0.307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0.307</v>
      </c>
      <c r="F9" s="60">
        <f>food_insecure</f>
        <v>0.307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0.307</v>
      </c>
      <c r="I15" s="60">
        <f>food_insecure</f>
        <v>0.307</v>
      </c>
      <c r="J15" s="60">
        <f>food_insecure</f>
        <v>0.307</v>
      </c>
      <c r="K15" s="60">
        <f>food_insecure</f>
        <v>0.307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0.53900000000000003</v>
      </c>
      <c r="M24" s="60">
        <f>famplan_unmet_need</f>
        <v>0.53900000000000003</v>
      </c>
      <c r="N24" s="60">
        <f>famplan_unmet_need</f>
        <v>0.53900000000000003</v>
      </c>
      <c r="O24" s="60">
        <f>famplan_unmet_need</f>
        <v>0.53900000000000003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0.20111974494934101</v>
      </c>
      <c r="M25" s="60">
        <f>(1-food_insecure)*(0.49)+food_insecure*(0.7)</f>
        <v>0.55447000000000002</v>
      </c>
      <c r="N25" s="60">
        <f>(1-food_insecure)*(0.49)+food_insecure*(0.7)</f>
        <v>0.55447000000000002</v>
      </c>
      <c r="O25" s="60">
        <f>(1-food_insecure)*(0.49)+food_insecure*(0.7)</f>
        <v>0.55447000000000002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8.6194176406860445E-2</v>
      </c>
      <c r="M26" s="60">
        <f>(1-food_insecure)*(0.21)+food_insecure*(0.3)</f>
        <v>0.23763000000000001</v>
      </c>
      <c r="N26" s="60">
        <f>(1-food_insecure)*(0.21)+food_insecure*(0.3)</f>
        <v>0.23763000000000001</v>
      </c>
      <c r="O26" s="60">
        <f>(1-food_insecure)*(0.21)+food_insecure*(0.3)</f>
        <v>0.23763000000000001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7.5410382843017654E-2</v>
      </c>
      <c r="M27" s="60">
        <f>(1-food_insecure)*(0.3)</f>
        <v>0.2079</v>
      </c>
      <c r="N27" s="60">
        <f>(1-food_insecure)*(0.3)</f>
        <v>0.2079</v>
      </c>
      <c r="O27" s="60">
        <f>(1-food_insecure)*(0.3)</f>
        <v>0.2079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0.63727569580078092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9.75713657066275E-2</v>
      </c>
      <c r="G18" s="90">
        <f>MIN(MAX(1-0.89/(1-frac_sam_12_23months+(frac_sam_12_23months*0.89)),0),1)</f>
        <v>9.8828082523018002E-2</v>
      </c>
      <c r="H18" s="90">
        <f>MIN(MAX(1-0.89/(1-frac_sam_24_59months+(frac_sam_24_59months*0.89)),0),1)</f>
        <v>0.10150149891608617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9.5370974448354628E-2</v>
      </c>
      <c r="G20" s="90">
        <f>MIN(MAX(1-0.89/(1-frac_mam_12_23months+(frac_mam_12_23months*0.89)),0),1)</f>
        <v>9.5504910836164747E-2</v>
      </c>
      <c r="H20" s="90">
        <f>MIN(MAX(1-0.89/(1-frac_mam_24_59months+(frac_mam_24_59months*0.89)),0),1)</f>
        <v>9.5681281471891699E-2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8.7589275188517668E-3</v>
      </c>
      <c r="G73" s="90">
        <f>MIN(MAX(1-0.99/(1-frac_sam_12_23months+(frac_sam_12_23months*0.99)),0),1)</f>
        <v>8.8830022234529515E-3</v>
      </c>
      <c r="H73" s="90">
        <f>MIN(MAX(1-0.99/(1-frac_sam_24_59months+(frac_sam_24_59months*0.99)),0),1)</f>
        <v>9.1479970791004117E-3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8.5424403953890948E-3</v>
      </c>
      <c r="G75" s="90">
        <f>MIN(MAX(1-0.99/(1-frac_mam_12_23months+(frac_mam_12_23months*0.99)),0),1)</f>
        <v>8.5555904172335273E-3</v>
      </c>
      <c r="H75" s="90">
        <f>MIN(MAX(1-0.99/(1-frac_mam_24_59months+(frac_mam_24_59months*0.99)),0),1)</f>
        <v>8.572912089703344E-3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0.17945285957703949</v>
      </c>
      <c r="G128" s="90">
        <f>MIN(MAX(1-0.8/(1-frac_sam_12_23months+(frac_sam_12_23months*0.8)),0),1)</f>
        <v>0.18155203556090926</v>
      </c>
      <c r="H128" s="90">
        <f>MIN(MAX(1-0.8/(1-frac_sam_24_59months+(frac_sam_24_59months*0.8)),0),1)</f>
        <v>0.18600135599964107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0.17576556233950869</v>
      </c>
      <c r="G130" s="90">
        <f>MIN(MAX(1-0.8/(1-frac_mam_12_23months+(frac_mam_12_23months*0.8)),0),1)</f>
        <v>0.17599043786343704</v>
      </c>
      <c r="H130" s="90">
        <f>MIN(MAX(1-0.8/(1-frac_mam_24_59months+(frac_mam_24_59months*0.8)),0),1)</f>
        <v>0.17628647372605077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2024-06-18T06:57:29Z</dcterms:modified>
</cp:coreProperties>
</file>