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1D50A73-EB3F-4CD3-9693-E0C537FBBABC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6" i="2"/>
  <c r="A35" i="2"/>
  <c r="A34" i="2"/>
  <c r="A29" i="2"/>
  <c r="A28" i="2"/>
  <c r="A27" i="2"/>
  <c r="A26" i="2"/>
  <c r="A24" i="2"/>
  <c r="A21" i="2"/>
  <c r="A20" i="2"/>
  <c r="A19" i="2"/>
  <c r="A18" i="2"/>
  <c r="A16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4" i="2" l="1"/>
  <c r="A5" i="2" s="1"/>
  <c r="A38" i="2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  <c r="A31" i="2"/>
  <c r="A32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<sst xmlns="http://schemas.openxmlformats.org/spreadsheetml/2006/main" count="2092" uniqueCount="341">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</sst>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54304.55419921875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0.45275009155273399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7.3499999999999996E-2</v>
      </c>
    </row>
    <row r="24" spans="1:3" ht="15" customHeight="1" x14ac:dyDescent="0.25">
      <c r="B24" s="15" t="s">
        <v>22</v>
      </c>
      <c r="C24" s="45">
        <v>0.48159999999999997</v>
      </c>
    </row>
    <row r="25" spans="1:3" ht="15" customHeight="1" x14ac:dyDescent="0.25">
      <c r="B25" s="15" t="s">
        <v>23</v>
      </c>
      <c r="C25" s="45">
        <v>0.38009999999999999</v>
      </c>
    </row>
    <row r="26" spans="1:3" ht="15" customHeight="1" x14ac:dyDescent="0.25">
      <c r="B26" s="15" t="s">
        <v>24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449674.5455999999</v>
      </c>
      <c r="C2" s="49">
        <v>1222000</v>
      </c>
      <c r="D2" s="49">
        <v>2069000</v>
      </c>
      <c r="E2" s="49">
        <v>785000</v>
      </c>
      <c r="F2" s="49">
        <v>519000</v>
      </c>
      <c r="G2" s="17">
        <f t="shared" ref="G2:G13" si="0">C2+D2+E2+F2</f>
        <v>4595000</v>
      </c>
      <c r="H2" s="17">
        <f t="shared" ref="H2:H13" si="1">(B2 + stillbirth*B2/(1000-stillbirth))/(1-abortion)</f>
        <v>516646.82740844635</v>
      </c>
      <c r="I2" s="17">
        <f t="shared" ref="I2:I13" si="2">G2-H2</f>
        <v>4078353.1725915535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467822.01299999998</v>
      </c>
      <c r="C3" s="50">
        <v>1231000</v>
      </c>
      <c r="D3" s="50">
        <v>2158000</v>
      </c>
      <c r="E3" s="50">
        <v>794000</v>
      </c>
      <c r="F3" s="50">
        <v>542000</v>
      </c>
      <c r="G3" s="17">
        <f t="shared" si="0"/>
        <v>4725000</v>
      </c>
      <c r="H3" s="17">
        <f t="shared" si="1"/>
        <v>537497.08800124482</v>
      </c>
      <c r="I3" s="17">
        <f t="shared" si="2"/>
        <v>4187502.9119987553</v>
      </c>
    </row>
    <row r="4" spans="1:9" ht="15.75" customHeight="1" x14ac:dyDescent="0.25">
      <c r="A4" s="5">
        <f t="shared" si="3"/>
        <v>2026</v>
      </c>
      <c r="B4" s="49">
        <v>480535.56400000007</v>
      </c>
      <c r="C4" s="50">
        <v>1244000</v>
      </c>
      <c r="D4" s="50">
        <v>2241000</v>
      </c>
      <c r="E4" s="50">
        <v>801000</v>
      </c>
      <c r="F4" s="50">
        <v>568000</v>
      </c>
      <c r="G4" s="17">
        <f t="shared" si="0"/>
        <v>4854000</v>
      </c>
      <c r="H4" s="17">
        <f t="shared" si="1"/>
        <v>552104.13181441266</v>
      </c>
      <c r="I4" s="17">
        <f t="shared" si="2"/>
        <v>4301895.8681855872</v>
      </c>
    </row>
    <row r="5" spans="1:9" ht="15.75" customHeight="1" x14ac:dyDescent="0.25">
      <c r="A5" s="5">
        <f t="shared" si="3"/>
        <v>2027</v>
      </c>
      <c r="B5" s="49">
        <v>490941.87699999998</v>
      </c>
      <c r="C5" s="50">
        <v>1250000</v>
      </c>
      <c r="D5" s="50">
        <v>2302000</v>
      </c>
      <c r="E5" s="50">
        <v>803000</v>
      </c>
      <c r="F5" s="50">
        <v>598000</v>
      </c>
      <c r="G5" s="17">
        <f t="shared" si="0"/>
        <v>4953000</v>
      </c>
      <c r="H5" s="17">
        <f t="shared" si="1"/>
        <v>564060.3091188129</v>
      </c>
      <c r="I5" s="17">
        <f t="shared" si="2"/>
        <v>4388939.6908811871</v>
      </c>
    </row>
    <row r="6" spans="1:9" ht="15.75" customHeight="1" x14ac:dyDescent="0.25">
      <c r="A6" s="5">
        <f t="shared" si="3"/>
        <v>2028</v>
      </c>
      <c r="B6" s="49">
        <v>499456.12500000012</v>
      </c>
      <c r="C6" s="50">
        <v>1251000</v>
      </c>
      <c r="D6" s="50">
        <v>2347000</v>
      </c>
      <c r="E6" s="50">
        <v>803000</v>
      </c>
      <c r="F6" s="50">
        <v>630000</v>
      </c>
      <c r="G6" s="17">
        <f t="shared" si="0"/>
        <v>5031000</v>
      </c>
      <c r="H6" s="17">
        <f t="shared" si="1"/>
        <v>573842.62670830288</v>
      </c>
      <c r="I6" s="17">
        <f t="shared" si="2"/>
        <v>4457157.3732916974</v>
      </c>
    </row>
    <row r="7" spans="1:9" ht="15.75" customHeight="1" x14ac:dyDescent="0.25">
      <c r="A7" s="5">
        <f t="shared" si="3"/>
        <v>2029</v>
      </c>
      <c r="B7" s="49">
        <v>506833.04700000008</v>
      </c>
      <c r="C7" s="50">
        <v>1250000</v>
      </c>
      <c r="D7" s="50">
        <v>2379000</v>
      </c>
      <c r="E7" s="50">
        <v>799000</v>
      </c>
      <c r="F7" s="50">
        <v>661000</v>
      </c>
      <c r="G7" s="17">
        <f t="shared" si="0"/>
        <v>5089000</v>
      </c>
      <c r="H7" s="17">
        <f t="shared" si="1"/>
        <v>582318.23064148566</v>
      </c>
      <c r="I7" s="17">
        <f t="shared" si="2"/>
        <v>4506681.7693585139</v>
      </c>
    </row>
    <row r="8" spans="1:9" ht="15.75" customHeight="1" x14ac:dyDescent="0.25">
      <c r="A8" s="5">
        <f t="shared" si="3"/>
        <v>2030</v>
      </c>
      <c r="B8" s="49">
        <v>513614.22399999999</v>
      </c>
      <c r="C8" s="50">
        <v>1247000</v>
      </c>
      <c r="D8" s="50">
        <v>2404000</v>
      </c>
      <c r="E8" s="50">
        <v>795000</v>
      </c>
      <c r="F8" s="50">
        <v>687000</v>
      </c>
      <c r="G8" s="17">
        <f t="shared" si="0"/>
        <v>5133000</v>
      </c>
      <c r="H8" s="17">
        <f t="shared" si="1"/>
        <v>590109.36228864267</v>
      </c>
      <c r="I8" s="17">
        <f t="shared" si="2"/>
        <v>4542890.6377113573</v>
      </c>
    </row>
    <row r="9" spans="1:9" ht="15.75" customHeight="1" x14ac:dyDescent="0.25">
      <c r="A9" s="5">
        <f t="shared" si="3"/>
        <v>2031</v>
      </c>
      <c r="B9" s="49">
        <v>522748.46377142862</v>
      </c>
      <c r="C9" s="50">
        <v>1250571.4285714291</v>
      </c>
      <c r="D9" s="50">
        <v>2451857.1428571432</v>
      </c>
      <c r="E9" s="50">
        <v>796428.57142857148</v>
      </c>
      <c r="F9" s="50">
        <v>711000</v>
      </c>
      <c r="G9" s="17">
        <f t="shared" si="0"/>
        <v>5209857.1428571437</v>
      </c>
      <c r="H9" s="17">
        <f t="shared" si="1"/>
        <v>600604.01012867072</v>
      </c>
      <c r="I9" s="17">
        <f t="shared" si="2"/>
        <v>4609253.1327284733</v>
      </c>
    </row>
    <row r="10" spans="1:9" ht="15.75" customHeight="1" x14ac:dyDescent="0.25">
      <c r="A10" s="5">
        <f t="shared" si="3"/>
        <v>2032</v>
      </c>
      <c r="B10" s="49">
        <v>530595.09959591832</v>
      </c>
      <c r="C10" s="50">
        <v>1253367.3469387761</v>
      </c>
      <c r="D10" s="50">
        <v>2493836.7346938769</v>
      </c>
      <c r="E10" s="50">
        <v>796775.51020408166</v>
      </c>
      <c r="F10" s="50">
        <v>735142.85714285716</v>
      </c>
      <c r="G10" s="17">
        <f t="shared" si="0"/>
        <v>5279122.448979592</v>
      </c>
      <c r="H10" s="17">
        <f t="shared" si="1"/>
        <v>609619.28471830289</v>
      </c>
      <c r="I10" s="17">
        <f t="shared" si="2"/>
        <v>4669503.1642612889</v>
      </c>
    </row>
    <row r="11" spans="1:9" ht="15.75" customHeight="1" x14ac:dyDescent="0.25">
      <c r="A11" s="5">
        <f t="shared" si="3"/>
        <v>2033</v>
      </c>
      <c r="B11" s="49">
        <v>537746.46182390663</v>
      </c>
      <c r="C11" s="50">
        <v>1254705.539358601</v>
      </c>
      <c r="D11" s="50">
        <v>2529956.2682215739</v>
      </c>
      <c r="E11" s="50">
        <v>796172.01166180766</v>
      </c>
      <c r="F11" s="50">
        <v>759020.40816326533</v>
      </c>
      <c r="G11" s="17">
        <f t="shared" si="0"/>
        <v>5339854.2274052482</v>
      </c>
      <c r="H11" s="17">
        <f t="shared" si="1"/>
        <v>617835.73513314442</v>
      </c>
      <c r="I11" s="17">
        <f t="shared" si="2"/>
        <v>4722018.4922721041</v>
      </c>
    </row>
    <row r="12" spans="1:9" ht="15.75" customHeight="1" x14ac:dyDescent="0.25">
      <c r="A12" s="5">
        <f t="shared" si="3"/>
        <v>2034</v>
      </c>
      <c r="B12" s="49">
        <v>544432.83108446468</v>
      </c>
      <c r="C12" s="50">
        <v>1255377.7592669721</v>
      </c>
      <c r="D12" s="50">
        <v>2562521.449396085</v>
      </c>
      <c r="E12" s="50">
        <v>795196.58475635166</v>
      </c>
      <c r="F12" s="50">
        <v>782023.32361516042</v>
      </c>
      <c r="G12" s="17">
        <f t="shared" si="0"/>
        <v>5395119.1170345694</v>
      </c>
      <c r="H12" s="17">
        <f t="shared" si="1"/>
        <v>625517.93884947733</v>
      </c>
      <c r="I12" s="17">
        <f t="shared" si="2"/>
        <v>4769601.1781850923</v>
      </c>
    </row>
    <row r="13" spans="1:9" ht="15.75" customHeight="1" x14ac:dyDescent="0.25">
      <c r="A13" s="5">
        <f t="shared" si="3"/>
        <v>2035</v>
      </c>
      <c r="B13" s="49">
        <v>550858.07481081679</v>
      </c>
      <c r="C13" s="50">
        <v>1256003.153447968</v>
      </c>
      <c r="D13" s="50">
        <v>2593310.2278812402</v>
      </c>
      <c r="E13" s="50">
        <v>794081.81115011615</v>
      </c>
      <c r="F13" s="50">
        <v>803740.94127446902</v>
      </c>
      <c r="G13" s="17">
        <f t="shared" si="0"/>
        <v>5447136.1337537933</v>
      </c>
      <c r="H13" s="17">
        <f t="shared" si="1"/>
        <v>632900.12629821652</v>
      </c>
      <c r="I13" s="17">
        <f t="shared" si="2"/>
        <v>4814236.0074555771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0.12637916779176001</v>
      </c>
      <c r="C2" s="98">
        <v>0.95</v>
      </c>
      <c r="D2" s="56">
        <v>36.11916955958214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42.481123974359448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70.900000000000006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1.270477719427328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13.49883587438004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13.49883587438004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13.49883587438004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13.49883587438004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13.49883587438004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13.49883587438004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0.2066742856206</v>
      </c>
      <c r="C16" s="98">
        <v>0.95</v>
      </c>
      <c r="D16" s="56">
        <v>0.2380786122301152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1.73788639265208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1.73788639265208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0.12046129999999999</v>
      </c>
      <c r="C21" s="98">
        <v>0.95</v>
      </c>
      <c r="D21" s="56">
        <v>11.875561895445459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23.01288460391692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5.8989100000000003E-2</v>
      </c>
      <c r="C23" s="98">
        <v>0.95</v>
      </c>
      <c r="D23" s="56">
        <v>4.4354944052820704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0.69723745018169003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0.16203755015136001</v>
      </c>
      <c r="C27" s="98">
        <v>0.95</v>
      </c>
      <c r="D27" s="56">
        <v>19.49524523887251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0.45581739999999998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63.641193459852339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4.5094624774474914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7.7588900000000002E-2</v>
      </c>
      <c r="C32" s="98">
        <v>0.95</v>
      </c>
      <c r="D32" s="56">
        <v>0.45591617905202908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0.89972340000000006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2.7969611357764639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0.23215369999999999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205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0.89757246747925845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2024-03-28T03:04:44Z</dcterms:modified>
</cp:coreProperties>
</file>