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29C67C1-2979-4CDF-9612-51F2764FF944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6" i="2"/>
  <c r="A35" i="2"/>
  <c r="A34" i="2"/>
  <c r="A33" i="2"/>
  <c r="A29" i="2"/>
  <c r="A28" i="2"/>
  <c r="A27" i="2"/>
  <c r="A26" i="2"/>
  <c r="A25" i="2"/>
  <c r="A21" i="2"/>
  <c r="A20" i="2"/>
  <c r="A19" i="2"/>
  <c r="A18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8" i="2" s="1"/>
  <c r="C33" i="1"/>
  <c r="C20" i="1"/>
  <c r="A14" i="2" l="1"/>
  <c r="A22" i="2"/>
  <c r="A30" i="2"/>
  <c r="A40" i="2"/>
  <c r="A15" i="2"/>
  <c r="A23" i="2"/>
  <c r="A31" i="2"/>
  <c r="A16" i="2"/>
  <c r="A24" i="2"/>
  <c r="A32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<sst xmlns="http://schemas.openxmlformats.org/spreadsheetml/2006/main" count="2101" uniqueCount="341">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</sst>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54304.55419921875</v>
      </c>
    </row>
    <row r="8" spans="1:3" ht="15" customHeight="1" x14ac:dyDescent="0.25">
      <c r="B8" s="5" t="s">
        <v>8</v>
      </c>
      <c r="C8" s="44">
        <v>0.23400000000000001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0.45275009155273399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0.46700000000000003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7.3499999999999996E-2</v>
      </c>
    </row>
    <row r="24" spans="1:3" ht="15" customHeight="1" x14ac:dyDescent="0.25">
      <c r="B24" s="15" t="s">
        <v>22</v>
      </c>
      <c r="C24" s="45">
        <v>0.48159999999999997</v>
      </c>
    </row>
    <row r="25" spans="1:3" ht="15" customHeight="1" x14ac:dyDescent="0.25">
      <c r="B25" s="15" t="s">
        <v>23</v>
      </c>
      <c r="C25" s="45">
        <v>0.38009999999999999</v>
      </c>
    </row>
    <row r="26" spans="1:3" ht="15" customHeight="1" x14ac:dyDescent="0.25">
      <c r="B26" s="15" t="s">
        <v>24</v>
      </c>
      <c r="C26" s="45">
        <v>6.480000000000001E-2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10.659739999999999</v>
      </c>
    </row>
    <row r="38" spans="1:5" ht="15" customHeight="1" x14ac:dyDescent="0.25">
      <c r="B38" s="11" t="s">
        <v>34</v>
      </c>
      <c r="C38" s="43">
        <v>15.35069</v>
      </c>
      <c r="D38" s="12"/>
      <c r="E38" s="13"/>
    </row>
    <row r="39" spans="1:5" ht="15" customHeight="1" x14ac:dyDescent="0.25">
      <c r="B39" s="11" t="s">
        <v>35</v>
      </c>
      <c r="C39" s="43">
        <v>17.175809999999998</v>
      </c>
      <c r="D39" s="12"/>
      <c r="E39" s="12"/>
    </row>
    <row r="40" spans="1:5" ht="15" customHeight="1" x14ac:dyDescent="0.25">
      <c r="B40" s="11" t="s">
        <v>36</v>
      </c>
      <c r="C40" s="100">
        <v>0.96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1.09351E-2</v>
      </c>
      <c r="D45" s="12"/>
    </row>
    <row r="46" spans="1:5" ht="15.75" customHeight="1" x14ac:dyDescent="0.25">
      <c r="B46" s="11" t="s">
        <v>41</v>
      </c>
      <c r="C46" s="45">
        <v>0.1174965</v>
      </c>
      <c r="D46" s="12"/>
    </row>
    <row r="47" spans="1:5" ht="15.75" customHeight="1" x14ac:dyDescent="0.25">
      <c r="B47" s="11" t="s">
        <v>42</v>
      </c>
      <c r="C47" s="45">
        <v>7.0600399999999994E-2</v>
      </c>
      <c r="D47" s="12"/>
      <c r="E47" s="13"/>
    </row>
    <row r="48" spans="1:5" ht="15" customHeight="1" x14ac:dyDescent="0.25">
      <c r="B48" s="11" t="s">
        <v>43</v>
      </c>
      <c r="C48" s="46">
        <v>0.80096800000000001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0.54960799999999999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532402</v>
      </c>
      <c r="C2" s="49">
        <v>1775399.5</v>
      </c>
      <c r="D2" s="49">
        <v>2549319</v>
      </c>
      <c r="E2" s="49">
        <v>1464377</v>
      </c>
      <c r="F2" s="49">
        <v>1186209</v>
      </c>
      <c r="G2" s="17">
        <f t="shared" ref="G2:G13" si="0">C2+D2+E2+F2</f>
        <v>6975304.5</v>
      </c>
      <c r="H2" s="17">
        <f t="shared" ref="H2:H13" si="1">(B2 + stillbirth*B2/(1000-stillbirth))/(1-abortion)</f>
        <v>611695.29584756587</v>
      </c>
      <c r="I2" s="17">
        <f t="shared" ref="I2:I13" si="2">G2-H2</f>
        <v>6363609.2041524341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573943</v>
      </c>
      <c r="C3" s="50">
        <v>1795384.5</v>
      </c>
      <c r="D3" s="50">
        <v>2780169</v>
      </c>
      <c r="E3" s="50">
        <v>1581613.5</v>
      </c>
      <c r="F3" s="50">
        <v>1231949</v>
      </c>
      <c r="G3" s="17">
        <f t="shared" si="0"/>
        <v>7389116</v>
      </c>
      <c r="H3" s="17">
        <f t="shared" si="1"/>
        <v>659423.20499291795</v>
      </c>
      <c r="I3" s="17">
        <f t="shared" si="2"/>
        <v>6729692.7950070817</v>
      </c>
    </row>
    <row r="4" spans="1:9" ht="15.75" customHeight="1" x14ac:dyDescent="0.25">
      <c r="A4" s="5">
        <f t="shared" si="3"/>
        <v>2026</v>
      </c>
      <c r="B4" s="49">
        <v>610419</v>
      </c>
      <c r="C4" s="50">
        <v>1790412</v>
      </c>
      <c r="D4" s="50">
        <v>2971406.5</v>
      </c>
      <c r="E4" s="50">
        <v>1709798</v>
      </c>
      <c r="F4" s="50">
        <v>1273598.5</v>
      </c>
      <c r="G4" s="17">
        <f t="shared" si="0"/>
        <v>7745215</v>
      </c>
      <c r="H4" s="17">
        <f t="shared" si="1"/>
        <v>701331.7583254294</v>
      </c>
      <c r="I4" s="17">
        <f t="shared" si="2"/>
        <v>7043883.2416745704</v>
      </c>
    </row>
    <row r="5" spans="1:9" ht="15.75" customHeight="1" x14ac:dyDescent="0.25">
      <c r="A5" s="5">
        <f t="shared" si="3"/>
        <v>2027</v>
      </c>
      <c r="B5" s="49">
        <v>639263</v>
      </c>
      <c r="C5" s="50">
        <v>1755175</v>
      </c>
      <c r="D5" s="50">
        <v>3125682</v>
      </c>
      <c r="E5" s="50">
        <v>1849299.5</v>
      </c>
      <c r="F5" s="50">
        <v>1310525</v>
      </c>
      <c r="G5" s="17">
        <f t="shared" si="0"/>
        <v>8040681.5</v>
      </c>
      <c r="H5" s="17">
        <f t="shared" si="1"/>
        <v>734471.63968092238</v>
      </c>
      <c r="I5" s="17">
        <f t="shared" si="2"/>
        <v>7306209.860319078</v>
      </c>
    </row>
    <row r="6" spans="1:9" ht="15.75" customHeight="1" x14ac:dyDescent="0.25">
      <c r="A6" s="5">
        <f t="shared" si="3"/>
        <v>2028</v>
      </c>
      <c r="B6" s="49">
        <v>665188</v>
      </c>
      <c r="C6" s="50">
        <v>1678421.5</v>
      </c>
      <c r="D6" s="50">
        <v>3250326.5</v>
      </c>
      <c r="E6" s="50">
        <v>2002848</v>
      </c>
      <c r="F6" s="50">
        <v>1342899</v>
      </c>
      <c r="G6" s="17">
        <f t="shared" si="0"/>
        <v>8274495</v>
      </c>
      <c r="H6" s="17">
        <f t="shared" si="1"/>
        <v>764257.77974960767</v>
      </c>
      <c r="I6" s="17">
        <f t="shared" si="2"/>
        <v>7510237.2202503923</v>
      </c>
    </row>
    <row r="7" spans="1:9" ht="15.75" customHeight="1" x14ac:dyDescent="0.25">
      <c r="A7" s="5">
        <f t="shared" si="3"/>
        <v>2029</v>
      </c>
      <c r="B7" s="49">
        <v>684175</v>
      </c>
      <c r="C7" s="50">
        <v>1574473</v>
      </c>
      <c r="D7" s="50">
        <v>3335087.5</v>
      </c>
      <c r="E7" s="50">
        <v>2170490.5</v>
      </c>
      <c r="F7" s="50">
        <v>1370461</v>
      </c>
      <c r="G7" s="17">
        <f t="shared" si="0"/>
        <v>8450512</v>
      </c>
      <c r="H7" s="17">
        <f t="shared" si="1"/>
        <v>786072.60873645917</v>
      </c>
      <c r="I7" s="17">
        <f t="shared" si="2"/>
        <v>7664439.3912635408</v>
      </c>
    </row>
    <row r="8" spans="1:9" ht="15.75" customHeight="1" x14ac:dyDescent="0.25">
      <c r="A8" s="5">
        <f t="shared" si="3"/>
        <v>2030</v>
      </c>
      <c r="B8" s="49">
        <v>699103</v>
      </c>
      <c r="C8" s="50">
        <v>1465464.5</v>
      </c>
      <c r="D8" s="50">
        <v>3371692</v>
      </c>
      <c r="E8" s="50">
        <v>2346187</v>
      </c>
      <c r="F8" s="50">
        <v>1392492.5</v>
      </c>
      <c r="G8" s="17">
        <f t="shared" si="0"/>
        <v>8575836</v>
      </c>
      <c r="H8" s="17">
        <f t="shared" si="1"/>
        <v>803223.91052798601</v>
      </c>
      <c r="I8" s="17">
        <f t="shared" si="2"/>
        <v>7772612.0894720145</v>
      </c>
    </row>
    <row r="9" spans="1:9" ht="15.75" customHeight="1" x14ac:dyDescent="0.25">
      <c r="A9" s="5">
        <f t="shared" si="3"/>
        <v>2031</v>
      </c>
      <c r="B9" s="49">
        <v>706443</v>
      </c>
      <c r="C9" s="50">
        <v>1362082.5</v>
      </c>
      <c r="D9" s="50">
        <v>3363171</v>
      </c>
      <c r="E9" s="50">
        <v>2525926.5</v>
      </c>
      <c r="F9" s="50">
        <v>1410994</v>
      </c>
      <c r="G9" s="17">
        <f t="shared" si="0"/>
        <v>8662174</v>
      </c>
      <c r="H9" s="17">
        <f t="shared" si="1"/>
        <v>811657.09348282288</v>
      </c>
      <c r="I9" s="17">
        <f t="shared" si="2"/>
        <v>7850516.9065171769</v>
      </c>
    </row>
    <row r="10" spans="1:9" ht="15.75" customHeight="1" x14ac:dyDescent="0.25">
      <c r="A10" s="5">
        <f t="shared" si="3"/>
        <v>2032</v>
      </c>
      <c r="B10" s="49">
        <v>710855</v>
      </c>
      <c r="C10" s="50">
        <v>1271529</v>
      </c>
      <c r="D10" s="50">
        <v>3316385.5</v>
      </c>
      <c r="E10" s="50">
        <v>2703312.5</v>
      </c>
      <c r="F10" s="50">
        <v>1428747</v>
      </c>
      <c r="G10" s="17">
        <f t="shared" si="0"/>
        <v>8719974</v>
      </c>
      <c r="H10" s="17">
        <f t="shared" si="1"/>
        <v>816726.19473578501</v>
      </c>
      <c r="I10" s="17">
        <f t="shared" si="2"/>
        <v>7903247.805264215</v>
      </c>
    </row>
    <row r="11" spans="1:9" ht="15.75" customHeight="1" x14ac:dyDescent="0.25">
      <c r="A11" s="5">
        <f t="shared" si="3"/>
        <v>2033</v>
      </c>
      <c r="B11" s="49">
        <v>702271</v>
      </c>
      <c r="C11" s="50">
        <v>1204044.5</v>
      </c>
      <c r="D11" s="50">
        <v>3240248</v>
      </c>
      <c r="E11" s="50">
        <v>2868461.5</v>
      </c>
      <c r="F11" s="50">
        <v>1449682.5</v>
      </c>
      <c r="G11" s="17">
        <f t="shared" si="0"/>
        <v>8762436.5</v>
      </c>
      <c r="H11" s="17">
        <f t="shared" si="1"/>
        <v>806863.73663165409</v>
      </c>
      <c r="I11" s="17">
        <f t="shared" si="2"/>
        <v>7955572.7633683458</v>
      </c>
    </row>
    <row r="12" spans="1:9" ht="15.75" customHeight="1" x14ac:dyDescent="0.25">
      <c r="A12" s="5">
        <f t="shared" si="3"/>
        <v>2034</v>
      </c>
      <c r="B12" s="49">
        <v>694568</v>
      </c>
      <c r="C12" s="50">
        <v>1177233</v>
      </c>
      <c r="D12" s="50">
        <v>3131602</v>
      </c>
      <c r="E12" s="50">
        <v>3015146.5</v>
      </c>
      <c r="F12" s="50">
        <v>1480634</v>
      </c>
      <c r="G12" s="17">
        <f t="shared" si="0"/>
        <v>8804615.5</v>
      </c>
      <c r="H12" s="17">
        <f t="shared" si="1"/>
        <v>798013.49026910507</v>
      </c>
      <c r="I12" s="17">
        <f t="shared" si="2"/>
        <v>8006602.009730895</v>
      </c>
    </row>
    <row r="13" spans="1:9" ht="15.75" customHeight="1" x14ac:dyDescent="0.25">
      <c r="A13" s="5">
        <f t="shared" si="3"/>
        <v>2035</v>
      </c>
      <c r="B13" s="49">
        <v>680805</v>
      </c>
      <c r="C13" s="50">
        <v>1190252</v>
      </c>
      <c r="D13" s="50">
        <v>2993307</v>
      </c>
      <c r="E13" s="50">
        <v>3139393</v>
      </c>
      <c r="F13" s="50">
        <v>1526329</v>
      </c>
      <c r="G13" s="17">
        <f t="shared" si="0"/>
        <v>8849281</v>
      </c>
      <c r="H13" s="17">
        <f t="shared" si="1"/>
        <v>782200.69776128198</v>
      </c>
      <c r="I13" s="17">
        <f t="shared" si="2"/>
        <v>8067080.3022387177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0.15451909999999969</v>
      </c>
    </row>
    <row r="5" spans="1:8" ht="15.75" customHeight="1" x14ac:dyDescent="0.25">
      <c r="B5" s="19" t="s">
        <v>70</v>
      </c>
      <c r="C5" s="101">
        <v>4.2198999999999926E-3</v>
      </c>
    </row>
    <row r="6" spans="1:8" ht="15.75" customHeight="1" x14ac:dyDescent="0.25">
      <c r="B6" s="19" t="s">
        <v>71</v>
      </c>
      <c r="C6" s="101">
        <v>0.19492200000000021</v>
      </c>
    </row>
    <row r="7" spans="1:8" ht="15.75" customHeight="1" x14ac:dyDescent="0.25">
      <c r="B7" s="19" t="s">
        <v>72</v>
      </c>
      <c r="C7" s="101">
        <v>0.42669009999999979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0.16146820000000039</v>
      </c>
    </row>
    <row r="10" spans="1:8" ht="15.75" customHeight="1" x14ac:dyDescent="0.25">
      <c r="B10" s="19" t="s">
        <v>75</v>
      </c>
      <c r="C10" s="101">
        <v>5.8180699999999898E-2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82</v>
      </c>
      <c r="C15" s="101">
        <v>0.29688997844133608</v>
      </c>
      <c r="D15" s="101">
        <v>0.29688997844133608</v>
      </c>
      <c r="E15" s="101">
        <v>0.29688997844133608</v>
      </c>
      <c r="F15" s="101">
        <v>0.29688997844133608</v>
      </c>
    </row>
    <row r="16" spans="1:8" ht="15.75" customHeight="1" x14ac:dyDescent="0.25">
      <c r="B16" s="19" t="s">
        <v>83</v>
      </c>
      <c r="C16" s="101">
        <v>5.627712966098989E-2</v>
      </c>
      <c r="D16" s="101">
        <v>5.627712966098989E-2</v>
      </c>
      <c r="E16" s="101">
        <v>5.627712966098989E-2</v>
      </c>
      <c r="F16" s="101">
        <v>5.627712966098989E-2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6.7017783841196291E-2</v>
      </c>
      <c r="D20" s="101">
        <v>6.7017783841196291E-2</v>
      </c>
      <c r="E20" s="101">
        <v>6.7017783841196291E-2</v>
      </c>
      <c r="F20" s="101">
        <v>6.7017783841196291E-2</v>
      </c>
    </row>
    <row r="21" spans="1:8" ht="15.75" customHeight="1" x14ac:dyDescent="0.25">
      <c r="B21" s="19" t="s">
        <v>88</v>
      </c>
      <c r="C21" s="101">
        <v>0.38511254926272848</v>
      </c>
      <c r="D21" s="101">
        <v>0.38511254926272848</v>
      </c>
      <c r="E21" s="101">
        <v>0.38511254926272848</v>
      </c>
      <c r="F21" s="101">
        <v>0.38511254926272848</v>
      </c>
    </row>
    <row r="22" spans="1:8" ht="15.75" customHeight="1" x14ac:dyDescent="0.25">
      <c r="B22" s="19" t="s">
        <v>89</v>
      </c>
      <c r="C22" s="101">
        <v>0.13258606647106591</v>
      </c>
      <c r="D22" s="101">
        <v>0.13258606647106591</v>
      </c>
      <c r="E22" s="101">
        <v>0.13258606647106591</v>
      </c>
      <c r="F22" s="101">
        <v>0.13258606647106591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5.7343604999999999E-2</v>
      </c>
    </row>
    <row r="27" spans="1:8" ht="15.75" customHeight="1" x14ac:dyDescent="0.25">
      <c r="B27" s="19" t="s">
        <v>92</v>
      </c>
      <c r="C27" s="101">
        <v>1.4167997E-2</v>
      </c>
    </row>
    <row r="28" spans="1:8" ht="15.75" customHeight="1" x14ac:dyDescent="0.25">
      <c r="B28" s="19" t="s">
        <v>93</v>
      </c>
      <c r="C28" s="101">
        <v>0.101559973</v>
      </c>
    </row>
    <row r="29" spans="1:8" ht="15.75" customHeight="1" x14ac:dyDescent="0.25">
      <c r="B29" s="19" t="s">
        <v>94</v>
      </c>
      <c r="C29" s="101">
        <v>0.21960849700000001</v>
      </c>
    </row>
    <row r="30" spans="1:8" ht="15.75" customHeight="1" x14ac:dyDescent="0.25">
      <c r="B30" s="19" t="s">
        <v>95</v>
      </c>
      <c r="C30" s="101">
        <v>5.5062585999999997E-2</v>
      </c>
    </row>
    <row r="31" spans="1:8" ht="15.75" customHeight="1" x14ac:dyDescent="0.25">
      <c r="B31" s="19" t="s">
        <v>96</v>
      </c>
      <c r="C31" s="101">
        <v>0.14229177300000001</v>
      </c>
    </row>
    <row r="32" spans="1:8" ht="15.75" customHeight="1" x14ac:dyDescent="0.25">
      <c r="B32" s="19" t="s">
        <v>97</v>
      </c>
      <c r="C32" s="101">
        <v>3.0837276E-2</v>
      </c>
    </row>
    <row r="33" spans="2:3" ht="15.75" customHeight="1" x14ac:dyDescent="0.25">
      <c r="B33" s="19" t="s">
        <v>98</v>
      </c>
      <c r="C33" s="101">
        <v>8.2024560999999996E-2</v>
      </c>
    </row>
    <row r="34" spans="2:3" ht="15.75" customHeight="1" x14ac:dyDescent="0.25">
      <c r="B34" s="19" t="s">
        <v>99</v>
      </c>
      <c r="C34" s="101">
        <v>0.29710373299999998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104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105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109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110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0.47549585524999999</v>
      </c>
      <c r="D14" s="54">
        <v>0.47235857479600002</v>
      </c>
      <c r="E14" s="54">
        <v>0.47235857479600002</v>
      </c>
      <c r="F14" s="54">
        <v>0.37734795349299999</v>
      </c>
      <c r="G14" s="54">
        <v>0.37734795349299999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0.26133632601224199</v>
      </c>
      <c r="D15" s="52">
        <f t="shared" si="0"/>
        <v>0.25961205157647999</v>
      </c>
      <c r="E15" s="52">
        <f t="shared" si="0"/>
        <v>0.25961205157647999</v>
      </c>
      <c r="F15" s="52">
        <f t="shared" si="0"/>
        <v>0.20739345402338072</v>
      </c>
      <c r="G15" s="52">
        <f t="shared" si="0"/>
        <v>0.20739345402338072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122</v>
      </c>
      <c r="C5" s="52">
        <v>0.1882762</v>
      </c>
      <c r="D5" s="52">
        <v>0.28117150000000002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144.3361538195548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16.029464016122279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1.347849812540453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0.10284547803181469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0.21140459373206369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13.49883587438004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13.49883587438004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13.49883587438004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13.49883587438004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13.49883587438004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13.49883587438004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7.8606899999999993E-2</v>
      </c>
      <c r="C16" s="98">
        <v>0.95</v>
      </c>
      <c r="D16" s="56">
        <v>5.5080133892626542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0.32122916666666701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7.7588900000000002E-2</v>
      </c>
      <c r="C18" s="98">
        <v>0.95</v>
      </c>
      <c r="D18" s="56">
        <v>16.029464016122279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7.7588900000000002E-2</v>
      </c>
      <c r="C19" s="98">
        <v>0.95</v>
      </c>
      <c r="D19" s="56">
        <v>16.029464016122279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16.46619599914094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23.01288460391692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3.9129999999999998E-3</v>
      </c>
      <c r="C23" s="98">
        <v>0.95</v>
      </c>
      <c r="D23" s="56">
        <v>4.4354944052820704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0.66624536519805999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7.6264796156856711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30.36727751762248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0.45581739999999998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0.23215369999999999</v>
      </c>
      <c r="C29" s="98">
        <v>0.95</v>
      </c>
      <c r="D29" s="56">
        <v>193.6128732031849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398.07273654067848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1.4358697255793671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0.72116230000000003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0.12046129999999999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5.8989100000000003E-2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0.80314839999999998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5.3874863984233787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7.541139000710408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205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0.23400000000000001</v>
      </c>
      <c r="E2" s="60">
        <f>food_insecure</f>
        <v>0.23400000000000001</v>
      </c>
      <c r="F2" s="60">
        <f>food_insecure</f>
        <v>0.23400000000000001</v>
      </c>
      <c r="G2" s="60">
        <f>food_insecure</f>
        <v>0.23400000000000001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0.23400000000000001</v>
      </c>
      <c r="I15" s="60">
        <f>food_insecure</f>
        <v>0.23400000000000001</v>
      </c>
      <c r="J15" s="60">
        <f>food_insecure</f>
        <v>0.23400000000000001</v>
      </c>
      <c r="K15" s="60">
        <f>food_insecure</f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0.46700000000000003</v>
      </c>
      <c r="M24" s="60">
        <f>famplan_unmet_need</f>
        <v>0.46700000000000003</v>
      </c>
      <c r="N24" s="60">
        <f>famplan_unmet_need</f>
        <v>0.46700000000000003</v>
      </c>
      <c r="O24" s="60">
        <f>famplan_unmet_need</f>
        <v>0.46700000000000003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0.29504431564025896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0.12644756384582528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0.12575802896118171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0.45275009155273405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0.10931371107271459</v>
      </c>
      <c r="G18" s="90">
        <f>MIN(MAX(1-0.89/(1-frac_sam_12_23months+(frac_sam_12_23months*0.89)),0),1)</f>
        <v>0.10819103507575045</v>
      </c>
      <c r="H18" s="90">
        <f>MIN(MAX(1-0.89/(1-frac_sam_24_59months+(frac_sam_24_59months*0.89)),0),1)</f>
        <v>0.10934904726622252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0.10235156587109062</v>
      </c>
      <c r="G20" s="90">
        <f>MIN(MAX(1-0.89/(1-frac_mam_12_23months+(frac_mam_12_23months*0.89)),0),1)</f>
        <v>0.1052274811290691</v>
      </c>
      <c r="H20" s="90">
        <f>MIN(MAX(1-0.89/(1-frac_mam_24_59months+(frac_mam_24_59months*0.89)),0),1)</f>
        <v>0.10624060847171513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9.9306486121433224E-3</v>
      </c>
      <c r="G73" s="90">
        <f>MIN(MAX(1-0.99/(1-frac_sam_12_23months+(frac_sam_12_23months*0.99)),0),1)</f>
        <v>9.8174083497344355E-3</v>
      </c>
      <c r="H73" s="90">
        <f>MIN(MAX(1-0.99/(1-frac_sam_24_59months+(frac_sam_24_59months*0.99)),0),1)</f>
        <v>9.9342170591840695E-3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9.2325584751669076E-3</v>
      </c>
      <c r="G75" s="90">
        <f>MIN(MAX(1-0.99/(1-frac_mam_12_23months+(frac_mam_12_23months*0.99)),0),1)</f>
        <v>9.5197270109106391E-3</v>
      </c>
      <c r="H75" s="90">
        <f>MIN(MAX(1-0.99/(1-frac_mam_24_59months+(frac_mam_24_59months*0.99)),0),1)</f>
        <v>9.6212910662482054E-3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0.19887767569098247</v>
      </c>
      <c r="G128" s="90">
        <f>MIN(MAX(1-0.8/(1-frac_sam_12_23months+(frac_sam_12_23months*0.8)),0),1)</f>
        <v>0.19703864640950408</v>
      </c>
      <c r="H128" s="90">
        <f>MIN(MAX(1-0.8/(1-frac_sam_24_59months+(frac_sam_24_59months*0.8)),0),1)</f>
        <v>0.19893549742510819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0.18741149260584067</v>
      </c>
      <c r="G130" s="90">
        <f>MIN(MAX(1-0.8/(1-frac_mam_12_23months+(frac_mam_12_23months*0.8)),0),1)</f>
        <v>0.19216580166810082</v>
      </c>
      <c r="H130" s="90">
        <f>MIN(MAX(1-0.8/(1-frac_mam_24_59months+(frac_mam_24_59months*0.8)),0),1)</f>
        <v>0.19383464081262103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2024-08-06T06:32:23Z</dcterms:modified>
</cp:coreProperties>
</file>