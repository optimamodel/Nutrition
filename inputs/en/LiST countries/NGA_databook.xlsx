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C96B7B72-0E44-49DE-B787-9874EF15A897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7" i="2"/>
  <c r="A36" i="2"/>
  <c r="A25" i="2"/>
  <c r="A24" i="2"/>
  <c r="A23" i="2"/>
  <c r="A22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6" i="2" l="1"/>
  <c r="I39" i="2"/>
  <c r="A31" i="2"/>
  <c r="A34" i="2"/>
  <c r="A40" i="2"/>
  <c r="I11" i="2"/>
  <c r="I2" i="2"/>
  <c r="I6" i="2"/>
  <c r="A19" i="2"/>
  <c r="A3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<sst xmlns="http://schemas.openxmlformats.org/spreadsheetml/2006/main" count="2169" uniqueCount="373">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</sst>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33829090</v>
      </c>
    </row>
    <row r="8" spans="1:3" ht="15" customHeight="1" x14ac:dyDescent="0.25">
      <c r="B8" s="5" t="s">
        <v>8</v>
      </c>
      <c r="C8" s="44">
        <v>0.34699999999999998</v>
      </c>
    </row>
    <row r="9" spans="1:3" ht="15" customHeight="1" x14ac:dyDescent="0.25">
      <c r="B9" s="5" t="s">
        <v>9</v>
      </c>
      <c r="C9" s="45">
        <v>0.99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0.73699999999999999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9.9700000000000011E-2</v>
      </c>
    </row>
    <row r="24" spans="1:3" ht="15" customHeight="1" x14ac:dyDescent="0.25">
      <c r="B24" s="15" t="s">
        <v>22</v>
      </c>
      <c r="C24" s="45">
        <v>0.43430000000000002</v>
      </c>
    </row>
    <row r="25" spans="1:3" ht="15" customHeight="1" x14ac:dyDescent="0.25">
      <c r="B25" s="15" t="s">
        <v>23</v>
      </c>
      <c r="C25" s="45">
        <v>0.35899999999999999</v>
      </c>
    </row>
    <row r="26" spans="1:3" ht="15" customHeight="1" x14ac:dyDescent="0.25">
      <c r="B26" s="15" t="s">
        <v>24</v>
      </c>
      <c r="C26" s="45">
        <v>0.107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0.19573648727283799</v>
      </c>
    </row>
    <row r="30" spans="1:3" ht="14.25" customHeight="1" x14ac:dyDescent="0.25">
      <c r="B30" s="25" t="s">
        <v>27</v>
      </c>
      <c r="C30" s="97">
        <v>6.6216535073416599E-2</v>
      </c>
    </row>
    <row r="31" spans="1:3" ht="14.25" customHeight="1" x14ac:dyDescent="0.25">
      <c r="B31" s="25" t="s">
        <v>28</v>
      </c>
      <c r="C31" s="97">
        <v>0.13435462918095001</v>
      </c>
    </row>
    <row r="32" spans="1:3" ht="14.25" customHeight="1" x14ac:dyDescent="0.25">
      <c r="B32" s="25" t="s">
        <v>29</v>
      </c>
      <c r="C32" s="97">
        <v>0.60369234847279496</v>
      </c>
    </row>
    <row r="33" spans="1:5" ht="13.25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34.921909999999997</v>
      </c>
    </row>
    <row r="38" spans="1:5" ht="15" customHeight="1" x14ac:dyDescent="0.25">
      <c r="B38" s="11" t="s">
        <v>34</v>
      </c>
      <c r="C38" s="43">
        <v>70.588530000000006</v>
      </c>
      <c r="D38" s="12"/>
      <c r="E38" s="13"/>
    </row>
    <row r="39" spans="1:5" ht="15" customHeight="1" x14ac:dyDescent="0.25">
      <c r="B39" s="11" t="s">
        <v>35</v>
      </c>
      <c r="C39" s="43">
        <v>110.81927</v>
      </c>
      <c r="D39" s="12"/>
      <c r="E39" s="12"/>
    </row>
    <row r="40" spans="1:5" ht="15" customHeight="1" x14ac:dyDescent="0.25">
      <c r="B40" s="11" t="s">
        <v>36</v>
      </c>
      <c r="C40" s="98">
        <v>10.47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22.49146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8.4424999999999986E-3</v>
      </c>
      <c r="D45" s="12"/>
    </row>
    <row r="46" spans="1:5" ht="15.75" customHeight="1" x14ac:dyDescent="0.25">
      <c r="B46" s="11" t="s">
        <v>41</v>
      </c>
      <c r="C46" s="45">
        <v>9.0714000000000003E-2</v>
      </c>
      <c r="D46" s="12"/>
    </row>
    <row r="47" spans="1:5" ht="15.75" customHeight="1" x14ac:dyDescent="0.25">
      <c r="B47" s="11" t="s">
        <v>42</v>
      </c>
      <c r="C47" s="45">
        <v>7.29717E-2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2.496</v>
      </c>
      <c r="D51" s="12"/>
    </row>
    <row r="52" spans="1:4" ht="15" customHeight="1" x14ac:dyDescent="0.25">
      <c r="B52" s="11" t="s">
        <v>46</v>
      </c>
      <c r="C52" s="98">
        <v>2.496</v>
      </c>
    </row>
    <row r="53" spans="1:4" ht="15.75" customHeight="1" x14ac:dyDescent="0.25">
      <c r="B53" s="11" t="s">
        <v>47</v>
      </c>
      <c r="C53" s="98">
        <v>5.226</v>
      </c>
    </row>
    <row r="54" spans="1:4" ht="15.75" customHeight="1" x14ac:dyDescent="0.25">
      <c r="B54" s="11" t="s">
        <v>48</v>
      </c>
      <c r="C54" s="98">
        <v>5.2519999999999998</v>
      </c>
    </row>
    <row r="55" spans="1:4" ht="15.75" customHeight="1" x14ac:dyDescent="0.25">
      <c r="B55" s="11" t="s">
        <v>49</v>
      </c>
      <c r="C55" s="98">
        <v>2.5219999999999998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0.419354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7560407</v>
      </c>
      <c r="C2" s="49">
        <v>12786667.5</v>
      </c>
      <c r="D2" s="49">
        <v>19447106</v>
      </c>
      <c r="E2" s="49">
        <v>13560861.5</v>
      </c>
      <c r="F2" s="49">
        <v>10024914.499999998</v>
      </c>
      <c r="G2" s="17">
        <f t="shared" ref="G2:G13" si="0">C2+D2+E2+F2</f>
        <v>55819549.5</v>
      </c>
      <c r="H2" s="17">
        <f t="shared" ref="H2:H13" si="1">(B2 + stillbirth*B2/(1000-stillbirth))/(1-abortion)</f>
        <v>8789050.1610442102</v>
      </c>
      <c r="I2" s="17">
        <f t="shared" ref="I2:I13" si="2">G2-H2</f>
        <v>47030499.33895579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7640590</v>
      </c>
      <c r="C3" s="50">
        <v>13173224.5</v>
      </c>
      <c r="D3" s="50">
        <v>20156327.5</v>
      </c>
      <c r="E3" s="50">
        <v>13805212</v>
      </c>
      <c r="F3" s="50">
        <v>10258789</v>
      </c>
      <c r="G3" s="17">
        <f t="shared" si="0"/>
        <v>57393553</v>
      </c>
      <c r="H3" s="17">
        <f t="shared" si="1"/>
        <v>8882263.7154286522</v>
      </c>
      <c r="I3" s="17">
        <f t="shared" si="2"/>
        <v>48511289.28457135</v>
      </c>
    </row>
    <row r="4" spans="1:9" ht="15.75" customHeight="1" x14ac:dyDescent="0.25">
      <c r="A4" s="5">
        <f t="shared" si="3"/>
        <v>2026</v>
      </c>
      <c r="B4" s="49">
        <v>7711752</v>
      </c>
      <c r="C4" s="50">
        <v>13536584</v>
      </c>
      <c r="D4" s="50">
        <v>20915518</v>
      </c>
      <c r="E4" s="50">
        <v>14076758.5</v>
      </c>
      <c r="F4" s="50">
        <v>10471924</v>
      </c>
      <c r="G4" s="17">
        <f t="shared" si="0"/>
        <v>59000784.5</v>
      </c>
      <c r="H4" s="17">
        <f t="shared" si="1"/>
        <v>8964990.2654093895</v>
      </c>
      <c r="I4" s="17">
        <f t="shared" si="2"/>
        <v>50035794.234590612</v>
      </c>
    </row>
    <row r="5" spans="1:9" ht="15.75" customHeight="1" x14ac:dyDescent="0.25">
      <c r="A5" s="5">
        <f t="shared" si="3"/>
        <v>2027</v>
      </c>
      <c r="B5" s="49">
        <v>7764061</v>
      </c>
      <c r="C5" s="50">
        <v>13874760</v>
      </c>
      <c r="D5" s="50">
        <v>21719749.499999996</v>
      </c>
      <c r="E5" s="50">
        <v>14368672</v>
      </c>
      <c r="F5" s="50">
        <v>10666364</v>
      </c>
      <c r="G5" s="17">
        <f t="shared" si="0"/>
        <v>60629545.5</v>
      </c>
      <c r="H5" s="17">
        <f t="shared" si="1"/>
        <v>9025800.0108204596</v>
      </c>
      <c r="I5" s="17">
        <f t="shared" si="2"/>
        <v>51603745.489179537</v>
      </c>
    </row>
    <row r="6" spans="1:9" ht="15.75" customHeight="1" x14ac:dyDescent="0.25">
      <c r="A6" s="5">
        <f t="shared" si="3"/>
        <v>2028</v>
      </c>
      <c r="B6" s="49">
        <v>7824729</v>
      </c>
      <c r="C6" s="50">
        <v>14177107.5</v>
      </c>
      <c r="D6" s="50">
        <v>22563907.5</v>
      </c>
      <c r="E6" s="50">
        <v>14677411</v>
      </c>
      <c r="F6" s="50">
        <v>10846338.5</v>
      </c>
      <c r="G6" s="17">
        <f t="shared" si="0"/>
        <v>62264764.5</v>
      </c>
      <c r="H6" s="17">
        <f t="shared" si="1"/>
        <v>9096327.1788909379</v>
      </c>
      <c r="I6" s="17">
        <f t="shared" si="2"/>
        <v>53168437.321109064</v>
      </c>
    </row>
    <row r="7" spans="1:9" ht="15.75" customHeight="1" x14ac:dyDescent="0.25">
      <c r="A7" s="5">
        <f t="shared" si="3"/>
        <v>2029</v>
      </c>
      <c r="B7" s="49">
        <v>7899761</v>
      </c>
      <c r="C7" s="50">
        <v>14449540.5</v>
      </c>
      <c r="D7" s="50">
        <v>23424257.5</v>
      </c>
      <c r="E7" s="50">
        <v>15013034</v>
      </c>
      <c r="F7" s="50">
        <v>11025058.5</v>
      </c>
      <c r="G7" s="17">
        <f t="shared" si="0"/>
        <v>63911890.5</v>
      </c>
      <c r="H7" s="17">
        <f t="shared" si="1"/>
        <v>9183552.6432982739</v>
      </c>
      <c r="I7" s="17">
        <f t="shared" si="2"/>
        <v>54728337.856701724</v>
      </c>
    </row>
    <row r="8" spans="1:9" ht="15.75" customHeight="1" x14ac:dyDescent="0.25">
      <c r="A8" s="5">
        <f t="shared" si="3"/>
        <v>2030</v>
      </c>
      <c r="B8" s="49">
        <v>7944601</v>
      </c>
      <c r="C8" s="50">
        <v>14685770</v>
      </c>
      <c r="D8" s="50">
        <v>24267506.999999996</v>
      </c>
      <c r="E8" s="50">
        <v>15401889.500000002</v>
      </c>
      <c r="F8" s="50">
        <v>11207670.999999998</v>
      </c>
      <c r="G8" s="17">
        <f t="shared" si="0"/>
        <v>65562837.5</v>
      </c>
      <c r="H8" s="17">
        <f t="shared" si="1"/>
        <v>9235679.6001170296</v>
      </c>
      <c r="I8" s="17">
        <f t="shared" si="2"/>
        <v>56327157.899882972</v>
      </c>
    </row>
    <row r="9" spans="1:9" ht="15.75" customHeight="1" x14ac:dyDescent="0.25">
      <c r="A9" s="5">
        <f t="shared" si="3"/>
        <v>2031</v>
      </c>
      <c r="B9" s="49">
        <v>8000667</v>
      </c>
      <c r="C9" s="50">
        <v>14859321</v>
      </c>
      <c r="D9" s="50">
        <v>25086841.500000004</v>
      </c>
      <c r="E9" s="50">
        <v>15853957.999999998</v>
      </c>
      <c r="F9" s="50">
        <v>11391457.999999998</v>
      </c>
      <c r="G9" s="17">
        <f t="shared" si="0"/>
        <v>67191578.5</v>
      </c>
      <c r="H9" s="17">
        <f t="shared" si="1"/>
        <v>9300856.8963034805</v>
      </c>
      <c r="I9" s="17">
        <f t="shared" si="2"/>
        <v>57890721.603696518</v>
      </c>
    </row>
    <row r="10" spans="1:9" ht="15.75" customHeight="1" x14ac:dyDescent="0.25">
      <c r="A10" s="5">
        <f t="shared" si="3"/>
        <v>2032</v>
      </c>
      <c r="B10" s="49">
        <v>8059354</v>
      </c>
      <c r="C10" s="50">
        <v>14972949.5</v>
      </c>
      <c r="D10" s="50">
        <v>25874383.5</v>
      </c>
      <c r="E10" s="50">
        <v>16363680</v>
      </c>
      <c r="F10" s="50">
        <v>11578630.5</v>
      </c>
      <c r="G10" s="17">
        <f t="shared" si="0"/>
        <v>68789643.5</v>
      </c>
      <c r="H10" s="17">
        <f t="shared" si="1"/>
        <v>9369081.1316920239</v>
      </c>
      <c r="I10" s="17">
        <f t="shared" si="2"/>
        <v>59420562.368307978</v>
      </c>
    </row>
    <row r="11" spans="1:9" ht="15.75" customHeight="1" x14ac:dyDescent="0.25">
      <c r="A11" s="5">
        <f t="shared" si="3"/>
        <v>2033</v>
      </c>
      <c r="B11" s="49">
        <v>8088355</v>
      </c>
      <c r="C11" s="50">
        <v>15041661.5</v>
      </c>
      <c r="D11" s="50">
        <v>26614744</v>
      </c>
      <c r="E11" s="50">
        <v>16931519</v>
      </c>
      <c r="F11" s="50">
        <v>11769827</v>
      </c>
      <c r="G11" s="17">
        <f t="shared" si="0"/>
        <v>70357751.5</v>
      </c>
      <c r="H11" s="17">
        <f t="shared" si="1"/>
        <v>9402795.0896469913</v>
      </c>
      <c r="I11" s="17">
        <f t="shared" si="2"/>
        <v>60954956.410353005</v>
      </c>
    </row>
    <row r="12" spans="1:9" ht="15.75" customHeight="1" x14ac:dyDescent="0.25">
      <c r="A12" s="5">
        <f t="shared" si="3"/>
        <v>2034</v>
      </c>
      <c r="B12" s="49">
        <v>8128869</v>
      </c>
      <c r="C12" s="50">
        <v>15062273.5</v>
      </c>
      <c r="D12" s="50">
        <v>27308305.5</v>
      </c>
      <c r="E12" s="50">
        <v>17555166.5</v>
      </c>
      <c r="F12" s="50">
        <v>11973506.5</v>
      </c>
      <c r="G12" s="17">
        <f t="shared" si="0"/>
        <v>71899252</v>
      </c>
      <c r="H12" s="17">
        <f t="shared" si="1"/>
        <v>9449893.0273935366</v>
      </c>
      <c r="I12" s="17">
        <f t="shared" si="2"/>
        <v>62449358.972606465</v>
      </c>
    </row>
    <row r="13" spans="1:9" ht="15.75" customHeight="1" x14ac:dyDescent="0.25">
      <c r="A13" s="5">
        <f t="shared" si="3"/>
        <v>2035</v>
      </c>
      <c r="B13" s="49">
        <v>8162901</v>
      </c>
      <c r="C13" s="50">
        <v>15045921</v>
      </c>
      <c r="D13" s="50">
        <v>27941372.499999996</v>
      </c>
      <c r="E13" s="50">
        <v>18228059.999999996</v>
      </c>
      <c r="F13" s="50">
        <v>12201910</v>
      </c>
      <c r="G13" s="17">
        <f t="shared" si="0"/>
        <v>73417263.5</v>
      </c>
      <c r="H13" s="17">
        <f t="shared" si="1"/>
        <v>9489455.5741030797</v>
      </c>
      <c r="I13" s="17">
        <f t="shared" si="2"/>
        <v>63927807.92589692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2.3730299999999999E-2</v>
      </c>
    </row>
    <row r="4" spans="1:8" ht="15.75" customHeight="1" x14ac:dyDescent="0.25">
      <c r="B4" s="19" t="s">
        <v>69</v>
      </c>
      <c r="C4" s="99">
        <v>0.15361009999999989</v>
      </c>
    </row>
    <row r="5" spans="1:8" ht="15.75" customHeight="1" x14ac:dyDescent="0.25">
      <c r="B5" s="19" t="s">
        <v>70</v>
      </c>
      <c r="C5" s="99">
        <v>0.18025830000000001</v>
      </c>
    </row>
    <row r="6" spans="1:8" ht="15.75" customHeight="1" x14ac:dyDescent="0.25">
      <c r="B6" s="19" t="s">
        <v>71</v>
      </c>
      <c r="C6" s="99">
        <v>0.28443859999999987</v>
      </c>
    </row>
    <row r="7" spans="1:8" ht="15.75" customHeight="1" x14ac:dyDescent="0.25">
      <c r="B7" s="19" t="s">
        <v>72</v>
      </c>
      <c r="C7" s="99">
        <v>0.18089420000000009</v>
      </c>
    </row>
    <row r="8" spans="1:8" ht="15.75" customHeight="1" x14ac:dyDescent="0.25">
      <c r="B8" s="19" t="s">
        <v>73</v>
      </c>
      <c r="C8" s="99">
        <v>7.6880999999999998E-3</v>
      </c>
    </row>
    <row r="9" spans="1:8" ht="15.75" customHeight="1" x14ac:dyDescent="0.25">
      <c r="B9" s="19" t="s">
        <v>74</v>
      </c>
      <c r="C9" s="99">
        <v>4.4153200000000038E-2</v>
      </c>
    </row>
    <row r="10" spans="1:8" ht="15.75" customHeight="1" x14ac:dyDescent="0.25">
      <c r="B10" s="19" t="s">
        <v>75</v>
      </c>
      <c r="C10" s="99">
        <v>0.12522720000000001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0.2604796154195424</v>
      </c>
      <c r="D14" s="55">
        <v>0.2604796154195424</v>
      </c>
      <c r="E14" s="55">
        <v>0.2604796154195424</v>
      </c>
      <c r="F14" s="55">
        <v>0.2604796154195424</v>
      </c>
    </row>
    <row r="15" spans="1:8" ht="15.75" customHeight="1" x14ac:dyDescent="0.25">
      <c r="B15" s="19" t="s">
        <v>82</v>
      </c>
      <c r="C15" s="99">
        <v>0.19525974369423979</v>
      </c>
      <c r="D15" s="99">
        <v>0.19525974369423979</v>
      </c>
      <c r="E15" s="99">
        <v>0.19525974369423979</v>
      </c>
      <c r="F15" s="99">
        <v>0.19525974369423979</v>
      </c>
    </row>
    <row r="16" spans="1:8" ht="15.75" customHeight="1" x14ac:dyDescent="0.25">
      <c r="B16" s="19" t="s">
        <v>83</v>
      </c>
      <c r="C16" s="99">
        <v>2.722073044841733E-2</v>
      </c>
      <c r="D16" s="99">
        <v>2.722073044841733E-2</v>
      </c>
      <c r="E16" s="99">
        <v>2.722073044841733E-2</v>
      </c>
      <c r="F16" s="99">
        <v>2.722073044841733E-2</v>
      </c>
    </row>
    <row r="17" spans="1:8" ht="15.75" customHeight="1" x14ac:dyDescent="0.25">
      <c r="B17" s="19" t="s">
        <v>84</v>
      </c>
      <c r="C17" s="99">
        <v>4.6405501980126163E-2</v>
      </c>
      <c r="D17" s="99">
        <v>4.6405501980126163E-2</v>
      </c>
      <c r="E17" s="99">
        <v>4.6405501980126163E-2</v>
      </c>
      <c r="F17" s="99">
        <v>4.6405501980126163E-2</v>
      </c>
    </row>
    <row r="18" spans="1:8" ht="15.75" customHeight="1" x14ac:dyDescent="0.25">
      <c r="B18" s="19" t="s">
        <v>85</v>
      </c>
      <c r="C18" s="99">
        <v>0.30288838111377808</v>
      </c>
      <c r="D18" s="99">
        <v>0.30288838111377808</v>
      </c>
      <c r="E18" s="99">
        <v>0.30288838111377808</v>
      </c>
      <c r="F18" s="99">
        <v>0.30288838111377808</v>
      </c>
    </row>
    <row r="19" spans="1:8" ht="15.75" customHeight="1" x14ac:dyDescent="0.25">
      <c r="B19" s="19" t="s">
        <v>86</v>
      </c>
      <c r="C19" s="99">
        <v>1.283837375823718E-2</v>
      </c>
      <c r="D19" s="99">
        <v>1.283837375823718E-2</v>
      </c>
      <c r="E19" s="99">
        <v>1.283837375823718E-2</v>
      </c>
      <c r="F19" s="99">
        <v>1.283837375823718E-2</v>
      </c>
    </row>
    <row r="20" spans="1:8" ht="15.75" customHeight="1" x14ac:dyDescent="0.25">
      <c r="B20" s="19" t="s">
        <v>87</v>
      </c>
      <c r="C20" s="99">
        <v>2.0584470768969271E-2</v>
      </c>
      <c r="D20" s="99">
        <v>2.0584470768969271E-2</v>
      </c>
      <c r="E20" s="99">
        <v>2.0584470768969271E-2</v>
      </c>
      <c r="F20" s="99">
        <v>2.0584470768969271E-2</v>
      </c>
    </row>
    <row r="21" spans="1:8" ht="15.75" customHeight="1" x14ac:dyDescent="0.25">
      <c r="B21" s="19" t="s">
        <v>88</v>
      </c>
      <c r="C21" s="99">
        <v>4.3581722040455448E-2</v>
      </c>
      <c r="D21" s="99">
        <v>4.3581722040455448E-2</v>
      </c>
      <c r="E21" s="99">
        <v>4.3581722040455448E-2</v>
      </c>
      <c r="F21" s="99">
        <v>4.3581722040455448E-2</v>
      </c>
    </row>
    <row r="22" spans="1:8" ht="15.75" customHeight="1" x14ac:dyDescent="0.25">
      <c r="B22" s="19" t="s">
        <v>89</v>
      </c>
      <c r="C22" s="99">
        <v>9.0741460776234198E-2</v>
      </c>
      <c r="D22" s="99">
        <v>9.0741460776234198E-2</v>
      </c>
      <c r="E22" s="99">
        <v>9.0741460776234198E-2</v>
      </c>
      <c r="F22" s="99">
        <v>9.0741460776234198E-2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8.6847340999999995E-2</v>
      </c>
    </row>
    <row r="27" spans="1:8" ht="15.75" customHeight="1" x14ac:dyDescent="0.25">
      <c r="B27" s="19" t="s">
        <v>92</v>
      </c>
      <c r="C27" s="99">
        <v>8.4805239999999997E-3</v>
      </c>
    </row>
    <row r="28" spans="1:8" ht="15.75" customHeight="1" x14ac:dyDescent="0.25">
      <c r="B28" s="19" t="s">
        <v>93</v>
      </c>
      <c r="C28" s="99">
        <v>0.15529126400000001</v>
      </c>
    </row>
    <row r="29" spans="1:8" ht="15.75" customHeight="1" x14ac:dyDescent="0.25">
      <c r="B29" s="19" t="s">
        <v>94</v>
      </c>
      <c r="C29" s="99">
        <v>0.168382743</v>
      </c>
    </row>
    <row r="30" spans="1:8" ht="15.75" customHeight="1" x14ac:dyDescent="0.25">
      <c r="B30" s="19" t="s">
        <v>95</v>
      </c>
      <c r="C30" s="99">
        <v>0.105182391</v>
      </c>
    </row>
    <row r="31" spans="1:8" ht="15.75" customHeight="1" x14ac:dyDescent="0.25">
      <c r="B31" s="19" t="s">
        <v>96</v>
      </c>
      <c r="C31" s="99">
        <v>0.10869061100000001</v>
      </c>
    </row>
    <row r="32" spans="1:8" ht="15.75" customHeight="1" x14ac:dyDescent="0.25">
      <c r="B32" s="19" t="s">
        <v>97</v>
      </c>
      <c r="C32" s="99">
        <v>1.8206013E-2</v>
      </c>
    </row>
    <row r="33" spans="2:3" ht="15.75" customHeight="1" x14ac:dyDescent="0.25">
      <c r="B33" s="19" t="s">
        <v>98</v>
      </c>
      <c r="C33" s="99">
        <v>8.4055170999999984E-2</v>
      </c>
    </row>
    <row r="34" spans="2:3" ht="15.75" customHeight="1" x14ac:dyDescent="0.25">
      <c r="B34" s="19" t="s">
        <v>99</v>
      </c>
      <c r="C34" s="99">
        <v>0.26486394200000002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0.45761689286760021</v>
      </c>
      <c r="D2" s="52">
        <f>IFERROR(1-_xlfn.NORM.DIST(_xlfn.NORM.INV(SUM(D4:D5), 0, 1) + 1, 0, 1, TRUE), "")</f>
        <v>0.45761689286760021</v>
      </c>
      <c r="E2" s="52">
        <f>IFERROR(1-_xlfn.NORM.DIST(_xlfn.NORM.INV(SUM(E4:E5), 0, 1) + 1, 0, 1, TRUE), "")</f>
        <v>0.39142740442980484</v>
      </c>
      <c r="F2" s="52">
        <f>IFERROR(1-_xlfn.NORM.DIST(_xlfn.NORM.INV(SUM(F4:F5), 0, 1) + 1, 0, 1, TRUE), "")</f>
        <v>0.2378010811852066</v>
      </c>
      <c r="G2" s="52">
        <f>IFERROR(1-_xlfn.NORM.DIST(_xlfn.NORM.INV(SUM(G4:G5), 0, 1) + 1, 0, 1, TRUE), "")</f>
        <v>0.216654585652856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0.35660460713239978</v>
      </c>
      <c r="D3" s="52">
        <f>IFERROR(_xlfn.NORM.DIST(_xlfn.NORM.INV(SUM(D4:D5), 0, 1) + 1, 0, 1, TRUE) - SUM(D4:D5), "")</f>
        <v>0.35660460713239978</v>
      </c>
      <c r="E3" s="52">
        <f>IFERROR(_xlfn.NORM.DIST(_xlfn.NORM.INV(SUM(E4:E5), 0, 1) + 1, 0, 1, TRUE) - SUM(E4:E5), "")</f>
        <v>0.37416229557019515</v>
      </c>
      <c r="F3" s="52">
        <f>IFERROR(_xlfn.NORM.DIST(_xlfn.NORM.INV(SUM(F4:F5), 0, 1) + 1, 0, 1, TRUE) - SUM(F4:F5), "")</f>
        <v>0.37499201881479338</v>
      </c>
      <c r="G3" s="52">
        <f>IFERROR(_xlfn.NORM.DIST(_xlfn.NORM.INV(SUM(G4:G5), 0, 1) + 1, 0, 1, TRUE) - SUM(G4:G5), "")</f>
        <v>0.369030214347144</v>
      </c>
    </row>
    <row r="4" spans="1:15" ht="15.75" customHeight="1" x14ac:dyDescent="0.25">
      <c r="B4" s="5" t="s">
        <v>104</v>
      </c>
      <c r="C4" s="45">
        <v>0.1224695</v>
      </c>
      <c r="D4" s="53">
        <v>0.1224695</v>
      </c>
      <c r="E4" s="53">
        <v>0.1556854</v>
      </c>
      <c r="F4" s="53">
        <v>0.2263136</v>
      </c>
      <c r="G4" s="53">
        <v>0.2057001</v>
      </c>
    </row>
    <row r="5" spans="1:15" ht="15.75" customHeight="1" x14ac:dyDescent="0.25">
      <c r="B5" s="5" t="s">
        <v>105</v>
      </c>
      <c r="C5" s="45">
        <v>6.3309000000000004E-2</v>
      </c>
      <c r="D5" s="53">
        <v>6.3309000000000004E-2</v>
      </c>
      <c r="E5" s="53">
        <v>7.87249E-2</v>
      </c>
      <c r="F5" s="53">
        <v>0.16089329999999999</v>
      </c>
      <c r="G5" s="53">
        <v>0.2086151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0.68241534048444352</v>
      </c>
      <c r="D8" s="52">
        <f>IFERROR(1-_xlfn.NORM.DIST(_xlfn.NORM.INV(SUM(D10:D11), 0, 1) + 1, 0, 1, TRUE), "")</f>
        <v>0.68241534048444352</v>
      </c>
      <c r="E8" s="52">
        <f>IFERROR(1-_xlfn.NORM.DIST(_xlfn.NORM.INV(SUM(E10:E11), 0, 1) + 1, 0, 1, TRUE), "")</f>
        <v>0.53988553147520657</v>
      </c>
      <c r="F8" s="52">
        <f>IFERROR(1-_xlfn.NORM.DIST(_xlfn.NORM.INV(SUM(F10:F11), 0, 1) + 1, 0, 1, TRUE), "")</f>
        <v>0.58750645353380182</v>
      </c>
      <c r="G8" s="52">
        <f>IFERROR(1-_xlfn.NORM.DIST(_xlfn.NORM.INV(SUM(G10:G11), 0, 1) + 1, 0, 1, TRUE), "")</f>
        <v>0.77117497347137087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0.24740625951555642</v>
      </c>
      <c r="D9" s="52">
        <f>IFERROR(_xlfn.NORM.DIST(_xlfn.NORM.INV(SUM(D10:D11), 0, 1) + 1, 0, 1, TRUE) - SUM(D10:D11), "")</f>
        <v>0.24740625951555642</v>
      </c>
      <c r="E9" s="52">
        <f>IFERROR(_xlfn.NORM.DIST(_xlfn.NORM.INV(SUM(E10:E11), 0, 1) + 1, 0, 1, TRUE) - SUM(E10:E11), "")</f>
        <v>0.32448006852479344</v>
      </c>
      <c r="F9" s="52">
        <f>IFERROR(_xlfn.NORM.DIST(_xlfn.NORM.INV(SUM(F10:F11), 0, 1) + 1, 0, 1, TRUE) - SUM(F10:F11), "")</f>
        <v>0.30147614646619819</v>
      </c>
      <c r="G9" s="52">
        <f>IFERROR(_xlfn.NORM.DIST(_xlfn.NORM.INV(SUM(G10:G11), 0, 1) + 1, 0, 1, TRUE) - SUM(G10:G11), "")</f>
        <v>0.18813392652862915</v>
      </c>
    </row>
    <row r="10" spans="1:15" ht="15.75" customHeight="1" x14ac:dyDescent="0.25">
      <c r="B10" s="5" t="s">
        <v>109</v>
      </c>
      <c r="C10" s="45">
        <v>4.6762400000000003E-2</v>
      </c>
      <c r="D10" s="53">
        <v>4.6762400000000003E-2</v>
      </c>
      <c r="E10" s="53">
        <v>0.1024866</v>
      </c>
      <c r="F10" s="53">
        <v>7.8577899999999992E-2</v>
      </c>
      <c r="G10" s="53">
        <v>3.1818300000000001E-2</v>
      </c>
    </row>
    <row r="11" spans="1:15" ht="15.75" customHeight="1" x14ac:dyDescent="0.25">
      <c r="B11" s="5" t="s">
        <v>110</v>
      </c>
      <c r="C11" s="45">
        <v>2.3415999999999999E-2</v>
      </c>
      <c r="D11" s="53">
        <v>2.3415999999999999E-2</v>
      </c>
      <c r="E11" s="53">
        <v>3.3147799999999998E-2</v>
      </c>
      <c r="F11" s="53">
        <v>3.2439500000000003E-2</v>
      </c>
      <c r="G11" s="53">
        <v>8.8728000000000001E-3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0.83953369649999998</v>
      </c>
      <c r="D14" s="54">
        <v>0.82410223475900002</v>
      </c>
      <c r="E14" s="54">
        <v>0.82410223475900002</v>
      </c>
      <c r="F14" s="54">
        <v>0.68824316440900002</v>
      </c>
      <c r="G14" s="54">
        <v>0.68824316440900002</v>
      </c>
      <c r="H14" s="45">
        <v>0.57799999999999996</v>
      </c>
      <c r="I14" s="55">
        <v>0.57799999999999996</v>
      </c>
      <c r="J14" s="55">
        <v>0.57799999999999996</v>
      </c>
      <c r="K14" s="55">
        <v>0.57799999999999996</v>
      </c>
      <c r="L14" s="45">
        <v>0.48799999999999999</v>
      </c>
      <c r="M14" s="55">
        <v>0.48799999999999999</v>
      </c>
      <c r="N14" s="55">
        <v>0.48799999999999999</v>
      </c>
      <c r="O14" s="55">
        <v>0.48799999999999999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0.35206181376206097</v>
      </c>
      <c r="D15" s="52">
        <f t="shared" si="0"/>
        <v>0.34559056855512571</v>
      </c>
      <c r="E15" s="52">
        <f t="shared" si="0"/>
        <v>0.34559056855512571</v>
      </c>
      <c r="F15" s="52">
        <f t="shared" si="0"/>
        <v>0.28861752396757179</v>
      </c>
      <c r="G15" s="52">
        <f t="shared" si="0"/>
        <v>0.28861752396757179</v>
      </c>
      <c r="H15" s="52">
        <f t="shared" si="0"/>
        <v>0.24238661199999997</v>
      </c>
      <c r="I15" s="52">
        <f t="shared" si="0"/>
        <v>0.24238661199999997</v>
      </c>
      <c r="J15" s="52">
        <f t="shared" si="0"/>
        <v>0.24238661199999997</v>
      </c>
      <c r="K15" s="52">
        <f t="shared" si="0"/>
        <v>0.24238661199999997</v>
      </c>
      <c r="L15" s="52">
        <f t="shared" si="0"/>
        <v>0.20464475199999999</v>
      </c>
      <c r="M15" s="52">
        <f t="shared" si="0"/>
        <v>0.20464475199999999</v>
      </c>
      <c r="N15" s="52">
        <f t="shared" si="0"/>
        <v>0.20464475199999999</v>
      </c>
      <c r="O15" s="52">
        <f t="shared" si="0"/>
        <v>0.20464475199999999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0.45345079999999999</v>
      </c>
      <c r="D2" s="53">
        <v>0.34070879999999998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0.35429680000000002</v>
      </c>
      <c r="D3" s="53">
        <v>0.35324159999999999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0.1616264</v>
      </c>
      <c r="D4" s="53">
        <v>0.28525210000000001</v>
      </c>
      <c r="E4" s="53">
        <v>0.96806420000000004</v>
      </c>
      <c r="F4" s="53">
        <v>0.5590465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3.0626000000000042E-2</v>
      </c>
      <c r="D5" s="52">
        <f t="shared" si="0"/>
        <v>2.0797500000000024E-2</v>
      </c>
      <c r="E5" s="52">
        <f>1-SUM(E2:E4)</f>
        <v>3.1935799999999959E-2</v>
      </c>
      <c r="F5" s="52">
        <f>1-SUM(F2:F4)</f>
        <v>0.4409535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2162.6337342857701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0.73170000000000002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0.52051999999999998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3.3912386411708711E-2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88422.538709999993</v>
      </c>
      <c r="C22" s="107">
        <v>87226.787559999997</v>
      </c>
      <c r="D22" s="107">
        <v>86538.226389999996</v>
      </c>
      <c r="E22" s="107">
        <v>86111.950809999995</v>
      </c>
      <c r="F22" s="107">
        <v>85538.345270000005</v>
      </c>
      <c r="G22" s="107">
        <v>84749.25851</v>
      </c>
      <c r="H22" s="107">
        <v>83658.288230000006</v>
      </c>
      <c r="I22" s="107">
        <v>82150.630879999997</v>
      </c>
      <c r="J22" s="107">
        <v>80168.866670000003</v>
      </c>
      <c r="K22" s="107">
        <v>77606.609169999996</v>
      </c>
      <c r="L22" s="107">
        <v>74211.917189999993</v>
      </c>
      <c r="M22" s="107">
        <v>69716.573009999993</v>
      </c>
      <c r="N22" s="107">
        <v>63368.950949999999</v>
      </c>
      <c r="O22" s="107">
        <v>54954.193579999999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12.4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12.4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5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1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0.5</v>
      </c>
      <c r="C8" s="96">
        <v>0.95</v>
      </c>
      <c r="D8" s="56">
        <v>0.10284547803181469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7.0000000000000007E-2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0.30538290000000001</v>
      </c>
      <c r="C10" s="96">
        <v>0.95</v>
      </c>
      <c r="D10" s="56">
        <v>13.708520680846441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13.708520680846441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13.708520680846441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13.708520680846441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0.30538290000000001</v>
      </c>
      <c r="C14" s="96">
        <v>0.95</v>
      </c>
      <c r="D14" s="56">
        <v>13.708520680846441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13.708520680846441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0.51234469999999999</v>
      </c>
      <c r="C16" s="96">
        <v>0.95</v>
      </c>
      <c r="D16" s="56">
        <v>0.89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0.143035555555556</v>
      </c>
      <c r="C17" s="96">
        <v>0.95</v>
      </c>
      <c r="D17" s="56">
        <v>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0.21</v>
      </c>
      <c r="C18" s="96">
        <v>0.95</v>
      </c>
      <c r="D18" s="56">
        <v>5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0.34070879999999998</v>
      </c>
      <c r="C19" s="96">
        <v>0.95</v>
      </c>
      <c r="D19" s="56">
        <v>6.4278423769884219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1.23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5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0.5148045</v>
      </c>
      <c r="C23" s="96">
        <v>0.95</v>
      </c>
      <c r="D23" s="56">
        <v>4.5665474093235741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0.35049825564319997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0.30538290000000001</v>
      </c>
      <c r="C26" s="96">
        <v>0.95</v>
      </c>
      <c r="D26" s="56">
        <v>6.4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3.99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0.45741510000000002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0.31096489999999999</v>
      </c>
      <c r="C29" s="96">
        <v>0.95</v>
      </c>
      <c r="D29" s="56">
        <v>88.005851455993124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44.58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5.8200000000000002E-2</v>
      </c>
      <c r="C31" s="96">
        <v>0.95</v>
      </c>
      <c r="D31" s="56">
        <v>105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0.67</v>
      </c>
      <c r="C32" s="96">
        <v>0.95</v>
      </c>
      <c r="D32" s="56">
        <v>0.38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0.31078828685069099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0.54565930000000007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8.4545999999999996E-3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0.12378939999999999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0.40255580000000002</v>
      </c>
      <c r="C38" s="96">
        <v>0.95</v>
      </c>
      <c r="D38" s="56">
        <v>1.3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0.55000000000000004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2.496</v>
      </c>
      <c r="C2" s="21">
        <f>'Baseline year population inputs'!C52</f>
        <v>2.496</v>
      </c>
      <c r="D2" s="21">
        <f>'Baseline year population inputs'!C53</f>
        <v>5.226</v>
      </c>
      <c r="E2" s="21">
        <f>'Baseline year population inputs'!C54</f>
        <v>5.2519999999999998</v>
      </c>
      <c r="F2" s="21">
        <f>'Baseline year population inputs'!C55</f>
        <v>2.5219999999999998</v>
      </c>
    </row>
    <row r="3" spans="1:6" ht="15.75" customHeight="1" x14ac:dyDescent="0.25">
      <c r="A3" s="3" t="s">
        <v>197</v>
      </c>
      <c r="B3" s="21">
        <f>frac_mam_1month * 2.6</f>
        <v>0.12158224000000001</v>
      </c>
      <c r="C3" s="21">
        <f>frac_mam_1_5months * 2.6</f>
        <v>0.12158224000000001</v>
      </c>
      <c r="D3" s="21">
        <f>frac_mam_6_11months * 2.6</f>
        <v>0.26646515999999998</v>
      </c>
      <c r="E3" s="21">
        <f>frac_mam_12_23months * 2.6</f>
        <v>0.20430253999999998</v>
      </c>
      <c r="F3" s="21">
        <f>frac_mam_24_59months * 2.6</f>
        <v>8.2727580000000009E-2</v>
      </c>
    </row>
    <row r="4" spans="1:6" ht="15.75" customHeight="1" x14ac:dyDescent="0.25">
      <c r="A4" s="3" t="s">
        <v>198</v>
      </c>
      <c r="B4" s="21">
        <f>frac_sam_1month * 2.6</f>
        <v>6.0881600000000001E-2</v>
      </c>
      <c r="C4" s="21">
        <f>frac_sam_1_5months * 2.6</f>
        <v>6.0881600000000001E-2</v>
      </c>
      <c r="D4" s="21">
        <f>frac_sam_6_11months * 2.6</f>
        <v>8.6184280000000002E-2</v>
      </c>
      <c r="E4" s="21">
        <f>frac_sam_12_23months * 2.6</f>
        <v>8.4342700000000007E-2</v>
      </c>
      <c r="F4" s="21">
        <f>frac_sam_24_59months * 2.6</f>
        <v>2.3069280000000001E-2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0.34699999999999998</v>
      </c>
      <c r="F2" s="60">
        <f>food_insecure</f>
        <v>0.34699999999999998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0.34699999999999998</v>
      </c>
      <c r="F5" s="60">
        <f>food_insecure</f>
        <v>0.34699999999999998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5.4458181818181822E-2</v>
      </c>
      <c r="D7" s="60">
        <f>diarrhoea_1_5mo*frac_diarrhea_severe</f>
        <v>5.4458181818181822E-2</v>
      </c>
      <c r="E7" s="60">
        <f>diarrhoea_6_11mo*frac_diarrhea_severe</f>
        <v>0.1140218181818182</v>
      </c>
      <c r="F7" s="60">
        <f>diarrhoea_12_23mo*frac_diarrhea_severe</f>
        <v>0.11458909090909092</v>
      </c>
      <c r="G7" s="60">
        <f>diarrhoea_24_59mo*frac_diarrhea_severe</f>
        <v>5.5025454545454544E-2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0.34699999999999998</v>
      </c>
      <c r="F8" s="60">
        <f>food_insecure</f>
        <v>0.34699999999999998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0.34699999999999998</v>
      </c>
      <c r="F9" s="60">
        <f>food_insecure</f>
        <v>0.34699999999999998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5.4458181818181822E-2</v>
      </c>
      <c r="D12" s="60">
        <f>diarrhoea_1_5mo*frac_diarrhea_severe</f>
        <v>5.4458181818181822E-2</v>
      </c>
      <c r="E12" s="60">
        <f>diarrhoea_6_11mo*frac_diarrhea_severe</f>
        <v>0.1140218181818182</v>
      </c>
      <c r="F12" s="60">
        <f>diarrhoea_12_23mo*frac_diarrhea_severe</f>
        <v>0.11458909090909092</v>
      </c>
      <c r="G12" s="60">
        <f>diarrhoea_24_59mo*frac_diarrhea_severe</f>
        <v>5.5025454545454544E-2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0.34699999999999998</v>
      </c>
      <c r="I15" s="60">
        <f t="shared" si="0"/>
        <v>0.34699999999999998</v>
      </c>
      <c r="J15" s="60">
        <f t="shared" si="0"/>
        <v>0.34699999999999998</v>
      </c>
      <c r="K15" s="60">
        <f t="shared" si="0"/>
        <v>0.34699999999999998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0.34699999999999998</v>
      </c>
      <c r="I16" s="60">
        <f t="shared" si="0"/>
        <v>0.34699999999999998</v>
      </c>
      <c r="J16" s="60">
        <f t="shared" si="0"/>
        <v>0.34699999999999998</v>
      </c>
      <c r="K16" s="60">
        <f t="shared" si="0"/>
        <v>0.34699999999999998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</v>
      </c>
      <c r="I19" s="60">
        <f>frac_malaria_risk</f>
        <v>0.99</v>
      </c>
      <c r="J19" s="60">
        <f>frac_malaria_risk</f>
        <v>0.99</v>
      </c>
      <c r="K19" s="60">
        <f>frac_malaria_risk</f>
        <v>0.99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0.73699999999999999</v>
      </c>
      <c r="M24" s="60">
        <f>famplan_unmet_need</f>
        <v>0.73699999999999999</v>
      </c>
      <c r="N24" s="60">
        <f>famplan_unmet_need</f>
        <v>0.73699999999999999</v>
      </c>
      <c r="O24" s="60">
        <f>famplan_unmet_need</f>
        <v>0.73699999999999999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0.37935568663700403</v>
      </c>
      <c r="M25" s="60">
        <f>(1-food_insecure)*(0.49)+food_insecure*(0.7)</f>
        <v>0.56286999999999998</v>
      </c>
      <c r="N25" s="60">
        <f>(1-food_insecure)*(0.49)+food_insecure*(0.7)</f>
        <v>0.56286999999999998</v>
      </c>
      <c r="O25" s="60">
        <f>(1-food_insecure)*(0.49)+food_insecure*(0.7)</f>
        <v>0.56286999999999998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0.16258100855871602</v>
      </c>
      <c r="M26" s="60">
        <f>(1-food_insecure)*(0.21)+food_insecure*(0.3)</f>
        <v>0.24123</v>
      </c>
      <c r="N26" s="60">
        <f>(1-food_insecure)*(0.21)+food_insecure*(0.3)</f>
        <v>0.24123</v>
      </c>
      <c r="O26" s="60">
        <f>(1-food_insecure)*(0.21)+food_insecure*(0.3)</f>
        <v>0.24123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0.13203009400428001</v>
      </c>
      <c r="M27" s="60">
        <f>(1-food_insecure)*(0.3)</f>
        <v>0.19589999999999999</v>
      </c>
      <c r="N27" s="60">
        <f>(1-food_insecure)*(0.3)</f>
        <v>0.19589999999999999</v>
      </c>
      <c r="O27" s="60">
        <f>(1-food_insecure)*(0.3)</f>
        <v>0.19589999999999999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0.99</v>
      </c>
      <c r="D34" s="60">
        <f t="shared" si="4"/>
        <v>0.99</v>
      </c>
      <c r="E34" s="60">
        <f t="shared" si="4"/>
        <v>0.99</v>
      </c>
      <c r="F34" s="60">
        <f t="shared" si="4"/>
        <v>0.99</v>
      </c>
      <c r="G34" s="60">
        <f t="shared" si="4"/>
        <v>0.99</v>
      </c>
      <c r="H34" s="60">
        <f t="shared" si="4"/>
        <v>0.99</v>
      </c>
      <c r="I34" s="60">
        <f t="shared" si="4"/>
        <v>0.99</v>
      </c>
      <c r="J34" s="60">
        <f t="shared" si="4"/>
        <v>0.99</v>
      </c>
      <c r="K34" s="60">
        <f t="shared" si="4"/>
        <v>0.99</v>
      </c>
      <c r="L34" s="60">
        <f t="shared" si="4"/>
        <v>0.99</v>
      </c>
      <c r="M34" s="60">
        <f t="shared" si="4"/>
        <v>0.99</v>
      </c>
      <c r="N34" s="60">
        <f t="shared" si="4"/>
        <v>0.99</v>
      </c>
      <c r="O34" s="60">
        <f t="shared" si="4"/>
        <v>0.99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2025-07-29T06:38:59Z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