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CA72603-2520-441A-BD67-761E3D841A8B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<sst xmlns="http://schemas.openxmlformats.org/spreadsheetml/2006/main" count="2102" uniqueCount="341">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</sst>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0.43430000000000002</v>
      </c>
    </row>
    <row r="25" spans="1:3" ht="15" customHeight="1" x14ac:dyDescent="0.25">
      <c r="B25" s="15" t="s">
        <v>23</v>
      </c>
      <c r="C25" s="45">
        <v>0.35899999999999999</v>
      </c>
    </row>
    <row r="26" spans="1:3" ht="15" customHeight="1" x14ac:dyDescent="0.25">
      <c r="B26" s="15" t="s">
        <v>24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8234397.9999999991</v>
      </c>
      <c r="C2" s="49">
        <v>14978313.5</v>
      </c>
      <c r="D2" s="49">
        <v>18655701.5</v>
      </c>
      <c r="E2" s="49">
        <v>13034960</v>
      </c>
      <c r="F2" s="49">
        <v>8529826</v>
      </c>
      <c r="G2" s="17">
        <f t="shared" ref="G2:G13" si="0">C2+D2+E2+F2</f>
        <v>55198801</v>
      </c>
      <c r="H2" s="17">
        <f t="shared" ref="H2:H13" si="1">(B2 + stillbirth*B2/(1000-stillbirth))/(1-abortion)</f>
        <v>9572571.5649967138</v>
      </c>
      <c r="I2" s="17">
        <f t="shared" ref="I2:I13" si="2">G2-H2</f>
        <v>45626229.435003288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8321052</v>
      </c>
      <c r="C3" s="50">
        <v>15386867</v>
      </c>
      <c r="D3" s="50">
        <v>19253617</v>
      </c>
      <c r="E3" s="50">
        <v>13344852.5</v>
      </c>
      <c r="F3" s="50">
        <v>8768933</v>
      </c>
      <c r="G3" s="17">
        <f t="shared" si="0"/>
        <v>56754269.5</v>
      </c>
      <c r="H3" s="17">
        <f t="shared" si="1"/>
        <v>9673307.7228060924</v>
      </c>
      <c r="I3" s="17">
        <f t="shared" si="2"/>
        <v>47080961.777193904</v>
      </c>
    </row>
    <row r="4" spans="1:9" ht="15.75" customHeight="1" x14ac:dyDescent="0.25">
      <c r="A4" s="5">
        <f t="shared" si="3"/>
        <v>2026</v>
      </c>
      <c r="B4" s="49">
        <v>8417807</v>
      </c>
      <c r="C4" s="50">
        <v>15781795</v>
      </c>
      <c r="D4" s="50">
        <v>19874560</v>
      </c>
      <c r="E4" s="50">
        <v>13684189.5</v>
      </c>
      <c r="F4" s="50">
        <v>8989945</v>
      </c>
      <c r="G4" s="17">
        <f t="shared" si="0"/>
        <v>58330489.5</v>
      </c>
      <c r="H4" s="17">
        <f t="shared" si="1"/>
        <v>9785786.3960219435</v>
      </c>
      <c r="I4" s="17">
        <f t="shared" si="2"/>
        <v>48544703.103978053</v>
      </c>
    </row>
    <row r="5" spans="1:9" ht="15.75" customHeight="1" x14ac:dyDescent="0.25">
      <c r="A5" s="5">
        <f t="shared" si="3"/>
        <v>2027</v>
      </c>
      <c r="B5" s="49">
        <v>8515800</v>
      </c>
      <c r="C5" s="50">
        <v>16153285</v>
      </c>
      <c r="D5" s="50">
        <v>20521104.5</v>
      </c>
      <c r="E5" s="50">
        <v>14047495.5</v>
      </c>
      <c r="F5" s="50">
        <v>9192538.5</v>
      </c>
      <c r="G5" s="17">
        <f t="shared" si="0"/>
        <v>59914423.5</v>
      </c>
      <c r="H5" s="17">
        <f t="shared" si="1"/>
        <v>9899704.2568502314</v>
      </c>
      <c r="I5" s="17">
        <f t="shared" si="2"/>
        <v>50014719.243149772</v>
      </c>
    </row>
    <row r="6" spans="1:9" ht="15.75" customHeight="1" x14ac:dyDescent="0.25">
      <c r="A6" s="5">
        <f t="shared" si="3"/>
        <v>2028</v>
      </c>
      <c r="B6" s="49">
        <v>8600296</v>
      </c>
      <c r="C6" s="50">
        <v>16495382.5</v>
      </c>
      <c r="D6" s="50">
        <v>21197440</v>
      </c>
      <c r="E6" s="50">
        <v>14429657</v>
      </c>
      <c r="F6" s="50">
        <v>9375763</v>
      </c>
      <c r="G6" s="17">
        <f t="shared" si="0"/>
        <v>61498242.5</v>
      </c>
      <c r="H6" s="17">
        <f t="shared" si="1"/>
        <v>9997931.7176744435</v>
      </c>
      <c r="I6" s="17">
        <f t="shared" si="2"/>
        <v>51500310.782325558</v>
      </c>
    </row>
    <row r="7" spans="1:9" ht="15.75" customHeight="1" x14ac:dyDescent="0.25">
      <c r="A7" s="5">
        <f t="shared" si="3"/>
        <v>2029</v>
      </c>
      <c r="B7" s="49">
        <v>8708649</v>
      </c>
      <c r="C7" s="50">
        <v>16811426</v>
      </c>
      <c r="D7" s="50">
        <v>21882994.5</v>
      </c>
      <c r="E7" s="50">
        <v>14838431</v>
      </c>
      <c r="F7" s="50">
        <v>9548712.5</v>
      </c>
      <c r="G7" s="17">
        <f t="shared" si="0"/>
        <v>63081564</v>
      </c>
      <c r="H7" s="17">
        <f t="shared" si="1"/>
        <v>10123893.184047829</v>
      </c>
      <c r="I7" s="17">
        <f t="shared" si="2"/>
        <v>52957670.815952167</v>
      </c>
    </row>
    <row r="8" spans="1:9" ht="15.75" customHeight="1" x14ac:dyDescent="0.25">
      <c r="A8" s="5">
        <f t="shared" si="3"/>
        <v>2030</v>
      </c>
      <c r="B8" s="49">
        <v>8765211</v>
      </c>
      <c r="C8" s="50">
        <v>17113219</v>
      </c>
      <c r="D8" s="50">
        <v>22556637.5</v>
      </c>
      <c r="E8" s="50">
        <v>15285517</v>
      </c>
      <c r="F8" s="50">
        <v>9726224</v>
      </c>
      <c r="G8" s="17">
        <f t="shared" si="0"/>
        <v>64681597.5</v>
      </c>
      <c r="H8" s="17">
        <f t="shared" si="1"/>
        <v>10189647.085287403</v>
      </c>
      <c r="I8" s="17">
        <f t="shared" si="2"/>
        <v>54491950.414712593</v>
      </c>
    </row>
    <row r="9" spans="1:9" ht="15.75" customHeight="1" x14ac:dyDescent="0.25">
      <c r="A9" s="5">
        <f t="shared" si="3"/>
        <v>2031</v>
      </c>
      <c r="B9" s="49">
        <v>8852283</v>
      </c>
      <c r="C9" s="50">
        <v>17405159.5</v>
      </c>
      <c r="D9" s="50">
        <v>23222364</v>
      </c>
      <c r="E9" s="50">
        <v>15769332</v>
      </c>
      <c r="F9" s="50">
        <v>9912239</v>
      </c>
      <c r="G9" s="17">
        <f t="shared" si="0"/>
        <v>66309094.5</v>
      </c>
      <c r="H9" s="17">
        <f t="shared" si="1"/>
        <v>10290869.172355263</v>
      </c>
      <c r="I9" s="17">
        <f t="shared" si="2"/>
        <v>56018225.327644736</v>
      </c>
    </row>
    <row r="10" spans="1:9" ht="15.75" customHeight="1" x14ac:dyDescent="0.25">
      <c r="A10" s="5">
        <f t="shared" si="3"/>
        <v>2032</v>
      </c>
      <c r="B10" s="49">
        <v>8901896</v>
      </c>
      <c r="C10" s="50">
        <v>17693876.5</v>
      </c>
      <c r="D10" s="50">
        <v>23874275</v>
      </c>
      <c r="E10" s="50">
        <v>16284928</v>
      </c>
      <c r="F10" s="50">
        <v>10106002.5</v>
      </c>
      <c r="G10" s="17">
        <f t="shared" si="0"/>
        <v>67959082</v>
      </c>
      <c r="H10" s="17">
        <f t="shared" si="1"/>
        <v>10348544.790300153</v>
      </c>
      <c r="I10" s="17">
        <f t="shared" si="2"/>
        <v>57610537.209699847</v>
      </c>
    </row>
    <row r="11" spans="1:9" ht="15.75" customHeight="1" x14ac:dyDescent="0.25">
      <c r="A11" s="5">
        <f t="shared" si="3"/>
        <v>2033</v>
      </c>
      <c r="B11" s="49">
        <v>8959175</v>
      </c>
      <c r="C11" s="50">
        <v>17992212.5</v>
      </c>
      <c r="D11" s="50">
        <v>24503200.5</v>
      </c>
      <c r="E11" s="50">
        <v>16825695.5</v>
      </c>
      <c r="F11" s="50">
        <v>10310051.5</v>
      </c>
      <c r="G11" s="17">
        <f t="shared" si="0"/>
        <v>69631160</v>
      </c>
      <c r="H11" s="17">
        <f t="shared" si="1"/>
        <v>10415132.211344345</v>
      </c>
      <c r="I11" s="17">
        <f t="shared" si="2"/>
        <v>59216027.788655654</v>
      </c>
    </row>
    <row r="12" spans="1:9" ht="15.75" customHeight="1" x14ac:dyDescent="0.25">
      <c r="A12" s="5">
        <f t="shared" si="3"/>
        <v>2034</v>
      </c>
      <c r="B12" s="49">
        <v>9019452</v>
      </c>
      <c r="C12" s="50">
        <v>18302434.5</v>
      </c>
      <c r="D12" s="50">
        <v>25113137.5</v>
      </c>
      <c r="E12" s="50">
        <v>17382502</v>
      </c>
      <c r="F12" s="50">
        <v>10533418</v>
      </c>
      <c r="G12" s="17">
        <f t="shared" si="0"/>
        <v>71331492</v>
      </c>
      <c r="H12" s="17">
        <f t="shared" si="1"/>
        <v>10485204.837931413</v>
      </c>
      <c r="I12" s="17">
        <f t="shared" si="2"/>
        <v>60846287.162068591</v>
      </c>
    </row>
    <row r="13" spans="1:9" ht="15.75" customHeight="1" x14ac:dyDescent="0.25">
      <c r="A13" s="5">
        <f t="shared" si="3"/>
        <v>2035</v>
      </c>
      <c r="B13" s="49">
        <v>9035342</v>
      </c>
      <c r="C13" s="50">
        <v>18625777</v>
      </c>
      <c r="D13" s="50">
        <v>25701163.5</v>
      </c>
      <c r="E13" s="50">
        <v>17957641</v>
      </c>
      <c r="F13" s="50">
        <v>10785678.5</v>
      </c>
      <c r="G13" s="17">
        <f t="shared" si="0"/>
        <v>73070260</v>
      </c>
      <c r="H13" s="17">
        <f t="shared" si="1"/>
        <v>10503677.124814779</v>
      </c>
      <c r="I13" s="17">
        <f t="shared" si="2"/>
        <v>62566582.875185221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45.474336039627488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0.17195999738539999</v>
      </c>
      <c r="C3" s="98">
        <v>0.95</v>
      </c>
      <c r="D3" s="56">
        <v>42.690808780825847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217.5673441622117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0.72655106276493753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0.30538290000000001</v>
      </c>
      <c r="C10" s="98">
        <v>0.95</v>
      </c>
      <c r="D10" s="56">
        <v>13.708520680846441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0.30538290000000001</v>
      </c>
      <c r="C11" s="98">
        <v>0.95</v>
      </c>
      <c r="D11" s="56">
        <v>13.708520680846441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0.30538290000000001</v>
      </c>
      <c r="C12" s="98">
        <v>0.95</v>
      </c>
      <c r="D12" s="56">
        <v>13.708520680846441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0.30538290000000001</v>
      </c>
      <c r="C13" s="98">
        <v>0.95</v>
      </c>
      <c r="D13" s="56">
        <v>13.708520680846441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0.30538290000000001</v>
      </c>
      <c r="C14" s="98">
        <v>0.95</v>
      </c>
      <c r="D14" s="56">
        <v>13.708520680846441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0.30538290000000001</v>
      </c>
      <c r="C15" s="98">
        <v>0.95</v>
      </c>
      <c r="D15" s="56">
        <v>13.708520680846441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0.67</v>
      </c>
      <c r="C16" s="98">
        <v>0.95</v>
      </c>
      <c r="D16" s="56">
        <v>0.44775725299200048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0.143035555555556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6.1726415088800002E-2</v>
      </c>
      <c r="C18" s="98">
        <v>0.95</v>
      </c>
      <c r="D18" s="56">
        <v>5.0749502759813003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0.46570679999999998</v>
      </c>
      <c r="C19" s="98">
        <v>0.95</v>
      </c>
      <c r="D19" s="56">
        <v>5.0749502759813003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0.12378939999999999</v>
      </c>
      <c r="C21" s="98">
        <v>0.95</v>
      </c>
      <c r="D21" s="56">
        <v>6.3462726393905529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23.484675418466331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4.5665474093235741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0.4677424218656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0.30538290000000001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19.70793869658976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0.36680256677680001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84.992956066465482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0.56999999999999995</v>
      </c>
      <c r="C31" s="98">
        <v>0.95</v>
      </c>
      <c r="D31" s="56">
        <v>1.9651733159984111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0.92770596430656782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0.56999999999999995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0.31096489999999999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0.45741510000000002</v>
      </c>
      <c r="C38" s="98">
        <v>0.95</v>
      </c>
      <c r="D38" s="56">
        <v>3.6378963707202279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0.40596389547462008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0.17398452663198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9.4018367093400002E-2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2024-05-09T01:46:43Z</dcterms:modified>
</cp:coreProperties>
</file>