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E21BFF6-A471-4060-9A2C-579A45BDDB6D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<sst xmlns="http://schemas.openxmlformats.org/spreadsheetml/2006/main" count="2102" uniqueCount="341">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</sst>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104529.8681640625</v>
      </c>
    </row>
    <row r="8" spans="1:3" ht="15" customHeight="1" x14ac:dyDescent="0.25">
      <c r="B8" s="5" t="s">
        <v>8</v>
      </c>
      <c r="C8" s="44">
        <v>0.251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7.0400000000000004E-2</v>
      </c>
    </row>
    <row r="24" spans="1:3" ht="15" customHeight="1" x14ac:dyDescent="0.25">
      <c r="B24" s="15" t="s">
        <v>22</v>
      </c>
      <c r="C24" s="45">
        <v>0.48080000000000001</v>
      </c>
    </row>
    <row r="25" spans="1:3" ht="15" customHeight="1" x14ac:dyDescent="0.25">
      <c r="B25" s="15" t="s">
        <v>23</v>
      </c>
      <c r="C25" s="45">
        <v>0.35560000000000003</v>
      </c>
    </row>
    <row r="26" spans="1:3" ht="15" customHeight="1" x14ac:dyDescent="0.25">
      <c r="B26" s="15" t="s">
        <v>24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7.5990799999999998</v>
      </c>
    </row>
    <row r="38" spans="1:5" ht="15" customHeight="1" x14ac:dyDescent="0.25">
      <c r="B38" s="11" t="s">
        <v>34</v>
      </c>
      <c r="C38" s="43">
        <v>16.091200000000001</v>
      </c>
      <c r="D38" s="12"/>
      <c r="E38" s="13"/>
    </row>
    <row r="39" spans="1:5" ht="15" customHeight="1" x14ac:dyDescent="0.25">
      <c r="B39" s="11" t="s">
        <v>35</v>
      </c>
      <c r="C39" s="43">
        <v>18.785260000000001</v>
      </c>
      <c r="D39" s="12"/>
      <c r="E39" s="12"/>
    </row>
    <row r="40" spans="1:5" ht="15" customHeight="1" x14ac:dyDescent="0.25">
      <c r="B40" s="11" t="s">
        <v>36</v>
      </c>
      <c r="C40" s="100">
        <v>1.22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6.1345000000000002E-3</v>
      </c>
      <c r="D45" s="12"/>
    </row>
    <row r="46" spans="1:5" ht="15.75" customHeight="1" x14ac:dyDescent="0.25">
      <c r="B46" s="11" t="s">
        <v>41</v>
      </c>
      <c r="C46" s="45">
        <v>6.5914E-2</v>
      </c>
      <c r="D46" s="12"/>
    </row>
    <row r="47" spans="1:5" ht="15.75" customHeight="1" x14ac:dyDescent="0.25">
      <c r="B47" s="11" t="s">
        <v>42</v>
      </c>
      <c r="C47" s="45">
        <v>7.5167600000000001E-2</v>
      </c>
      <c r="D47" s="12"/>
      <c r="E47" s="13"/>
    </row>
    <row r="48" spans="1:5" ht="15" customHeight="1" x14ac:dyDescent="0.25">
      <c r="B48" s="11" t="s">
        <v>43</v>
      </c>
      <c r="C48" s="46">
        <v>0.85278390000000004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0.54101599999999994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21556</v>
      </c>
      <c r="C2" s="49">
        <v>45213.5</v>
      </c>
      <c r="D2" s="49">
        <v>61383.5</v>
      </c>
      <c r="E2" s="49">
        <v>48221</v>
      </c>
      <c r="F2" s="49">
        <v>32705.5</v>
      </c>
      <c r="G2" s="17">
        <f t="shared" ref="G2:G13" si="0">C2+D2+E2+F2</f>
        <v>187523.5</v>
      </c>
      <c r="H2" s="17">
        <f t="shared" ref="H2:H13" si="1">(B2 + stillbirth*B2/(1000-stillbirth))/(1-abortion)</f>
        <v>24722.838401541812</v>
      </c>
      <c r="I2" s="17">
        <f t="shared" ref="I2:I13" si="2">G2-H2</f>
        <v>162800.66159845819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21733</v>
      </c>
      <c r="C3" s="50">
        <v>46490.5</v>
      </c>
      <c r="D3" s="50">
        <v>62592</v>
      </c>
      <c r="E3" s="50">
        <v>49131.5</v>
      </c>
      <c r="F3" s="50">
        <v>33674</v>
      </c>
      <c r="G3" s="17">
        <f t="shared" si="0"/>
        <v>191888</v>
      </c>
      <c r="H3" s="17">
        <f t="shared" si="1"/>
        <v>24925.841852881251</v>
      </c>
      <c r="I3" s="17">
        <f t="shared" si="2"/>
        <v>166962.15814711875</v>
      </c>
    </row>
    <row r="4" spans="1:9" ht="15.75" customHeight="1" x14ac:dyDescent="0.25">
      <c r="A4" s="5">
        <f t="shared" si="3"/>
        <v>2026</v>
      </c>
      <c r="B4" s="49">
        <v>21837</v>
      </c>
      <c r="C4" s="50">
        <v>47819.500000000007</v>
      </c>
      <c r="D4" s="50">
        <v>63880</v>
      </c>
      <c r="E4" s="50">
        <v>50064.5</v>
      </c>
      <c r="F4" s="50">
        <v>34648.5</v>
      </c>
      <c r="G4" s="17">
        <f t="shared" si="0"/>
        <v>196412.5</v>
      </c>
      <c r="H4" s="17">
        <f t="shared" si="1"/>
        <v>25045.120716945101</v>
      </c>
      <c r="I4" s="17">
        <f t="shared" si="2"/>
        <v>171367.37928305491</v>
      </c>
    </row>
    <row r="5" spans="1:9" ht="15.75" customHeight="1" x14ac:dyDescent="0.25">
      <c r="A5" s="5">
        <f t="shared" si="3"/>
        <v>2027</v>
      </c>
      <c r="B5" s="49">
        <v>22027</v>
      </c>
      <c r="C5" s="50">
        <v>49190.999999999993</v>
      </c>
      <c r="D5" s="50">
        <v>65296</v>
      </c>
      <c r="E5" s="50">
        <v>51004</v>
      </c>
      <c r="F5" s="50">
        <v>35604</v>
      </c>
      <c r="G5" s="17">
        <f t="shared" si="0"/>
        <v>201095</v>
      </c>
      <c r="H5" s="17">
        <f t="shared" si="1"/>
        <v>25263.03402629252</v>
      </c>
      <c r="I5" s="17">
        <f t="shared" si="2"/>
        <v>175831.96597370747</v>
      </c>
    </row>
    <row r="6" spans="1:9" ht="15.75" customHeight="1" x14ac:dyDescent="0.25">
      <c r="A6" s="5">
        <f t="shared" si="3"/>
        <v>2028</v>
      </c>
      <c r="B6" s="49">
        <v>22300</v>
      </c>
      <c r="C6" s="50">
        <v>50621.999999999993</v>
      </c>
      <c r="D6" s="50">
        <v>66792.5</v>
      </c>
      <c r="E6" s="50">
        <v>51978.5</v>
      </c>
      <c r="F6" s="50">
        <v>36516.5</v>
      </c>
      <c r="G6" s="17">
        <f t="shared" si="0"/>
        <v>205909.5</v>
      </c>
      <c r="H6" s="17">
        <f t="shared" si="1"/>
        <v>25576.141044460128</v>
      </c>
      <c r="I6" s="17">
        <f t="shared" si="2"/>
        <v>180333.35895553988</v>
      </c>
    </row>
    <row r="7" spans="1:9" ht="15.75" customHeight="1" x14ac:dyDescent="0.25">
      <c r="A7" s="5">
        <f t="shared" si="3"/>
        <v>2029</v>
      </c>
      <c r="B7" s="49">
        <v>22449</v>
      </c>
      <c r="C7" s="50">
        <v>52036</v>
      </c>
      <c r="D7" s="50">
        <v>68340.5</v>
      </c>
      <c r="E7" s="50">
        <v>53026.5</v>
      </c>
      <c r="F7" s="50">
        <v>37383.5</v>
      </c>
      <c r="G7" s="17">
        <f t="shared" si="0"/>
        <v>210786.5</v>
      </c>
      <c r="H7" s="17">
        <f t="shared" si="1"/>
        <v>25747.030955474682</v>
      </c>
      <c r="I7" s="17">
        <f t="shared" si="2"/>
        <v>185039.46904452532</v>
      </c>
    </row>
    <row r="8" spans="1:9" ht="15.75" customHeight="1" x14ac:dyDescent="0.25">
      <c r="A8" s="5">
        <f t="shared" si="3"/>
        <v>2030</v>
      </c>
      <c r="B8" s="49">
        <v>22734</v>
      </c>
      <c r="C8" s="50">
        <v>53335.499999999993</v>
      </c>
      <c r="D8" s="50">
        <v>69986</v>
      </c>
      <c r="E8" s="50">
        <v>54139.5</v>
      </c>
      <c r="F8" s="50">
        <v>38213.5</v>
      </c>
      <c r="G8" s="17">
        <f t="shared" si="0"/>
        <v>215674.5</v>
      </c>
      <c r="H8" s="17">
        <f t="shared" si="1"/>
        <v>26073.900919495805</v>
      </c>
      <c r="I8" s="17">
        <f t="shared" si="2"/>
        <v>189600.59908050421</v>
      </c>
    </row>
    <row r="9" spans="1:9" ht="15.75" customHeight="1" x14ac:dyDescent="0.25">
      <c r="A9" s="5">
        <f t="shared" si="3"/>
        <v>2031</v>
      </c>
      <c r="B9" s="49">
        <v>23010</v>
      </c>
      <c r="C9" s="50">
        <v>54477</v>
      </c>
      <c r="D9" s="50">
        <v>71770</v>
      </c>
      <c r="E9" s="50">
        <v>55296.5</v>
      </c>
      <c r="F9" s="50">
        <v>39006</v>
      </c>
      <c r="G9" s="17">
        <f t="shared" si="0"/>
        <v>220549.5</v>
      </c>
      <c r="H9" s="17">
        <f t="shared" si="1"/>
        <v>26390.448674126794</v>
      </c>
      <c r="I9" s="17">
        <f t="shared" si="2"/>
        <v>194159.05132587321</v>
      </c>
    </row>
    <row r="10" spans="1:9" ht="15.75" customHeight="1" x14ac:dyDescent="0.25">
      <c r="A10" s="5">
        <f t="shared" si="3"/>
        <v>2032</v>
      </c>
      <c r="B10" s="49">
        <v>23340</v>
      </c>
      <c r="C10" s="50">
        <v>55461.5</v>
      </c>
      <c r="D10" s="50">
        <v>73686</v>
      </c>
      <c r="E10" s="50">
        <v>56492</v>
      </c>
      <c r="F10" s="50">
        <v>39762</v>
      </c>
      <c r="G10" s="17">
        <f t="shared" si="0"/>
        <v>225401.5</v>
      </c>
      <c r="H10" s="17">
        <f t="shared" si="1"/>
        <v>26768.929685098625</v>
      </c>
      <c r="I10" s="17">
        <f t="shared" si="2"/>
        <v>198632.57031490139</v>
      </c>
    </row>
    <row r="11" spans="1:9" ht="15.75" customHeight="1" x14ac:dyDescent="0.25">
      <c r="A11" s="5">
        <f t="shared" si="3"/>
        <v>2033</v>
      </c>
      <c r="B11" s="49">
        <v>23627</v>
      </c>
      <c r="C11" s="50">
        <v>56304.999999999993</v>
      </c>
      <c r="D11" s="50">
        <v>75733</v>
      </c>
      <c r="E11" s="50">
        <v>57705.5</v>
      </c>
      <c r="F11" s="50">
        <v>40493</v>
      </c>
      <c r="G11" s="17">
        <f t="shared" si="0"/>
        <v>230236.5</v>
      </c>
      <c r="H11" s="17">
        <f t="shared" si="1"/>
        <v>27098.093473428671</v>
      </c>
      <c r="I11" s="17">
        <f t="shared" si="2"/>
        <v>203138.40652657131</v>
      </c>
    </row>
    <row r="12" spans="1:9" ht="15.75" customHeight="1" x14ac:dyDescent="0.25">
      <c r="A12" s="5">
        <f t="shared" si="3"/>
        <v>2034</v>
      </c>
      <c r="B12" s="49">
        <v>23903</v>
      </c>
      <c r="C12" s="50">
        <v>56995</v>
      </c>
      <c r="D12" s="50">
        <v>77896</v>
      </c>
      <c r="E12" s="50">
        <v>58918</v>
      </c>
      <c r="F12" s="50">
        <v>41228</v>
      </c>
      <c r="G12" s="17">
        <f t="shared" si="0"/>
        <v>235037</v>
      </c>
      <c r="H12" s="17">
        <f t="shared" si="1"/>
        <v>27414.641228059656</v>
      </c>
      <c r="I12" s="17">
        <f t="shared" si="2"/>
        <v>207622.35877194034</v>
      </c>
    </row>
    <row r="13" spans="1:9" ht="15.75" customHeight="1" x14ac:dyDescent="0.25">
      <c r="A13" s="5">
        <f t="shared" si="3"/>
        <v>2035</v>
      </c>
      <c r="B13" s="49">
        <v>24214</v>
      </c>
      <c r="C13" s="50">
        <v>57592.5</v>
      </c>
      <c r="D13" s="50">
        <v>80098</v>
      </c>
      <c r="E13" s="50">
        <v>60127</v>
      </c>
      <c r="F13" s="50">
        <v>41993</v>
      </c>
      <c r="G13" s="17">
        <f t="shared" si="0"/>
        <v>239810.5</v>
      </c>
      <c r="H13" s="17">
        <f t="shared" si="1"/>
        <v>27771.330908096748</v>
      </c>
      <c r="I13" s="17">
        <f t="shared" si="2"/>
        <v>212039.16909190326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3.6933821655645701E-3</v>
      </c>
    </row>
    <row r="4" spans="1:8" ht="15.75" customHeight="1" x14ac:dyDescent="0.25">
      <c r="B4" s="19" t="s">
        <v>69</v>
      </c>
      <c r="C4" s="101">
        <v>4.9979711487722067E-2</v>
      </c>
    </row>
    <row r="5" spans="1:8" ht="15.75" customHeight="1" x14ac:dyDescent="0.25">
      <c r="B5" s="19" t="s">
        <v>70</v>
      </c>
      <c r="C5" s="101">
        <v>1.6129802394131899E-2</v>
      </c>
    </row>
    <row r="6" spans="1:8" ht="15.75" customHeight="1" x14ac:dyDescent="0.25">
      <c r="B6" s="19" t="s">
        <v>71</v>
      </c>
      <c r="C6" s="101">
        <v>0.160163230930564</v>
      </c>
    </row>
    <row r="7" spans="1:8" ht="15.75" customHeight="1" x14ac:dyDescent="0.25">
      <c r="B7" s="19" t="s">
        <v>72</v>
      </c>
      <c r="C7" s="101">
        <v>0.48515151015483848</v>
      </c>
    </row>
    <row r="8" spans="1:8" ht="15.75" customHeight="1" x14ac:dyDescent="0.25">
      <c r="B8" s="19" t="s">
        <v>73</v>
      </c>
      <c r="C8" s="101">
        <v>2.1136541039387551E-2</v>
      </c>
    </row>
    <row r="9" spans="1:8" ht="15.75" customHeight="1" x14ac:dyDescent="0.25">
      <c r="B9" s="19" t="s">
        <v>74</v>
      </c>
      <c r="C9" s="101">
        <v>0.2127465899819434</v>
      </c>
    </row>
    <row r="10" spans="1:8" ht="15.75" customHeight="1" x14ac:dyDescent="0.25">
      <c r="B10" s="19" t="s">
        <v>75</v>
      </c>
      <c r="C10" s="101">
        <v>5.099923184584803E-2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82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83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86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89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30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4.7769731000000003E-2</v>
      </c>
    </row>
    <row r="27" spans="1:8" ht="15.75" customHeight="1" x14ac:dyDescent="0.25">
      <c r="B27" s="19" t="s">
        <v>92</v>
      </c>
      <c r="C27" s="101">
        <v>1.8843999E-2</v>
      </c>
    </row>
    <row r="28" spans="1:8" ht="15.75" customHeight="1" x14ac:dyDescent="0.25">
      <c r="B28" s="19" t="s">
        <v>93</v>
      </c>
      <c r="C28" s="101">
        <v>0.22958879300000001</v>
      </c>
    </row>
    <row r="29" spans="1:8" ht="15.75" customHeight="1" x14ac:dyDescent="0.25">
      <c r="B29" s="19" t="s">
        <v>94</v>
      </c>
      <c r="C29" s="101">
        <v>0.13888713499999999</v>
      </c>
    </row>
    <row r="30" spans="1:8" ht="15.75" customHeight="1" x14ac:dyDescent="0.25">
      <c r="B30" s="19" t="s">
        <v>95</v>
      </c>
      <c r="C30" s="101">
        <v>5.0046261000000002E-2</v>
      </c>
    </row>
    <row r="31" spans="1:8" ht="15.75" customHeight="1" x14ac:dyDescent="0.25">
      <c r="B31" s="19" t="s">
        <v>96</v>
      </c>
      <c r="C31" s="101">
        <v>7.1139825000000018E-2</v>
      </c>
    </row>
    <row r="32" spans="1:8" ht="15.75" customHeight="1" x14ac:dyDescent="0.25">
      <c r="B32" s="19" t="s">
        <v>97</v>
      </c>
      <c r="C32" s="101">
        <v>0.14767061300000001</v>
      </c>
    </row>
    <row r="33" spans="2:3" ht="15.75" customHeight="1" x14ac:dyDescent="0.25">
      <c r="B33" s="19" t="s">
        <v>98</v>
      </c>
      <c r="C33" s="101">
        <v>0.123389649</v>
      </c>
    </row>
    <row r="34" spans="2:3" ht="15.75" customHeight="1" x14ac:dyDescent="0.25">
      <c r="B34" s="19" t="s">
        <v>99</v>
      </c>
      <c r="C34" s="101">
        <v>0.17266399499999999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44.388781579401957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0.19753357399999999</v>
      </c>
      <c r="C3" s="98">
        <v>0.95</v>
      </c>
      <c r="D3" s="56">
        <v>44.84912601313826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200.54836433279559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1.007718977066846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14.37418788225863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14.37418788225863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14.37418788225863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14.37418788225863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14.37418788225863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14.37418788225863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0.42998861651827419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0.225846666666667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0.1064100895</v>
      </c>
      <c r="C18" s="98">
        <v>0.95</v>
      </c>
      <c r="D18" s="56">
        <v>4.6877241811456267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0.35018290000000002</v>
      </c>
      <c r="C19" s="98">
        <v>0.95</v>
      </c>
      <c r="D19" s="56">
        <v>4.6877241811456267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0.45811239999999998</v>
      </c>
      <c r="C21" s="98">
        <v>0.95</v>
      </c>
      <c r="D21" s="56">
        <v>8.3654863902487371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24.603396778891561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4.7742338241318913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0.80634057400000003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20.640466451977151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0.63233048449999996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82.515341030888564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7.400000000000001E-2</v>
      </c>
      <c r="C31" s="98">
        <v>0.95</v>
      </c>
      <c r="D31" s="56">
        <v>4.6956398181241168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0.88473850018384426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7.400000000000001E-2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0.36899999999999999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0.377</v>
      </c>
      <c r="C38" s="98">
        <v>0.95</v>
      </c>
      <c r="D38" s="56">
        <v>5.5596741637734697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0.251</v>
      </c>
      <c r="E2" s="60">
        <f>food_insecure</f>
        <v>0.251</v>
      </c>
      <c r="F2" s="60">
        <f>food_insecure</f>
        <v>0.251</v>
      </c>
      <c r="G2" s="60">
        <f>food_insecure</f>
        <v>0.251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0.251</v>
      </c>
      <c r="I15" s="60">
        <f>food_insecure</f>
        <v>0.251</v>
      </c>
      <c r="J15" s="60">
        <f>food_insecure</f>
        <v>0.251</v>
      </c>
      <c r="K15" s="60">
        <f>food_insecure</f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2024-05-09T01:46:54Z</dcterms:modified>
</cp:coreProperties>
</file>