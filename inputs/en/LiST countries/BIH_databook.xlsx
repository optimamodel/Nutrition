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BF4A4AF0-4E23-498F-8E13-9F84EFE1177D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alcOnSave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52" i="27"/>
  <c r="F152" i="27"/>
  <c r="D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F112" i="27"/>
  <c r="E112" i="27"/>
  <c r="D112" i="27"/>
  <c r="H97" i="27"/>
  <c r="G97" i="27"/>
  <c r="G152" i="27" s="1"/>
  <c r="F97" i="27"/>
  <c r="E97" i="27"/>
  <c r="E152" i="27" s="1"/>
  <c r="D97" i="27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G112" i="27" s="1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I40" i="2"/>
  <c r="H40" i="2"/>
  <c r="G40" i="2"/>
  <c r="I39" i="2"/>
  <c r="H39" i="2"/>
  <c r="G39" i="2"/>
  <c r="I38" i="2"/>
  <c r="H38" i="2"/>
  <c r="G38" i="2"/>
  <c r="A37" i="2"/>
  <c r="A36" i="2"/>
  <c r="A35" i="2"/>
  <c r="A33" i="2"/>
  <c r="A32" i="2"/>
  <c r="A31" i="2"/>
  <c r="A29" i="2"/>
  <c r="A28" i="2"/>
  <c r="A27" i="2"/>
  <c r="A25" i="2"/>
  <c r="A24" i="2"/>
  <c r="A23" i="2"/>
  <c r="A21" i="2"/>
  <c r="A20" i="2"/>
  <c r="A19" i="2"/>
  <c r="A17" i="2"/>
  <c r="A16" i="2"/>
  <c r="A15" i="2"/>
  <c r="I13" i="2"/>
  <c r="H13" i="2"/>
  <c r="G13" i="2"/>
  <c r="I12" i="2"/>
  <c r="H12" i="2"/>
  <c r="G12" i="2"/>
  <c r="I11" i="2"/>
  <c r="H11" i="2"/>
  <c r="G11" i="2"/>
  <c r="I10" i="2"/>
  <c r="H10" i="2"/>
  <c r="G10" i="2"/>
  <c r="I9" i="2"/>
  <c r="H9" i="2"/>
  <c r="G9" i="2"/>
  <c r="I8" i="2"/>
  <c r="H8" i="2"/>
  <c r="G8" i="2"/>
  <c r="I7" i="2"/>
  <c r="H7" i="2"/>
  <c r="G7" i="2"/>
  <c r="I6" i="2"/>
  <c r="H6" i="2"/>
  <c r="G6" i="2"/>
  <c r="I5" i="2"/>
  <c r="H5" i="2"/>
  <c r="G5" i="2"/>
  <c r="I4" i="2"/>
  <c r="H4" i="2"/>
  <c r="G4" i="2"/>
  <c r="I3" i="2"/>
  <c r="H3" i="2"/>
  <c r="G3" i="2"/>
  <c r="I2" i="2"/>
  <c r="H2" i="2"/>
  <c r="G2" i="2"/>
  <c r="A2" i="2"/>
  <c r="A40" i="2" s="1"/>
  <c r="C33" i="1"/>
  <c r="C20" i="1"/>
  <c r="A3" i="2" l="1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26" i="2"/>
  <c r="A34" i="2"/>
  <c r="A39" i="2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B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6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7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9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A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B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C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D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E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61" authorId="0" shapeId="0" xr:uid="{00000000-0006-0000-1600-000020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1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2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3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4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A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6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6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6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6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6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7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7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7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7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7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8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8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7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9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9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9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9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A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B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1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1E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1F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0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3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4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5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8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9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A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2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2D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2E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2F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1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4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B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3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3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3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3F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1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3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5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8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4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4A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4B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4C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4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4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4F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0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1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4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5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6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5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59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5A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5B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5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5D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5E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5F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0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1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2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3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4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5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6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68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69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6A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6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6C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6D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6E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6F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0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1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2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3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4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7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7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7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7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7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7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7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7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7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7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7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8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8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8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8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8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89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<sst xmlns="http://schemas.openxmlformats.org/spreadsheetml/2006/main" count="2103" uniqueCount="341">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</sst>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135579.033203125</v>
      </c>
    </row>
    <row r="8" spans="1:3" ht="15" customHeight="1" x14ac:dyDescent="0.25">
      <c r="B8" s="5" t="s">
        <v>8</v>
      </c>
      <c r="C8" s="44">
        <v>1E-3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0.91188728330000002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0.78099999999999992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3.7400000000000003E-2</v>
      </c>
    </row>
    <row r="24" spans="1:3" ht="15" customHeight="1" x14ac:dyDescent="0.25">
      <c r="B24" s="15" t="s">
        <v>22</v>
      </c>
      <c r="C24" s="45">
        <v>0.53110000000000002</v>
      </c>
    </row>
    <row r="25" spans="1:3" ht="15" customHeight="1" x14ac:dyDescent="0.25">
      <c r="B25" s="15" t="s">
        <v>23</v>
      </c>
      <c r="C25" s="45">
        <v>0.41370000000000001</v>
      </c>
    </row>
    <row r="26" spans="1:3" ht="15" customHeight="1" x14ac:dyDescent="0.25">
      <c r="B26" s="15" t="s">
        <v>24</v>
      </c>
      <c r="C26" s="45">
        <v>1.78E-2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0.51101988116637098</v>
      </c>
    </row>
    <row r="30" spans="1:3" ht="14.25" customHeight="1" x14ac:dyDescent="0.25">
      <c r="B30" s="25" t="s">
        <v>27</v>
      </c>
      <c r="C30" s="99">
        <v>3.6928466503456402E-2</v>
      </c>
    </row>
    <row r="31" spans="1:3" ht="14.25" customHeight="1" x14ac:dyDescent="0.25">
      <c r="B31" s="25" t="s">
        <v>28</v>
      </c>
      <c r="C31" s="99">
        <v>4.0966963582223501E-2</v>
      </c>
    </row>
    <row r="32" spans="1:3" ht="14.25" customHeight="1" x14ac:dyDescent="0.25">
      <c r="B32" s="25" t="s">
        <v>29</v>
      </c>
      <c r="C32" s="99">
        <v>0.41108468874794901</v>
      </c>
    </row>
    <row r="33" spans="1:5" ht="13" customHeight="1" x14ac:dyDescent="0.25">
      <c r="B33" s="27" t="s">
        <v>30</v>
      </c>
      <c r="C33" s="48">
        <f>SUM(C29:C32)</f>
        <v>0.99999999999999989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4.0971299999999999</v>
      </c>
    </row>
    <row r="38" spans="1:5" ht="15" customHeight="1" x14ac:dyDescent="0.25">
      <c r="B38" s="11" t="s">
        <v>34</v>
      </c>
      <c r="C38" s="43">
        <v>4.8431699999999998</v>
      </c>
      <c r="D38" s="12"/>
      <c r="E38" s="13"/>
    </row>
    <row r="39" spans="1:5" ht="15" customHeight="1" x14ac:dyDescent="0.25">
      <c r="B39" s="11" t="s">
        <v>35</v>
      </c>
      <c r="C39" s="43">
        <v>5.6006</v>
      </c>
      <c r="D39" s="12"/>
      <c r="E39" s="12"/>
    </row>
    <row r="40" spans="1:5" ht="15" customHeight="1" x14ac:dyDescent="0.25">
      <c r="B40" s="11" t="s">
        <v>36</v>
      </c>
      <c r="C40" s="100">
        <v>0.06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2.6832099999999999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5.9451E-3</v>
      </c>
      <c r="D45" s="12"/>
    </row>
    <row r="46" spans="1:5" ht="15.75" customHeight="1" x14ac:dyDescent="0.25">
      <c r="B46" s="11" t="s">
        <v>41</v>
      </c>
      <c r="C46" s="45">
        <v>6.38793E-2</v>
      </c>
      <c r="D46" s="12"/>
    </row>
    <row r="47" spans="1:5" ht="15.75" customHeight="1" x14ac:dyDescent="0.25">
      <c r="B47" s="11" t="s">
        <v>42</v>
      </c>
      <c r="C47" s="45">
        <v>7.5347799999999993E-2</v>
      </c>
      <c r="D47" s="12"/>
      <c r="E47" s="13"/>
    </row>
    <row r="48" spans="1:5" ht="15" customHeight="1" x14ac:dyDescent="0.25">
      <c r="B48" s="11" t="s">
        <v>43</v>
      </c>
      <c r="C48" s="46">
        <v>0.85482780000000003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2.8</v>
      </c>
      <c r="D51" s="12"/>
    </row>
    <row r="52" spans="1:4" ht="15" customHeight="1" x14ac:dyDescent="0.25">
      <c r="B52" s="11" t="s">
        <v>46</v>
      </c>
      <c r="C52" s="100">
        <v>2.8</v>
      </c>
    </row>
    <row r="53" spans="1:4" ht="15.75" customHeight="1" x14ac:dyDescent="0.25">
      <c r="B53" s="11" t="s">
        <v>47</v>
      </c>
      <c r="C53" s="100">
        <v>2.8</v>
      </c>
    </row>
    <row r="54" spans="1:4" ht="15.75" customHeight="1" x14ac:dyDescent="0.25">
      <c r="B54" s="11" t="s">
        <v>48</v>
      </c>
      <c r="C54" s="100">
        <v>2.8</v>
      </c>
    </row>
    <row r="55" spans="1:4" ht="15.75" customHeight="1" x14ac:dyDescent="0.25">
      <c r="B55" s="11" t="s">
        <v>49</v>
      </c>
      <c r="C55" s="100">
        <v>2.8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1.6428571428571431E-2</v>
      </c>
    </row>
    <row r="59" spans="1:4" ht="15.75" customHeight="1" x14ac:dyDescent="0.25">
      <c r="B59" s="11" t="s">
        <v>52</v>
      </c>
      <c r="C59" s="45">
        <v>0.61777399999999993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3.3956865999999898E-2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26012</v>
      </c>
      <c r="C2" s="49">
        <v>99117.499999999985</v>
      </c>
      <c r="D2" s="49">
        <v>181062.5</v>
      </c>
      <c r="E2" s="49">
        <v>209029</v>
      </c>
      <c r="F2" s="49">
        <v>203821</v>
      </c>
      <c r="G2" s="17">
        <f t="shared" ref="G2:G13" si="0">C2+D2+E2+F2</f>
        <v>693030</v>
      </c>
      <c r="H2" s="17">
        <f t="shared" ref="H2:H13" si="1">(B2 + stillbirth*B2/(1000-stillbirth))/(1-abortion)</f>
        <v>29638.617544071338</v>
      </c>
      <c r="I2" s="17">
        <f t="shared" ref="I2:I13" si="2">G2-H2</f>
        <v>663391.38245592872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25670</v>
      </c>
      <c r="C3" s="50">
        <v>99296.5</v>
      </c>
      <c r="D3" s="50">
        <v>178038</v>
      </c>
      <c r="E3" s="50">
        <v>205194</v>
      </c>
      <c r="F3" s="50">
        <v>204158.5</v>
      </c>
      <c r="G3" s="17">
        <f t="shared" si="0"/>
        <v>686687</v>
      </c>
      <c r="H3" s="17">
        <f t="shared" si="1"/>
        <v>29248.935581897247</v>
      </c>
      <c r="I3" s="17">
        <f t="shared" si="2"/>
        <v>657438.06441810273</v>
      </c>
    </row>
    <row r="4" spans="1:9" ht="15.75" customHeight="1" x14ac:dyDescent="0.25">
      <c r="A4" s="5">
        <f t="shared" si="3"/>
        <v>2026</v>
      </c>
      <c r="B4" s="49">
        <v>25427</v>
      </c>
      <c r="C4" s="50">
        <v>99502.5</v>
      </c>
      <c r="D4" s="50">
        <v>173805.5</v>
      </c>
      <c r="E4" s="50">
        <v>202989.5</v>
      </c>
      <c r="F4" s="50">
        <v>204094</v>
      </c>
      <c r="G4" s="17">
        <f t="shared" si="0"/>
        <v>680391.5</v>
      </c>
      <c r="H4" s="17">
        <f t="shared" si="1"/>
        <v>28972.056292984082</v>
      </c>
      <c r="I4" s="17">
        <f t="shared" si="2"/>
        <v>651419.44370701595</v>
      </c>
    </row>
    <row r="5" spans="1:9" ht="15.75" customHeight="1" x14ac:dyDescent="0.25">
      <c r="A5" s="5">
        <f t="shared" si="3"/>
        <v>2027</v>
      </c>
      <c r="B5" s="49">
        <v>25100</v>
      </c>
      <c r="C5" s="50">
        <v>99351.499999999985</v>
      </c>
      <c r="D5" s="50">
        <v>169498</v>
      </c>
      <c r="E5" s="50">
        <v>201283.5</v>
      </c>
      <c r="F5" s="50">
        <v>203637.5</v>
      </c>
      <c r="G5" s="17">
        <f t="shared" si="0"/>
        <v>673770.5</v>
      </c>
      <c r="H5" s="17">
        <f t="shared" si="1"/>
        <v>28599.465644940432</v>
      </c>
      <c r="I5" s="17">
        <f t="shared" si="2"/>
        <v>645171.03435505962</v>
      </c>
    </row>
    <row r="6" spans="1:9" ht="15.75" customHeight="1" x14ac:dyDescent="0.25">
      <c r="A6" s="5">
        <f t="shared" si="3"/>
        <v>2028</v>
      </c>
      <c r="B6" s="49">
        <v>24813</v>
      </c>
      <c r="C6" s="50">
        <v>98419.5</v>
      </c>
      <c r="D6" s="50">
        <v>166361</v>
      </c>
      <c r="E6" s="50">
        <v>198853.5</v>
      </c>
      <c r="F6" s="50">
        <v>203291</v>
      </c>
      <c r="G6" s="17">
        <f t="shared" si="0"/>
        <v>666925</v>
      </c>
      <c r="H6" s="17">
        <f t="shared" si="1"/>
        <v>28272.451834577965</v>
      </c>
      <c r="I6" s="17">
        <f t="shared" si="2"/>
        <v>638652.54816542205</v>
      </c>
    </row>
    <row r="7" spans="1:9" ht="15.75" customHeight="1" x14ac:dyDescent="0.25">
      <c r="A7" s="5">
        <f t="shared" si="3"/>
        <v>2029</v>
      </c>
      <c r="B7" s="49">
        <v>24601</v>
      </c>
      <c r="C7" s="50">
        <v>97154</v>
      </c>
      <c r="D7" s="50">
        <v>164787</v>
      </c>
      <c r="E7" s="50">
        <v>195323</v>
      </c>
      <c r="F7" s="50">
        <v>202814.5</v>
      </c>
      <c r="G7" s="17">
        <f t="shared" si="0"/>
        <v>660078.5</v>
      </c>
      <c r="H7" s="17">
        <f t="shared" si="1"/>
        <v>28030.89459486771</v>
      </c>
      <c r="I7" s="17">
        <f t="shared" si="2"/>
        <v>632047.60540513229</v>
      </c>
    </row>
    <row r="8" spans="1:9" ht="15.75" customHeight="1" x14ac:dyDescent="0.25">
      <c r="A8" s="5">
        <f t="shared" si="3"/>
        <v>2030</v>
      </c>
      <c r="B8" s="49">
        <v>24424</v>
      </c>
      <c r="C8" s="50">
        <v>96020</v>
      </c>
      <c r="D8" s="50">
        <v>164179.5</v>
      </c>
      <c r="E8" s="50">
        <v>191209.5</v>
      </c>
      <c r="F8" s="50">
        <v>201770.5</v>
      </c>
      <c r="G8" s="17">
        <f t="shared" si="0"/>
        <v>653179.5</v>
      </c>
      <c r="H8" s="17">
        <f t="shared" si="1"/>
        <v>27829.217088128491</v>
      </c>
      <c r="I8" s="17">
        <f t="shared" si="2"/>
        <v>625350.28291187156</v>
      </c>
    </row>
    <row r="9" spans="1:9" ht="15.75" customHeight="1" x14ac:dyDescent="0.25">
      <c r="A9" s="5">
        <f t="shared" si="3"/>
        <v>2031</v>
      </c>
      <c r="B9" s="49">
        <v>24208</v>
      </c>
      <c r="C9" s="50">
        <v>95117.5</v>
      </c>
      <c r="D9" s="50">
        <v>163955</v>
      </c>
      <c r="E9" s="50">
        <v>186860.5</v>
      </c>
      <c r="F9" s="50">
        <v>200123.5</v>
      </c>
      <c r="G9" s="17">
        <f t="shared" si="0"/>
        <v>646056.5</v>
      </c>
      <c r="H9" s="17">
        <f t="shared" si="1"/>
        <v>27583.102164650121</v>
      </c>
      <c r="I9" s="17">
        <f t="shared" si="2"/>
        <v>618473.3978353499</v>
      </c>
    </row>
    <row r="10" spans="1:9" ht="15.75" customHeight="1" x14ac:dyDescent="0.25">
      <c r="A10" s="5">
        <f t="shared" si="3"/>
        <v>2032</v>
      </c>
      <c r="B10" s="49">
        <v>24014</v>
      </c>
      <c r="C10" s="50">
        <v>94227</v>
      </c>
      <c r="D10" s="50">
        <v>163971</v>
      </c>
      <c r="E10" s="50">
        <v>183331.5</v>
      </c>
      <c r="F10" s="50">
        <v>198178</v>
      </c>
      <c r="G10" s="17">
        <f t="shared" si="0"/>
        <v>639707.5</v>
      </c>
      <c r="H10" s="17">
        <f t="shared" si="1"/>
        <v>27362.054501896397</v>
      </c>
      <c r="I10" s="17">
        <f t="shared" si="2"/>
        <v>612345.44549810363</v>
      </c>
    </row>
    <row r="11" spans="1:9" ht="15.75" customHeight="1" x14ac:dyDescent="0.25">
      <c r="A11" s="5">
        <f t="shared" si="3"/>
        <v>2033</v>
      </c>
      <c r="B11" s="49">
        <v>23864</v>
      </c>
      <c r="C11" s="50">
        <v>93238</v>
      </c>
      <c r="D11" s="50">
        <v>163829.5</v>
      </c>
      <c r="E11" s="50">
        <v>181532</v>
      </c>
      <c r="F11" s="50">
        <v>195091</v>
      </c>
      <c r="G11" s="17">
        <f t="shared" si="0"/>
        <v>633690.5</v>
      </c>
      <c r="H11" s="17">
        <f t="shared" si="1"/>
        <v>27191.141360591973</v>
      </c>
      <c r="I11" s="17">
        <f t="shared" si="2"/>
        <v>606499.35863940802</v>
      </c>
    </row>
    <row r="12" spans="1:9" ht="15.75" customHeight="1" x14ac:dyDescent="0.25">
      <c r="A12" s="5">
        <f t="shared" si="3"/>
        <v>2034</v>
      </c>
      <c r="B12" s="49">
        <v>23641</v>
      </c>
      <c r="C12" s="50">
        <v>92137.500000000015</v>
      </c>
      <c r="D12" s="50">
        <v>163187.5</v>
      </c>
      <c r="E12" s="50">
        <v>179981.5</v>
      </c>
      <c r="F12" s="50">
        <v>189920</v>
      </c>
      <c r="G12" s="17">
        <f t="shared" si="0"/>
        <v>625226.5</v>
      </c>
      <c r="H12" s="17">
        <f t="shared" si="1"/>
        <v>26937.050490519392</v>
      </c>
      <c r="I12" s="17">
        <f t="shared" si="2"/>
        <v>598289.44950948062</v>
      </c>
    </row>
    <row r="13" spans="1:9" ht="15.75" customHeight="1" x14ac:dyDescent="0.25">
      <c r="A13" s="5">
        <f t="shared" si="3"/>
        <v>2035</v>
      </c>
      <c r="B13" s="49">
        <v>23479</v>
      </c>
      <c r="C13" s="50">
        <v>90529.999999999985</v>
      </c>
      <c r="D13" s="50">
        <v>162392</v>
      </c>
      <c r="E13" s="50">
        <v>176967</v>
      </c>
      <c r="F13" s="50">
        <v>184680</v>
      </c>
      <c r="G13" s="17">
        <f t="shared" si="0"/>
        <v>614569</v>
      </c>
      <c r="H13" s="17">
        <f t="shared" si="1"/>
        <v>26752.464297910617</v>
      </c>
      <c r="I13" s="17">
        <f t="shared" si="2"/>
        <v>587816.53570208943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101">
        <v>4.6125695387430402E-2</v>
      </c>
    </row>
    <row r="5" spans="1:8" ht="15.75" customHeight="1" x14ac:dyDescent="0.25">
      <c r="B5" s="19" t="s">
        <v>70</v>
      </c>
      <c r="C5" s="101">
        <v>2.2718797728120219E-2</v>
      </c>
    </row>
    <row r="6" spans="1:8" ht="15.75" customHeight="1" x14ac:dyDescent="0.25">
      <c r="B6" s="19" t="s">
        <v>71</v>
      </c>
      <c r="C6" s="101">
        <v>0.17007988299201179</v>
      </c>
    </row>
    <row r="7" spans="1:8" ht="15.75" customHeight="1" x14ac:dyDescent="0.25">
      <c r="B7" s="19" t="s">
        <v>72</v>
      </c>
      <c r="C7" s="101">
        <v>0.39910116008988411</v>
      </c>
    </row>
    <row r="8" spans="1:8" ht="15.75" customHeight="1" x14ac:dyDescent="0.25">
      <c r="B8" s="19" t="s">
        <v>73</v>
      </c>
      <c r="C8" s="101">
        <v>0</v>
      </c>
    </row>
    <row r="9" spans="1:8" ht="15.75" customHeight="1" x14ac:dyDescent="0.25">
      <c r="B9" s="19" t="s">
        <v>74</v>
      </c>
      <c r="C9" s="101">
        <v>0.28086277191372289</v>
      </c>
    </row>
    <row r="10" spans="1:8" ht="15.75" customHeight="1" x14ac:dyDescent="0.25">
      <c r="B10" s="19" t="s">
        <v>75</v>
      </c>
      <c r="C10" s="101">
        <v>8.1111691888830689E-2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7.7534246653063301E-3</v>
      </c>
      <c r="D14" s="55">
        <v>7.7534246653063301E-3</v>
      </c>
      <c r="E14" s="55">
        <v>7.7534246653063301E-3</v>
      </c>
      <c r="F14" s="55">
        <v>7.7534246653063301E-3</v>
      </c>
    </row>
    <row r="15" spans="1:8" ht="15.75" customHeight="1" x14ac:dyDescent="0.25">
      <c r="B15" s="19" t="s">
        <v>82</v>
      </c>
      <c r="C15" s="101">
        <v>8.1529085162002718E-2</v>
      </c>
      <c r="D15" s="101">
        <v>8.1529085162002718E-2</v>
      </c>
      <c r="E15" s="101">
        <v>8.1529085162002718E-2</v>
      </c>
      <c r="F15" s="101">
        <v>8.1529085162002718E-2</v>
      </c>
    </row>
    <row r="16" spans="1:8" ht="15.75" customHeight="1" x14ac:dyDescent="0.25">
      <c r="B16" s="19" t="s">
        <v>83</v>
      </c>
      <c r="C16" s="101">
        <v>1.8139470884927539E-2</v>
      </c>
      <c r="D16" s="101">
        <v>1.8139470884927539E-2</v>
      </c>
      <c r="E16" s="101">
        <v>1.8139470884927539E-2</v>
      </c>
      <c r="F16" s="101">
        <v>1.8139470884927539E-2</v>
      </c>
    </row>
    <row r="17" spans="1:8" ht="15.75" customHeight="1" x14ac:dyDescent="0.25">
      <c r="B17" s="19" t="s">
        <v>84</v>
      </c>
      <c r="C17" s="101">
        <v>8.1429359592676109E-2</v>
      </c>
      <c r="D17" s="101">
        <v>8.1429359592676109E-2</v>
      </c>
      <c r="E17" s="101">
        <v>8.1429359592676109E-2</v>
      </c>
      <c r="F17" s="101">
        <v>8.1429359592676109E-2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2.3805046369849939E-2</v>
      </c>
      <c r="D19" s="101">
        <v>2.3805046369849939E-2</v>
      </c>
      <c r="E19" s="101">
        <v>2.3805046369849939E-2</v>
      </c>
      <c r="F19" s="101">
        <v>2.3805046369849939E-2</v>
      </c>
    </row>
    <row r="20" spans="1:8" ht="15.75" customHeight="1" x14ac:dyDescent="0.25">
      <c r="B20" s="19" t="s">
        <v>87</v>
      </c>
      <c r="C20" s="101">
        <v>0</v>
      </c>
      <c r="D20" s="101">
        <v>0</v>
      </c>
      <c r="E20" s="101">
        <v>0</v>
      </c>
      <c r="F20" s="101">
        <v>0</v>
      </c>
    </row>
    <row r="21" spans="1:8" ht="15.75" customHeight="1" x14ac:dyDescent="0.25">
      <c r="B21" s="19" t="s">
        <v>88</v>
      </c>
      <c r="C21" s="101">
        <v>0.1357873267302955</v>
      </c>
      <c r="D21" s="101">
        <v>0.1357873267302955</v>
      </c>
      <c r="E21" s="101">
        <v>0.1357873267302955</v>
      </c>
      <c r="F21" s="101">
        <v>0.1357873267302955</v>
      </c>
    </row>
    <row r="22" spans="1:8" ht="15.75" customHeight="1" x14ac:dyDescent="0.25">
      <c r="B22" s="19" t="s">
        <v>89</v>
      </c>
      <c r="C22" s="101">
        <v>0.6515562865949418</v>
      </c>
      <c r="D22" s="101">
        <v>0.6515562865949418</v>
      </c>
      <c r="E22" s="101">
        <v>0.6515562865949418</v>
      </c>
      <c r="F22" s="101">
        <v>0.6515562865949418</v>
      </c>
    </row>
    <row r="23" spans="1:8" ht="15.75" customHeight="1" x14ac:dyDescent="0.25">
      <c r="B23" s="27" t="s">
        <v>30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5.5773718999999999E-2</v>
      </c>
    </row>
    <row r="27" spans="1:8" ht="15.75" customHeight="1" x14ac:dyDescent="0.25">
      <c r="B27" s="19" t="s">
        <v>92</v>
      </c>
      <c r="C27" s="101">
        <v>5.7652142000000003E-2</v>
      </c>
    </row>
    <row r="28" spans="1:8" ht="15.75" customHeight="1" x14ac:dyDescent="0.25">
      <c r="B28" s="19" t="s">
        <v>93</v>
      </c>
      <c r="C28" s="101">
        <v>0.12384268499999999</v>
      </c>
    </row>
    <row r="29" spans="1:8" ht="15.75" customHeight="1" x14ac:dyDescent="0.25">
      <c r="B29" s="19" t="s">
        <v>94</v>
      </c>
      <c r="C29" s="101">
        <v>0.136252816</v>
      </c>
    </row>
    <row r="30" spans="1:8" ht="15.75" customHeight="1" x14ac:dyDescent="0.25">
      <c r="B30" s="19" t="s">
        <v>95</v>
      </c>
      <c r="C30" s="101">
        <v>8.3258572000000003E-2</v>
      </c>
    </row>
    <row r="31" spans="1:8" ht="15.75" customHeight="1" x14ac:dyDescent="0.25">
      <c r="B31" s="19" t="s">
        <v>96</v>
      </c>
      <c r="C31" s="101">
        <v>6.5980006999999993E-2</v>
      </c>
    </row>
    <row r="32" spans="1:8" ht="15.75" customHeight="1" x14ac:dyDescent="0.25">
      <c r="B32" s="19" t="s">
        <v>97</v>
      </c>
      <c r="C32" s="101">
        <v>0.12997820099999999</v>
      </c>
    </row>
    <row r="33" spans="2:3" ht="15.75" customHeight="1" x14ac:dyDescent="0.25">
      <c r="B33" s="19" t="s">
        <v>98</v>
      </c>
      <c r="C33" s="101">
        <v>0.124636924</v>
      </c>
    </row>
    <row r="34" spans="2:3" ht="15.75" customHeight="1" x14ac:dyDescent="0.25">
      <c r="B34" s="19" t="s">
        <v>99</v>
      </c>
      <c r="C34" s="101">
        <v>0.222624933</v>
      </c>
    </row>
    <row r="35" spans="2:3" ht="15.75" customHeight="1" x14ac:dyDescent="0.25">
      <c r="B35" s="27" t="s">
        <v>30</v>
      </c>
      <c r="C35" s="48">
        <f>SUM(C26:C34)</f>
        <v>0.99999999899999992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0.50112147523159711</v>
      </c>
      <c r="D2" s="52">
        <f>IFERROR(1-_xlfn.NORM.DIST(_xlfn.NORM.INV(SUM(D4:D5), 0, 1) + 1, 0, 1, TRUE), "")</f>
        <v>0.50112147523159711</v>
      </c>
      <c r="E2" s="52">
        <f>IFERROR(1-_xlfn.NORM.DIST(_xlfn.NORM.INV(SUM(E4:E5), 0, 1) + 1, 0, 1, TRUE), "")</f>
        <v>0.61554519945040442</v>
      </c>
      <c r="F2" s="52">
        <f>IFERROR(1-_xlfn.NORM.DIST(_xlfn.NORM.INV(SUM(F4:F5), 0, 1) + 1, 0, 1, TRUE), "")</f>
        <v>0.53603353327546466</v>
      </c>
      <c r="G2" s="52">
        <f>IFERROR(1-_xlfn.NORM.DIST(_xlfn.NORM.INV(SUM(G4:G5), 0, 1) + 1, 0, 1, TRUE), "")</f>
        <v>0.70806578736331471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0.34090252476840283</v>
      </c>
      <c r="D3" s="52">
        <f>IFERROR(_xlfn.NORM.DIST(_xlfn.NORM.INV(SUM(D4:D5), 0, 1) + 1, 0, 1, TRUE) - SUM(D4:D5), "")</f>
        <v>0.34090252476840283</v>
      </c>
      <c r="E3" s="52">
        <f>IFERROR(_xlfn.NORM.DIST(_xlfn.NORM.INV(SUM(E4:E5), 0, 1) + 1, 0, 1, TRUE) - SUM(E4:E5), "")</f>
        <v>0.28658780054959565</v>
      </c>
      <c r="F3" s="52">
        <f>IFERROR(_xlfn.NORM.DIST(_xlfn.NORM.INV(SUM(F4:F5), 0, 1) + 1, 0, 1, TRUE) - SUM(F4:F5), "")</f>
        <v>0.32620806672453534</v>
      </c>
      <c r="G3" s="52">
        <f>IFERROR(_xlfn.NORM.DIST(_xlfn.NORM.INV(SUM(G4:G5), 0, 1) + 1, 0, 1, TRUE) - SUM(G4:G5), "")</f>
        <v>0.23109211263668522</v>
      </c>
    </row>
    <row r="4" spans="1:15" ht="15.75" customHeight="1" x14ac:dyDescent="0.25">
      <c r="B4" s="5" t="s">
        <v>104</v>
      </c>
      <c r="C4" s="45">
        <v>7.4163300000000001E-2</v>
      </c>
      <c r="D4" s="53">
        <v>7.4163300000000001E-2</v>
      </c>
      <c r="E4" s="53">
        <v>7.3369099999999993E-2</v>
      </c>
      <c r="F4" s="53">
        <v>7.6801899999999992E-2</v>
      </c>
      <c r="G4" s="53">
        <v>3.5029100000000001E-2</v>
      </c>
    </row>
    <row r="5" spans="1:15" ht="15.75" customHeight="1" x14ac:dyDescent="0.25">
      <c r="B5" s="5" t="s">
        <v>105</v>
      </c>
      <c r="C5" s="45">
        <v>8.3812700000000004E-2</v>
      </c>
      <c r="D5" s="53">
        <v>8.3812700000000004E-2</v>
      </c>
      <c r="E5" s="53">
        <v>2.44979E-2</v>
      </c>
      <c r="F5" s="53">
        <v>6.0956499999999997E-2</v>
      </c>
      <c r="G5" s="53">
        <v>2.5812999999999999E-2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0.63714872393189437</v>
      </c>
      <c r="D8" s="52">
        <f>IFERROR(1-_xlfn.NORM.DIST(_xlfn.NORM.INV(SUM(D10:D11), 0, 1) + 1, 0, 1, TRUE), "")</f>
        <v>0.63714872393189437</v>
      </c>
      <c r="E8" s="52">
        <f>IFERROR(1-_xlfn.NORM.DIST(_xlfn.NORM.INV(SUM(E10:E11), 0, 1) + 1, 0, 1, TRUE), "")</f>
        <v>0.86938784466071861</v>
      </c>
      <c r="F8" s="52">
        <f>IFERROR(1-_xlfn.NORM.DIST(_xlfn.NORM.INV(SUM(F10:F11), 0, 1) + 1, 0, 1, TRUE), "")</f>
        <v>0.89500381064790036</v>
      </c>
      <c r="G8" s="52">
        <f>IFERROR(1-_xlfn.NORM.DIST(_xlfn.NORM.INV(SUM(G10:G11), 0, 1) + 1, 0, 1, TRUE), "")</f>
        <v>0.8660740585421659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0.27447917606810562</v>
      </c>
      <c r="D9" s="52">
        <f>IFERROR(_xlfn.NORM.DIST(_xlfn.NORM.INV(SUM(D10:D11), 0, 1) + 1, 0, 1, TRUE) - SUM(D10:D11), "")</f>
        <v>0.27447917606810562</v>
      </c>
      <c r="E9" s="52">
        <f>IFERROR(_xlfn.NORM.DIST(_xlfn.NORM.INV(SUM(E10:E11), 0, 1) + 1, 0, 1, TRUE) - SUM(E10:E11), "")</f>
        <v>0.11375625533928144</v>
      </c>
      <c r="F9" s="52">
        <f>IFERROR(_xlfn.NORM.DIST(_xlfn.NORM.INV(SUM(F10:F11), 0, 1) + 1, 0, 1, TRUE) - SUM(F10:F11), "")</f>
        <v>9.2885089352099659E-2</v>
      </c>
      <c r="G9" s="52">
        <f>IFERROR(_xlfn.NORM.DIST(_xlfn.NORM.INV(SUM(G10:G11), 0, 1) + 1, 0, 1, TRUE) - SUM(G10:G11), "")</f>
        <v>0.11641144145783412</v>
      </c>
    </row>
    <row r="10" spans="1:15" ht="15.75" customHeight="1" x14ac:dyDescent="0.25">
      <c r="B10" s="5" t="s">
        <v>109</v>
      </c>
      <c r="C10" s="45">
        <v>1.5284000000000001E-2</v>
      </c>
      <c r="D10" s="53">
        <v>1.5284000000000001E-2</v>
      </c>
      <c r="E10" s="53">
        <v>1.68559E-2</v>
      </c>
      <c r="F10" s="53">
        <v>6.0133999999999986E-3</v>
      </c>
      <c r="G10" s="53">
        <v>5.8563E-3</v>
      </c>
    </row>
    <row r="11" spans="1:15" ht="15.75" customHeight="1" x14ac:dyDescent="0.25">
      <c r="B11" s="5" t="s">
        <v>110</v>
      </c>
      <c r="C11" s="45">
        <v>7.3088100000000003E-2</v>
      </c>
      <c r="D11" s="53">
        <v>7.3088100000000003E-2</v>
      </c>
      <c r="E11" s="53">
        <v>0</v>
      </c>
      <c r="F11" s="53">
        <v>6.0977000000000002E-3</v>
      </c>
      <c r="G11" s="53">
        <v>1.1658200000000001E-2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0.41136791174999998</v>
      </c>
      <c r="D14" s="54">
        <v>0.41779542736699998</v>
      </c>
      <c r="E14" s="54">
        <v>0.41779542736699998</v>
      </c>
      <c r="F14" s="54">
        <v>0.219470227804</v>
      </c>
      <c r="G14" s="54">
        <v>0.219470227804</v>
      </c>
      <c r="H14" s="45">
        <v>0.29799999999999999</v>
      </c>
      <c r="I14" s="55">
        <v>0.29799999999999999</v>
      </c>
      <c r="J14" s="55">
        <v>0.29799999999999999</v>
      </c>
      <c r="K14" s="55">
        <v>0.29799999999999999</v>
      </c>
      <c r="L14" s="45">
        <v>0.29399999999999998</v>
      </c>
      <c r="M14" s="55">
        <v>0.29399999999999998</v>
      </c>
      <c r="N14" s="55">
        <v>0.29399999999999998</v>
      </c>
      <c r="O14" s="55">
        <v>0.29399999999999998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0.25413240031344447</v>
      </c>
      <c r="D15" s="52">
        <f t="shared" si="0"/>
        <v>0.258103152346221</v>
      </c>
      <c r="E15" s="52">
        <f t="shared" si="0"/>
        <v>0.258103152346221</v>
      </c>
      <c r="F15" s="52">
        <f t="shared" si="0"/>
        <v>0.13558300051138827</v>
      </c>
      <c r="G15" s="52">
        <f t="shared" si="0"/>
        <v>0.13558300051138827</v>
      </c>
      <c r="H15" s="52">
        <f t="shared" si="0"/>
        <v>0.18409665199999997</v>
      </c>
      <c r="I15" s="52">
        <f t="shared" si="0"/>
        <v>0.18409665199999997</v>
      </c>
      <c r="J15" s="52">
        <f t="shared" si="0"/>
        <v>0.18409665199999997</v>
      </c>
      <c r="K15" s="52">
        <f t="shared" si="0"/>
        <v>0.18409665199999997</v>
      </c>
      <c r="L15" s="52">
        <f t="shared" si="0"/>
        <v>0.18162555599999997</v>
      </c>
      <c r="M15" s="52">
        <f t="shared" si="0"/>
        <v>0.18162555599999997</v>
      </c>
      <c r="N15" s="52">
        <f t="shared" si="0"/>
        <v>0.18162555599999997</v>
      </c>
      <c r="O15" s="52">
        <f t="shared" si="0"/>
        <v>0.18162555599999997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0.29851899999999998</v>
      </c>
      <c r="D2" s="53">
        <v>0.1619959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0.28573409999999999</v>
      </c>
      <c r="D3" s="53">
        <v>0.27325430000000001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0.29176390000000002</v>
      </c>
      <c r="D4" s="53">
        <v>0.28245730000000002</v>
      </c>
      <c r="E4" s="53">
        <v>0.45839709999999989</v>
      </c>
      <c r="F4" s="53">
        <v>0.1173019</v>
      </c>
      <c r="G4" s="53">
        <v>0</v>
      </c>
    </row>
    <row r="5" spans="1:7" x14ac:dyDescent="0.25">
      <c r="B5" s="3" t="s">
        <v>122</v>
      </c>
      <c r="C5" s="52">
        <v>0.123983</v>
      </c>
      <c r="D5" s="52">
        <v>0.2822924</v>
      </c>
      <c r="E5" s="52">
        <f>1-SUM(E2:E4)</f>
        <v>0.54160290000000011</v>
      </c>
      <c r="F5" s="52">
        <f>1-SUM(F2:F4)</f>
        <v>0.88269810000000004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6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62.267198925302971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39.975115048626499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480.84054251477158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8.0604528320334623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13.107414492422411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13.107414492422411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13.107414492422411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13.107414492422411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13.107414492422411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13.107414492422411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</v>
      </c>
      <c r="C16" s="98">
        <v>0.95</v>
      </c>
      <c r="D16" s="56">
        <v>0.81418029231775391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0.1619959</v>
      </c>
      <c r="C18" s="98">
        <v>0.95</v>
      </c>
      <c r="D18" s="56">
        <v>11.065100889871371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0.1619959</v>
      </c>
      <c r="C19" s="98">
        <v>0.95</v>
      </c>
      <c r="D19" s="56">
        <v>11.065100889871371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79.90136660715082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22.669145438411171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4.3388595676177406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0.917419377713932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18.641484890005319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0.36322349999999998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123.32014378516121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1.7708964965206571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1.7579636017261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0.97261049999999993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0.19614500000000001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5.4630999999999994E-3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0.95155970000000001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</v>
      </c>
      <c r="C38" s="98">
        <v>0.95</v>
      </c>
      <c r="D38" s="56">
        <v>2.7958272003703142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C8" sqref="C8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 t="s">
        <v>193</v>
      </c>
      <c r="B9" s="58" t="s">
        <v>192</v>
      </c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2.8</v>
      </c>
      <c r="C2" s="21">
        <f>'Baseline year population inputs'!C52</f>
        <v>2.8</v>
      </c>
      <c r="D2" s="21">
        <f>'Baseline year population inputs'!C53</f>
        <v>2.8</v>
      </c>
      <c r="E2" s="21">
        <f>'Baseline year population inputs'!C54</f>
        <v>2.8</v>
      </c>
      <c r="F2" s="21">
        <f>'Baseline year population inputs'!C55</f>
        <v>2.8</v>
      </c>
    </row>
    <row r="3" spans="1:6" ht="15.75" customHeight="1" x14ac:dyDescent="0.25">
      <c r="A3" s="3" t="s">
        <v>204</v>
      </c>
      <c r="B3" s="21">
        <f>frac_mam_1month * 2.6</f>
        <v>3.97384E-2</v>
      </c>
      <c r="C3" s="21">
        <f>frac_mam_1_5months * 2.6</f>
        <v>3.97384E-2</v>
      </c>
      <c r="D3" s="21">
        <f>frac_mam_6_11months * 2.6</f>
        <v>4.3825340000000004E-2</v>
      </c>
      <c r="E3" s="21">
        <f>frac_mam_12_23months * 2.6</f>
        <v>1.5634839999999997E-2</v>
      </c>
      <c r="F3" s="21">
        <f>frac_mam_24_59months * 2.6</f>
        <v>1.5226380000000001E-2</v>
      </c>
    </row>
    <row r="4" spans="1:6" ht="15.75" customHeight="1" x14ac:dyDescent="0.25">
      <c r="A4" s="3" t="s">
        <v>205</v>
      </c>
      <c r="B4" s="21">
        <f>frac_sam_1month * 2.6</f>
        <v>0.19002906000000003</v>
      </c>
      <c r="C4" s="21">
        <f>frac_sam_1_5months * 2.6</f>
        <v>0.19002906000000003</v>
      </c>
      <c r="D4" s="21">
        <f>frac_sam_6_11months * 2.6</f>
        <v>0</v>
      </c>
      <c r="E4" s="21">
        <f>frac_sam_12_23months * 2.6</f>
        <v>1.585402E-2</v>
      </c>
      <c r="F4" s="21">
        <f>frac_sam_24_59months * 2.6</f>
        <v>3.0311320000000003E-2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1E-3</v>
      </c>
      <c r="E2" s="60">
        <f>food_insecure</f>
        <v>1E-3</v>
      </c>
      <c r="F2" s="60">
        <f>food_insecure</f>
        <v>1E-3</v>
      </c>
      <c r="G2" s="60">
        <f>food_insecure</f>
        <v>1E-3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1E-3</v>
      </c>
      <c r="F5" s="60">
        <f>food_insecure</f>
        <v>1E-3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1E-3</v>
      </c>
      <c r="F8" s="60">
        <f>food_insecure</f>
        <v>1E-3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1E-3</v>
      </c>
      <c r="F9" s="60">
        <f>food_insecure</f>
        <v>1E-3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1E-3</v>
      </c>
      <c r="I15" s="60">
        <f>food_insecure</f>
        <v>1E-3</v>
      </c>
      <c r="J15" s="60">
        <f>food_insecure</f>
        <v>1E-3</v>
      </c>
      <c r="K15" s="60">
        <f>food_insecure</f>
        <v>1E-3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0.78099999999999992</v>
      </c>
      <c r="M24" s="60">
        <f>famplan_unmet_need</f>
        <v>0.78099999999999992</v>
      </c>
      <c r="N24" s="60">
        <f>famplan_unmet_need</f>
        <v>0.78099999999999992</v>
      </c>
      <c r="O24" s="60">
        <f>famplan_unmet_need</f>
        <v>0.78099999999999992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4.3193734853506992E-2</v>
      </c>
      <c r="M25" s="60">
        <f>(1-food_insecure)*(0.49)+food_insecure*(0.7)</f>
        <v>0.49020999999999998</v>
      </c>
      <c r="N25" s="60">
        <f>(1-food_insecure)*(0.49)+food_insecure*(0.7)</f>
        <v>0.49020999999999998</v>
      </c>
      <c r="O25" s="60">
        <f>(1-food_insecure)*(0.49)+food_insecure*(0.7)</f>
        <v>0.49020999999999998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1.8511600651502997E-2</v>
      </c>
      <c r="M26" s="60">
        <f>(1-food_insecure)*(0.21)+food_insecure*(0.3)</f>
        <v>0.21009</v>
      </c>
      <c r="N26" s="60">
        <f>(1-food_insecure)*(0.21)+food_insecure*(0.3)</f>
        <v>0.21009</v>
      </c>
      <c r="O26" s="60">
        <f>(1-food_insecure)*(0.21)+food_insecure*(0.3)</f>
        <v>0.21009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2.640738119498999E-2</v>
      </c>
      <c r="M27" s="60">
        <f>(1-food_insecure)*(0.3)</f>
        <v>0.29969999999999997</v>
      </c>
      <c r="N27" s="60">
        <f>(1-food_insecure)*(0.3)</f>
        <v>0.29969999999999997</v>
      </c>
      <c r="O27" s="60">
        <f>(1-food_insecure)*(0.3)</f>
        <v>0.29969999999999997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0.91188728330000002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5" zoomScale="85" zoomScaleNormal="85" workbookViewId="0">
      <selection activeCell="C61" sqref="C61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61" sqref="C6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C61" sqref="C61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43" zoomScale="70" zoomScaleNormal="70" workbookViewId="0">
      <selection activeCell="C61" sqref="C61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61" sqref="C61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49" sqref="C49:O6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9">IF(E3=1,1,E3*1.05)</f>
        <v>1</v>
      </c>
      <c r="F49" s="90">
        <f t="shared" si="9"/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zoomScale="80" zoomScaleNormal="80" workbookViewId="0">
      <selection activeCell="C49" sqref="C49:O61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0.10999999999999999</v>
      </c>
      <c r="G18" s="90">
        <f>MIN(MAX(1-0.89/(1-frac_sam_12_23months+(frac_sam_12_23months*0.89)),0),1)</f>
        <v>0.10940263448887544</v>
      </c>
      <c r="H18" s="90">
        <f>MIN(MAX(1-0.89/(1-frac_sam_24_59months+(frac_sam_24_59months*0.89)),0),1)</f>
        <v>0.10885719668674554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0.10834674200333871</v>
      </c>
      <c r="G20" s="90">
        <f>MIN(MAX(1-0.89/(1-frac_mam_12_23months+(frac_mam_12_23months*0.89)),0),1)</f>
        <v>0.10941089846465102</v>
      </c>
      <c r="H20" s="90">
        <f>MIN(MAX(1-0.89/(1-frac_mam_24_59months+(frac_mam_24_59months*0.89)),0),1)</f>
        <v>0.10942629865560982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1.0000000000000009E-2</v>
      </c>
      <c r="G73" s="90">
        <f>MIN(MAX(1-0.99/(1-frac_sam_12_23months+(frac_sam_12_23months*0.99)),0),1)</f>
        <v>9.9396290887630023E-3</v>
      </c>
      <c r="H73" s="90">
        <f>MIN(MAX(1-0.99/(1-frac_sam_24_59months+(frac_sam_24_59months*0.99)),0),1)</f>
        <v>9.8845703629820703E-3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9.8330984572428948E-3</v>
      </c>
      <c r="G75" s="90">
        <f>MIN(MAX(1-0.99/(1-frac_mam_12_23months+(frac_mam_12_23months*0.99)),0),1)</f>
        <v>9.9404637598478063E-3</v>
      </c>
      <c r="H75" s="90">
        <f>MIN(MAX(1-0.99/(1-frac_mam_24_59months+(frac_mam_24_59months*0.99)),0),1)</f>
        <v>9.9420192344723546E-3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0.19999999999999996</v>
      </c>
      <c r="G128" s="90">
        <f>MIN(MAX(1-0.8/(1-frac_sam_12_23months+(frac_sam_12_23months*0.8)),0),1)</f>
        <v>0.19902317672494307</v>
      </c>
      <c r="H128" s="90">
        <f>MIN(MAX(1-0.8/(1-frac_sam_24_59months+(frac_sam_24_59months*0.8)),0),1)</f>
        <v>0.1981303285993754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0.19729393336227219</v>
      </c>
      <c r="G130" s="90">
        <f>MIN(MAX(1-0.8/(1-frac_mam_12_23months+(frac_mam_12_23months*0.8)),0),1)</f>
        <v>0.19903669745529562</v>
      </c>
      <c r="H130" s="90">
        <f>MIN(MAX(1-0.8/(1-frac_mam_24_59months+(frac_mam_24_59months*0.8)),0),1)</f>
        <v>0.19906189323306811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2024-06-18T06:54:17Z</dcterms:modified>
</cp:coreProperties>
</file>