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DD745A9-E453-44DB-B9B1-F329D0E8201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<sst xmlns="http://schemas.openxmlformats.org/spreadsheetml/2006/main" count="2101" uniqueCount="341">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</sst>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135579.033203125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3.7400000000000003E-2</v>
      </c>
    </row>
    <row r="24" spans="1:3" ht="15" customHeight="1" x14ac:dyDescent="0.25">
      <c r="B24" s="15" t="s">
        <v>22</v>
      </c>
      <c r="C24" s="45">
        <v>0.53110000000000002</v>
      </c>
    </row>
    <row r="25" spans="1:3" ht="15" customHeight="1" x14ac:dyDescent="0.25">
      <c r="B25" s="15" t="s">
        <v>23</v>
      </c>
      <c r="C25" s="45">
        <v>0.41370000000000001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4.0971299999999999</v>
      </c>
    </row>
    <row r="38" spans="1:5" ht="15" customHeight="1" x14ac:dyDescent="0.25">
      <c r="B38" s="11" t="s">
        <v>34</v>
      </c>
      <c r="C38" s="43">
        <v>4.8431699999999998</v>
      </c>
      <c r="D38" s="12"/>
      <c r="E38" s="13"/>
    </row>
    <row r="39" spans="1:5" ht="15" customHeight="1" x14ac:dyDescent="0.25">
      <c r="B39" s="11" t="s">
        <v>35</v>
      </c>
      <c r="C39" s="43">
        <v>5.6006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5.9451E-3</v>
      </c>
      <c r="D45" s="12"/>
    </row>
    <row r="46" spans="1:5" ht="15.75" customHeight="1" x14ac:dyDescent="0.25">
      <c r="B46" s="11" t="s">
        <v>41</v>
      </c>
      <c r="C46" s="45">
        <v>6.38793E-2</v>
      </c>
      <c r="D46" s="12"/>
    </row>
    <row r="47" spans="1:5" ht="15.75" customHeight="1" x14ac:dyDescent="0.25">
      <c r="B47" s="11" t="s">
        <v>42</v>
      </c>
      <c r="C47" s="45">
        <v>7.5347799999999993E-2</v>
      </c>
      <c r="D47" s="12"/>
      <c r="E47" s="13"/>
    </row>
    <row r="48" spans="1:5" ht="15" customHeight="1" x14ac:dyDescent="0.25">
      <c r="B48" s="11" t="s">
        <v>43</v>
      </c>
      <c r="C48" s="46">
        <v>0.85482780000000003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0.61777399999999993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26012</v>
      </c>
      <c r="C2" s="49">
        <v>99117.499999999985</v>
      </c>
      <c r="D2" s="49">
        <v>181062.5</v>
      </c>
      <c r="E2" s="49">
        <v>209029</v>
      </c>
      <c r="F2" s="49">
        <v>203821</v>
      </c>
      <c r="G2" s="17">
        <f t="shared" ref="G2:G13" si="0">C2+D2+E2+F2</f>
        <v>693030</v>
      </c>
      <c r="H2" s="17">
        <f t="shared" ref="H2:H13" si="1">(B2 + stillbirth*B2/(1000-stillbirth))/(1-abortion)</f>
        <v>29638.617544071338</v>
      </c>
      <c r="I2" s="17">
        <f t="shared" ref="I2:I13" si="2">G2-H2</f>
        <v>663391.38245592872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25670</v>
      </c>
      <c r="C3" s="50">
        <v>99296.5</v>
      </c>
      <c r="D3" s="50">
        <v>178038</v>
      </c>
      <c r="E3" s="50">
        <v>205194</v>
      </c>
      <c r="F3" s="50">
        <v>204158.5</v>
      </c>
      <c r="G3" s="17">
        <f t="shared" si="0"/>
        <v>686687</v>
      </c>
      <c r="H3" s="17">
        <f t="shared" si="1"/>
        <v>29248.935581897247</v>
      </c>
      <c r="I3" s="17">
        <f t="shared" si="2"/>
        <v>657438.06441810273</v>
      </c>
    </row>
    <row r="4" spans="1:9" ht="15.75" customHeight="1" x14ac:dyDescent="0.25">
      <c r="A4" s="5">
        <f t="shared" si="3"/>
        <v>2026</v>
      </c>
      <c r="B4" s="49">
        <v>25427</v>
      </c>
      <c r="C4" s="50">
        <v>99502.5</v>
      </c>
      <c r="D4" s="50">
        <v>173805.5</v>
      </c>
      <c r="E4" s="50">
        <v>202989.5</v>
      </c>
      <c r="F4" s="50">
        <v>204094</v>
      </c>
      <c r="G4" s="17">
        <f t="shared" si="0"/>
        <v>680391.5</v>
      </c>
      <c r="H4" s="17">
        <f t="shared" si="1"/>
        <v>28972.056292984082</v>
      </c>
      <c r="I4" s="17">
        <f t="shared" si="2"/>
        <v>651419.44370701595</v>
      </c>
    </row>
    <row r="5" spans="1:9" ht="15.75" customHeight="1" x14ac:dyDescent="0.25">
      <c r="A5" s="5">
        <f t="shared" si="3"/>
        <v>2027</v>
      </c>
      <c r="B5" s="49">
        <v>25100</v>
      </c>
      <c r="C5" s="50">
        <v>99351.499999999985</v>
      </c>
      <c r="D5" s="50">
        <v>169498</v>
      </c>
      <c r="E5" s="50">
        <v>201283.5</v>
      </c>
      <c r="F5" s="50">
        <v>203637.5</v>
      </c>
      <c r="G5" s="17">
        <f t="shared" si="0"/>
        <v>673770.5</v>
      </c>
      <c r="H5" s="17">
        <f t="shared" si="1"/>
        <v>28599.465644940432</v>
      </c>
      <c r="I5" s="17">
        <f t="shared" si="2"/>
        <v>645171.03435505962</v>
      </c>
    </row>
    <row r="6" spans="1:9" ht="15.75" customHeight="1" x14ac:dyDescent="0.25">
      <c r="A6" s="5">
        <f t="shared" si="3"/>
        <v>2028</v>
      </c>
      <c r="B6" s="49">
        <v>24813</v>
      </c>
      <c r="C6" s="50">
        <v>98419.5</v>
      </c>
      <c r="D6" s="50">
        <v>166361</v>
      </c>
      <c r="E6" s="50">
        <v>198853.5</v>
      </c>
      <c r="F6" s="50">
        <v>203291</v>
      </c>
      <c r="G6" s="17">
        <f t="shared" si="0"/>
        <v>666925</v>
      </c>
      <c r="H6" s="17">
        <f t="shared" si="1"/>
        <v>28272.451834577965</v>
      </c>
      <c r="I6" s="17">
        <f t="shared" si="2"/>
        <v>638652.54816542205</v>
      </c>
    </row>
    <row r="7" spans="1:9" ht="15.75" customHeight="1" x14ac:dyDescent="0.25">
      <c r="A7" s="5">
        <f t="shared" si="3"/>
        <v>2029</v>
      </c>
      <c r="B7" s="49">
        <v>24601</v>
      </c>
      <c r="C7" s="50">
        <v>97154</v>
      </c>
      <c r="D7" s="50">
        <v>164787</v>
      </c>
      <c r="E7" s="50">
        <v>195323</v>
      </c>
      <c r="F7" s="50">
        <v>202814.5</v>
      </c>
      <c r="G7" s="17">
        <f t="shared" si="0"/>
        <v>660078.5</v>
      </c>
      <c r="H7" s="17">
        <f t="shared" si="1"/>
        <v>28030.89459486771</v>
      </c>
      <c r="I7" s="17">
        <f t="shared" si="2"/>
        <v>632047.60540513229</v>
      </c>
    </row>
    <row r="8" spans="1:9" ht="15.75" customHeight="1" x14ac:dyDescent="0.25">
      <c r="A8" s="5">
        <f t="shared" si="3"/>
        <v>2030</v>
      </c>
      <c r="B8" s="49">
        <v>24424</v>
      </c>
      <c r="C8" s="50">
        <v>96020</v>
      </c>
      <c r="D8" s="50">
        <v>164179.5</v>
      </c>
      <c r="E8" s="50">
        <v>191209.5</v>
      </c>
      <c r="F8" s="50">
        <v>201770.5</v>
      </c>
      <c r="G8" s="17">
        <f t="shared" si="0"/>
        <v>653179.5</v>
      </c>
      <c r="H8" s="17">
        <f t="shared" si="1"/>
        <v>27829.217088128491</v>
      </c>
      <c r="I8" s="17">
        <f t="shared" si="2"/>
        <v>625350.28291187156</v>
      </c>
    </row>
    <row r="9" spans="1:9" ht="15.75" customHeight="1" x14ac:dyDescent="0.25">
      <c r="A9" s="5">
        <f t="shared" si="3"/>
        <v>2031</v>
      </c>
      <c r="B9" s="49">
        <v>24208</v>
      </c>
      <c r="C9" s="50">
        <v>95117.5</v>
      </c>
      <c r="D9" s="50">
        <v>163955</v>
      </c>
      <c r="E9" s="50">
        <v>186860.5</v>
      </c>
      <c r="F9" s="50">
        <v>200123.5</v>
      </c>
      <c r="G9" s="17">
        <f t="shared" si="0"/>
        <v>646056.5</v>
      </c>
      <c r="H9" s="17">
        <f t="shared" si="1"/>
        <v>27583.102164650121</v>
      </c>
      <c r="I9" s="17">
        <f t="shared" si="2"/>
        <v>618473.3978353499</v>
      </c>
    </row>
    <row r="10" spans="1:9" ht="15.75" customHeight="1" x14ac:dyDescent="0.25">
      <c r="A10" s="5">
        <f t="shared" si="3"/>
        <v>2032</v>
      </c>
      <c r="B10" s="49">
        <v>24014</v>
      </c>
      <c r="C10" s="50">
        <v>94227</v>
      </c>
      <c r="D10" s="50">
        <v>163971</v>
      </c>
      <c r="E10" s="50">
        <v>183331.5</v>
      </c>
      <c r="F10" s="50">
        <v>198178</v>
      </c>
      <c r="G10" s="17">
        <f t="shared" si="0"/>
        <v>639707.5</v>
      </c>
      <c r="H10" s="17">
        <f t="shared" si="1"/>
        <v>27362.054501896397</v>
      </c>
      <c r="I10" s="17">
        <f t="shared" si="2"/>
        <v>612345.44549810363</v>
      </c>
    </row>
    <row r="11" spans="1:9" ht="15.75" customHeight="1" x14ac:dyDescent="0.25">
      <c r="A11" s="5">
        <f t="shared" si="3"/>
        <v>2033</v>
      </c>
      <c r="B11" s="49">
        <v>23864</v>
      </c>
      <c r="C11" s="50">
        <v>93238</v>
      </c>
      <c r="D11" s="50">
        <v>163829.5</v>
      </c>
      <c r="E11" s="50">
        <v>181532</v>
      </c>
      <c r="F11" s="50">
        <v>195091</v>
      </c>
      <c r="G11" s="17">
        <f t="shared" si="0"/>
        <v>633690.5</v>
      </c>
      <c r="H11" s="17">
        <f t="shared" si="1"/>
        <v>27191.141360591973</v>
      </c>
      <c r="I11" s="17">
        <f t="shared" si="2"/>
        <v>606499.35863940802</v>
      </c>
    </row>
    <row r="12" spans="1:9" ht="15.75" customHeight="1" x14ac:dyDescent="0.25">
      <c r="A12" s="5">
        <f t="shared" si="3"/>
        <v>2034</v>
      </c>
      <c r="B12" s="49">
        <v>23641</v>
      </c>
      <c r="C12" s="50">
        <v>92137.500000000015</v>
      </c>
      <c r="D12" s="50">
        <v>163187.5</v>
      </c>
      <c r="E12" s="50">
        <v>179981.5</v>
      </c>
      <c r="F12" s="50">
        <v>189920</v>
      </c>
      <c r="G12" s="17">
        <f t="shared" si="0"/>
        <v>625226.5</v>
      </c>
      <c r="H12" s="17">
        <f t="shared" si="1"/>
        <v>26937.050490519392</v>
      </c>
      <c r="I12" s="17">
        <f t="shared" si="2"/>
        <v>598289.44950948062</v>
      </c>
    </row>
    <row r="13" spans="1:9" ht="15.75" customHeight="1" x14ac:dyDescent="0.25">
      <c r="A13" s="5">
        <f t="shared" si="3"/>
        <v>2035</v>
      </c>
      <c r="B13" s="49">
        <v>23479</v>
      </c>
      <c r="C13" s="50">
        <v>90529.999999999985</v>
      </c>
      <c r="D13" s="50">
        <v>162392</v>
      </c>
      <c r="E13" s="50">
        <v>176967</v>
      </c>
      <c r="F13" s="50">
        <v>184680</v>
      </c>
      <c r="G13" s="17">
        <f t="shared" si="0"/>
        <v>614569</v>
      </c>
      <c r="H13" s="17">
        <f t="shared" si="1"/>
        <v>26752.464297910617</v>
      </c>
      <c r="I13" s="17">
        <f t="shared" si="2"/>
        <v>587816.53570208943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4.6125695387430402E-2</v>
      </c>
    </row>
    <row r="5" spans="1:8" ht="15.75" customHeight="1" x14ac:dyDescent="0.25">
      <c r="B5" s="19" t="s">
        <v>70</v>
      </c>
      <c r="C5" s="101">
        <v>2.2718797728120219E-2</v>
      </c>
    </row>
    <row r="6" spans="1:8" ht="15.75" customHeight="1" x14ac:dyDescent="0.25">
      <c r="B6" s="19" t="s">
        <v>71</v>
      </c>
      <c r="C6" s="101">
        <v>0.17007988299201179</v>
      </c>
    </row>
    <row r="7" spans="1:8" ht="15.75" customHeight="1" x14ac:dyDescent="0.25">
      <c r="B7" s="19" t="s">
        <v>72</v>
      </c>
      <c r="C7" s="101">
        <v>0.39910116008988411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0.28086277191372289</v>
      </c>
    </row>
    <row r="10" spans="1:8" ht="15.75" customHeight="1" x14ac:dyDescent="0.25">
      <c r="B10" s="19" t="s">
        <v>75</v>
      </c>
      <c r="C10" s="101">
        <v>8.1111691888830689E-2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82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83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84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89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5.5773718999999999E-2</v>
      </c>
    </row>
    <row r="27" spans="1:8" ht="15.75" customHeight="1" x14ac:dyDescent="0.25">
      <c r="B27" s="19" t="s">
        <v>92</v>
      </c>
      <c r="C27" s="101">
        <v>5.7652142000000003E-2</v>
      </c>
    </row>
    <row r="28" spans="1:8" ht="15.75" customHeight="1" x14ac:dyDescent="0.25">
      <c r="B28" s="19" t="s">
        <v>93</v>
      </c>
      <c r="C28" s="101">
        <v>0.12384268499999999</v>
      </c>
    </row>
    <row r="29" spans="1:8" ht="15.75" customHeight="1" x14ac:dyDescent="0.25">
      <c r="B29" s="19" t="s">
        <v>94</v>
      </c>
      <c r="C29" s="101">
        <v>0.136252816</v>
      </c>
    </row>
    <row r="30" spans="1:8" ht="15.75" customHeight="1" x14ac:dyDescent="0.25">
      <c r="B30" s="19" t="s">
        <v>95</v>
      </c>
      <c r="C30" s="101">
        <v>8.3258572000000003E-2</v>
      </c>
    </row>
    <row r="31" spans="1:8" ht="15.75" customHeight="1" x14ac:dyDescent="0.25">
      <c r="B31" s="19" t="s">
        <v>96</v>
      </c>
      <c r="C31" s="101">
        <v>6.5980006999999993E-2</v>
      </c>
    </row>
    <row r="32" spans="1:8" ht="15.75" customHeight="1" x14ac:dyDescent="0.25">
      <c r="B32" s="19" t="s">
        <v>97</v>
      </c>
      <c r="C32" s="101">
        <v>0.12997820099999999</v>
      </c>
    </row>
    <row r="33" spans="2:3" ht="15.75" customHeight="1" x14ac:dyDescent="0.25">
      <c r="B33" s="19" t="s">
        <v>98</v>
      </c>
      <c r="C33" s="101">
        <v>0.124636924</v>
      </c>
    </row>
    <row r="34" spans="2:3" ht="15.75" customHeight="1" x14ac:dyDescent="0.25">
      <c r="B34" s="19" t="s">
        <v>99</v>
      </c>
      <c r="C34" s="101">
        <v>0.222624933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104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105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109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110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122</v>
      </c>
      <c r="C5" s="52">
        <v>0.123983</v>
      </c>
      <c r="D5" s="52">
        <v>0.2822924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62.267198925302971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39.975115048626499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480.84054251477158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8.0604528320334623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13.107414492422411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13.107414492422411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13.107414492422411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13.107414492422411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13.107414492422411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13.107414492422411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0.81418029231775391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0.1619959</v>
      </c>
      <c r="C18" s="98">
        <v>0.95</v>
      </c>
      <c r="D18" s="56">
        <v>11.065100889871371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0.1619959</v>
      </c>
      <c r="C19" s="98">
        <v>0.95</v>
      </c>
      <c r="D19" s="56">
        <v>11.065100889871371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79.90136660715082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22.669145438411171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4.3388595676177406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0.917419377713932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18.641484890005319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0.36322349999999998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123.32014378516121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1.7708964965206571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1.7579636017261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0.97261049999999993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0.19614500000000001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5.4630999999999994E-3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0.95155970000000001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2.7958272003703142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205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4.3193734853506992E-2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1.8511600651502997E-2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2.640738119498999E-2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0.10940263448887544</v>
      </c>
      <c r="H18" s="90">
        <f>MIN(MAX(1-0.89/(1-frac_sam_24_59months+(frac_sam_24_59months*0.89)),0),1)</f>
        <v>0.10885719668674554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0.10834674200333871</v>
      </c>
      <c r="G20" s="90">
        <f>MIN(MAX(1-0.89/(1-frac_mam_12_23months+(frac_mam_12_23months*0.89)),0),1)</f>
        <v>0.10941089846465102</v>
      </c>
      <c r="H20" s="90">
        <f>MIN(MAX(1-0.89/(1-frac_mam_24_59months+(frac_mam_24_59months*0.89)),0),1)</f>
        <v>0.10942629865560982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9.9396290887630023E-3</v>
      </c>
      <c r="H73" s="90">
        <f>MIN(MAX(1-0.99/(1-frac_sam_24_59months+(frac_sam_24_59months*0.99)),0),1)</f>
        <v>9.8845703629820703E-3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9.8330984572428948E-3</v>
      </c>
      <c r="G75" s="90">
        <f>MIN(MAX(1-0.99/(1-frac_mam_12_23months+(frac_mam_12_23months*0.99)),0),1)</f>
        <v>9.9404637598478063E-3</v>
      </c>
      <c r="H75" s="90">
        <f>MIN(MAX(1-0.99/(1-frac_mam_24_59months+(frac_mam_24_59months*0.99)),0),1)</f>
        <v>9.9420192344723546E-3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0.19902317672494307</v>
      </c>
      <c r="H128" s="90">
        <f>MIN(MAX(1-0.8/(1-frac_sam_24_59months+(frac_sam_24_59months*0.8)),0),1)</f>
        <v>0.1981303285993754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0.19729393336227219</v>
      </c>
      <c r="G130" s="90">
        <f>MIN(MAX(1-0.8/(1-frac_mam_12_23months+(frac_mam_12_23months*0.8)),0),1)</f>
        <v>0.19903669745529562</v>
      </c>
      <c r="H130" s="90">
        <f>MIN(MAX(1-0.8/(1-frac_mam_24_59months+(frac_mam_24_59months*0.8)),0),1)</f>
        <v>0.19906189323306811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2024-08-06T06:31:04Z</dcterms:modified>
</cp:coreProperties>
</file>