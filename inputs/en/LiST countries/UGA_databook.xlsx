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tharindu.wickram\Desktop\LiST Optima bridge\App\en\"/>
    </mc:Choice>
  </mc:AlternateContent>
  <xr:revisionPtr revIDLastSave="0" documentId="8_{88991475-627B-42E9-A3F8-871CB62DE53F}" xr6:coauthVersionLast="47" xr6:coauthVersionMax="47" xr10:uidLastSave="{00000000-0000-0000-0000-000000000000}"/>
  <bookViews>
    <workbookView xWindow="0" yWindow="3670" windowWidth="19200" windowHeight="6530" tabRatio="961" firstSheet="4" activeTab="10" xr2:uid="{00000000-000D-0000-FFFF-FFFF00000000}"/>
  </bookViews>
  <sheets>
    <sheet name="Baseline year population inputs" sheetId="1" r:id="rId1"/>
    <sheet name="Demographic projections" sheetId="2" r:id="rId2"/>
    <sheet name="Causes of death" sheetId="3" r:id="rId3"/>
    <sheet name="Nutritional status distribution" sheetId="4" r:id="rId4"/>
    <sheet name="Breastfeeding distribution" sheetId="5" r:id="rId5"/>
    <sheet name="Time trends" sheetId="6" state="hidden" r:id="rId6"/>
    <sheet name="Economic loss" sheetId="7" r:id="rId7"/>
    <sheet name="IYCF packages" sheetId="8" r:id="rId8"/>
    <sheet name="Treatment of SAM" sheetId="9" r:id="rId9"/>
    <sheet name="Programs cost and coverage" sheetId="10" r:id="rId10"/>
    <sheet name="Program dependencies" sheetId="11" r:id="rId11"/>
    <sheet name="Reference programs" sheetId="12" state="hidden" r:id="rId12"/>
    <sheet name="Incidence of conditions" sheetId="13" state="hidden" r:id="rId13"/>
    <sheet name="Programs target population" sheetId="14" state="hidden" r:id="rId14"/>
    <sheet name="Cost curve options" sheetId="15" state="hidden" r:id="rId15"/>
    <sheet name="Programs family planning" sheetId="16" state="hidden" r:id="rId16"/>
    <sheet name="Programs impacted population" sheetId="17" state="hidden" r:id="rId17"/>
    <sheet name="Program risk areas" sheetId="18" state="hidden" r:id="rId18"/>
    <sheet name="Population risk areas" sheetId="19" state="hidden" r:id="rId19"/>
    <sheet name="IYCF odds ratios" sheetId="20" state="hidden" r:id="rId20"/>
    <sheet name="Birth outcome risks" sheetId="21" state="hidden" r:id="rId21"/>
    <sheet name="Relative risks" sheetId="22" state="hidden" r:id="rId22"/>
    <sheet name="Odds ratios" sheetId="23" state="hidden" r:id="rId23"/>
    <sheet name="Programs birth outcomes" sheetId="24" state="hidden" r:id="rId24"/>
    <sheet name="Programs anaemia" sheetId="25" state="hidden" r:id="rId25"/>
    <sheet name="Programs wasting" sheetId="26" state="hidden" r:id="rId26"/>
    <sheet name="Programs for children" sheetId="27" state="hidden" r:id="rId27"/>
    <sheet name="Programs for PW" sheetId="28" state="hidden" r:id="rId28"/>
  </sheets>
  <definedNames>
    <definedName name="abortion" localSheetId="7">'Baseline year population inputs'!$C$38</definedName>
    <definedName name="abortion">'Baseline year population inputs'!$C$41</definedName>
    <definedName name="comm_deliv">'Treatment of SAM'!$D$3</definedName>
    <definedName name="diarrhoea_1_5mo">'Baseline year population inputs'!$C$52</definedName>
    <definedName name="diarrhoea_12_23mo">'Baseline year population inputs'!$C$54</definedName>
    <definedName name="diarrhoea_1mo">'Baseline year population inputs'!$C$51</definedName>
    <definedName name="diarrhoea_24_59mo">'Baseline year population inputs'!$C$55</definedName>
    <definedName name="diarrhoea_6_11mo">'Baseline year population inputs'!$C$53</definedName>
    <definedName name="end_year">'Baseline year population inputs'!$C$4</definedName>
    <definedName name="famplan_unmet_need">'Baseline year population inputs'!$C$13</definedName>
    <definedName name="food_insecure">'Baseline year population inputs'!$C$8</definedName>
    <definedName name="frac_children_health_facility">'Baseline year population inputs'!$C$12</definedName>
    <definedName name="frac_diarrhea_severe">'Baseline year population inputs'!$C$58</definedName>
    <definedName name="frac_maize">'Baseline year population inputs'!$C$19</definedName>
    <definedName name="frac_malaria_risk">'Baseline year population inputs'!$C$9</definedName>
    <definedName name="frac_mam_1_5months">'Nutritional status distribution'!$D$10</definedName>
    <definedName name="frac_mam_12_23months">'Nutritional status distribution'!$F$10</definedName>
    <definedName name="frac_mam_1month">'Nutritional status distribution'!$C$10</definedName>
    <definedName name="frac_mam_24_59months">'Nutritional status distribution'!$G$10</definedName>
    <definedName name="frac_mam_6_11months">'Nutritional status distribution'!$E$10</definedName>
    <definedName name="frac_MAMtoSAM">'Baseline year population inputs'!#REF!</definedName>
    <definedName name="frac_other_staples">'Baseline year population inputs'!$C$20</definedName>
    <definedName name="frac_PW_health_facility">'Baseline year population inputs'!$C$11</definedName>
    <definedName name="frac_rice">'Baseline year population inputs'!$C$17</definedName>
    <definedName name="frac_sam_1_5months">'Nutritional status distribution'!$D$11</definedName>
    <definedName name="frac_sam_12_23months">'Nutritional status distribution'!$F$11</definedName>
    <definedName name="frac_sam_1month">'Nutritional status distribution'!$C$11</definedName>
    <definedName name="frac_sam_24_59months">'Nutritional status distribution'!$G$11</definedName>
    <definedName name="frac_sam_6_11months">'Nutritional status distribution'!$E$11</definedName>
    <definedName name="frac_SAMtoMAM">'Baseline year population inputs'!#REF!</definedName>
    <definedName name="frac_subsistence_farming">'Baseline year population inputs'!$C$16</definedName>
    <definedName name="frac_wheat">'Baseline year population inputs'!$C$18</definedName>
    <definedName name="infant_mortality">'Baseline year population inputs'!$C$38</definedName>
    <definedName name="iron_deficiency_anaemia">'Baseline year population inputs'!$C$59</definedName>
    <definedName name="manage_mam">'Treatment of SAM'!$D$2</definedName>
    <definedName name="maternal_mortality">'Baseline year population inputs'!$C$40</definedName>
    <definedName name="neonatal_mortality">'Baseline year population inputs'!$C$37</definedName>
    <definedName name="Percentage_of_pregnant_women_attending_health_facility">'Baseline year population inputs'!$C$11</definedName>
    <definedName name="preterm_AGA">'Baseline year population inputs'!$C$46</definedName>
    <definedName name="preterm_SGA">'Baseline year population inputs'!$C$45</definedName>
    <definedName name="school_attendance">'Baseline year population inputs'!$C$10</definedName>
    <definedName name="start_year">'Baseline year population inputs'!$C$3</definedName>
    <definedName name="stillbirth" localSheetId="7">'Baseline year population inputs'!$C$39</definedName>
    <definedName name="stillbirth">'Baseline year population inputs'!$C$42</definedName>
    <definedName name="term_AGA">'Baseline year population inputs'!$C$48</definedName>
    <definedName name="term_SGA">'Baseline year population inputs'!$C$47</definedName>
    <definedName name="U5_mortality">'Baseline year population inputs'!$C$39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5" i="28" l="1"/>
  <c r="F25" i="28"/>
  <c r="E25" i="28"/>
  <c r="D25" i="28"/>
  <c r="G24" i="28"/>
  <c r="F24" i="28"/>
  <c r="E24" i="28"/>
  <c r="D24" i="28"/>
  <c r="G23" i="28"/>
  <c r="F23" i="28"/>
  <c r="E23" i="28"/>
  <c r="D23" i="28"/>
  <c r="G22" i="28"/>
  <c r="F22" i="28"/>
  <c r="E22" i="28"/>
  <c r="D22" i="28"/>
  <c r="G20" i="28"/>
  <c r="F20" i="28"/>
  <c r="E20" i="28"/>
  <c r="D20" i="28"/>
  <c r="G16" i="28"/>
  <c r="F16" i="28"/>
  <c r="E16" i="28"/>
  <c r="D16" i="28"/>
  <c r="G15" i="28"/>
  <c r="F15" i="28"/>
  <c r="E15" i="28"/>
  <c r="D15" i="28"/>
  <c r="G14" i="28"/>
  <c r="F14" i="28"/>
  <c r="E14" i="28"/>
  <c r="D14" i="28"/>
  <c r="G13" i="28"/>
  <c r="F13" i="28"/>
  <c r="E13" i="28"/>
  <c r="D13" i="28"/>
  <c r="G11" i="28"/>
  <c r="F11" i="28"/>
  <c r="E11" i="28"/>
  <c r="D11" i="28"/>
  <c r="H153" i="27"/>
  <c r="G153" i="27"/>
  <c r="F153" i="27"/>
  <c r="E153" i="27"/>
  <c r="D153" i="27"/>
  <c r="F152" i="27"/>
  <c r="D152" i="27"/>
  <c r="H136" i="27"/>
  <c r="G136" i="27"/>
  <c r="F136" i="27"/>
  <c r="E136" i="27"/>
  <c r="H135" i="27"/>
  <c r="G135" i="27"/>
  <c r="F135" i="27"/>
  <c r="E135" i="27"/>
  <c r="D135" i="27"/>
  <c r="H134" i="27"/>
  <c r="G134" i="27"/>
  <c r="F134" i="27"/>
  <c r="E134" i="27"/>
  <c r="H133" i="27"/>
  <c r="G133" i="27"/>
  <c r="F133" i="27"/>
  <c r="E133" i="27"/>
  <c r="H132" i="27"/>
  <c r="G132" i="27"/>
  <c r="F132" i="27"/>
  <c r="E132" i="27"/>
  <c r="H131" i="27"/>
  <c r="G131" i="27"/>
  <c r="F131" i="27"/>
  <c r="E131" i="27"/>
  <c r="E130" i="27"/>
  <c r="D130" i="27"/>
  <c r="H129" i="27"/>
  <c r="F129" i="27"/>
  <c r="E129" i="27"/>
  <c r="D129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H112" i="27"/>
  <c r="E112" i="27"/>
  <c r="D112" i="27"/>
  <c r="H97" i="27"/>
  <c r="H152" i="27" s="1"/>
  <c r="G97" i="27"/>
  <c r="G152" i="27" s="1"/>
  <c r="F97" i="27"/>
  <c r="E97" i="27"/>
  <c r="E152" i="27" s="1"/>
  <c r="D97" i="27"/>
  <c r="H81" i="27"/>
  <c r="G81" i="27"/>
  <c r="F81" i="27"/>
  <c r="E81" i="27"/>
  <c r="H80" i="27"/>
  <c r="G80" i="27"/>
  <c r="F80" i="27"/>
  <c r="E80" i="27"/>
  <c r="D80" i="27"/>
  <c r="H79" i="27"/>
  <c r="G79" i="27"/>
  <c r="F79" i="27"/>
  <c r="E79" i="27"/>
  <c r="H78" i="27"/>
  <c r="G78" i="27"/>
  <c r="F78" i="27"/>
  <c r="E78" i="27"/>
  <c r="D78" i="27"/>
  <c r="D133" i="27" s="1"/>
  <c r="H77" i="27"/>
  <c r="G77" i="27"/>
  <c r="F77" i="27"/>
  <c r="E77" i="27"/>
  <c r="H76" i="27"/>
  <c r="G76" i="27"/>
  <c r="F76" i="27"/>
  <c r="E76" i="27"/>
  <c r="D76" i="27"/>
  <c r="D131" i="27" s="1"/>
  <c r="E75" i="27"/>
  <c r="D75" i="27"/>
  <c r="H74" i="27"/>
  <c r="G74" i="27"/>
  <c r="G129" i="27" s="1"/>
  <c r="F74" i="27"/>
  <c r="E74" i="27"/>
  <c r="D74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H57" i="27"/>
  <c r="G57" i="27"/>
  <c r="G112" i="27" s="1"/>
  <c r="F57" i="27"/>
  <c r="F112" i="27" s="1"/>
  <c r="E57" i="27"/>
  <c r="D57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O67" i="25"/>
  <c r="D67" i="25"/>
  <c r="C67" i="25"/>
  <c r="O66" i="25"/>
  <c r="N66" i="25"/>
  <c r="M66" i="25"/>
  <c r="L66" i="25"/>
  <c r="K66" i="25"/>
  <c r="J66" i="25"/>
  <c r="I66" i="25"/>
  <c r="H66" i="25"/>
  <c r="G66" i="25"/>
  <c r="F66" i="25"/>
  <c r="E66" i="25"/>
  <c r="D66" i="25"/>
  <c r="C66" i="25"/>
  <c r="D65" i="25"/>
  <c r="C65" i="25"/>
  <c r="O64" i="25"/>
  <c r="N64" i="25"/>
  <c r="M64" i="25"/>
  <c r="L64" i="25"/>
  <c r="K64" i="25"/>
  <c r="J64" i="25"/>
  <c r="I64" i="25"/>
  <c r="H64" i="25"/>
  <c r="G64" i="25"/>
  <c r="F64" i="25"/>
  <c r="E64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O60" i="25"/>
  <c r="N60" i="25"/>
  <c r="M60" i="25"/>
  <c r="L60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E49" i="25"/>
  <c r="D44" i="25"/>
  <c r="C44" i="25"/>
  <c r="O43" i="25"/>
  <c r="N43" i="25"/>
  <c r="M43" i="25"/>
  <c r="L43" i="25"/>
  <c r="K43" i="25"/>
  <c r="J43" i="25"/>
  <c r="I43" i="25"/>
  <c r="H43" i="25"/>
  <c r="G43" i="25"/>
  <c r="F43" i="25"/>
  <c r="E43" i="25"/>
  <c r="D43" i="25"/>
  <c r="C43" i="25"/>
  <c r="D42" i="25"/>
  <c r="C42" i="25"/>
  <c r="O41" i="25"/>
  <c r="N41" i="25"/>
  <c r="M41" i="25"/>
  <c r="L41" i="25"/>
  <c r="K41" i="25"/>
  <c r="J41" i="25"/>
  <c r="I41" i="25"/>
  <c r="H41" i="25"/>
  <c r="G41" i="25"/>
  <c r="F41" i="25"/>
  <c r="E41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O37" i="25"/>
  <c r="N37" i="25"/>
  <c r="M37" i="25"/>
  <c r="L37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E26" i="25"/>
  <c r="O19" i="25"/>
  <c r="N19" i="25"/>
  <c r="M19" i="25"/>
  <c r="L19" i="25"/>
  <c r="K19" i="25"/>
  <c r="J19" i="25"/>
  <c r="I19" i="25"/>
  <c r="H19" i="25"/>
  <c r="G19" i="25"/>
  <c r="F19" i="25"/>
  <c r="E19" i="25"/>
  <c r="F42" i="24"/>
  <c r="E42" i="24"/>
  <c r="D42" i="24"/>
  <c r="C42" i="24"/>
  <c r="F40" i="24"/>
  <c r="E40" i="24"/>
  <c r="D40" i="24"/>
  <c r="C40" i="24"/>
  <c r="F38" i="24"/>
  <c r="E38" i="24"/>
  <c r="D38" i="24"/>
  <c r="C38" i="24"/>
  <c r="F36" i="24"/>
  <c r="E36" i="24"/>
  <c r="D36" i="24"/>
  <c r="C36" i="24"/>
  <c r="F34" i="24"/>
  <c r="E34" i="24"/>
  <c r="D34" i="24"/>
  <c r="C34" i="24"/>
  <c r="F32" i="24"/>
  <c r="E32" i="24"/>
  <c r="D32" i="24"/>
  <c r="C32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F21" i="24"/>
  <c r="E21" i="24"/>
  <c r="D21" i="24"/>
  <c r="C21" i="24"/>
  <c r="F19" i="24"/>
  <c r="E19" i="24"/>
  <c r="D19" i="24"/>
  <c r="C19" i="24"/>
  <c r="F17" i="24"/>
  <c r="E17" i="24"/>
  <c r="D17" i="24"/>
  <c r="C17" i="24"/>
  <c r="D12" i="24"/>
  <c r="C12" i="24"/>
  <c r="C67" i="23"/>
  <c r="G63" i="23"/>
  <c r="F63" i="23"/>
  <c r="E63" i="23"/>
  <c r="D63" i="23"/>
  <c r="C63" i="23"/>
  <c r="G62" i="23"/>
  <c r="F62" i="23"/>
  <c r="E62" i="23"/>
  <c r="D62" i="23"/>
  <c r="C62" i="23"/>
  <c r="G61" i="23"/>
  <c r="F61" i="23"/>
  <c r="E61" i="23"/>
  <c r="D61" i="23"/>
  <c r="C61" i="23"/>
  <c r="G55" i="23"/>
  <c r="F55" i="23"/>
  <c r="E55" i="23"/>
  <c r="D55" i="23"/>
  <c r="C55" i="23"/>
  <c r="G54" i="23"/>
  <c r="D54" i="23"/>
  <c r="C54" i="23"/>
  <c r="G53" i="23"/>
  <c r="D53" i="23"/>
  <c r="C53" i="23"/>
  <c r="G52" i="23"/>
  <c r="D52" i="23"/>
  <c r="C52" i="23"/>
  <c r="G50" i="23"/>
  <c r="F50" i="23"/>
  <c r="E50" i="23"/>
  <c r="D50" i="23"/>
  <c r="C50" i="23"/>
  <c r="G49" i="23"/>
  <c r="F49" i="23"/>
  <c r="E49" i="23"/>
  <c r="D49" i="23"/>
  <c r="C44" i="23"/>
  <c r="G40" i="23"/>
  <c r="F40" i="23"/>
  <c r="E40" i="23"/>
  <c r="D40" i="23"/>
  <c r="C40" i="23"/>
  <c r="G39" i="23"/>
  <c r="F39" i="23"/>
  <c r="E39" i="23"/>
  <c r="D39" i="23"/>
  <c r="C39" i="23"/>
  <c r="G38" i="23"/>
  <c r="F38" i="23"/>
  <c r="E38" i="23"/>
  <c r="D38" i="23"/>
  <c r="C38" i="23"/>
  <c r="G32" i="23"/>
  <c r="F32" i="23"/>
  <c r="E32" i="23"/>
  <c r="D32" i="23"/>
  <c r="C32" i="23"/>
  <c r="G31" i="23"/>
  <c r="D31" i="23"/>
  <c r="C31" i="23"/>
  <c r="G30" i="23"/>
  <c r="D30" i="23"/>
  <c r="C30" i="23"/>
  <c r="G29" i="23"/>
  <c r="D29" i="23"/>
  <c r="C29" i="23"/>
  <c r="G27" i="23"/>
  <c r="F27" i="23"/>
  <c r="E27" i="23"/>
  <c r="D27" i="23"/>
  <c r="C27" i="23"/>
  <c r="G26" i="23"/>
  <c r="F26" i="23"/>
  <c r="E26" i="23"/>
  <c r="D26" i="23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F121" i="20"/>
  <c r="E121" i="20"/>
  <c r="D121" i="20"/>
  <c r="H120" i="20"/>
  <c r="F120" i="20"/>
  <c r="E120" i="20"/>
  <c r="D120" i="20"/>
  <c r="H119" i="20"/>
  <c r="G119" i="20"/>
  <c r="F119" i="20"/>
  <c r="E119" i="20"/>
  <c r="D119" i="20"/>
  <c r="H118" i="20"/>
  <c r="G118" i="20"/>
  <c r="E118" i="20"/>
  <c r="D118" i="20"/>
  <c r="H117" i="20"/>
  <c r="G117" i="20"/>
  <c r="E117" i="20"/>
  <c r="D117" i="20"/>
  <c r="H116" i="20"/>
  <c r="G116" i="20"/>
  <c r="F116" i="20"/>
  <c r="E116" i="20"/>
  <c r="D116" i="20"/>
  <c r="H115" i="20"/>
  <c r="G115" i="20"/>
  <c r="F115" i="20"/>
  <c r="D115" i="20"/>
  <c r="H114" i="20"/>
  <c r="G114" i="20"/>
  <c r="F114" i="20"/>
  <c r="D114" i="20"/>
  <c r="H113" i="20"/>
  <c r="G113" i="20"/>
  <c r="F113" i="20"/>
  <c r="E113" i="20"/>
  <c r="D113" i="20"/>
  <c r="H112" i="20"/>
  <c r="G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E68" i="20"/>
  <c r="D68" i="20"/>
  <c r="H67" i="20"/>
  <c r="F67" i="20"/>
  <c r="E67" i="20"/>
  <c r="D67" i="20"/>
  <c r="H66" i="20"/>
  <c r="G66" i="20"/>
  <c r="F66" i="20"/>
  <c r="E66" i="20"/>
  <c r="D66" i="20"/>
  <c r="H65" i="20"/>
  <c r="G65" i="20"/>
  <c r="E65" i="20"/>
  <c r="D65" i="20"/>
  <c r="H64" i="20"/>
  <c r="G64" i="20"/>
  <c r="E64" i="20"/>
  <c r="D64" i="20"/>
  <c r="H63" i="20"/>
  <c r="G63" i="20"/>
  <c r="F63" i="20"/>
  <c r="E63" i="20"/>
  <c r="D63" i="20"/>
  <c r="H62" i="20"/>
  <c r="G62" i="20"/>
  <c r="F62" i="20"/>
  <c r="D62" i="20"/>
  <c r="H61" i="20"/>
  <c r="G61" i="20"/>
  <c r="F61" i="20"/>
  <c r="D61" i="20"/>
  <c r="H60" i="20"/>
  <c r="G60" i="20"/>
  <c r="F60" i="20"/>
  <c r="E60" i="20"/>
  <c r="D60" i="20"/>
  <c r="H59" i="20"/>
  <c r="G59" i="20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O32" i="14"/>
  <c r="N32" i="14"/>
  <c r="M32" i="14"/>
  <c r="L32" i="14"/>
  <c r="K32" i="14"/>
  <c r="J32" i="14"/>
  <c r="I32" i="14"/>
  <c r="H32" i="14"/>
  <c r="G32" i="14"/>
  <c r="F32" i="14"/>
  <c r="E32" i="14"/>
  <c r="O31" i="14"/>
  <c r="N31" i="14"/>
  <c r="M31" i="14"/>
  <c r="L31" i="14"/>
  <c r="K31" i="14"/>
  <c r="J31" i="14"/>
  <c r="I31" i="14"/>
  <c r="H31" i="14"/>
  <c r="G31" i="14"/>
  <c r="F31" i="14"/>
  <c r="E31" i="14"/>
  <c r="O30" i="14"/>
  <c r="N30" i="14"/>
  <c r="M30" i="14"/>
  <c r="L30" i="14"/>
  <c r="K30" i="14"/>
  <c r="J30" i="14"/>
  <c r="I30" i="14"/>
  <c r="H30" i="14"/>
  <c r="G30" i="14"/>
  <c r="F30" i="14"/>
  <c r="E30" i="14"/>
  <c r="L28" i="14"/>
  <c r="O27" i="14"/>
  <c r="N27" i="14"/>
  <c r="M27" i="14"/>
  <c r="L27" i="14"/>
  <c r="O26" i="14"/>
  <c r="N26" i="14"/>
  <c r="M26" i="14"/>
  <c r="L26" i="14"/>
  <c r="O25" i="14"/>
  <c r="N25" i="14"/>
  <c r="M25" i="14"/>
  <c r="L25" i="14"/>
  <c r="O24" i="14"/>
  <c r="N24" i="14"/>
  <c r="M24" i="14"/>
  <c r="L24" i="14"/>
  <c r="K22" i="14"/>
  <c r="J22" i="14"/>
  <c r="I22" i="14"/>
  <c r="H22" i="14"/>
  <c r="K19" i="14"/>
  <c r="J19" i="14"/>
  <c r="I19" i="14"/>
  <c r="H19" i="14"/>
  <c r="K18" i="14"/>
  <c r="J18" i="14"/>
  <c r="I18" i="14"/>
  <c r="H18" i="14"/>
  <c r="K17" i="14"/>
  <c r="J17" i="14"/>
  <c r="I17" i="14"/>
  <c r="H17" i="14"/>
  <c r="K15" i="14"/>
  <c r="J15" i="14"/>
  <c r="I15" i="14"/>
  <c r="H15" i="14"/>
  <c r="G12" i="14"/>
  <c r="F12" i="14"/>
  <c r="E12" i="14"/>
  <c r="D12" i="14"/>
  <c r="C12" i="14"/>
  <c r="G10" i="14"/>
  <c r="F10" i="14"/>
  <c r="E10" i="14"/>
  <c r="D10" i="14"/>
  <c r="F9" i="14"/>
  <c r="E9" i="14"/>
  <c r="F8" i="14"/>
  <c r="E8" i="14"/>
  <c r="G7" i="14"/>
  <c r="F7" i="14"/>
  <c r="E7" i="14"/>
  <c r="D7" i="14"/>
  <c r="C7" i="14"/>
  <c r="G6" i="14"/>
  <c r="F6" i="14"/>
  <c r="E6" i="14"/>
  <c r="F5" i="14"/>
  <c r="E5" i="14"/>
  <c r="G2" i="14"/>
  <c r="F2" i="14"/>
  <c r="E2" i="14"/>
  <c r="D2" i="14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B1" i="10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A1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A1" i="4"/>
  <c r="C35" i="3"/>
  <c r="F23" i="3"/>
  <c r="E23" i="3"/>
  <c r="D23" i="3"/>
  <c r="C23" i="3"/>
  <c r="C11" i="3"/>
  <c r="A1" i="3"/>
  <c r="H40" i="2"/>
  <c r="G40" i="2"/>
  <c r="I40" i="2" s="1"/>
  <c r="H39" i="2"/>
  <c r="G39" i="2"/>
  <c r="I39" i="2" s="1"/>
  <c r="H38" i="2"/>
  <c r="G38" i="2"/>
  <c r="I38" i="2" s="1"/>
  <c r="A35" i="2"/>
  <c r="A27" i="2"/>
  <c r="A19" i="2"/>
  <c r="H13" i="2"/>
  <c r="G13" i="2"/>
  <c r="I13" i="2" s="1"/>
  <c r="H12" i="2"/>
  <c r="G12" i="2"/>
  <c r="I12" i="2" s="1"/>
  <c r="H11" i="2"/>
  <c r="G11" i="2"/>
  <c r="I11" i="2" s="1"/>
  <c r="H10" i="2"/>
  <c r="G10" i="2"/>
  <c r="I10" i="2" s="1"/>
  <c r="H9" i="2"/>
  <c r="G9" i="2"/>
  <c r="I9" i="2" s="1"/>
  <c r="H8" i="2"/>
  <c r="G8" i="2"/>
  <c r="I8" i="2" s="1"/>
  <c r="H7" i="2"/>
  <c r="G7" i="2"/>
  <c r="I7" i="2" s="1"/>
  <c r="H6" i="2"/>
  <c r="G6" i="2"/>
  <c r="I6" i="2" s="1"/>
  <c r="H5" i="2"/>
  <c r="G5" i="2"/>
  <c r="I5" i="2" s="1"/>
  <c r="H4" i="2"/>
  <c r="G4" i="2"/>
  <c r="I4" i="2" s="1"/>
  <c r="H3" i="2"/>
  <c r="G3" i="2"/>
  <c r="I3" i="2" s="1"/>
  <c r="H2" i="2"/>
  <c r="G2" i="2"/>
  <c r="I2" i="2" s="1"/>
  <c r="A2" i="2"/>
  <c r="A39" i="2" s="1"/>
  <c r="C33" i="1"/>
  <c r="C20" i="1"/>
  <c r="A20" i="2" l="1"/>
  <c r="A28" i="2"/>
  <c r="A36" i="2"/>
  <c r="A21" i="2"/>
  <c r="A29" i="2"/>
  <c r="A37" i="2"/>
  <c r="A22" i="2"/>
  <c r="A38" i="2"/>
  <c r="A40" i="2"/>
  <c r="A15" i="2"/>
  <c r="A23" i="2"/>
  <c r="A31" i="2"/>
  <c r="A32" i="2"/>
  <c r="A16" i="2"/>
  <c r="A24" i="2"/>
  <c r="A17" i="2"/>
  <c r="A25" i="2"/>
  <c r="A33" i="2"/>
  <c r="A14" i="2"/>
  <c r="A30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8" i="2"/>
  <c r="A26" i="2"/>
  <c r="A3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600-000001000000}">
      <text>
        <r>
          <rPr>
            <sz val="10"/>
            <color rgb="FF000000"/>
            <rFont val="Arial"/>
          </rPr>
          <t>Nick Scott:
Placeholder only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</rPr>
          <t>Nick Scott:
Cost per person per year, or per pregnancy</t>
        </r>
      </text>
    </comment>
    <comment ref="B2" authorId="0" shapeId="0" xr:uid="{00000000-0006-0000-0900-000002000000}">
      <text>
        <r>
          <rPr>
            <sz val="10"/>
            <color rgb="FF000000"/>
            <rFont val="Arial"/>
          </rPr>
          <t>Nick Scott:
LiST</t>
        </r>
      </text>
    </comment>
    <comment ref="D2" authorId="0" shapeId="0" xr:uid="{00000000-0006-0000-0900-000003000000}">
      <text>
        <r>
          <rPr>
            <sz val="10"/>
            <color rgb="FF000000"/>
            <rFont val="Arial"/>
          </rPr>
          <t>Nick Scott:
All unit cost estimates are placeholders, derived from Scott et al. BMC medicine, 18(1), 1-19.
If unknown, set to 99 .</t>
        </r>
      </text>
    </comment>
    <comment ref="B3" authorId="0" shapeId="0" xr:uid="{00000000-0006-0000-0900-000004000000}">
      <text>
        <r>
          <rPr>
            <sz val="10"/>
            <color rgb="FF000000"/>
            <rFont val="Arial"/>
          </rPr>
          <t>Nick Scott:
LiST</t>
        </r>
      </text>
    </comment>
    <comment ref="B4" authorId="0" shapeId="0" xr:uid="{00000000-0006-0000-0900-000005000000}">
      <text>
        <r>
          <rPr>
            <sz val="10"/>
            <color rgb="FF000000"/>
            <rFont val="Arial"/>
          </rPr>
          <t>Nick Scott:
Missing</t>
        </r>
      </text>
    </comment>
    <comment ref="B5" authorId="0" shapeId="0" xr:uid="{00000000-0006-0000-0900-000006000000}">
      <text>
        <r>
          <rPr>
            <sz val="10"/>
            <color rgb="FF000000"/>
            <rFont val="Arial"/>
          </rPr>
          <t>Nick Scott:
Missing</t>
        </r>
      </text>
    </comment>
    <comment ref="B6" authorId="0" shapeId="0" xr:uid="{00000000-0006-0000-0900-000007000000}">
      <text>
        <r>
          <rPr>
            <sz val="10"/>
            <color rgb="FF000000"/>
            <rFont val="Arial"/>
          </rPr>
          <t>Nick Scott:
Missing</t>
        </r>
      </text>
    </comment>
    <comment ref="B7" authorId="0" shapeId="0" xr:uid="{00000000-0006-0000-0900-000008000000}">
      <text>
        <r>
          <rPr>
            <sz val="10"/>
            <color rgb="FF000000"/>
            <rFont val="Arial"/>
          </rPr>
          <t>Nick Scott:
Missing</t>
        </r>
      </text>
    </comment>
    <comment ref="B8" authorId="0" shapeId="0" xr:uid="{00000000-0006-0000-0900-000009000000}">
      <text>
        <r>
          <rPr>
            <sz val="10"/>
            <color rgb="FF000000"/>
            <rFont val="Arial"/>
          </rPr>
          <t>Nick Scott:
Missing</t>
        </r>
      </text>
    </comment>
    <comment ref="B9" authorId="0" shapeId="0" xr:uid="{00000000-0006-0000-0900-00000A000000}">
      <text>
        <r>
          <rPr>
            <sz val="10"/>
            <color rgb="FF000000"/>
            <rFont val="Arial"/>
          </rPr>
          <t>Nick Scott:
Missing</t>
        </r>
      </text>
    </comment>
    <comment ref="B10" authorId="0" shapeId="0" xr:uid="{00000000-0006-0000-0900-00000B000000}">
      <text>
        <r>
          <rPr>
            <sz val="10"/>
            <color rgb="FF000000"/>
            <rFont val="Arial"/>
          </rPr>
          <t>Nick Scott:
LiST</t>
        </r>
      </text>
    </comment>
    <comment ref="B11" authorId="0" shapeId="0" xr:uid="{00000000-0006-0000-0900-00000C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2" authorId="0" shapeId="0" xr:uid="{00000000-0006-0000-0900-00000D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3" authorId="0" shapeId="0" xr:uid="{00000000-0006-0000-0900-00000E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4" authorId="0" shapeId="0" xr:uid="{00000000-0006-0000-0900-00000F000000}">
      <text>
        <r>
          <rPr>
            <sz val="10"/>
            <color rgb="FF000000"/>
            <rFont val="Arial"/>
          </rPr>
          <t>Nick Scott:
LiST</t>
        </r>
      </text>
    </comment>
    <comment ref="B15" authorId="0" shapeId="0" xr:uid="{00000000-0006-0000-0900-000010000000}">
      <text>
        <r>
          <rPr>
            <sz val="10"/>
            <color rgb="FF000000"/>
            <rFont val="Arial"/>
          </rPr>
          <t>Nick Scott:
More data required to divide "IFAS for pregnant women (community)" further. Community intervention assumed to represent all modalities as a placeholder</t>
        </r>
      </text>
    </comment>
    <comment ref="B16" authorId="0" shapeId="0" xr:uid="{00000000-0006-0000-0900-000011000000}">
      <text>
        <r>
          <rPr>
            <sz val="10"/>
            <color rgb="FF000000"/>
            <rFont val="Arial"/>
          </rPr>
          <t>Nick Scott:
LiST</t>
        </r>
      </text>
    </comment>
    <comment ref="B17" authorId="0" shapeId="0" xr:uid="{00000000-0006-0000-0900-000012000000}">
      <text>
        <r>
          <rPr>
            <sz val="10"/>
            <color rgb="FF000000"/>
            <rFont val="Arial"/>
          </rPr>
          <t>Nick Scott:
LiST, "Iron fortification"</t>
        </r>
      </text>
    </comment>
    <comment ref="B18" authorId="0" shapeId="0" xr:uid="{00000000-0006-0000-0900-000013000000}">
      <text>
        <r>
          <rPr>
            <sz val="10"/>
            <color rgb="FF000000"/>
            <rFont val="Arial"/>
          </rPr>
          <t>Nick Scott:
LiST; breastfeeding promotion</t>
        </r>
      </text>
    </comment>
    <comment ref="B19" authorId="0" shapeId="0" xr:uid="{00000000-0006-0000-0900-000014000000}">
      <text>
        <r>
          <rPr>
            <sz val="10"/>
            <color rgb="FF000000"/>
            <rFont val="Arial"/>
          </rPr>
          <t>Nick Scott:
LiST; complementary feeding education</t>
        </r>
      </text>
    </comment>
    <comment ref="B20" authorId="0" shapeId="0" xr:uid="{00000000-0006-0000-0900-000015000000}">
      <text>
        <r>
          <rPr>
            <sz val="10"/>
            <color rgb="FF000000"/>
            <rFont val="Arial"/>
          </rPr>
          <t>Nick Scott:
Not being used</t>
        </r>
      </text>
    </comment>
    <comment ref="B21" authorId="0" shapeId="0" xr:uid="{00000000-0006-0000-0900-000016000000}">
      <text>
        <r>
          <rPr>
            <sz val="10"/>
            <color rgb="FF000000"/>
            <rFont val="Arial"/>
          </rPr>
          <t>Nick Scott:
LiST</t>
        </r>
      </text>
    </comment>
    <comment ref="B22" authorId="0" shapeId="0" xr:uid="{00000000-0006-0000-0900-000017000000}">
      <text>
        <r>
          <rPr>
            <sz val="10"/>
            <color rgb="FF000000"/>
            <rFont val="Arial"/>
          </rPr>
          <t>Nick Scott:
Missing</t>
        </r>
      </text>
    </comment>
    <comment ref="B24" authorId="0" shapeId="0" xr:uid="{00000000-0006-0000-0900-000018000000}">
      <text>
        <r>
          <rPr>
            <sz val="10"/>
            <color rgb="FF000000"/>
            <rFont val="Arial"/>
          </rPr>
          <t>Nick Scott:
LiST</t>
        </r>
      </text>
    </comment>
    <comment ref="B25" authorId="0" shapeId="0" xr:uid="{00000000-0006-0000-0900-000019000000}">
      <text>
        <r>
          <rPr>
            <sz val="10"/>
            <color rgb="FF000000"/>
            <rFont val="Arial"/>
          </rPr>
          <t>Nick Scott:
Not being used</t>
        </r>
      </text>
    </comment>
    <comment ref="B26" authorId="0" shapeId="0" xr:uid="{00000000-0006-0000-0900-00001A000000}">
      <text>
        <r>
          <rPr>
            <sz val="10"/>
            <color rgb="FF000000"/>
            <rFont val="Arial"/>
          </rPr>
          <t>Nick Scott:
LiST</t>
        </r>
      </text>
    </comment>
    <comment ref="B27" authorId="0" shapeId="0" xr:uid="{00000000-0006-0000-0900-00001B000000}">
      <text>
        <r>
          <rPr>
            <sz val="10"/>
            <color rgb="FF000000"/>
            <rFont val="Arial"/>
          </rPr>
          <t>Nick Scott:
LiST</t>
        </r>
      </text>
    </comment>
    <comment ref="B28" authorId="0" shapeId="0" xr:uid="{00000000-0006-0000-0900-00001C000000}">
      <text>
        <r>
          <rPr>
            <sz val="10"/>
            <color rgb="FF000000"/>
            <rFont val="Arial"/>
          </rPr>
          <t>Nick Scott:
LiST</t>
        </r>
      </text>
    </comment>
    <comment ref="D28" authorId="0" shapeId="0" xr:uid="{00000000-0006-0000-0900-00001D000000}">
      <text>
        <r>
          <rPr>
            <sz val="10"/>
            <color rgb="FF000000"/>
            <rFont val="Arial"/>
          </rPr>
          <t>Nick Scott:
Cost per treatment</t>
        </r>
      </text>
    </comment>
    <comment ref="B29" authorId="0" shapeId="0" xr:uid="{00000000-0006-0000-0900-00001E000000}">
      <text>
        <r>
          <rPr>
            <sz val="10"/>
            <color rgb="FF000000"/>
            <rFont val="Arial"/>
          </rPr>
          <t>Nick Scott:
LiST</t>
        </r>
      </text>
    </comment>
    <comment ref="B30" authorId="0" shapeId="0" xr:uid="{00000000-0006-0000-0900-00001F000000}">
      <text>
        <r>
          <rPr>
            <sz val="10"/>
            <color rgb="FF000000"/>
            <rFont val="Arial"/>
          </rPr>
          <t>Nick Scott:
Missing</t>
        </r>
      </text>
    </comment>
    <comment ref="D30" authorId="0" shapeId="0" xr:uid="{00000000-0006-0000-0900-000020000000}">
      <text>
        <r>
          <rPr>
            <sz val="10"/>
            <color rgb="FF000000"/>
            <rFont val="Arial"/>
          </rPr>
          <t>Nick Scott:
Unknown</t>
        </r>
      </text>
    </comment>
    <comment ref="B31" authorId="0" shapeId="0" xr:uid="{00000000-0006-0000-0900-000021000000}">
      <text>
        <r>
          <rPr>
            <sz val="10"/>
            <color rgb="FF000000"/>
            <rFont val="Arial"/>
          </rPr>
          <t>Nick Scott:
LiST</t>
        </r>
      </text>
    </comment>
    <comment ref="D31" authorId="0" shapeId="0" xr:uid="{00000000-0006-0000-0900-000022000000}">
      <text>
        <r>
          <rPr>
            <sz val="10"/>
            <color rgb="FF000000"/>
            <rFont val="Arial"/>
          </rPr>
          <t>Nick Scott:
Cost per treatment</t>
        </r>
      </text>
    </comment>
    <comment ref="B32" authorId="0" shapeId="0" xr:uid="{00000000-0006-0000-0900-000023000000}">
      <text>
        <r>
          <rPr>
            <sz val="10"/>
            <color rgb="FF000000"/>
            <rFont val="Arial"/>
          </rPr>
          <t>Nick Scott:
LiST</t>
        </r>
      </text>
    </comment>
    <comment ref="B33" authorId="0" shapeId="0" xr:uid="{00000000-0006-0000-0900-000024000000}">
      <text>
        <r>
          <rPr>
            <sz val="10"/>
            <color rgb="FF000000"/>
            <rFont val="Arial"/>
          </rPr>
          <t>Nick Scott:
LiST</t>
        </r>
      </text>
    </comment>
    <comment ref="D33" authorId="0" shapeId="0" xr:uid="{00000000-0006-0000-0900-000025000000}">
      <text>
        <r>
          <rPr>
            <sz val="10"/>
            <color rgb="FF000000"/>
            <rFont val="Arial"/>
          </rPr>
          <t>Nick Scott:
Unknown</t>
        </r>
      </text>
    </comment>
    <comment ref="B34" authorId="0" shapeId="0" xr:uid="{00000000-0006-0000-0900-000026000000}">
      <text>
        <r>
          <rPr>
            <sz val="10"/>
            <color rgb="FF000000"/>
            <rFont val="Arial"/>
          </rPr>
          <t>Nick Scott:
LiST</t>
        </r>
      </text>
    </comment>
    <comment ref="D34" authorId="0" shapeId="0" xr:uid="{00000000-0006-0000-0900-000027000000}">
      <text>
        <r>
          <rPr>
            <sz val="10"/>
            <color rgb="FF000000"/>
            <rFont val="Arial"/>
          </rPr>
          <t>Nick Scott:
Unknown</t>
        </r>
      </text>
    </comment>
    <comment ref="B35" authorId="0" shapeId="0" xr:uid="{00000000-0006-0000-0900-000028000000}">
      <text>
        <r>
          <rPr>
            <sz val="10"/>
            <color rgb="FF000000"/>
            <rFont val="Arial"/>
          </rPr>
          <t>Nick Scott:
Not being used</t>
        </r>
      </text>
    </comment>
    <comment ref="D35" authorId="0" shapeId="0" xr:uid="{00000000-0006-0000-0900-000029000000}">
      <text>
        <r>
          <rPr>
            <sz val="10"/>
            <color rgb="FF000000"/>
            <rFont val="Arial"/>
          </rPr>
          <t>Nick Scott:
Unknown</t>
        </r>
      </text>
    </comment>
    <comment ref="B36" authorId="0" shapeId="0" xr:uid="{00000000-0006-0000-0900-00002A000000}">
      <text>
        <r>
          <rPr>
            <sz val="10"/>
            <color rgb="FF000000"/>
            <rFont val="Arial"/>
          </rPr>
          <t>Nick Scott:
LiST</t>
        </r>
      </text>
    </comment>
    <comment ref="D36" authorId="0" shapeId="0" xr:uid="{00000000-0006-0000-0900-00002B000000}">
      <text>
        <r>
          <rPr>
            <sz val="10"/>
            <color rgb="FF000000"/>
            <rFont val="Arial"/>
          </rPr>
          <t>Nick Scott:
Unknown</t>
        </r>
      </text>
    </comment>
    <comment ref="B37" authorId="0" shapeId="0" xr:uid="{00000000-0006-0000-0900-00002C000000}">
      <text>
        <r>
          <rPr>
            <sz val="10"/>
            <color rgb="FF000000"/>
            <rFont val="Arial"/>
          </rPr>
          <t>Nick Scott:
LiST</t>
        </r>
      </text>
    </comment>
    <comment ref="D37" authorId="0" shapeId="0" xr:uid="{00000000-0006-0000-0900-00002D000000}">
      <text>
        <r>
          <rPr>
            <sz val="10"/>
            <color rgb="FF000000"/>
            <rFont val="Arial"/>
          </rPr>
          <t>Nick Scott:
Unknown</t>
        </r>
      </text>
    </comment>
    <comment ref="B38" authorId="0" shapeId="0" xr:uid="{00000000-0006-0000-0900-00002E000000}">
      <text>
        <r>
          <rPr>
            <sz val="10"/>
            <color rgb="FF000000"/>
            <rFont val="Arial"/>
          </rPr>
          <t>Nick Scott:
LiST</t>
        </r>
      </text>
    </comment>
    <comment ref="D38" authorId="0" shapeId="0" xr:uid="{00000000-0006-0000-0900-00002F000000}">
      <text>
        <r>
          <rPr>
            <sz val="10"/>
            <color rgb="FF000000"/>
            <rFont val="Arial"/>
          </rPr>
          <t>Nick Scott:
Cost per treatment</t>
        </r>
      </text>
    </comment>
    <comment ref="B39" authorId="0" shapeId="0" xr:uid="{00000000-0006-0000-0900-000030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F28" authorId="0" shapeId="0" xr:uid="{00000000-0006-0000-1300-000009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F29" authorId="0" shapeId="0" xr:uid="{00000000-0006-0000-1300-00000A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1" authorId="0" shapeId="0" xr:uid="{00000000-0006-0000-1300-00000B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2" authorId="0" shapeId="0" xr:uid="{00000000-0006-0000-1300-00000C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A36" authorId="1" shapeId="0" xr:uid="{00000000-0006-0000-1300-00000D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A89" authorId="1" shapeId="0" xr:uid="{00000000-0006-0000-1300-000016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A125" authorId="0" shapeId="0" xr:uid="{00000000-0006-0000-1300-00001F000000}">
      <text>
        <r>
          <rPr>
            <sz val="10"/>
            <color rgb="FF000000"/>
            <rFont val="Arial"/>
          </rPr>
          <t>Tharindu Wickramaarachchi:
Upper boundary for the impact means that the point estimate of the OR should be lower</t>
        </r>
      </text>
    </comment>
    <comment ref="A142" authorId="1" shapeId="0" xr:uid="{00000000-0006-0000-1300-000020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B56" authorId="0" shapeId="0" xr:uid="{00000000-0006-0000-1500-000001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  <comment ref="B65" authorId="0" shapeId="0" xr:uid="{00000000-0006-0000-1500-000002000000}">
      <text>
        <r>
          <rPr>
            <sz val="10"/>
            <color rgb="FF000000"/>
            <rFont val="Arial"/>
          </rPr>
          <t xml:space="preserve">Tharindu Wickramaarachchi:
LiST 6.29
Black RE, Victora CG, Walker SP, et al. Maternal and child undernutrition and overweight in low-income and middle-income countries. Lancet 2013; 382(9890): 427-51. http://www.ncbi.nlm.nih.gov/pubmed/23746772. (Supplementary material - Web Table 17.)
</t>
        </r>
      </text>
    </comment>
    <comment ref="C104" authorId="0" shapeId="0" xr:uid="{00000000-0006-0000-1500-000003000000}">
      <text>
        <r>
          <rPr>
            <sz val="10"/>
            <color rgb="FF000000"/>
            <rFont val="Arial"/>
          </rPr>
          <t>Tharindu Wickramaarachchi:
Spectrum LiST 6.29</t>
        </r>
      </text>
    </comment>
    <comment ref="A220" authorId="0" shapeId="0" xr:uid="{00000000-0006-0000-1500-000004000000}">
      <text>
        <r>
          <rPr>
            <sz val="10"/>
            <color rgb="FF000000"/>
            <rFont val="Arial"/>
          </rPr>
          <t>Tharindu Wickramaarachchi:
All the values should be greater than 1 and above the point estimate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B6" authorId="0" shapeId="0" xr:uid="{00000000-0006-0000-1600-000001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E6" authorId="1" shapeId="0" xr:uid="{00000000-0006-0000-1600-000002000000}">
      <text>
        <r>
          <rPr>
            <sz val="10"/>
            <color rgb="FF000000"/>
            <rFont val="Arial"/>
          </rPr>
          <t>Tharindu Wickramaarachchi:
Lassi et al 2020, RR 0.64 (0.44-0.92) 
RR converted to OR</t>
        </r>
      </text>
    </comment>
    <comment ref="F6" authorId="1" shapeId="0" xr:uid="{00000000-0006-0000-1600-000003000000}">
      <text>
        <r>
          <rPr>
            <sz val="10"/>
            <color rgb="FF000000"/>
            <rFont val="Arial"/>
          </rPr>
          <t>Tharindu Wickramaarachchi:
Lassi et al 2020, RR 0.64 (0.44-0.92) 
RR converted to OR</t>
        </r>
      </text>
    </comment>
    <comment ref="B7" authorId="0" shapeId="0" xr:uid="{00000000-0006-0000-1600-000004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7" authorId="1" shapeId="0" xr:uid="{00000000-0006-0000-1600-000005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F7" authorId="1" shapeId="0" xr:uid="{00000000-0006-0000-1600-000006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8" authorId="1" shapeId="0" xr:uid="{00000000-0006-0000-1600-000007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F8" authorId="1" shapeId="0" xr:uid="{00000000-0006-0000-1600-000008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9" authorId="0" shapeId="0" xr:uid="{00000000-0006-0000-1600-000009000000}">
      <text>
        <r>
          <rPr>
            <sz val="10"/>
            <color rgb="FF000000"/>
            <rFont val="Arial"/>
          </rPr>
          <t xml:space="preserve">Nick Scott:
No statistically significant effect
Imdad et al 2023, RR prevalence of stunting 1.00 (0.94-1.07) 
Lassi et al 2020, incidence of stunting after 6 months RR 0.82 (0.65-1.03) 
Lassi et al 2020, LAZ 6 months SMD 0.06 (-0.07 to 0.19) 
Tam et al 2020, RR 1.00 (0.89-1.14)
</t>
        </r>
      </text>
    </comment>
    <comment ref="C12" authorId="1" shapeId="0" xr:uid="{00000000-0006-0000-1600-00000A000000}">
      <text>
        <r>
          <rPr>
            <sz val="10"/>
            <color rgb="FF000000"/>
            <rFont val="Arial"/>
          </rPr>
          <t>Tharindu Wickramaarachchi:
OR = 1.50 (1.26-1.78) for exclusive breastfeeding in children &lt; 1 month.</t>
        </r>
      </text>
    </comment>
    <comment ref="D12" authorId="1" shapeId="0" xr:uid="{00000000-0006-0000-1600-00000B000000}">
      <text>
        <r>
          <rPr>
            <sz val="10"/>
            <color rgb="FF000000"/>
            <rFont val="Arial"/>
          </rPr>
          <t>Tharindu Wickramaarachchi:
OR = 1.39 (1.11-1.74) for exclusive breastfeeding in children 1-6 months [Boundy et al. 2016, Pediatrics[66]]</t>
        </r>
      </text>
    </comment>
    <comment ref="A28" authorId="1" shapeId="0" xr:uid="{00000000-0006-0000-1600-00000C000000}">
      <text>
        <r>
          <rPr>
            <sz val="10"/>
            <color rgb="FF000000"/>
            <rFont val="Arial"/>
          </rPr>
          <t>Tharindu Wickramaarachchi:
Lower boundary means less effective compared with point estimate. Therefore, these ORs&lt;1 should be increased.</t>
        </r>
      </text>
    </comment>
    <comment ref="B29" authorId="0" shapeId="0" xr:uid="{00000000-0006-0000-1600-00000D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E29" authorId="1" shapeId="0" xr:uid="{00000000-0006-0000-1600-00000E000000}">
      <text>
        <r>
          <rPr>
            <sz val="10"/>
            <color rgb="FF000000"/>
            <rFont val="Arial"/>
          </rPr>
          <t>Tharindu Wickramaarachchi:
Lassi et al 2020, RR 0.64 (0.44-0.92) 
RR converted to OR</t>
        </r>
      </text>
    </comment>
    <comment ref="F29" authorId="1" shapeId="0" xr:uid="{00000000-0006-0000-1600-00000F000000}">
      <text>
        <r>
          <rPr>
            <sz val="10"/>
            <color rgb="FF000000"/>
            <rFont val="Arial"/>
          </rPr>
          <t>Tharindu Wickramaarachchi:
Lassi et al 2020, RR 0.64 (0.44-0.92) 
RR converted to OR</t>
        </r>
      </text>
    </comment>
    <comment ref="B30" authorId="0" shapeId="0" xr:uid="{00000000-0006-0000-1600-000010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30" authorId="1" shapeId="0" xr:uid="{00000000-0006-0000-1600-000011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31" authorId="1" shapeId="0" xr:uid="{00000000-0006-0000-1600-000012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A34" authorId="1" shapeId="0" xr:uid="{00000000-0006-0000-1600-000013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A37" authorId="1" shapeId="0" xr:uid="{00000000-0006-0000-1600-000014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B44" authorId="1" shapeId="0" xr:uid="{00000000-0006-0000-1600-000015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A51" authorId="1" shapeId="0" xr:uid="{00000000-0006-0000-1600-000016000000}">
      <text>
        <r>
          <rPr>
            <sz val="10"/>
            <color rgb="FF000000"/>
            <rFont val="Arial"/>
          </rPr>
          <t>Tharindu Wickramaarachchi:
ORs which point estimate = 1 should stay the same, ORs with point estimate &lt;1 should be decreased as we expect higher impact</t>
        </r>
      </text>
    </comment>
    <comment ref="B52" authorId="0" shapeId="0" xr:uid="{00000000-0006-0000-1600-000017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E52" authorId="1" shapeId="0" xr:uid="{00000000-0006-0000-1600-000018000000}">
      <text>
        <r>
          <rPr>
            <sz val="10"/>
            <color rgb="FF000000"/>
            <rFont val="Arial"/>
          </rPr>
          <t>Tharindu Wickramaarachchi:
Lassi et al 2020, RR 0.64 (0.44-0.92) 
RR converted to OR</t>
        </r>
      </text>
    </comment>
    <comment ref="F52" authorId="1" shapeId="0" xr:uid="{00000000-0006-0000-1600-000019000000}">
      <text>
        <r>
          <rPr>
            <sz val="10"/>
            <color rgb="FF000000"/>
            <rFont val="Arial"/>
          </rPr>
          <t>Tharindu Wickramaarachchi:
Lassi et al 2020, RR 0.64 (0.44-0.92) 
RR converted to OR</t>
        </r>
      </text>
    </comment>
    <comment ref="B53" authorId="0" shapeId="0" xr:uid="{00000000-0006-0000-1600-00001A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53" authorId="1" shapeId="0" xr:uid="{00000000-0006-0000-1600-00001B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54" authorId="1" shapeId="0" xr:uid="{00000000-0006-0000-1600-00001C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C2" authorId="0" shapeId="0" xr:uid="{00000000-0006-0000-1700-000001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D2" authorId="0" shapeId="0" xr:uid="{00000000-0006-0000-1700-000002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C4" authorId="0" shapeId="0" xr:uid="{00000000-0006-0000-1700-000003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4" authorId="0" shapeId="0" xr:uid="{00000000-0006-0000-1700-000004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6" authorId="0" shapeId="0" xr:uid="{00000000-0006-0000-1700-000005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6" authorId="0" shapeId="0" xr:uid="{00000000-0006-0000-1700-000006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8" authorId="0" shapeId="0" xr:uid="{00000000-0006-0000-1700-000007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8" authorId="0" shapeId="0" xr:uid="{00000000-0006-0000-1700-000008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0" authorId="0" shapeId="0" xr:uid="{00000000-0006-0000-1700-000009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10" authorId="0" shapeId="0" xr:uid="{00000000-0006-0000-1700-00000A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2" authorId="0" shapeId="0" xr:uid="{00000000-0006-0000-1700-00000B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D12" authorId="0" shapeId="0" xr:uid="{00000000-0006-0000-1700-00000C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C17" authorId="0" shapeId="0" xr:uid="{00000000-0006-0000-1700-00000D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17" authorId="0" shapeId="0" xr:uid="{00000000-0006-0000-1700-00000E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19" authorId="0" shapeId="0" xr:uid="{00000000-0006-0000-1700-00000F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19" authorId="0" shapeId="0" xr:uid="{00000000-0006-0000-1700-000010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1" authorId="0" shapeId="0" xr:uid="{00000000-0006-0000-1700-000011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21" authorId="0" shapeId="0" xr:uid="{00000000-0006-0000-1700-000012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3" authorId="0" shapeId="0" xr:uid="{00000000-0006-0000-1700-000013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3" authorId="0" shapeId="0" xr:uid="{00000000-0006-0000-1700-000014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5" authorId="0" shapeId="0" xr:uid="{00000000-0006-0000-1700-000015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5" authorId="0" shapeId="0" xr:uid="{00000000-0006-0000-1700-000016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7" authorId="0" shapeId="0" xr:uid="{00000000-0006-0000-1700-000017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27" authorId="0" shapeId="0" xr:uid="{00000000-0006-0000-1700-000018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C32" authorId="0" shapeId="0" xr:uid="{00000000-0006-0000-1700-000019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32" authorId="0" shapeId="0" xr:uid="{00000000-0006-0000-1700-00001A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34" authorId="0" shapeId="0" xr:uid="{00000000-0006-0000-1700-00001B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4" authorId="0" shapeId="0" xr:uid="{00000000-0006-0000-1700-00001C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6" authorId="0" shapeId="0" xr:uid="{00000000-0006-0000-1700-00001D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6" authorId="0" shapeId="0" xr:uid="{00000000-0006-0000-1700-00001E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8" authorId="0" shapeId="0" xr:uid="{00000000-0006-0000-1700-00001F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38" authorId="0" shapeId="0" xr:uid="{00000000-0006-0000-1700-000020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0" authorId="0" shapeId="0" xr:uid="{00000000-0006-0000-1700-000021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40" authorId="0" shapeId="0" xr:uid="{00000000-0006-0000-1700-000022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2" authorId="0" shapeId="0" xr:uid="{00000000-0006-0000-1700-000023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42" authorId="0" shapeId="0" xr:uid="{00000000-0006-0000-1700-000024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</rPr>
          <t>Tharindu Wickramaarachchi:
RR from the lterature was used.
RRR = 0.53 (0.40-0.70) for being anaemic [Hutton and Hassan, 2007 Jama [63]]</t>
        </r>
      </text>
    </comment>
    <comment ref="H4" authorId="0" shapeId="0" xr:uid="{00000000-0006-0000-1800-00000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3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4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5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8" authorId="0" shapeId="0" xr:uid="{00000000-0006-0000-1800-00000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8" authorId="0" shapeId="0" xr:uid="{00000000-0006-0000-1800-00000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8" authorId="0" shapeId="0" xr:uid="{00000000-0006-0000-1800-00000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9" authorId="0" shapeId="0" xr:uid="{00000000-0006-0000-1800-00000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9" authorId="0" shapeId="0" xr:uid="{00000000-0006-0000-1800-00000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9" authorId="0" shapeId="0" xr:uid="{00000000-0006-0000-1800-00000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9" authorId="0" shapeId="0" xr:uid="{00000000-0006-0000-1800-00000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10" authorId="0" shapeId="0" xr:uid="{00000000-0006-0000-1800-00000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10" authorId="0" shapeId="0" xr:uid="{00000000-0006-0000-1800-00000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10" authorId="0" shapeId="0" xr:uid="{00000000-0006-0000-1800-00001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10" authorId="0" shapeId="0" xr:uid="{00000000-0006-0000-1800-000011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E11" authorId="1" shapeId="0" xr:uid="{00000000-0006-0000-1800-000012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F11" authorId="1" shapeId="0" xr:uid="{00000000-0006-0000-1800-000013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C12" authorId="0" shapeId="0" xr:uid="{00000000-0006-0000-1800-00001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1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1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13" authorId="0" shapeId="0" xr:uid="{00000000-0006-0000-1800-000022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13" authorId="0" shapeId="0" xr:uid="{00000000-0006-0000-1800-000023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L14" authorId="1" shapeId="0" xr:uid="{00000000-0006-0000-1800-000024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5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6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7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8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9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A000000}">
      <text>
        <r>
          <rPr>
            <sz val="10"/>
            <color rgb="FF000000"/>
            <rFont val="Arial"/>
          </rPr>
          <t>Tharindu Wickramaarachchi:
Insufficient published research on the intervention’s effect on the outcome.</t>
        </r>
      </text>
    </comment>
    <comment ref="E19" authorId="0" shapeId="0" xr:uid="{00000000-0006-0000-1800-00002B000000}">
      <text>
        <r>
          <rPr>
            <sz val="10"/>
            <color rgb="FF000000"/>
            <rFont val="Arial"/>
          </rPr>
          <t>Tharindu Wickramaarachchi:
Peña‐Rosas et al 2019, anemia RR 0.72 (0.54-0.97)
If no data for anaemia prev. the use RR otherwise convert RR to OR using prev.</t>
        </r>
      </text>
    </comment>
    <comment ref="E20" authorId="0" shapeId="0" xr:uid="{00000000-0006-0000-1800-00002C000000}">
      <text>
        <r>
          <rPr>
            <sz val="10"/>
            <color rgb="FF000000"/>
            <rFont val="Arial"/>
          </rPr>
          <t>Tharindu Wickramaarachchi:
Insufficient published research on the intervention’s effect on the outcome.</t>
        </r>
      </text>
    </comment>
    <comment ref="E21" authorId="0" shapeId="0" xr:uid="{00000000-0006-0000-1800-00002D000000}">
      <text>
        <r>
          <rPr>
            <sz val="10"/>
            <color rgb="FF000000"/>
            <rFont val="Arial"/>
          </rPr>
          <t>Tharindu Wickramaarachchi:
Larson et al 2021, RR 0.80 (0.70-0.92)
If no data for anaemia prev. the use RR otherwise convert RR to OR using prev.</t>
        </r>
      </text>
    </comment>
    <comment ref="A25" authorId="0" shapeId="0" xr:uid="{00000000-0006-0000-1800-00002E000000}">
      <text>
        <r>
          <rPr>
            <sz val="10"/>
            <color rgb="FF000000"/>
            <rFont val="Arial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2F000000}">
      <text>
        <r>
          <rPr>
            <sz val="10"/>
            <color rgb="FF000000"/>
            <rFont val="Arial"/>
          </rPr>
          <t>Tharindu Wickramaarachchi:
RR from the lterature was used.
RRR = 0.53 (0.40-0.70) for being anaemic [Hutton and Hassan, 2007 Jama [63]]</t>
        </r>
      </text>
    </comment>
    <comment ref="H27" authorId="0" shapeId="0" xr:uid="{00000000-0006-0000-1800-00003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3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3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3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34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1" authorId="0" shapeId="0" xr:uid="{00000000-0006-0000-1800-00003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1" authorId="0" shapeId="0" xr:uid="{00000000-0006-0000-1800-00003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1" authorId="0" shapeId="0" xr:uid="{00000000-0006-0000-1800-00003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2" authorId="0" shapeId="0" xr:uid="{00000000-0006-0000-1800-00003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2" authorId="0" shapeId="0" xr:uid="{00000000-0006-0000-1800-00003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2" authorId="0" shapeId="0" xr:uid="{00000000-0006-0000-1800-00003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2" authorId="0" shapeId="0" xr:uid="{00000000-0006-0000-1800-00003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3" authorId="0" shapeId="0" xr:uid="{00000000-0006-0000-1800-00003C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33" authorId="0" shapeId="0" xr:uid="{00000000-0006-0000-1800-00003D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33" authorId="0" shapeId="0" xr:uid="{00000000-0006-0000-1800-00003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33" authorId="0" shapeId="0" xr:uid="{00000000-0006-0000-1800-00003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35" authorId="0" shapeId="0" xr:uid="{00000000-0006-0000-1800-00004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4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4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4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4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4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4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4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4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4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4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4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4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4D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36" authorId="0" shapeId="0" xr:uid="{00000000-0006-0000-1800-00004E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36" authorId="0" shapeId="0" xr:uid="{00000000-0006-0000-1800-00004F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38" authorId="0" shapeId="0" xr:uid="{00000000-0006-0000-1800-000050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51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C49" authorId="0" shapeId="0" xr:uid="{00000000-0006-0000-1800-000052000000}">
      <text>
        <r>
          <rPr>
            <sz val="10"/>
            <color rgb="FF000000"/>
            <rFont val="Arial"/>
          </rPr>
          <t>Tharindu Wickramaarachchi:
RR from the lterature was used.
RRR = 0.53 (0.40-0.70) for being anaemic [Hutton and Hassan, 2007 Jama [63]]</t>
        </r>
      </text>
    </comment>
    <comment ref="H50" authorId="0" shapeId="0" xr:uid="{00000000-0006-0000-1800-00005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54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55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56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57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58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59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5A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5B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5C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5D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5E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5F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6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6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6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63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4" authorId="0" shapeId="0" xr:uid="{00000000-0006-0000-1800-000064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4" authorId="0" shapeId="0" xr:uid="{00000000-0006-0000-1800-00006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4" authorId="0" shapeId="0" xr:uid="{00000000-0006-0000-1800-00006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5" authorId="0" shapeId="0" xr:uid="{00000000-0006-0000-1800-00006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5" authorId="0" shapeId="0" xr:uid="{00000000-0006-0000-1800-00006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5" authorId="0" shapeId="0" xr:uid="{00000000-0006-0000-1800-00006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5" authorId="0" shapeId="0" xr:uid="{00000000-0006-0000-1800-00006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6" authorId="0" shapeId="0" xr:uid="{00000000-0006-0000-1800-00006B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56" authorId="0" shapeId="0" xr:uid="{00000000-0006-0000-1800-00006C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56" authorId="0" shapeId="0" xr:uid="{00000000-0006-0000-1800-00006D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56" authorId="0" shapeId="0" xr:uid="{00000000-0006-0000-1800-00006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58" authorId="0" shapeId="0" xr:uid="{00000000-0006-0000-1800-00006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7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7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7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7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7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7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7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7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7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7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7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7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7C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59" authorId="0" shapeId="0" xr:uid="{00000000-0006-0000-1800-00007D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59" authorId="0" shapeId="0" xr:uid="{00000000-0006-0000-1800-00007E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61" authorId="0" shapeId="0" xr:uid="{00000000-0006-0000-1800-00007F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80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0" authorId="1" shapeId="0" xr:uid="{00000000-0006-0000-1A00-00000B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0" authorId="1" shapeId="0" xr:uid="{00000000-0006-0000-1A00-00000C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" authorId="1" shapeId="0" xr:uid="{00000000-0006-0000-1A00-00000D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" authorId="1" shapeId="0" xr:uid="{00000000-0006-0000-1A00-00000E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4" authorId="0" shapeId="0" xr:uid="{00000000-0006-0000-1A00-00000F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4" authorId="0" shapeId="0" xr:uid="{00000000-0006-0000-1A00-000010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6" authorId="0" shapeId="0" xr:uid="{00000000-0006-0000-1A00-000011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6" authorId="0" shapeId="0" xr:uid="{00000000-0006-0000-1A00-000012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8" authorId="0" shapeId="0" xr:uid="{00000000-0006-0000-1A00-000013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18" authorId="0" shapeId="0" xr:uid="{00000000-0006-0000-1A00-000014000000}">
      <text>
        <r>
          <rPr>
            <sz val="10"/>
            <color rgb="FF000000"/>
            <rFont val="Arial"/>
          </rPr>
          <t>Tharindu Wickramaarachchi:
RRR = 0.32 (0.16-0.61) for SAM incidence 
Langendorf et al. 2014</t>
        </r>
      </text>
    </comment>
    <comment ref="H18" authorId="0" shapeId="0" xr:uid="{00000000-0006-0000-1A00-000015000000}">
      <text>
        <r>
          <rPr>
            <sz val="10"/>
            <color rgb="FF000000"/>
            <rFont val="Arial"/>
          </rPr>
          <t>Tharindu Wickramaarachchi:
RRR = 0.32 (0.16-0.61) for SAM incidence 
Langendorf et al. 2014</t>
        </r>
      </text>
    </comment>
    <comment ref="F20" authorId="0" shapeId="0" xr:uid="{00000000-0006-0000-1A00-000016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20" authorId="0" shapeId="0" xr:uid="{00000000-0006-0000-1A00-000017000000}">
      <text>
        <r>
          <rPr>
            <sz val="10"/>
            <color rgb="FF000000"/>
            <rFont val="Arial"/>
          </rPr>
          <t xml:space="preserve">Tharindu Wickramaarachchi:
RRR = 0.40 (0.23-0.68) for MAM incidence Langendorf et al. 2014, PLoS Med </t>
        </r>
      </text>
    </comment>
    <comment ref="H20" authorId="0" shapeId="0" xr:uid="{00000000-0006-0000-1A00-000018000000}">
      <text>
        <r>
          <rPr>
            <sz val="10"/>
            <color rgb="FF000000"/>
            <rFont val="Arial"/>
          </rPr>
          <t xml:space="preserve">Tharindu Wickramaarachchi:
RRR = 0.40 (0.23-0.68) for MAM incidence Langendorf et al. 2014, PLoS Med </t>
        </r>
      </text>
    </comment>
    <comment ref="D22" authorId="0" shapeId="0" xr:uid="{00000000-0006-0000-1A00-000019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A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B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43" authorId="0" shapeId="0" xr:uid="{00000000-0006-0000-1A00-00001C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E43" authorId="0" shapeId="0" xr:uid="{00000000-0006-0000-1A00-00001D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F43" authorId="0" shapeId="0" xr:uid="{00000000-0006-0000-1A00-00001E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G43" authorId="0" shapeId="0" xr:uid="{00000000-0006-0000-1A00-00001F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H43" authorId="0" shapeId="0" xr:uid="{00000000-0006-0000-1A00-000020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D44" authorId="0" shapeId="0" xr:uid="{00000000-0006-0000-1A00-00002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44" authorId="0" shapeId="0" xr:uid="{00000000-0006-0000-1A00-00002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44" authorId="0" shapeId="0" xr:uid="{00000000-0006-0000-1A00-00002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44" authorId="0" shapeId="0" xr:uid="{00000000-0006-0000-1A00-00002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44" authorId="0" shapeId="0" xr:uid="{00000000-0006-0000-1A00-00002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47" authorId="0" shapeId="0" xr:uid="{00000000-0006-0000-1A00-00002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2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2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2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51" authorId="0" shapeId="0" xr:uid="{00000000-0006-0000-1A00-00003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51" authorId="0" shapeId="0" xr:uid="{00000000-0006-0000-1A00-00003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51" authorId="0" shapeId="0" xr:uid="{00000000-0006-0000-1A00-00003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51" authorId="0" shapeId="0" xr:uid="{00000000-0006-0000-1A00-00003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53" authorId="1" shapeId="0" xr:uid="{00000000-0006-0000-1A00-00003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58" authorId="0" shapeId="0" xr:uid="{00000000-0006-0000-1A00-000036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58" authorId="0" shapeId="0" xr:uid="{00000000-0006-0000-1A00-00003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58" authorId="0" shapeId="0" xr:uid="{00000000-0006-0000-1A00-00003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59" authorId="0" shapeId="0" xr:uid="{00000000-0006-0000-1A00-000039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59" authorId="0" shapeId="0" xr:uid="{00000000-0006-0000-1A00-00003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59" authorId="0" shapeId="0" xr:uid="{00000000-0006-0000-1A00-00003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1" authorId="1" shapeId="0" xr:uid="{00000000-0006-0000-1A00-00003C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1" authorId="1" shapeId="0" xr:uid="{00000000-0006-0000-1A00-00003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3" authorId="1" shapeId="0" xr:uid="{00000000-0006-0000-1A00-00003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3" authorId="1" shapeId="0" xr:uid="{00000000-0006-0000-1A00-00003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5" authorId="1" shapeId="0" xr:uid="{00000000-0006-0000-1A00-000040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5" authorId="1" shapeId="0" xr:uid="{00000000-0006-0000-1A00-00004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7" authorId="1" shapeId="0" xr:uid="{00000000-0006-0000-1A00-00004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7" authorId="1" shapeId="0" xr:uid="{00000000-0006-0000-1A00-00004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9" authorId="0" shapeId="0" xr:uid="{00000000-0006-0000-1A00-000044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69" authorId="0" shapeId="0" xr:uid="{00000000-0006-0000-1A00-00004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71" authorId="0" shapeId="0" xr:uid="{00000000-0006-0000-1A00-000046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71" authorId="0" shapeId="0" xr:uid="{00000000-0006-0000-1A00-00004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73" authorId="0" shapeId="0" xr:uid="{00000000-0006-0000-1A00-000048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73" authorId="0" shapeId="0" xr:uid="{00000000-0006-0000-1A00-000049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H73" authorId="0" shapeId="0" xr:uid="{00000000-0006-0000-1A00-00004A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F75" authorId="0" shapeId="0" xr:uid="{00000000-0006-0000-1A00-00004B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75" authorId="0" shapeId="0" xr:uid="{00000000-0006-0000-1A00-00004C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H75" authorId="0" shapeId="0" xr:uid="{00000000-0006-0000-1A00-00004D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D77" authorId="0" shapeId="0" xr:uid="{00000000-0006-0000-1A00-00004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F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50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99" authorId="0" shapeId="0" xr:uid="{00000000-0006-0000-1A00-00005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99" authorId="0" shapeId="0" xr:uid="{00000000-0006-0000-1A00-00005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99" authorId="0" shapeId="0" xr:uid="{00000000-0006-0000-1A00-00005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99" authorId="0" shapeId="0" xr:uid="{00000000-0006-0000-1A00-00005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99" authorId="0" shapeId="0" xr:uid="{00000000-0006-0000-1A00-00005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02" authorId="0" shapeId="0" xr:uid="{00000000-0006-0000-1A00-00005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5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5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5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5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06" authorId="0" shapeId="0" xr:uid="{00000000-0006-0000-1A00-00006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06" authorId="0" shapeId="0" xr:uid="{00000000-0006-0000-1A00-00006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06" authorId="0" shapeId="0" xr:uid="{00000000-0006-0000-1A00-00006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06" authorId="0" shapeId="0" xr:uid="{00000000-0006-0000-1A00-00006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08" authorId="1" shapeId="0" xr:uid="{00000000-0006-0000-1A00-00006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113" authorId="0" shapeId="0" xr:uid="{00000000-0006-0000-1A00-000066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113" authorId="0" shapeId="0" xr:uid="{00000000-0006-0000-1A00-00006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113" authorId="0" shapeId="0" xr:uid="{00000000-0006-0000-1A00-00006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114" authorId="0" shapeId="0" xr:uid="{00000000-0006-0000-1A00-000069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114" authorId="0" shapeId="0" xr:uid="{00000000-0006-0000-1A00-00006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114" authorId="0" shapeId="0" xr:uid="{00000000-0006-0000-1A00-00006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116" authorId="1" shapeId="0" xr:uid="{00000000-0006-0000-1A00-00006C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6" authorId="1" shapeId="0" xr:uid="{00000000-0006-0000-1A00-00006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18" authorId="1" shapeId="0" xr:uid="{00000000-0006-0000-1A00-00006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8" authorId="1" shapeId="0" xr:uid="{00000000-0006-0000-1A00-00006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20" authorId="1" shapeId="0" xr:uid="{00000000-0006-0000-1A00-000070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0" authorId="1" shapeId="0" xr:uid="{00000000-0006-0000-1A00-00007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2" authorId="1" shapeId="0" xr:uid="{00000000-0006-0000-1A00-00007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2" authorId="1" shapeId="0" xr:uid="{00000000-0006-0000-1A00-00007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4" authorId="0" shapeId="0" xr:uid="{00000000-0006-0000-1A00-000074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24" authorId="0" shapeId="0" xr:uid="{00000000-0006-0000-1A00-00007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26" authorId="0" shapeId="0" xr:uid="{00000000-0006-0000-1A00-000076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26" authorId="0" shapeId="0" xr:uid="{00000000-0006-0000-1A00-00007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28" authorId="0" shapeId="0" xr:uid="{00000000-0006-0000-1A00-000078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128" authorId="0" shapeId="0" xr:uid="{00000000-0006-0000-1A00-000079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H128" authorId="0" shapeId="0" xr:uid="{00000000-0006-0000-1A00-00007A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F130" authorId="0" shapeId="0" xr:uid="{00000000-0006-0000-1A00-00007B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130" authorId="0" shapeId="0" xr:uid="{00000000-0006-0000-1A00-00007C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H130" authorId="0" shapeId="0" xr:uid="{00000000-0006-0000-1A00-00007D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D132" authorId="0" shapeId="0" xr:uid="{00000000-0006-0000-1A00-00007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F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80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54" authorId="0" shapeId="0" xr:uid="{00000000-0006-0000-1A00-00008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154" authorId="0" shapeId="0" xr:uid="{00000000-0006-0000-1A00-00008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154" authorId="0" shapeId="0" xr:uid="{00000000-0006-0000-1A00-00008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154" authorId="0" shapeId="0" xr:uid="{00000000-0006-0000-1A00-00008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154" authorId="0" shapeId="0" xr:uid="{00000000-0006-0000-1A00-00008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57" authorId="0" shapeId="0" xr:uid="{00000000-0006-0000-1A00-00008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8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8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8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8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8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61" authorId="0" shapeId="0" xr:uid="{00000000-0006-0000-1A00-00009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61" authorId="0" shapeId="0" xr:uid="{00000000-0006-0000-1A00-00009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61" authorId="0" shapeId="0" xr:uid="{00000000-0006-0000-1A00-00009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61" authorId="0" shapeId="0" xr:uid="{00000000-0006-0000-1A00-00009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63" authorId="1" shapeId="0" xr:uid="{00000000-0006-0000-1A00-00009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12" authorId="0" shapeId="0" xr:uid="{00000000-0006-0000-1B00-00000D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12" authorId="0" shapeId="0" xr:uid="{00000000-0006-0000-1B00-00000E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12" authorId="0" shapeId="0" xr:uid="{00000000-0006-0000-1B00-00000F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12" authorId="0" shapeId="0" xr:uid="{00000000-0006-0000-1B00-000010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21" authorId="0" shapeId="0" xr:uid="{00000000-0006-0000-1B00-00001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21" authorId="0" shapeId="0" xr:uid="{00000000-0006-0000-1B00-00001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21" authorId="0" shapeId="0" xr:uid="{00000000-0006-0000-1B00-00001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21" authorId="0" shapeId="0" xr:uid="{00000000-0006-0000-1B00-00001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<sst xmlns="http://schemas.openxmlformats.org/spreadsheetml/2006/main" count="2092" uniqueCount="341">
  <si>
    <t>Baseline year data</t>
  </si>
  <si>
    <t>Field</t>
  </si>
  <si>
    <t>Data</t>
  </si>
  <si>
    <t>Projection years</t>
  </si>
  <si>
    <t>Baseline year (projection start year)</t>
  </si>
  <si>
    <t>End year</t>
  </si>
  <si>
    <t>Population data</t>
  </si>
  <si>
    <t>Children under 5 population</t>
  </si>
  <si>
    <t>Percentage of population food insecure (default poor)</t>
  </si>
  <si>
    <t>Percentage of population at risk of malaria</t>
  </si>
  <si>
    <t>School attendance (percentage of 15-19 year women)</t>
  </si>
  <si>
    <t>Percentage of pregnant women attending health facility</t>
  </si>
  <si>
    <t>Percentage of children attending health facility</t>
  </si>
  <si>
    <t>Unmet need for family planning</t>
  </si>
  <si>
    <t>Food</t>
  </si>
  <si>
    <t>Fraction of subsistence farming</t>
  </si>
  <si>
    <t>Fraction eating rice as main staple food</t>
  </si>
  <si>
    <t>Fraction eating wheat as main staple food</t>
  </si>
  <si>
    <t>Fraction eating maize as main staple food</t>
  </si>
  <si>
    <t>Fraction on other staples as main staple food</t>
  </si>
  <si>
    <t>Age distribution of pregnant women</t>
  </si>
  <si>
    <t>Percentage of pregnant women 15-19 years</t>
  </si>
  <si>
    <t>Percentage of pregnant women 20-29 years</t>
  </si>
  <si>
    <t>Percentage of pregnant women 30-39 years</t>
  </si>
  <si>
    <t>Percentage of pregnant women 40-49 years</t>
  </si>
  <si>
    <t>Birth spacing</t>
  </si>
  <si>
    <t>First birth</t>
  </si>
  <si>
    <t>less than 18 months</t>
  </si>
  <si>
    <t>18-23 months</t>
  </si>
  <si>
    <t>24 months or greater</t>
  </si>
  <si>
    <t>Total (must be 100%)</t>
  </si>
  <si>
    <t>Baseline year mortality and risk factors</t>
  </si>
  <si>
    <t>Mortality</t>
  </si>
  <si>
    <t>Neonatal mortality (per 1,000 live births)</t>
  </si>
  <si>
    <t>Infant mortality (per 1,000 live births)</t>
  </si>
  <si>
    <t>Under 5 mortality (per 1,000 live births)</t>
  </si>
  <si>
    <t>Maternal mortality (per 1,000 live births)</t>
  </si>
  <si>
    <t>Fraction of pregnancies ending in spontaneous abortion</t>
  </si>
  <si>
    <t>Stillbirths (per 1,000 total births)</t>
  </si>
  <si>
    <t>Birth outcome distribution</t>
  </si>
  <si>
    <t>Pre-term SGA</t>
  </si>
  <si>
    <t>Pre-term AGA</t>
  </si>
  <si>
    <t>Term SGA</t>
  </si>
  <si>
    <t>Term AGA</t>
  </si>
  <si>
    <t>Diarrhoea incidence</t>
  </si>
  <si>
    <t>Average episodes per year: &lt;1 month</t>
  </si>
  <si>
    <t>Average episodes per year: 1-5 months</t>
  </si>
  <si>
    <t>Average episodes per year: 6-11 months</t>
  </si>
  <si>
    <t>Average episodes per year: 12-23 months</t>
  </si>
  <si>
    <t>Average episodes per year: 24-59 months</t>
  </si>
  <si>
    <t>Other risks</t>
  </si>
  <si>
    <t>Percentage of diarrhea that is severe</t>
  </si>
  <si>
    <t>Percentage of anaemia that is iron deficient</t>
  </si>
  <si>
    <t>Prevalence of pre-eclampsia</t>
  </si>
  <si>
    <t>Prevalence of eclampsia</t>
  </si>
  <si>
    <t>Low birth weight</t>
  </si>
  <si>
    <t>year</t>
  </si>
  <si>
    <t>Number of births</t>
  </si>
  <si>
    <t>WRA: 15-19 years</t>
  </si>
  <si>
    <t>WRA: 20-29 years</t>
  </si>
  <si>
    <t>WRA: 30-39 years</t>
  </si>
  <si>
    <t>WRA: 40-49 years</t>
  </si>
  <si>
    <t>Total WRA</t>
  </si>
  <si>
    <t>Estimated pregnant women</t>
  </si>
  <si>
    <t>non-pregnant WRA</t>
  </si>
  <si>
    <t>Neonatal</t>
  </si>
  <si>
    <t>Causes</t>
  </si>
  <si>
    <t>&lt;1 month</t>
  </si>
  <si>
    <t>Neonatal diarrhoea</t>
  </si>
  <si>
    <t>Neonatal sepsis</t>
  </si>
  <si>
    <t>Neonatal pneumonia</t>
  </si>
  <si>
    <t>Neonatal asphyxia</t>
  </si>
  <si>
    <t>Neonatal prematurity</t>
  </si>
  <si>
    <t>Neonatal tetanus</t>
  </si>
  <si>
    <t>Neonatal congenital anomalies</t>
  </si>
  <si>
    <t>Neonatal other</t>
  </si>
  <si>
    <t>Children</t>
  </si>
  <si>
    <t>1-5 months</t>
  </si>
  <si>
    <t>6-11 months</t>
  </si>
  <si>
    <t>12-23 months</t>
  </si>
  <si>
    <t>24-59 months</t>
  </si>
  <si>
    <t>Diarrhoea</t>
  </si>
  <si>
    <t>Pneumonia</t>
  </si>
  <si>
    <t>Meningitis</t>
  </si>
  <si>
    <t>Measles</t>
  </si>
  <si>
    <t>Malaria</t>
  </si>
  <si>
    <t>Pertussis</t>
  </si>
  <si>
    <t>AIDS</t>
  </si>
  <si>
    <t>Injury</t>
  </si>
  <si>
    <t>Other</t>
  </si>
  <si>
    <t>Pregnant women</t>
  </si>
  <si>
    <t>Antepartum haemorrhage</t>
  </si>
  <si>
    <t>Intrapartum haemorrhage</t>
  </si>
  <si>
    <t>Postpartum haemorrhage</t>
  </si>
  <si>
    <t>Hypertensive disorders</t>
  </si>
  <si>
    <t>Sepsis</t>
  </si>
  <si>
    <t>Abortion</t>
  </si>
  <si>
    <t>Embolism</t>
  </si>
  <si>
    <t>Other direct causes</t>
  </si>
  <si>
    <t>Indirect causes</t>
  </si>
  <si>
    <t>Status</t>
  </si>
  <si>
    <t>Stunting (height-for-age)</t>
  </si>
  <si>
    <t>Normal (HAZ-score &gt; -1)</t>
  </si>
  <si>
    <t>Mild (HAZ-score between -2 and -1)</t>
  </si>
  <si>
    <t>Moderate (HAZ-score between -3 and -2)</t>
  </si>
  <si>
    <t>High (HAZ-score &lt; -3)</t>
  </si>
  <si>
    <t>Wasting (weight-for-height)</t>
  </si>
  <si>
    <t>Normal (WHZ-score &gt; -1)</t>
  </si>
  <si>
    <t>Mild (WHZ-score between -2 and -1)</t>
  </si>
  <si>
    <t>MAM (WHZ-score between -3 and -2)</t>
  </si>
  <si>
    <t>SAM (WHZ-score &lt; -3)</t>
  </si>
  <si>
    <t>Anaemia</t>
  </si>
  <si>
    <t>PW: 15-19 years</t>
  </si>
  <si>
    <t>PW: 20-29 years</t>
  </si>
  <si>
    <t>PW: 30-39 years</t>
  </si>
  <si>
    <t>PW: 40-49 years</t>
  </si>
  <si>
    <t>Prevalence of anaemia</t>
  </si>
  <si>
    <t>Prevalence of iron deficiency anaemia</t>
  </si>
  <si>
    <t>Breastfeeding</t>
  </si>
  <si>
    <t>Exclusive</t>
  </si>
  <si>
    <t>Predominant</t>
  </si>
  <si>
    <t>Partial</t>
  </si>
  <si>
    <t>None</t>
  </si>
  <si>
    <t>Risk</t>
  </si>
  <si>
    <t>Population</t>
  </si>
  <si>
    <t>Stunting prevalence (%)</t>
  </si>
  <si>
    <t>Children 0-59 months</t>
  </si>
  <si>
    <t>Wasting prevalence (%)</t>
  </si>
  <si>
    <t>Anaemia prevalence (%)</t>
  </si>
  <si>
    <t>Women of reproductive age</t>
  </si>
  <si>
    <t>Prevalence of age-appropriate breastfeeding</t>
  </si>
  <si>
    <t>Children 0-5 months</t>
  </si>
  <si>
    <t>Children 6-23 months</t>
  </si>
  <si>
    <t>Under five (deaths per 1,000 births)</t>
  </si>
  <si>
    <t>Maternal (deaths per 1,000 births)</t>
  </si>
  <si>
    <t>Type</t>
  </si>
  <si>
    <t>Cost</t>
  </si>
  <si>
    <t>Child wasting episode</t>
  </si>
  <si>
    <t>Child turning age 5 stunted (over lifetime)</t>
  </si>
  <si>
    <t>Child death</t>
  </si>
  <si>
    <t>Maternal death</t>
  </si>
  <si>
    <t>Anaemic child (per year)</t>
  </si>
  <si>
    <t>Anaemic pregnant woman (per pregnancy)</t>
  </si>
  <si>
    <t>IYCF package</t>
  </si>
  <si>
    <t>Target population</t>
  </si>
  <si>
    <t>Health facility</t>
  </si>
  <si>
    <t>Community</t>
  </si>
  <si>
    <t>Mass media</t>
  </si>
  <si>
    <t>IYCF 1</t>
  </si>
  <si>
    <t>x</t>
  </si>
  <si>
    <t>All</t>
  </si>
  <si>
    <t>IYCF 2</t>
  </si>
  <si>
    <t>IYCF 3</t>
  </si>
  <si>
    <t>Default</t>
  </si>
  <si>
    <t>Extension</t>
  </si>
  <si>
    <t>Add extension</t>
  </si>
  <si>
    <t>Program</t>
  </si>
  <si>
    <t>Treatment of SAM</t>
  </si>
  <si>
    <t>Management of MAM</t>
  </si>
  <si>
    <t>Delivery mode</t>
  </si>
  <si>
    <t>Community-based</t>
  </si>
  <si>
    <t>Saturation coverage of target population</t>
  </si>
  <si>
    <t>Unit cost (US$)</t>
  </si>
  <si>
    <t>Cost-coverage relationship</t>
  </si>
  <si>
    <t>Max-increase per annum</t>
  </si>
  <si>
    <t>Max-decrease per annum</t>
  </si>
  <si>
    <t>Balanced energy-protein supplementation</t>
  </si>
  <si>
    <t>Linear (constant marginal cost) [default]</t>
  </si>
  <si>
    <t>Calcium supplementation</t>
  </si>
  <si>
    <t>Cash transfers</t>
  </si>
  <si>
    <t>Delayed cord clamping</t>
  </si>
  <si>
    <t>Family planning</t>
  </si>
  <si>
    <t>IFA fortification of maize</t>
  </si>
  <si>
    <t>IFA fortification of rice</t>
  </si>
  <si>
    <t>IFA fortification of wheat flour</t>
  </si>
  <si>
    <t>IFAS (community)</t>
  </si>
  <si>
    <t>IFAS (health facility)</t>
  </si>
  <si>
    <t>IFAS (retailer)</t>
  </si>
  <si>
    <t>IFAS (school)</t>
  </si>
  <si>
    <t>IFAS for pregnant women (community)</t>
  </si>
  <si>
    <t>IFAS for pregnant women (health facility)</t>
  </si>
  <si>
    <t>IPTp</t>
  </si>
  <si>
    <t>Iron and iodine fortification of salt</t>
  </si>
  <si>
    <t>Kangaroo mother care</t>
  </si>
  <si>
    <t>Lipid-based nutrition supplements</t>
  </si>
  <si>
    <t>Long-lasting insecticide-treated bednets</t>
  </si>
  <si>
    <t>Mg for eclampsia</t>
  </si>
  <si>
    <t>Mg for pre-eclampsia</t>
  </si>
  <si>
    <t>Micronutrient powders</t>
  </si>
  <si>
    <t>Multiple micronutrient supplementation</t>
  </si>
  <si>
    <t>Oral rehydration salts</t>
  </si>
  <si>
    <t>Public provision of complementary foods</t>
  </si>
  <si>
    <t>Small quantity lipid-based nutrition supplements</t>
  </si>
  <si>
    <t>Vitamin A supplementation</t>
  </si>
  <si>
    <t>WASH: Handwashing</t>
  </si>
  <si>
    <t>WASH: Hygenic disposal</t>
  </si>
  <si>
    <t>WASH: Improved sanitation</t>
  </si>
  <si>
    <t>WASH: Improved water source</t>
  </si>
  <si>
    <t>WASH: Piped water</t>
  </si>
  <si>
    <t>Zinc for treatment + ORS</t>
  </si>
  <si>
    <t>Zinc supplementation</t>
  </si>
  <si>
    <t>Exclusion dependency</t>
  </si>
  <si>
    <t>Threshold dependency</t>
  </si>
  <si>
    <t>Condition</t>
  </si>
  <si>
    <t>MAM</t>
  </si>
  <si>
    <t>SAM</t>
  </si>
  <si>
    <t>Broad population group</t>
  </si>
  <si>
    <t>Non-pregnant WRA</t>
  </si>
  <si>
    <t>General population</t>
  </si>
  <si>
    <t>Curved with increasing marginal cost</t>
  </si>
  <si>
    <t>Curved with decreasing marginal cost</t>
  </si>
  <si>
    <t>S-shaped (decreasing then increasing marginal cost)</t>
  </si>
  <si>
    <t>Method</t>
  </si>
  <si>
    <t>Effectiveness</t>
  </si>
  <si>
    <t>Distribution</t>
  </si>
  <si>
    <t>Proportional Cost</t>
  </si>
  <si>
    <t>Condom</t>
  </si>
  <si>
    <t>Male sterilization</t>
  </si>
  <si>
    <t>Female sterilization</t>
  </si>
  <si>
    <t>Injectable</t>
  </si>
  <si>
    <t>Implant</t>
  </si>
  <si>
    <t>Pill</t>
  </si>
  <si>
    <t>Withdrawal</t>
  </si>
  <si>
    <t>Fertility awareness</t>
  </si>
  <si>
    <t>IUD</t>
  </si>
  <si>
    <t>Stunting</t>
  </si>
  <si>
    <t>Wasting prevention</t>
  </si>
  <si>
    <t>Wasting treatment</t>
  </si>
  <si>
    <t>Birth outcomes</t>
  </si>
  <si>
    <t>Birth number</t>
  </si>
  <si>
    <t>Age group</t>
  </si>
  <si>
    <t>Behaviour</t>
  </si>
  <si>
    <t>Odds ratio for correct breastfeeding</t>
  </si>
  <si>
    <t>Odds ratio for stunting</t>
  </si>
  <si>
    <t>Odds ratio for correct complementary feeding</t>
  </si>
  <si>
    <t>Lower bounds</t>
  </si>
  <si>
    <t>Odds ratio for correct breastfeeding - lower</t>
  </si>
  <si>
    <t>Odds ratio for stunting - lower</t>
  </si>
  <si>
    <t>Odds ratio for correct complementary feeding - lower</t>
  </si>
  <si>
    <t>Upper bounds</t>
  </si>
  <si>
    <t>Odds ratio for correct breastfeeding - upper</t>
  </si>
  <si>
    <t>Odds ratio for stunting - upper</t>
  </si>
  <si>
    <t>Odds ratio for correct complementary feeding - upper</t>
  </si>
  <si>
    <t>Maternal risk factors leading to birth outcomes</t>
  </si>
  <si>
    <t>Relative risk by birth spacing</t>
  </si>
  <si>
    <t>Odds ratios for women with maternal anaemia</t>
  </si>
  <si>
    <t>Risks for children who experience birth outcomes</t>
  </si>
  <si>
    <t>Odds ratios for conditions</t>
  </si>
  <si>
    <t>Stunting (HAZ-score &lt; -2)</t>
  </si>
  <si>
    <t>Relative risks of neonatal causes of death</t>
  </si>
  <si>
    <t>Relative risk by birth spacing - lower</t>
  </si>
  <si>
    <t>Odds ratios for women with maternal anaemia - lower</t>
  </si>
  <si>
    <t>Odds ratios for conditions - lower</t>
  </si>
  <si>
    <t>Stunting (HAZ-score &lt; -2)-l</t>
  </si>
  <si>
    <t>MAM (WHZ-score between -3 and -2)-l</t>
  </si>
  <si>
    <t>SAM (WHZ-score &lt; -3)-l</t>
  </si>
  <si>
    <t>Relative risks of neonatal causes of death - lower</t>
  </si>
  <si>
    <t>Relative risk by birth spacing - upper</t>
  </si>
  <si>
    <t>Odds ratios for women with maternal anaemia - upper</t>
  </si>
  <si>
    <t>Odds ratios for conditions - upper</t>
  </si>
  <si>
    <t>Stunting (HAZ-score &lt; -2)-u</t>
  </si>
  <si>
    <t>MAM (WHZ-score between -3 and -2)-u</t>
  </si>
  <si>
    <t>SAM (WHZ-score &lt; -3)-u</t>
  </si>
  <si>
    <t>Relative risks of neonatal causes of death - upper</t>
  </si>
  <si>
    <t>Relative risk of causes of death by height-for-age (stunting) distribution</t>
  </si>
  <si>
    <t>Cause of death</t>
  </si>
  <si>
    <t>HAZ status</t>
  </si>
  <si>
    <t>Normal</t>
  </si>
  <si>
    <t>Mild</t>
  </si>
  <si>
    <t>Moderate</t>
  </si>
  <si>
    <t>High</t>
  </si>
  <si>
    <t>Relative risk of causes of death by weight-for-height (wasting) distribution</t>
  </si>
  <si>
    <t>Wasting</t>
  </si>
  <si>
    <t>WHZ status</t>
  </si>
  <si>
    <t>Relative risk of causes of death by anaemia status</t>
  </si>
  <si>
    <t>Anaemia status</t>
  </si>
  <si>
    <t>Not anaemic</t>
  </si>
  <si>
    <t>Anaemic</t>
  </si>
  <si>
    <t>Relative risk of causes of death by breastfeeding status</t>
  </si>
  <si>
    <t>Breastfeeding status</t>
  </si>
  <si>
    <t>Relative risks of experiencing diarrhoea by breastfeeding status</t>
  </si>
  <si>
    <t>Odds ratios for stunting</t>
  </si>
  <si>
    <t>Given previous stunting (HAZ &lt; -2 in previous age band)</t>
  </si>
  <si>
    <t>N/A</t>
  </si>
  <si>
    <t>Diarrhoea (per additional episode)</t>
  </si>
  <si>
    <t>By program</t>
  </si>
  <si>
    <t>Odds ratios for correct breastfeeding by program</t>
  </si>
  <si>
    <t>Other odds ratios</t>
  </si>
  <si>
    <t>For SAM per additional episode of diarrhoea</t>
  </si>
  <si>
    <t>For MAM per additional episode of diarrhoea</t>
  </si>
  <si>
    <t>For anaemia per additional episode of severe diarrhoea</t>
  </si>
  <si>
    <t>Odds ratios for optimal birth spacing by program</t>
  </si>
  <si>
    <t>Given previous stunting (HAZ &lt; -2 in previous age band) - lower</t>
  </si>
  <si>
    <t>Diarrhoea (per additional episode) - lower</t>
  </si>
  <si>
    <t>By program - lower</t>
  </si>
  <si>
    <t>Public provision of complementary foods - lower</t>
  </si>
  <si>
    <t>Lipid-based nutrition supplements - lower</t>
  </si>
  <si>
    <t>Small quantity lipid-based nutrition supplements - lower</t>
  </si>
  <si>
    <t>Zinc supplementation - lower</t>
  </si>
  <si>
    <t>Odds ratios for correct breastfeeding by program - lower</t>
  </si>
  <si>
    <t>Kangaroo mother care - lower</t>
  </si>
  <si>
    <t>For SAM per additional episode of diarrhoea - lower</t>
  </si>
  <si>
    <t>For MAM per additional episode of diarrhoea - lower</t>
  </si>
  <si>
    <t>For anaemia per additional episode of severe diarrhoea - lower</t>
  </si>
  <si>
    <t>Odds ratios for optimal birth spacing by program - lower</t>
  </si>
  <si>
    <t>Family planning - lower</t>
  </si>
  <si>
    <t>Given previous stunting (HAZ &lt; -2 in previous age band) - upper</t>
  </si>
  <si>
    <t>Diarrhoea (per additional episode) - upper</t>
  </si>
  <si>
    <t>By program - upper</t>
  </si>
  <si>
    <t>Public provision of complementary foods - upper</t>
  </si>
  <si>
    <t>Lipid-based nutrition supplements - upper</t>
  </si>
  <si>
    <t>Small quantity lipid-based nutrition supplements - upper</t>
  </si>
  <si>
    <t>Zinc supplementation - upper</t>
  </si>
  <si>
    <t>Odds ratios for correct breastfeeding by program - upper</t>
  </si>
  <si>
    <t>Kangaroo mother care - upper</t>
  </si>
  <si>
    <t>For SAM per additional episode of diarrhoea - upper</t>
  </si>
  <si>
    <t>For MAM per additional episode of diarrhoea - upper</t>
  </si>
  <si>
    <t>For anaemia per additional episode of severe diarrhoea - upper</t>
  </si>
  <si>
    <t>Odds ratios for optimal birth spacing by program - upper</t>
  </si>
  <si>
    <t>Family planning - upper</t>
  </si>
  <si>
    <t>effectiveness</t>
  </si>
  <si>
    <t>affected fraction</t>
  </si>
  <si>
    <t>Relative risks of anaemia when receiving intervention</t>
  </si>
  <si>
    <t>Odds ratios of being anaemic when covered by intervention</t>
  </si>
  <si>
    <t>Relative risks of anaemia when receiving intervention - lower</t>
  </si>
  <si>
    <t>Odds ratios of being anaemic when covered by intervention - lower</t>
  </si>
  <si>
    <t>Relative risks of anaemia when receiving intervention - upper</t>
  </si>
  <si>
    <t>Odds ratios of being anaemic when covered by intervention - upper</t>
  </si>
  <si>
    <t>Odds ratio of SAM when covered by program</t>
  </si>
  <si>
    <t>Odds ratio of MAM when covered by program</t>
  </si>
  <si>
    <t>Lower bound</t>
  </si>
  <si>
    <t>Odds ratio of SAM when covered by program - lower</t>
  </si>
  <si>
    <t>Odds ratio of MAM when covered by program - lower</t>
  </si>
  <si>
    <t>Upper bound</t>
  </si>
  <si>
    <t>Odds ratio of SAM when covered by program - upper</t>
  </si>
  <si>
    <t>Odds ratio of MAM when covered by program - upper</t>
  </si>
  <si>
    <t>Targetted condition</t>
  </si>
  <si>
    <t>Outcome</t>
  </si>
  <si>
    <t>Affected fraction</t>
  </si>
  <si>
    <t>Effectiveness mortality</t>
  </si>
  <si>
    <t>Effectiveness incidence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</si>
</sst>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_);_(* \(#,##0\);_(* &quot;-&quot;??_);_(@_)"/>
    <numFmt numFmtId="165" formatCode="0.000"/>
    <numFmt numFmtId="166" formatCode="0.0%"/>
    <numFmt numFmtId="167" formatCode="0.0"/>
    <numFmt numFmtId="168" formatCode="#,##0.0"/>
  </numFmts>
  <fonts count="19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</cellStyleXfs>
  <cellXfs count="105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43" fontId="4" fillId="0" borderId="0" xfId="0" applyNumberFormat="1" applyFont="1"/>
    <xf numFmtId="164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4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5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6" fontId="4" fillId="2" borderId="1" xfId="0" applyNumberFormat="1" applyFont="1" applyFill="1" applyBorder="1" applyAlignment="1">
      <alignment horizontal="right"/>
    </xf>
    <xf numFmtId="166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6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6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6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4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6" fontId="8" fillId="3" borderId="1" xfId="0" applyNumberFormat="1" applyFont="1" applyFill="1" applyBorder="1" applyAlignment="1" applyProtection="1">
      <alignment horizontal="right"/>
      <protection locked="0"/>
    </xf>
    <xf numFmtId="166" fontId="4" fillId="2" borderId="1" xfId="0" applyNumberFormat="1" applyFont="1" applyFill="1" applyBorder="1" applyAlignment="1" applyProtection="1">
      <alignment horizontal="right"/>
      <protection locked="0"/>
    </xf>
    <xf numFmtId="166" fontId="0" fillId="2" borderId="1" xfId="0" applyNumberFormat="1" applyFill="1" applyBorder="1" applyProtection="1">
      <protection locked="0"/>
    </xf>
    <xf numFmtId="166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5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8" fontId="4" fillId="2" borderId="1" xfId="0" applyNumberFormat="1" applyFont="1" applyFill="1" applyBorder="1" applyProtection="1">
      <protection locked="0"/>
    </xf>
    <xf numFmtId="166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6">
    <cellStyle name="Comma 2" xfId="5" xr:uid="{00000000-0005-0000-0000-000007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5000000}"/>
    <cellStyle name="Normal 3" xfId="4" xr:uid="{00000000-0005-0000-0000-000006000000}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600"/>
  </sheetPr>
  <dimension ref="A1:E63"/>
  <sheetViews>
    <sheetView zoomScaleNormal="100" workbookViewId="0">
      <selection activeCell="C11" sqref="C11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3" width="14.453125" style="8" customWidth="1"/>
    <col min="4" max="16384" width="14.453125" style="8"/>
  </cols>
  <sheetData>
    <row r="1" spans="1:3" ht="15.9" customHeight="1" x14ac:dyDescent="0.3">
      <c r="A1" s="1" t="s">
        <v>0</v>
      </c>
      <c r="B1" s="29" t="s">
        <v>1</v>
      </c>
      <c r="C1" s="29" t="s">
        <v>2</v>
      </c>
    </row>
    <row r="2" spans="1:3" ht="15.9" customHeight="1" x14ac:dyDescent="0.3">
      <c r="A2" s="8" t="s">
        <v>3</v>
      </c>
      <c r="B2" s="29"/>
      <c r="C2" s="29"/>
    </row>
    <row r="3" spans="1:3" ht="15.9" customHeight="1" x14ac:dyDescent="0.3">
      <c r="A3" s="1"/>
      <c r="B3" s="5" t="s">
        <v>4</v>
      </c>
      <c r="C3" s="41">
        <v>2024</v>
      </c>
    </row>
    <row r="4" spans="1:3" ht="15.9" customHeight="1" x14ac:dyDescent="0.3">
      <c r="A4" s="1"/>
      <c r="B4" s="5" t="s">
        <v>5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6</v>
      </c>
    </row>
    <row r="7" spans="1:3" ht="15" customHeight="1" x14ac:dyDescent="0.25">
      <c r="B7" s="11" t="s">
        <v>7</v>
      </c>
      <c r="C7" s="43">
        <v>8263459.6875</v>
      </c>
    </row>
    <row r="8" spans="1:3" ht="15" customHeight="1" x14ac:dyDescent="0.25">
      <c r="B8" s="5" t="s">
        <v>8</v>
      </c>
      <c r="C8" s="44">
        <v>0.41699999999999998</v>
      </c>
    </row>
    <row r="9" spans="1:3" ht="15" customHeight="1" x14ac:dyDescent="0.25">
      <c r="B9" s="5" t="s">
        <v>9</v>
      </c>
      <c r="C9" s="45">
        <v>0.73</v>
      </c>
    </row>
    <row r="10" spans="1:3" ht="15" customHeight="1" x14ac:dyDescent="0.25">
      <c r="B10" s="5" t="s">
        <v>10</v>
      </c>
      <c r="C10" s="45">
        <v>0.32603321079999997</v>
      </c>
    </row>
    <row r="11" spans="1:3" ht="15" customHeight="1" x14ac:dyDescent="0.25">
      <c r="B11" s="5" t="s">
        <v>11</v>
      </c>
      <c r="C11" s="45">
        <v>1</v>
      </c>
    </row>
    <row r="12" spans="1:3" ht="15" customHeight="1" x14ac:dyDescent="0.25">
      <c r="B12" s="5" t="s">
        <v>12</v>
      </c>
      <c r="C12" s="45">
        <v>1</v>
      </c>
    </row>
    <row r="13" spans="1:3" ht="15" customHeight="1" x14ac:dyDescent="0.25">
      <c r="B13" s="5" t="s">
        <v>13</v>
      </c>
      <c r="C13" s="45">
        <v>0.501</v>
      </c>
    </row>
    <row r="14" spans="1:3" ht="15" customHeight="1" x14ac:dyDescent="0.25">
      <c r="B14" s="8"/>
    </row>
    <row r="15" spans="1:3" ht="15" customHeight="1" x14ac:dyDescent="0.3">
      <c r="A15" s="8" t="s">
        <v>14</v>
      </c>
      <c r="B15" s="14"/>
      <c r="C15" s="3"/>
    </row>
    <row r="16" spans="1:3" ht="15" customHeight="1" x14ac:dyDescent="0.25">
      <c r="B16" s="5" t="s">
        <v>15</v>
      </c>
      <c r="C16" s="45">
        <v>0.1</v>
      </c>
    </row>
    <row r="17" spans="1:3" ht="15" customHeight="1" x14ac:dyDescent="0.25">
      <c r="B17" s="5" t="s">
        <v>16</v>
      </c>
      <c r="C17" s="45">
        <v>0.7</v>
      </c>
    </row>
    <row r="18" spans="1:3" ht="15" customHeight="1" x14ac:dyDescent="0.25">
      <c r="B18" s="5" t="s">
        <v>17</v>
      </c>
      <c r="C18" s="45">
        <v>0.05</v>
      </c>
    </row>
    <row r="19" spans="1:3" ht="15" customHeight="1" x14ac:dyDescent="0.25">
      <c r="B19" s="5" t="s">
        <v>18</v>
      </c>
      <c r="C19" s="45">
        <v>0.05</v>
      </c>
    </row>
    <row r="20" spans="1:3" ht="15" customHeight="1" x14ac:dyDescent="0.25">
      <c r="B20" s="5" t="s">
        <v>19</v>
      </c>
      <c r="C20" s="46">
        <f>1-frac_rice-frac_wheat-frac_maize</f>
        <v>0.20000000000000007</v>
      </c>
    </row>
    <row r="21" spans="1:3" ht="15" customHeight="1" x14ac:dyDescent="0.25">
      <c r="B21" s="8"/>
    </row>
    <row r="22" spans="1:3" ht="15" customHeight="1" x14ac:dyDescent="0.25">
      <c r="A22" s="8" t="s">
        <v>20</v>
      </c>
    </row>
    <row r="23" spans="1:3" ht="15" customHeight="1" x14ac:dyDescent="0.25">
      <c r="B23" s="15" t="s">
        <v>21</v>
      </c>
      <c r="C23" s="45">
        <v>0.10879999999999999</v>
      </c>
    </row>
    <row r="24" spans="1:3" ht="15" customHeight="1" x14ac:dyDescent="0.25">
      <c r="B24" s="15" t="s">
        <v>22</v>
      </c>
      <c r="C24" s="45">
        <v>0.53739999999999999</v>
      </c>
    </row>
    <row r="25" spans="1:3" ht="15" customHeight="1" x14ac:dyDescent="0.25">
      <c r="B25" s="15" t="s">
        <v>23</v>
      </c>
      <c r="C25" s="45">
        <v>0.29330000000000001</v>
      </c>
    </row>
    <row r="26" spans="1:3" ht="15" customHeight="1" x14ac:dyDescent="0.25">
      <c r="B26" s="15" t="s">
        <v>24</v>
      </c>
      <c r="C26" s="45">
        <v>6.0499999999999998E-2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25</v>
      </c>
      <c r="B28" s="15"/>
      <c r="C28" s="15"/>
    </row>
    <row r="29" spans="1:3" ht="14.25" customHeight="1" x14ac:dyDescent="0.25">
      <c r="B29" s="25" t="s">
        <v>26</v>
      </c>
      <c r="C29" s="45">
        <v>0.22259625228416199</v>
      </c>
    </row>
    <row r="30" spans="1:3" ht="14.25" customHeight="1" x14ac:dyDescent="0.25">
      <c r="B30" s="25" t="s">
        <v>27</v>
      </c>
      <c r="C30" s="99">
        <v>6.9957740305893898E-2</v>
      </c>
    </row>
    <row r="31" spans="1:3" ht="14.25" customHeight="1" x14ac:dyDescent="0.25">
      <c r="B31" s="25" t="s">
        <v>28</v>
      </c>
      <c r="C31" s="99">
        <v>0.118524449608315</v>
      </c>
    </row>
    <row r="32" spans="1:3" ht="14.25" customHeight="1" x14ac:dyDescent="0.25">
      <c r="B32" s="25" t="s">
        <v>29</v>
      </c>
      <c r="C32" s="99">
        <v>0.58892155780162903</v>
      </c>
    </row>
    <row r="33" spans="1:5" ht="13" customHeight="1" x14ac:dyDescent="0.25">
      <c r="B33" s="27" t="s">
        <v>30</v>
      </c>
      <c r="C33" s="48">
        <f>SUM(C29:C32)</f>
        <v>0.99999999999999989</v>
      </c>
    </row>
    <row r="34" spans="1:5" ht="15" customHeight="1" x14ac:dyDescent="0.25"/>
    <row r="35" spans="1:5" ht="15" customHeight="1" x14ac:dyDescent="0.3">
      <c r="A35" s="4" t="s">
        <v>31</v>
      </c>
    </row>
    <row r="36" spans="1:5" ht="15" customHeight="1" x14ac:dyDescent="0.25">
      <c r="A36" s="8" t="s">
        <v>32</v>
      </c>
      <c r="B36" s="5"/>
    </row>
    <row r="37" spans="1:5" ht="15" customHeight="1" x14ac:dyDescent="0.25">
      <c r="B37" s="11" t="s">
        <v>33</v>
      </c>
      <c r="C37" s="43">
        <v>19.007650000000002</v>
      </c>
    </row>
    <row r="38" spans="1:5" ht="15" customHeight="1" x14ac:dyDescent="0.25">
      <c r="B38" s="11" t="s">
        <v>34</v>
      </c>
      <c r="C38" s="43">
        <v>31.167809999999999</v>
      </c>
      <c r="D38" s="12"/>
      <c r="E38" s="13"/>
    </row>
    <row r="39" spans="1:5" ht="15" customHeight="1" x14ac:dyDescent="0.25">
      <c r="B39" s="11" t="s">
        <v>35</v>
      </c>
      <c r="C39" s="43">
        <v>42.12818</v>
      </c>
      <c r="D39" s="12"/>
      <c r="E39" s="12"/>
    </row>
    <row r="40" spans="1:5" ht="15" customHeight="1" x14ac:dyDescent="0.25">
      <c r="B40" s="11" t="s">
        <v>36</v>
      </c>
      <c r="C40" s="100">
        <v>2.84</v>
      </c>
    </row>
    <row r="41" spans="1:5" ht="15" customHeight="1" x14ac:dyDescent="0.25">
      <c r="B41" s="11" t="s">
        <v>37</v>
      </c>
      <c r="C41" s="45">
        <v>0.12</v>
      </c>
    </row>
    <row r="42" spans="1:5" ht="15" customHeight="1" x14ac:dyDescent="0.25">
      <c r="B42" s="11" t="s">
        <v>38</v>
      </c>
      <c r="C42" s="43">
        <v>15.09651</v>
      </c>
    </row>
    <row r="43" spans="1:5" ht="15.75" customHeight="1" x14ac:dyDescent="0.25">
      <c r="D43" s="12"/>
    </row>
    <row r="44" spans="1:5" ht="15.75" customHeight="1" x14ac:dyDescent="0.25">
      <c r="A44" s="8" t="s">
        <v>39</v>
      </c>
      <c r="D44" s="12"/>
    </row>
    <row r="45" spans="1:5" ht="15.75" customHeight="1" x14ac:dyDescent="0.25">
      <c r="B45" s="11" t="s">
        <v>40</v>
      </c>
      <c r="C45" s="45">
        <v>8.5860999999999993E-3</v>
      </c>
      <c r="D45" s="12"/>
    </row>
    <row r="46" spans="1:5" ht="15.75" customHeight="1" x14ac:dyDescent="0.25">
      <c r="B46" s="11" t="s">
        <v>41</v>
      </c>
      <c r="C46" s="45">
        <v>9.0953300000000001E-2</v>
      </c>
      <c r="D46" s="12"/>
    </row>
    <row r="47" spans="1:5" ht="15.75" customHeight="1" x14ac:dyDescent="0.25">
      <c r="B47" s="11" t="s">
        <v>42</v>
      </c>
      <c r="C47" s="45">
        <v>0.15892729999999999</v>
      </c>
      <c r="D47" s="12"/>
      <c r="E47" s="13"/>
    </row>
    <row r="48" spans="1:5" ht="15" customHeight="1" x14ac:dyDescent="0.25">
      <c r="B48" s="11" t="s">
        <v>43</v>
      </c>
      <c r="C48" s="46">
        <v>0.74153329999999995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44</v>
      </c>
      <c r="D50" s="12"/>
    </row>
    <row r="51" spans="1:4" ht="15.75" customHeight="1" x14ac:dyDescent="0.25">
      <c r="B51" s="11" t="s">
        <v>45</v>
      </c>
      <c r="C51" s="100">
        <v>3.3</v>
      </c>
      <c r="D51" s="12"/>
    </row>
    <row r="52" spans="1:4" ht="15" customHeight="1" x14ac:dyDescent="0.25">
      <c r="B52" s="11" t="s">
        <v>46</v>
      </c>
      <c r="C52" s="100">
        <v>3.3</v>
      </c>
    </row>
    <row r="53" spans="1:4" ht="15.75" customHeight="1" x14ac:dyDescent="0.25">
      <c r="B53" s="11" t="s">
        <v>47</v>
      </c>
      <c r="C53" s="100">
        <v>3.3</v>
      </c>
    </row>
    <row r="54" spans="1:4" ht="15.75" customHeight="1" x14ac:dyDescent="0.25">
      <c r="B54" s="11" t="s">
        <v>48</v>
      </c>
      <c r="C54" s="100">
        <v>3.3</v>
      </c>
    </row>
    <row r="55" spans="1:4" ht="15.75" customHeight="1" x14ac:dyDescent="0.25">
      <c r="B55" s="11" t="s">
        <v>49</v>
      </c>
      <c r="C55" s="100">
        <v>3.3</v>
      </c>
    </row>
    <row r="57" spans="1:4" ht="15.75" customHeight="1" x14ac:dyDescent="0.25">
      <c r="A57" s="8" t="s">
        <v>50</v>
      </c>
    </row>
    <row r="58" spans="1:4" ht="15.75" customHeight="1" x14ac:dyDescent="0.25">
      <c r="B58" s="5" t="s">
        <v>51</v>
      </c>
      <c r="C58" s="45">
        <v>2.181818181818182E-2</v>
      </c>
    </row>
    <row r="59" spans="1:4" ht="15.75" customHeight="1" x14ac:dyDescent="0.25">
      <c r="B59" s="11" t="s">
        <v>52</v>
      </c>
      <c r="C59" s="45">
        <v>0.50075199999999997</v>
      </c>
    </row>
    <row r="60" spans="1:4" ht="15.75" customHeight="1" x14ac:dyDescent="0.25">
      <c r="B60" s="11" t="s">
        <v>53</v>
      </c>
      <c r="C60" s="45">
        <v>4.5999999999999999E-2</v>
      </c>
    </row>
    <row r="61" spans="1:4" ht="15.75" customHeight="1" x14ac:dyDescent="0.25">
      <c r="B61" s="11" t="s">
        <v>54</v>
      </c>
      <c r="C61" s="45">
        <v>1.4E-2</v>
      </c>
    </row>
    <row r="62" spans="1:4" ht="15.75" customHeight="1" x14ac:dyDescent="0.25">
      <c r="B62" s="11" t="s">
        <v>55</v>
      </c>
      <c r="C62" s="44">
        <v>0.14599999999999999</v>
      </c>
    </row>
    <row r="63" spans="1:4" ht="15.75" customHeight="1" x14ac:dyDescent="0.3">
      <c r="A63" s="4"/>
    </row>
  </sheetData>
  <sheetProtection algorithmName="SHA-512" hashValue="yhO3A/7ogScQKKv7lXUGC9CoVyICjceFFRjTsMohTK8bhTOO/yn0Gnugo/XyoVDeI5ka0GSLXjJ6Q2MNf7pyqg==" saltValue="fYAoZXD7m2jFSdfe+sbAm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600"/>
  </sheetPr>
  <dimension ref="A1:I40"/>
  <sheetViews>
    <sheetView zoomScale="85" zoomScaleNormal="85" workbookViewId="0">
      <selection activeCell="B11" sqref="B11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0" width="14.453125" style="8" customWidth="1"/>
    <col min="11" max="16384" width="14.453125" style="8"/>
  </cols>
  <sheetData>
    <row r="1" spans="1:9" s="16" customFormat="1" ht="30" customHeight="1" x14ac:dyDescent="0.3">
      <c r="A1" s="26" t="s">
        <v>56</v>
      </c>
      <c r="B1" s="20" t="s">
        <v>57</v>
      </c>
      <c r="C1" s="18" t="s">
        <v>58</v>
      </c>
      <c r="D1" s="18" t="s">
        <v>59</v>
      </c>
      <c r="E1" s="18" t="s">
        <v>60</v>
      </c>
      <c r="F1" s="18" t="s">
        <v>61</v>
      </c>
      <c r="G1" s="18" t="s">
        <v>62</v>
      </c>
      <c r="H1" s="18" t="s">
        <v>63</v>
      </c>
      <c r="I1" s="18" t="s">
        <v>64</v>
      </c>
    </row>
    <row r="2" spans="1:9" ht="15.75" customHeight="1" x14ac:dyDescent="0.25">
      <c r="A2" s="5">
        <f>start_year</f>
        <v>2024</v>
      </c>
      <c r="B2" s="49">
        <v>2051365.291200001</v>
      </c>
      <c r="C2" s="49">
        <v>3017000</v>
      </c>
      <c r="D2" s="49">
        <v>4621000</v>
      </c>
      <c r="E2" s="49">
        <v>3203000</v>
      </c>
      <c r="F2" s="49">
        <v>3461000</v>
      </c>
      <c r="G2" s="17">
        <f t="shared" ref="G2:G13" si="0">C2+D2+E2+F2</f>
        <v>14302000</v>
      </c>
      <c r="H2" s="17">
        <f t="shared" ref="H2:H13" si="1">(B2 + stillbirth*B2/(1000-stillbirth))/(1-abortion)</f>
        <v>2366827.7607770311</v>
      </c>
      <c r="I2" s="17">
        <f t="shared" ref="I2:I13" si="2">G2-H2</f>
        <v>11935172.23922297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2089098.625</v>
      </c>
      <c r="C3" s="50">
        <v>3106000</v>
      </c>
      <c r="D3" s="50">
        <v>4786000</v>
      </c>
      <c r="E3" s="50">
        <v>3074000</v>
      </c>
      <c r="F3" s="50">
        <v>3487000</v>
      </c>
      <c r="G3" s="17">
        <f t="shared" si="0"/>
        <v>14453000</v>
      </c>
      <c r="H3" s="17">
        <f t="shared" si="1"/>
        <v>2410363.7913063671</v>
      </c>
      <c r="I3" s="17">
        <f t="shared" si="2"/>
        <v>12042636.208693633</v>
      </c>
    </row>
    <row r="4" spans="1:9" ht="15.75" customHeight="1" x14ac:dyDescent="0.25">
      <c r="A4" s="5">
        <f t="shared" si="3"/>
        <v>2026</v>
      </c>
      <c r="B4" s="49">
        <v>2126339.6639999999</v>
      </c>
      <c r="C4" s="50">
        <v>3192000</v>
      </c>
      <c r="D4" s="50">
        <v>4953000</v>
      </c>
      <c r="E4" s="50">
        <v>2932000</v>
      </c>
      <c r="F4" s="50">
        <v>3508000</v>
      </c>
      <c r="G4" s="17">
        <f t="shared" si="0"/>
        <v>14585000</v>
      </c>
      <c r="H4" s="17">
        <f t="shared" si="1"/>
        <v>2453331.8210977935</v>
      </c>
      <c r="I4" s="17">
        <f t="shared" si="2"/>
        <v>12131668.178902207</v>
      </c>
    </row>
    <row r="5" spans="1:9" ht="15.75" customHeight="1" x14ac:dyDescent="0.25">
      <c r="A5" s="5">
        <f t="shared" si="3"/>
        <v>2027</v>
      </c>
      <c r="B5" s="49">
        <v>2163295.655999999</v>
      </c>
      <c r="C5" s="50">
        <v>3279000</v>
      </c>
      <c r="D5" s="50">
        <v>5123000</v>
      </c>
      <c r="E5" s="50">
        <v>2781000</v>
      </c>
      <c r="F5" s="50">
        <v>3526000</v>
      </c>
      <c r="G5" s="17">
        <f t="shared" si="0"/>
        <v>14709000</v>
      </c>
      <c r="H5" s="17">
        <f t="shared" si="1"/>
        <v>2495970.9688731199</v>
      </c>
      <c r="I5" s="17">
        <f t="shared" si="2"/>
        <v>12213029.031126879</v>
      </c>
    </row>
    <row r="6" spans="1:9" ht="15.75" customHeight="1" x14ac:dyDescent="0.25">
      <c r="A6" s="5">
        <f t="shared" si="3"/>
        <v>2028</v>
      </c>
      <c r="B6" s="49">
        <v>2199844.3199999989</v>
      </c>
      <c r="C6" s="50">
        <v>3367000</v>
      </c>
      <c r="D6" s="50">
        <v>5298000</v>
      </c>
      <c r="E6" s="50">
        <v>2625000</v>
      </c>
      <c r="F6" s="50">
        <v>3534000</v>
      </c>
      <c r="G6" s="17">
        <f t="shared" si="0"/>
        <v>14824000</v>
      </c>
      <c r="H6" s="17">
        <f t="shared" si="1"/>
        <v>2538140.1490506339</v>
      </c>
      <c r="I6" s="17">
        <f t="shared" si="2"/>
        <v>12285859.850949366</v>
      </c>
    </row>
    <row r="7" spans="1:9" ht="15.75" customHeight="1" x14ac:dyDescent="0.25">
      <c r="A7" s="5">
        <f t="shared" si="3"/>
        <v>2029</v>
      </c>
      <c r="B7" s="49">
        <v>2235939.2250000001</v>
      </c>
      <c r="C7" s="50">
        <v>3457000</v>
      </c>
      <c r="D7" s="50">
        <v>5475000</v>
      </c>
      <c r="E7" s="50">
        <v>2477000</v>
      </c>
      <c r="F7" s="50">
        <v>3525000</v>
      </c>
      <c r="G7" s="17">
        <f t="shared" si="0"/>
        <v>14934000</v>
      </c>
      <c r="H7" s="17">
        <f t="shared" si="1"/>
        <v>2579785.7903915956</v>
      </c>
      <c r="I7" s="17">
        <f t="shared" si="2"/>
        <v>12354214.209608404</v>
      </c>
    </row>
    <row r="8" spans="1:9" ht="15.75" customHeight="1" x14ac:dyDescent="0.25">
      <c r="A8" s="5">
        <f t="shared" si="3"/>
        <v>2030</v>
      </c>
      <c r="B8" s="49">
        <v>2271498.36</v>
      </c>
      <c r="C8" s="50">
        <v>3549000</v>
      </c>
      <c r="D8" s="50">
        <v>5653000</v>
      </c>
      <c r="E8" s="50">
        <v>2345000</v>
      </c>
      <c r="F8" s="50">
        <v>3491000</v>
      </c>
      <c r="G8" s="17">
        <f t="shared" si="0"/>
        <v>15038000</v>
      </c>
      <c r="H8" s="17">
        <f t="shared" si="1"/>
        <v>2620813.2701038923</v>
      </c>
      <c r="I8" s="17">
        <f t="shared" si="2"/>
        <v>12417186.729896108</v>
      </c>
    </row>
    <row r="9" spans="1:9" ht="15.75" customHeight="1" x14ac:dyDescent="0.25">
      <c r="A9" s="5">
        <f t="shared" si="3"/>
        <v>2031</v>
      </c>
      <c r="B9" s="49">
        <v>2302945.941257142</v>
      </c>
      <c r="C9" s="50">
        <v>3625000</v>
      </c>
      <c r="D9" s="50">
        <v>5800428.5714285718</v>
      </c>
      <c r="E9" s="50">
        <v>2222428.5714285709</v>
      </c>
      <c r="F9" s="50">
        <v>3495285.7142857141</v>
      </c>
      <c r="G9" s="17">
        <f t="shared" si="0"/>
        <v>15143142.857142856</v>
      </c>
      <c r="H9" s="17">
        <f t="shared" si="1"/>
        <v>2657096.9142934433</v>
      </c>
      <c r="I9" s="17">
        <f t="shared" si="2"/>
        <v>12486045.942849413</v>
      </c>
    </row>
    <row r="10" spans="1:9" ht="15.75" customHeight="1" x14ac:dyDescent="0.25">
      <c r="A10" s="5">
        <f t="shared" si="3"/>
        <v>2032</v>
      </c>
      <c r="B10" s="49">
        <v>2333495.5578653058</v>
      </c>
      <c r="C10" s="50">
        <v>3699142.8571428568</v>
      </c>
      <c r="D10" s="50">
        <v>5945346.9387755115</v>
      </c>
      <c r="E10" s="50">
        <v>2100775.510204081</v>
      </c>
      <c r="F10" s="50">
        <v>3496469.387755102</v>
      </c>
      <c r="G10" s="17">
        <f t="shared" si="0"/>
        <v>15241734.69387755</v>
      </c>
      <c r="H10" s="17">
        <f t="shared" si="1"/>
        <v>2692344.5032915981</v>
      </c>
      <c r="I10" s="17">
        <f t="shared" si="2"/>
        <v>12549390.190585952</v>
      </c>
    </row>
    <row r="11" spans="1:9" ht="15.75" customHeight="1" x14ac:dyDescent="0.25">
      <c r="A11" s="5">
        <f t="shared" si="3"/>
        <v>2033</v>
      </c>
      <c r="B11" s="49">
        <v>2363089.2569889212</v>
      </c>
      <c r="C11" s="50">
        <v>3771591.836734694</v>
      </c>
      <c r="D11" s="50">
        <v>6087110.787172012</v>
      </c>
      <c r="E11" s="50">
        <v>1982029.15451895</v>
      </c>
      <c r="F11" s="50">
        <v>3494822.157434402</v>
      </c>
      <c r="G11" s="17">
        <f t="shared" si="0"/>
        <v>15335553.935860058</v>
      </c>
      <c r="H11" s="17">
        <f t="shared" si="1"/>
        <v>2726489.1721764272</v>
      </c>
      <c r="I11" s="17">
        <f t="shared" si="2"/>
        <v>12609064.763683632</v>
      </c>
    </row>
    <row r="12" spans="1:9" ht="15.75" customHeight="1" x14ac:dyDescent="0.25">
      <c r="A12" s="5">
        <f t="shared" si="3"/>
        <v>2034</v>
      </c>
      <c r="B12" s="49">
        <v>2391631.1999873379</v>
      </c>
      <c r="C12" s="50">
        <v>3841962.0991253639</v>
      </c>
      <c r="D12" s="50">
        <v>6224840.899625157</v>
      </c>
      <c r="E12" s="50">
        <v>1867890.4623073719</v>
      </c>
      <c r="F12" s="50">
        <v>3490368.179925031</v>
      </c>
      <c r="G12" s="17">
        <f t="shared" si="0"/>
        <v>15425061.640982922</v>
      </c>
      <c r="H12" s="17">
        <f t="shared" si="1"/>
        <v>2759420.3440768989</v>
      </c>
      <c r="I12" s="17">
        <f t="shared" si="2"/>
        <v>12665641.296906024</v>
      </c>
    </row>
    <row r="13" spans="1:9" ht="15.75" customHeight="1" x14ac:dyDescent="0.25">
      <c r="A13" s="5">
        <f t="shared" si="3"/>
        <v>2035</v>
      </c>
      <c r="B13" s="49">
        <v>2419029.3256998151</v>
      </c>
      <c r="C13" s="50">
        <v>3909813.8275718451</v>
      </c>
      <c r="D13" s="50">
        <v>6357246.7424287507</v>
      </c>
      <c r="E13" s="50">
        <v>1759731.9569227099</v>
      </c>
      <c r="F13" s="50">
        <v>3484135.0627714652</v>
      </c>
      <c r="G13" s="17">
        <f t="shared" si="0"/>
        <v>15510927.589694772</v>
      </c>
      <c r="H13" s="17">
        <f t="shared" si="1"/>
        <v>2791031.8005092223</v>
      </c>
      <c r="I13" s="17">
        <f t="shared" si="2"/>
        <v>12719895.78918555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wKxEoWv7nnHIidhOP9O7yQQ4/tikEcXr6gTA2GrtyLYFAb1ix6Ln3irIlHONZ8I1dXNIh1a5t0Hcu3pPb5ZHrw==" saltValue="PZemEz5qyqkMYDJdSEC/KA==" spinCount="100000" sheet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600"/>
  </sheetPr>
  <dimension ref="A1:H35"/>
  <sheetViews>
    <sheetView topLeftCell="A2" zoomScale="115" zoomScaleNormal="115" workbookViewId="0">
      <selection activeCell="C11" sqref="C11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"Percentage of deaths in baseline year ("&amp;start_year&amp;") attributable to cause"</f>
        <v>Percentage of deaths in baseline year (2024) attributable to cause</v>
      </c>
      <c r="B1" s="29"/>
      <c r="C1" s="29"/>
      <c r="D1" s="29"/>
      <c r="E1" s="29"/>
      <c r="F1" s="29"/>
    </row>
    <row r="2" spans="1:8" ht="27.75" customHeight="1" x14ac:dyDescent="0.3">
      <c r="A2" t="s">
        <v>65</v>
      </c>
      <c r="B2" s="29" t="s">
        <v>66</v>
      </c>
      <c r="C2" s="29" t="s">
        <v>67</v>
      </c>
      <c r="D2" s="29"/>
      <c r="E2" s="29"/>
      <c r="F2" s="29"/>
      <c r="G2" s="29"/>
    </row>
    <row r="3" spans="1:8" ht="15.75" customHeight="1" x14ac:dyDescent="0.25">
      <c r="B3" s="19" t="s">
        <v>68</v>
      </c>
      <c r="C3" s="55">
        <v>1.0454372387745971E-2</v>
      </c>
    </row>
    <row r="4" spans="1:8" ht="15.75" customHeight="1" x14ac:dyDescent="0.25">
      <c r="B4" s="19" t="s">
        <v>69</v>
      </c>
      <c r="C4" s="101">
        <v>5.7447537664464247E-2</v>
      </c>
    </row>
    <row r="5" spans="1:8" ht="15.75" customHeight="1" x14ac:dyDescent="0.25">
      <c r="B5" s="19" t="s">
        <v>70</v>
      </c>
      <c r="C5" s="101">
        <v>7.8656835258910388E-2</v>
      </c>
    </row>
    <row r="6" spans="1:8" ht="15.75" customHeight="1" x14ac:dyDescent="0.25">
      <c r="B6" s="19" t="s">
        <v>71</v>
      </c>
      <c r="C6" s="101">
        <v>0.24881278132399531</v>
      </c>
    </row>
    <row r="7" spans="1:8" ht="15.75" customHeight="1" x14ac:dyDescent="0.25">
      <c r="B7" s="19" t="s">
        <v>72</v>
      </c>
      <c r="C7" s="101">
        <v>0.41129992498193729</v>
      </c>
    </row>
    <row r="8" spans="1:8" ht="15.75" customHeight="1" x14ac:dyDescent="0.25">
      <c r="B8" s="19" t="s">
        <v>73</v>
      </c>
      <c r="C8" s="101">
        <v>1.509972556784409E-3</v>
      </c>
    </row>
    <row r="9" spans="1:8" ht="15.75" customHeight="1" x14ac:dyDescent="0.25">
      <c r="B9" s="19" t="s">
        <v>74</v>
      </c>
      <c r="C9" s="101">
        <v>7.6515821923355931E-2</v>
      </c>
    </row>
    <row r="10" spans="1:8" ht="15.75" customHeight="1" x14ac:dyDescent="0.25">
      <c r="B10" s="19" t="s">
        <v>75</v>
      </c>
      <c r="C10" s="101">
        <v>0.11530275390280641</v>
      </c>
    </row>
    <row r="11" spans="1:8" ht="15.75" customHeight="1" x14ac:dyDescent="0.25">
      <c r="B11" s="27" t="s">
        <v>30</v>
      </c>
      <c r="C11" s="48">
        <f>SUM(C3:C10)</f>
        <v>1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76</v>
      </c>
      <c r="B13" s="29" t="s">
        <v>66</v>
      </c>
      <c r="C13" s="102" t="s">
        <v>77</v>
      </c>
      <c r="D13" s="102" t="s">
        <v>78</v>
      </c>
      <c r="E13" s="102" t="s">
        <v>79</v>
      </c>
      <c r="F13" s="102" t="s">
        <v>80</v>
      </c>
      <c r="G13" s="19"/>
    </row>
    <row r="14" spans="1:8" ht="15.75" customHeight="1" x14ac:dyDescent="0.25">
      <c r="B14" s="19" t="s">
        <v>81</v>
      </c>
      <c r="C14" s="55">
        <v>9.8470266485110883E-2</v>
      </c>
      <c r="D14" s="55">
        <v>9.8470266485110883E-2</v>
      </c>
      <c r="E14" s="55">
        <v>9.8470266485110883E-2</v>
      </c>
      <c r="F14" s="55">
        <v>9.8470266485110883E-2</v>
      </c>
    </row>
    <row r="15" spans="1:8" ht="15.75" customHeight="1" x14ac:dyDescent="0.25">
      <c r="B15" s="19" t="s">
        <v>82</v>
      </c>
      <c r="C15" s="101">
        <v>0.15892959747947849</v>
      </c>
      <c r="D15" s="101">
        <v>0.15892959747947849</v>
      </c>
      <c r="E15" s="101">
        <v>0.15892959747947849</v>
      </c>
      <c r="F15" s="101">
        <v>0.15892959747947849</v>
      </c>
    </row>
    <row r="16" spans="1:8" ht="15.75" customHeight="1" x14ac:dyDescent="0.25">
      <c r="B16" s="19" t="s">
        <v>83</v>
      </c>
      <c r="C16" s="101">
        <v>3.1766896862756487E-2</v>
      </c>
      <c r="D16" s="101">
        <v>3.1766896862756487E-2</v>
      </c>
      <c r="E16" s="101">
        <v>3.1766896862756487E-2</v>
      </c>
      <c r="F16" s="101">
        <v>3.1766896862756487E-2</v>
      </c>
    </row>
    <row r="17" spans="1:8" ht="15.75" customHeight="1" x14ac:dyDescent="0.25">
      <c r="B17" s="19" t="s">
        <v>84</v>
      </c>
      <c r="C17" s="101">
        <v>7.9758861633680775E-3</v>
      </c>
      <c r="D17" s="101">
        <v>7.9758861633680775E-3</v>
      </c>
      <c r="E17" s="101">
        <v>7.9758861633680775E-3</v>
      </c>
      <c r="F17" s="101">
        <v>7.9758861633680775E-3</v>
      </c>
    </row>
    <row r="18" spans="1:8" ht="15.75" customHeight="1" x14ac:dyDescent="0.25">
      <c r="B18" s="19" t="s">
        <v>85</v>
      </c>
      <c r="C18" s="101">
        <v>0.2244074142638485</v>
      </c>
      <c r="D18" s="101">
        <v>0.2244074142638485</v>
      </c>
      <c r="E18" s="101">
        <v>0.2244074142638485</v>
      </c>
      <c r="F18" s="101">
        <v>0.2244074142638485</v>
      </c>
    </row>
    <row r="19" spans="1:8" ht="15.75" customHeight="1" x14ac:dyDescent="0.25">
      <c r="B19" s="19" t="s">
        <v>86</v>
      </c>
      <c r="C19" s="101">
        <v>4.7191213219728113E-2</v>
      </c>
      <c r="D19" s="101">
        <v>4.7191213219728113E-2</v>
      </c>
      <c r="E19" s="101">
        <v>4.7191213219728113E-2</v>
      </c>
      <c r="F19" s="101">
        <v>4.7191213219728113E-2</v>
      </c>
    </row>
    <row r="20" spans="1:8" ht="15.75" customHeight="1" x14ac:dyDescent="0.25">
      <c r="B20" s="19" t="s">
        <v>87</v>
      </c>
      <c r="C20" s="101">
        <v>0.10703010014399091</v>
      </c>
      <c r="D20" s="101">
        <v>0.10703010014399091</v>
      </c>
      <c r="E20" s="101">
        <v>0.10703010014399091</v>
      </c>
      <c r="F20" s="101">
        <v>0.10703010014399091</v>
      </c>
    </row>
    <row r="21" spans="1:8" ht="15.75" customHeight="1" x14ac:dyDescent="0.25">
      <c r="B21" s="19" t="s">
        <v>88</v>
      </c>
      <c r="C21" s="101">
        <v>0.104515186544913</v>
      </c>
      <c r="D21" s="101">
        <v>0.104515186544913</v>
      </c>
      <c r="E21" s="101">
        <v>0.104515186544913</v>
      </c>
      <c r="F21" s="101">
        <v>0.104515186544913</v>
      </c>
    </row>
    <row r="22" spans="1:8" ht="15.75" customHeight="1" x14ac:dyDescent="0.25">
      <c r="B22" s="19" t="s">
        <v>89</v>
      </c>
      <c r="C22" s="101">
        <v>0.21971343883680561</v>
      </c>
      <c r="D22" s="101">
        <v>0.21971343883680561</v>
      </c>
      <c r="E22" s="101">
        <v>0.21971343883680561</v>
      </c>
      <c r="F22" s="101">
        <v>0.21971343883680561</v>
      </c>
    </row>
    <row r="23" spans="1:8" ht="15.75" customHeight="1" x14ac:dyDescent="0.25">
      <c r="B23" s="27" t="s">
        <v>30</v>
      </c>
      <c r="C23" s="48">
        <f>SUM(C14:C22)</f>
        <v>1</v>
      </c>
      <c r="D23" s="48">
        <f>SUM(D14:D22)</f>
        <v>1</v>
      </c>
      <c r="E23" s="48">
        <f>SUM(E14:E22)</f>
        <v>1</v>
      </c>
      <c r="F23" s="48">
        <f>SUM(F14:F22)</f>
        <v>1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90</v>
      </c>
      <c r="B25" s="29" t="s">
        <v>66</v>
      </c>
      <c r="C25" s="29" t="s">
        <v>90</v>
      </c>
      <c r="D25" s="19"/>
      <c r="E25" s="19"/>
      <c r="F25" s="19"/>
      <c r="G25" s="19"/>
      <c r="H25" s="19"/>
    </row>
    <row r="26" spans="1:8" ht="15.75" customHeight="1" x14ac:dyDescent="0.25">
      <c r="B26" s="19" t="s">
        <v>91</v>
      </c>
      <c r="C26" s="55">
        <v>8.465819899999999E-2</v>
      </c>
    </row>
    <row r="27" spans="1:8" ht="15.75" customHeight="1" x14ac:dyDescent="0.25">
      <c r="B27" s="19" t="s">
        <v>92</v>
      </c>
      <c r="C27" s="101">
        <v>8.3993499999999999E-3</v>
      </c>
    </row>
    <row r="28" spans="1:8" ht="15.75" customHeight="1" x14ac:dyDescent="0.25">
      <c r="B28" s="19" t="s">
        <v>93</v>
      </c>
      <c r="C28" s="101">
        <v>0.14948149299999999</v>
      </c>
    </row>
    <row r="29" spans="1:8" ht="15.75" customHeight="1" x14ac:dyDescent="0.25">
      <c r="B29" s="19" t="s">
        <v>94</v>
      </c>
      <c r="C29" s="101">
        <v>0.16164467800000001</v>
      </c>
    </row>
    <row r="30" spans="1:8" ht="15.75" customHeight="1" x14ac:dyDescent="0.25">
      <c r="B30" s="19" t="s">
        <v>95</v>
      </c>
      <c r="C30" s="101">
        <v>0.100545357</v>
      </c>
    </row>
    <row r="31" spans="1:8" ht="15.75" customHeight="1" x14ac:dyDescent="0.25">
      <c r="B31" s="19" t="s">
        <v>96</v>
      </c>
      <c r="C31" s="101">
        <v>0.10497287399999999</v>
      </c>
    </row>
    <row r="32" spans="1:8" ht="15.75" customHeight="1" x14ac:dyDescent="0.25">
      <c r="B32" s="19" t="s">
        <v>97</v>
      </c>
      <c r="C32" s="101">
        <v>1.7941111999999999E-2</v>
      </c>
    </row>
    <row r="33" spans="2:3" ht="15.75" customHeight="1" x14ac:dyDescent="0.25">
      <c r="B33" s="19" t="s">
        <v>98</v>
      </c>
      <c r="C33" s="101">
        <v>8.1330947000000015E-2</v>
      </c>
    </row>
    <row r="34" spans="2:3" ht="15.75" customHeight="1" x14ac:dyDescent="0.25">
      <c r="B34" s="19" t="s">
        <v>99</v>
      </c>
      <c r="C34" s="101">
        <v>0.29102599000000001</v>
      </c>
    </row>
    <row r="35" spans="2:3" ht="15.75" customHeight="1" x14ac:dyDescent="0.25">
      <c r="B35" s="27" t="s">
        <v>30</v>
      </c>
      <c r="C35" s="48">
        <f>SUM(C26:C34)</f>
        <v>1</v>
      </c>
    </row>
  </sheetData>
  <sheetProtection algorithmName="SHA-512" hashValue="sadLWueMPDmmVn6pA3hrJfCDmcHMjth0IA+NA9TpB2oknhku+/645RXJMb8ll6atkV5VLDi27zVULFpTC00pqw==" saltValue="rtY/nqRgyaBwNxtbxiN70A==" spinCount="100000" sheet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600"/>
  </sheetPr>
  <dimension ref="A1:O17"/>
  <sheetViews>
    <sheetView zoomScaleNormal="100" workbookViewId="0">
      <selection activeCell="F11" sqref="F11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"Percentage of population in each category in baseline year ("&amp;start_year&amp;")"</f>
        <v>Percentage of population in each category in baseline year (2024)</v>
      </c>
      <c r="B1" s="1" t="s">
        <v>100</v>
      </c>
      <c r="C1" s="11" t="s">
        <v>67</v>
      </c>
      <c r="D1" s="11" t="s">
        <v>77</v>
      </c>
      <c r="E1" s="11" t="s">
        <v>78</v>
      </c>
      <c r="F1" s="11" t="s">
        <v>79</v>
      </c>
      <c r="G1" s="11" t="s">
        <v>80</v>
      </c>
    </row>
    <row r="2" spans="1:15" ht="15.75" customHeight="1" x14ac:dyDescent="0.25">
      <c r="A2" s="3" t="s">
        <v>101</v>
      </c>
      <c r="B2" s="5" t="s">
        <v>102</v>
      </c>
      <c r="C2" s="52">
        <f>IFERROR(1-_xlfn.NORM.DIST(_xlfn.NORM.INV(SUM(C4:C5), 0, 1) + 1, 0, 1, TRUE), "")</f>
        <v>0.57136451874849459</v>
      </c>
      <c r="D2" s="52">
        <f>IFERROR(1-_xlfn.NORM.DIST(_xlfn.NORM.INV(SUM(D4:D5), 0, 1) + 1, 0, 1, TRUE), "")</f>
        <v>0.57136451874849459</v>
      </c>
      <c r="E2" s="52">
        <f>IFERROR(1-_xlfn.NORM.DIST(_xlfn.NORM.INV(SUM(E4:E5), 0, 1) + 1, 0, 1, TRUE), "")</f>
        <v>0.49433250015080032</v>
      </c>
      <c r="F2" s="52">
        <f>IFERROR(1-_xlfn.NORM.DIST(_xlfn.NORM.INV(SUM(F4:F5), 0, 1) + 1, 0, 1, TRUE), "")</f>
        <v>0.26369695897581602</v>
      </c>
      <c r="G2" s="52">
        <f>IFERROR(1-_xlfn.NORM.DIST(_xlfn.NORM.INV(SUM(G4:G5), 0, 1) + 1, 0, 1, TRUE), "")</f>
        <v>0.30446012633115127</v>
      </c>
    </row>
    <row r="3" spans="1:15" ht="15.75" customHeight="1" x14ac:dyDescent="0.25">
      <c r="B3" s="5" t="s">
        <v>103</v>
      </c>
      <c r="C3" s="52">
        <f>IFERROR(_xlfn.NORM.DIST(_xlfn.NORM.INV(SUM(C4:C5), 0, 1) + 1, 0, 1, TRUE) - SUM(C4:C5), "")</f>
        <v>0.30960538125150538</v>
      </c>
      <c r="D3" s="52">
        <f>IFERROR(_xlfn.NORM.DIST(_xlfn.NORM.INV(SUM(D4:D5), 0, 1) + 1, 0, 1, TRUE) - SUM(D4:D5), "")</f>
        <v>0.30960538125150538</v>
      </c>
      <c r="E3" s="52">
        <f>IFERROR(_xlfn.NORM.DIST(_xlfn.NORM.INV(SUM(E4:E5), 0, 1) + 1, 0, 1, TRUE) - SUM(E4:E5), "")</f>
        <v>0.34355019984919966</v>
      </c>
      <c r="F3" s="52">
        <f>IFERROR(_xlfn.NORM.DIST(_xlfn.NORM.INV(SUM(F4:F5), 0, 1) + 1, 0, 1, TRUE) - SUM(F4:F5), "")</f>
        <v>0.37987044102418399</v>
      </c>
      <c r="G3" s="52">
        <f>IFERROR(_xlfn.NORM.DIST(_xlfn.NORM.INV(SUM(G4:G5), 0, 1) + 1, 0, 1, TRUE) - SUM(G4:G5), "")</f>
        <v>0.38290117366884874</v>
      </c>
    </row>
    <row r="4" spans="1:15" ht="15.75" customHeight="1" x14ac:dyDescent="0.25">
      <c r="B4" s="5" t="s">
        <v>104</v>
      </c>
      <c r="C4" s="45">
        <v>6.6479299999999991E-2</v>
      </c>
      <c r="D4" s="53">
        <v>6.6479299999999991E-2</v>
      </c>
      <c r="E4" s="53">
        <v>0.10856789999999999</v>
      </c>
      <c r="F4" s="53">
        <v>0.25645580000000001</v>
      </c>
      <c r="G4" s="53">
        <v>0.20781269999999999</v>
      </c>
    </row>
    <row r="5" spans="1:15" ht="15.75" customHeight="1" x14ac:dyDescent="0.25">
      <c r="B5" s="5" t="s">
        <v>105</v>
      </c>
      <c r="C5" s="45">
        <v>5.2550800000000002E-2</v>
      </c>
      <c r="D5" s="53">
        <v>5.2550800000000002E-2</v>
      </c>
      <c r="E5" s="53">
        <v>5.3549399999999997E-2</v>
      </c>
      <c r="F5" s="53">
        <v>9.9976800000000005E-2</v>
      </c>
      <c r="G5" s="53">
        <v>0.104826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106</v>
      </c>
      <c r="B8" s="5" t="s">
        <v>107</v>
      </c>
      <c r="C8" s="52">
        <f>IFERROR(1-_xlfn.NORM.DIST(_xlfn.NORM.INV(SUM(C10:C11), 0, 1) + 1, 0, 1, TRUE), "")</f>
        <v>0.66632997723076803</v>
      </c>
      <c r="D8" s="52">
        <f>IFERROR(1-_xlfn.NORM.DIST(_xlfn.NORM.INV(SUM(D10:D11), 0, 1) + 1, 0, 1, TRUE), "")</f>
        <v>0.66632997723076803</v>
      </c>
      <c r="E8" s="52">
        <f>IFERROR(1-_xlfn.NORM.DIST(_xlfn.NORM.INV(SUM(E10:E11), 0, 1) + 1, 0, 1, TRUE), "")</f>
        <v>0.63871667577331825</v>
      </c>
      <c r="F8" s="52">
        <f>IFERROR(1-_xlfn.NORM.DIST(_xlfn.NORM.INV(SUM(F10:F11), 0, 1) + 1, 0, 1, TRUE), "")</f>
        <v>0.77464917691048696</v>
      </c>
      <c r="G8" s="52">
        <f>IFERROR(1-_xlfn.NORM.DIST(_xlfn.NORM.INV(SUM(G10:G11), 0, 1) + 1, 0, 1, TRUE), "")</f>
        <v>0.85977586844204978</v>
      </c>
    </row>
    <row r="9" spans="1:15" ht="15.75" customHeight="1" x14ac:dyDescent="0.25">
      <c r="B9" s="5" t="s">
        <v>108</v>
      </c>
      <c r="C9" s="52">
        <f>IFERROR(_xlfn.NORM.DIST(_xlfn.NORM.INV(SUM(C10:C11), 0, 1) + 1, 0, 1, TRUE) - SUM(C10:C11), "")</f>
        <v>0.25728302276923198</v>
      </c>
      <c r="D9" s="52">
        <f>IFERROR(_xlfn.NORM.DIST(_xlfn.NORM.INV(SUM(D10:D11), 0, 1) + 1, 0, 1, TRUE) - SUM(D10:D11), "")</f>
        <v>0.25728302276923198</v>
      </c>
      <c r="E9" s="52">
        <f>IFERROR(_xlfn.NORM.DIST(_xlfn.NORM.INV(SUM(E10:E11), 0, 1) + 1, 0, 1, TRUE) - SUM(E10:E11), "")</f>
        <v>0.27357942422668174</v>
      </c>
      <c r="F9" s="52">
        <f>IFERROR(_xlfn.NORM.DIST(_xlfn.NORM.INV(SUM(F10:F11), 0, 1) + 1, 0, 1, TRUE) - SUM(F10:F11), "")</f>
        <v>0.18565662308951303</v>
      </c>
      <c r="G9" s="52">
        <f>IFERROR(_xlfn.NORM.DIST(_xlfn.NORM.INV(SUM(G10:G11), 0, 1) + 1, 0, 1, TRUE) - SUM(G10:G11), "")</f>
        <v>0.12142983155795027</v>
      </c>
    </row>
    <row r="10" spans="1:15" ht="15.75" customHeight="1" x14ac:dyDescent="0.25">
      <c r="B10" s="5" t="s">
        <v>109</v>
      </c>
      <c r="C10" s="45">
        <v>3.0151500000000001E-2</v>
      </c>
      <c r="D10" s="53">
        <v>3.0151500000000001E-2</v>
      </c>
      <c r="E10" s="53">
        <v>5.5620599999999999E-2</v>
      </c>
      <c r="F10" s="53">
        <v>2.6669499999999999E-2</v>
      </c>
      <c r="G10" s="53">
        <v>1.3421600000000001E-2</v>
      </c>
    </row>
    <row r="11" spans="1:15" ht="15.75" customHeight="1" x14ac:dyDescent="0.25">
      <c r="B11" s="5" t="s">
        <v>110</v>
      </c>
      <c r="C11" s="45">
        <v>4.6235499999999999E-2</v>
      </c>
      <c r="D11" s="53">
        <v>4.6235499999999999E-2</v>
      </c>
      <c r="E11" s="53">
        <v>3.2083300000000002E-2</v>
      </c>
      <c r="F11" s="53">
        <v>1.30247E-2</v>
      </c>
      <c r="G11" s="53">
        <v>5.3727000000000002E-3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111</v>
      </c>
      <c r="C13" s="11" t="s">
        <v>67</v>
      </c>
      <c r="D13" s="11" t="s">
        <v>77</v>
      </c>
      <c r="E13" s="11" t="s">
        <v>78</v>
      </c>
      <c r="F13" s="11" t="s">
        <v>79</v>
      </c>
      <c r="G13" s="11" t="s">
        <v>80</v>
      </c>
      <c r="H13" s="18" t="s">
        <v>112</v>
      </c>
      <c r="I13" s="18" t="s">
        <v>113</v>
      </c>
      <c r="J13" s="18" t="s">
        <v>114</v>
      </c>
      <c r="K13" s="18" t="s">
        <v>115</v>
      </c>
      <c r="L13" s="18" t="s">
        <v>58</v>
      </c>
      <c r="M13" s="18" t="s">
        <v>59</v>
      </c>
      <c r="N13" s="18" t="s">
        <v>60</v>
      </c>
      <c r="O13" s="18" t="s">
        <v>61</v>
      </c>
    </row>
    <row r="14" spans="1:15" ht="15.75" customHeight="1" x14ac:dyDescent="0.25">
      <c r="B14" s="11" t="s">
        <v>116</v>
      </c>
      <c r="C14" s="51">
        <v>0.61790281525000001</v>
      </c>
      <c r="D14" s="54">
        <v>0.60589571573699996</v>
      </c>
      <c r="E14" s="54">
        <v>0.60589571573699996</v>
      </c>
      <c r="F14" s="54">
        <v>0.48655756599299999</v>
      </c>
      <c r="G14" s="54">
        <v>0.48655756599299999</v>
      </c>
      <c r="H14" s="45">
        <v>0.34300000000000003</v>
      </c>
      <c r="I14" s="55">
        <v>0.34300000000000003</v>
      </c>
      <c r="J14" s="55">
        <v>0.34300000000000003</v>
      </c>
      <c r="K14" s="55">
        <v>0.34300000000000003</v>
      </c>
      <c r="L14" s="45">
        <v>0.27800000000000002</v>
      </c>
      <c r="M14" s="55">
        <v>0.27800000000000002</v>
      </c>
      <c r="N14" s="55">
        <v>0.27800000000000002</v>
      </c>
      <c r="O14" s="55">
        <v>0.27800000000000002</v>
      </c>
    </row>
    <row r="15" spans="1:15" ht="15.75" customHeight="1" x14ac:dyDescent="0.25">
      <c r="B15" s="11" t="s">
        <v>117</v>
      </c>
      <c r="C15" s="52">
        <f t="shared" ref="C15:O15" si="0">iron_deficiency_anaemia*C14</f>
        <v>0.30941607054206799</v>
      </c>
      <c r="D15" s="52">
        <f t="shared" si="0"/>
        <v>0.30340349144673417</v>
      </c>
      <c r="E15" s="52">
        <f t="shared" si="0"/>
        <v>0.30340349144673417</v>
      </c>
      <c r="F15" s="52">
        <f t="shared" si="0"/>
        <v>0.24364467428612671</v>
      </c>
      <c r="G15" s="52">
        <f t="shared" si="0"/>
        <v>0.24364467428612671</v>
      </c>
      <c r="H15" s="52">
        <f t="shared" si="0"/>
        <v>0.171757936</v>
      </c>
      <c r="I15" s="52">
        <f t="shared" si="0"/>
        <v>0.171757936</v>
      </c>
      <c r="J15" s="52">
        <f t="shared" si="0"/>
        <v>0.171757936</v>
      </c>
      <c r="K15" s="52">
        <f t="shared" si="0"/>
        <v>0.171757936</v>
      </c>
      <c r="L15" s="52">
        <f t="shared" si="0"/>
        <v>0.139209056</v>
      </c>
      <c r="M15" s="52">
        <f t="shared" si="0"/>
        <v>0.139209056</v>
      </c>
      <c r="N15" s="52">
        <f t="shared" si="0"/>
        <v>0.139209056</v>
      </c>
      <c r="O15" s="52">
        <f t="shared" si="0"/>
        <v>0.139209056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3xqyzchqVxS9zXO7znTyrqmG4eussISLX/4mg7LlMD/t3IsNh7m6SG4MjR9+VAYcXzElaKb7tc77YYjF5+e59A==" saltValue="FUkBI++HWGg/TA0T1/fuQ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600"/>
  </sheetPr>
  <dimension ref="A1:G5"/>
  <sheetViews>
    <sheetView zoomScaleNormal="100" workbookViewId="0">
      <selection activeCell="E2" sqref="E2:G4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"Percentage of children in each category in baseline year ("&amp;start_year&amp;")"</f>
        <v>Percentage of children in each category in baseline year (2024)</v>
      </c>
      <c r="B1" s="1" t="s">
        <v>100</v>
      </c>
      <c r="C1" s="8" t="s">
        <v>67</v>
      </c>
      <c r="D1" s="8" t="s">
        <v>77</v>
      </c>
      <c r="E1" s="8" t="s">
        <v>78</v>
      </c>
      <c r="F1" s="8" t="s">
        <v>79</v>
      </c>
      <c r="G1" s="8" t="s">
        <v>80</v>
      </c>
    </row>
    <row r="2" spans="1:7" x14ac:dyDescent="0.25">
      <c r="A2" s="3" t="s">
        <v>118</v>
      </c>
      <c r="B2" s="3" t="s">
        <v>119</v>
      </c>
      <c r="C2" s="45">
        <v>0.82565319999999998</v>
      </c>
      <c r="D2" s="53">
        <v>0.61310370000000003</v>
      </c>
      <c r="E2" s="53">
        <v>0</v>
      </c>
      <c r="F2" s="53">
        <v>0</v>
      </c>
      <c r="G2" s="53">
        <v>0</v>
      </c>
    </row>
    <row r="3" spans="1:7" x14ac:dyDescent="0.25">
      <c r="B3" s="3" t="s">
        <v>120</v>
      </c>
      <c r="C3" s="53">
        <v>0.1080069</v>
      </c>
      <c r="D3" s="53">
        <v>0.14213190000000001</v>
      </c>
      <c r="E3" s="53">
        <v>0</v>
      </c>
      <c r="F3" s="53">
        <v>0</v>
      </c>
      <c r="G3" s="53">
        <v>0</v>
      </c>
    </row>
    <row r="4" spans="1:7" x14ac:dyDescent="0.25">
      <c r="B4" s="3" t="s">
        <v>121</v>
      </c>
      <c r="C4" s="53">
        <v>4.8775399999999997E-2</v>
      </c>
      <c r="D4" s="53">
        <v>0.22090190000000001</v>
      </c>
      <c r="E4" s="53">
        <v>0.95953670000000002</v>
      </c>
      <c r="F4" s="53">
        <v>0.66894530000000008</v>
      </c>
      <c r="G4" s="53">
        <v>0</v>
      </c>
    </row>
    <row r="5" spans="1:7" x14ac:dyDescent="0.25">
      <c r="B5" s="3" t="s">
        <v>122</v>
      </c>
      <c r="C5" s="52">
        <v>1.75645E-2</v>
      </c>
      <c r="D5" s="52">
        <v>2.3862499999999998E-2</v>
      </c>
      <c r="E5" s="52">
        <f>1-SUM(E2:E4)</f>
        <v>4.046329999999998E-2</v>
      </c>
      <c r="F5" s="52">
        <f>1-SUM(F2:F4)</f>
        <v>0.33105469999999992</v>
      </c>
      <c r="G5" s="52">
        <f>1-SUM(G2:G4)</f>
        <v>1</v>
      </c>
    </row>
  </sheetData>
  <sheetProtection algorithmName="SHA-512" hashValue="IB7MiHBWLHOD3n7SGNliWu2mGupPPVbe8KE+glKDhHOozsWhuk+He47LNdLk+tDUQGoZE97I8w1Jq70fVdZv9A==" saltValue="YOkiaLUiL7Hr3xSbyfJV+g==" spinCount="100000" sheet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7600"/>
  </sheetPr>
  <dimension ref="A1:K14"/>
  <sheetViews>
    <sheetView zoomScale="115" zoomScaleNormal="115" workbookViewId="0">
      <selection activeCell="D26" sqref="D26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customHeight="1" x14ac:dyDescent="0.3">
      <c r="A1" s="4" t="s">
        <v>123</v>
      </c>
      <c r="B1" s="4" t="s">
        <v>124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125</v>
      </c>
      <c r="B2" s="9" t="s">
        <v>126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127</v>
      </c>
      <c r="B4" s="9" t="s">
        <v>126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128</v>
      </c>
      <c r="B6" s="9" t="s">
        <v>126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90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129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130</v>
      </c>
      <c r="B10" s="11" t="s">
        <v>131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132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32</v>
      </c>
      <c r="B13" s="11" t="s">
        <v>133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134</v>
      </c>
      <c r="C14" s="23"/>
      <c r="D14" s="23"/>
      <c r="E14" s="23"/>
      <c r="F14" s="23"/>
      <c r="G14" s="23"/>
      <c r="H14" s="23"/>
      <c r="I14" s="23"/>
      <c r="J14" s="23"/>
      <c r="K14" s="23"/>
    </row>
  </sheetData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7600"/>
  </sheetPr>
  <dimension ref="A1:B7"/>
  <sheetViews>
    <sheetView workbookViewId="0">
      <selection activeCell="B5" sqref="B5"/>
    </sheetView>
  </sheetViews>
  <sheetFormatPr defaultRowHeight="12.5" x14ac:dyDescent="0.25"/>
  <cols>
    <col min="1" max="1" width="36.453125" bestFit="1" customWidth="1"/>
    <col min="2" max="2" width="15.36328125" customWidth="1"/>
  </cols>
  <sheetData>
    <row r="1" spans="1:2" ht="13" customHeight="1" x14ac:dyDescent="0.3">
      <c r="A1" s="4" t="s">
        <v>135</v>
      </c>
      <c r="B1" s="4" t="s">
        <v>136</v>
      </c>
    </row>
    <row r="2" spans="1:2" x14ac:dyDescent="0.25">
      <c r="A2" s="8" t="s">
        <v>137</v>
      </c>
      <c r="B2" s="41">
        <v>10</v>
      </c>
    </row>
    <row r="3" spans="1:2" x14ac:dyDescent="0.25">
      <c r="A3" s="8" t="s">
        <v>138</v>
      </c>
      <c r="B3" s="41">
        <v>10</v>
      </c>
    </row>
    <row r="4" spans="1:2" x14ac:dyDescent="0.25">
      <c r="A4" s="8" t="s">
        <v>139</v>
      </c>
      <c r="B4" s="41">
        <v>10</v>
      </c>
    </row>
    <row r="5" spans="1:2" x14ac:dyDescent="0.25">
      <c r="A5" s="8" t="s">
        <v>140</v>
      </c>
      <c r="B5" s="41">
        <v>10</v>
      </c>
    </row>
    <row r="6" spans="1:2" x14ac:dyDescent="0.25">
      <c r="A6" s="8" t="s">
        <v>141</v>
      </c>
      <c r="B6" s="41">
        <v>10</v>
      </c>
    </row>
    <row r="7" spans="1:2" x14ac:dyDescent="0.25">
      <c r="A7" s="8" t="s">
        <v>142</v>
      </c>
      <c r="B7" s="41">
        <v>10</v>
      </c>
    </row>
  </sheetData>
  <sheetProtection algorithmName="SHA-512" hashValue="YTrXHsnirT/bsP+7+uMgpWAhdccKC9Qo1FzXrh2XswY271EWOG0bFZHop7LfSCGKI/uyxD63LS8xZgES2J7SsQ==" saltValue="F9kdn6b4UaX+yMB6vvKJXg==" spinCount="100000" sheet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7" tint="-0.249977111117893"/>
  </sheetPr>
  <dimension ref="A1:E21"/>
  <sheetViews>
    <sheetView topLeftCell="A3" zoomScale="115" zoomScaleNormal="115" workbookViewId="0">
      <selection activeCell="D12" sqref="D12:D13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4" width="11.453125" style="8" customWidth="1"/>
    <col min="5" max="16384" width="11.453125" style="8"/>
  </cols>
  <sheetData>
    <row r="1" spans="1:5" ht="13" customHeight="1" x14ac:dyDescent="0.3">
      <c r="A1" s="35" t="s">
        <v>143</v>
      </c>
      <c r="B1" s="36" t="s">
        <v>144</v>
      </c>
      <c r="C1" s="36" t="s">
        <v>145</v>
      </c>
      <c r="D1" s="36" t="s">
        <v>146</v>
      </c>
      <c r="E1" s="36" t="s">
        <v>147</v>
      </c>
    </row>
    <row r="2" spans="1:5" ht="13" customHeight="1" x14ac:dyDescent="0.3">
      <c r="A2" s="34" t="s">
        <v>148</v>
      </c>
      <c r="B2" s="32" t="s">
        <v>90</v>
      </c>
      <c r="C2" s="47"/>
      <c r="D2" s="47"/>
      <c r="E2" s="38" t="str">
        <f>IF(E$7="","",E$7)</f>
        <v/>
      </c>
    </row>
    <row r="3" spans="1:5" x14ac:dyDescent="0.25">
      <c r="B3" s="32" t="s">
        <v>67</v>
      </c>
      <c r="C3" s="47"/>
      <c r="D3" s="47" t="s">
        <v>149</v>
      </c>
      <c r="E3" s="38" t="str">
        <f>IF(E$7="","",E$7)</f>
        <v/>
      </c>
    </row>
    <row r="4" spans="1:5" x14ac:dyDescent="0.25">
      <c r="B4" s="32" t="s">
        <v>77</v>
      </c>
      <c r="C4" s="47"/>
      <c r="D4" s="47" t="s">
        <v>149</v>
      </c>
      <c r="E4" s="38" t="str">
        <f>IF(E$7="","",E$7)</f>
        <v/>
      </c>
    </row>
    <row r="5" spans="1:5" x14ac:dyDescent="0.25">
      <c r="B5" s="32" t="s">
        <v>78</v>
      </c>
      <c r="C5" s="47"/>
      <c r="D5" s="47"/>
      <c r="E5" s="38" t="str">
        <f>IF(E$7="","",E$7)</f>
        <v/>
      </c>
    </row>
    <row r="6" spans="1:5" x14ac:dyDescent="0.25">
      <c r="B6" s="32" t="s">
        <v>79</v>
      </c>
      <c r="C6" s="47"/>
      <c r="D6" s="47"/>
      <c r="E6" s="38" t="str">
        <f>IF(E$7="","",E$7)</f>
        <v/>
      </c>
    </row>
    <row r="7" spans="1:5" x14ac:dyDescent="0.25">
      <c r="B7" s="32" t="s">
        <v>150</v>
      </c>
      <c r="C7" s="31"/>
      <c r="D7" s="30"/>
      <c r="E7" s="47"/>
    </row>
    <row r="9" spans="1:5" ht="13" customHeight="1" x14ac:dyDescent="0.3">
      <c r="A9" s="34" t="s">
        <v>151</v>
      </c>
      <c r="B9" s="32" t="s">
        <v>90</v>
      </c>
      <c r="C9" s="47"/>
      <c r="D9" s="47"/>
      <c r="E9" s="38" t="str">
        <f>IF(E$7="","",E$7)</f>
        <v/>
      </c>
    </row>
    <row r="10" spans="1:5" x14ac:dyDescent="0.25">
      <c r="B10" s="32" t="s">
        <v>67</v>
      </c>
      <c r="C10" s="47"/>
      <c r="D10" s="47"/>
      <c r="E10" s="38" t="str">
        <f>IF(E$7="","",E$7)</f>
        <v/>
      </c>
    </row>
    <row r="11" spans="1:5" x14ac:dyDescent="0.25">
      <c r="B11" s="32" t="s">
        <v>77</v>
      </c>
      <c r="C11" s="47"/>
      <c r="D11" s="47"/>
      <c r="E11" s="38" t="str">
        <f>IF(E$7="","",E$7)</f>
        <v/>
      </c>
    </row>
    <row r="12" spans="1:5" x14ac:dyDescent="0.25">
      <c r="B12" s="32" t="s">
        <v>78</v>
      </c>
      <c r="C12" s="47"/>
      <c r="D12" s="47" t="s">
        <v>149</v>
      </c>
      <c r="E12" s="38" t="str">
        <f>IF(E$7="","",E$7)</f>
        <v/>
      </c>
    </row>
    <row r="13" spans="1:5" x14ac:dyDescent="0.25">
      <c r="B13" s="32" t="s">
        <v>79</v>
      </c>
      <c r="C13" s="47"/>
      <c r="D13" s="47" t="s">
        <v>149</v>
      </c>
      <c r="E13" s="38" t="str">
        <f>IF(E$7="","",E$7)</f>
        <v/>
      </c>
    </row>
    <row r="14" spans="1:5" x14ac:dyDescent="0.25">
      <c r="B14" s="32" t="s">
        <v>150</v>
      </c>
      <c r="C14" s="31"/>
      <c r="D14" s="30"/>
      <c r="E14" s="47"/>
    </row>
    <row r="16" spans="1:5" ht="13" customHeight="1" x14ac:dyDescent="0.3">
      <c r="A16" s="34" t="s">
        <v>152</v>
      </c>
      <c r="B16" s="32" t="s">
        <v>90</v>
      </c>
      <c r="C16" s="47"/>
      <c r="D16" s="47" t="s">
        <v>149</v>
      </c>
      <c r="E16" s="38" t="str">
        <f>IF(E$7="","",E$7)</f>
        <v/>
      </c>
    </row>
    <row r="17" spans="2:5" x14ac:dyDescent="0.25">
      <c r="B17" s="32" t="s">
        <v>67</v>
      </c>
      <c r="C17" s="47"/>
      <c r="D17" s="47" t="s">
        <v>149</v>
      </c>
      <c r="E17" s="38" t="str">
        <f>IF(E$7="","",E$7)</f>
        <v/>
      </c>
    </row>
    <row r="18" spans="2:5" x14ac:dyDescent="0.25">
      <c r="B18" s="32" t="s">
        <v>77</v>
      </c>
      <c r="C18" s="47"/>
      <c r="D18" s="47" t="s">
        <v>149</v>
      </c>
      <c r="E18" s="38" t="str">
        <f>IF(E$7="","",E$7)</f>
        <v/>
      </c>
    </row>
    <row r="19" spans="2:5" x14ac:dyDescent="0.25">
      <c r="B19" s="32" t="s">
        <v>78</v>
      </c>
      <c r="C19" s="47"/>
      <c r="D19" s="47" t="s">
        <v>149</v>
      </c>
      <c r="E19" s="38" t="str">
        <f>IF(E$7="","",E$7)</f>
        <v/>
      </c>
    </row>
    <row r="20" spans="2:5" x14ac:dyDescent="0.25">
      <c r="B20" s="32" t="s">
        <v>79</v>
      </c>
      <c r="C20" s="47"/>
      <c r="D20" s="47" t="s">
        <v>149</v>
      </c>
      <c r="E20" s="38" t="str">
        <f>IF(E$7="","",E$7)</f>
        <v/>
      </c>
    </row>
    <row r="21" spans="2:5" x14ac:dyDescent="0.25">
      <c r="B21" s="32" t="s">
        <v>150</v>
      </c>
      <c r="C21" s="31"/>
      <c r="D21" s="30"/>
      <c r="E21" s="47"/>
    </row>
  </sheetData>
  <sheetProtection algorithmName="SHA-512" hashValue="9wsRtmiVNJB0UeV33D4Iu3yiIwegEB7YesrZkCblhc6wUV+2PK18HRXoB0nl0+0IenWTDgkV+kV0Xi5B6erGpg==" saltValue="FiZTxqAqHli9KHTCkjPnDg==" spinCount="100000" sheet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7" tint="-0.249977111117893"/>
  </sheetPr>
  <dimension ref="A1:D3"/>
  <sheetViews>
    <sheetView zoomScale="145" zoomScaleNormal="145" workbookViewId="0">
      <selection activeCell="D2" sqref="D2:D3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customHeight="1" x14ac:dyDescent="0.3">
      <c r="A1" s="39" t="s">
        <v>1</v>
      </c>
      <c r="B1" s="36" t="s">
        <v>153</v>
      </c>
      <c r="C1" s="40" t="s">
        <v>154</v>
      </c>
      <c r="D1" s="40" t="s">
        <v>155</v>
      </c>
    </row>
    <row r="2" spans="1:4" ht="13" customHeight="1" x14ac:dyDescent="0.3">
      <c r="A2" s="40" t="s">
        <v>156</v>
      </c>
      <c r="B2" s="32" t="s">
        <v>157</v>
      </c>
      <c r="C2" s="32" t="s">
        <v>158</v>
      </c>
      <c r="D2" s="47"/>
    </row>
    <row r="3" spans="1:4" ht="13" customHeight="1" x14ac:dyDescent="0.3">
      <c r="A3" s="40" t="s">
        <v>159</v>
      </c>
      <c r="B3" s="32" t="s">
        <v>145</v>
      </c>
      <c r="C3" s="32" t="s">
        <v>160</v>
      </c>
      <c r="D3" s="47"/>
    </row>
  </sheetData>
  <sheetProtection algorithmName="SHA-512" hashValue="tS5A5il384gB8zsJjwidwZIpdVsJo/ah59cRAmnHpig36ZssdSIeiIXxiNqdW+7yhHG743nXUgYflxFLjdX6Kg==" saltValue="H9BMcvjdiLgSEjFGZvTrQw==" spinCount="100000" sheet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-0.249977111117893"/>
  </sheetPr>
  <dimension ref="A1:G39"/>
  <sheetViews>
    <sheetView zoomScale="70" zoomScaleNormal="70" workbookViewId="0">
      <selection activeCell="E32" sqref="E32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8" width="14.453125" style="8" customWidth="1"/>
    <col min="9" max="16384" width="14.453125" style="8"/>
  </cols>
  <sheetData>
    <row r="1" spans="1:7" ht="26" customHeight="1" x14ac:dyDescent="0.3">
      <c r="A1" s="1" t="s">
        <v>156</v>
      </c>
      <c r="B1" s="22" t="str">
        <f>"Baseline ("&amp;start_year&amp;") coverage"</f>
        <v>Baseline (2024) coverage</v>
      </c>
      <c r="C1" s="22" t="s">
        <v>161</v>
      </c>
      <c r="D1" s="22" t="s">
        <v>162</v>
      </c>
      <c r="E1" s="22" t="s">
        <v>163</v>
      </c>
      <c r="F1" s="22" t="s">
        <v>164</v>
      </c>
      <c r="G1" s="22" t="s">
        <v>165</v>
      </c>
    </row>
    <row r="2" spans="1:7" ht="15.75" customHeight="1" x14ac:dyDescent="0.25">
      <c r="A2" s="5" t="s">
        <v>166</v>
      </c>
      <c r="B2" s="45">
        <v>0.10135386928079999</v>
      </c>
      <c r="C2" s="98">
        <v>0.95</v>
      </c>
      <c r="D2" s="56">
        <v>35.298790342981107</v>
      </c>
      <c r="E2" s="56" t="s">
        <v>167</v>
      </c>
      <c r="F2" s="98">
        <v>1</v>
      </c>
      <c r="G2" s="98">
        <v>1</v>
      </c>
    </row>
    <row r="3" spans="1:7" ht="15.75" customHeight="1" x14ac:dyDescent="0.25">
      <c r="A3" s="5" t="s">
        <v>168</v>
      </c>
      <c r="B3" s="45">
        <v>0</v>
      </c>
      <c r="C3" s="98">
        <v>0.95</v>
      </c>
      <c r="D3" s="56">
        <v>42.462736160777617</v>
      </c>
      <c r="E3" s="56" t="s">
        <v>167</v>
      </c>
      <c r="F3" s="98">
        <v>1</v>
      </c>
      <c r="G3" s="98">
        <v>1</v>
      </c>
    </row>
    <row r="4" spans="1:7" ht="15.75" customHeight="1" x14ac:dyDescent="0.25">
      <c r="A4" s="5" t="s">
        <v>169</v>
      </c>
      <c r="B4" s="98">
        <v>0</v>
      </c>
      <c r="C4" s="98">
        <v>0.95</v>
      </c>
      <c r="D4" s="56">
        <v>58.038353853841237</v>
      </c>
      <c r="E4" s="56" t="s">
        <v>167</v>
      </c>
      <c r="F4" s="98">
        <v>1</v>
      </c>
      <c r="G4" s="98">
        <v>1</v>
      </c>
    </row>
    <row r="5" spans="1:7" ht="15.75" customHeight="1" x14ac:dyDescent="0.25">
      <c r="A5" s="5" t="s">
        <v>170</v>
      </c>
      <c r="B5" s="98">
        <v>0</v>
      </c>
      <c r="C5" s="98">
        <v>0.95</v>
      </c>
      <c r="D5" s="56">
        <v>0.2271323621560265</v>
      </c>
      <c r="E5" s="56" t="s">
        <v>167</v>
      </c>
      <c r="F5" s="98">
        <v>1</v>
      </c>
      <c r="G5" s="98">
        <v>1</v>
      </c>
    </row>
    <row r="6" spans="1:7" ht="15.75" customHeight="1" x14ac:dyDescent="0.25">
      <c r="A6" s="5" t="s">
        <v>171</v>
      </c>
      <c r="B6" s="98">
        <v>0</v>
      </c>
      <c r="C6" s="98">
        <v>0.95</v>
      </c>
      <c r="D6" s="56">
        <v>99.99</v>
      </c>
      <c r="E6" s="56" t="s">
        <v>167</v>
      </c>
      <c r="F6" s="98">
        <v>1</v>
      </c>
      <c r="G6" s="98">
        <v>1</v>
      </c>
    </row>
    <row r="7" spans="1:7" ht="15.75" customHeight="1" x14ac:dyDescent="0.25">
      <c r="A7" s="5" t="s">
        <v>172</v>
      </c>
      <c r="B7" s="98">
        <v>0</v>
      </c>
      <c r="C7" s="98">
        <v>0.95</v>
      </c>
      <c r="D7" s="56">
        <v>99.99</v>
      </c>
      <c r="E7" s="56" t="s">
        <v>167</v>
      </c>
      <c r="F7" s="98">
        <v>1</v>
      </c>
      <c r="G7" s="98">
        <v>1</v>
      </c>
    </row>
    <row r="8" spans="1:7" ht="15.75" customHeight="1" x14ac:dyDescent="0.25">
      <c r="A8" s="5" t="s">
        <v>173</v>
      </c>
      <c r="B8" s="98">
        <v>0</v>
      </c>
      <c r="C8" s="98">
        <v>0.95</v>
      </c>
      <c r="D8" s="56">
        <v>99.99</v>
      </c>
      <c r="E8" s="56" t="s">
        <v>167</v>
      </c>
      <c r="F8" s="98">
        <v>1</v>
      </c>
      <c r="G8" s="98">
        <v>1</v>
      </c>
    </row>
    <row r="9" spans="1:7" ht="15.75" customHeight="1" x14ac:dyDescent="0.25">
      <c r="A9" s="5" t="s">
        <v>174</v>
      </c>
      <c r="B9" s="98">
        <v>0</v>
      </c>
      <c r="C9" s="98">
        <v>0.95</v>
      </c>
      <c r="D9" s="56">
        <v>99.99</v>
      </c>
      <c r="E9" s="56" t="s">
        <v>167</v>
      </c>
      <c r="F9" s="98">
        <v>1</v>
      </c>
      <c r="G9" s="98">
        <v>1</v>
      </c>
    </row>
    <row r="10" spans="1:7" ht="15.75" customHeight="1" x14ac:dyDescent="0.25">
      <c r="A10" s="11" t="s">
        <v>175</v>
      </c>
      <c r="B10" s="45">
        <v>0</v>
      </c>
      <c r="C10" s="98">
        <v>0.95</v>
      </c>
      <c r="D10" s="56">
        <v>13.48044806079821</v>
      </c>
      <c r="E10" s="56" t="s">
        <v>167</v>
      </c>
      <c r="F10" s="98">
        <v>1</v>
      </c>
      <c r="G10" s="98">
        <v>1</v>
      </c>
    </row>
    <row r="11" spans="1:7" ht="15.75" customHeight="1" x14ac:dyDescent="0.25">
      <c r="A11" s="11" t="s">
        <v>176</v>
      </c>
      <c r="B11" s="98">
        <v>0</v>
      </c>
      <c r="C11" s="98">
        <v>0.95</v>
      </c>
      <c r="D11" s="56">
        <v>13.48044806079821</v>
      </c>
      <c r="E11" s="56" t="s">
        <v>167</v>
      </c>
      <c r="F11" s="98">
        <v>1</v>
      </c>
      <c r="G11" s="98">
        <v>1</v>
      </c>
    </row>
    <row r="12" spans="1:7" ht="15.75" customHeight="1" x14ac:dyDescent="0.25">
      <c r="A12" s="11" t="s">
        <v>177</v>
      </c>
      <c r="B12" s="98">
        <v>0</v>
      </c>
      <c r="C12" s="98">
        <v>0.95</v>
      </c>
      <c r="D12" s="56">
        <v>13.48044806079821</v>
      </c>
      <c r="E12" s="56" t="s">
        <v>167</v>
      </c>
      <c r="F12" s="98">
        <v>1</v>
      </c>
      <c r="G12" s="98">
        <v>1</v>
      </c>
    </row>
    <row r="13" spans="1:7" ht="15.75" customHeight="1" x14ac:dyDescent="0.25">
      <c r="A13" s="11" t="s">
        <v>178</v>
      </c>
      <c r="B13" s="98">
        <v>0</v>
      </c>
      <c r="C13" s="98">
        <v>0.95</v>
      </c>
      <c r="D13" s="56">
        <v>13.48044806079821</v>
      </c>
      <c r="E13" s="56" t="s">
        <v>167</v>
      </c>
      <c r="F13" s="98">
        <v>1</v>
      </c>
      <c r="G13" s="98">
        <v>1</v>
      </c>
    </row>
    <row r="14" spans="1:7" ht="15.75" customHeight="1" x14ac:dyDescent="0.25">
      <c r="A14" s="5" t="s">
        <v>179</v>
      </c>
      <c r="B14" s="45">
        <v>0</v>
      </c>
      <c r="C14" s="98">
        <v>0.95</v>
      </c>
      <c r="D14" s="56">
        <v>13.48044806079821</v>
      </c>
      <c r="E14" s="56" t="s">
        <v>167</v>
      </c>
      <c r="F14" s="98">
        <v>1</v>
      </c>
      <c r="G14" s="98">
        <v>1</v>
      </c>
    </row>
    <row r="15" spans="1:7" ht="15.75" customHeight="1" x14ac:dyDescent="0.25">
      <c r="A15" s="5" t="s">
        <v>180</v>
      </c>
      <c r="B15" s="98">
        <v>0</v>
      </c>
      <c r="C15" s="98">
        <v>0.95</v>
      </c>
      <c r="D15" s="56">
        <v>13.48044806079821</v>
      </c>
      <c r="E15" s="56" t="s">
        <v>167</v>
      </c>
      <c r="F15" s="98">
        <v>1</v>
      </c>
      <c r="G15" s="98">
        <v>1</v>
      </c>
    </row>
    <row r="16" spans="1:7" ht="15.75" customHeight="1" x14ac:dyDescent="0.25">
      <c r="A16" s="5" t="s">
        <v>181</v>
      </c>
      <c r="B16" s="45">
        <v>0.28087631927824003</v>
      </c>
      <c r="C16" s="98">
        <v>0.95</v>
      </c>
      <c r="D16" s="56">
        <v>0.21968425772577191</v>
      </c>
      <c r="E16" s="56" t="s">
        <v>167</v>
      </c>
      <c r="F16" s="98">
        <v>1</v>
      </c>
      <c r="G16" s="98">
        <v>1</v>
      </c>
    </row>
    <row r="17" spans="1:7" ht="15.75" customHeight="1" x14ac:dyDescent="0.25">
      <c r="A17" s="5" t="s">
        <v>182</v>
      </c>
      <c r="B17" s="98">
        <v>0.81</v>
      </c>
      <c r="C17" s="98">
        <v>0.95</v>
      </c>
      <c r="D17" s="56">
        <v>0.1369044839662158</v>
      </c>
      <c r="E17" s="56" t="s">
        <v>167</v>
      </c>
      <c r="F17" s="98">
        <v>1</v>
      </c>
      <c r="G17" s="98">
        <v>1</v>
      </c>
    </row>
    <row r="18" spans="1:7" ht="15.9" customHeight="1" x14ac:dyDescent="0.25">
      <c r="A18" s="5" t="s">
        <v>148</v>
      </c>
      <c r="B18" s="98">
        <v>0</v>
      </c>
      <c r="C18" s="98">
        <v>0.95</v>
      </c>
      <c r="D18" s="56">
        <v>1.4452504614591219</v>
      </c>
      <c r="E18" s="56" t="s">
        <v>167</v>
      </c>
      <c r="F18" s="98">
        <v>1</v>
      </c>
      <c r="G18" s="98">
        <v>1</v>
      </c>
    </row>
    <row r="19" spans="1:7" ht="15.75" customHeight="1" x14ac:dyDescent="0.25">
      <c r="A19" s="5" t="s">
        <v>151</v>
      </c>
      <c r="B19" s="98">
        <v>0</v>
      </c>
      <c r="C19" s="98">
        <v>0.95</v>
      </c>
      <c r="D19" s="56">
        <v>1.4452504614591219</v>
      </c>
      <c r="E19" s="56" t="s">
        <v>167</v>
      </c>
      <c r="F19" s="98">
        <v>1</v>
      </c>
      <c r="G19" s="98">
        <v>1</v>
      </c>
    </row>
    <row r="20" spans="1:7" ht="15.75" customHeight="1" x14ac:dyDescent="0.25">
      <c r="A20" s="5" t="s">
        <v>152</v>
      </c>
      <c r="B20" s="98">
        <v>0</v>
      </c>
      <c r="C20" s="98">
        <v>0.95</v>
      </c>
      <c r="D20" s="56">
        <v>99.99</v>
      </c>
      <c r="E20" s="56" t="s">
        <v>167</v>
      </c>
      <c r="F20" s="98">
        <v>1</v>
      </c>
      <c r="G20" s="98">
        <v>1</v>
      </c>
    </row>
    <row r="21" spans="1:7" ht="15.75" customHeight="1" x14ac:dyDescent="0.25">
      <c r="A21" s="5" t="s">
        <v>183</v>
      </c>
      <c r="B21" s="45">
        <v>0.76286109999999996</v>
      </c>
      <c r="C21" s="98">
        <v>0.95</v>
      </c>
      <c r="D21" s="56">
        <v>1.9139343807497731</v>
      </c>
      <c r="E21" s="56" t="s">
        <v>167</v>
      </c>
      <c r="F21" s="98">
        <v>1</v>
      </c>
      <c r="G21" s="98">
        <v>1</v>
      </c>
    </row>
    <row r="22" spans="1:7" ht="15.75" customHeight="1" x14ac:dyDescent="0.25">
      <c r="A22" s="5" t="s">
        <v>184</v>
      </c>
      <c r="B22" s="98">
        <v>0</v>
      </c>
      <c r="C22" s="98">
        <v>0.95</v>
      </c>
      <c r="D22" s="56">
        <v>22.971512023357811</v>
      </c>
      <c r="E22" s="56" t="s">
        <v>167</v>
      </c>
      <c r="F22" s="98">
        <v>1</v>
      </c>
      <c r="G22" s="98">
        <v>1</v>
      </c>
    </row>
    <row r="23" spans="1:7" ht="15.75" customHeight="1" x14ac:dyDescent="0.25">
      <c r="A23" s="5" t="s">
        <v>185</v>
      </c>
      <c r="B23" s="98">
        <v>6.5722000000000003E-3</v>
      </c>
      <c r="C23" s="98">
        <v>0.95</v>
      </c>
      <c r="D23" s="56">
        <v>4.4240020217934282</v>
      </c>
      <c r="E23" s="56" t="s">
        <v>167</v>
      </c>
      <c r="F23" s="98">
        <v>1</v>
      </c>
      <c r="G23" s="98">
        <v>1</v>
      </c>
    </row>
    <row r="24" spans="1:7" ht="15.75" customHeight="1" x14ac:dyDescent="0.25">
      <c r="A24" s="5" t="s">
        <v>186</v>
      </c>
      <c r="B24" s="45">
        <v>0.49957248795947989</v>
      </c>
      <c r="C24" s="98">
        <v>0.95</v>
      </c>
      <c r="D24" s="56">
        <v>99.99</v>
      </c>
      <c r="E24" s="56" t="s">
        <v>167</v>
      </c>
      <c r="F24" s="98">
        <v>1</v>
      </c>
      <c r="G24" s="98">
        <v>1</v>
      </c>
    </row>
    <row r="25" spans="1:7" ht="15.75" customHeight="1" x14ac:dyDescent="0.25">
      <c r="A25" s="5" t="s">
        <v>187</v>
      </c>
      <c r="B25" s="98">
        <v>0</v>
      </c>
      <c r="C25" s="98">
        <v>0.95</v>
      </c>
      <c r="D25" s="56">
        <v>99.99</v>
      </c>
      <c r="E25" s="56" t="s">
        <v>167</v>
      </c>
      <c r="F25" s="98">
        <v>1</v>
      </c>
      <c r="G25" s="98">
        <v>1</v>
      </c>
    </row>
    <row r="26" spans="1:7" ht="15.75" customHeight="1" x14ac:dyDescent="0.25">
      <c r="A26" s="5" t="s">
        <v>188</v>
      </c>
      <c r="B26" s="45">
        <v>0</v>
      </c>
      <c r="C26" s="98">
        <v>0.95</v>
      </c>
      <c r="D26" s="56">
        <v>99.99</v>
      </c>
      <c r="E26" s="56" t="s">
        <v>167</v>
      </c>
      <c r="F26" s="98">
        <v>1</v>
      </c>
      <c r="G26" s="98">
        <v>1</v>
      </c>
    </row>
    <row r="27" spans="1:7" ht="15.75" customHeight="1" x14ac:dyDescent="0.25">
      <c r="A27" s="5" t="s">
        <v>189</v>
      </c>
      <c r="B27" s="45">
        <v>0.17693350432848001</v>
      </c>
      <c r="C27" s="98">
        <v>0.95</v>
      </c>
      <c r="D27" s="56">
        <v>19.479513896614868</v>
      </c>
      <c r="E27" s="56" t="s">
        <v>167</v>
      </c>
      <c r="F27" s="98">
        <v>1</v>
      </c>
      <c r="G27" s="98">
        <v>1</v>
      </c>
    </row>
    <row r="28" spans="1:7" ht="15.75" customHeight="1" x14ac:dyDescent="0.25">
      <c r="A28" s="5" t="s">
        <v>190</v>
      </c>
      <c r="B28" s="45">
        <v>0.46719699999999997</v>
      </c>
      <c r="C28" s="98">
        <v>0.95</v>
      </c>
      <c r="D28" s="56">
        <v>99.99</v>
      </c>
      <c r="E28" s="56" t="s">
        <v>167</v>
      </c>
      <c r="F28" s="98">
        <v>1</v>
      </c>
      <c r="G28" s="98">
        <v>1</v>
      </c>
    </row>
    <row r="29" spans="1:7" ht="15.75" customHeight="1" x14ac:dyDescent="0.25">
      <c r="A29" s="5" t="s">
        <v>191</v>
      </c>
      <c r="B29" s="45">
        <v>0</v>
      </c>
      <c r="C29" s="98">
        <v>0.95</v>
      </c>
      <c r="D29" s="56">
        <v>61.768801095950799</v>
      </c>
      <c r="E29" s="56" t="s">
        <v>167</v>
      </c>
      <c r="F29" s="98">
        <v>1</v>
      </c>
      <c r="G29" s="98">
        <v>1</v>
      </c>
    </row>
    <row r="30" spans="1:7" ht="15.75" customHeight="1" x14ac:dyDescent="0.25">
      <c r="A30" s="5" t="s">
        <v>192</v>
      </c>
      <c r="B30" s="98">
        <v>0</v>
      </c>
      <c r="C30" s="98">
        <v>0.95</v>
      </c>
      <c r="D30" s="56">
        <v>99</v>
      </c>
      <c r="E30" s="56" t="s">
        <v>167</v>
      </c>
      <c r="F30" s="98">
        <v>1</v>
      </c>
      <c r="G30" s="98">
        <v>1</v>
      </c>
    </row>
    <row r="31" spans="1:7" ht="15.75" customHeight="1" x14ac:dyDescent="0.25">
      <c r="A31" s="5" t="s">
        <v>157</v>
      </c>
      <c r="B31" s="45">
        <v>2.75E-2</v>
      </c>
      <c r="C31" s="98">
        <v>0.95</v>
      </c>
      <c r="D31" s="56">
        <v>0.95745752850980892</v>
      </c>
      <c r="E31" s="56" t="s">
        <v>167</v>
      </c>
      <c r="F31" s="98">
        <v>1</v>
      </c>
      <c r="G31" s="98">
        <v>1</v>
      </c>
    </row>
    <row r="32" spans="1:7" ht="15.75" customHeight="1" x14ac:dyDescent="0.25">
      <c r="A32" s="5" t="s">
        <v>193</v>
      </c>
      <c r="B32" s="45">
        <v>0.61310370000000003</v>
      </c>
      <c r="C32" s="98">
        <v>0.95</v>
      </c>
      <c r="D32" s="56">
        <v>0.41454246308118348</v>
      </c>
      <c r="E32" s="56" t="s">
        <v>167</v>
      </c>
      <c r="F32" s="98">
        <v>1</v>
      </c>
      <c r="G32" s="98">
        <v>1</v>
      </c>
    </row>
    <row r="33" spans="1:7" ht="15.75" customHeight="1" x14ac:dyDescent="0.25">
      <c r="A33" s="5" t="s">
        <v>194</v>
      </c>
      <c r="B33" s="45">
        <v>0</v>
      </c>
      <c r="C33" s="98">
        <v>0.95</v>
      </c>
      <c r="D33" s="56">
        <v>99.99</v>
      </c>
      <c r="E33" s="56" t="s">
        <v>167</v>
      </c>
      <c r="F33" s="98">
        <v>1</v>
      </c>
      <c r="G33" s="98">
        <v>1</v>
      </c>
    </row>
    <row r="34" spans="1:7" ht="15.75" customHeight="1" x14ac:dyDescent="0.25">
      <c r="A34" s="5" t="s">
        <v>195</v>
      </c>
      <c r="B34" s="45">
        <v>0.21012130000000001</v>
      </c>
      <c r="C34" s="98">
        <v>0.95</v>
      </c>
      <c r="D34" s="56">
        <v>99.99</v>
      </c>
      <c r="E34" s="56" t="s">
        <v>167</v>
      </c>
      <c r="F34" s="98">
        <v>1</v>
      </c>
      <c r="G34" s="98">
        <v>1</v>
      </c>
    </row>
    <row r="35" spans="1:7" ht="15.75" customHeight="1" x14ac:dyDescent="0.25">
      <c r="A35" s="5" t="s">
        <v>196</v>
      </c>
      <c r="B35" s="98">
        <v>0</v>
      </c>
      <c r="C35" s="98">
        <v>0.95</v>
      </c>
      <c r="D35" s="56">
        <v>99.99</v>
      </c>
      <c r="E35" s="56" t="s">
        <v>167</v>
      </c>
      <c r="F35" s="98">
        <v>1</v>
      </c>
      <c r="G35" s="98">
        <v>1</v>
      </c>
    </row>
    <row r="36" spans="1:7" ht="15.75" customHeight="1" x14ac:dyDescent="0.25">
      <c r="A36" s="5" t="s">
        <v>197</v>
      </c>
      <c r="B36" s="45">
        <v>0</v>
      </c>
      <c r="C36" s="98">
        <v>0.95</v>
      </c>
      <c r="D36" s="56">
        <v>99.99</v>
      </c>
      <c r="E36" s="56" t="s">
        <v>167</v>
      </c>
      <c r="F36" s="98">
        <v>1</v>
      </c>
      <c r="G36" s="98">
        <v>1</v>
      </c>
    </row>
    <row r="37" spans="1:7" ht="15.75" customHeight="1" x14ac:dyDescent="0.25">
      <c r="A37" s="5" t="s">
        <v>198</v>
      </c>
      <c r="B37" s="45">
        <v>0.38</v>
      </c>
      <c r="C37" s="98">
        <v>0.95</v>
      </c>
      <c r="D37" s="56">
        <v>99.99</v>
      </c>
      <c r="E37" s="56" t="s">
        <v>167</v>
      </c>
      <c r="F37" s="98">
        <v>1</v>
      </c>
      <c r="G37" s="98">
        <v>1</v>
      </c>
    </row>
    <row r="38" spans="1:7" ht="15.75" customHeight="1" x14ac:dyDescent="0.25">
      <c r="A38" s="5" t="s">
        <v>199</v>
      </c>
      <c r="B38" s="45">
        <v>0.40267940000000002</v>
      </c>
      <c r="C38" s="98">
        <v>0.95</v>
      </c>
      <c r="D38" s="56">
        <v>3.9315280454264041</v>
      </c>
      <c r="E38" s="56" t="s">
        <v>167</v>
      </c>
      <c r="F38" s="98">
        <v>1</v>
      </c>
      <c r="G38" s="98">
        <v>1</v>
      </c>
    </row>
    <row r="39" spans="1:7" ht="15.75" customHeight="1" x14ac:dyDescent="0.25">
      <c r="A39" s="5" t="s">
        <v>200</v>
      </c>
      <c r="B39" s="45">
        <v>0.25735599999999997</v>
      </c>
      <c r="C39" s="98">
        <v>0.95</v>
      </c>
      <c r="D39" s="56">
        <v>99.99</v>
      </c>
      <c r="E39" s="56" t="s">
        <v>167</v>
      </c>
      <c r="F39" s="98">
        <v>1</v>
      </c>
      <c r="G39" s="98">
        <v>1</v>
      </c>
    </row>
  </sheetData>
  <sheetProtection algorithmName="SHA-512" hashValue="7vflRb+A4U2pEdxn7m/v0lFZNI78qfZXbnYBjV1V9XLM+tHWxQCvL8xYVSz8kIygwB6Bp0chVfPhUDXzL0eOkw==" saltValue="BwzbjGZ5GxwK0BvfdhnvS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7" tint="-0.249977111117893"/>
  </sheetPr>
  <dimension ref="A1:C20"/>
  <sheetViews>
    <sheetView tabSelected="1" workbookViewId="0">
      <selection activeCell="C13" sqref="C13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4" width="11.453125" style="8" customWidth="1"/>
    <col min="5" max="16384" width="11.453125" style="8"/>
  </cols>
  <sheetData>
    <row r="1" spans="1:3" ht="13" customHeight="1" x14ac:dyDescent="0.3">
      <c r="A1" s="4" t="s">
        <v>156</v>
      </c>
      <c r="B1" s="4" t="s">
        <v>201</v>
      </c>
      <c r="C1" s="4" t="s">
        <v>202</v>
      </c>
    </row>
    <row r="2" spans="1:3" x14ac:dyDescent="0.25">
      <c r="A2" s="57" t="s">
        <v>179</v>
      </c>
      <c r="B2" s="47" t="s">
        <v>189</v>
      </c>
      <c r="C2" s="47"/>
    </row>
    <row r="3" spans="1:3" x14ac:dyDescent="0.25">
      <c r="A3" s="57" t="s">
        <v>180</v>
      </c>
      <c r="B3" s="47" t="s">
        <v>189</v>
      </c>
      <c r="C3" s="47"/>
    </row>
    <row r="4" spans="1:3" x14ac:dyDescent="0.25">
      <c r="A4" s="57" t="s">
        <v>191</v>
      </c>
      <c r="B4" s="47" t="s">
        <v>184</v>
      </c>
      <c r="C4" s="47"/>
    </row>
    <row r="5" spans="1:3" x14ac:dyDescent="0.25">
      <c r="A5" s="57" t="s">
        <v>188</v>
      </c>
      <c r="B5" s="47" t="s">
        <v>184</v>
      </c>
      <c r="C5" s="47"/>
    </row>
    <row r="6" spans="1:3" x14ac:dyDescent="0.25">
      <c r="A6" s="57"/>
      <c r="B6" s="58"/>
      <c r="C6" s="58"/>
    </row>
    <row r="7" spans="1:3" x14ac:dyDescent="0.25">
      <c r="A7" s="57"/>
      <c r="B7" s="58"/>
      <c r="C7" s="58"/>
    </row>
    <row r="8" spans="1:3" x14ac:dyDescent="0.25">
      <c r="A8" s="57"/>
      <c r="B8" s="58"/>
      <c r="C8" s="58"/>
    </row>
    <row r="9" spans="1:3" x14ac:dyDescent="0.25">
      <c r="A9" s="57"/>
      <c r="B9" s="58"/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mJIhFbJiXwMDYdaTQpBnnIuyYOuT68NH0zRKA9hB05n6uZvdwWxrgEXuFwGJ+96DUDA/ASxdRlcLT7WZRHSmMg==" saltValue="bb4cIfhca5ee56tuIEArcQ==" spinCount="100000" sheet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0" tint="-0.249977111117893"/>
  </sheetPr>
  <dimension ref="A1:A19"/>
  <sheetViews>
    <sheetView workbookViewId="0">
      <selection activeCell="A6" sqref="A6"/>
    </sheetView>
  </sheetViews>
  <sheetFormatPr defaultColWidth="11.453125" defaultRowHeight="12.5" x14ac:dyDescent="0.25"/>
  <cols>
    <col min="1" max="1" width="30.08984375" style="8" customWidth="1"/>
    <col min="2" max="2" width="11.453125" style="8" customWidth="1"/>
    <col min="3" max="16384" width="11.453125" style="8"/>
  </cols>
  <sheetData>
    <row r="1" spans="1:1" ht="13" customHeight="1" x14ac:dyDescent="0.3">
      <c r="A1" s="4" t="s">
        <v>156</v>
      </c>
    </row>
    <row r="2" spans="1:1" x14ac:dyDescent="0.25">
      <c r="A2" s="33" t="s">
        <v>171</v>
      </c>
    </row>
    <row r="3" spans="1:1" x14ac:dyDescent="0.25">
      <c r="A3" s="33" t="s">
        <v>181</v>
      </c>
    </row>
    <row r="4" spans="1:1" x14ac:dyDescent="0.25">
      <c r="A4" s="33" t="s">
        <v>185</v>
      </c>
    </row>
    <row r="5" spans="1:1" x14ac:dyDescent="0.25">
      <c r="A5" s="33" t="s">
        <v>194</v>
      </c>
    </row>
    <row r="6" spans="1:1" x14ac:dyDescent="0.25">
      <c r="A6" s="33" t="s">
        <v>195</v>
      </c>
    </row>
    <row r="7" spans="1:1" x14ac:dyDescent="0.25">
      <c r="A7" s="33" t="s">
        <v>196</v>
      </c>
    </row>
    <row r="8" spans="1:1" x14ac:dyDescent="0.25">
      <c r="A8" s="33" t="s">
        <v>197</v>
      </c>
    </row>
    <row r="9" spans="1:1" x14ac:dyDescent="0.25">
      <c r="A9" s="33" t="s">
        <v>198</v>
      </c>
    </row>
    <row r="10" spans="1:1" x14ac:dyDescent="0.25">
      <c r="A10" s="33"/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0" tint="-0.34998626667073579"/>
  </sheetPr>
  <dimension ref="A1:F4"/>
  <sheetViews>
    <sheetView workbookViewId="0">
      <selection activeCell="F8" sqref="F8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203</v>
      </c>
      <c r="B1" t="s">
        <v>67</v>
      </c>
      <c r="C1" t="s">
        <v>77</v>
      </c>
      <c r="D1" t="s">
        <v>78</v>
      </c>
      <c r="E1" t="s">
        <v>79</v>
      </c>
      <c r="F1" t="s">
        <v>80</v>
      </c>
    </row>
    <row r="2" spans="1:6" ht="15.75" customHeight="1" x14ac:dyDescent="0.25">
      <c r="A2" s="3" t="s">
        <v>81</v>
      </c>
      <c r="B2" s="21">
        <f>'Baseline year population inputs'!C51</f>
        <v>3.3</v>
      </c>
      <c r="C2" s="21">
        <f>'Baseline year population inputs'!C52</f>
        <v>3.3</v>
      </c>
      <c r="D2" s="21">
        <f>'Baseline year population inputs'!C53</f>
        <v>3.3</v>
      </c>
      <c r="E2" s="21">
        <f>'Baseline year population inputs'!C54</f>
        <v>3.3</v>
      </c>
      <c r="F2" s="21">
        <f>'Baseline year population inputs'!C55</f>
        <v>3.3</v>
      </c>
    </row>
    <row r="3" spans="1:6" ht="15.75" customHeight="1" x14ac:dyDescent="0.25">
      <c r="A3" s="3" t="s">
        <v>204</v>
      </c>
      <c r="B3" s="21">
        <f>frac_mam_1month * 2.6</f>
        <v>7.8393900000000002E-2</v>
      </c>
      <c r="C3" s="21">
        <f>frac_mam_1_5months * 2.6</f>
        <v>7.8393900000000002E-2</v>
      </c>
      <c r="D3" s="21">
        <f>frac_mam_6_11months * 2.6</f>
        <v>0.14461356</v>
      </c>
      <c r="E3" s="21">
        <f>frac_mam_12_23months * 2.6</f>
        <v>6.9340700000000005E-2</v>
      </c>
      <c r="F3" s="21">
        <f>frac_mam_24_59months * 2.6</f>
        <v>3.4896160000000002E-2</v>
      </c>
    </row>
    <row r="4" spans="1:6" ht="15.75" customHeight="1" x14ac:dyDescent="0.25">
      <c r="A4" s="3" t="s">
        <v>205</v>
      </c>
      <c r="B4" s="21">
        <f>frac_sam_1month * 2.6</f>
        <v>0.12021229999999999</v>
      </c>
      <c r="C4" s="21">
        <f>frac_sam_1_5months * 2.6</f>
        <v>0.12021229999999999</v>
      </c>
      <c r="D4" s="21">
        <f>frac_sam_6_11months * 2.6</f>
        <v>8.3416580000000004E-2</v>
      </c>
      <c r="E4" s="21">
        <f>frac_sam_12_23months * 2.6</f>
        <v>3.386422E-2</v>
      </c>
      <c r="F4" s="21">
        <f>frac_sam_24_59months * 2.6</f>
        <v>1.396902E-2</v>
      </c>
    </row>
  </sheetData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0" tint="-0.249977111117893"/>
  </sheetPr>
  <dimension ref="A1:O40"/>
  <sheetViews>
    <sheetView zoomScale="85" zoomScaleNormal="118" workbookViewId="0">
      <selection activeCell="C9" sqref="C9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206</v>
      </c>
      <c r="B1" s="1" t="s">
        <v>156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">
      <c r="A2" s="4" t="s">
        <v>76</v>
      </c>
      <c r="B2" s="5" t="s">
        <v>169</v>
      </c>
      <c r="C2" s="60">
        <v>0</v>
      </c>
      <c r="D2" s="60">
        <f>food_insecure</f>
        <v>0.41699999999999998</v>
      </c>
      <c r="E2" s="60">
        <f>food_insecure</f>
        <v>0.41699999999999998</v>
      </c>
      <c r="F2" s="60">
        <f>food_insecure</f>
        <v>0.41699999999999998</v>
      </c>
      <c r="G2" s="60">
        <f>food_insecure</f>
        <v>0.41699999999999998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170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183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184</v>
      </c>
      <c r="C5" s="60">
        <v>0</v>
      </c>
      <c r="D5" s="60">
        <v>0</v>
      </c>
      <c r="E5" s="60">
        <f>food_insecure</f>
        <v>0.41699999999999998</v>
      </c>
      <c r="F5" s="60">
        <f>food_insecure</f>
        <v>0.41699999999999998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188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190</v>
      </c>
      <c r="C7" s="60">
        <f>diarrhoea_1mo*frac_diarrhea_severe</f>
        <v>7.2000000000000008E-2</v>
      </c>
      <c r="D7" s="60">
        <f>diarrhoea_1_5mo*frac_diarrhea_severe</f>
        <v>7.2000000000000008E-2</v>
      </c>
      <c r="E7" s="60">
        <f>diarrhoea_6_11mo*frac_diarrhea_severe</f>
        <v>7.2000000000000008E-2</v>
      </c>
      <c r="F7" s="60">
        <f>diarrhoea_12_23mo*frac_diarrhea_severe</f>
        <v>7.2000000000000008E-2</v>
      </c>
      <c r="G7" s="60">
        <f>diarrhoea_24_59mo*frac_diarrhea_severe</f>
        <v>7.2000000000000008E-2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191</v>
      </c>
      <c r="C8" s="60">
        <v>0</v>
      </c>
      <c r="D8" s="60">
        <v>0</v>
      </c>
      <c r="E8" s="60">
        <f>food_insecure</f>
        <v>0.41699999999999998</v>
      </c>
      <c r="F8" s="60">
        <f>food_insecure</f>
        <v>0.41699999999999998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192</v>
      </c>
      <c r="C9" s="60">
        <v>0</v>
      </c>
      <c r="D9" s="60">
        <v>0</v>
      </c>
      <c r="E9" s="60">
        <f>food_insecure</f>
        <v>0.41699999999999998</v>
      </c>
      <c r="F9" s="60">
        <f>food_insecure</f>
        <v>0.41699999999999998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157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193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199</v>
      </c>
      <c r="C12" s="60">
        <f>diarrhoea_1mo*frac_diarrhea_severe</f>
        <v>7.2000000000000008E-2</v>
      </c>
      <c r="D12" s="60">
        <f>diarrhoea_1_5mo*frac_diarrhea_severe</f>
        <v>7.2000000000000008E-2</v>
      </c>
      <c r="E12" s="60">
        <f>diarrhoea_6_11mo*frac_diarrhea_severe</f>
        <v>7.2000000000000008E-2</v>
      </c>
      <c r="F12" s="60">
        <f>diarrhoea_12_23mo*frac_diarrhea_severe</f>
        <v>7.2000000000000008E-2</v>
      </c>
      <c r="G12" s="60">
        <f>diarrhoea_24_59mo*frac_diarrhea_severe</f>
        <v>7.2000000000000008E-2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200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90</v>
      </c>
      <c r="B15" s="9" t="s">
        <v>166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>food_insecure</f>
        <v>0.41699999999999998</v>
      </c>
      <c r="I15" s="60">
        <f>food_insecure</f>
        <v>0.41699999999999998</v>
      </c>
      <c r="J15" s="60">
        <f>food_insecure</f>
        <v>0.41699999999999998</v>
      </c>
      <c r="K15" s="60">
        <f>food_insecure</f>
        <v>0.41699999999999998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168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v>1</v>
      </c>
      <c r="I16" s="60">
        <v>1</v>
      </c>
      <c r="J16" s="60">
        <v>1</v>
      </c>
      <c r="K16" s="60">
        <v>1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179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180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181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0.73</v>
      </c>
      <c r="I19" s="60">
        <f>frac_malaria_risk</f>
        <v>0.73</v>
      </c>
      <c r="J19" s="60">
        <f>frac_malaria_risk</f>
        <v>0.73</v>
      </c>
      <c r="K19" s="60">
        <f>frac_malaria_risk</f>
        <v>0.73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186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187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189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207</v>
      </c>
      <c r="B24" s="11" t="s">
        <v>171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0.501</v>
      </c>
      <c r="M24" s="60">
        <f>famplan_unmet_need</f>
        <v>0.501</v>
      </c>
      <c r="N24" s="60">
        <f>famplan_unmet_need</f>
        <v>0.501</v>
      </c>
      <c r="O24" s="60">
        <f>famplan_unmet_need</f>
        <v>0.501</v>
      </c>
    </row>
    <row r="25" spans="1:15" ht="15.75" customHeight="1" x14ac:dyDescent="0.25">
      <c r="B25" s="11" t="s">
        <v>175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0.38926299843824402</v>
      </c>
      <c r="M25" s="60">
        <f>(1-food_insecure)*(0.49)+food_insecure*(0.7)</f>
        <v>0.57756999999999992</v>
      </c>
      <c r="N25" s="60">
        <f>(1-food_insecure)*(0.49)+food_insecure*(0.7)</f>
        <v>0.57756999999999992</v>
      </c>
      <c r="O25" s="60">
        <f>(1-food_insecure)*(0.49)+food_insecure*(0.7)</f>
        <v>0.57756999999999992</v>
      </c>
    </row>
    <row r="26" spans="1:15" ht="15.75" customHeight="1" x14ac:dyDescent="0.25">
      <c r="B26" s="11" t="s">
        <v>176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0.16682699933067599</v>
      </c>
      <c r="M26" s="60">
        <f>(1-food_insecure)*(0.21)+food_insecure*(0.3)</f>
        <v>0.24752999999999997</v>
      </c>
      <c r="N26" s="60">
        <f>(1-food_insecure)*(0.21)+food_insecure*(0.3)</f>
        <v>0.24752999999999997</v>
      </c>
      <c r="O26" s="60">
        <f>(1-food_insecure)*(0.21)+food_insecure*(0.3)</f>
        <v>0.24752999999999997</v>
      </c>
    </row>
    <row r="27" spans="1:15" ht="15.75" customHeight="1" x14ac:dyDescent="0.25">
      <c r="B27" s="11" t="s">
        <v>177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0.11787679143108</v>
      </c>
      <c r="M27" s="60">
        <f>(1-food_insecure)*(0.3)</f>
        <v>0.17489999999999997</v>
      </c>
      <c r="N27" s="60">
        <f>(1-food_insecure)*(0.3)</f>
        <v>0.17489999999999997</v>
      </c>
      <c r="O27" s="60">
        <f>(1-food_insecure)*(0.3)</f>
        <v>0.17489999999999997</v>
      </c>
    </row>
    <row r="28" spans="1:15" ht="15.75" customHeight="1" x14ac:dyDescent="0.25">
      <c r="B28" s="11" t="s">
        <v>178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0.32603321079999997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208</v>
      </c>
      <c r="B30" s="5" t="s">
        <v>172</v>
      </c>
      <c r="C30" s="60">
        <v>0</v>
      </c>
      <c r="D30" s="60">
        <v>0</v>
      </c>
      <c r="E30" s="60">
        <f t="shared" ref="E30:O30" si="0">frac_maize</f>
        <v>0.05</v>
      </c>
      <c r="F30" s="60">
        <f t="shared" si="0"/>
        <v>0.05</v>
      </c>
      <c r="G30" s="60">
        <f t="shared" si="0"/>
        <v>0.05</v>
      </c>
      <c r="H30" s="60">
        <f t="shared" si="0"/>
        <v>0.05</v>
      </c>
      <c r="I30" s="60">
        <f t="shared" si="0"/>
        <v>0.05</v>
      </c>
      <c r="J30" s="60">
        <f t="shared" si="0"/>
        <v>0.05</v>
      </c>
      <c r="K30" s="60">
        <f t="shared" si="0"/>
        <v>0.05</v>
      </c>
      <c r="L30" s="60">
        <f t="shared" si="0"/>
        <v>0.05</v>
      </c>
      <c r="M30" s="60">
        <f t="shared" si="0"/>
        <v>0.05</v>
      </c>
      <c r="N30" s="60">
        <f t="shared" si="0"/>
        <v>0.05</v>
      </c>
      <c r="O30" s="60">
        <f t="shared" si="0"/>
        <v>0.05</v>
      </c>
    </row>
    <row r="31" spans="1:15" ht="15.75" customHeight="1" x14ac:dyDescent="0.25">
      <c r="B31" s="5" t="s">
        <v>173</v>
      </c>
      <c r="C31" s="60">
        <v>0</v>
      </c>
      <c r="D31" s="60">
        <v>0</v>
      </c>
      <c r="E31" s="60">
        <f t="shared" ref="E31:O31" si="1">frac_rice</f>
        <v>0.7</v>
      </c>
      <c r="F31" s="60">
        <f t="shared" si="1"/>
        <v>0.7</v>
      </c>
      <c r="G31" s="60">
        <f t="shared" si="1"/>
        <v>0.7</v>
      </c>
      <c r="H31" s="60">
        <f t="shared" si="1"/>
        <v>0.7</v>
      </c>
      <c r="I31" s="60">
        <f t="shared" si="1"/>
        <v>0.7</v>
      </c>
      <c r="J31" s="60">
        <f t="shared" si="1"/>
        <v>0.7</v>
      </c>
      <c r="K31" s="60">
        <f t="shared" si="1"/>
        <v>0.7</v>
      </c>
      <c r="L31" s="60">
        <f t="shared" si="1"/>
        <v>0.7</v>
      </c>
      <c r="M31" s="60">
        <f t="shared" si="1"/>
        <v>0.7</v>
      </c>
      <c r="N31" s="60">
        <f t="shared" si="1"/>
        <v>0.7</v>
      </c>
      <c r="O31" s="60">
        <f t="shared" si="1"/>
        <v>0.7</v>
      </c>
    </row>
    <row r="32" spans="1:15" ht="15.75" customHeight="1" x14ac:dyDescent="0.25">
      <c r="B32" s="5" t="s">
        <v>174</v>
      </c>
      <c r="C32" s="60">
        <v>0</v>
      </c>
      <c r="D32" s="60">
        <v>0</v>
      </c>
      <c r="E32" s="60">
        <f t="shared" ref="E32:O32" si="2">frac_wheat</f>
        <v>0.05</v>
      </c>
      <c r="F32" s="60">
        <f t="shared" si="2"/>
        <v>0.05</v>
      </c>
      <c r="G32" s="60">
        <f t="shared" si="2"/>
        <v>0.05</v>
      </c>
      <c r="H32" s="60">
        <f t="shared" si="2"/>
        <v>0.05</v>
      </c>
      <c r="I32" s="60">
        <f t="shared" si="2"/>
        <v>0.05</v>
      </c>
      <c r="J32" s="60">
        <f t="shared" si="2"/>
        <v>0.05</v>
      </c>
      <c r="K32" s="60">
        <f t="shared" si="2"/>
        <v>0.05</v>
      </c>
      <c r="L32" s="60">
        <f t="shared" si="2"/>
        <v>0.05</v>
      </c>
      <c r="M32" s="60">
        <f t="shared" si="2"/>
        <v>0.05</v>
      </c>
      <c r="N32" s="60">
        <f t="shared" si="2"/>
        <v>0.05</v>
      </c>
      <c r="O32" s="60">
        <f t="shared" si="2"/>
        <v>0.05</v>
      </c>
    </row>
    <row r="33" spans="2:15" ht="15.75" customHeight="1" x14ac:dyDescent="0.25">
      <c r="B33" s="5" t="s">
        <v>182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185</v>
      </c>
      <c r="C34" s="60">
        <f t="shared" ref="C34:O34" si="3">frac_malaria_risk</f>
        <v>0.73</v>
      </c>
      <c r="D34" s="60">
        <f t="shared" si="3"/>
        <v>0.73</v>
      </c>
      <c r="E34" s="60">
        <f t="shared" si="3"/>
        <v>0.73</v>
      </c>
      <c r="F34" s="60">
        <f t="shared" si="3"/>
        <v>0.73</v>
      </c>
      <c r="G34" s="60">
        <f t="shared" si="3"/>
        <v>0.73</v>
      </c>
      <c r="H34" s="60">
        <f t="shared" si="3"/>
        <v>0.73</v>
      </c>
      <c r="I34" s="60">
        <f t="shared" si="3"/>
        <v>0.73</v>
      </c>
      <c r="J34" s="60">
        <f t="shared" si="3"/>
        <v>0.73</v>
      </c>
      <c r="K34" s="60">
        <f t="shared" si="3"/>
        <v>0.73</v>
      </c>
      <c r="L34" s="60">
        <f t="shared" si="3"/>
        <v>0.73</v>
      </c>
      <c r="M34" s="60">
        <f t="shared" si="3"/>
        <v>0.73</v>
      </c>
      <c r="N34" s="60">
        <f t="shared" si="3"/>
        <v>0.73</v>
      </c>
      <c r="O34" s="60">
        <f t="shared" si="3"/>
        <v>0.73</v>
      </c>
    </row>
    <row r="35" spans="2:15" ht="15.75" customHeight="1" x14ac:dyDescent="0.25">
      <c r="B35" s="9" t="s">
        <v>194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195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196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197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198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c/rGyVZgGkhUAqOYeQhEdKJohJnZwMlPtVcOZvPWAG/LEg5Gne9k7nZtnui0huHfripADE6dYtqDmtQbZr0eCA==" saltValue="B8YmPLaFBUBxrPCcmxl/Fg==" spinCount="100000" sheet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167</v>
      </c>
    </row>
    <row r="2" spans="1:1" x14ac:dyDescent="0.25">
      <c r="A2" s="8" t="s">
        <v>209</v>
      </c>
    </row>
    <row r="3" spans="1:1" x14ac:dyDescent="0.25">
      <c r="A3" s="8" t="s">
        <v>210</v>
      </c>
    </row>
    <row r="4" spans="1:1" x14ac:dyDescent="0.25">
      <c r="A4" s="8" t="s">
        <v>211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6" width="11.453125" style="8" customWidth="1"/>
    <col min="7" max="16384" width="11.453125" style="8"/>
  </cols>
  <sheetData>
    <row r="1" spans="1:5" ht="13" customHeight="1" x14ac:dyDescent="0.3">
      <c r="A1" s="4" t="s">
        <v>212</v>
      </c>
      <c r="B1" s="4" t="s">
        <v>213</v>
      </c>
      <c r="C1" s="4" t="s">
        <v>214</v>
      </c>
      <c r="D1" s="4" t="s">
        <v>136</v>
      </c>
      <c r="E1" s="4" t="s">
        <v>215</v>
      </c>
    </row>
    <row r="2" spans="1:5" ht="14" customHeight="1" x14ac:dyDescent="0.3">
      <c r="A2" s="28" t="s">
        <v>216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217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218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219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220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221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222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223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224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0" tint="-0.249977111117893"/>
  </sheetPr>
  <dimension ref="A1:P42"/>
  <sheetViews>
    <sheetView topLeftCell="A16" workbookViewId="0">
      <selection activeCell="A12" sqref="A12:XFD12"/>
    </sheetView>
  </sheetViews>
  <sheetFormatPr defaultColWidth="16.08984375" defaultRowHeight="15.75" customHeight="1" x14ac:dyDescent="0.35"/>
  <cols>
    <col min="1" max="1" width="22.179687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6" width="16.08984375" style="37" customWidth="1"/>
    <col min="17" max="16384" width="16.08984375" style="37"/>
  </cols>
  <sheetData>
    <row r="1" spans="1:15" ht="15.75" customHeight="1" x14ac:dyDescent="0.35">
      <c r="A1" s="4" t="s">
        <v>206</v>
      </c>
      <c r="B1" s="1" t="s">
        <v>156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5">
      <c r="A2" s="4" t="s">
        <v>76</v>
      </c>
      <c r="B2" s="5" t="s">
        <v>169</v>
      </c>
      <c r="C2" s="87">
        <v>0</v>
      </c>
      <c r="D2" s="87">
        <v>1</v>
      </c>
      <c r="E2" s="87">
        <v>1</v>
      </c>
      <c r="F2" s="87">
        <v>1</v>
      </c>
      <c r="G2" s="87">
        <v>1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170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148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151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152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183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184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188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190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191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192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157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193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199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200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90</v>
      </c>
      <c r="B18" s="5" t="s">
        <v>166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168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179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180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181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186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187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189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" customHeight="1" x14ac:dyDescent="0.35">
      <c r="A27" s="4" t="s">
        <v>207</v>
      </c>
      <c r="B27" s="5" t="s">
        <v>171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175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176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177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178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208</v>
      </c>
      <c r="B33" s="5" t="s">
        <v>172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173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174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182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185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194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195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196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197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198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/iNx8XhXnh7Xx3uVehiCurwu84DzhXX8Awjv5OnRpydvMo//nxQizpEy+BvB5S3dYPWZ66+QPd4XSBmiXvnjlw==" saltValue="ZzUL++HyQF3FaTSDA9XqUQ==" spinCount="100000" sheet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0" tint="-0.249977111117893"/>
  </sheetPr>
  <dimension ref="A1:K39"/>
  <sheetViews>
    <sheetView workbookViewId="0">
      <selection activeCell="D14" sqref="D14"/>
    </sheetView>
  </sheetViews>
  <sheetFormatPr defaultColWidth="12.81640625" defaultRowHeight="12.5" x14ac:dyDescent="0.25"/>
  <cols>
    <col min="1" max="1" width="58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156</v>
      </c>
      <c r="B1" s="8" t="s">
        <v>225</v>
      </c>
      <c r="C1" s="8" t="s">
        <v>111</v>
      </c>
      <c r="D1" s="8" t="s">
        <v>226</v>
      </c>
      <c r="E1" s="8" t="s">
        <v>227</v>
      </c>
      <c r="F1" s="8" t="s">
        <v>118</v>
      </c>
      <c r="G1" s="8" t="s">
        <v>81</v>
      </c>
      <c r="H1" s="8" t="s">
        <v>32</v>
      </c>
      <c r="I1" s="8" t="s">
        <v>228</v>
      </c>
      <c r="J1" s="8" t="s">
        <v>25</v>
      </c>
      <c r="K1" s="8" t="s">
        <v>229</v>
      </c>
    </row>
    <row r="2" spans="1:11" x14ac:dyDescent="0.25">
      <c r="A2" s="5" t="s">
        <v>166</v>
      </c>
      <c r="B2" s="87"/>
      <c r="C2" s="87"/>
      <c r="D2" s="87"/>
      <c r="E2" s="87"/>
      <c r="F2" s="87"/>
      <c r="G2" s="87"/>
      <c r="H2" s="87"/>
      <c r="I2" s="87" t="s">
        <v>149</v>
      </c>
      <c r="J2" s="87"/>
      <c r="K2" s="87"/>
    </row>
    <row r="3" spans="1:11" x14ac:dyDescent="0.25">
      <c r="A3" s="5" t="s">
        <v>168</v>
      </c>
      <c r="B3" s="87"/>
      <c r="C3" s="87"/>
      <c r="D3" s="87"/>
      <c r="E3" s="87"/>
      <c r="F3" s="87"/>
      <c r="G3" s="87"/>
      <c r="H3" s="87" t="s">
        <v>149</v>
      </c>
      <c r="I3" s="87"/>
      <c r="J3" s="87"/>
      <c r="K3" s="87"/>
    </row>
    <row r="4" spans="1:11" x14ac:dyDescent="0.25">
      <c r="A4" s="5" t="s">
        <v>169</v>
      </c>
      <c r="B4" s="87"/>
      <c r="C4" s="87"/>
      <c r="D4" s="87" t="s">
        <v>149</v>
      </c>
      <c r="E4" s="87"/>
      <c r="F4" s="87"/>
      <c r="G4" s="87"/>
      <c r="H4" s="87"/>
      <c r="I4" s="87"/>
      <c r="J4" s="87"/>
      <c r="K4" s="87"/>
    </row>
    <row r="5" spans="1:11" x14ac:dyDescent="0.25">
      <c r="A5" s="5" t="s">
        <v>170</v>
      </c>
      <c r="B5" s="87"/>
      <c r="C5" s="87" t="s">
        <v>149</v>
      </c>
      <c r="D5" s="87"/>
      <c r="E5" s="87"/>
      <c r="F5" s="87"/>
      <c r="G5" s="87"/>
      <c r="H5" s="87"/>
      <c r="I5" s="87"/>
      <c r="J5" s="87"/>
      <c r="K5" s="87"/>
    </row>
    <row r="6" spans="1:11" x14ac:dyDescent="0.25">
      <c r="A6" s="5" t="s">
        <v>171</v>
      </c>
      <c r="B6" s="87"/>
      <c r="C6" s="87"/>
      <c r="D6" s="87"/>
      <c r="E6" s="87"/>
      <c r="F6" s="87"/>
      <c r="G6" s="87"/>
      <c r="H6" s="87"/>
      <c r="I6" s="87"/>
      <c r="J6" s="87" t="s">
        <v>149</v>
      </c>
      <c r="K6" s="87" t="s">
        <v>149</v>
      </c>
    </row>
    <row r="7" spans="1:11" x14ac:dyDescent="0.25">
      <c r="A7" s="5" t="s">
        <v>172</v>
      </c>
      <c r="B7" s="87"/>
      <c r="C7" s="87" t="s">
        <v>149</v>
      </c>
      <c r="D7" s="87"/>
      <c r="E7" s="87"/>
      <c r="F7" s="87"/>
      <c r="G7" s="87"/>
      <c r="H7" s="87" t="s">
        <v>149</v>
      </c>
      <c r="I7" s="87"/>
      <c r="J7" s="87"/>
      <c r="K7" s="87"/>
    </row>
    <row r="8" spans="1:11" x14ac:dyDescent="0.25">
      <c r="A8" s="5" t="s">
        <v>173</v>
      </c>
      <c r="B8" s="87"/>
      <c r="C8" s="87" t="s">
        <v>149</v>
      </c>
      <c r="D8" s="87"/>
      <c r="E8" s="87"/>
      <c r="F8" s="87"/>
      <c r="G8" s="87"/>
      <c r="H8" s="87" t="s">
        <v>149</v>
      </c>
      <c r="I8" s="87"/>
      <c r="J8" s="87"/>
      <c r="K8" s="87"/>
    </row>
    <row r="9" spans="1:11" x14ac:dyDescent="0.25">
      <c r="A9" s="5" t="s">
        <v>174</v>
      </c>
      <c r="B9" s="87"/>
      <c r="C9" s="87" t="s">
        <v>149</v>
      </c>
      <c r="D9" s="87"/>
      <c r="E9" s="87"/>
      <c r="F9" s="87"/>
      <c r="G9" s="87"/>
      <c r="H9" s="87" t="s">
        <v>149</v>
      </c>
      <c r="I9" s="87"/>
      <c r="J9" s="87"/>
      <c r="K9" s="87"/>
    </row>
    <row r="10" spans="1:11" x14ac:dyDescent="0.25">
      <c r="A10" s="11" t="s">
        <v>175</v>
      </c>
      <c r="B10" s="87"/>
      <c r="C10" s="87" t="s">
        <v>149</v>
      </c>
      <c r="D10" s="87"/>
      <c r="E10" s="87"/>
      <c r="F10" s="87"/>
      <c r="G10" s="87"/>
      <c r="H10" s="87"/>
      <c r="I10" s="87"/>
      <c r="J10" s="87"/>
      <c r="K10" s="87"/>
    </row>
    <row r="11" spans="1:11" x14ac:dyDescent="0.25">
      <c r="A11" s="11" t="s">
        <v>176</v>
      </c>
      <c r="B11" s="87"/>
      <c r="C11" s="87" t="s">
        <v>149</v>
      </c>
      <c r="D11" s="87"/>
      <c r="E11" s="87"/>
      <c r="F11" s="87"/>
      <c r="G11" s="87"/>
      <c r="H11" s="87"/>
      <c r="I11" s="87"/>
      <c r="J11" s="87"/>
      <c r="K11" s="87"/>
    </row>
    <row r="12" spans="1:11" x14ac:dyDescent="0.25">
      <c r="A12" s="11" t="s">
        <v>177</v>
      </c>
      <c r="B12" s="87"/>
      <c r="C12" s="87" t="s">
        <v>149</v>
      </c>
      <c r="D12" s="87"/>
      <c r="E12" s="87"/>
      <c r="F12" s="87"/>
      <c r="G12" s="87"/>
      <c r="H12" s="87"/>
      <c r="I12" s="87"/>
      <c r="J12" s="87"/>
      <c r="K12" s="87"/>
    </row>
    <row r="13" spans="1:11" x14ac:dyDescent="0.25">
      <c r="A13" s="11" t="s">
        <v>178</v>
      </c>
      <c r="B13" s="87"/>
      <c r="C13" s="87" t="s">
        <v>149</v>
      </c>
      <c r="D13" s="87"/>
      <c r="E13" s="87"/>
      <c r="F13" s="87"/>
      <c r="G13" s="87"/>
      <c r="H13" s="87"/>
      <c r="I13" s="87"/>
      <c r="J13" s="87"/>
      <c r="K13" s="87"/>
    </row>
    <row r="14" spans="1:11" x14ac:dyDescent="0.25">
      <c r="A14" s="5" t="s">
        <v>179</v>
      </c>
      <c r="B14" s="87"/>
      <c r="C14" s="87" t="s">
        <v>149</v>
      </c>
      <c r="D14" s="87"/>
      <c r="E14" s="87"/>
      <c r="F14" s="87"/>
      <c r="G14" s="87"/>
      <c r="H14" s="87"/>
      <c r="I14" s="87" t="s">
        <v>149</v>
      </c>
      <c r="J14" s="87"/>
      <c r="K14" s="87"/>
    </row>
    <row r="15" spans="1:11" x14ac:dyDescent="0.25">
      <c r="A15" s="5" t="s">
        <v>180</v>
      </c>
      <c r="B15" s="87"/>
      <c r="C15" s="87" t="s">
        <v>149</v>
      </c>
      <c r="D15" s="87"/>
      <c r="E15" s="87"/>
      <c r="F15" s="87"/>
      <c r="G15" s="87"/>
      <c r="H15" s="87"/>
      <c r="I15" s="87" t="s">
        <v>149</v>
      </c>
      <c r="J15" s="87"/>
      <c r="K15" s="87"/>
    </row>
    <row r="16" spans="1:11" x14ac:dyDescent="0.25">
      <c r="A16" s="5" t="s">
        <v>181</v>
      </c>
      <c r="B16" s="87"/>
      <c r="C16" s="87" t="s">
        <v>149</v>
      </c>
      <c r="D16" s="87"/>
      <c r="E16" s="87"/>
      <c r="F16" s="87"/>
      <c r="G16" s="87"/>
      <c r="H16" s="87" t="s">
        <v>149</v>
      </c>
      <c r="I16" s="87" t="s">
        <v>149</v>
      </c>
      <c r="J16" s="87"/>
      <c r="K16" s="87"/>
    </row>
    <row r="17" spans="1:11" x14ac:dyDescent="0.25">
      <c r="A17" s="5" t="s">
        <v>182</v>
      </c>
      <c r="B17" s="87"/>
      <c r="C17" s="87" t="s">
        <v>149</v>
      </c>
      <c r="D17" s="87"/>
      <c r="E17" s="87"/>
      <c r="F17" s="87"/>
      <c r="G17" s="87"/>
      <c r="H17" s="87"/>
      <c r="I17" s="87"/>
      <c r="J17" s="87"/>
      <c r="K17" s="87"/>
    </row>
    <row r="18" spans="1:11" x14ac:dyDescent="0.25">
      <c r="A18" s="5" t="s">
        <v>148</v>
      </c>
      <c r="B18" s="87" t="s">
        <v>149</v>
      </c>
      <c r="C18" s="87"/>
      <c r="D18" s="87"/>
      <c r="E18" s="87"/>
      <c r="F18" s="87" t="s">
        <v>149</v>
      </c>
      <c r="G18" s="87"/>
      <c r="H18" s="87"/>
      <c r="I18" s="87"/>
      <c r="J18" s="87"/>
      <c r="K18" s="87"/>
    </row>
    <row r="19" spans="1:11" x14ac:dyDescent="0.25">
      <c r="A19" s="5" t="s">
        <v>151</v>
      </c>
      <c r="B19" s="87" t="s">
        <v>149</v>
      </c>
      <c r="C19" s="87"/>
      <c r="D19" s="87"/>
      <c r="E19" s="87"/>
      <c r="F19" s="87" t="s">
        <v>149</v>
      </c>
      <c r="G19" s="87"/>
      <c r="H19" s="87"/>
      <c r="I19" s="87"/>
      <c r="J19" s="87"/>
      <c r="K19" s="87"/>
    </row>
    <row r="20" spans="1:11" x14ac:dyDescent="0.25">
      <c r="A20" s="5" t="s">
        <v>152</v>
      </c>
      <c r="B20" s="87" t="s">
        <v>149</v>
      </c>
      <c r="C20" s="87"/>
      <c r="D20" s="87"/>
      <c r="E20" s="87"/>
      <c r="F20" s="87" t="s">
        <v>149</v>
      </c>
      <c r="G20" s="87"/>
      <c r="H20" s="87"/>
      <c r="I20" s="87"/>
      <c r="J20" s="87"/>
      <c r="K20" s="87"/>
    </row>
    <row r="21" spans="1:11" x14ac:dyDescent="0.25">
      <c r="A21" s="5" t="s">
        <v>183</v>
      </c>
      <c r="B21" s="87"/>
      <c r="C21" s="87"/>
      <c r="D21" s="87"/>
      <c r="E21" s="87"/>
      <c r="F21" s="87"/>
      <c r="G21" s="87"/>
      <c r="H21" s="87" t="s">
        <v>149</v>
      </c>
      <c r="I21" s="87" t="s">
        <v>149</v>
      </c>
      <c r="J21" s="87"/>
      <c r="K21" s="87"/>
    </row>
    <row r="22" spans="1:11" x14ac:dyDescent="0.25">
      <c r="A22" s="5" t="s">
        <v>184</v>
      </c>
      <c r="B22" s="87" t="s">
        <v>149</v>
      </c>
      <c r="C22" s="87" t="s">
        <v>149</v>
      </c>
      <c r="D22" s="87" t="s">
        <v>149</v>
      </c>
      <c r="E22" s="87"/>
      <c r="F22" s="87"/>
      <c r="G22" s="87"/>
      <c r="H22" s="87"/>
      <c r="I22" s="87"/>
      <c r="J22" s="87"/>
      <c r="K22" s="87"/>
    </row>
    <row r="23" spans="1:11" x14ac:dyDescent="0.25">
      <c r="A23" s="5" t="s">
        <v>185</v>
      </c>
      <c r="B23" s="87"/>
      <c r="C23" s="87" t="s">
        <v>149</v>
      </c>
      <c r="D23" s="87"/>
      <c r="E23" s="87"/>
      <c r="F23" s="87"/>
      <c r="G23" s="87"/>
      <c r="H23" s="87"/>
      <c r="I23" s="87" t="s">
        <v>149</v>
      </c>
      <c r="J23" s="87"/>
      <c r="K23" s="87"/>
    </row>
    <row r="24" spans="1:11" x14ac:dyDescent="0.25">
      <c r="A24" s="5" t="s">
        <v>186</v>
      </c>
      <c r="B24" s="87"/>
      <c r="C24" s="87"/>
      <c r="D24" s="87"/>
      <c r="E24" s="87"/>
      <c r="F24" s="87"/>
      <c r="G24" s="87"/>
      <c r="H24" s="87" t="s">
        <v>149</v>
      </c>
      <c r="I24" s="87"/>
      <c r="J24" s="87"/>
      <c r="K24" s="87"/>
    </row>
    <row r="25" spans="1:11" x14ac:dyDescent="0.25">
      <c r="A25" s="5" t="s">
        <v>187</v>
      </c>
      <c r="B25" s="87"/>
      <c r="C25" s="87"/>
      <c r="D25" s="87"/>
      <c r="E25" s="87"/>
      <c r="F25" s="87"/>
      <c r="G25" s="87"/>
      <c r="H25" s="87" t="s">
        <v>149</v>
      </c>
      <c r="I25" s="87"/>
      <c r="J25" s="87"/>
      <c r="K25" s="87"/>
    </row>
    <row r="26" spans="1:11" x14ac:dyDescent="0.25">
      <c r="A26" s="5" t="s">
        <v>188</v>
      </c>
      <c r="B26" s="87"/>
      <c r="C26" s="87" t="s">
        <v>149</v>
      </c>
      <c r="D26" s="87"/>
      <c r="E26" s="87"/>
      <c r="F26" s="87"/>
      <c r="G26" s="87"/>
      <c r="H26" s="87"/>
      <c r="I26" s="87"/>
      <c r="J26" s="87"/>
      <c r="K26" s="87"/>
    </row>
    <row r="27" spans="1:11" x14ac:dyDescent="0.25">
      <c r="A27" s="5" t="s">
        <v>189</v>
      </c>
      <c r="B27" s="87"/>
      <c r="C27" s="87" t="s">
        <v>149</v>
      </c>
      <c r="D27" s="87"/>
      <c r="E27" s="87"/>
      <c r="F27" s="87"/>
      <c r="G27" s="87"/>
      <c r="H27" s="87"/>
      <c r="I27" s="87" t="s">
        <v>149</v>
      </c>
      <c r="J27" s="87"/>
      <c r="K27" s="87"/>
    </row>
    <row r="28" spans="1:11" x14ac:dyDescent="0.25">
      <c r="A28" s="5" t="s">
        <v>190</v>
      </c>
      <c r="B28" s="87"/>
      <c r="C28" s="87"/>
      <c r="D28" s="87"/>
      <c r="E28" s="87"/>
      <c r="F28" s="87"/>
      <c r="G28" s="87"/>
      <c r="H28" s="87" t="s">
        <v>149</v>
      </c>
      <c r="I28" s="87"/>
      <c r="J28" s="87"/>
      <c r="K28" s="87"/>
    </row>
    <row r="29" spans="1:11" x14ac:dyDescent="0.25">
      <c r="A29" s="5" t="s">
        <v>191</v>
      </c>
      <c r="B29" s="87" t="s">
        <v>149</v>
      </c>
      <c r="C29" s="87"/>
      <c r="D29" s="87" t="s">
        <v>149</v>
      </c>
      <c r="E29" s="87"/>
      <c r="F29" s="87"/>
      <c r="G29" s="87"/>
      <c r="H29" s="87"/>
      <c r="I29" s="87"/>
      <c r="J29" s="87"/>
      <c r="K29" s="87"/>
    </row>
    <row r="30" spans="1:11" x14ac:dyDescent="0.25">
      <c r="A30" s="5" t="s">
        <v>192</v>
      </c>
      <c r="B30" s="87" t="s">
        <v>149</v>
      </c>
      <c r="C30" s="87" t="s">
        <v>149</v>
      </c>
      <c r="D30" s="87" t="s">
        <v>149</v>
      </c>
      <c r="E30" s="87"/>
      <c r="F30" s="87"/>
      <c r="G30" s="87"/>
      <c r="H30" s="87"/>
      <c r="I30" s="87"/>
      <c r="J30" s="87"/>
      <c r="K30" s="87"/>
    </row>
    <row r="31" spans="1:11" x14ac:dyDescent="0.25">
      <c r="A31" s="5" t="s">
        <v>157</v>
      </c>
      <c r="B31" s="87"/>
      <c r="C31" s="87"/>
      <c r="D31" s="87"/>
      <c r="E31" s="87" t="s">
        <v>149</v>
      </c>
      <c r="F31" s="87"/>
      <c r="G31" s="87"/>
      <c r="H31" s="87"/>
      <c r="I31" s="87"/>
      <c r="J31" s="87"/>
      <c r="K31" s="87"/>
    </row>
    <row r="32" spans="1:11" x14ac:dyDescent="0.25">
      <c r="A32" s="5" t="s">
        <v>193</v>
      </c>
      <c r="B32" s="87"/>
      <c r="C32" s="87"/>
      <c r="D32" s="87"/>
      <c r="E32" s="87"/>
      <c r="F32" s="87"/>
      <c r="G32" s="87" t="s">
        <v>149</v>
      </c>
      <c r="H32" s="87" t="s">
        <v>149</v>
      </c>
      <c r="I32" s="87"/>
      <c r="J32" s="87"/>
      <c r="K32" s="87"/>
    </row>
    <row r="33" spans="1:11" x14ac:dyDescent="0.25">
      <c r="A33" s="5" t="s">
        <v>194</v>
      </c>
      <c r="B33" s="87"/>
      <c r="C33" s="87"/>
      <c r="D33" s="87"/>
      <c r="E33" s="87"/>
      <c r="F33" s="87"/>
      <c r="G33" s="87" t="s">
        <v>149</v>
      </c>
      <c r="H33" s="87" t="s">
        <v>149</v>
      </c>
      <c r="I33" s="87"/>
      <c r="J33" s="87"/>
      <c r="K33" s="87"/>
    </row>
    <row r="34" spans="1:11" x14ac:dyDescent="0.25">
      <c r="A34" s="5" t="s">
        <v>195</v>
      </c>
      <c r="B34" s="87"/>
      <c r="C34" s="87"/>
      <c r="D34" s="87"/>
      <c r="E34" s="87"/>
      <c r="F34" s="87"/>
      <c r="G34" s="87" t="s">
        <v>149</v>
      </c>
      <c r="H34" s="87" t="s">
        <v>149</v>
      </c>
      <c r="I34" s="87"/>
      <c r="J34" s="87"/>
      <c r="K34" s="87"/>
    </row>
    <row r="35" spans="1:11" x14ac:dyDescent="0.25">
      <c r="A35" s="5" t="s">
        <v>196</v>
      </c>
      <c r="B35" s="87"/>
      <c r="C35" s="87"/>
      <c r="D35" s="87"/>
      <c r="E35" s="87"/>
      <c r="F35" s="87"/>
      <c r="G35" s="87" t="s">
        <v>149</v>
      </c>
      <c r="H35" s="87" t="s">
        <v>149</v>
      </c>
      <c r="I35" s="87"/>
      <c r="J35" s="87"/>
      <c r="K35" s="87"/>
    </row>
    <row r="36" spans="1:11" x14ac:dyDescent="0.25">
      <c r="A36" s="5" t="s">
        <v>197</v>
      </c>
      <c r="B36" s="87"/>
      <c r="C36" s="87"/>
      <c r="D36" s="87"/>
      <c r="E36" s="87"/>
      <c r="F36" s="87"/>
      <c r="G36" s="87" t="s">
        <v>149</v>
      </c>
      <c r="H36" s="87" t="s">
        <v>149</v>
      </c>
      <c r="I36" s="87"/>
      <c r="J36" s="87"/>
      <c r="K36" s="87"/>
    </row>
    <row r="37" spans="1:11" x14ac:dyDescent="0.25">
      <c r="A37" s="5" t="s">
        <v>198</v>
      </c>
      <c r="B37" s="87"/>
      <c r="C37" s="87"/>
      <c r="D37" s="87"/>
      <c r="E37" s="87"/>
      <c r="F37" s="87"/>
      <c r="G37" s="87" t="s">
        <v>149</v>
      </c>
      <c r="H37" s="87" t="s">
        <v>149</v>
      </c>
      <c r="I37" s="87"/>
      <c r="J37" s="87"/>
      <c r="K37" s="87"/>
    </row>
    <row r="38" spans="1:11" x14ac:dyDescent="0.25">
      <c r="A38" s="5" t="s">
        <v>199</v>
      </c>
      <c r="B38" s="87"/>
      <c r="C38" s="87"/>
      <c r="D38" s="87"/>
      <c r="E38" s="87"/>
      <c r="F38" s="87"/>
      <c r="G38" s="87"/>
      <c r="H38" s="87" t="s">
        <v>149</v>
      </c>
      <c r="I38" s="87"/>
      <c r="J38" s="87"/>
      <c r="K38" s="87"/>
    </row>
    <row r="39" spans="1:11" x14ac:dyDescent="0.25">
      <c r="A39" s="5" t="s">
        <v>200</v>
      </c>
      <c r="B39" s="87" t="s">
        <v>149</v>
      </c>
      <c r="C39" s="87"/>
      <c r="D39" s="87"/>
      <c r="E39" s="87"/>
      <c r="F39" s="87"/>
      <c r="G39" s="87" t="s">
        <v>149</v>
      </c>
      <c r="H39" s="87" t="s">
        <v>149</v>
      </c>
      <c r="I39" s="87"/>
      <c r="J39" s="87"/>
      <c r="K39" s="87"/>
    </row>
  </sheetData>
  <sheetProtection algorithmName="SHA-512" hashValue="IvQDIxW99fzq1Zy0EhkbKUzL+Oo6JppYFJRusT7f1RK58axANCQbQrXBA4I5Zda1hiQSlfJ6FnKfxlkgJRWRpg==" saltValue="tOfPnYqP3Wy6+yrctBxWkQ==" spinCount="100000" sheet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0" tint="-0.249977111117893"/>
  </sheetPr>
  <dimension ref="A1:K14"/>
  <sheetViews>
    <sheetView workbookViewId="0">
      <selection activeCell="F8" sqref="F8"/>
    </sheetView>
  </sheetViews>
  <sheetFormatPr defaultColWidth="12.81640625" defaultRowHeight="12.5" x14ac:dyDescent="0.25"/>
  <cols>
    <col min="1" max="1" width="16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230</v>
      </c>
      <c r="B1" s="8" t="s">
        <v>225</v>
      </c>
      <c r="C1" s="8" t="s">
        <v>111</v>
      </c>
      <c r="D1" s="8" t="s">
        <v>226</v>
      </c>
      <c r="E1" s="8" t="s">
        <v>227</v>
      </c>
      <c r="F1" s="8" t="s">
        <v>118</v>
      </c>
      <c r="G1" s="8" t="s">
        <v>81</v>
      </c>
      <c r="H1" s="8" t="s">
        <v>32</v>
      </c>
      <c r="I1" s="8" t="s">
        <v>228</v>
      </c>
      <c r="J1" s="8" t="s">
        <v>25</v>
      </c>
      <c r="K1" s="8" t="s">
        <v>229</v>
      </c>
    </row>
    <row r="2" spans="1:11" x14ac:dyDescent="0.25">
      <c r="A2" s="8" t="s">
        <v>67</v>
      </c>
      <c r="B2" s="87" t="s">
        <v>149</v>
      </c>
      <c r="C2" s="87" t="s">
        <v>149</v>
      </c>
      <c r="D2" s="87" t="s">
        <v>149</v>
      </c>
      <c r="E2" s="87" t="s">
        <v>149</v>
      </c>
      <c r="F2" s="87" t="s">
        <v>149</v>
      </c>
      <c r="G2" s="87" t="s">
        <v>149</v>
      </c>
      <c r="H2" s="87" t="s">
        <v>149</v>
      </c>
      <c r="I2" s="87"/>
      <c r="J2" s="87"/>
      <c r="K2" s="87"/>
    </row>
    <row r="3" spans="1:11" x14ac:dyDescent="0.25">
      <c r="A3" s="8" t="s">
        <v>77</v>
      </c>
      <c r="B3" s="87" t="s">
        <v>149</v>
      </c>
      <c r="C3" s="87" t="s">
        <v>149</v>
      </c>
      <c r="D3" s="87" t="s">
        <v>149</v>
      </c>
      <c r="E3" s="87" t="s">
        <v>149</v>
      </c>
      <c r="F3" s="87" t="s">
        <v>149</v>
      </c>
      <c r="G3" s="87" t="s">
        <v>149</v>
      </c>
      <c r="H3" s="87" t="s">
        <v>149</v>
      </c>
      <c r="I3" s="87"/>
      <c r="J3" s="87"/>
      <c r="K3" s="87"/>
    </row>
    <row r="4" spans="1:11" x14ac:dyDescent="0.25">
      <c r="A4" s="8" t="s">
        <v>78</v>
      </c>
      <c r="B4" s="87" t="s">
        <v>149</v>
      </c>
      <c r="C4" s="87" t="s">
        <v>149</v>
      </c>
      <c r="D4" s="87" t="s">
        <v>149</v>
      </c>
      <c r="E4" s="87" t="s">
        <v>149</v>
      </c>
      <c r="F4" s="87" t="s">
        <v>149</v>
      </c>
      <c r="G4" s="87" t="s">
        <v>149</v>
      </c>
      <c r="H4" s="87" t="s">
        <v>149</v>
      </c>
      <c r="I4" s="87"/>
      <c r="J4" s="87"/>
      <c r="K4" s="87"/>
    </row>
    <row r="5" spans="1:11" x14ac:dyDescent="0.25">
      <c r="A5" s="8" t="s">
        <v>79</v>
      </c>
      <c r="B5" s="87" t="s">
        <v>149</v>
      </c>
      <c r="C5" s="87" t="s">
        <v>149</v>
      </c>
      <c r="D5" s="87" t="s">
        <v>149</v>
      </c>
      <c r="E5" s="87" t="s">
        <v>149</v>
      </c>
      <c r="F5" s="87" t="s">
        <v>149</v>
      </c>
      <c r="G5" s="87" t="s">
        <v>149</v>
      </c>
      <c r="H5" s="87" t="s">
        <v>149</v>
      </c>
      <c r="I5" s="87"/>
      <c r="J5" s="87"/>
      <c r="K5" s="87"/>
    </row>
    <row r="6" spans="1:11" x14ac:dyDescent="0.25">
      <c r="A6" s="8" t="s">
        <v>80</v>
      </c>
      <c r="B6" s="87" t="s">
        <v>149</v>
      </c>
      <c r="C6" s="87" t="s">
        <v>149</v>
      </c>
      <c r="D6" s="87" t="s">
        <v>149</v>
      </c>
      <c r="E6" s="87" t="s">
        <v>149</v>
      </c>
      <c r="F6" s="87" t="s">
        <v>149</v>
      </c>
      <c r="G6" s="87" t="s">
        <v>149</v>
      </c>
      <c r="H6" s="87" t="s">
        <v>149</v>
      </c>
      <c r="I6" s="87"/>
      <c r="J6" s="87"/>
      <c r="K6" s="87"/>
    </row>
    <row r="7" spans="1:11" x14ac:dyDescent="0.25">
      <c r="A7" s="8" t="s">
        <v>112</v>
      </c>
      <c r="B7" s="87"/>
      <c r="C7" s="87" t="s">
        <v>149</v>
      </c>
      <c r="D7" s="87"/>
      <c r="E7" s="87"/>
      <c r="F7" s="87"/>
      <c r="G7" s="87"/>
      <c r="H7" s="87" t="s">
        <v>149</v>
      </c>
      <c r="I7" s="87" t="s">
        <v>149</v>
      </c>
      <c r="J7" s="87"/>
      <c r="K7" s="87"/>
    </row>
    <row r="8" spans="1:11" x14ac:dyDescent="0.25">
      <c r="A8" s="8" t="s">
        <v>113</v>
      </c>
      <c r="B8" s="87"/>
      <c r="C8" s="87" t="s">
        <v>149</v>
      </c>
      <c r="D8" s="87"/>
      <c r="E8" s="87"/>
      <c r="F8" s="87"/>
      <c r="G8" s="87"/>
      <c r="H8" s="87" t="s">
        <v>149</v>
      </c>
      <c r="I8" s="87" t="s">
        <v>149</v>
      </c>
      <c r="J8" s="87"/>
      <c r="K8" s="87"/>
    </row>
    <row r="9" spans="1:11" x14ac:dyDescent="0.25">
      <c r="A9" s="8" t="s">
        <v>114</v>
      </c>
      <c r="B9" s="87"/>
      <c r="C9" s="87" t="s">
        <v>149</v>
      </c>
      <c r="D9" s="87"/>
      <c r="E9" s="87"/>
      <c r="F9" s="87"/>
      <c r="G9" s="87"/>
      <c r="H9" s="87" t="s">
        <v>149</v>
      </c>
      <c r="I9" s="87" t="s">
        <v>149</v>
      </c>
      <c r="J9" s="87"/>
      <c r="K9" s="87"/>
    </row>
    <row r="10" spans="1:11" x14ac:dyDescent="0.25">
      <c r="A10" s="8" t="s">
        <v>115</v>
      </c>
      <c r="B10" s="87"/>
      <c r="C10" s="87" t="s">
        <v>149</v>
      </c>
      <c r="D10" s="87"/>
      <c r="E10" s="87"/>
      <c r="F10" s="87"/>
      <c r="G10" s="87"/>
      <c r="H10" s="87" t="s">
        <v>149</v>
      </c>
      <c r="I10" s="87" t="s">
        <v>149</v>
      </c>
      <c r="J10" s="87"/>
      <c r="K10" s="87"/>
    </row>
    <row r="11" spans="1:11" x14ac:dyDescent="0.25">
      <c r="A11" s="8" t="s">
        <v>58</v>
      </c>
      <c r="B11" s="87"/>
      <c r="C11" s="87" t="s">
        <v>149</v>
      </c>
      <c r="D11" s="87"/>
      <c r="E11" s="87"/>
      <c r="F11" s="87"/>
      <c r="G11" s="87"/>
      <c r="H11" s="87"/>
      <c r="I11" s="87"/>
      <c r="J11" s="87" t="s">
        <v>149</v>
      </c>
      <c r="K11" s="87" t="s">
        <v>149</v>
      </c>
    </row>
    <row r="12" spans="1:11" x14ac:dyDescent="0.25">
      <c r="A12" s="8" t="s">
        <v>59</v>
      </c>
      <c r="B12" s="87"/>
      <c r="C12" s="87" t="s">
        <v>149</v>
      </c>
      <c r="D12" s="87"/>
      <c r="E12" s="87"/>
      <c r="F12" s="87"/>
      <c r="G12" s="87"/>
      <c r="H12" s="87"/>
      <c r="I12" s="87"/>
      <c r="J12" s="87"/>
      <c r="K12" s="87" t="s">
        <v>149</v>
      </c>
    </row>
    <row r="13" spans="1:11" x14ac:dyDescent="0.25">
      <c r="A13" s="8" t="s">
        <v>60</v>
      </c>
      <c r="B13" s="87"/>
      <c r="C13" s="87" t="s">
        <v>149</v>
      </c>
      <c r="D13" s="87"/>
      <c r="E13" s="87"/>
      <c r="F13" s="87"/>
      <c r="G13" s="87"/>
      <c r="H13" s="87"/>
      <c r="I13" s="87"/>
      <c r="J13" s="87"/>
      <c r="K13" s="87" t="s">
        <v>149</v>
      </c>
    </row>
    <row r="14" spans="1:11" x14ac:dyDescent="0.25">
      <c r="A14" s="8" t="s">
        <v>61</v>
      </c>
      <c r="B14" s="87"/>
      <c r="C14" s="87" t="s">
        <v>149</v>
      </c>
      <c r="D14" s="87"/>
      <c r="E14" s="87"/>
      <c r="F14" s="87"/>
      <c r="G14" s="87"/>
      <c r="H14" s="87"/>
      <c r="I14" s="87"/>
      <c r="J14" s="87"/>
      <c r="K14" s="87" t="s">
        <v>149</v>
      </c>
    </row>
  </sheetData>
  <sheetProtection algorithmName="SHA-512" hashValue="9wIG9Gim71KVsT3md4UjHKWLN/dmVTAHDAhRa4jGvwy4VGKHj7mGyWZMKQgGvDCmZmlmSsHFRHQVC+GKpvnATg==" saltValue="lgc1Xvk31gXE9M1YSAdFWQ==" spinCount="100000" sheet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0" tint="-0.249977111117893"/>
  </sheetPr>
  <dimension ref="A1:J157"/>
  <sheetViews>
    <sheetView zoomScale="85" zoomScaleNormal="85" workbookViewId="0">
      <selection activeCell="D5" sqref="D5"/>
    </sheetView>
  </sheetViews>
  <sheetFormatPr defaultColWidth="12.816406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4" width="12.81640625" style="8" customWidth="1"/>
    <col min="5" max="16384" width="12.81640625" style="8"/>
  </cols>
  <sheetData>
    <row r="1" spans="1:10" ht="13" customHeight="1" x14ac:dyDescent="0.3">
      <c r="A1" s="4" t="s">
        <v>231</v>
      </c>
      <c r="B1" s="4" t="s">
        <v>144</v>
      </c>
      <c r="C1" s="4" t="s">
        <v>159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10" ht="13" customHeight="1" x14ac:dyDescent="0.3">
      <c r="A2" s="4" t="s">
        <v>232</v>
      </c>
      <c r="B2" s="103" t="s">
        <v>90</v>
      </c>
      <c r="C2" s="8" t="s">
        <v>145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04"/>
      <c r="C3" s="8" t="s">
        <v>146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04"/>
      <c r="C4" s="8" t="s">
        <v>147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03" t="s">
        <v>67</v>
      </c>
      <c r="C5" s="8" t="s">
        <v>145</v>
      </c>
      <c r="D5" s="88">
        <v>1.56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04"/>
      <c r="C6" s="8" t="s">
        <v>146</v>
      </c>
      <c r="D6" s="88">
        <v>1.56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04"/>
      <c r="C7" s="8" t="s">
        <v>147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03" t="s">
        <v>77</v>
      </c>
      <c r="C8" s="8" t="s">
        <v>145</v>
      </c>
      <c r="D8" s="88">
        <v>1</v>
      </c>
      <c r="E8" s="88">
        <v>1.56</v>
      </c>
      <c r="F8" s="88">
        <v>1</v>
      </c>
      <c r="G8" s="88">
        <v>1</v>
      </c>
      <c r="H8" s="88">
        <v>1</v>
      </c>
    </row>
    <row r="9" spans="1:10" x14ac:dyDescent="0.25">
      <c r="B9" s="104"/>
      <c r="C9" s="8" t="s">
        <v>146</v>
      </c>
      <c r="D9" s="88">
        <v>1</v>
      </c>
      <c r="E9" s="88">
        <v>1.56</v>
      </c>
      <c r="F9" s="88">
        <v>1</v>
      </c>
      <c r="G9" s="88">
        <v>1</v>
      </c>
      <c r="H9" s="88">
        <v>1</v>
      </c>
    </row>
    <row r="10" spans="1:10" x14ac:dyDescent="0.25">
      <c r="B10" s="104"/>
      <c r="C10" s="8" t="s">
        <v>147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03" t="s">
        <v>78</v>
      </c>
      <c r="C11" s="8" t="s">
        <v>145</v>
      </c>
      <c r="D11" s="88">
        <v>1</v>
      </c>
      <c r="E11" s="88">
        <v>1</v>
      </c>
      <c r="F11" s="88">
        <v>1.73</v>
      </c>
      <c r="G11" s="88">
        <v>1</v>
      </c>
      <c r="H11" s="88">
        <v>1</v>
      </c>
    </row>
    <row r="12" spans="1:10" x14ac:dyDescent="0.25">
      <c r="B12" s="104"/>
      <c r="C12" s="8" t="s">
        <v>146</v>
      </c>
      <c r="D12" s="88">
        <v>1</v>
      </c>
      <c r="E12" s="88">
        <v>1</v>
      </c>
      <c r="F12" s="88">
        <v>1.73</v>
      </c>
      <c r="G12" s="88">
        <v>1</v>
      </c>
      <c r="H12" s="88">
        <v>1</v>
      </c>
    </row>
    <row r="13" spans="1:10" x14ac:dyDescent="0.25">
      <c r="B13" s="104"/>
      <c r="C13" s="8" t="s">
        <v>147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03" t="s">
        <v>79</v>
      </c>
      <c r="C14" s="8" t="s">
        <v>145</v>
      </c>
      <c r="D14" s="88">
        <v>1</v>
      </c>
      <c r="E14" s="88">
        <v>1</v>
      </c>
      <c r="F14" s="88">
        <v>1</v>
      </c>
      <c r="G14" s="88">
        <v>1.73</v>
      </c>
      <c r="H14" s="88">
        <v>1</v>
      </c>
    </row>
    <row r="15" spans="1:10" x14ac:dyDescent="0.25">
      <c r="B15" s="104"/>
      <c r="C15" s="8" t="s">
        <v>146</v>
      </c>
      <c r="D15" s="88">
        <v>1</v>
      </c>
      <c r="E15" s="88">
        <v>1</v>
      </c>
      <c r="F15" s="88">
        <v>1</v>
      </c>
      <c r="G15" s="88">
        <v>1.73</v>
      </c>
      <c r="H15" s="88">
        <v>1</v>
      </c>
    </row>
    <row r="16" spans="1:10" x14ac:dyDescent="0.25">
      <c r="B16" s="104"/>
      <c r="C16" s="8" t="s">
        <v>147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customHeight="1" x14ac:dyDescent="0.25">
      <c r="B17" s="65" t="s">
        <v>150</v>
      </c>
      <c r="C17" s="8" t="s">
        <v>147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customHeight="1" x14ac:dyDescent="0.3">
      <c r="A19" s="4" t="s">
        <v>233</v>
      </c>
      <c r="B19" s="103" t="s">
        <v>90</v>
      </c>
      <c r="C19" s="8" t="s">
        <v>145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04"/>
      <c r="C20" s="8" t="s">
        <v>146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04"/>
      <c r="C21" s="8" t="s">
        <v>147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03" t="s">
        <v>67</v>
      </c>
      <c r="C22" s="8" t="s">
        <v>145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04"/>
      <c r="C23" s="8" t="s">
        <v>146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04"/>
      <c r="C24" s="8" t="s">
        <v>147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03" t="s">
        <v>77</v>
      </c>
      <c r="C25" s="8" t="s">
        <v>145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04"/>
      <c r="C26" s="8" t="s">
        <v>146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04"/>
      <c r="C27" s="8" t="s">
        <v>147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03" t="s">
        <v>78</v>
      </c>
      <c r="C28" s="8" t="s">
        <v>145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04"/>
      <c r="C29" s="8" t="s">
        <v>146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04"/>
      <c r="C30" s="8" t="s">
        <v>147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03" t="s">
        <v>79</v>
      </c>
      <c r="C31" s="8" t="s">
        <v>145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04"/>
      <c r="C32" s="8" t="s">
        <v>146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04"/>
      <c r="C33" s="8" t="s">
        <v>147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customHeight="1" x14ac:dyDescent="0.25">
      <c r="B34" s="65" t="s">
        <v>150</v>
      </c>
      <c r="C34" s="8" t="s">
        <v>147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customHeight="1" x14ac:dyDescent="0.3">
      <c r="A36" s="66" t="s">
        <v>234</v>
      </c>
      <c r="B36" s="103" t="s">
        <v>90</v>
      </c>
      <c r="C36" s="8" t="s">
        <v>145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04"/>
      <c r="C37" s="8" t="s">
        <v>146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04"/>
      <c r="C38" s="8" t="s">
        <v>147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03" t="s">
        <v>67</v>
      </c>
      <c r="C39" s="8" t="s">
        <v>145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04"/>
      <c r="C40" s="8" t="s">
        <v>146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04"/>
      <c r="C41" s="8" t="s">
        <v>147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03" t="s">
        <v>77</v>
      </c>
      <c r="C42" s="8" t="s">
        <v>145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04"/>
      <c r="C43" s="8" t="s">
        <v>146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04"/>
      <c r="C44" s="8" t="s">
        <v>147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03" t="s">
        <v>78</v>
      </c>
      <c r="C45" s="8" t="s">
        <v>145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04"/>
      <c r="C46" s="8" t="s">
        <v>146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04"/>
      <c r="C47" s="8" t="s">
        <v>147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03" t="s">
        <v>79</v>
      </c>
      <c r="C48" s="8" t="s">
        <v>145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04"/>
      <c r="C49" s="8" t="s">
        <v>146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04"/>
      <c r="C50" s="8" t="s">
        <v>147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customHeight="1" x14ac:dyDescent="0.25">
      <c r="B51" s="65" t="s">
        <v>150</v>
      </c>
      <c r="C51" s="8" t="s">
        <v>147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customHeight="1" x14ac:dyDescent="0.3">
      <c r="A53" s="92" t="s">
        <v>235</v>
      </c>
      <c r="B53" s="92"/>
      <c r="C53" s="92"/>
      <c r="D53" s="92"/>
      <c r="E53" s="92"/>
      <c r="F53" s="92"/>
      <c r="G53" s="92"/>
      <c r="H53" s="92"/>
    </row>
    <row r="54" spans="1:8" ht="13" customHeight="1" x14ac:dyDescent="0.3">
      <c r="A54" s="4" t="s">
        <v>231</v>
      </c>
      <c r="B54" s="4" t="s">
        <v>144</v>
      </c>
      <c r="C54" s="4" t="s">
        <v>159</v>
      </c>
      <c r="D54" s="4" t="s">
        <v>67</v>
      </c>
      <c r="E54" s="4" t="s">
        <v>77</v>
      </c>
      <c r="F54" s="4" t="s">
        <v>78</v>
      </c>
      <c r="G54" s="4" t="s">
        <v>79</v>
      </c>
      <c r="H54" s="4" t="s">
        <v>80</v>
      </c>
    </row>
    <row r="55" spans="1:8" ht="13" customHeight="1" x14ac:dyDescent="0.3">
      <c r="A55" s="4" t="s">
        <v>236</v>
      </c>
      <c r="B55" s="103" t="s">
        <v>90</v>
      </c>
      <c r="C55" s="8" t="s">
        <v>145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04"/>
      <c r="C56" s="8" t="s">
        <v>146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04"/>
      <c r="C57" s="8" t="s">
        <v>147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03" t="s">
        <v>67</v>
      </c>
      <c r="C58" s="8" t="s">
        <v>145</v>
      </c>
      <c r="D58" s="88">
        <v>1.37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04"/>
      <c r="C59" s="8" t="s">
        <v>146</v>
      </c>
      <c r="D59" s="88">
        <v>1.37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04"/>
      <c r="C60" s="8" t="s">
        <v>147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03" t="s">
        <v>77</v>
      </c>
      <c r="C61" s="8" t="s">
        <v>145</v>
      </c>
      <c r="D61" s="88">
        <f t="shared" si="2"/>
        <v>1</v>
      </c>
      <c r="E61" s="88">
        <v>1.37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04"/>
      <c r="C62" s="8" t="s">
        <v>146</v>
      </c>
      <c r="D62" s="88">
        <f t="shared" si="2"/>
        <v>1</v>
      </c>
      <c r="E62" s="88">
        <v>1.37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04"/>
      <c r="C63" s="8" t="s">
        <v>147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03" t="s">
        <v>78</v>
      </c>
      <c r="C64" s="8" t="s">
        <v>145</v>
      </c>
      <c r="D64" s="88">
        <f t="shared" si="2"/>
        <v>1</v>
      </c>
      <c r="E64" s="88">
        <f t="shared" si="4"/>
        <v>1</v>
      </c>
      <c r="F64" s="88">
        <v>1.35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04"/>
      <c r="C65" s="8" t="s">
        <v>146</v>
      </c>
      <c r="D65" s="88">
        <f t="shared" si="2"/>
        <v>1</v>
      </c>
      <c r="E65" s="88">
        <f t="shared" si="4"/>
        <v>1</v>
      </c>
      <c r="F65" s="88">
        <v>1.35</v>
      </c>
      <c r="G65" s="88">
        <f t="shared" si="5"/>
        <v>1</v>
      </c>
      <c r="H65" s="88">
        <f t="shared" si="5"/>
        <v>1</v>
      </c>
    </row>
    <row r="66" spans="1:8" x14ac:dyDescent="0.25">
      <c r="B66" s="104"/>
      <c r="C66" s="8" t="s">
        <v>147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03" t="s">
        <v>79</v>
      </c>
      <c r="C67" s="8" t="s">
        <v>145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1.35</v>
      </c>
      <c r="H67" s="88">
        <f>IF(H14=1,1,H14*0.9)</f>
        <v>1</v>
      </c>
    </row>
    <row r="68" spans="1:8" x14ac:dyDescent="0.25">
      <c r="B68" s="104"/>
      <c r="C68" s="8" t="s">
        <v>146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1.35</v>
      </c>
      <c r="H68" s="88">
        <f>IF(H15=1,1,H15*0.9)</f>
        <v>1</v>
      </c>
    </row>
    <row r="69" spans="1:8" x14ac:dyDescent="0.25">
      <c r="B69" s="104"/>
      <c r="C69" s="8" t="s">
        <v>147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customHeight="1" x14ac:dyDescent="0.25">
      <c r="B70" s="65" t="s">
        <v>150</v>
      </c>
      <c r="C70" s="8" t="s">
        <v>147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customHeight="1" x14ac:dyDescent="0.3">
      <c r="A72" s="4" t="s">
        <v>237</v>
      </c>
      <c r="B72" s="103" t="s">
        <v>90</v>
      </c>
      <c r="C72" s="8" t="s">
        <v>145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04"/>
      <c r="C73" s="8" t="s">
        <v>146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04"/>
      <c r="C74" s="8" t="s">
        <v>147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03" t="s">
        <v>67</v>
      </c>
      <c r="C75" s="8" t="s">
        <v>145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04"/>
      <c r="C76" s="8" t="s">
        <v>146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04"/>
      <c r="C77" s="8" t="s">
        <v>147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03" t="s">
        <v>77</v>
      </c>
      <c r="C78" s="8" t="s">
        <v>145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04"/>
      <c r="C79" s="8" t="s">
        <v>146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04"/>
      <c r="C80" s="8" t="s">
        <v>147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03" t="s">
        <v>78</v>
      </c>
      <c r="C81" s="8" t="s">
        <v>145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04"/>
      <c r="C82" s="8" t="s">
        <v>146</v>
      </c>
      <c r="D82" s="88">
        <f t="shared" ref="D82:H91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04"/>
      <c r="C83" s="8" t="s">
        <v>147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03" t="s">
        <v>79</v>
      </c>
      <c r="C84" s="8" t="s">
        <v>145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04"/>
      <c r="C85" s="8" t="s">
        <v>146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04"/>
      <c r="C86" s="8" t="s">
        <v>147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customHeight="1" x14ac:dyDescent="0.25">
      <c r="B87" s="65" t="s">
        <v>150</v>
      </c>
      <c r="C87" s="8" t="s">
        <v>147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customHeight="1" x14ac:dyDescent="0.3">
      <c r="A89" s="66" t="s">
        <v>238</v>
      </c>
      <c r="B89" s="103" t="s">
        <v>90</v>
      </c>
      <c r="C89" s="8" t="s">
        <v>145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04"/>
      <c r="C90" s="8" t="s">
        <v>146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04"/>
      <c r="C91" s="8" t="s">
        <v>147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03" t="s">
        <v>67</v>
      </c>
      <c r="C92" s="8" t="s">
        <v>145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04"/>
      <c r="C93" s="8" t="s">
        <v>146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04"/>
      <c r="C94" s="8" t="s">
        <v>147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03" t="s">
        <v>77</v>
      </c>
      <c r="C95" s="8" t="s">
        <v>145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04"/>
      <c r="C96" s="8" t="s">
        <v>146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04"/>
      <c r="C97" s="8" t="s">
        <v>147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03" t="s">
        <v>78</v>
      </c>
      <c r="C98" s="8" t="s">
        <v>145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04"/>
      <c r="C99" s="8" t="s">
        <v>146</v>
      </c>
      <c r="D99" s="88">
        <f t="shared" ref="D99:H108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04"/>
      <c r="C100" s="8" t="s">
        <v>147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03" t="s">
        <v>79</v>
      </c>
      <c r="C101" s="8" t="s">
        <v>145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04"/>
      <c r="C102" s="8" t="s">
        <v>146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04"/>
      <c r="C103" s="8" t="s">
        <v>147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customHeight="1" x14ac:dyDescent="0.25">
      <c r="B104" s="65" t="s">
        <v>150</v>
      </c>
      <c r="C104" s="8" t="s">
        <v>147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customHeight="1" x14ac:dyDescent="0.3">
      <c r="A106" s="92" t="s">
        <v>239</v>
      </c>
      <c r="B106" s="92"/>
      <c r="C106" s="92"/>
      <c r="D106" s="92"/>
      <c r="E106" s="92"/>
      <c r="F106" s="92"/>
      <c r="G106" s="92"/>
      <c r="H106" s="92"/>
    </row>
    <row r="107" spans="1:8" ht="13" customHeight="1" x14ac:dyDescent="0.3">
      <c r="A107" s="4" t="s">
        <v>231</v>
      </c>
      <c r="B107" s="4" t="s">
        <v>144</v>
      </c>
      <c r="C107" s="4" t="s">
        <v>159</v>
      </c>
      <c r="D107" s="4" t="s">
        <v>67</v>
      </c>
      <c r="E107" s="4" t="s">
        <v>77</v>
      </c>
      <c r="F107" s="4" t="s">
        <v>78</v>
      </c>
      <c r="G107" s="4" t="s">
        <v>79</v>
      </c>
      <c r="H107" s="4" t="s">
        <v>80</v>
      </c>
    </row>
    <row r="108" spans="1:8" ht="13" customHeight="1" x14ac:dyDescent="0.3">
      <c r="A108" s="4" t="s">
        <v>240</v>
      </c>
      <c r="B108" s="103" t="s">
        <v>90</v>
      </c>
      <c r="C108" s="8" t="s">
        <v>145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04"/>
      <c r="C109" s="8" t="s">
        <v>146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04"/>
      <c r="C110" s="8" t="s">
        <v>147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03" t="s">
        <v>67</v>
      </c>
      <c r="C111" s="8" t="s">
        <v>145</v>
      </c>
      <c r="D111" s="88">
        <v>1.77</v>
      </c>
      <c r="E111" s="88">
        <f t="shared" ref="E111:H113" si="11">IF(E5=1,1,E5*1.05)</f>
        <v>1</v>
      </c>
      <c r="F111" s="88">
        <f t="shared" si="11"/>
        <v>1</v>
      </c>
      <c r="G111" s="88">
        <f t="shared" si="11"/>
        <v>1</v>
      </c>
      <c r="H111" s="88">
        <f t="shared" si="11"/>
        <v>1</v>
      </c>
    </row>
    <row r="112" spans="1:8" x14ac:dyDescent="0.25">
      <c r="B112" s="104"/>
      <c r="C112" s="8" t="s">
        <v>146</v>
      </c>
      <c r="D112" s="88">
        <v>1.77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1"/>
        <v>1</v>
      </c>
    </row>
    <row r="113" spans="1:8" x14ac:dyDescent="0.25">
      <c r="B113" s="104"/>
      <c r="C113" s="8" t="s">
        <v>147</v>
      </c>
      <c r="D113" s="88">
        <f t="shared" ref="D113:D123" si="12">IF(D7=1,1,D7*1.05)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1"/>
        <v>1</v>
      </c>
    </row>
    <row r="114" spans="1:8" x14ac:dyDescent="0.25">
      <c r="B114" s="103" t="s">
        <v>77</v>
      </c>
      <c r="C114" s="8" t="s">
        <v>145</v>
      </c>
      <c r="D114" s="88">
        <f t="shared" si="12"/>
        <v>1</v>
      </c>
      <c r="E114" s="88">
        <v>1.77</v>
      </c>
      <c r="F114" s="88">
        <f t="shared" ref="F114:H116" si="13">IF(F8=1,1,F8*1.05)</f>
        <v>1</v>
      </c>
      <c r="G114" s="88">
        <f t="shared" si="13"/>
        <v>1</v>
      </c>
      <c r="H114" s="88">
        <f t="shared" si="13"/>
        <v>1</v>
      </c>
    </row>
    <row r="115" spans="1:8" x14ac:dyDescent="0.25">
      <c r="B115" s="104"/>
      <c r="C115" s="8" t="s">
        <v>146</v>
      </c>
      <c r="D115" s="88">
        <f t="shared" si="12"/>
        <v>1</v>
      </c>
      <c r="E115" s="88">
        <v>1.77</v>
      </c>
      <c r="F115" s="88">
        <f t="shared" si="13"/>
        <v>1</v>
      </c>
      <c r="G115" s="88">
        <f t="shared" si="13"/>
        <v>1</v>
      </c>
      <c r="H115" s="88">
        <f t="shared" si="13"/>
        <v>1</v>
      </c>
    </row>
    <row r="116" spans="1:8" x14ac:dyDescent="0.25">
      <c r="B116" s="104"/>
      <c r="C116" s="8" t="s">
        <v>147</v>
      </c>
      <c r="D116" s="88">
        <f t="shared" si="12"/>
        <v>1</v>
      </c>
      <c r="E116" s="88">
        <f t="shared" ref="E116:E123" si="14">IF(E10=1,1,E10*1.05)</f>
        <v>1</v>
      </c>
      <c r="F116" s="88">
        <f t="shared" si="13"/>
        <v>1</v>
      </c>
      <c r="G116" s="88">
        <f t="shared" si="13"/>
        <v>1</v>
      </c>
      <c r="H116" s="88">
        <f t="shared" si="13"/>
        <v>1</v>
      </c>
    </row>
    <row r="117" spans="1:8" x14ac:dyDescent="0.25">
      <c r="B117" s="103" t="s">
        <v>78</v>
      </c>
      <c r="C117" s="8" t="s">
        <v>145</v>
      </c>
      <c r="D117" s="88">
        <f t="shared" si="12"/>
        <v>1</v>
      </c>
      <c r="E117" s="88">
        <f t="shared" si="14"/>
        <v>1</v>
      </c>
      <c r="F117" s="88">
        <v>2.11</v>
      </c>
      <c r="G117" s="88">
        <f t="shared" ref="G117:H119" si="15">IF(G11=1,1,G11*1.05)</f>
        <v>1</v>
      </c>
      <c r="H117" s="88">
        <f t="shared" si="15"/>
        <v>1</v>
      </c>
    </row>
    <row r="118" spans="1:8" x14ac:dyDescent="0.25">
      <c r="B118" s="104"/>
      <c r="C118" s="8" t="s">
        <v>146</v>
      </c>
      <c r="D118" s="88">
        <f t="shared" si="12"/>
        <v>1</v>
      </c>
      <c r="E118" s="88">
        <f t="shared" si="14"/>
        <v>1</v>
      </c>
      <c r="F118" s="88">
        <v>2.11</v>
      </c>
      <c r="G118" s="88">
        <f t="shared" si="15"/>
        <v>1</v>
      </c>
      <c r="H118" s="88">
        <f t="shared" si="15"/>
        <v>1</v>
      </c>
    </row>
    <row r="119" spans="1:8" x14ac:dyDescent="0.25">
      <c r="B119" s="104"/>
      <c r="C119" s="8" t="s">
        <v>147</v>
      </c>
      <c r="D119" s="88">
        <f t="shared" si="12"/>
        <v>1</v>
      </c>
      <c r="E119" s="88">
        <f t="shared" si="14"/>
        <v>1</v>
      </c>
      <c r="F119" s="88">
        <f>IF(F13=1,1,F13*1.05)</f>
        <v>1</v>
      </c>
      <c r="G119" s="88">
        <f t="shared" si="15"/>
        <v>1</v>
      </c>
      <c r="H119" s="88">
        <f t="shared" si="15"/>
        <v>1</v>
      </c>
    </row>
    <row r="120" spans="1:8" x14ac:dyDescent="0.25">
      <c r="B120" s="103" t="s">
        <v>79</v>
      </c>
      <c r="C120" s="8" t="s">
        <v>145</v>
      </c>
      <c r="D120" s="88">
        <f t="shared" si="12"/>
        <v>1</v>
      </c>
      <c r="E120" s="88">
        <f t="shared" si="14"/>
        <v>1</v>
      </c>
      <c r="F120" s="88">
        <f>IF(F14=1,1,F14*1.05)</f>
        <v>1</v>
      </c>
      <c r="G120" s="88">
        <v>2.11</v>
      </c>
      <c r="H120" s="88">
        <f>IF(H14=1,1,H14*1.05)</f>
        <v>1</v>
      </c>
    </row>
    <row r="121" spans="1:8" x14ac:dyDescent="0.25">
      <c r="B121" s="104"/>
      <c r="C121" s="8" t="s">
        <v>146</v>
      </c>
      <c r="D121" s="88">
        <f t="shared" si="12"/>
        <v>1</v>
      </c>
      <c r="E121" s="88">
        <f t="shared" si="14"/>
        <v>1</v>
      </c>
      <c r="F121" s="88">
        <f>IF(F15=1,1,F15*1.05)</f>
        <v>1</v>
      </c>
      <c r="G121" s="88">
        <v>2.11</v>
      </c>
      <c r="H121" s="88">
        <f>IF(H15=1,1,H15*1.05)</f>
        <v>1</v>
      </c>
    </row>
    <row r="122" spans="1:8" x14ac:dyDescent="0.25">
      <c r="B122" s="104"/>
      <c r="C122" s="8" t="s">
        <v>147</v>
      </c>
      <c r="D122" s="88">
        <f t="shared" si="12"/>
        <v>1</v>
      </c>
      <c r="E122" s="88">
        <f t="shared" si="14"/>
        <v>1</v>
      </c>
      <c r="F122" s="88">
        <f>IF(F16=1,1,F16*1.05)</f>
        <v>1</v>
      </c>
      <c r="G122" s="88">
        <f>IF(G16=1,1,G16*1.05)</f>
        <v>1</v>
      </c>
      <c r="H122" s="88">
        <f>IF(H16=1,1,H16*1.05)</f>
        <v>1</v>
      </c>
    </row>
    <row r="123" spans="1:8" ht="13" customHeight="1" x14ac:dyDescent="0.25">
      <c r="B123" s="65" t="s">
        <v>150</v>
      </c>
      <c r="C123" s="8" t="s">
        <v>147</v>
      </c>
      <c r="D123" s="88">
        <f t="shared" si="12"/>
        <v>1.1025</v>
      </c>
      <c r="E123" s="88">
        <f t="shared" si="14"/>
        <v>1.1025</v>
      </c>
      <c r="F123" s="88">
        <f>IF(F17=1,1,F17*1.05)</f>
        <v>1.1025</v>
      </c>
      <c r="G123" s="88">
        <f>IF(G17=1,1,G17*1.05)</f>
        <v>1.1025</v>
      </c>
      <c r="H123" s="88">
        <f>IF(H17=1,1,H17*1.05)</f>
        <v>1</v>
      </c>
    </row>
    <row r="124" spans="1:8" x14ac:dyDescent="0.25">
      <c r="D124" s="86"/>
      <c r="E124" s="86"/>
      <c r="F124" s="86"/>
      <c r="G124" s="86"/>
      <c r="H124" s="86"/>
    </row>
    <row r="125" spans="1:8" ht="13" customHeight="1" x14ac:dyDescent="0.3">
      <c r="A125" s="4" t="s">
        <v>241</v>
      </c>
      <c r="B125" s="103" t="s">
        <v>90</v>
      </c>
      <c r="C125" s="8" t="s">
        <v>145</v>
      </c>
      <c r="D125" s="88">
        <f t="shared" ref="D125:H134" si="16">IF(D19=1,1,D19*1.05)</f>
        <v>1</v>
      </c>
      <c r="E125" s="88">
        <f t="shared" si="16"/>
        <v>1</v>
      </c>
      <c r="F125" s="88">
        <f t="shared" si="16"/>
        <v>1</v>
      </c>
      <c r="G125" s="88">
        <f t="shared" si="16"/>
        <v>1</v>
      </c>
      <c r="H125" s="88">
        <f t="shared" si="16"/>
        <v>1</v>
      </c>
    </row>
    <row r="126" spans="1:8" x14ac:dyDescent="0.25">
      <c r="B126" s="104"/>
      <c r="C126" s="8" t="s">
        <v>146</v>
      </c>
      <c r="D126" s="88">
        <f t="shared" si="16"/>
        <v>1</v>
      </c>
      <c r="E126" s="88">
        <f t="shared" si="16"/>
        <v>1</v>
      </c>
      <c r="F126" s="88">
        <f t="shared" si="16"/>
        <v>1</v>
      </c>
      <c r="G126" s="88">
        <f t="shared" si="16"/>
        <v>1</v>
      </c>
      <c r="H126" s="88">
        <f t="shared" si="16"/>
        <v>1</v>
      </c>
    </row>
    <row r="127" spans="1:8" x14ac:dyDescent="0.25">
      <c r="B127" s="104"/>
      <c r="C127" s="8" t="s">
        <v>147</v>
      </c>
      <c r="D127" s="88">
        <f t="shared" si="16"/>
        <v>1</v>
      </c>
      <c r="E127" s="88">
        <f t="shared" si="16"/>
        <v>1</v>
      </c>
      <c r="F127" s="88">
        <f t="shared" si="16"/>
        <v>1</v>
      </c>
      <c r="G127" s="88">
        <f t="shared" si="16"/>
        <v>1</v>
      </c>
      <c r="H127" s="88">
        <f t="shared" si="16"/>
        <v>1</v>
      </c>
    </row>
    <row r="128" spans="1:8" x14ac:dyDescent="0.25">
      <c r="B128" s="103" t="s">
        <v>67</v>
      </c>
      <c r="C128" s="8" t="s">
        <v>145</v>
      </c>
      <c r="D128" s="88">
        <f t="shared" si="16"/>
        <v>1</v>
      </c>
      <c r="E128" s="88">
        <f t="shared" si="16"/>
        <v>1</v>
      </c>
      <c r="F128" s="88">
        <f t="shared" si="16"/>
        <v>1</v>
      </c>
      <c r="G128" s="88">
        <f t="shared" si="16"/>
        <v>1</v>
      </c>
      <c r="H128" s="88">
        <f t="shared" si="16"/>
        <v>1</v>
      </c>
    </row>
    <row r="129" spans="1:8" x14ac:dyDescent="0.25">
      <c r="B129" s="104"/>
      <c r="C129" s="8" t="s">
        <v>146</v>
      </c>
      <c r="D129" s="88">
        <f t="shared" si="16"/>
        <v>1</v>
      </c>
      <c r="E129" s="88">
        <f t="shared" si="16"/>
        <v>1</v>
      </c>
      <c r="F129" s="88">
        <f t="shared" si="16"/>
        <v>1</v>
      </c>
      <c r="G129" s="88">
        <f t="shared" si="16"/>
        <v>1</v>
      </c>
      <c r="H129" s="88">
        <f t="shared" si="16"/>
        <v>1</v>
      </c>
    </row>
    <row r="130" spans="1:8" x14ac:dyDescent="0.25">
      <c r="B130" s="104"/>
      <c r="C130" s="8" t="s">
        <v>147</v>
      </c>
      <c r="D130" s="88">
        <f t="shared" si="16"/>
        <v>1</v>
      </c>
      <c r="E130" s="88">
        <f t="shared" si="16"/>
        <v>1</v>
      </c>
      <c r="F130" s="88">
        <f t="shared" si="16"/>
        <v>1</v>
      </c>
      <c r="G130" s="88">
        <f t="shared" si="16"/>
        <v>1</v>
      </c>
      <c r="H130" s="88">
        <f t="shared" si="16"/>
        <v>1</v>
      </c>
    </row>
    <row r="131" spans="1:8" x14ac:dyDescent="0.25">
      <c r="B131" s="103" t="s">
        <v>77</v>
      </c>
      <c r="C131" s="8" t="s">
        <v>145</v>
      </c>
      <c r="D131" s="88">
        <f t="shared" si="16"/>
        <v>1</v>
      </c>
      <c r="E131" s="88">
        <f t="shared" si="16"/>
        <v>1</v>
      </c>
      <c r="F131" s="88">
        <f t="shared" si="16"/>
        <v>1</v>
      </c>
      <c r="G131" s="88">
        <f t="shared" si="16"/>
        <v>1</v>
      </c>
      <c r="H131" s="88">
        <f t="shared" si="16"/>
        <v>1</v>
      </c>
    </row>
    <row r="132" spans="1:8" x14ac:dyDescent="0.25">
      <c r="B132" s="104"/>
      <c r="C132" s="8" t="s">
        <v>146</v>
      </c>
      <c r="D132" s="88">
        <f t="shared" si="16"/>
        <v>1</v>
      </c>
      <c r="E132" s="88">
        <f t="shared" si="16"/>
        <v>1</v>
      </c>
      <c r="F132" s="88">
        <f t="shared" si="16"/>
        <v>1</v>
      </c>
      <c r="G132" s="88">
        <f t="shared" si="16"/>
        <v>1</v>
      </c>
      <c r="H132" s="88">
        <f t="shared" si="16"/>
        <v>1</v>
      </c>
    </row>
    <row r="133" spans="1:8" x14ac:dyDescent="0.25">
      <c r="B133" s="104"/>
      <c r="C133" s="8" t="s">
        <v>147</v>
      </c>
      <c r="D133" s="88">
        <f t="shared" si="16"/>
        <v>1</v>
      </c>
      <c r="E133" s="88">
        <f t="shared" si="16"/>
        <v>1</v>
      </c>
      <c r="F133" s="88">
        <f t="shared" si="16"/>
        <v>1</v>
      </c>
      <c r="G133" s="88">
        <f t="shared" si="16"/>
        <v>1</v>
      </c>
      <c r="H133" s="88">
        <f t="shared" si="16"/>
        <v>1</v>
      </c>
    </row>
    <row r="134" spans="1:8" x14ac:dyDescent="0.25">
      <c r="B134" s="103" t="s">
        <v>78</v>
      </c>
      <c r="C134" s="8" t="s">
        <v>145</v>
      </c>
      <c r="D134" s="88">
        <f t="shared" si="16"/>
        <v>1</v>
      </c>
      <c r="E134" s="88">
        <f t="shared" si="16"/>
        <v>1</v>
      </c>
      <c r="F134" s="88">
        <f t="shared" si="16"/>
        <v>1</v>
      </c>
      <c r="G134" s="88">
        <f t="shared" si="16"/>
        <v>1</v>
      </c>
      <c r="H134" s="88">
        <f t="shared" si="16"/>
        <v>1</v>
      </c>
    </row>
    <row r="135" spans="1:8" x14ac:dyDescent="0.25">
      <c r="B135" s="104"/>
      <c r="C135" s="8" t="s">
        <v>146</v>
      </c>
      <c r="D135" s="88">
        <f t="shared" ref="D135:H144" si="17">IF(D29=1,1,D29*1.05)</f>
        <v>1</v>
      </c>
      <c r="E135" s="88">
        <f t="shared" si="17"/>
        <v>1</v>
      </c>
      <c r="F135" s="88">
        <f t="shared" si="17"/>
        <v>1</v>
      </c>
      <c r="G135" s="88">
        <f t="shared" si="17"/>
        <v>1</v>
      </c>
      <c r="H135" s="88">
        <f t="shared" si="17"/>
        <v>1</v>
      </c>
    </row>
    <row r="136" spans="1:8" x14ac:dyDescent="0.25">
      <c r="B136" s="104"/>
      <c r="C136" s="8" t="s">
        <v>147</v>
      </c>
      <c r="D136" s="88">
        <f t="shared" si="17"/>
        <v>1</v>
      </c>
      <c r="E136" s="88">
        <f t="shared" si="17"/>
        <v>1</v>
      </c>
      <c r="F136" s="88">
        <f t="shared" si="17"/>
        <v>1</v>
      </c>
      <c r="G136" s="88">
        <f t="shared" si="17"/>
        <v>1</v>
      </c>
      <c r="H136" s="88">
        <f t="shared" si="17"/>
        <v>1</v>
      </c>
    </row>
    <row r="137" spans="1:8" x14ac:dyDescent="0.25">
      <c r="B137" s="103" t="s">
        <v>79</v>
      </c>
      <c r="C137" s="8" t="s">
        <v>145</v>
      </c>
      <c r="D137" s="88">
        <f t="shared" si="17"/>
        <v>1</v>
      </c>
      <c r="E137" s="88">
        <f t="shared" si="17"/>
        <v>1</v>
      </c>
      <c r="F137" s="88">
        <f t="shared" si="17"/>
        <v>1</v>
      </c>
      <c r="G137" s="88">
        <f t="shared" si="17"/>
        <v>1</v>
      </c>
      <c r="H137" s="88">
        <f t="shared" si="17"/>
        <v>1</v>
      </c>
    </row>
    <row r="138" spans="1:8" x14ac:dyDescent="0.25">
      <c r="B138" s="104"/>
      <c r="C138" s="8" t="s">
        <v>146</v>
      </c>
      <c r="D138" s="88">
        <f t="shared" si="17"/>
        <v>1</v>
      </c>
      <c r="E138" s="88">
        <f t="shared" si="17"/>
        <v>1</v>
      </c>
      <c r="F138" s="88">
        <f t="shared" si="17"/>
        <v>1</v>
      </c>
      <c r="G138" s="88">
        <f t="shared" si="17"/>
        <v>1</v>
      </c>
      <c r="H138" s="88">
        <f t="shared" si="17"/>
        <v>1</v>
      </c>
    </row>
    <row r="139" spans="1:8" x14ac:dyDescent="0.25">
      <c r="B139" s="104"/>
      <c r="C139" s="8" t="s">
        <v>147</v>
      </c>
      <c r="D139" s="88">
        <f t="shared" si="17"/>
        <v>1</v>
      </c>
      <c r="E139" s="88">
        <f t="shared" si="17"/>
        <v>1</v>
      </c>
      <c r="F139" s="88">
        <f t="shared" si="17"/>
        <v>1</v>
      </c>
      <c r="G139" s="88">
        <f t="shared" si="17"/>
        <v>1</v>
      </c>
      <c r="H139" s="88">
        <f t="shared" si="17"/>
        <v>1</v>
      </c>
    </row>
    <row r="140" spans="1:8" ht="13" customHeight="1" x14ac:dyDescent="0.25">
      <c r="B140" s="65" t="s">
        <v>150</v>
      </c>
      <c r="C140" s="8" t="s">
        <v>147</v>
      </c>
      <c r="D140" s="88">
        <f t="shared" si="17"/>
        <v>1</v>
      </c>
      <c r="E140" s="88">
        <f t="shared" si="17"/>
        <v>1</v>
      </c>
      <c r="F140" s="88">
        <f t="shared" si="17"/>
        <v>1</v>
      </c>
      <c r="G140" s="88">
        <f t="shared" si="17"/>
        <v>1</v>
      </c>
      <c r="H140" s="88">
        <f t="shared" si="17"/>
        <v>1</v>
      </c>
    </row>
    <row r="141" spans="1:8" x14ac:dyDescent="0.25">
      <c r="D141" s="86"/>
      <c r="E141" s="86"/>
      <c r="F141" s="86"/>
      <c r="G141" s="86"/>
      <c r="H141" s="86"/>
    </row>
    <row r="142" spans="1:8" ht="13" customHeight="1" x14ac:dyDescent="0.3">
      <c r="A142" s="66" t="s">
        <v>242</v>
      </c>
      <c r="B142" s="103" t="s">
        <v>90</v>
      </c>
      <c r="C142" s="8" t="s">
        <v>145</v>
      </c>
      <c r="D142" s="88">
        <f t="shared" ref="D142:H151" si="18">IF(D36=1,1,D36*1.05)</f>
        <v>1</v>
      </c>
      <c r="E142" s="88">
        <f t="shared" si="18"/>
        <v>1</v>
      </c>
      <c r="F142" s="88">
        <f t="shared" si="18"/>
        <v>1</v>
      </c>
      <c r="G142" s="88">
        <f t="shared" si="18"/>
        <v>1</v>
      </c>
      <c r="H142" s="88">
        <f t="shared" si="18"/>
        <v>1</v>
      </c>
    </row>
    <row r="143" spans="1:8" x14ac:dyDescent="0.25">
      <c r="B143" s="104"/>
      <c r="C143" s="8" t="s">
        <v>146</v>
      </c>
      <c r="D143" s="88">
        <f t="shared" si="18"/>
        <v>1</v>
      </c>
      <c r="E143" s="88">
        <f t="shared" si="18"/>
        <v>1</v>
      </c>
      <c r="F143" s="88">
        <f t="shared" si="18"/>
        <v>1</v>
      </c>
      <c r="G143" s="88">
        <f t="shared" si="18"/>
        <v>1</v>
      </c>
      <c r="H143" s="88">
        <f t="shared" si="18"/>
        <v>1</v>
      </c>
    </row>
    <row r="144" spans="1:8" x14ac:dyDescent="0.25">
      <c r="B144" s="104"/>
      <c r="C144" s="8" t="s">
        <v>147</v>
      </c>
      <c r="D144" s="88">
        <f t="shared" si="18"/>
        <v>1</v>
      </c>
      <c r="E144" s="88">
        <f t="shared" si="18"/>
        <v>1</v>
      </c>
      <c r="F144" s="88">
        <f t="shared" si="18"/>
        <v>1</v>
      </c>
      <c r="G144" s="88">
        <f t="shared" si="18"/>
        <v>1</v>
      </c>
      <c r="H144" s="88">
        <f t="shared" si="18"/>
        <v>1</v>
      </c>
    </row>
    <row r="145" spans="2:8" x14ac:dyDescent="0.25">
      <c r="B145" s="103" t="s">
        <v>67</v>
      </c>
      <c r="C145" s="8" t="s">
        <v>145</v>
      </c>
      <c r="D145" s="88">
        <f t="shared" si="18"/>
        <v>1</v>
      </c>
      <c r="E145" s="88">
        <f t="shared" si="18"/>
        <v>1</v>
      </c>
      <c r="F145" s="88">
        <f t="shared" si="18"/>
        <v>1</v>
      </c>
      <c r="G145" s="88">
        <f t="shared" si="18"/>
        <v>1</v>
      </c>
      <c r="H145" s="88">
        <f t="shared" si="18"/>
        <v>1</v>
      </c>
    </row>
    <row r="146" spans="2:8" x14ac:dyDescent="0.25">
      <c r="B146" s="104"/>
      <c r="C146" s="8" t="s">
        <v>146</v>
      </c>
      <c r="D146" s="88">
        <f t="shared" si="18"/>
        <v>1</v>
      </c>
      <c r="E146" s="88">
        <f t="shared" si="18"/>
        <v>1</v>
      </c>
      <c r="F146" s="88">
        <f t="shared" si="18"/>
        <v>1</v>
      </c>
      <c r="G146" s="88">
        <f t="shared" si="18"/>
        <v>1</v>
      </c>
      <c r="H146" s="88">
        <f t="shared" si="18"/>
        <v>1</v>
      </c>
    </row>
    <row r="147" spans="2:8" x14ac:dyDescent="0.25">
      <c r="B147" s="104"/>
      <c r="C147" s="8" t="s">
        <v>147</v>
      </c>
      <c r="D147" s="88">
        <f t="shared" si="18"/>
        <v>1</v>
      </c>
      <c r="E147" s="88">
        <f t="shared" si="18"/>
        <v>1</v>
      </c>
      <c r="F147" s="88">
        <f t="shared" si="18"/>
        <v>1</v>
      </c>
      <c r="G147" s="88">
        <f t="shared" si="18"/>
        <v>1</v>
      </c>
      <c r="H147" s="88">
        <f t="shared" si="18"/>
        <v>1</v>
      </c>
    </row>
    <row r="148" spans="2:8" x14ac:dyDescent="0.25">
      <c r="B148" s="103" t="s">
        <v>77</v>
      </c>
      <c r="C148" s="8" t="s">
        <v>145</v>
      </c>
      <c r="D148" s="88">
        <f t="shared" si="18"/>
        <v>1</v>
      </c>
      <c r="E148" s="88">
        <f t="shared" si="18"/>
        <v>1</v>
      </c>
      <c r="F148" s="88">
        <f t="shared" si="18"/>
        <v>1</v>
      </c>
      <c r="G148" s="88">
        <f t="shared" si="18"/>
        <v>1</v>
      </c>
      <c r="H148" s="88">
        <f t="shared" si="18"/>
        <v>1</v>
      </c>
    </row>
    <row r="149" spans="2:8" x14ac:dyDescent="0.25">
      <c r="B149" s="104"/>
      <c r="C149" s="8" t="s">
        <v>146</v>
      </c>
      <c r="D149" s="88">
        <f t="shared" si="18"/>
        <v>1</v>
      </c>
      <c r="E149" s="88">
        <f t="shared" si="18"/>
        <v>1</v>
      </c>
      <c r="F149" s="88">
        <f t="shared" si="18"/>
        <v>1</v>
      </c>
      <c r="G149" s="88">
        <f t="shared" si="18"/>
        <v>1</v>
      </c>
      <c r="H149" s="88">
        <f t="shared" si="18"/>
        <v>1</v>
      </c>
    </row>
    <row r="150" spans="2:8" x14ac:dyDescent="0.25">
      <c r="B150" s="104"/>
      <c r="C150" s="8" t="s">
        <v>147</v>
      </c>
      <c r="D150" s="88">
        <f t="shared" si="18"/>
        <v>1</v>
      </c>
      <c r="E150" s="88">
        <f t="shared" si="18"/>
        <v>1</v>
      </c>
      <c r="F150" s="88">
        <f t="shared" si="18"/>
        <v>1</v>
      </c>
      <c r="G150" s="88">
        <f t="shared" si="18"/>
        <v>1</v>
      </c>
      <c r="H150" s="88">
        <f t="shared" si="18"/>
        <v>1</v>
      </c>
    </row>
    <row r="151" spans="2:8" x14ac:dyDescent="0.25">
      <c r="B151" s="103" t="s">
        <v>78</v>
      </c>
      <c r="C151" s="8" t="s">
        <v>145</v>
      </c>
      <c r="D151" s="88">
        <f t="shared" si="18"/>
        <v>1</v>
      </c>
      <c r="E151" s="88">
        <f t="shared" si="18"/>
        <v>1</v>
      </c>
      <c r="F151" s="88">
        <f t="shared" si="18"/>
        <v>1</v>
      </c>
      <c r="G151" s="88">
        <f t="shared" si="18"/>
        <v>1</v>
      </c>
      <c r="H151" s="88">
        <f t="shared" si="18"/>
        <v>1</v>
      </c>
    </row>
    <row r="152" spans="2:8" x14ac:dyDescent="0.25">
      <c r="B152" s="104"/>
      <c r="C152" s="8" t="s">
        <v>146</v>
      </c>
      <c r="D152" s="88">
        <f t="shared" ref="D152:H161" si="19">IF(D46=1,1,D46*1.05)</f>
        <v>1</v>
      </c>
      <c r="E152" s="88">
        <f t="shared" si="19"/>
        <v>1</v>
      </c>
      <c r="F152" s="88">
        <f t="shared" si="19"/>
        <v>1</v>
      </c>
      <c r="G152" s="88">
        <f t="shared" si="19"/>
        <v>1</v>
      </c>
      <c r="H152" s="88">
        <f t="shared" si="19"/>
        <v>1</v>
      </c>
    </row>
    <row r="153" spans="2:8" x14ac:dyDescent="0.25">
      <c r="B153" s="104"/>
      <c r="C153" s="8" t="s">
        <v>147</v>
      </c>
      <c r="D153" s="88">
        <f t="shared" si="19"/>
        <v>1</v>
      </c>
      <c r="E153" s="88">
        <f t="shared" si="19"/>
        <v>1</v>
      </c>
      <c r="F153" s="88">
        <f t="shared" si="19"/>
        <v>1</v>
      </c>
      <c r="G153" s="88">
        <f t="shared" si="19"/>
        <v>1</v>
      </c>
      <c r="H153" s="88">
        <f t="shared" si="19"/>
        <v>1</v>
      </c>
    </row>
    <row r="154" spans="2:8" x14ac:dyDescent="0.25">
      <c r="B154" s="103" t="s">
        <v>79</v>
      </c>
      <c r="C154" s="8" t="s">
        <v>145</v>
      </c>
      <c r="D154" s="88">
        <f t="shared" si="19"/>
        <v>1</v>
      </c>
      <c r="E154" s="88">
        <f t="shared" si="19"/>
        <v>1</v>
      </c>
      <c r="F154" s="88">
        <f t="shared" si="19"/>
        <v>1</v>
      </c>
      <c r="G154" s="88">
        <f t="shared" si="19"/>
        <v>1</v>
      </c>
      <c r="H154" s="88">
        <f t="shared" si="19"/>
        <v>1</v>
      </c>
    </row>
    <row r="155" spans="2:8" x14ac:dyDescent="0.25">
      <c r="B155" s="104"/>
      <c r="C155" s="8" t="s">
        <v>146</v>
      </c>
      <c r="D155" s="88">
        <f t="shared" si="19"/>
        <v>1</v>
      </c>
      <c r="E155" s="88">
        <f t="shared" si="19"/>
        <v>1</v>
      </c>
      <c r="F155" s="88">
        <f t="shared" si="19"/>
        <v>1</v>
      </c>
      <c r="G155" s="88">
        <f t="shared" si="19"/>
        <v>1</v>
      </c>
      <c r="H155" s="88">
        <f t="shared" si="19"/>
        <v>1</v>
      </c>
    </row>
    <row r="156" spans="2:8" x14ac:dyDescent="0.25">
      <c r="B156" s="104"/>
      <c r="C156" s="8" t="s">
        <v>147</v>
      </c>
      <c r="D156" s="88">
        <f t="shared" si="19"/>
        <v>1</v>
      </c>
      <c r="E156" s="88">
        <f t="shared" si="19"/>
        <v>1</v>
      </c>
      <c r="F156" s="88">
        <f t="shared" si="19"/>
        <v>1</v>
      </c>
      <c r="G156" s="88">
        <f t="shared" si="19"/>
        <v>1</v>
      </c>
      <c r="H156" s="88">
        <f t="shared" si="19"/>
        <v>1</v>
      </c>
    </row>
    <row r="157" spans="2:8" ht="13" customHeight="1" x14ac:dyDescent="0.25">
      <c r="B157" s="65" t="s">
        <v>150</v>
      </c>
      <c r="C157" s="8" t="s">
        <v>147</v>
      </c>
      <c r="D157" s="88">
        <f t="shared" si="19"/>
        <v>1</v>
      </c>
      <c r="E157" s="88">
        <f t="shared" si="19"/>
        <v>1</v>
      </c>
      <c r="F157" s="88">
        <f t="shared" si="19"/>
        <v>1</v>
      </c>
      <c r="G157" s="88">
        <f t="shared" si="19"/>
        <v>1</v>
      </c>
      <c r="H157" s="88">
        <f t="shared" si="19"/>
        <v>1</v>
      </c>
    </row>
  </sheetData>
  <sheetProtection algorithmName="SHA-512" hashValue="riIqDHxQDNIc95k8WEEMlpv2yK5yRhEl3GZr9d21PG7QnhNwxgtjaWmZN+9widROwyhXiwQ4XZiTM/cZ2Cl95g==" saltValue="b1Xx0XPjIcbtdUQJGdoNkQ==" spinCount="100000" sheet="1" selectLockedCells="1"/>
  <mergeCells count="45">
    <mergeCell ref="B145:B147"/>
    <mergeCell ref="B148:B150"/>
    <mergeCell ref="B151:B153"/>
    <mergeCell ref="B154:B156"/>
    <mergeCell ref="B128:B130"/>
    <mergeCell ref="B131:B133"/>
    <mergeCell ref="B134:B136"/>
    <mergeCell ref="B137:B139"/>
    <mergeCell ref="B142:B144"/>
    <mergeCell ref="B111:B113"/>
    <mergeCell ref="B114:B116"/>
    <mergeCell ref="B117:B119"/>
    <mergeCell ref="B120:B122"/>
    <mergeCell ref="B125:B127"/>
    <mergeCell ref="B108:B110"/>
    <mergeCell ref="B89:B91"/>
    <mergeCell ref="B92:B94"/>
    <mergeCell ref="B95:B97"/>
    <mergeCell ref="B98:B100"/>
    <mergeCell ref="B101:B103"/>
    <mergeCell ref="B72:B74"/>
    <mergeCell ref="B75:B77"/>
    <mergeCell ref="B78:B80"/>
    <mergeCell ref="B81:B83"/>
    <mergeCell ref="B84:B86"/>
    <mergeCell ref="B55:B57"/>
    <mergeCell ref="B58:B60"/>
    <mergeCell ref="B61:B63"/>
    <mergeCell ref="B64:B66"/>
    <mergeCell ref="B67:B69"/>
    <mergeCell ref="B42:B44"/>
    <mergeCell ref="B45:B47"/>
    <mergeCell ref="B48:B50"/>
    <mergeCell ref="B22:B24"/>
    <mergeCell ref="B25:B27"/>
    <mergeCell ref="B28:B30"/>
    <mergeCell ref="B31:B33"/>
    <mergeCell ref="B36:B38"/>
    <mergeCell ref="B39:B41"/>
    <mergeCell ref="B19:B21"/>
    <mergeCell ref="B2:B4"/>
    <mergeCell ref="B5:B7"/>
    <mergeCell ref="B8:B10"/>
    <mergeCell ref="B11:B13"/>
    <mergeCell ref="B14:B16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0" tint="-0.249977111117893"/>
  </sheetPr>
  <dimension ref="A1:F79"/>
  <sheetViews>
    <sheetView topLeftCell="A31" zoomScale="85" zoomScaleNormal="85" workbookViewId="0">
      <selection activeCell="D5" sqref="D5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7" width="16.08984375" style="8" customWidth="1"/>
    <col min="8" max="16384" width="16.08984375" style="8"/>
  </cols>
  <sheetData>
    <row r="1" spans="1:6" s="68" customFormat="1" ht="18.75" customHeight="1" x14ac:dyDescent="0.3">
      <c r="A1" s="67" t="s">
        <v>243</v>
      </c>
    </row>
    <row r="2" spans="1:6" ht="15.75" customHeight="1" x14ac:dyDescent="0.3">
      <c r="B2" s="69"/>
      <c r="C2" s="26" t="s">
        <v>43</v>
      </c>
      <c r="D2" s="70" t="s">
        <v>42</v>
      </c>
      <c r="E2" s="70" t="s">
        <v>41</v>
      </c>
      <c r="F2" s="70" t="s">
        <v>40</v>
      </c>
    </row>
    <row r="3" spans="1:6" ht="15.75" customHeight="1" x14ac:dyDescent="0.3">
      <c r="A3" s="4" t="s">
        <v>244</v>
      </c>
      <c r="B3" s="14"/>
      <c r="C3" s="71"/>
      <c r="D3" s="72"/>
      <c r="E3" s="72"/>
      <c r="F3" s="72"/>
    </row>
    <row r="4" spans="1:6" ht="15.75" customHeight="1" x14ac:dyDescent="0.25">
      <c r="B4" s="5" t="s">
        <v>26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27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28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29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245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246</v>
      </c>
      <c r="C11" s="74"/>
      <c r="D11" s="75"/>
      <c r="E11" s="75"/>
      <c r="F11" s="75"/>
    </row>
    <row r="12" spans="1:6" ht="15.75" customHeight="1" x14ac:dyDescent="0.3">
      <c r="A12" s="4" t="s">
        <v>247</v>
      </c>
      <c r="C12" s="73"/>
      <c r="D12" s="64"/>
      <c r="E12" s="64"/>
      <c r="F12" s="64"/>
    </row>
    <row r="13" spans="1:6" ht="15.75" customHeight="1" x14ac:dyDescent="0.25">
      <c r="B13" s="11" t="s">
        <v>248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109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110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249</v>
      </c>
      <c r="B17" s="14"/>
      <c r="C17" s="77"/>
      <c r="D17" s="78"/>
      <c r="E17" s="78"/>
      <c r="F17" s="78"/>
    </row>
    <row r="18" spans="1:6" ht="15.75" customHeight="1" x14ac:dyDescent="0.25">
      <c r="B18" s="5" t="s">
        <v>68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69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70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71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72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73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74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75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235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243</v>
      </c>
    </row>
    <row r="29" spans="1:6" ht="15.75" customHeight="1" x14ac:dyDescent="0.3">
      <c r="B29" s="69"/>
      <c r="C29" s="26" t="s">
        <v>43</v>
      </c>
      <c r="D29" s="70" t="s">
        <v>42</v>
      </c>
      <c r="E29" s="70" t="s">
        <v>41</v>
      </c>
      <c r="F29" s="70" t="s">
        <v>40</v>
      </c>
    </row>
    <row r="30" spans="1:6" ht="15.75" customHeight="1" x14ac:dyDescent="0.3">
      <c r="A30" s="4" t="s">
        <v>250</v>
      </c>
      <c r="B30" s="14"/>
      <c r="C30" s="71"/>
      <c r="D30" s="72"/>
      <c r="E30" s="72"/>
      <c r="F30" s="72"/>
    </row>
    <row r="31" spans="1:6" ht="15.75" customHeight="1" x14ac:dyDescent="0.25">
      <c r="B31" s="5" t="s">
        <v>26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27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28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29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251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246</v>
      </c>
      <c r="B38" s="68"/>
      <c r="C38" s="74"/>
      <c r="D38" s="75"/>
      <c r="E38" s="75"/>
      <c r="F38" s="75"/>
    </row>
    <row r="39" spans="1:6" ht="15.75" customHeight="1" x14ac:dyDescent="0.3">
      <c r="A39" s="4" t="s">
        <v>252</v>
      </c>
      <c r="C39" s="73"/>
      <c r="D39" s="64"/>
      <c r="E39" s="64"/>
      <c r="F39" s="64"/>
    </row>
    <row r="40" spans="1:6" ht="15.75" customHeight="1" x14ac:dyDescent="0.25">
      <c r="B40" s="11" t="s">
        <v>253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254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255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256</v>
      </c>
      <c r="B44" s="14"/>
      <c r="C44" s="77"/>
      <c r="D44" s="78"/>
      <c r="E44" s="78"/>
      <c r="F44" s="78"/>
    </row>
    <row r="45" spans="1:6" ht="15.75" customHeight="1" x14ac:dyDescent="0.25">
      <c r="B45" s="5" t="s">
        <v>68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69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70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71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72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73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74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75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239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243</v>
      </c>
    </row>
    <row r="56" spans="1:6" ht="15.75" customHeight="1" x14ac:dyDescent="0.3">
      <c r="B56" s="69"/>
      <c r="C56" s="26" t="s">
        <v>43</v>
      </c>
      <c r="D56" s="70" t="s">
        <v>42</v>
      </c>
      <c r="E56" s="70" t="s">
        <v>41</v>
      </c>
      <c r="F56" s="70" t="s">
        <v>40</v>
      </c>
    </row>
    <row r="57" spans="1:6" ht="15.75" customHeight="1" x14ac:dyDescent="0.3">
      <c r="A57" s="4" t="s">
        <v>257</v>
      </c>
      <c r="B57" s="14"/>
      <c r="C57" s="71"/>
      <c r="D57" s="72"/>
      <c r="E57" s="72"/>
      <c r="F57" s="72"/>
    </row>
    <row r="58" spans="1:6" ht="15.75" customHeight="1" x14ac:dyDescent="0.25">
      <c r="B58" s="5" t="s">
        <v>26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27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28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29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258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246</v>
      </c>
      <c r="B65" s="68"/>
      <c r="C65" s="74"/>
      <c r="D65" s="75"/>
      <c r="E65" s="75"/>
      <c r="F65" s="75"/>
    </row>
    <row r="66" spans="1:6" ht="15.75" customHeight="1" x14ac:dyDescent="0.3">
      <c r="A66" s="4" t="s">
        <v>259</v>
      </c>
      <c r="C66" s="73"/>
      <c r="D66" s="64"/>
      <c r="E66" s="64"/>
      <c r="F66" s="64"/>
    </row>
    <row r="67" spans="1:6" ht="15.75" customHeight="1" x14ac:dyDescent="0.25">
      <c r="B67" s="11" t="s">
        <v>260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261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262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263</v>
      </c>
      <c r="B71" s="14"/>
      <c r="C71" s="77"/>
      <c r="D71" s="78"/>
      <c r="E71" s="78"/>
      <c r="F71" s="78"/>
    </row>
    <row r="72" spans="1:6" ht="15.75" customHeight="1" x14ac:dyDescent="0.25">
      <c r="B72" s="5" t="s">
        <v>68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69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70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71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72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73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74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75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OEa5xq8Dht0iRzVx1fQ1EOJdDm09uSIzQRujIfp/VJ8GNGNECqE8Uut2U6j1omy5Y9ajcKxMUHwzsTWrCb+nAw==" saltValue="Poj67khbkyqhF7WVYd6Cs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0" tint="-0.249977111117893"/>
  </sheetPr>
  <dimension ref="A1:P328"/>
  <sheetViews>
    <sheetView topLeftCell="A54" zoomScaleNormal="100" workbookViewId="0">
      <selection activeCell="D5" sqref="D5"/>
    </sheetView>
  </sheetViews>
  <sheetFormatPr defaultColWidth="12.81640625" defaultRowHeight="12.5" x14ac:dyDescent="0.25"/>
  <cols>
    <col min="1" max="1" width="27.1796875" style="8" customWidth="1"/>
    <col min="2" max="2" width="26.90625" style="8" customWidth="1"/>
    <col min="3" max="3" width="18.36328125" style="8" customWidth="1"/>
    <col min="4" max="8" width="14.81640625" style="8" customWidth="1"/>
    <col min="9" max="12" width="15.36328125" style="8" bestFit="1" customWidth="1"/>
    <col min="13" max="16" width="16.90625" style="8" bestFit="1" customWidth="1"/>
    <col min="17" max="17" width="12.81640625" style="8" customWidth="1"/>
    <col min="18" max="16384" width="12.81640625" style="8"/>
  </cols>
  <sheetData>
    <row r="1" spans="1:16" s="68" customFormat="1" ht="13" customHeight="1" x14ac:dyDescent="0.3">
      <c r="A1" s="67" t="s">
        <v>264</v>
      </c>
    </row>
    <row r="2" spans="1:16" ht="13" customHeight="1" x14ac:dyDescent="0.3">
      <c r="A2" s="39" t="s">
        <v>225</v>
      </c>
      <c r="B2" s="1" t="s">
        <v>265</v>
      </c>
      <c r="C2" s="1" t="s">
        <v>266</v>
      </c>
      <c r="D2" s="70" t="s">
        <v>67</v>
      </c>
      <c r="E2" s="70" t="s">
        <v>77</v>
      </c>
      <c r="F2" s="70" t="s">
        <v>78</v>
      </c>
      <c r="G2" s="70" t="s">
        <v>79</v>
      </c>
      <c r="H2" s="70" t="s">
        <v>80</v>
      </c>
      <c r="I2" s="79"/>
      <c r="J2" s="79"/>
      <c r="K2" s="79"/>
      <c r="L2" s="79"/>
      <c r="M2" s="79"/>
      <c r="N2" s="79"/>
      <c r="O2" s="79"/>
      <c r="P2" s="79"/>
    </row>
    <row r="3" spans="1:16" ht="13" customHeight="1" x14ac:dyDescent="0.3">
      <c r="A3" s="4"/>
      <c r="B3" s="8" t="s">
        <v>81</v>
      </c>
      <c r="C3" s="3" t="s">
        <v>267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268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269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270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82</v>
      </c>
      <c r="C7" s="3" t="s">
        <v>267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268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269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270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84</v>
      </c>
      <c r="C11" s="3" t="s">
        <v>267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268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269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270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85</v>
      </c>
      <c r="C15" s="3" t="s">
        <v>267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268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269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270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83</v>
      </c>
      <c r="C19" s="3" t="s">
        <v>267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268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269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270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89</v>
      </c>
      <c r="C23" s="3" t="s">
        <v>267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268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269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270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customHeight="1" x14ac:dyDescent="0.3">
      <c r="A28" s="67" t="s">
        <v>271</v>
      </c>
    </row>
    <row r="29" spans="1:16" ht="13" customHeight="1" x14ac:dyDescent="0.3">
      <c r="A29" s="39" t="s">
        <v>272</v>
      </c>
      <c r="B29" s="4" t="s">
        <v>265</v>
      </c>
      <c r="C29" s="4" t="s">
        <v>273</v>
      </c>
      <c r="D29" s="70" t="s">
        <v>67</v>
      </c>
      <c r="E29" s="70" t="s">
        <v>77</v>
      </c>
      <c r="F29" s="70" t="s">
        <v>78</v>
      </c>
      <c r="G29" s="70" t="s">
        <v>79</v>
      </c>
      <c r="H29" s="70" t="s">
        <v>80</v>
      </c>
      <c r="I29" s="79"/>
      <c r="J29" s="79"/>
      <c r="K29" s="79"/>
      <c r="L29" s="79"/>
      <c r="M29" s="79"/>
      <c r="N29" s="79"/>
      <c r="O29" s="79"/>
      <c r="P29" s="79"/>
    </row>
    <row r="30" spans="1:16" ht="13" customHeight="1" x14ac:dyDescent="0.3">
      <c r="A30" s="4"/>
      <c r="B30" s="8" t="s">
        <v>81</v>
      </c>
      <c r="C30" s="3" t="s">
        <v>267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268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204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205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82</v>
      </c>
      <c r="C34" s="3" t="s">
        <v>267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268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204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205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84</v>
      </c>
      <c r="C38" s="3" t="s">
        <v>267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268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204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205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85</v>
      </c>
      <c r="C42" s="3" t="s">
        <v>267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268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204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205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83</v>
      </c>
      <c r="C46" s="3" t="s">
        <v>267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268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204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205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89</v>
      </c>
      <c r="C50" s="3" t="s">
        <v>267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268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204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205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customHeight="1" x14ac:dyDescent="0.3">
      <c r="A55" s="67" t="s">
        <v>274</v>
      </c>
    </row>
    <row r="56" spans="1:16" ht="26" customHeight="1" x14ac:dyDescent="0.3">
      <c r="A56" s="39" t="s">
        <v>111</v>
      </c>
      <c r="B56" s="4" t="s">
        <v>265</v>
      </c>
      <c r="C56" s="69" t="s">
        <v>275</v>
      </c>
      <c r="D56" s="70" t="s">
        <v>112</v>
      </c>
      <c r="E56" s="70" t="s">
        <v>113</v>
      </c>
      <c r="F56" s="70" t="s">
        <v>114</v>
      </c>
      <c r="G56" s="70" t="s">
        <v>115</v>
      </c>
      <c r="H56" s="79"/>
      <c r="M56" s="79"/>
      <c r="N56" s="79"/>
      <c r="O56" s="79"/>
      <c r="P56" s="79"/>
    </row>
    <row r="57" spans="1:16" ht="13" customHeight="1" x14ac:dyDescent="0.3">
      <c r="A57" s="4"/>
      <c r="B57" s="8" t="s">
        <v>91</v>
      </c>
      <c r="C57" s="3" t="s">
        <v>276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277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92</v>
      </c>
      <c r="C59" s="3" t="s">
        <v>276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277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93</v>
      </c>
      <c r="C61" s="3" t="s">
        <v>276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277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customHeight="1" x14ac:dyDescent="0.3">
      <c r="A64" s="67" t="s">
        <v>278</v>
      </c>
    </row>
    <row r="65" spans="1:16" ht="26" customHeight="1" x14ac:dyDescent="0.3">
      <c r="A65" s="39" t="s">
        <v>118</v>
      </c>
      <c r="B65" s="4" t="s">
        <v>265</v>
      </c>
      <c r="C65" s="69" t="s">
        <v>279</v>
      </c>
      <c r="D65" s="70" t="s">
        <v>67</v>
      </c>
      <c r="E65" s="70" t="s">
        <v>77</v>
      </c>
      <c r="F65" s="70" t="s">
        <v>78</v>
      </c>
      <c r="G65" s="70" t="s">
        <v>79</v>
      </c>
      <c r="H65" s="81" t="s">
        <v>80</v>
      </c>
      <c r="I65" s="79"/>
      <c r="J65" s="79"/>
      <c r="K65" s="79"/>
      <c r="L65" s="79"/>
      <c r="M65" s="79"/>
      <c r="N65" s="79"/>
      <c r="O65" s="79"/>
      <c r="P65" s="79"/>
    </row>
    <row r="66" spans="1:16" ht="13" customHeight="1" x14ac:dyDescent="0.3">
      <c r="A66" s="82"/>
      <c r="B66" s="8" t="s">
        <v>68</v>
      </c>
      <c r="C66" s="3" t="s">
        <v>119</v>
      </c>
      <c r="D66" s="90">
        <v>1.35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120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121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122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69</v>
      </c>
      <c r="C70" s="3" t="s">
        <v>119</v>
      </c>
      <c r="D70" s="90">
        <v>1.35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120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121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122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70</v>
      </c>
      <c r="C74" s="3" t="s">
        <v>119</v>
      </c>
      <c r="D74" s="90">
        <v>1.35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120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121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122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72</v>
      </c>
      <c r="C78" s="3" t="s">
        <v>119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120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121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122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81</v>
      </c>
      <c r="C82" s="3" t="s">
        <v>119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120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121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122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82</v>
      </c>
      <c r="C86" s="3" t="s">
        <v>119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120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121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122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84</v>
      </c>
      <c r="C90" s="3" t="s">
        <v>119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120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121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122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83</v>
      </c>
      <c r="C94" s="3" t="s">
        <v>119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120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121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122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86</v>
      </c>
      <c r="C98" s="3" t="s">
        <v>119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120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121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122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customHeight="1" x14ac:dyDescent="0.3">
      <c r="A103" s="67" t="s">
        <v>280</v>
      </c>
    </row>
    <row r="104" spans="1:16" ht="26" customHeight="1" x14ac:dyDescent="0.3">
      <c r="A104" s="39" t="s">
        <v>81</v>
      </c>
      <c r="B104" s="82" t="s">
        <v>122</v>
      </c>
      <c r="C104" s="69" t="s">
        <v>279</v>
      </c>
      <c r="D104" s="70" t="s">
        <v>67</v>
      </c>
      <c r="E104" s="70" t="s">
        <v>77</v>
      </c>
      <c r="F104" s="70" t="s">
        <v>78</v>
      </c>
      <c r="G104" s="70" t="s">
        <v>79</v>
      </c>
      <c r="H104" s="81" t="s">
        <v>80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customHeight="1" x14ac:dyDescent="0.3">
      <c r="A105" s="4"/>
      <c r="C105" s="3" t="s">
        <v>119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120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121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122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customHeight="1" x14ac:dyDescent="0.3">
      <c r="A110" s="92" t="s">
        <v>235</v>
      </c>
      <c r="H110" s="92"/>
    </row>
    <row r="111" spans="1:16" ht="13" customHeight="1" x14ac:dyDescent="0.3">
      <c r="A111" s="67" t="s">
        <v>264</v>
      </c>
      <c r="B111" s="68"/>
      <c r="C111" s="68"/>
      <c r="D111" s="68"/>
      <c r="E111" s="68"/>
      <c r="F111" s="68"/>
      <c r="G111" s="68"/>
      <c r="H111" s="68"/>
    </row>
    <row r="112" spans="1:16" ht="13" customHeight="1" x14ac:dyDescent="0.3">
      <c r="A112" s="39" t="s">
        <v>225</v>
      </c>
      <c r="B112" s="1" t="s">
        <v>265</v>
      </c>
      <c r="C112" s="1" t="s">
        <v>266</v>
      </c>
      <c r="D112" s="70" t="s">
        <v>67</v>
      </c>
      <c r="E112" s="70" t="s">
        <v>77</v>
      </c>
      <c r="F112" s="70" t="s">
        <v>78</v>
      </c>
      <c r="G112" s="70" t="s">
        <v>79</v>
      </c>
      <c r="H112" s="70" t="s">
        <v>80</v>
      </c>
    </row>
    <row r="113" spans="1:8" ht="13" customHeight="1" x14ac:dyDescent="0.3">
      <c r="A113" s="4"/>
      <c r="B113" s="8" t="s">
        <v>81</v>
      </c>
      <c r="C113" s="3" t="s">
        <v>267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268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269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270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82</v>
      </c>
      <c r="C117" s="3" t="s">
        <v>267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268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269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270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84</v>
      </c>
      <c r="C121" s="3" t="s">
        <v>267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268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269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270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85</v>
      </c>
      <c r="C125" s="3" t="s">
        <v>267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268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269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270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83</v>
      </c>
      <c r="C129" s="3" t="s">
        <v>267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268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269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270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89</v>
      </c>
      <c r="C133" s="3" t="s">
        <v>267</v>
      </c>
      <c r="D133" s="91">
        <f t="shared" ref="D133:H142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268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269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270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customHeight="1" x14ac:dyDescent="0.3">
      <c r="A138" s="67" t="s">
        <v>271</v>
      </c>
      <c r="B138" s="68"/>
      <c r="C138" s="68"/>
      <c r="D138" s="68"/>
      <c r="E138" s="68"/>
      <c r="F138" s="68"/>
      <c r="G138" s="68"/>
      <c r="H138" s="68"/>
    </row>
    <row r="139" spans="1:8" ht="13" customHeight="1" x14ac:dyDescent="0.3">
      <c r="A139" s="39" t="s">
        <v>272</v>
      </c>
      <c r="B139" s="4" t="s">
        <v>265</v>
      </c>
      <c r="C139" s="4" t="s">
        <v>273</v>
      </c>
      <c r="D139" s="70" t="s">
        <v>67</v>
      </c>
      <c r="E139" s="70" t="s">
        <v>77</v>
      </c>
      <c r="F139" s="70" t="s">
        <v>78</v>
      </c>
      <c r="G139" s="70" t="s">
        <v>79</v>
      </c>
      <c r="H139" s="70" t="s">
        <v>80</v>
      </c>
    </row>
    <row r="140" spans="1:8" ht="13" customHeight="1" x14ac:dyDescent="0.3">
      <c r="A140" s="4"/>
      <c r="B140" s="8" t="s">
        <v>81</v>
      </c>
      <c r="C140" s="3" t="s">
        <v>267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268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204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205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82</v>
      </c>
      <c r="C144" s="3" t="s">
        <v>267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268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204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205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84</v>
      </c>
      <c r="C148" s="3" t="s">
        <v>267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268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204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205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85</v>
      </c>
      <c r="C152" s="3" t="s">
        <v>267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268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204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205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83</v>
      </c>
      <c r="C156" s="3" t="s">
        <v>267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268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204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205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89</v>
      </c>
      <c r="C160" s="3" t="s">
        <v>267</v>
      </c>
      <c r="D160" s="91">
        <f t="shared" ref="D160:H169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268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204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205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customHeight="1" x14ac:dyDescent="0.3">
      <c r="A165" s="67" t="s">
        <v>274</v>
      </c>
      <c r="B165" s="68"/>
      <c r="C165" s="68"/>
      <c r="D165" s="68"/>
      <c r="E165" s="68"/>
      <c r="F165" s="68"/>
      <c r="G165" s="68"/>
      <c r="H165" s="68"/>
    </row>
    <row r="166" spans="1:8" ht="26" customHeight="1" x14ac:dyDescent="0.3">
      <c r="A166" s="39" t="s">
        <v>111</v>
      </c>
      <c r="B166" s="4" t="s">
        <v>265</v>
      </c>
      <c r="C166" s="69" t="s">
        <v>275</v>
      </c>
      <c r="D166" s="70" t="s">
        <v>112</v>
      </c>
      <c r="E166" s="70" t="s">
        <v>113</v>
      </c>
      <c r="F166" s="70" t="s">
        <v>114</v>
      </c>
      <c r="G166" s="70" t="s">
        <v>115</v>
      </c>
      <c r="H166" s="79"/>
    </row>
    <row r="167" spans="1:8" ht="13" customHeight="1" x14ac:dyDescent="0.3">
      <c r="A167" s="4"/>
      <c r="B167" s="8" t="s">
        <v>91</v>
      </c>
      <c r="C167" s="3" t="s">
        <v>276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277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92</v>
      </c>
      <c r="C169" s="3" t="s">
        <v>276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277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93</v>
      </c>
      <c r="C171" s="3" t="s">
        <v>276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277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customHeight="1" x14ac:dyDescent="0.3">
      <c r="A174" s="67" t="s">
        <v>278</v>
      </c>
      <c r="B174" s="68"/>
      <c r="C174" s="68"/>
      <c r="D174" s="68"/>
      <c r="E174" s="68"/>
      <c r="F174" s="68"/>
      <c r="G174" s="68"/>
      <c r="H174" s="68"/>
    </row>
    <row r="175" spans="1:8" ht="26" customHeight="1" x14ac:dyDescent="0.3">
      <c r="A175" s="39" t="s">
        <v>118</v>
      </c>
      <c r="B175" s="4" t="s">
        <v>265</v>
      </c>
      <c r="C175" s="69" t="s">
        <v>279</v>
      </c>
      <c r="D175" s="70" t="s">
        <v>67</v>
      </c>
      <c r="E175" s="70" t="s">
        <v>77</v>
      </c>
      <c r="F175" s="70" t="s">
        <v>78</v>
      </c>
      <c r="G175" s="70" t="s">
        <v>79</v>
      </c>
      <c r="H175" s="81" t="s">
        <v>80</v>
      </c>
    </row>
    <row r="176" spans="1:8" ht="13" customHeight="1" x14ac:dyDescent="0.3">
      <c r="A176" s="82"/>
      <c r="B176" s="8" t="s">
        <v>68</v>
      </c>
      <c r="C176" s="3" t="s">
        <v>119</v>
      </c>
      <c r="D176" s="91">
        <f t="shared" ref="D176:G195" si="7">IF(D66=1,1,D66*0.9)</f>
        <v>1.2150000000000001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120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121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122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69</v>
      </c>
      <c r="C180" s="3" t="s">
        <v>119</v>
      </c>
      <c r="D180" s="91">
        <f t="shared" si="7"/>
        <v>1.2150000000000001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120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121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122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70</v>
      </c>
      <c r="C184" s="3" t="s">
        <v>119</v>
      </c>
      <c r="D184" s="91">
        <f t="shared" si="7"/>
        <v>1.2150000000000001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120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121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122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72</v>
      </c>
      <c r="C188" s="3" t="s">
        <v>119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120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121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122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81</v>
      </c>
      <c r="C192" s="3" t="s">
        <v>119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120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121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122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82</v>
      </c>
      <c r="C196" s="3" t="s">
        <v>119</v>
      </c>
      <c r="D196" s="91">
        <f t="shared" ref="D196:G215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120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121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122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84</v>
      </c>
      <c r="C200" s="3" t="s">
        <v>119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120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121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122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83</v>
      </c>
      <c r="C204" s="3" t="s">
        <v>119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120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121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122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86</v>
      </c>
      <c r="C208" s="3" t="s">
        <v>119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120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121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122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customHeight="1" x14ac:dyDescent="0.3">
      <c r="A213" s="67" t="s">
        <v>280</v>
      </c>
      <c r="B213" s="68"/>
      <c r="C213" s="68"/>
      <c r="D213" s="68"/>
      <c r="E213" s="68"/>
      <c r="F213" s="68"/>
      <c r="G213" s="68"/>
      <c r="H213" s="68"/>
    </row>
    <row r="214" spans="1:9" ht="26" customHeight="1" x14ac:dyDescent="0.3">
      <c r="A214" s="39" t="s">
        <v>81</v>
      </c>
      <c r="B214" s="82" t="s">
        <v>122</v>
      </c>
      <c r="C214" s="69" t="s">
        <v>279</v>
      </c>
      <c r="D214" s="70" t="s">
        <v>67</v>
      </c>
      <c r="E214" s="70" t="s">
        <v>77</v>
      </c>
      <c r="F214" s="70" t="s">
        <v>78</v>
      </c>
      <c r="G214" s="70" t="s">
        <v>79</v>
      </c>
      <c r="H214" s="81" t="s">
        <v>80</v>
      </c>
    </row>
    <row r="215" spans="1:9" ht="13" customHeight="1" x14ac:dyDescent="0.3">
      <c r="A215" s="4"/>
      <c r="C215" s="3" t="s">
        <v>119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120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121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122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customHeight="1" x14ac:dyDescent="0.3">
      <c r="A220" s="92" t="s">
        <v>239</v>
      </c>
      <c r="H220" s="92"/>
    </row>
    <row r="221" spans="1:9" ht="13" customHeight="1" x14ac:dyDescent="0.3">
      <c r="A221" s="67" t="s">
        <v>264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customHeight="1" x14ac:dyDescent="0.3">
      <c r="A222" s="39" t="s">
        <v>225</v>
      </c>
      <c r="B222" s="1" t="s">
        <v>265</v>
      </c>
      <c r="C222" s="1" t="s">
        <v>266</v>
      </c>
      <c r="D222" s="70" t="s">
        <v>67</v>
      </c>
      <c r="E222" s="70" t="s">
        <v>77</v>
      </c>
      <c r="F222" s="70" t="s">
        <v>78</v>
      </c>
      <c r="G222" s="70" t="s">
        <v>79</v>
      </c>
      <c r="H222" s="70" t="s">
        <v>80</v>
      </c>
      <c r="I222" s="79"/>
    </row>
    <row r="223" spans="1:9" ht="13" customHeight="1" x14ac:dyDescent="0.3">
      <c r="A223" s="4"/>
      <c r="B223" s="8" t="s">
        <v>81</v>
      </c>
      <c r="C223" s="3" t="s">
        <v>267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268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269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270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82</v>
      </c>
      <c r="C227" s="3" t="s">
        <v>267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268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269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270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84</v>
      </c>
      <c r="C231" s="3" t="s">
        <v>267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268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269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270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85</v>
      </c>
      <c r="C235" s="3" t="s">
        <v>267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268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269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270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83</v>
      </c>
      <c r="C239" s="3" t="s">
        <v>267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268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269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270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89</v>
      </c>
      <c r="C243" s="3" t="s">
        <v>267</v>
      </c>
      <c r="D243" s="91">
        <f t="shared" ref="D243:H252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268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269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270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customHeight="1" x14ac:dyDescent="0.3">
      <c r="A248" s="67" t="s">
        <v>271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customHeight="1" x14ac:dyDescent="0.3">
      <c r="A249" s="39" t="s">
        <v>272</v>
      </c>
      <c r="B249" s="4" t="s">
        <v>265</v>
      </c>
      <c r="C249" s="4" t="s">
        <v>273</v>
      </c>
      <c r="D249" s="70" t="s">
        <v>67</v>
      </c>
      <c r="E249" s="70" t="s">
        <v>77</v>
      </c>
      <c r="F249" s="70" t="s">
        <v>78</v>
      </c>
      <c r="G249" s="70" t="s">
        <v>79</v>
      </c>
      <c r="H249" s="70" t="s">
        <v>80</v>
      </c>
      <c r="I249" s="79"/>
    </row>
    <row r="250" spans="1:9" ht="13" customHeight="1" x14ac:dyDescent="0.3">
      <c r="A250" s="4"/>
      <c r="B250" s="8" t="s">
        <v>81</v>
      </c>
      <c r="C250" s="3" t="s">
        <v>267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268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204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205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82</v>
      </c>
      <c r="C254" s="3" t="s">
        <v>267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268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204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205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84</v>
      </c>
      <c r="C258" s="3" t="s">
        <v>267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268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204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205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85</v>
      </c>
      <c r="C262" s="3" t="s">
        <v>267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268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204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205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83</v>
      </c>
      <c r="C266" s="3" t="s">
        <v>267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268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204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205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89</v>
      </c>
      <c r="C270" s="3" t="s">
        <v>267</v>
      </c>
      <c r="D270" s="91">
        <f t="shared" ref="D270:H279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268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204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205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customHeight="1" x14ac:dyDescent="0.3">
      <c r="A275" s="67" t="s">
        <v>274</v>
      </c>
      <c r="B275" s="68"/>
      <c r="C275" s="68"/>
      <c r="D275" s="68"/>
      <c r="E275" s="68"/>
      <c r="F275" s="68"/>
      <c r="G275" s="68"/>
      <c r="H275" s="68"/>
      <c r="I275" s="68"/>
    </row>
    <row r="276" spans="1:9" ht="26" customHeight="1" x14ac:dyDescent="0.3">
      <c r="A276" s="39" t="s">
        <v>111</v>
      </c>
      <c r="B276" s="4" t="s">
        <v>265</v>
      </c>
      <c r="C276" s="69" t="s">
        <v>275</v>
      </c>
      <c r="D276" s="70" t="s">
        <v>112</v>
      </c>
      <c r="E276" s="70" t="s">
        <v>113</v>
      </c>
      <c r="F276" s="70" t="s">
        <v>114</v>
      </c>
      <c r="G276" s="70" t="s">
        <v>115</v>
      </c>
      <c r="H276" s="79"/>
    </row>
    <row r="277" spans="1:9" ht="13" customHeight="1" x14ac:dyDescent="0.3">
      <c r="A277" s="4"/>
      <c r="B277" s="8" t="s">
        <v>91</v>
      </c>
      <c r="C277" s="3" t="s">
        <v>276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277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92</v>
      </c>
      <c r="C279" s="3" t="s">
        <v>276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277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93</v>
      </c>
      <c r="C281" s="3" t="s">
        <v>276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277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customHeight="1" x14ac:dyDescent="0.3">
      <c r="A284" s="67" t="s">
        <v>278</v>
      </c>
      <c r="B284" s="68"/>
      <c r="C284" s="68"/>
      <c r="D284" s="68"/>
      <c r="E284" s="68"/>
      <c r="F284" s="68"/>
      <c r="G284" s="68"/>
      <c r="H284" s="68"/>
      <c r="I284" s="68"/>
    </row>
    <row r="285" spans="1:9" ht="26" customHeight="1" x14ac:dyDescent="0.3">
      <c r="A285" s="39" t="s">
        <v>118</v>
      </c>
      <c r="B285" s="4" t="s">
        <v>265</v>
      </c>
      <c r="C285" s="69" t="s">
        <v>279</v>
      </c>
      <c r="D285" s="70" t="s">
        <v>67</v>
      </c>
      <c r="E285" s="70" t="s">
        <v>77</v>
      </c>
      <c r="F285" s="70" t="s">
        <v>78</v>
      </c>
      <c r="G285" s="70" t="s">
        <v>79</v>
      </c>
      <c r="H285" s="81" t="s">
        <v>80</v>
      </c>
      <c r="I285" s="79"/>
    </row>
    <row r="286" spans="1:9" ht="13" customHeight="1" x14ac:dyDescent="0.3">
      <c r="A286" s="82"/>
      <c r="B286" s="8" t="s">
        <v>68</v>
      </c>
      <c r="C286" s="3" t="s">
        <v>119</v>
      </c>
      <c r="D286" s="91">
        <f t="shared" ref="D286:G305" si="17">IF(D66=1,1,D66*1.1)</f>
        <v>1.4850000000000003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120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121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122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69</v>
      </c>
      <c r="C290" s="3" t="s">
        <v>119</v>
      </c>
      <c r="D290" s="91">
        <f t="shared" si="17"/>
        <v>1.4850000000000003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120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121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122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70</v>
      </c>
      <c r="C294" s="3" t="s">
        <v>119</v>
      </c>
      <c r="D294" s="91">
        <f t="shared" si="17"/>
        <v>1.4850000000000003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120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121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122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72</v>
      </c>
      <c r="C298" s="3" t="s">
        <v>119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120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121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122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81</v>
      </c>
      <c r="C302" s="3" t="s">
        <v>119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120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121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122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82</v>
      </c>
      <c r="C306" s="3" t="s">
        <v>119</v>
      </c>
      <c r="D306" s="91">
        <f t="shared" ref="D306:G325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120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121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122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84</v>
      </c>
      <c r="C310" s="3" t="s">
        <v>119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120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121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122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83</v>
      </c>
      <c r="C314" s="3" t="s">
        <v>119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120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121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122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86</v>
      </c>
      <c r="C318" s="3" t="s">
        <v>119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120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121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122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customHeight="1" x14ac:dyDescent="0.3">
      <c r="A323" s="67" t="s">
        <v>280</v>
      </c>
      <c r="B323" s="68"/>
      <c r="C323" s="68"/>
      <c r="D323" s="68"/>
      <c r="E323" s="68"/>
      <c r="F323" s="68"/>
      <c r="G323" s="68"/>
      <c r="H323" s="68"/>
      <c r="I323" s="68"/>
    </row>
    <row r="324" spans="1:9" ht="26" customHeight="1" x14ac:dyDescent="0.3">
      <c r="A324" s="39" t="s">
        <v>81</v>
      </c>
      <c r="B324" s="82" t="s">
        <v>122</v>
      </c>
      <c r="C324" s="69" t="s">
        <v>279</v>
      </c>
      <c r="D324" s="70" t="s">
        <v>67</v>
      </c>
      <c r="E324" s="70" t="s">
        <v>77</v>
      </c>
      <c r="F324" s="70" t="s">
        <v>78</v>
      </c>
      <c r="G324" s="70" t="s">
        <v>79</v>
      </c>
      <c r="H324" s="81" t="s">
        <v>80</v>
      </c>
      <c r="I324" s="79"/>
    </row>
    <row r="325" spans="1:9" ht="13" customHeight="1" x14ac:dyDescent="0.3">
      <c r="A325" s="4"/>
      <c r="C325" s="3" t="s">
        <v>119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120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121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122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rzjjr+eUY+zLxtgvRuigrXBCYk8ZjZeKkvy/Wu7lqFGhk7GKsrVngS9i2Jt2gxX9Fn0pC2b9tyB7+BxRGGivEA==" saltValue="vsQDJsypwJz22iUc18xJ6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0" tint="-0.249977111117893"/>
  </sheetPr>
  <dimension ref="A1:G67"/>
  <sheetViews>
    <sheetView topLeftCell="A6" zoomScale="70" zoomScaleNormal="70" workbookViewId="0">
      <selection activeCell="E53" sqref="E53"/>
    </sheetView>
  </sheetViews>
  <sheetFormatPr defaultColWidth="12.81640625" defaultRowHeight="12.5" x14ac:dyDescent="0.25"/>
  <cols>
    <col min="1" max="1" width="44.90625" style="8" customWidth="1"/>
    <col min="2" max="2" width="44.453125" style="8" customWidth="1"/>
    <col min="3" max="3" width="17.81640625" style="8" customWidth="1"/>
    <col min="4" max="4" width="17.54296875" style="8" customWidth="1"/>
    <col min="5" max="5" width="17.1796875" style="8" customWidth="1"/>
    <col min="6" max="6" width="15" style="8" customWidth="1"/>
    <col min="7" max="7" width="13.6328125" style="8" customWidth="1"/>
    <col min="8" max="8" width="12.81640625" style="8" customWidth="1"/>
    <col min="9" max="16384" width="12.81640625" style="8"/>
  </cols>
  <sheetData>
    <row r="1" spans="1:7" s="68" customFormat="1" ht="14.25" customHeight="1" x14ac:dyDescent="0.3">
      <c r="A1" s="67" t="s">
        <v>281</v>
      </c>
    </row>
    <row r="2" spans="1:7" ht="14.25" customHeight="1" x14ac:dyDescent="0.3">
      <c r="A2" s="82" t="s">
        <v>203</v>
      </c>
      <c r="B2" s="1"/>
      <c r="C2" s="4" t="s">
        <v>67</v>
      </c>
      <c r="D2" s="4" t="s">
        <v>77</v>
      </c>
      <c r="E2" s="4" t="s">
        <v>78</v>
      </c>
      <c r="F2" s="4" t="s">
        <v>79</v>
      </c>
      <c r="G2" s="4" t="s">
        <v>80</v>
      </c>
    </row>
    <row r="3" spans="1:7" ht="14.25" customHeight="1" x14ac:dyDescent="0.25">
      <c r="B3" s="11" t="s">
        <v>282</v>
      </c>
      <c r="C3" s="90" t="s">
        <v>283</v>
      </c>
      <c r="D3" s="90">
        <v>45</v>
      </c>
      <c r="E3" s="90">
        <v>361.6</v>
      </c>
      <c r="F3" s="90">
        <v>174.7</v>
      </c>
      <c r="G3" s="90">
        <v>174.7</v>
      </c>
    </row>
    <row r="4" spans="1:7" ht="14.25" customHeight="1" x14ac:dyDescent="0.3">
      <c r="A4" s="4"/>
      <c r="B4" s="5" t="s">
        <v>284</v>
      </c>
      <c r="C4" s="90">
        <v>1.0249999999999999</v>
      </c>
      <c r="D4" s="90">
        <v>1.0249999999999999</v>
      </c>
      <c r="E4" s="90">
        <v>1.0249999999999999</v>
      </c>
      <c r="F4" s="90">
        <v>1.0249999999999999</v>
      </c>
      <c r="G4" s="90">
        <v>1.0249999999999999</v>
      </c>
    </row>
    <row r="5" spans="1:7" ht="14.25" customHeight="1" x14ac:dyDescent="0.3">
      <c r="A5" s="14" t="s">
        <v>285</v>
      </c>
    </row>
    <row r="6" spans="1:7" ht="14.25" customHeight="1" x14ac:dyDescent="0.25">
      <c r="B6" s="5" t="s">
        <v>191</v>
      </c>
      <c r="C6" s="90">
        <v>1</v>
      </c>
      <c r="D6" s="90">
        <v>1</v>
      </c>
      <c r="E6" s="90">
        <v>0.64</v>
      </c>
      <c r="F6" s="90">
        <v>0.64</v>
      </c>
      <c r="G6" s="90">
        <v>1</v>
      </c>
    </row>
    <row r="7" spans="1:7" ht="14.25" customHeight="1" x14ac:dyDescent="0.25">
      <c r="B7" s="5" t="s">
        <v>184</v>
      </c>
      <c r="C7" s="90">
        <v>1</v>
      </c>
      <c r="D7" s="90">
        <v>1</v>
      </c>
      <c r="E7" s="90">
        <v>0.88</v>
      </c>
      <c r="F7" s="90">
        <v>0.88</v>
      </c>
      <c r="G7" s="90">
        <v>1</v>
      </c>
    </row>
    <row r="8" spans="1:7" ht="14.25" customHeight="1" x14ac:dyDescent="0.25">
      <c r="B8" s="5" t="s">
        <v>192</v>
      </c>
      <c r="C8" s="90">
        <v>1</v>
      </c>
      <c r="D8" s="90">
        <v>1</v>
      </c>
      <c r="E8" s="90">
        <v>0.88</v>
      </c>
      <c r="F8" s="90">
        <v>0.88</v>
      </c>
      <c r="G8" s="90">
        <v>1</v>
      </c>
    </row>
    <row r="9" spans="1:7" ht="14.25" customHeight="1" x14ac:dyDescent="0.25">
      <c r="B9" s="5" t="s">
        <v>200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</row>
    <row r="10" spans="1:7" ht="14.25" customHeight="1" x14ac:dyDescent="0.25">
      <c r="B10" s="5"/>
      <c r="C10" s="5"/>
      <c r="D10" s="5"/>
      <c r="E10" s="5"/>
      <c r="F10" s="5"/>
      <c r="G10" s="5"/>
    </row>
    <row r="11" spans="1:7" s="68" customFormat="1" ht="14.25" customHeight="1" x14ac:dyDescent="0.3">
      <c r="A11" s="67" t="s">
        <v>286</v>
      </c>
    </row>
    <row r="12" spans="1:7" ht="14.25" customHeight="1" x14ac:dyDescent="0.3">
      <c r="A12" s="14"/>
      <c r="B12" s="11" t="s">
        <v>183</v>
      </c>
      <c r="C12" s="90">
        <v>1.5</v>
      </c>
      <c r="D12" s="90">
        <v>1.39</v>
      </c>
      <c r="E12" s="90">
        <v>1</v>
      </c>
      <c r="F12" s="90">
        <v>1</v>
      </c>
      <c r="G12" s="90">
        <v>1</v>
      </c>
    </row>
    <row r="13" spans="1:7" ht="14.25" customHeight="1" x14ac:dyDescent="0.3">
      <c r="A13" s="14"/>
      <c r="B13" s="11"/>
    </row>
    <row r="14" spans="1:7" s="68" customFormat="1" ht="14.25" customHeight="1" x14ac:dyDescent="0.3">
      <c r="A14" s="67" t="s">
        <v>287</v>
      </c>
    </row>
    <row r="15" spans="1:7" ht="14.25" customHeight="1" x14ac:dyDescent="0.3">
      <c r="A15" s="82" t="s">
        <v>272</v>
      </c>
      <c r="B15" s="5" t="s">
        <v>288</v>
      </c>
      <c r="C15" s="90">
        <v>1.0249999999999999</v>
      </c>
      <c r="D15" s="90">
        <v>1.0249999999999999</v>
      </c>
      <c r="E15" s="90">
        <v>1.0249999999999999</v>
      </c>
      <c r="F15" s="90">
        <v>1.0249999999999999</v>
      </c>
      <c r="G15" s="90">
        <v>1.0249999999999999</v>
      </c>
    </row>
    <row r="16" spans="1:7" ht="14.25" customHeight="1" x14ac:dyDescent="0.3">
      <c r="A16" s="4"/>
      <c r="B16" s="5" t="s">
        <v>289</v>
      </c>
      <c r="C16" s="90">
        <v>1.0249999999999999</v>
      </c>
      <c r="D16" s="90">
        <v>1.0249999999999999</v>
      </c>
      <c r="E16" s="90">
        <v>1.0249999999999999</v>
      </c>
      <c r="F16" s="90">
        <v>1.0249999999999999</v>
      </c>
      <c r="G16" s="90">
        <v>1.0249999999999999</v>
      </c>
    </row>
    <row r="17" spans="1:7" ht="14.25" customHeight="1" x14ac:dyDescent="0.3">
      <c r="A17" s="82" t="s">
        <v>111</v>
      </c>
      <c r="B17" s="11" t="s">
        <v>290</v>
      </c>
      <c r="C17" s="90">
        <v>1</v>
      </c>
      <c r="D17" s="90">
        <v>1</v>
      </c>
      <c r="E17" s="90">
        <v>1</v>
      </c>
      <c r="F17" s="90">
        <v>1</v>
      </c>
      <c r="G17" s="90">
        <v>1</v>
      </c>
    </row>
    <row r="18" spans="1:7" ht="14.25" customHeight="1" x14ac:dyDescent="0.25"/>
    <row r="19" spans="1:7" s="68" customFormat="1" ht="14.25" customHeight="1" x14ac:dyDescent="0.3">
      <c r="A19" s="67" t="s">
        <v>291</v>
      </c>
    </row>
    <row r="20" spans="1:7" s="14" customFormat="1" ht="14.25" customHeight="1" x14ac:dyDescent="0.3">
      <c r="C20" s="4" t="s">
        <v>58</v>
      </c>
      <c r="D20" s="4" t="s">
        <v>59</v>
      </c>
      <c r="E20" s="4" t="s">
        <v>60</v>
      </c>
      <c r="F20" s="4" t="s">
        <v>61</v>
      </c>
    </row>
    <row r="21" spans="1:7" x14ac:dyDescent="0.25">
      <c r="B21" s="11" t="s">
        <v>171</v>
      </c>
      <c r="C21" s="90">
        <v>1.52</v>
      </c>
      <c r="D21" s="90">
        <v>1</v>
      </c>
      <c r="E21" s="90">
        <v>1</v>
      </c>
      <c r="F21" s="90">
        <v>1</v>
      </c>
    </row>
    <row r="23" spans="1:7" s="92" customFormat="1" ht="13" customHeight="1" x14ac:dyDescent="0.3">
      <c r="A23" s="92" t="s">
        <v>235</v>
      </c>
    </row>
    <row r="24" spans="1:7" ht="13" customHeight="1" x14ac:dyDescent="0.3">
      <c r="A24" s="67" t="s">
        <v>281</v>
      </c>
      <c r="B24" s="68"/>
      <c r="C24" s="68"/>
      <c r="D24" s="68"/>
      <c r="E24" s="68"/>
      <c r="F24" s="68"/>
      <c r="G24" s="68"/>
    </row>
    <row r="25" spans="1:7" ht="13" customHeight="1" x14ac:dyDescent="0.3">
      <c r="A25" s="82" t="s">
        <v>203</v>
      </c>
      <c r="B25" s="1"/>
      <c r="C25" s="4" t="s">
        <v>67</v>
      </c>
      <c r="D25" s="4" t="s">
        <v>77</v>
      </c>
      <c r="E25" s="4" t="s">
        <v>78</v>
      </c>
      <c r="F25" s="4" t="s">
        <v>79</v>
      </c>
      <c r="G25" s="4" t="s">
        <v>80</v>
      </c>
    </row>
    <row r="26" spans="1:7" x14ac:dyDescent="0.25">
      <c r="B26" s="11" t="s">
        <v>292</v>
      </c>
      <c r="C26" s="90" t="s">
        <v>283</v>
      </c>
      <c r="D26" s="90">
        <f>D3*0.9</f>
        <v>40.5</v>
      </c>
      <c r="E26" s="90">
        <f>E3*0.9</f>
        <v>325.44000000000005</v>
      </c>
      <c r="F26" s="90">
        <f>F3*0.9</f>
        <v>157.22999999999999</v>
      </c>
      <c r="G26" s="90">
        <f>G3*0.9</f>
        <v>157.22999999999999</v>
      </c>
    </row>
    <row r="27" spans="1:7" ht="13" customHeight="1" x14ac:dyDescent="0.3">
      <c r="A27" s="4"/>
      <c r="B27" s="5" t="s">
        <v>293</v>
      </c>
      <c r="C27" s="90">
        <f>IF(C4=1,1,C4*0.9)</f>
        <v>0.92249999999999999</v>
      </c>
      <c r="D27" s="90">
        <f>IF(D4=1,1,D4*0.9)</f>
        <v>0.92249999999999999</v>
      </c>
      <c r="E27" s="90">
        <f>IF(E4=1,1,E4*0.9)</f>
        <v>0.92249999999999999</v>
      </c>
      <c r="F27" s="90">
        <f>IF(F4=1,1,F4*0.9)</f>
        <v>0.92249999999999999</v>
      </c>
      <c r="G27" s="90">
        <f>IF(G4=1,1,G4*0.9)</f>
        <v>0.92249999999999999</v>
      </c>
    </row>
    <row r="28" spans="1:7" ht="13" customHeight="1" x14ac:dyDescent="0.3">
      <c r="A28" s="14" t="s">
        <v>294</v>
      </c>
    </row>
    <row r="29" spans="1:7" x14ac:dyDescent="0.25">
      <c r="B29" s="5" t="s">
        <v>295</v>
      </c>
      <c r="C29" s="90">
        <f t="shared" ref="C29:D32" si="0">IF(C6=1,1,C6*0.9)</f>
        <v>1</v>
      </c>
      <c r="D29" s="90">
        <f t="shared" si="0"/>
        <v>1</v>
      </c>
      <c r="E29" s="90">
        <v>0.44</v>
      </c>
      <c r="F29" s="90">
        <v>0.44</v>
      </c>
      <c r="G29" s="90">
        <f>IF(G6=1,1,G6*0.9)</f>
        <v>1</v>
      </c>
    </row>
    <row r="30" spans="1:7" x14ac:dyDescent="0.25">
      <c r="B30" s="5" t="s">
        <v>296</v>
      </c>
      <c r="C30" s="90">
        <f t="shared" si="0"/>
        <v>1</v>
      </c>
      <c r="D30" s="90">
        <f t="shared" si="0"/>
        <v>1</v>
      </c>
      <c r="E30" s="90">
        <v>0.85</v>
      </c>
      <c r="F30" s="90">
        <v>0.85</v>
      </c>
      <c r="G30" s="90">
        <f>IF(G7=1,1,G7*0.9)</f>
        <v>1</v>
      </c>
    </row>
    <row r="31" spans="1:7" x14ac:dyDescent="0.25">
      <c r="B31" s="5" t="s">
        <v>297</v>
      </c>
      <c r="C31" s="90">
        <f t="shared" si="0"/>
        <v>1</v>
      </c>
      <c r="D31" s="90">
        <f t="shared" si="0"/>
        <v>1</v>
      </c>
      <c r="E31" s="90">
        <v>0.85</v>
      </c>
      <c r="F31" s="90">
        <v>0.85</v>
      </c>
      <c r="G31" s="90">
        <f>IF(G8=1,1,G8*0.9)</f>
        <v>1</v>
      </c>
    </row>
    <row r="32" spans="1:7" x14ac:dyDescent="0.25">
      <c r="B32" s="5" t="s">
        <v>298</v>
      </c>
      <c r="C32" s="90">
        <f t="shared" si="0"/>
        <v>1</v>
      </c>
      <c r="D32" s="90">
        <f t="shared" si="0"/>
        <v>1</v>
      </c>
      <c r="E32" s="90">
        <f>IF(E9=1,1,E9*0.9)</f>
        <v>1</v>
      </c>
      <c r="F32" s="90">
        <f>IF(F9=1,1,F9*0.9)</f>
        <v>1</v>
      </c>
      <c r="G32" s="90">
        <f>IF(G9=1,1,G9*0.9)</f>
        <v>1</v>
      </c>
    </row>
    <row r="33" spans="1:7" x14ac:dyDescent="0.25">
      <c r="B33" s="5"/>
      <c r="C33" s="5"/>
      <c r="D33" s="5"/>
      <c r="E33" s="5"/>
      <c r="F33" s="5"/>
      <c r="G33" s="5"/>
    </row>
    <row r="34" spans="1:7" ht="13" customHeight="1" x14ac:dyDescent="0.3">
      <c r="A34" s="67" t="s">
        <v>299</v>
      </c>
      <c r="B34" s="68"/>
      <c r="C34" s="68"/>
      <c r="D34" s="68"/>
      <c r="E34" s="68"/>
      <c r="F34" s="68"/>
      <c r="G34" s="68"/>
    </row>
    <row r="35" spans="1:7" ht="13" customHeight="1" x14ac:dyDescent="0.3">
      <c r="A35" s="14"/>
      <c r="B35" s="11" t="s">
        <v>300</v>
      </c>
      <c r="C35" s="90">
        <v>1.26</v>
      </c>
      <c r="D35" s="90">
        <v>1.1100000000000001</v>
      </c>
      <c r="E35" s="90">
        <v>1</v>
      </c>
      <c r="F35" s="90">
        <v>1</v>
      </c>
      <c r="G35" s="90">
        <v>1</v>
      </c>
    </row>
    <row r="36" spans="1:7" ht="13" customHeight="1" x14ac:dyDescent="0.3">
      <c r="A36" s="14"/>
      <c r="B36" s="11"/>
    </row>
    <row r="37" spans="1:7" ht="13" customHeight="1" x14ac:dyDescent="0.3">
      <c r="A37" s="67" t="s">
        <v>287</v>
      </c>
      <c r="B37" s="68"/>
      <c r="C37" s="68"/>
      <c r="D37" s="68"/>
      <c r="E37" s="68"/>
      <c r="F37" s="68"/>
      <c r="G37" s="68"/>
    </row>
    <row r="38" spans="1:7" ht="13" customHeight="1" x14ac:dyDescent="0.3">
      <c r="A38" s="82" t="s">
        <v>272</v>
      </c>
      <c r="B38" s="5" t="s">
        <v>301</v>
      </c>
      <c r="C38" s="90">
        <f t="shared" ref="C38:G40" si="1">IF(C15=1,1,C15*0.9)</f>
        <v>0.92249999999999999</v>
      </c>
      <c r="D38" s="90">
        <f t="shared" si="1"/>
        <v>0.92249999999999999</v>
      </c>
      <c r="E38" s="90">
        <f t="shared" si="1"/>
        <v>0.92249999999999999</v>
      </c>
      <c r="F38" s="90">
        <f t="shared" si="1"/>
        <v>0.92249999999999999</v>
      </c>
      <c r="G38" s="90">
        <f t="shared" si="1"/>
        <v>0.92249999999999999</v>
      </c>
    </row>
    <row r="39" spans="1:7" ht="13" customHeight="1" x14ac:dyDescent="0.3">
      <c r="A39" s="4"/>
      <c r="B39" s="5" t="s">
        <v>302</v>
      </c>
      <c r="C39" s="90">
        <f t="shared" si="1"/>
        <v>0.92249999999999999</v>
      </c>
      <c r="D39" s="90">
        <f t="shared" si="1"/>
        <v>0.92249999999999999</v>
      </c>
      <c r="E39" s="90">
        <f t="shared" si="1"/>
        <v>0.92249999999999999</v>
      </c>
      <c r="F39" s="90">
        <f t="shared" si="1"/>
        <v>0.92249999999999999</v>
      </c>
      <c r="G39" s="90">
        <f t="shared" si="1"/>
        <v>0.92249999999999999</v>
      </c>
    </row>
    <row r="40" spans="1:7" ht="13" customHeight="1" x14ac:dyDescent="0.3">
      <c r="A40" s="82" t="s">
        <v>111</v>
      </c>
      <c r="B40" s="11" t="s">
        <v>303</v>
      </c>
      <c r="C40" s="90">
        <f t="shared" si="1"/>
        <v>1</v>
      </c>
      <c r="D40" s="90">
        <f t="shared" si="1"/>
        <v>1</v>
      </c>
      <c r="E40" s="90">
        <f t="shared" si="1"/>
        <v>1</v>
      </c>
      <c r="F40" s="90">
        <f t="shared" si="1"/>
        <v>1</v>
      </c>
      <c r="G40" s="90">
        <f t="shared" si="1"/>
        <v>1</v>
      </c>
    </row>
    <row r="42" spans="1:7" ht="13" customHeight="1" x14ac:dyDescent="0.3">
      <c r="A42" s="67" t="s">
        <v>304</v>
      </c>
      <c r="B42" s="68"/>
      <c r="C42" s="68"/>
      <c r="D42" s="68"/>
      <c r="E42" s="68"/>
      <c r="F42" s="68"/>
      <c r="G42" s="68"/>
    </row>
    <row r="43" spans="1:7" ht="13" customHeight="1" x14ac:dyDescent="0.3">
      <c r="A43" s="14"/>
      <c r="B43" s="14"/>
      <c r="C43" s="4" t="s">
        <v>58</v>
      </c>
      <c r="D43" s="4" t="s">
        <v>59</v>
      </c>
      <c r="E43" s="4" t="s">
        <v>60</v>
      </c>
      <c r="F43" s="4" t="s">
        <v>61</v>
      </c>
      <c r="G43" s="14"/>
    </row>
    <row r="44" spans="1:7" x14ac:dyDescent="0.25">
      <c r="B44" s="11" t="s">
        <v>305</v>
      </c>
      <c r="C44" s="90">
        <f>C21*0.9</f>
        <v>1.3680000000000001</v>
      </c>
      <c r="D44" s="90">
        <v>1</v>
      </c>
      <c r="E44" s="90">
        <v>1</v>
      </c>
      <c r="F44" s="90">
        <v>1</v>
      </c>
    </row>
    <row r="46" spans="1:7" s="92" customFormat="1" ht="13" customHeight="1" x14ac:dyDescent="0.3">
      <c r="A46" s="92" t="s">
        <v>239</v>
      </c>
    </row>
    <row r="47" spans="1:7" ht="13" customHeight="1" x14ac:dyDescent="0.3">
      <c r="A47" s="67" t="s">
        <v>281</v>
      </c>
      <c r="B47" s="68"/>
      <c r="C47" s="68"/>
      <c r="D47" s="68"/>
      <c r="E47" s="68"/>
      <c r="F47" s="68"/>
      <c r="G47" s="68"/>
    </row>
    <row r="48" spans="1:7" ht="13" customHeight="1" x14ac:dyDescent="0.3">
      <c r="A48" s="82" t="s">
        <v>203</v>
      </c>
      <c r="B48" s="1"/>
      <c r="C48" s="4" t="s">
        <v>67</v>
      </c>
      <c r="D48" s="4" t="s">
        <v>77</v>
      </c>
      <c r="E48" s="4" t="s">
        <v>78</v>
      </c>
      <c r="F48" s="4" t="s">
        <v>79</v>
      </c>
      <c r="G48" s="4" t="s">
        <v>80</v>
      </c>
    </row>
    <row r="49" spans="1:7" x14ac:dyDescent="0.25">
      <c r="B49" s="11" t="s">
        <v>306</v>
      </c>
      <c r="C49" s="90" t="s">
        <v>283</v>
      </c>
      <c r="D49" s="90">
        <f t="shared" ref="D49:G50" si="2">D3*1.05</f>
        <v>47.25</v>
      </c>
      <c r="E49" s="90">
        <f t="shared" si="2"/>
        <v>379.68000000000006</v>
      </c>
      <c r="F49" s="90">
        <f t="shared" si="2"/>
        <v>183.435</v>
      </c>
      <c r="G49" s="90">
        <f t="shared" si="2"/>
        <v>183.435</v>
      </c>
    </row>
    <row r="50" spans="1:7" ht="13" customHeight="1" x14ac:dyDescent="0.3">
      <c r="A50" s="4"/>
      <c r="B50" s="5" t="s">
        <v>307</v>
      </c>
      <c r="C50" s="90">
        <f>C4*1.05</f>
        <v>1.0762499999999999</v>
      </c>
      <c r="D50" s="90">
        <f t="shared" si="2"/>
        <v>1.0762499999999999</v>
      </c>
      <c r="E50" s="90">
        <f t="shared" si="2"/>
        <v>1.0762499999999999</v>
      </c>
      <c r="F50" s="90">
        <f t="shared" si="2"/>
        <v>1.0762499999999999</v>
      </c>
      <c r="G50" s="90">
        <f t="shared" si="2"/>
        <v>1.0762499999999999</v>
      </c>
    </row>
    <row r="51" spans="1:7" ht="13" customHeight="1" x14ac:dyDescent="0.3">
      <c r="A51" s="14" t="s">
        <v>308</v>
      </c>
    </row>
    <row r="52" spans="1:7" x14ac:dyDescent="0.25">
      <c r="B52" s="5" t="s">
        <v>309</v>
      </c>
      <c r="C52" s="90">
        <f t="shared" ref="C52:D55" si="3">IF(C6=1,1,C6*1.1)</f>
        <v>1</v>
      </c>
      <c r="D52" s="90">
        <f t="shared" si="3"/>
        <v>1</v>
      </c>
      <c r="E52" s="90">
        <v>0.92</v>
      </c>
      <c r="F52" s="90">
        <v>0.92</v>
      </c>
      <c r="G52" s="90">
        <f>IF(G6=1,1,G6*1.1)</f>
        <v>1</v>
      </c>
    </row>
    <row r="53" spans="1:7" x14ac:dyDescent="0.25">
      <c r="B53" s="5" t="s">
        <v>310</v>
      </c>
      <c r="C53" s="90">
        <f t="shared" si="3"/>
        <v>1</v>
      </c>
      <c r="D53" s="90">
        <f t="shared" si="3"/>
        <v>1</v>
      </c>
      <c r="E53" s="90">
        <v>0.91</v>
      </c>
      <c r="F53" s="90">
        <v>0.91</v>
      </c>
      <c r="G53" s="90">
        <f>IF(G7=1,1,G7*1.1)</f>
        <v>1</v>
      </c>
    </row>
    <row r="54" spans="1:7" x14ac:dyDescent="0.25">
      <c r="B54" s="5" t="s">
        <v>311</v>
      </c>
      <c r="C54" s="90">
        <f t="shared" si="3"/>
        <v>1</v>
      </c>
      <c r="D54" s="90">
        <f t="shared" si="3"/>
        <v>1</v>
      </c>
      <c r="E54" s="90">
        <v>0.91</v>
      </c>
      <c r="F54" s="90">
        <v>0.91</v>
      </c>
      <c r="G54" s="90">
        <f>IF(G8=1,1,G8*1.1)</f>
        <v>1</v>
      </c>
    </row>
    <row r="55" spans="1:7" x14ac:dyDescent="0.25">
      <c r="B55" s="5" t="s">
        <v>312</v>
      </c>
      <c r="C55" s="90">
        <f t="shared" si="3"/>
        <v>1</v>
      </c>
      <c r="D55" s="90">
        <f t="shared" si="3"/>
        <v>1</v>
      </c>
      <c r="E55" s="90">
        <f>IF(E9=1,1,E9*1.1)</f>
        <v>1</v>
      </c>
      <c r="F55" s="90">
        <f>IF(F9=1,1,F9*1.1)</f>
        <v>1</v>
      </c>
      <c r="G55" s="90">
        <f>IF(G9=1,1,G9*1.1)</f>
        <v>1</v>
      </c>
    </row>
    <row r="56" spans="1:7" x14ac:dyDescent="0.25">
      <c r="B56" s="5"/>
      <c r="C56" s="5"/>
      <c r="D56" s="5"/>
      <c r="E56" s="5"/>
      <c r="F56" s="5"/>
      <c r="G56" s="5"/>
    </row>
    <row r="57" spans="1:7" ht="13" customHeight="1" x14ac:dyDescent="0.3">
      <c r="A57" s="67" t="s">
        <v>313</v>
      </c>
      <c r="B57" s="68"/>
      <c r="C57" s="68"/>
      <c r="D57" s="68"/>
      <c r="E57" s="68"/>
      <c r="F57" s="68"/>
      <c r="G57" s="68"/>
    </row>
    <row r="58" spans="1:7" ht="13" customHeight="1" x14ac:dyDescent="0.3">
      <c r="A58" s="14"/>
      <c r="B58" s="11" t="s">
        <v>314</v>
      </c>
      <c r="C58" s="90">
        <v>1.78</v>
      </c>
      <c r="D58" s="90">
        <v>1.74</v>
      </c>
      <c r="E58" s="90">
        <v>1</v>
      </c>
      <c r="F58" s="90">
        <v>1</v>
      </c>
      <c r="G58" s="90">
        <v>1</v>
      </c>
    </row>
    <row r="59" spans="1:7" ht="13" customHeight="1" x14ac:dyDescent="0.3">
      <c r="A59" s="14"/>
      <c r="B59" s="11"/>
    </row>
    <row r="60" spans="1:7" ht="13" customHeight="1" x14ac:dyDescent="0.3">
      <c r="A60" s="67" t="s">
        <v>287</v>
      </c>
      <c r="B60" s="68"/>
      <c r="C60" s="68"/>
      <c r="D60" s="68"/>
      <c r="E60" s="68"/>
      <c r="F60" s="68"/>
      <c r="G60" s="68"/>
    </row>
    <row r="61" spans="1:7" ht="13" customHeight="1" x14ac:dyDescent="0.3">
      <c r="A61" s="82" t="s">
        <v>272</v>
      </c>
      <c r="B61" s="5" t="s">
        <v>315</v>
      </c>
      <c r="C61" s="90">
        <f t="shared" ref="C61:G63" si="4">IF(C15=1,1,C15*1.1)</f>
        <v>1.1274999999999999</v>
      </c>
      <c r="D61" s="90">
        <f t="shared" si="4"/>
        <v>1.1274999999999999</v>
      </c>
      <c r="E61" s="90">
        <f t="shared" si="4"/>
        <v>1.1274999999999999</v>
      </c>
      <c r="F61" s="90">
        <f t="shared" si="4"/>
        <v>1.1274999999999999</v>
      </c>
      <c r="G61" s="90">
        <f t="shared" si="4"/>
        <v>1.1274999999999999</v>
      </c>
    </row>
    <row r="62" spans="1:7" ht="13" customHeight="1" x14ac:dyDescent="0.3">
      <c r="A62" s="4"/>
      <c r="B62" s="5" t="s">
        <v>316</v>
      </c>
      <c r="C62" s="90">
        <f t="shared" si="4"/>
        <v>1.1274999999999999</v>
      </c>
      <c r="D62" s="90">
        <f t="shared" si="4"/>
        <v>1.1274999999999999</v>
      </c>
      <c r="E62" s="90">
        <f t="shared" si="4"/>
        <v>1.1274999999999999</v>
      </c>
      <c r="F62" s="90">
        <f t="shared" si="4"/>
        <v>1.1274999999999999</v>
      </c>
      <c r="G62" s="90">
        <f t="shared" si="4"/>
        <v>1.1274999999999999</v>
      </c>
    </row>
    <row r="63" spans="1:7" ht="13" customHeight="1" x14ac:dyDescent="0.3">
      <c r="A63" s="82" t="s">
        <v>111</v>
      </c>
      <c r="B63" s="11" t="s">
        <v>317</v>
      </c>
      <c r="C63" s="90">
        <f t="shared" si="4"/>
        <v>1</v>
      </c>
      <c r="D63" s="90">
        <f t="shared" si="4"/>
        <v>1</v>
      </c>
      <c r="E63" s="90">
        <f t="shared" si="4"/>
        <v>1</v>
      </c>
      <c r="F63" s="90">
        <f t="shared" si="4"/>
        <v>1</v>
      </c>
      <c r="G63" s="90">
        <f t="shared" si="4"/>
        <v>1</v>
      </c>
    </row>
    <row r="65" spans="1:7" ht="13" customHeight="1" x14ac:dyDescent="0.3">
      <c r="A65" s="67" t="s">
        <v>318</v>
      </c>
      <c r="B65" s="68"/>
      <c r="C65" s="68"/>
      <c r="D65" s="68"/>
      <c r="E65" s="68"/>
      <c r="F65" s="68"/>
      <c r="G65" s="68"/>
    </row>
    <row r="66" spans="1:7" ht="13" customHeight="1" x14ac:dyDescent="0.3">
      <c r="A66" s="14"/>
      <c r="B66" s="14"/>
      <c r="C66" s="4" t="s">
        <v>58</v>
      </c>
      <c r="D66" s="4" t="s">
        <v>59</v>
      </c>
      <c r="E66" s="4" t="s">
        <v>60</v>
      </c>
      <c r="F66" s="4" t="s">
        <v>61</v>
      </c>
      <c r="G66" s="14"/>
    </row>
    <row r="67" spans="1:7" x14ac:dyDescent="0.25">
      <c r="B67" s="11" t="s">
        <v>319</v>
      </c>
      <c r="C67" s="90">
        <f>C21*1.1</f>
        <v>1.6720000000000002</v>
      </c>
      <c r="D67" s="90">
        <v>1</v>
      </c>
      <c r="E67" s="90">
        <v>1</v>
      </c>
      <c r="F67" s="90">
        <v>1</v>
      </c>
    </row>
  </sheetData>
  <sheetProtection algorithmName="SHA-512" hashValue="uxH3qxfpHv3MxEVFpMF959vuuHVMbjUY0YDJlIXIgHOAA25UaRTm/IIjRx7RzEUfWaTP3eP7cZpYIm+m6J8PbA==" saltValue="wm1A0TwV/0DyOIoqtNvfs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0" tint="-0.249977111117893"/>
  </sheetPr>
  <dimension ref="A1:F43"/>
  <sheetViews>
    <sheetView topLeftCell="A10" zoomScale="70" zoomScaleNormal="70" workbookViewId="0">
      <selection activeCell="D5" sqref="D5"/>
    </sheetView>
  </sheetViews>
  <sheetFormatPr defaultColWidth="16.08984375" defaultRowHeight="15.75" customHeight="1" x14ac:dyDescent="0.25"/>
  <cols>
    <col min="1" max="1" width="52.1796875" style="8" customWidth="1"/>
    <col min="2" max="6" width="16.08984375" style="8" customWidth="1"/>
    <col min="7" max="7" width="17.1796875" style="8" customWidth="1"/>
    <col min="8" max="9" width="16.08984375" style="8" customWidth="1"/>
    <col min="10" max="16384" width="16.08984375" style="8"/>
  </cols>
  <sheetData>
    <row r="1" spans="1:6" ht="15.75" customHeight="1" x14ac:dyDescent="0.3">
      <c r="A1" s="1" t="s">
        <v>156</v>
      </c>
      <c r="B1" s="4"/>
      <c r="C1" s="4" t="s">
        <v>40</v>
      </c>
      <c r="D1" s="4" t="s">
        <v>42</v>
      </c>
      <c r="E1" s="4" t="s">
        <v>41</v>
      </c>
      <c r="F1" s="1" t="s">
        <v>43</v>
      </c>
    </row>
    <row r="2" spans="1:6" ht="15.75" customHeight="1" x14ac:dyDescent="0.25">
      <c r="A2" s="5" t="s">
        <v>166</v>
      </c>
      <c r="B2" s="5" t="s">
        <v>320</v>
      </c>
      <c r="C2" s="90">
        <v>0.28999999999999998</v>
      </c>
      <c r="D2" s="90">
        <v>0.28999999999999998</v>
      </c>
      <c r="E2" s="90">
        <v>0</v>
      </c>
      <c r="F2" s="90">
        <v>0</v>
      </c>
    </row>
    <row r="3" spans="1:6" ht="15.75" customHeight="1" x14ac:dyDescent="0.25">
      <c r="A3" s="5"/>
      <c r="B3" s="5" t="s">
        <v>321</v>
      </c>
      <c r="C3" s="90">
        <v>1</v>
      </c>
      <c r="D3" s="90">
        <v>1</v>
      </c>
      <c r="E3" s="90">
        <v>1</v>
      </c>
      <c r="F3" s="90">
        <v>1</v>
      </c>
    </row>
    <row r="4" spans="1:6" ht="15.75" customHeight="1" x14ac:dyDescent="0.25">
      <c r="A4" s="5" t="s">
        <v>179</v>
      </c>
      <c r="B4" s="5" t="s">
        <v>320</v>
      </c>
      <c r="C4" s="90">
        <v>0.61</v>
      </c>
      <c r="D4" s="90">
        <v>0.61</v>
      </c>
      <c r="E4" s="90">
        <v>0</v>
      </c>
      <c r="F4" s="90">
        <v>0</v>
      </c>
    </row>
    <row r="5" spans="1:6" ht="15.75" customHeight="1" x14ac:dyDescent="0.25">
      <c r="A5" s="5"/>
      <c r="B5" s="5" t="s">
        <v>321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5" t="s">
        <v>180</v>
      </c>
      <c r="B6" s="5" t="s">
        <v>320</v>
      </c>
      <c r="C6" s="90">
        <v>0.61</v>
      </c>
      <c r="D6" s="90">
        <v>0.61</v>
      </c>
      <c r="E6" s="90">
        <v>0</v>
      </c>
      <c r="F6" s="90">
        <v>0</v>
      </c>
    </row>
    <row r="7" spans="1:6" ht="15.75" customHeight="1" x14ac:dyDescent="0.25">
      <c r="A7" s="5"/>
      <c r="B7" s="5" t="s">
        <v>321</v>
      </c>
      <c r="C7" s="90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A8" s="5" t="s">
        <v>181</v>
      </c>
      <c r="B8" s="5" t="s">
        <v>320</v>
      </c>
      <c r="C8" s="90">
        <v>0.35</v>
      </c>
      <c r="D8" s="90">
        <v>0.35</v>
      </c>
      <c r="E8" s="90">
        <v>0</v>
      </c>
      <c r="F8" s="90">
        <v>0</v>
      </c>
    </row>
    <row r="9" spans="1:6" ht="15.75" customHeight="1" x14ac:dyDescent="0.25">
      <c r="A9" s="5"/>
      <c r="B9" s="5" t="s">
        <v>321</v>
      </c>
      <c r="C9" s="90">
        <v>1</v>
      </c>
      <c r="D9" s="90">
        <v>1</v>
      </c>
      <c r="E9" s="90">
        <v>0</v>
      </c>
      <c r="F9" s="90">
        <v>0</v>
      </c>
    </row>
    <row r="10" spans="1:6" ht="15.75" customHeight="1" x14ac:dyDescent="0.25">
      <c r="A10" s="5" t="s">
        <v>185</v>
      </c>
      <c r="B10" s="5" t="s">
        <v>320</v>
      </c>
      <c r="C10" s="90">
        <v>0.35</v>
      </c>
      <c r="D10" s="90">
        <v>0.35</v>
      </c>
      <c r="E10" s="90">
        <v>0</v>
      </c>
      <c r="F10" s="90">
        <v>0</v>
      </c>
    </row>
    <row r="11" spans="1:6" ht="15.75" customHeight="1" x14ac:dyDescent="0.25">
      <c r="A11" s="5"/>
      <c r="B11" s="5" t="s">
        <v>321</v>
      </c>
      <c r="C11" s="90">
        <v>1</v>
      </c>
      <c r="D11" s="90">
        <v>1</v>
      </c>
      <c r="E11" s="90">
        <v>0</v>
      </c>
      <c r="F11" s="90">
        <v>0</v>
      </c>
    </row>
    <row r="12" spans="1:6" ht="15.75" customHeight="1" x14ac:dyDescent="0.25">
      <c r="A12" s="5" t="s">
        <v>189</v>
      </c>
      <c r="B12" s="5" t="s">
        <v>320</v>
      </c>
      <c r="C12" s="90">
        <f>1-0.93*0.39</f>
        <v>0.63729999999999998</v>
      </c>
      <c r="D12" s="90">
        <f>1-0.93*0.39</f>
        <v>0.63729999999999998</v>
      </c>
      <c r="E12" s="90">
        <v>0</v>
      </c>
      <c r="F12" s="90">
        <v>0</v>
      </c>
    </row>
    <row r="13" spans="1:6" ht="15.75" customHeight="1" x14ac:dyDescent="0.25">
      <c r="A13" s="5"/>
      <c r="B13" s="5" t="s">
        <v>321</v>
      </c>
      <c r="C13" s="90">
        <v>1</v>
      </c>
      <c r="D13" s="90">
        <v>1</v>
      </c>
      <c r="E13" s="90">
        <v>1</v>
      </c>
      <c r="F13" s="90">
        <v>1</v>
      </c>
    </row>
    <row r="15" spans="1:6" s="92" customFormat="1" ht="15.75" customHeight="1" x14ac:dyDescent="0.3">
      <c r="A15" s="92" t="s">
        <v>235</v>
      </c>
    </row>
    <row r="16" spans="1:6" ht="15.75" customHeight="1" x14ac:dyDescent="0.3">
      <c r="A16" s="1" t="s">
        <v>156</v>
      </c>
      <c r="B16" s="4"/>
      <c r="C16" s="4" t="s">
        <v>40</v>
      </c>
      <c r="D16" s="4" t="s">
        <v>42</v>
      </c>
      <c r="E16" s="4" t="s">
        <v>41</v>
      </c>
      <c r="F16" s="1" t="s">
        <v>43</v>
      </c>
    </row>
    <row r="17" spans="1:6" ht="15.75" customHeight="1" x14ac:dyDescent="0.25">
      <c r="A17" s="5" t="s">
        <v>166</v>
      </c>
      <c r="B17" s="5" t="s">
        <v>320</v>
      </c>
      <c r="C17" s="90">
        <f>1-0.94</f>
        <v>6.0000000000000053E-2</v>
      </c>
      <c r="D17" s="90">
        <f>1-0.94</f>
        <v>6.0000000000000053E-2</v>
      </c>
      <c r="E17" s="90">
        <f>E2*0.9</f>
        <v>0</v>
      </c>
      <c r="F17" s="90">
        <f>F2*0.9</f>
        <v>0</v>
      </c>
    </row>
    <row r="18" spans="1:6" ht="15.75" customHeight="1" x14ac:dyDescent="0.25">
      <c r="A18" s="5"/>
      <c r="B18" s="5" t="s">
        <v>321</v>
      </c>
      <c r="C18" s="90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A19" s="5" t="s">
        <v>179</v>
      </c>
      <c r="B19" s="5" t="s">
        <v>320</v>
      </c>
      <c r="C19" s="90">
        <f>1-0.86</f>
        <v>0.14000000000000001</v>
      </c>
      <c r="D19" s="90">
        <f>1-0.86</f>
        <v>0.14000000000000001</v>
      </c>
      <c r="E19" s="90">
        <f>E4*0.9</f>
        <v>0</v>
      </c>
      <c r="F19" s="90">
        <f>F4*0.9</f>
        <v>0</v>
      </c>
    </row>
    <row r="20" spans="1:6" ht="15.75" customHeight="1" x14ac:dyDescent="0.25">
      <c r="A20" s="5"/>
      <c r="B20" s="5" t="s">
        <v>321</v>
      </c>
      <c r="C20" s="90">
        <v>1</v>
      </c>
      <c r="D20" s="90">
        <v>1</v>
      </c>
      <c r="E20" s="90">
        <v>1</v>
      </c>
      <c r="F20" s="90">
        <v>1</v>
      </c>
    </row>
    <row r="21" spans="1:6" ht="15.75" customHeight="1" x14ac:dyDescent="0.25">
      <c r="A21" s="5" t="s">
        <v>180</v>
      </c>
      <c r="B21" s="5" t="s">
        <v>320</v>
      </c>
      <c r="C21" s="90">
        <f>1-0.86</f>
        <v>0.14000000000000001</v>
      </c>
      <c r="D21" s="90">
        <f>1-0.86</f>
        <v>0.14000000000000001</v>
      </c>
      <c r="E21" s="90">
        <f>E6*0.9</f>
        <v>0</v>
      </c>
      <c r="F21" s="90">
        <f>F6*0.9</f>
        <v>0</v>
      </c>
    </row>
    <row r="22" spans="1:6" ht="15.75" customHeight="1" x14ac:dyDescent="0.25">
      <c r="A22" s="5"/>
      <c r="B22" s="5" t="s">
        <v>321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5" t="s">
        <v>181</v>
      </c>
      <c r="B23" s="5" t="s">
        <v>320</v>
      </c>
      <c r="C23" s="90">
        <f>1-0.77</f>
        <v>0.22999999999999998</v>
      </c>
      <c r="D23" s="90">
        <f>1-0.77</f>
        <v>0.22999999999999998</v>
      </c>
      <c r="E23" s="90">
        <f>E10*0.9</f>
        <v>0</v>
      </c>
      <c r="F23" s="90">
        <f>F10*0.9</f>
        <v>0</v>
      </c>
    </row>
    <row r="24" spans="1:6" ht="15.75" customHeight="1" x14ac:dyDescent="0.25">
      <c r="A24" s="5"/>
      <c r="B24" s="5" t="s">
        <v>321</v>
      </c>
      <c r="C24" s="90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A25" s="5" t="s">
        <v>185</v>
      </c>
      <c r="B25" s="5" t="s">
        <v>320</v>
      </c>
      <c r="C25" s="90">
        <f>1-0.77</f>
        <v>0.22999999999999998</v>
      </c>
      <c r="D25" s="90">
        <f>1-0.77</f>
        <v>0.22999999999999998</v>
      </c>
      <c r="E25" s="90">
        <f>E10*0.9</f>
        <v>0</v>
      </c>
      <c r="F25" s="90">
        <f>F10*0.9</f>
        <v>0</v>
      </c>
    </row>
    <row r="26" spans="1:6" ht="15.75" customHeight="1" x14ac:dyDescent="0.25">
      <c r="A26" s="5"/>
      <c r="B26" s="5" t="s">
        <v>321</v>
      </c>
      <c r="C26" s="90">
        <v>1</v>
      </c>
      <c r="D26" s="90">
        <v>1</v>
      </c>
      <c r="E26" s="90">
        <v>1</v>
      </c>
      <c r="F26" s="90">
        <v>1</v>
      </c>
    </row>
    <row r="27" spans="1:6" ht="15.75" customHeight="1" x14ac:dyDescent="0.25">
      <c r="A27" s="5" t="s">
        <v>189</v>
      </c>
      <c r="B27" s="5" t="s">
        <v>320</v>
      </c>
      <c r="C27" s="90">
        <f>1-0.98*0.86</f>
        <v>0.15720000000000001</v>
      </c>
      <c r="D27" s="90">
        <f>1-0.98*0.86</f>
        <v>0.15720000000000001</v>
      </c>
      <c r="E27" s="90">
        <f>E12*0.9</f>
        <v>0</v>
      </c>
      <c r="F27" s="90">
        <f>F12*0.9</f>
        <v>0</v>
      </c>
    </row>
    <row r="28" spans="1:6" ht="15.75" customHeight="1" x14ac:dyDescent="0.25">
      <c r="A28" s="5"/>
      <c r="B28" s="5" t="s">
        <v>321</v>
      </c>
      <c r="C28" s="90">
        <v>1</v>
      </c>
      <c r="D28" s="90">
        <v>1</v>
      </c>
      <c r="E28" s="90">
        <v>1</v>
      </c>
      <c r="F28" s="90">
        <v>1</v>
      </c>
    </row>
    <row r="30" spans="1:6" s="92" customFormat="1" ht="15.75" customHeight="1" x14ac:dyDescent="0.3">
      <c r="A30" s="92" t="s">
        <v>239</v>
      </c>
    </row>
    <row r="31" spans="1:6" ht="15.75" customHeight="1" x14ac:dyDescent="0.3">
      <c r="A31" s="1" t="s">
        <v>156</v>
      </c>
      <c r="B31" s="4"/>
      <c r="C31" s="4" t="s">
        <v>40</v>
      </c>
      <c r="D31" s="4" t="s">
        <v>42</v>
      </c>
      <c r="E31" s="4" t="s">
        <v>41</v>
      </c>
      <c r="F31" s="1" t="s">
        <v>43</v>
      </c>
    </row>
    <row r="32" spans="1:6" ht="15.75" customHeight="1" x14ac:dyDescent="0.25">
      <c r="A32" s="5" t="s">
        <v>166</v>
      </c>
      <c r="B32" s="5" t="s">
        <v>320</v>
      </c>
      <c r="C32" s="90">
        <f>1-0.54</f>
        <v>0.45999999999999996</v>
      </c>
      <c r="D32" s="90">
        <f>1-0.54</f>
        <v>0.45999999999999996</v>
      </c>
      <c r="E32" s="90">
        <f>E2*1.1</f>
        <v>0</v>
      </c>
      <c r="F32" s="90">
        <f>F2*1.1</f>
        <v>0</v>
      </c>
    </row>
    <row r="33" spans="1:6" ht="15.75" customHeight="1" x14ac:dyDescent="0.25">
      <c r="A33" s="5"/>
      <c r="B33" s="5" t="s">
        <v>321</v>
      </c>
      <c r="C33" s="90">
        <v>1</v>
      </c>
      <c r="D33" s="90">
        <v>1</v>
      </c>
      <c r="E33" s="90">
        <v>1</v>
      </c>
      <c r="F33" s="90">
        <v>1</v>
      </c>
    </row>
    <row r="34" spans="1:6" ht="15.75" customHeight="1" x14ac:dyDescent="0.25">
      <c r="A34" s="5" t="s">
        <v>179</v>
      </c>
      <c r="B34" s="5" t="s">
        <v>320</v>
      </c>
      <c r="C34" s="90">
        <f>1-0.17</f>
        <v>0.83</v>
      </c>
      <c r="D34" s="90">
        <f>1-0.17</f>
        <v>0.83</v>
      </c>
      <c r="E34" s="90">
        <f>E4*1.1</f>
        <v>0</v>
      </c>
      <c r="F34" s="90">
        <f>F4*1.1</f>
        <v>0</v>
      </c>
    </row>
    <row r="35" spans="1:6" ht="15.75" customHeight="1" x14ac:dyDescent="0.25">
      <c r="A35" s="5"/>
      <c r="B35" s="5" t="s">
        <v>321</v>
      </c>
      <c r="C35" s="90">
        <v>1</v>
      </c>
      <c r="D35" s="90">
        <v>1</v>
      </c>
      <c r="E35" s="90">
        <v>1</v>
      </c>
      <c r="F35" s="90">
        <v>1</v>
      </c>
    </row>
    <row r="36" spans="1:6" ht="15.75" customHeight="1" x14ac:dyDescent="0.25">
      <c r="A36" s="5" t="s">
        <v>180</v>
      </c>
      <c r="B36" s="5" t="s">
        <v>320</v>
      </c>
      <c r="C36" s="90">
        <f>1-0.17</f>
        <v>0.83</v>
      </c>
      <c r="D36" s="90">
        <f>1-0.17</f>
        <v>0.83</v>
      </c>
      <c r="E36" s="90">
        <f>E6*1.1</f>
        <v>0</v>
      </c>
      <c r="F36" s="90">
        <f>F6*1.1</f>
        <v>0</v>
      </c>
    </row>
    <row r="37" spans="1:6" ht="15.75" customHeight="1" x14ac:dyDescent="0.25">
      <c r="A37" s="5"/>
      <c r="B37" s="5" t="s">
        <v>321</v>
      </c>
      <c r="C37" s="90">
        <v>1</v>
      </c>
      <c r="D37" s="90">
        <v>1</v>
      </c>
      <c r="E37" s="90">
        <v>1</v>
      </c>
      <c r="F37" s="90">
        <v>1</v>
      </c>
    </row>
    <row r="38" spans="1:6" ht="15.75" customHeight="1" x14ac:dyDescent="0.25">
      <c r="A38" s="5" t="s">
        <v>181</v>
      </c>
      <c r="B38" s="5" t="s">
        <v>320</v>
      </c>
      <c r="C38" s="90">
        <f>1-0.55</f>
        <v>0.44999999999999996</v>
      </c>
      <c r="D38" s="90">
        <f>1-0.55</f>
        <v>0.44999999999999996</v>
      </c>
      <c r="E38" s="90">
        <f>E8*1.1</f>
        <v>0</v>
      </c>
      <c r="F38" s="90">
        <f>F8*1.1</f>
        <v>0</v>
      </c>
    </row>
    <row r="39" spans="1:6" ht="15.75" customHeight="1" x14ac:dyDescent="0.25">
      <c r="A39" s="5"/>
      <c r="B39" s="5" t="s">
        <v>321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5" t="s">
        <v>185</v>
      </c>
      <c r="B40" s="5" t="s">
        <v>320</v>
      </c>
      <c r="C40" s="90">
        <f>1-0.55</f>
        <v>0.44999999999999996</v>
      </c>
      <c r="D40" s="90">
        <f>1-0.55</f>
        <v>0.44999999999999996</v>
      </c>
      <c r="E40" s="90">
        <f>E10*1.1</f>
        <v>0</v>
      </c>
      <c r="F40" s="90">
        <f>F10*1.1</f>
        <v>0</v>
      </c>
    </row>
    <row r="41" spans="1:6" ht="15.75" customHeight="1" x14ac:dyDescent="0.25">
      <c r="A41" s="5"/>
      <c r="B41" s="5" t="s">
        <v>321</v>
      </c>
      <c r="C41" s="90">
        <v>1</v>
      </c>
      <c r="D41" s="90">
        <v>1</v>
      </c>
      <c r="E41" s="90">
        <v>1</v>
      </c>
      <c r="F41" s="90">
        <v>1</v>
      </c>
    </row>
    <row r="42" spans="1:6" ht="15.75" customHeight="1" x14ac:dyDescent="0.25">
      <c r="A42" s="5" t="s">
        <v>189</v>
      </c>
      <c r="B42" s="5" t="s">
        <v>320</v>
      </c>
      <c r="C42" s="90">
        <f>1-0.88*0.17</f>
        <v>0.85040000000000004</v>
      </c>
      <c r="D42" s="90">
        <f>1-0.88*0.17</f>
        <v>0.85040000000000004</v>
      </c>
      <c r="E42" s="90">
        <f>E12*1.1</f>
        <v>0</v>
      </c>
      <c r="F42" s="90">
        <f>F12*1.1</f>
        <v>0</v>
      </c>
    </row>
    <row r="43" spans="1:6" ht="15.75" customHeight="1" x14ac:dyDescent="0.25">
      <c r="A43" s="5"/>
      <c r="B43" s="5" t="s">
        <v>321</v>
      </c>
      <c r="C43" s="90">
        <v>1</v>
      </c>
      <c r="D43" s="90">
        <v>1</v>
      </c>
      <c r="E43" s="90">
        <v>1</v>
      </c>
      <c r="F43" s="90">
        <v>1</v>
      </c>
    </row>
  </sheetData>
  <sheetProtection algorithmName="SHA-512" hashValue="lEvf/7Nn9p0s2t120JFgJzNA1BIMAO9h8EmTziKGX5ZA7K3Y+rQ77oXfzNqKwsdbYQwCY96ujjsdxuDmqt1luA==" saltValue="pZcegXbvW/wKpwHEQP8pc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0" tint="-0.249977111117893"/>
  </sheetPr>
  <dimension ref="A1:O67"/>
  <sheetViews>
    <sheetView zoomScale="70" zoomScaleNormal="70" workbookViewId="0">
      <selection activeCell="D5" sqref="D5"/>
    </sheetView>
  </sheetViews>
  <sheetFormatPr defaultColWidth="12.816406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6" width="12.81640625" style="8" customWidth="1"/>
    <col min="17" max="16384" width="12.81640625" style="8"/>
  </cols>
  <sheetData>
    <row r="1" spans="1:15" ht="35.25" customHeight="1" x14ac:dyDescent="0.3">
      <c r="A1" s="4"/>
      <c r="B1" s="4"/>
      <c r="C1" s="70" t="s">
        <v>67</v>
      </c>
      <c r="D1" s="70" t="s">
        <v>77</v>
      </c>
      <c r="E1" s="70" t="s">
        <v>78</v>
      </c>
      <c r="F1" s="70" t="s">
        <v>79</v>
      </c>
      <c r="G1" s="70" t="s">
        <v>80</v>
      </c>
      <c r="H1" s="70" t="s">
        <v>58</v>
      </c>
      <c r="I1" s="70" t="s">
        <v>59</v>
      </c>
      <c r="J1" s="70" t="s">
        <v>60</v>
      </c>
      <c r="K1" s="70" t="s">
        <v>61</v>
      </c>
      <c r="L1" s="70" t="s">
        <v>112</v>
      </c>
      <c r="M1" s="70" t="s">
        <v>113</v>
      </c>
      <c r="N1" s="70" t="s">
        <v>114</v>
      </c>
      <c r="O1" s="70" t="s">
        <v>115</v>
      </c>
    </row>
    <row r="2" spans="1:15" ht="13" customHeight="1" x14ac:dyDescent="0.3">
      <c r="A2" s="4" t="s">
        <v>322</v>
      </c>
    </row>
    <row r="3" spans="1:15" x14ac:dyDescent="0.25">
      <c r="B3" s="11" t="s">
        <v>170</v>
      </c>
      <c r="C3" s="90">
        <v>0.53</v>
      </c>
      <c r="D3" s="90">
        <v>0.53</v>
      </c>
      <c r="E3" s="90">
        <v>1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175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176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177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178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179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180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181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5" t="s">
        <v>184</v>
      </c>
      <c r="C11" s="90">
        <v>1</v>
      </c>
      <c r="D11" s="90">
        <v>1</v>
      </c>
      <c r="E11" s="90">
        <v>0.69</v>
      </c>
      <c r="F11" s="90">
        <v>0.69</v>
      </c>
      <c r="G11" s="90">
        <v>1</v>
      </c>
      <c r="H11" s="90">
        <v>1</v>
      </c>
      <c r="I11" s="90">
        <v>1</v>
      </c>
      <c r="J11" s="90">
        <v>1</v>
      </c>
      <c r="K11" s="90">
        <v>1</v>
      </c>
      <c r="L11" s="90">
        <v>1</v>
      </c>
      <c r="M11" s="90">
        <v>1</v>
      </c>
      <c r="N11" s="90">
        <v>1</v>
      </c>
      <c r="O11" s="90">
        <v>1</v>
      </c>
    </row>
    <row r="12" spans="1:15" x14ac:dyDescent="0.25">
      <c r="B12" s="11" t="s">
        <v>185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" customHeight="1" x14ac:dyDescent="0.25">
      <c r="B13" s="11" t="s">
        <v>188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189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v>0.51</v>
      </c>
      <c r="M14" s="90">
        <v>0.51</v>
      </c>
      <c r="N14" s="90">
        <v>0.51</v>
      </c>
      <c r="O14" s="90">
        <v>0.51</v>
      </c>
    </row>
    <row r="15" spans="1:15" x14ac:dyDescent="0.25">
      <c r="B15" s="5" t="s">
        <v>192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customHeight="1" x14ac:dyDescent="0.3">
      <c r="A17" s="4" t="s">
        <v>323</v>
      </c>
      <c r="B17" s="11"/>
    </row>
    <row r="18" spans="1:15" x14ac:dyDescent="0.25">
      <c r="B18" s="5" t="s">
        <v>172</v>
      </c>
      <c r="C18" s="90">
        <v>1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90">
        <v>1</v>
      </c>
      <c r="J18" s="90">
        <v>1</v>
      </c>
      <c r="K18" s="90">
        <v>1</v>
      </c>
      <c r="L18" s="90">
        <v>1</v>
      </c>
      <c r="M18" s="90">
        <v>1</v>
      </c>
      <c r="N18" s="90">
        <v>1</v>
      </c>
      <c r="O18" s="90">
        <v>1</v>
      </c>
    </row>
    <row r="19" spans="1:15" x14ac:dyDescent="0.25">
      <c r="B19" s="5" t="s">
        <v>173</v>
      </c>
      <c r="C19" s="90">
        <v>1</v>
      </c>
      <c r="D19" s="90">
        <v>1</v>
      </c>
      <c r="E19" s="90">
        <f t="shared" ref="E19:O19" si="0">0.72</f>
        <v>0.72</v>
      </c>
      <c r="F19" s="90">
        <f t="shared" si="0"/>
        <v>0.72</v>
      </c>
      <c r="G19" s="90">
        <f t="shared" si="0"/>
        <v>0.72</v>
      </c>
      <c r="H19" s="90">
        <f t="shared" si="0"/>
        <v>0.72</v>
      </c>
      <c r="I19" s="90">
        <f t="shared" si="0"/>
        <v>0.72</v>
      </c>
      <c r="J19" s="90">
        <f t="shared" si="0"/>
        <v>0.72</v>
      </c>
      <c r="K19" s="90">
        <f t="shared" si="0"/>
        <v>0.72</v>
      </c>
      <c r="L19" s="90">
        <f t="shared" si="0"/>
        <v>0.72</v>
      </c>
      <c r="M19" s="90">
        <f t="shared" si="0"/>
        <v>0.72</v>
      </c>
      <c r="N19" s="90">
        <f t="shared" si="0"/>
        <v>0.72</v>
      </c>
      <c r="O19" s="90">
        <f t="shared" si="0"/>
        <v>0.72</v>
      </c>
    </row>
    <row r="20" spans="1:15" x14ac:dyDescent="0.25">
      <c r="B20" s="5" t="s">
        <v>174</v>
      </c>
      <c r="C20" s="90">
        <v>1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90">
        <v>1</v>
      </c>
      <c r="J20" s="90">
        <v>1</v>
      </c>
      <c r="K20" s="90">
        <v>1</v>
      </c>
      <c r="L20" s="90">
        <v>1</v>
      </c>
      <c r="M20" s="90">
        <v>1</v>
      </c>
      <c r="N20" s="90">
        <v>1</v>
      </c>
      <c r="O20" s="90">
        <v>1</v>
      </c>
    </row>
    <row r="21" spans="1:15" x14ac:dyDescent="0.25">
      <c r="B21" s="5" t="s">
        <v>182</v>
      </c>
      <c r="C21" s="90">
        <v>1</v>
      </c>
      <c r="D21" s="90">
        <v>1</v>
      </c>
      <c r="E21" s="90">
        <v>0.8</v>
      </c>
      <c r="F21" s="90">
        <v>0.8</v>
      </c>
      <c r="G21" s="90">
        <v>0.8</v>
      </c>
      <c r="H21" s="90">
        <v>0.8</v>
      </c>
      <c r="I21" s="90">
        <v>0.8</v>
      </c>
      <c r="J21" s="90">
        <v>0.8</v>
      </c>
      <c r="K21" s="90">
        <v>0.8</v>
      </c>
      <c r="L21" s="90">
        <v>0.8</v>
      </c>
      <c r="M21" s="90">
        <v>0.8</v>
      </c>
      <c r="N21" s="90">
        <v>0.8</v>
      </c>
      <c r="O21" s="90">
        <v>0.8</v>
      </c>
    </row>
    <row r="23" spans="1:15" s="92" customFormat="1" ht="13" customHeight="1" x14ac:dyDescent="0.3">
      <c r="A23" s="92" t="s">
        <v>235</v>
      </c>
    </row>
    <row r="24" spans="1:15" ht="26" customHeight="1" x14ac:dyDescent="0.3">
      <c r="A24" s="4"/>
      <c r="B24" s="4"/>
      <c r="C24" s="70" t="s">
        <v>67</v>
      </c>
      <c r="D24" s="70" t="s">
        <v>77</v>
      </c>
      <c r="E24" s="70" t="s">
        <v>78</v>
      </c>
      <c r="F24" s="70" t="s">
        <v>79</v>
      </c>
      <c r="G24" s="70" t="s">
        <v>80</v>
      </c>
      <c r="H24" s="70" t="s">
        <v>58</v>
      </c>
      <c r="I24" s="70" t="s">
        <v>59</v>
      </c>
      <c r="J24" s="70" t="s">
        <v>60</v>
      </c>
      <c r="K24" s="70" t="s">
        <v>61</v>
      </c>
      <c r="L24" s="70" t="s">
        <v>112</v>
      </c>
      <c r="M24" s="70" t="s">
        <v>113</v>
      </c>
      <c r="N24" s="70" t="s">
        <v>114</v>
      </c>
      <c r="O24" s="70" t="s">
        <v>115</v>
      </c>
    </row>
    <row r="25" spans="1:15" ht="13" customHeight="1" x14ac:dyDescent="0.3">
      <c r="A25" s="4" t="s">
        <v>324</v>
      </c>
    </row>
    <row r="26" spans="1:15" x14ac:dyDescent="0.25">
      <c r="B26" s="11" t="s">
        <v>170</v>
      </c>
      <c r="C26" s="90">
        <v>0.4</v>
      </c>
      <c r="D26" s="90">
        <v>0.4</v>
      </c>
      <c r="E26" s="90">
        <f t="shared" ref="E26:O26" si="1">IF(E3=1,1,E3*0.9)</f>
        <v>1</v>
      </c>
      <c r="F26" s="90">
        <f t="shared" si="1"/>
        <v>1</v>
      </c>
      <c r="G26" s="90">
        <f t="shared" si="1"/>
        <v>1</v>
      </c>
      <c r="H26" s="90">
        <f t="shared" si="1"/>
        <v>1</v>
      </c>
      <c r="I26" s="90">
        <f t="shared" si="1"/>
        <v>1</v>
      </c>
      <c r="J26" s="90">
        <f t="shared" si="1"/>
        <v>1</v>
      </c>
      <c r="K26" s="90">
        <f t="shared" si="1"/>
        <v>1</v>
      </c>
      <c r="L26" s="90">
        <f t="shared" si="1"/>
        <v>1</v>
      </c>
      <c r="M26" s="90">
        <f t="shared" si="1"/>
        <v>1</v>
      </c>
      <c r="N26" s="90">
        <f t="shared" si="1"/>
        <v>1</v>
      </c>
      <c r="O26" s="90">
        <f t="shared" si="1"/>
        <v>1</v>
      </c>
    </row>
    <row r="27" spans="1:15" x14ac:dyDescent="0.25">
      <c r="B27" s="11" t="s">
        <v>175</v>
      </c>
      <c r="C27" s="90">
        <f t="shared" ref="C27:G33" si="2">IF(C4=1,1,C4*0.9)</f>
        <v>1</v>
      </c>
      <c r="D27" s="90">
        <f t="shared" si="2"/>
        <v>1</v>
      </c>
      <c r="E27" s="90">
        <f t="shared" si="2"/>
        <v>1</v>
      </c>
      <c r="F27" s="90">
        <f t="shared" si="2"/>
        <v>1</v>
      </c>
      <c r="G27" s="90">
        <f t="shared" si="2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3">IF(L4=1,1,L4*0.9)</f>
        <v>1</v>
      </c>
      <c r="M27" s="90">
        <f t="shared" si="3"/>
        <v>1</v>
      </c>
      <c r="N27" s="90">
        <f t="shared" si="3"/>
        <v>1</v>
      </c>
      <c r="O27" s="90">
        <f t="shared" si="3"/>
        <v>1</v>
      </c>
    </row>
    <row r="28" spans="1:15" x14ac:dyDescent="0.25">
      <c r="B28" s="11" t="s">
        <v>176</v>
      </c>
      <c r="C28" s="90">
        <f t="shared" si="2"/>
        <v>1</v>
      </c>
      <c r="D28" s="90">
        <f t="shared" si="2"/>
        <v>1</v>
      </c>
      <c r="E28" s="90">
        <f t="shared" si="2"/>
        <v>1</v>
      </c>
      <c r="F28" s="90">
        <f t="shared" si="2"/>
        <v>1</v>
      </c>
      <c r="G28" s="90">
        <f t="shared" si="2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3"/>
        <v>1</v>
      </c>
      <c r="M28" s="90">
        <f t="shared" si="3"/>
        <v>1</v>
      </c>
      <c r="N28" s="90">
        <f t="shared" si="3"/>
        <v>1</v>
      </c>
      <c r="O28" s="90">
        <f t="shared" si="3"/>
        <v>1</v>
      </c>
    </row>
    <row r="29" spans="1:15" x14ac:dyDescent="0.25">
      <c r="B29" s="11" t="s">
        <v>177</v>
      </c>
      <c r="C29" s="90">
        <f t="shared" si="2"/>
        <v>1</v>
      </c>
      <c r="D29" s="90">
        <f t="shared" si="2"/>
        <v>1</v>
      </c>
      <c r="E29" s="90">
        <f t="shared" si="2"/>
        <v>1</v>
      </c>
      <c r="F29" s="90">
        <f t="shared" si="2"/>
        <v>1</v>
      </c>
      <c r="G29" s="90">
        <f t="shared" si="2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3"/>
        <v>1</v>
      </c>
      <c r="M29" s="90">
        <f t="shared" si="3"/>
        <v>1</v>
      </c>
      <c r="N29" s="90">
        <f t="shared" si="3"/>
        <v>1</v>
      </c>
      <c r="O29" s="90">
        <f t="shared" si="3"/>
        <v>1</v>
      </c>
    </row>
    <row r="30" spans="1:15" x14ac:dyDescent="0.25">
      <c r="B30" s="11" t="s">
        <v>178</v>
      </c>
      <c r="C30" s="90">
        <f t="shared" si="2"/>
        <v>1</v>
      </c>
      <c r="D30" s="90">
        <f t="shared" si="2"/>
        <v>1</v>
      </c>
      <c r="E30" s="90">
        <f t="shared" si="2"/>
        <v>1</v>
      </c>
      <c r="F30" s="90">
        <f t="shared" si="2"/>
        <v>1</v>
      </c>
      <c r="G30" s="90">
        <f t="shared" si="2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3"/>
        <v>1</v>
      </c>
      <c r="M30" s="90">
        <f t="shared" si="3"/>
        <v>1</v>
      </c>
      <c r="N30" s="90">
        <f t="shared" si="3"/>
        <v>1</v>
      </c>
      <c r="O30" s="90">
        <f t="shared" si="3"/>
        <v>1</v>
      </c>
    </row>
    <row r="31" spans="1:15" x14ac:dyDescent="0.25">
      <c r="B31" s="5" t="s">
        <v>179</v>
      </c>
      <c r="C31" s="90">
        <f t="shared" si="2"/>
        <v>1</v>
      </c>
      <c r="D31" s="90">
        <f t="shared" si="2"/>
        <v>1</v>
      </c>
      <c r="E31" s="90">
        <f t="shared" si="2"/>
        <v>1</v>
      </c>
      <c r="F31" s="90">
        <f t="shared" si="2"/>
        <v>1</v>
      </c>
      <c r="G31" s="90">
        <f t="shared" si="2"/>
        <v>1</v>
      </c>
      <c r="H31" s="90">
        <f t="shared" ref="H31:K34" si="4">IF(H8=1,1,H8*0.9)</f>
        <v>1</v>
      </c>
      <c r="I31" s="90">
        <f t="shared" si="4"/>
        <v>1</v>
      </c>
      <c r="J31" s="90">
        <f t="shared" si="4"/>
        <v>1</v>
      </c>
      <c r="K31" s="90">
        <f t="shared" si="4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180</v>
      </c>
      <c r="C32" s="90">
        <f t="shared" si="2"/>
        <v>1</v>
      </c>
      <c r="D32" s="90">
        <f t="shared" si="2"/>
        <v>1</v>
      </c>
      <c r="E32" s="90">
        <f t="shared" si="2"/>
        <v>1</v>
      </c>
      <c r="F32" s="90">
        <f t="shared" si="2"/>
        <v>1</v>
      </c>
      <c r="G32" s="90">
        <f t="shared" si="2"/>
        <v>1</v>
      </c>
      <c r="H32" s="90">
        <f t="shared" si="4"/>
        <v>1</v>
      </c>
      <c r="I32" s="90">
        <f t="shared" si="4"/>
        <v>1</v>
      </c>
      <c r="J32" s="90">
        <f t="shared" si="4"/>
        <v>1</v>
      </c>
      <c r="K32" s="90">
        <f t="shared" si="4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181</v>
      </c>
      <c r="C33" s="90">
        <f t="shared" si="2"/>
        <v>1</v>
      </c>
      <c r="D33" s="90">
        <f t="shared" si="2"/>
        <v>1</v>
      </c>
      <c r="E33" s="90">
        <f t="shared" si="2"/>
        <v>1</v>
      </c>
      <c r="F33" s="90">
        <f t="shared" si="2"/>
        <v>1</v>
      </c>
      <c r="G33" s="90">
        <f t="shared" si="2"/>
        <v>1</v>
      </c>
      <c r="H33" s="90">
        <f t="shared" si="4"/>
        <v>1</v>
      </c>
      <c r="I33" s="90">
        <f t="shared" si="4"/>
        <v>1</v>
      </c>
      <c r="J33" s="90">
        <f t="shared" si="4"/>
        <v>1</v>
      </c>
      <c r="K33" s="90">
        <f t="shared" si="4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184</v>
      </c>
      <c r="C34" s="90">
        <f>IF(C11=1,1,C11*0.9)</f>
        <v>1</v>
      </c>
      <c r="D34" s="90">
        <f>IF(D11=1,1,D11*0.9)</f>
        <v>1</v>
      </c>
      <c r="E34" s="90">
        <v>0.62</v>
      </c>
      <c r="F34" s="90">
        <v>0.62</v>
      </c>
      <c r="G34" s="90">
        <v>1</v>
      </c>
      <c r="H34" s="90">
        <f t="shared" si="4"/>
        <v>1</v>
      </c>
      <c r="I34" s="90">
        <f t="shared" si="4"/>
        <v>1</v>
      </c>
      <c r="J34" s="90">
        <f t="shared" si="4"/>
        <v>1</v>
      </c>
      <c r="K34" s="90">
        <f t="shared" si="4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185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188</v>
      </c>
      <c r="C36" s="90">
        <f t="shared" ref="C36:D38" si="5">IF(C13=1,1,C13*0.9)</f>
        <v>1</v>
      </c>
      <c r="D36" s="90">
        <f t="shared" si="5"/>
        <v>1</v>
      </c>
      <c r="E36" s="90">
        <v>0.62</v>
      </c>
      <c r="F36" s="90">
        <v>0.62</v>
      </c>
      <c r="G36" s="90">
        <v>0.62</v>
      </c>
      <c r="H36" s="90">
        <f t="shared" ref="H36:O36" si="6">IF(H13=1,1,H13*0.9)</f>
        <v>1</v>
      </c>
      <c r="I36" s="90">
        <f t="shared" si="6"/>
        <v>1</v>
      </c>
      <c r="J36" s="90">
        <f t="shared" si="6"/>
        <v>1</v>
      </c>
      <c r="K36" s="90">
        <f t="shared" si="6"/>
        <v>1</v>
      </c>
      <c r="L36" s="90">
        <f t="shared" si="6"/>
        <v>1</v>
      </c>
      <c r="M36" s="90">
        <f t="shared" si="6"/>
        <v>1</v>
      </c>
      <c r="N36" s="90">
        <f t="shared" si="6"/>
        <v>1</v>
      </c>
      <c r="O36" s="90">
        <f t="shared" si="6"/>
        <v>1</v>
      </c>
    </row>
    <row r="37" spans="1:15" x14ac:dyDescent="0.25">
      <c r="B37" s="11" t="s">
        <v>189</v>
      </c>
      <c r="C37" s="90">
        <f t="shared" si="5"/>
        <v>1</v>
      </c>
      <c r="D37" s="90">
        <f t="shared" si="5"/>
        <v>1</v>
      </c>
      <c r="E37" s="90">
        <f t="shared" ref="E37:K37" si="7">IF(E14=1,1,E14*0.9)</f>
        <v>1</v>
      </c>
      <c r="F37" s="90">
        <f t="shared" si="7"/>
        <v>1</v>
      </c>
      <c r="G37" s="90">
        <f t="shared" si="7"/>
        <v>1</v>
      </c>
      <c r="H37" s="90">
        <f t="shared" si="7"/>
        <v>1</v>
      </c>
      <c r="I37" s="90">
        <f t="shared" si="7"/>
        <v>1</v>
      </c>
      <c r="J37" s="90">
        <f t="shared" si="7"/>
        <v>1</v>
      </c>
      <c r="K37" s="90">
        <f t="shared" si="7"/>
        <v>1</v>
      </c>
      <c r="L37" s="90">
        <f>L32</f>
        <v>0.38</v>
      </c>
      <c r="M37" s="90">
        <f>M32</f>
        <v>0.38</v>
      </c>
      <c r="N37" s="90">
        <f>N32</f>
        <v>0.38</v>
      </c>
      <c r="O37" s="90">
        <f>O32</f>
        <v>0.38</v>
      </c>
    </row>
    <row r="38" spans="1:15" x14ac:dyDescent="0.25">
      <c r="B38" s="5" t="s">
        <v>192</v>
      </c>
      <c r="C38" s="90">
        <f t="shared" si="5"/>
        <v>1</v>
      </c>
      <c r="D38" s="90">
        <f t="shared" si="5"/>
        <v>1</v>
      </c>
      <c r="E38" s="90">
        <v>0.3</v>
      </c>
      <c r="F38" s="90">
        <v>0.3</v>
      </c>
      <c r="G38" s="90">
        <f t="shared" ref="G38:O38" si="8">IF(G15=1,1,G15*0.9)</f>
        <v>1</v>
      </c>
      <c r="H38" s="90">
        <f t="shared" si="8"/>
        <v>1</v>
      </c>
      <c r="I38" s="90">
        <f t="shared" si="8"/>
        <v>1</v>
      </c>
      <c r="J38" s="90">
        <f t="shared" si="8"/>
        <v>1</v>
      </c>
      <c r="K38" s="90">
        <f t="shared" si="8"/>
        <v>1</v>
      </c>
      <c r="L38" s="90">
        <f t="shared" si="8"/>
        <v>1</v>
      </c>
      <c r="M38" s="90">
        <f t="shared" si="8"/>
        <v>1</v>
      </c>
      <c r="N38" s="90">
        <f t="shared" si="8"/>
        <v>1</v>
      </c>
      <c r="O38" s="90">
        <f t="shared" si="8"/>
        <v>1</v>
      </c>
    </row>
    <row r="40" spans="1:15" ht="13" customHeight="1" x14ac:dyDescent="0.3">
      <c r="A40" s="4" t="s">
        <v>325</v>
      </c>
      <c r="B40" s="11"/>
    </row>
    <row r="41" spans="1:15" x14ac:dyDescent="0.25">
      <c r="B41" s="5" t="s">
        <v>172</v>
      </c>
      <c r="C41" s="90">
        <f t="shared" ref="C41:O41" si="9">IF(C18=1,1,C18*0.9)</f>
        <v>1</v>
      </c>
      <c r="D41" s="90">
        <f t="shared" si="9"/>
        <v>1</v>
      </c>
      <c r="E41" s="90">
        <f t="shared" si="9"/>
        <v>1</v>
      </c>
      <c r="F41" s="90">
        <f t="shared" si="9"/>
        <v>1</v>
      </c>
      <c r="G41" s="90">
        <f t="shared" si="9"/>
        <v>1</v>
      </c>
      <c r="H41" s="90">
        <f t="shared" si="9"/>
        <v>1</v>
      </c>
      <c r="I41" s="90">
        <f t="shared" si="9"/>
        <v>1</v>
      </c>
      <c r="J41" s="90">
        <f t="shared" si="9"/>
        <v>1</v>
      </c>
      <c r="K41" s="90">
        <f t="shared" si="9"/>
        <v>1</v>
      </c>
      <c r="L41" s="90">
        <f t="shared" si="9"/>
        <v>1</v>
      </c>
      <c r="M41" s="90">
        <f t="shared" si="9"/>
        <v>1</v>
      </c>
      <c r="N41" s="90">
        <f t="shared" si="9"/>
        <v>1</v>
      </c>
      <c r="O41" s="90">
        <f t="shared" si="9"/>
        <v>1</v>
      </c>
    </row>
    <row r="42" spans="1:15" x14ac:dyDescent="0.25">
      <c r="B42" s="5" t="s">
        <v>173</v>
      </c>
      <c r="C42" s="90">
        <f t="shared" ref="C42:D44" si="10">IF(C19=1,1,C19*0.9)</f>
        <v>1</v>
      </c>
      <c r="D42" s="90">
        <f t="shared" si="10"/>
        <v>1</v>
      </c>
      <c r="E42" s="90">
        <v>0.54</v>
      </c>
      <c r="F42" s="90">
        <v>0.54</v>
      </c>
      <c r="G42" s="90">
        <v>0.54</v>
      </c>
      <c r="H42" s="90">
        <v>0.54</v>
      </c>
      <c r="I42" s="90">
        <v>0.54</v>
      </c>
      <c r="J42" s="90">
        <v>0.54</v>
      </c>
      <c r="K42" s="90">
        <v>0.54</v>
      </c>
      <c r="L42" s="90">
        <v>0.54</v>
      </c>
      <c r="M42" s="90">
        <v>0.54</v>
      </c>
      <c r="N42" s="90">
        <v>0.54</v>
      </c>
      <c r="O42" s="90">
        <v>0.54</v>
      </c>
    </row>
    <row r="43" spans="1:15" x14ac:dyDescent="0.25">
      <c r="B43" s="5" t="s">
        <v>174</v>
      </c>
      <c r="C43" s="90">
        <f t="shared" si="10"/>
        <v>1</v>
      </c>
      <c r="D43" s="90">
        <f t="shared" si="10"/>
        <v>1</v>
      </c>
      <c r="E43" s="90">
        <f t="shared" ref="E43:O43" si="11">IF(E20=1,1,E20*0.9)</f>
        <v>1</v>
      </c>
      <c r="F43" s="90">
        <f t="shared" si="11"/>
        <v>1</v>
      </c>
      <c r="G43" s="90">
        <f t="shared" si="11"/>
        <v>1</v>
      </c>
      <c r="H43" s="90">
        <f t="shared" si="11"/>
        <v>1</v>
      </c>
      <c r="I43" s="90">
        <f t="shared" si="11"/>
        <v>1</v>
      </c>
      <c r="J43" s="90">
        <f t="shared" si="11"/>
        <v>1</v>
      </c>
      <c r="K43" s="90">
        <f t="shared" si="11"/>
        <v>1</v>
      </c>
      <c r="L43" s="90">
        <f t="shared" si="11"/>
        <v>1</v>
      </c>
      <c r="M43" s="90">
        <f t="shared" si="11"/>
        <v>1</v>
      </c>
      <c r="N43" s="90">
        <f t="shared" si="11"/>
        <v>1</v>
      </c>
      <c r="O43" s="90">
        <f t="shared" si="11"/>
        <v>1</v>
      </c>
    </row>
    <row r="44" spans="1:15" x14ac:dyDescent="0.25">
      <c r="B44" s="5" t="s">
        <v>182</v>
      </c>
      <c r="C44" s="90">
        <f t="shared" si="10"/>
        <v>1</v>
      </c>
      <c r="D44" s="90">
        <f t="shared" si="10"/>
        <v>1</v>
      </c>
      <c r="E44" s="90">
        <v>0.7</v>
      </c>
      <c r="F44" s="90">
        <v>0.7</v>
      </c>
      <c r="G44" s="90">
        <v>0.7</v>
      </c>
      <c r="H44" s="90">
        <v>0.7</v>
      </c>
      <c r="I44" s="90">
        <v>0.7</v>
      </c>
      <c r="J44" s="90">
        <v>0.7</v>
      </c>
      <c r="K44" s="90">
        <v>0.7</v>
      </c>
      <c r="L44" s="90">
        <v>0.7</v>
      </c>
      <c r="M44" s="90">
        <v>0.7</v>
      </c>
      <c r="N44" s="90">
        <v>0.7</v>
      </c>
      <c r="O44" s="90">
        <v>0.7</v>
      </c>
    </row>
    <row r="46" spans="1:15" s="92" customFormat="1" ht="13" customHeight="1" x14ac:dyDescent="0.3">
      <c r="A46" s="92" t="s">
        <v>239</v>
      </c>
    </row>
    <row r="47" spans="1:15" ht="26" customHeight="1" x14ac:dyDescent="0.3">
      <c r="A47" s="4"/>
      <c r="B47" s="4"/>
      <c r="C47" s="70" t="s">
        <v>67</v>
      </c>
      <c r="D47" s="70" t="s">
        <v>77</v>
      </c>
      <c r="E47" s="70" t="s">
        <v>78</v>
      </c>
      <c r="F47" s="70" t="s">
        <v>79</v>
      </c>
      <c r="G47" s="70" t="s">
        <v>80</v>
      </c>
      <c r="H47" s="70" t="s">
        <v>58</v>
      </c>
      <c r="I47" s="70" t="s">
        <v>59</v>
      </c>
      <c r="J47" s="70" t="s">
        <v>60</v>
      </c>
      <c r="K47" s="70" t="s">
        <v>61</v>
      </c>
      <c r="L47" s="70" t="s">
        <v>112</v>
      </c>
      <c r="M47" s="70" t="s">
        <v>113</v>
      </c>
      <c r="N47" s="70" t="s">
        <v>114</v>
      </c>
      <c r="O47" s="70" t="s">
        <v>115</v>
      </c>
    </row>
    <row r="48" spans="1:15" ht="13" customHeight="1" x14ac:dyDescent="0.3">
      <c r="A48" s="4" t="s">
        <v>326</v>
      </c>
    </row>
    <row r="49" spans="1:15" x14ac:dyDescent="0.25">
      <c r="B49" s="11" t="s">
        <v>170</v>
      </c>
      <c r="C49" s="90">
        <v>0.7</v>
      </c>
      <c r="D49" s="90">
        <v>0.7</v>
      </c>
      <c r="E49" s="90">
        <f t="shared" ref="E49:O49" si="12">IF(E3=1,1,E3*1.05)</f>
        <v>1</v>
      </c>
      <c r="F49" s="90">
        <f t="shared" si="12"/>
        <v>1</v>
      </c>
      <c r="G49" s="90">
        <f t="shared" si="12"/>
        <v>1</v>
      </c>
      <c r="H49" s="90">
        <f t="shared" si="12"/>
        <v>1</v>
      </c>
      <c r="I49" s="90">
        <f t="shared" si="12"/>
        <v>1</v>
      </c>
      <c r="J49" s="90">
        <f t="shared" si="12"/>
        <v>1</v>
      </c>
      <c r="K49" s="90">
        <f t="shared" si="12"/>
        <v>1</v>
      </c>
      <c r="L49" s="90">
        <f t="shared" si="12"/>
        <v>1</v>
      </c>
      <c r="M49" s="90">
        <f t="shared" si="12"/>
        <v>1</v>
      </c>
      <c r="N49" s="90">
        <f t="shared" si="12"/>
        <v>1</v>
      </c>
      <c r="O49" s="90">
        <f t="shared" si="12"/>
        <v>1</v>
      </c>
    </row>
    <row r="50" spans="1:15" x14ac:dyDescent="0.25">
      <c r="B50" s="11" t="s">
        <v>175</v>
      </c>
      <c r="C50" s="90">
        <f t="shared" ref="C50:G56" si="13">IF(C4=1,1,C4*1.05)</f>
        <v>1</v>
      </c>
      <c r="D50" s="90">
        <f t="shared" si="13"/>
        <v>1</v>
      </c>
      <c r="E50" s="90">
        <f t="shared" si="13"/>
        <v>1</v>
      </c>
      <c r="F50" s="90">
        <f t="shared" si="13"/>
        <v>1</v>
      </c>
      <c r="G50" s="90">
        <f t="shared" si="13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4">IF(L4=1,1,L4*1.05)</f>
        <v>1</v>
      </c>
      <c r="M50" s="90">
        <f t="shared" si="14"/>
        <v>1</v>
      </c>
      <c r="N50" s="90">
        <f t="shared" si="14"/>
        <v>1</v>
      </c>
      <c r="O50" s="90">
        <f t="shared" si="14"/>
        <v>1</v>
      </c>
    </row>
    <row r="51" spans="1:15" x14ac:dyDescent="0.25">
      <c r="B51" s="11" t="s">
        <v>176</v>
      </c>
      <c r="C51" s="90">
        <f t="shared" si="13"/>
        <v>1</v>
      </c>
      <c r="D51" s="90">
        <f t="shared" si="13"/>
        <v>1</v>
      </c>
      <c r="E51" s="90">
        <f t="shared" si="13"/>
        <v>1</v>
      </c>
      <c r="F51" s="90">
        <f t="shared" si="13"/>
        <v>1</v>
      </c>
      <c r="G51" s="90">
        <f t="shared" si="13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4"/>
        <v>1</v>
      </c>
      <c r="M51" s="90">
        <f t="shared" si="14"/>
        <v>1</v>
      </c>
      <c r="N51" s="90">
        <f t="shared" si="14"/>
        <v>1</v>
      </c>
      <c r="O51" s="90">
        <f t="shared" si="14"/>
        <v>1</v>
      </c>
    </row>
    <row r="52" spans="1:15" x14ac:dyDescent="0.25">
      <c r="B52" s="11" t="s">
        <v>177</v>
      </c>
      <c r="C52" s="90">
        <f t="shared" si="13"/>
        <v>1</v>
      </c>
      <c r="D52" s="90">
        <f t="shared" si="13"/>
        <v>1</v>
      </c>
      <c r="E52" s="90">
        <f t="shared" si="13"/>
        <v>1</v>
      </c>
      <c r="F52" s="90">
        <f t="shared" si="13"/>
        <v>1</v>
      </c>
      <c r="G52" s="90">
        <f t="shared" si="13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4"/>
        <v>1</v>
      </c>
      <c r="M52" s="90">
        <f t="shared" si="14"/>
        <v>1</v>
      </c>
      <c r="N52" s="90">
        <f t="shared" si="14"/>
        <v>1</v>
      </c>
      <c r="O52" s="90">
        <f t="shared" si="14"/>
        <v>1</v>
      </c>
    </row>
    <row r="53" spans="1:15" x14ac:dyDescent="0.25">
      <c r="B53" s="11" t="s">
        <v>178</v>
      </c>
      <c r="C53" s="90">
        <f t="shared" si="13"/>
        <v>1</v>
      </c>
      <c r="D53" s="90">
        <f t="shared" si="13"/>
        <v>1</v>
      </c>
      <c r="E53" s="90">
        <f t="shared" si="13"/>
        <v>1</v>
      </c>
      <c r="F53" s="90">
        <f t="shared" si="13"/>
        <v>1</v>
      </c>
      <c r="G53" s="90">
        <f t="shared" si="13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4"/>
        <v>1</v>
      </c>
      <c r="M53" s="90">
        <f t="shared" si="14"/>
        <v>1</v>
      </c>
      <c r="N53" s="90">
        <f t="shared" si="14"/>
        <v>1</v>
      </c>
      <c r="O53" s="90">
        <f t="shared" si="14"/>
        <v>1</v>
      </c>
    </row>
    <row r="54" spans="1:15" x14ac:dyDescent="0.25">
      <c r="B54" s="5" t="s">
        <v>179</v>
      </c>
      <c r="C54" s="90">
        <f t="shared" si="13"/>
        <v>1</v>
      </c>
      <c r="D54" s="90">
        <f t="shared" si="13"/>
        <v>1</v>
      </c>
      <c r="E54" s="90">
        <f t="shared" si="13"/>
        <v>1</v>
      </c>
      <c r="F54" s="90">
        <f t="shared" si="13"/>
        <v>1</v>
      </c>
      <c r="G54" s="90">
        <f t="shared" si="13"/>
        <v>1</v>
      </c>
      <c r="H54" s="90">
        <f t="shared" ref="H54:K57" si="15">IF(H8=1,1,H8*1.05)</f>
        <v>1</v>
      </c>
      <c r="I54" s="90">
        <f t="shared" si="15"/>
        <v>1</v>
      </c>
      <c r="J54" s="90">
        <f t="shared" si="15"/>
        <v>1</v>
      </c>
      <c r="K54" s="90">
        <f t="shared" si="15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180</v>
      </c>
      <c r="C55" s="90">
        <f t="shared" si="13"/>
        <v>1</v>
      </c>
      <c r="D55" s="90">
        <f t="shared" si="13"/>
        <v>1</v>
      </c>
      <c r="E55" s="90">
        <f t="shared" si="13"/>
        <v>1</v>
      </c>
      <c r="F55" s="90">
        <f t="shared" si="13"/>
        <v>1</v>
      </c>
      <c r="G55" s="90">
        <f t="shared" si="13"/>
        <v>1</v>
      </c>
      <c r="H55" s="90">
        <f t="shared" si="15"/>
        <v>1</v>
      </c>
      <c r="I55" s="90">
        <f t="shared" si="15"/>
        <v>1</v>
      </c>
      <c r="J55" s="90">
        <f t="shared" si="15"/>
        <v>1</v>
      </c>
      <c r="K55" s="90">
        <f t="shared" si="15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181</v>
      </c>
      <c r="C56" s="90">
        <f t="shared" si="13"/>
        <v>1</v>
      </c>
      <c r="D56" s="90">
        <f t="shared" si="13"/>
        <v>1</v>
      </c>
      <c r="E56" s="90">
        <f t="shared" si="13"/>
        <v>1</v>
      </c>
      <c r="F56" s="90">
        <f t="shared" si="13"/>
        <v>1</v>
      </c>
      <c r="G56" s="90">
        <f t="shared" si="13"/>
        <v>1</v>
      </c>
      <c r="H56" s="90">
        <f t="shared" si="15"/>
        <v>1</v>
      </c>
      <c r="I56" s="90">
        <f t="shared" si="15"/>
        <v>1</v>
      </c>
      <c r="J56" s="90">
        <f t="shared" si="15"/>
        <v>1</v>
      </c>
      <c r="K56" s="90">
        <f t="shared" si="15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184</v>
      </c>
      <c r="C57" s="90">
        <f>IF(C11=1,1,C11*1.05)</f>
        <v>1</v>
      </c>
      <c r="D57" s="90">
        <f>IF(D11=1,1,D11*1.05)</f>
        <v>1</v>
      </c>
      <c r="E57" s="90">
        <v>0.77</v>
      </c>
      <c r="F57" s="90">
        <v>0.77</v>
      </c>
      <c r="G57" s="90">
        <f>IF(G11=1,1,G11*1.05)</f>
        <v>1</v>
      </c>
      <c r="H57" s="90">
        <f t="shared" si="15"/>
        <v>1</v>
      </c>
      <c r="I57" s="90">
        <f t="shared" si="15"/>
        <v>1</v>
      </c>
      <c r="J57" s="90">
        <f t="shared" si="15"/>
        <v>1</v>
      </c>
      <c r="K57" s="90">
        <f t="shared" si="15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185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188</v>
      </c>
      <c r="C59" s="90">
        <f t="shared" ref="C59:D61" si="16">IF(C13=1,1,C13*1.05)</f>
        <v>1</v>
      </c>
      <c r="D59" s="90">
        <f t="shared" si="16"/>
        <v>1</v>
      </c>
      <c r="E59" s="90">
        <v>0.77</v>
      </c>
      <c r="F59" s="90">
        <v>0.77</v>
      </c>
      <c r="G59" s="90">
        <v>0.77</v>
      </c>
      <c r="H59" s="90">
        <f t="shared" ref="H59:O59" si="17">IF(H13=1,1,H13*1.05)</f>
        <v>1</v>
      </c>
      <c r="I59" s="90">
        <f t="shared" si="17"/>
        <v>1</v>
      </c>
      <c r="J59" s="90">
        <f t="shared" si="17"/>
        <v>1</v>
      </c>
      <c r="K59" s="90">
        <f t="shared" si="17"/>
        <v>1</v>
      </c>
      <c r="L59" s="90">
        <f t="shared" si="17"/>
        <v>1</v>
      </c>
      <c r="M59" s="90">
        <f t="shared" si="17"/>
        <v>1</v>
      </c>
      <c r="N59" s="90">
        <f t="shared" si="17"/>
        <v>1</v>
      </c>
      <c r="O59" s="90">
        <f t="shared" si="17"/>
        <v>1</v>
      </c>
    </row>
    <row r="60" spans="1:15" x14ac:dyDescent="0.25">
      <c r="B60" s="11" t="s">
        <v>189</v>
      </c>
      <c r="C60" s="90">
        <f t="shared" si="16"/>
        <v>1</v>
      </c>
      <c r="D60" s="90">
        <f t="shared" si="16"/>
        <v>1</v>
      </c>
      <c r="E60" s="90">
        <f t="shared" ref="E60:K60" si="18">IF(E14=1,1,E14*1.05)</f>
        <v>1</v>
      </c>
      <c r="F60" s="90">
        <f t="shared" si="18"/>
        <v>1</v>
      </c>
      <c r="G60" s="90">
        <f t="shared" si="18"/>
        <v>1</v>
      </c>
      <c r="H60" s="90">
        <f t="shared" si="18"/>
        <v>1</v>
      </c>
      <c r="I60" s="90">
        <f t="shared" si="18"/>
        <v>1</v>
      </c>
      <c r="J60" s="90">
        <f t="shared" si="18"/>
        <v>1</v>
      </c>
      <c r="K60" s="90">
        <f t="shared" si="18"/>
        <v>1</v>
      </c>
      <c r="L60" s="90">
        <f>L54</f>
        <v>0.7</v>
      </c>
      <c r="M60" s="90">
        <f>M54</f>
        <v>0.7</v>
      </c>
      <c r="N60" s="90">
        <f>N54</f>
        <v>0.7</v>
      </c>
      <c r="O60" s="90">
        <f>O54</f>
        <v>0.7</v>
      </c>
    </row>
    <row r="61" spans="1:15" x14ac:dyDescent="0.25">
      <c r="B61" s="5" t="s">
        <v>192</v>
      </c>
      <c r="C61" s="90">
        <f t="shared" si="16"/>
        <v>1</v>
      </c>
      <c r="D61" s="90">
        <f t="shared" si="16"/>
        <v>1</v>
      </c>
      <c r="E61" s="90">
        <v>0.44</v>
      </c>
      <c r="F61" s="90">
        <v>0.44</v>
      </c>
      <c r="G61" s="90">
        <f t="shared" ref="G61:O61" si="19">IF(G15=1,1,G15*1.05)</f>
        <v>1</v>
      </c>
      <c r="H61" s="90">
        <f t="shared" si="19"/>
        <v>1</v>
      </c>
      <c r="I61" s="90">
        <f t="shared" si="19"/>
        <v>1</v>
      </c>
      <c r="J61" s="90">
        <f t="shared" si="19"/>
        <v>1</v>
      </c>
      <c r="K61" s="90">
        <f t="shared" si="19"/>
        <v>1</v>
      </c>
      <c r="L61" s="90">
        <f t="shared" si="19"/>
        <v>1</v>
      </c>
      <c r="M61" s="90">
        <f t="shared" si="19"/>
        <v>1</v>
      </c>
      <c r="N61" s="90">
        <f t="shared" si="19"/>
        <v>1</v>
      </c>
      <c r="O61" s="90">
        <f t="shared" si="19"/>
        <v>1</v>
      </c>
    </row>
    <row r="63" spans="1:15" ht="13" customHeight="1" x14ac:dyDescent="0.3">
      <c r="A63" s="4" t="s">
        <v>327</v>
      </c>
      <c r="B63" s="11"/>
    </row>
    <row r="64" spans="1:15" x14ac:dyDescent="0.25">
      <c r="B64" s="5" t="s">
        <v>172</v>
      </c>
      <c r="C64" s="90">
        <f t="shared" ref="C64:O64" si="20">IF(C18=1,1,C18*1.05)</f>
        <v>1</v>
      </c>
      <c r="D64" s="90">
        <f t="shared" si="20"/>
        <v>1</v>
      </c>
      <c r="E64" s="90">
        <f t="shared" si="20"/>
        <v>1</v>
      </c>
      <c r="F64" s="90">
        <f t="shared" si="20"/>
        <v>1</v>
      </c>
      <c r="G64" s="90">
        <f t="shared" si="20"/>
        <v>1</v>
      </c>
      <c r="H64" s="90">
        <f t="shared" si="20"/>
        <v>1</v>
      </c>
      <c r="I64" s="90">
        <f t="shared" si="20"/>
        <v>1</v>
      </c>
      <c r="J64" s="90">
        <f t="shared" si="20"/>
        <v>1</v>
      </c>
      <c r="K64" s="90">
        <f t="shared" si="20"/>
        <v>1</v>
      </c>
      <c r="L64" s="90">
        <f t="shared" si="20"/>
        <v>1</v>
      </c>
      <c r="M64" s="90">
        <f t="shared" si="20"/>
        <v>1</v>
      </c>
      <c r="N64" s="90">
        <f t="shared" si="20"/>
        <v>1</v>
      </c>
      <c r="O64" s="90">
        <f t="shared" si="20"/>
        <v>1</v>
      </c>
    </row>
    <row r="65" spans="2:15" x14ac:dyDescent="0.25">
      <c r="B65" s="5" t="s">
        <v>173</v>
      </c>
      <c r="C65" s="90">
        <f t="shared" ref="C65:D67" si="21">IF(C19=1,1,C19*1.05)</f>
        <v>1</v>
      </c>
      <c r="D65" s="90">
        <f t="shared" si="21"/>
        <v>1</v>
      </c>
      <c r="E65" s="90">
        <v>0.97</v>
      </c>
      <c r="F65" s="90">
        <v>0.97</v>
      </c>
      <c r="G65" s="90">
        <v>0.97</v>
      </c>
      <c r="H65" s="90">
        <v>0.97</v>
      </c>
      <c r="I65" s="90">
        <v>0.97</v>
      </c>
      <c r="J65" s="90">
        <v>0.97</v>
      </c>
      <c r="K65" s="90">
        <v>0.97</v>
      </c>
      <c r="L65" s="90">
        <v>0.97</v>
      </c>
      <c r="M65" s="90">
        <v>0.97</v>
      </c>
      <c r="N65" s="90">
        <v>0.97</v>
      </c>
      <c r="O65" s="90">
        <v>0.97</v>
      </c>
    </row>
    <row r="66" spans="2:15" x14ac:dyDescent="0.25">
      <c r="B66" s="5" t="s">
        <v>174</v>
      </c>
      <c r="C66" s="90">
        <f t="shared" si="21"/>
        <v>1</v>
      </c>
      <c r="D66" s="90">
        <f t="shared" si="21"/>
        <v>1</v>
      </c>
      <c r="E66" s="90">
        <f t="shared" ref="E66:O66" si="22">IF(E20=1,1,E20*1.05)</f>
        <v>1</v>
      </c>
      <c r="F66" s="90">
        <f t="shared" si="22"/>
        <v>1</v>
      </c>
      <c r="G66" s="90">
        <f t="shared" si="22"/>
        <v>1</v>
      </c>
      <c r="H66" s="90">
        <f t="shared" si="22"/>
        <v>1</v>
      </c>
      <c r="I66" s="90">
        <f t="shared" si="22"/>
        <v>1</v>
      </c>
      <c r="J66" s="90">
        <f t="shared" si="22"/>
        <v>1</v>
      </c>
      <c r="K66" s="90">
        <f t="shared" si="22"/>
        <v>1</v>
      </c>
      <c r="L66" s="90">
        <f t="shared" si="22"/>
        <v>1</v>
      </c>
      <c r="M66" s="90">
        <f t="shared" si="22"/>
        <v>1</v>
      </c>
      <c r="N66" s="90">
        <f t="shared" si="22"/>
        <v>1</v>
      </c>
      <c r="O66" s="90">
        <f t="shared" si="22"/>
        <v>1</v>
      </c>
    </row>
    <row r="67" spans="2:15" x14ac:dyDescent="0.25">
      <c r="B67" s="5" t="s">
        <v>182</v>
      </c>
      <c r="C67" s="90">
        <f t="shared" si="21"/>
        <v>1</v>
      </c>
      <c r="D67" s="90">
        <f t="shared" si="21"/>
        <v>1</v>
      </c>
      <c r="E67" s="90">
        <v>0.92</v>
      </c>
      <c r="F67" s="90">
        <v>0.92</v>
      </c>
      <c r="G67" s="90">
        <v>0.92</v>
      </c>
      <c r="H67" s="90">
        <v>0.92</v>
      </c>
      <c r="I67" s="90">
        <v>0.92</v>
      </c>
      <c r="J67" s="90">
        <v>0.92</v>
      </c>
      <c r="K67" s="90">
        <v>0.92</v>
      </c>
      <c r="L67" s="90">
        <v>0.92</v>
      </c>
      <c r="M67" s="90">
        <v>0.92</v>
      </c>
      <c r="N67" s="90">
        <v>0.92</v>
      </c>
      <c r="O67" s="90">
        <f>IF(ISBLANK('Nutritional status distribution'!O$14),0.92,(0.92*'Nutritional status distribution'!O$14/(1-0.92*'Nutritional status distribution'!O$14))
/ ('Nutritional status distribution'!O$14/(1-'Nutritional status distribution'!O$14)))</f>
        <v>0.89250779318499418</v>
      </c>
    </row>
  </sheetData>
  <sheetProtection algorithmName="SHA-512" hashValue="QTNrTNcX0LQnvnw9OcFIuF8iiKsb7nBsadUCrO1kCxqB4CvEkER3v8YCwNBmR8txM/1IAuOQ/zC/vA8HLWjOhA==" saltValue="f5+QlQPEjGE24L/HhPaCM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0" tint="-0.249977111117893"/>
  </sheetPr>
  <dimension ref="A1:G19"/>
  <sheetViews>
    <sheetView zoomScale="85" zoomScaleNormal="85" workbookViewId="0">
      <selection activeCell="D5" sqref="D5"/>
    </sheetView>
  </sheetViews>
  <sheetFormatPr defaultColWidth="12.81640625" defaultRowHeight="12.5" x14ac:dyDescent="0.25"/>
  <cols>
    <col min="1" max="1" width="21.36328125" style="8" customWidth="1"/>
    <col min="2" max="2" width="27.81640625" style="8" customWidth="1"/>
    <col min="3" max="7" width="15.54296875" style="8" customWidth="1"/>
    <col min="8" max="8" width="12.81640625" style="8" customWidth="1"/>
    <col min="9" max="16384" width="12.81640625" style="8"/>
  </cols>
  <sheetData>
    <row r="1" spans="1:7" ht="13" customHeight="1" x14ac:dyDescent="0.3">
      <c r="A1" s="4"/>
      <c r="B1" s="1"/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</row>
    <row r="2" spans="1:7" ht="13" customHeight="1" x14ac:dyDescent="0.3">
      <c r="A2" s="4" t="s">
        <v>328</v>
      </c>
    </row>
    <row r="3" spans="1:7" x14ac:dyDescent="0.25">
      <c r="B3" s="11" t="s">
        <v>157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customHeight="1" x14ac:dyDescent="0.3">
      <c r="A4" s="4" t="s">
        <v>329</v>
      </c>
      <c r="B4" s="11"/>
      <c r="C4" s="83"/>
      <c r="D4" s="83"/>
      <c r="E4" s="83"/>
      <c r="F4" s="83"/>
      <c r="G4" s="83"/>
    </row>
    <row r="5" spans="1:7" x14ac:dyDescent="0.25">
      <c r="B5" s="5" t="s">
        <v>158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customHeight="1" x14ac:dyDescent="0.3">
      <c r="A7" s="92" t="s">
        <v>330</v>
      </c>
    </row>
    <row r="8" spans="1:7" ht="13" customHeight="1" x14ac:dyDescent="0.3">
      <c r="A8" s="4"/>
      <c r="B8" s="1"/>
      <c r="C8" s="4" t="s">
        <v>67</v>
      </c>
      <c r="D8" s="4" t="s">
        <v>77</v>
      </c>
      <c r="E8" s="4" t="s">
        <v>78</v>
      </c>
      <c r="F8" s="4" t="s">
        <v>79</v>
      </c>
      <c r="G8" s="4" t="s">
        <v>80</v>
      </c>
    </row>
    <row r="9" spans="1:7" ht="13" customHeight="1" x14ac:dyDescent="0.3">
      <c r="A9" s="4" t="s">
        <v>331</v>
      </c>
    </row>
    <row r="10" spans="1:7" x14ac:dyDescent="0.25">
      <c r="B10" s="11" t="s">
        <v>157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customHeight="1" x14ac:dyDescent="0.3">
      <c r="A11" s="4" t="s">
        <v>332</v>
      </c>
      <c r="B11" s="11"/>
      <c r="C11" s="83"/>
      <c r="D11" s="83"/>
      <c r="E11" s="83"/>
      <c r="F11" s="83"/>
      <c r="G11" s="83"/>
    </row>
    <row r="12" spans="1:7" x14ac:dyDescent="0.25">
      <c r="B12" s="5" t="s">
        <v>158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customHeight="1" x14ac:dyDescent="0.3">
      <c r="A14" s="92" t="s">
        <v>333</v>
      </c>
    </row>
    <row r="15" spans="1:7" ht="13" customHeight="1" x14ac:dyDescent="0.3">
      <c r="A15" s="4"/>
      <c r="B15" s="1"/>
      <c r="C15" s="4" t="s">
        <v>67</v>
      </c>
      <c r="D15" s="4" t="s">
        <v>77</v>
      </c>
      <c r="E15" s="4" t="s">
        <v>78</v>
      </c>
      <c r="F15" s="4" t="s">
        <v>79</v>
      </c>
      <c r="G15" s="4" t="s">
        <v>80</v>
      </c>
    </row>
    <row r="16" spans="1:7" ht="13" customHeight="1" x14ac:dyDescent="0.3">
      <c r="A16" s="4" t="s">
        <v>334</v>
      </c>
    </row>
    <row r="17" spans="1:7" x14ac:dyDescent="0.25">
      <c r="B17" s="11" t="s">
        <v>157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customHeight="1" x14ac:dyDescent="0.3">
      <c r="A18" s="4" t="s">
        <v>335</v>
      </c>
      <c r="B18" s="11"/>
      <c r="C18" s="83"/>
      <c r="D18" s="83"/>
      <c r="E18" s="83"/>
      <c r="F18" s="83"/>
      <c r="G18" s="83"/>
    </row>
    <row r="19" spans="1:7" x14ac:dyDescent="0.25">
      <c r="B19" s="5" t="s">
        <v>158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ZIjv20oIFeX8hEAP3JXu7+FjYQdIWvRgXIH4IkxRsMm14MAW5JMg2x9QOPJ7rc+IAMFEDvKO0XCydnz4Atw3VA==" saltValue="eIHIWivrA2mRyU/FI0KAAQ==" spinCount="100000" sheet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0" tint="-0.249977111117893"/>
  </sheetPr>
  <dimension ref="A1:H163"/>
  <sheetViews>
    <sheetView topLeftCell="A53" zoomScale="80" zoomScaleNormal="80" workbookViewId="0">
      <selection activeCell="D5" sqref="D5"/>
    </sheetView>
  </sheetViews>
  <sheetFormatPr defaultColWidth="12.81640625" defaultRowHeight="12.5" x14ac:dyDescent="0.25"/>
  <cols>
    <col min="1" max="1" width="53" style="5" customWidth="1"/>
    <col min="2" max="2" width="30.54296875" style="5" customWidth="1"/>
    <col min="3" max="3" width="24.81640625" style="5" customWidth="1"/>
    <col min="4" max="4" width="15" style="8" customWidth="1"/>
    <col min="5" max="5" width="13.6328125" style="8" customWidth="1"/>
    <col min="6" max="6" width="14.453125" style="8" customWidth="1"/>
    <col min="7" max="7" width="12.81640625" style="8" customWidth="1"/>
    <col min="8" max="8" width="17.54296875" style="8" customWidth="1"/>
    <col min="9" max="9" width="12.81640625" style="8" customWidth="1"/>
    <col min="10" max="16384" width="12.81640625" style="8"/>
  </cols>
  <sheetData>
    <row r="1" spans="1:8" ht="13" customHeight="1" x14ac:dyDescent="0.3">
      <c r="A1" s="4" t="s">
        <v>156</v>
      </c>
      <c r="B1" s="4" t="s">
        <v>336</v>
      </c>
      <c r="C1" s="82" t="s">
        <v>337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8" x14ac:dyDescent="0.25">
      <c r="A2" s="5" t="s">
        <v>193</v>
      </c>
      <c r="B2" s="5" t="s">
        <v>81</v>
      </c>
      <c r="C2" s="5" t="s">
        <v>338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5" t="s">
        <v>339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5" t="s">
        <v>340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5" t="s">
        <v>191</v>
      </c>
      <c r="B5" s="5" t="s">
        <v>205</v>
      </c>
      <c r="C5" s="5" t="s">
        <v>338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5" t="s">
        <v>340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5" t="s">
        <v>204</v>
      </c>
      <c r="C7" s="5" t="s">
        <v>338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5" t="s">
        <v>340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5" t="s">
        <v>184</v>
      </c>
      <c r="B9" s="5" t="s">
        <v>205</v>
      </c>
      <c r="C9" s="5" t="s">
        <v>338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5" t="s">
        <v>340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5" t="s">
        <v>204</v>
      </c>
      <c r="C11" s="5" t="s">
        <v>338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5" t="s">
        <v>340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5" t="s">
        <v>192</v>
      </c>
      <c r="B13" s="5" t="s">
        <v>205</v>
      </c>
      <c r="C13" s="5" t="s">
        <v>338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5" t="s">
        <v>340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5" t="s">
        <v>204</v>
      </c>
      <c r="C15" s="5" t="s">
        <v>338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5" t="s">
        <v>340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A17" s="5" t="s">
        <v>169</v>
      </c>
      <c r="B17" s="5" t="s">
        <v>205</v>
      </c>
      <c r="C17" s="5" t="s">
        <v>338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x14ac:dyDescent="0.25">
      <c r="C18" s="5" t="s">
        <v>340</v>
      </c>
      <c r="D18" s="90">
        <v>0</v>
      </c>
      <c r="E18" s="90">
        <v>0</v>
      </c>
      <c r="F18" s="90">
        <v>0.68</v>
      </c>
      <c r="G18" s="90">
        <v>0.68</v>
      </c>
      <c r="H18" s="90">
        <v>0.68</v>
      </c>
    </row>
    <row r="19" spans="1:8" x14ac:dyDescent="0.25">
      <c r="B19" s="5" t="s">
        <v>204</v>
      </c>
      <c r="C19" s="5" t="s">
        <v>338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5" t="s">
        <v>340</v>
      </c>
      <c r="D20" s="90">
        <v>0</v>
      </c>
      <c r="E20" s="90">
        <v>0</v>
      </c>
      <c r="F20" s="90">
        <v>0.6</v>
      </c>
      <c r="G20" s="90">
        <v>0.6</v>
      </c>
      <c r="H20" s="90">
        <v>0.6</v>
      </c>
    </row>
    <row r="21" spans="1:8" x14ac:dyDescent="0.25">
      <c r="A21" s="5" t="s">
        <v>174</v>
      </c>
      <c r="B21" s="5" t="s">
        <v>74</v>
      </c>
      <c r="C21" s="5" t="s">
        <v>338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x14ac:dyDescent="0.25">
      <c r="C22" s="5" t="s">
        <v>339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5" t="s">
        <v>172</v>
      </c>
      <c r="B23" s="5" t="s">
        <v>74</v>
      </c>
      <c r="C23" s="5" t="s">
        <v>338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5" t="s">
        <v>339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5" t="s">
        <v>173</v>
      </c>
      <c r="B25" s="5" t="s">
        <v>74</v>
      </c>
      <c r="C25" s="5" t="s">
        <v>338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5" t="s">
        <v>339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5" t="s">
        <v>197</v>
      </c>
      <c r="B27" s="5" t="s">
        <v>81</v>
      </c>
      <c r="C27" s="5" t="s">
        <v>338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x14ac:dyDescent="0.25">
      <c r="C28" s="5" t="s">
        <v>339</v>
      </c>
      <c r="D28" s="90">
        <v>0</v>
      </c>
      <c r="E28" s="90">
        <v>0</v>
      </c>
      <c r="F28" s="90">
        <v>0</v>
      </c>
      <c r="G28" s="90">
        <v>0</v>
      </c>
      <c r="H28" s="90">
        <v>0</v>
      </c>
    </row>
    <row r="29" spans="1:8" x14ac:dyDescent="0.25">
      <c r="C29" s="5" t="s">
        <v>340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x14ac:dyDescent="0.25">
      <c r="A30" s="5" t="s">
        <v>198</v>
      </c>
      <c r="B30" s="5" t="s">
        <v>81</v>
      </c>
      <c r="C30" s="5" t="s">
        <v>338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x14ac:dyDescent="0.25">
      <c r="C31" s="5" t="s">
        <v>339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C32" s="5" t="s">
        <v>340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x14ac:dyDescent="0.25">
      <c r="A33" s="5" t="s">
        <v>196</v>
      </c>
      <c r="B33" s="5" t="s">
        <v>81</v>
      </c>
      <c r="C33" s="5" t="s">
        <v>338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x14ac:dyDescent="0.25">
      <c r="C34" s="5" t="s">
        <v>339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C35" s="5" t="s">
        <v>340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x14ac:dyDescent="0.25">
      <c r="A36" s="5" t="s">
        <v>195</v>
      </c>
      <c r="B36" s="5" t="s">
        <v>81</v>
      </c>
      <c r="C36" s="5" t="s">
        <v>338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x14ac:dyDescent="0.25">
      <c r="C37" s="5" t="s">
        <v>339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C38" s="5" t="s">
        <v>340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x14ac:dyDescent="0.25">
      <c r="A39" s="5" t="s">
        <v>194</v>
      </c>
      <c r="B39" s="5" t="s">
        <v>81</v>
      </c>
      <c r="C39" s="5" t="s">
        <v>338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x14ac:dyDescent="0.25">
      <c r="C40" s="5" t="s">
        <v>339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C41" s="5" t="s">
        <v>340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x14ac:dyDescent="0.25">
      <c r="A42" s="5" t="s">
        <v>200</v>
      </c>
      <c r="B42" s="5" t="s">
        <v>81</v>
      </c>
      <c r="C42" s="5" t="s">
        <v>338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x14ac:dyDescent="0.25">
      <c r="C43" s="5" t="s">
        <v>339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C44" s="5" t="s">
        <v>340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x14ac:dyDescent="0.25">
      <c r="B45" s="5" t="s">
        <v>82</v>
      </c>
      <c r="C45" s="5" t="s">
        <v>338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x14ac:dyDescent="0.25">
      <c r="C46" s="5" t="s">
        <v>339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x14ac:dyDescent="0.25">
      <c r="C47" s="5" t="s">
        <v>340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190</v>
      </c>
      <c r="B48" s="5" t="s">
        <v>81</v>
      </c>
      <c r="C48" s="5" t="s">
        <v>338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339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199</v>
      </c>
      <c r="B50" s="5" t="s">
        <v>81</v>
      </c>
      <c r="C50" s="5" t="s">
        <v>338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339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183</v>
      </c>
      <c r="B52" s="5" t="s">
        <v>72</v>
      </c>
      <c r="C52" s="5" t="s">
        <v>338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339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customHeight="1" x14ac:dyDescent="0.3">
      <c r="A55" s="96" t="s">
        <v>330</v>
      </c>
      <c r="B55" s="97"/>
      <c r="C55" s="97"/>
    </row>
    <row r="56" spans="1:8" ht="13" customHeight="1" x14ac:dyDescent="0.3">
      <c r="A56" s="4" t="s">
        <v>156</v>
      </c>
      <c r="B56" s="4" t="s">
        <v>336</v>
      </c>
      <c r="C56" s="82" t="s">
        <v>337</v>
      </c>
      <c r="D56" s="4" t="s">
        <v>67</v>
      </c>
      <c r="E56" s="4" t="s">
        <v>77</v>
      </c>
      <c r="F56" s="4" t="s">
        <v>78</v>
      </c>
      <c r="G56" s="4" t="s">
        <v>79</v>
      </c>
      <c r="H56" s="4" t="s">
        <v>80</v>
      </c>
    </row>
    <row r="57" spans="1:8" x14ac:dyDescent="0.25">
      <c r="A57" s="5" t="s">
        <v>193</v>
      </c>
      <c r="B57" s="5" t="s">
        <v>81</v>
      </c>
      <c r="C57" s="5" t="s">
        <v>338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339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340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191</v>
      </c>
      <c r="B60" s="5" t="s">
        <v>205</v>
      </c>
      <c r="C60" s="5" t="s">
        <v>338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340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204</v>
      </c>
      <c r="C62" s="5" t="s">
        <v>338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340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184</v>
      </c>
      <c r="B64" s="5" t="s">
        <v>205</v>
      </c>
      <c r="C64" s="5" t="s">
        <v>338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340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204</v>
      </c>
      <c r="C66" s="5" t="s">
        <v>338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340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192</v>
      </c>
      <c r="B68" s="5" t="s">
        <v>205</v>
      </c>
      <c r="C68" s="5" t="s">
        <v>338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340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204</v>
      </c>
      <c r="C70" s="5" t="s">
        <v>338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340</v>
      </c>
      <c r="D71" s="90">
        <f t="shared" si="0"/>
        <v>0</v>
      </c>
      <c r="E71" s="90">
        <f t="shared" si="0"/>
        <v>0</v>
      </c>
      <c r="F71" s="90">
        <v>7.0000000000000007E-2</v>
      </c>
      <c r="G71" s="90">
        <v>7.0000000000000007E-2</v>
      </c>
      <c r="H71" s="90">
        <f>IF($C16="Affected fraction",H16,IF(H16=1,1,H16*0.9))</f>
        <v>0</v>
      </c>
    </row>
    <row r="72" spans="1:8" x14ac:dyDescent="0.25">
      <c r="A72" s="5" t="s">
        <v>169</v>
      </c>
      <c r="B72" s="5" t="s">
        <v>205</v>
      </c>
      <c r="C72" s="5" t="s">
        <v>338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340</v>
      </c>
      <c r="D73" s="90">
        <f t="shared" si="0"/>
        <v>0</v>
      </c>
      <c r="E73" s="90">
        <f t="shared" si="0"/>
        <v>0</v>
      </c>
      <c r="F73" s="90">
        <v>0.39</v>
      </c>
      <c r="G73" s="90">
        <v>0.39</v>
      </c>
      <c r="H73" s="90">
        <v>0.39</v>
      </c>
    </row>
    <row r="74" spans="1:8" x14ac:dyDescent="0.25">
      <c r="B74" s="5" t="s">
        <v>204</v>
      </c>
      <c r="C74" s="5" t="s">
        <v>338</v>
      </c>
      <c r="D74" s="90">
        <f t="shared" si="0"/>
        <v>0</v>
      </c>
      <c r="E74" s="90">
        <f t="shared" si="0"/>
        <v>0</v>
      </c>
      <c r="F74" s="90">
        <f>IF($C19="Affected fraction",F19,IF(F19=1,1,F19*0.9))</f>
        <v>1</v>
      </c>
      <c r="G74" s="90">
        <f>IF($C19="Affected fraction",G19,IF(G19=1,1,G19*0.9))</f>
        <v>1</v>
      </c>
      <c r="H74" s="90">
        <f>IF($C19="Affected fraction",H19,IF(H19=1,1,H19*0.9))</f>
        <v>1</v>
      </c>
    </row>
    <row r="75" spans="1:8" x14ac:dyDescent="0.25">
      <c r="C75" s="5" t="s">
        <v>340</v>
      </c>
      <c r="D75" s="90">
        <f t="shared" si="0"/>
        <v>0</v>
      </c>
      <c r="E75" s="90">
        <f t="shared" si="0"/>
        <v>0</v>
      </c>
      <c r="F75" s="90">
        <v>0.32</v>
      </c>
      <c r="G75" s="90">
        <v>0.32</v>
      </c>
      <c r="H75" s="90">
        <v>0.32</v>
      </c>
    </row>
    <row r="76" spans="1:8" x14ac:dyDescent="0.25">
      <c r="A76" s="5" t="s">
        <v>174</v>
      </c>
      <c r="B76" s="5" t="s">
        <v>74</v>
      </c>
      <c r="C76" s="5" t="s">
        <v>338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339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172</v>
      </c>
      <c r="B78" s="5" t="s">
        <v>74</v>
      </c>
      <c r="C78" s="5" t="s">
        <v>338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339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173</v>
      </c>
      <c r="B80" s="5" t="s">
        <v>74</v>
      </c>
      <c r="C80" s="5" t="s">
        <v>338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339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197</v>
      </c>
      <c r="B82" s="5" t="s">
        <v>81</v>
      </c>
      <c r="C82" s="5" t="s">
        <v>338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339</v>
      </c>
      <c r="D83" s="90">
        <v>0</v>
      </c>
      <c r="E83" s="90">
        <v>0</v>
      </c>
      <c r="F83" s="90">
        <v>0</v>
      </c>
      <c r="G83" s="90">
        <v>0</v>
      </c>
      <c r="H83" s="90">
        <v>0</v>
      </c>
    </row>
    <row r="84" spans="1:8" x14ac:dyDescent="0.25">
      <c r="C84" s="5" t="s">
        <v>340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198</v>
      </c>
      <c r="B85" s="5" t="s">
        <v>81</v>
      </c>
      <c r="C85" s="5" t="s">
        <v>338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339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340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196</v>
      </c>
      <c r="B88" s="5" t="s">
        <v>81</v>
      </c>
      <c r="C88" s="5" t="s">
        <v>338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339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340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195</v>
      </c>
      <c r="B91" s="5" t="s">
        <v>81</v>
      </c>
      <c r="C91" s="5" t="s">
        <v>338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339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340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194</v>
      </c>
      <c r="B94" s="5" t="s">
        <v>81</v>
      </c>
      <c r="C94" s="5" t="s">
        <v>338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339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340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200</v>
      </c>
      <c r="B97" s="5" t="s">
        <v>81</v>
      </c>
      <c r="C97" s="5" t="s">
        <v>338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339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340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82</v>
      </c>
      <c r="C100" s="5" t="s">
        <v>338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339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340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190</v>
      </c>
      <c r="B103" s="5" t="s">
        <v>81</v>
      </c>
      <c r="C103" s="5" t="s">
        <v>338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339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199</v>
      </c>
      <c r="B105" s="5" t="s">
        <v>81</v>
      </c>
      <c r="C105" s="5" t="s">
        <v>338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339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183</v>
      </c>
      <c r="B107" s="5" t="s">
        <v>72</v>
      </c>
      <c r="C107" s="5" t="s">
        <v>338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339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customHeight="1" x14ac:dyDescent="0.3">
      <c r="A110" s="96" t="s">
        <v>333</v>
      </c>
      <c r="B110" s="97"/>
      <c r="C110" s="97"/>
    </row>
    <row r="111" spans="1:8" ht="13" customHeight="1" x14ac:dyDescent="0.3">
      <c r="A111" s="4" t="s">
        <v>156</v>
      </c>
      <c r="B111" s="4" t="s">
        <v>336</v>
      </c>
      <c r="C111" s="82" t="s">
        <v>337</v>
      </c>
      <c r="D111" s="4" t="s">
        <v>67</v>
      </c>
      <c r="E111" s="4" t="s">
        <v>77</v>
      </c>
      <c r="F111" s="4" t="s">
        <v>78</v>
      </c>
      <c r="G111" s="4" t="s">
        <v>79</v>
      </c>
      <c r="H111" s="4" t="s">
        <v>80</v>
      </c>
    </row>
    <row r="112" spans="1:8" x14ac:dyDescent="0.25">
      <c r="A112" s="5" t="s">
        <v>193</v>
      </c>
      <c r="B112" s="5" t="s">
        <v>81</v>
      </c>
      <c r="C112" s="5" t="s">
        <v>338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339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340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191</v>
      </c>
      <c r="B115" s="5" t="s">
        <v>205</v>
      </c>
      <c r="C115" s="5" t="s">
        <v>338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340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204</v>
      </c>
      <c r="C117" s="5" t="s">
        <v>338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340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184</v>
      </c>
      <c r="B119" s="5" t="s">
        <v>205</v>
      </c>
      <c r="C119" s="5" t="s">
        <v>338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340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204</v>
      </c>
      <c r="C121" s="5" t="s">
        <v>338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340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192</v>
      </c>
      <c r="B123" s="5" t="s">
        <v>205</v>
      </c>
      <c r="C123" s="5" t="s">
        <v>338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340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204</v>
      </c>
      <c r="C125" s="5" t="s">
        <v>338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340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169</v>
      </c>
      <c r="B127" s="5" t="s">
        <v>205</v>
      </c>
      <c r="C127" s="5" t="s">
        <v>338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340</v>
      </c>
      <c r="D128" s="90">
        <f t="shared" si="3"/>
        <v>0</v>
      </c>
      <c r="E128" s="90">
        <f t="shared" si="3"/>
        <v>0</v>
      </c>
      <c r="F128" s="90">
        <v>0.84</v>
      </c>
      <c r="G128" s="90">
        <v>0.84</v>
      </c>
      <c r="H128" s="90">
        <v>0.84</v>
      </c>
    </row>
    <row r="129" spans="1:8" x14ac:dyDescent="0.25">
      <c r="B129" s="5" t="s">
        <v>204</v>
      </c>
      <c r="C129" s="5" t="s">
        <v>338</v>
      </c>
      <c r="D129" s="90">
        <f t="shared" si="3"/>
        <v>0</v>
      </c>
      <c r="E129" s="90">
        <f t="shared" si="3"/>
        <v>0</v>
      </c>
      <c r="F129" s="90">
        <f>IF($C74="Affected fraction",F74,IF(F74=1,1,F74*0.9))</f>
        <v>1</v>
      </c>
      <c r="G129" s="90">
        <f>IF($C74="Affected fraction",G74,IF(G74=1,1,G74*0.9))</f>
        <v>1</v>
      </c>
      <c r="H129" s="90">
        <f>IF($C74="Affected fraction",H74,IF(H74=1,1,H74*0.9))</f>
        <v>1</v>
      </c>
    </row>
    <row r="130" spans="1:8" x14ac:dyDescent="0.25">
      <c r="C130" s="5" t="s">
        <v>340</v>
      </c>
      <c r="D130" s="90">
        <f t="shared" si="3"/>
        <v>0</v>
      </c>
      <c r="E130" s="90">
        <f t="shared" si="3"/>
        <v>0</v>
      </c>
      <c r="F130" s="90">
        <v>0.77</v>
      </c>
      <c r="G130" s="90">
        <v>0.77</v>
      </c>
      <c r="H130" s="90">
        <v>0.77</v>
      </c>
    </row>
    <row r="131" spans="1:8" x14ac:dyDescent="0.25">
      <c r="A131" s="5" t="s">
        <v>174</v>
      </c>
      <c r="B131" s="5" t="s">
        <v>74</v>
      </c>
      <c r="C131" s="5" t="s">
        <v>338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339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172</v>
      </c>
      <c r="B133" s="5" t="s">
        <v>74</v>
      </c>
      <c r="C133" s="5" t="s">
        <v>338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339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173</v>
      </c>
      <c r="B135" s="5" t="s">
        <v>74</v>
      </c>
      <c r="C135" s="5" t="s">
        <v>338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339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197</v>
      </c>
      <c r="B137" s="5" t="s">
        <v>81</v>
      </c>
      <c r="C137" s="5" t="s">
        <v>338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339</v>
      </c>
      <c r="D138" s="90">
        <v>0</v>
      </c>
      <c r="E138" s="90">
        <v>0</v>
      </c>
      <c r="F138" s="90">
        <v>0</v>
      </c>
      <c r="G138" s="90">
        <v>0</v>
      </c>
      <c r="H138" s="90">
        <v>0</v>
      </c>
    </row>
    <row r="139" spans="1:8" x14ac:dyDescent="0.25">
      <c r="C139" s="5" t="s">
        <v>340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198</v>
      </c>
      <c r="B140" s="5" t="s">
        <v>81</v>
      </c>
      <c r="C140" s="5" t="s">
        <v>338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339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340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196</v>
      </c>
      <c r="B143" s="5" t="s">
        <v>81</v>
      </c>
      <c r="C143" s="5" t="s">
        <v>338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339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340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195</v>
      </c>
      <c r="B146" s="5" t="s">
        <v>81</v>
      </c>
      <c r="C146" s="5" t="s">
        <v>338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339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340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194</v>
      </c>
      <c r="B149" s="5" t="s">
        <v>81</v>
      </c>
      <c r="C149" s="5" t="s">
        <v>338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339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340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200</v>
      </c>
      <c r="B152" s="5" t="s">
        <v>81</v>
      </c>
      <c r="C152" s="5" t="s">
        <v>338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339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340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82</v>
      </c>
      <c r="C155" s="5" t="s">
        <v>338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339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340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190</v>
      </c>
      <c r="B158" s="5" t="s">
        <v>81</v>
      </c>
      <c r="C158" s="5" t="s">
        <v>338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339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199</v>
      </c>
      <c r="B160" s="5" t="s">
        <v>81</v>
      </c>
      <c r="C160" s="5" t="s">
        <v>338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339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183</v>
      </c>
      <c r="B162" s="5" t="s">
        <v>72</v>
      </c>
      <c r="C162" s="5" t="s">
        <v>338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339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gIF3gzcRwMevsVP9JM+eFJliWIfkjL6RYnVy29HH1zFwKTB/eJc1NVFGROY84dwrfqcI+B8KpOZ1waT1qDgCXQ==" saltValue="0Itsi1W8Rg+oXl6coWpoc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0" tint="-0.249977111117893"/>
  </sheetPr>
  <dimension ref="A1:H25"/>
  <sheetViews>
    <sheetView zoomScale="85" zoomScaleNormal="85" workbookViewId="0">
      <selection activeCell="D5" sqref="D5"/>
    </sheetView>
  </sheetViews>
  <sheetFormatPr defaultColWidth="12.816406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1796875" style="8" customWidth="1"/>
    <col min="8" max="8" width="12.81640625" style="8" customWidth="1"/>
    <col min="9" max="16384" width="12.81640625" style="8"/>
  </cols>
  <sheetData>
    <row r="1" spans="1:8" ht="13" customHeight="1" x14ac:dyDescent="0.3">
      <c r="A1" s="1" t="s">
        <v>156</v>
      </c>
      <c r="B1" s="1" t="s">
        <v>336</v>
      </c>
      <c r="C1" s="1"/>
      <c r="D1" s="4" t="s">
        <v>112</v>
      </c>
      <c r="E1" s="4" t="s">
        <v>113</v>
      </c>
      <c r="F1" s="4" t="s">
        <v>114</v>
      </c>
      <c r="G1" s="4" t="s">
        <v>115</v>
      </c>
      <c r="H1" s="4"/>
    </row>
    <row r="2" spans="1:8" x14ac:dyDescent="0.25">
      <c r="A2" s="3" t="s">
        <v>168</v>
      </c>
      <c r="B2" s="8" t="s">
        <v>94</v>
      </c>
      <c r="C2" s="3" t="s">
        <v>338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339</v>
      </c>
      <c r="D3" s="90">
        <v>0.83</v>
      </c>
      <c r="E3" s="90">
        <v>0.83</v>
      </c>
      <c r="F3" s="90">
        <v>0.83</v>
      </c>
      <c r="G3" s="90">
        <v>0.83</v>
      </c>
      <c r="H3" s="3"/>
    </row>
    <row r="4" spans="1:8" x14ac:dyDescent="0.25">
      <c r="A4" s="3" t="s">
        <v>187</v>
      </c>
      <c r="B4" s="8" t="s">
        <v>94</v>
      </c>
      <c r="C4" s="3" t="s">
        <v>338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339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186</v>
      </c>
      <c r="B6" s="8" t="s">
        <v>94</v>
      </c>
      <c r="C6" s="3" t="s">
        <v>338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339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9" spans="1:8" s="92" customFormat="1" ht="13" customHeight="1" x14ac:dyDescent="0.3">
      <c r="A9" s="92" t="s">
        <v>330</v>
      </c>
    </row>
    <row r="10" spans="1:8" ht="13" customHeight="1" x14ac:dyDescent="0.3">
      <c r="A10" s="1" t="s">
        <v>156</v>
      </c>
      <c r="B10" s="1" t="s">
        <v>336</v>
      </c>
      <c r="C10" s="1"/>
      <c r="D10" s="4" t="s">
        <v>112</v>
      </c>
      <c r="E10" s="4" t="s">
        <v>113</v>
      </c>
      <c r="F10" s="4" t="s">
        <v>114</v>
      </c>
      <c r="G10" s="4" t="s">
        <v>115</v>
      </c>
    </row>
    <row r="11" spans="1:8" x14ac:dyDescent="0.25">
      <c r="A11" s="3" t="s">
        <v>168</v>
      </c>
      <c r="B11" s="8" t="s">
        <v>94</v>
      </c>
      <c r="C11" s="3" t="s">
        <v>338</v>
      </c>
      <c r="D11" s="90">
        <f>IF($C2="Affected fraction",D2,IF(D2=1,1,D2*0.9))</f>
        <v>1</v>
      </c>
      <c r="E11" s="90">
        <f>IF($C2="Affected fraction",E2,IF(E2=1,1,E2*0.9))</f>
        <v>1</v>
      </c>
      <c r="F11" s="90">
        <f>IF($C2="Affected fraction",F2,IF(F2=1,1,F2*0.9))</f>
        <v>1</v>
      </c>
      <c r="G11" s="90">
        <f>IF($C2="Affected fraction",G2,IF(G2=1,1,G2*0.9))</f>
        <v>1</v>
      </c>
    </row>
    <row r="12" spans="1:8" x14ac:dyDescent="0.25">
      <c r="C12" s="8" t="s">
        <v>339</v>
      </c>
      <c r="D12" s="90">
        <v>0</v>
      </c>
      <c r="E12" s="90">
        <v>0</v>
      </c>
      <c r="F12" s="90">
        <v>0</v>
      </c>
      <c r="G12" s="90">
        <v>0</v>
      </c>
    </row>
    <row r="13" spans="1:8" x14ac:dyDescent="0.25">
      <c r="A13" s="3" t="s">
        <v>187</v>
      </c>
      <c r="B13" s="8" t="s">
        <v>94</v>
      </c>
      <c r="C13" s="3" t="s">
        <v>338</v>
      </c>
      <c r="D13" s="90">
        <f t="shared" ref="D13:G16" si="0">IF($C4="Affected fraction",D4,IF(D4=1,1,D4*0.9))</f>
        <v>1</v>
      </c>
      <c r="E13" s="90">
        <f t="shared" si="0"/>
        <v>1</v>
      </c>
      <c r="F13" s="90">
        <f t="shared" si="0"/>
        <v>1</v>
      </c>
      <c r="G13" s="90">
        <f t="shared" si="0"/>
        <v>1</v>
      </c>
    </row>
    <row r="14" spans="1:8" x14ac:dyDescent="0.25">
      <c r="C14" s="8" t="s">
        <v>339</v>
      </c>
      <c r="D14" s="90">
        <f t="shared" si="0"/>
        <v>0.53100000000000003</v>
      </c>
      <c r="E14" s="90">
        <f t="shared" si="0"/>
        <v>0.53100000000000003</v>
      </c>
      <c r="F14" s="90">
        <f t="shared" si="0"/>
        <v>0.53100000000000003</v>
      </c>
      <c r="G14" s="90">
        <f t="shared" si="0"/>
        <v>0.53100000000000003</v>
      </c>
    </row>
    <row r="15" spans="1:8" x14ac:dyDescent="0.25">
      <c r="A15" s="3" t="s">
        <v>186</v>
      </c>
      <c r="B15" s="8" t="s">
        <v>94</v>
      </c>
      <c r="C15" s="3" t="s">
        <v>338</v>
      </c>
      <c r="D15" s="90">
        <f t="shared" si="0"/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339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8" spans="1:7" s="92" customFormat="1" ht="13" customHeight="1" x14ac:dyDescent="0.3">
      <c r="A18" s="92" t="s">
        <v>333</v>
      </c>
    </row>
    <row r="19" spans="1:7" ht="13" customHeight="1" x14ac:dyDescent="0.3">
      <c r="A19" s="1" t="s">
        <v>156</v>
      </c>
      <c r="B19" s="1" t="s">
        <v>336</v>
      </c>
      <c r="C19" s="1"/>
      <c r="D19" s="4" t="s">
        <v>112</v>
      </c>
      <c r="E19" s="4" t="s">
        <v>113</v>
      </c>
      <c r="F19" s="4" t="s">
        <v>114</v>
      </c>
      <c r="G19" s="4" t="s">
        <v>115</v>
      </c>
    </row>
    <row r="20" spans="1:7" x14ac:dyDescent="0.25">
      <c r="A20" s="3" t="s">
        <v>168</v>
      </c>
      <c r="B20" s="8" t="s">
        <v>94</v>
      </c>
      <c r="C20" s="3" t="s">
        <v>338</v>
      </c>
      <c r="D20" s="90">
        <f>IF($C2="Affected fraction",D2,IF(D2=1,1,D2*1.05))</f>
        <v>1</v>
      </c>
      <c r="E20" s="90">
        <f>IF($C2="Affected fraction",E2,IF(E2=1,1,E2*1.05))</f>
        <v>1</v>
      </c>
      <c r="F20" s="90">
        <f>IF($C2="Affected fraction",F2,IF(F2=1,1,F2*1.05))</f>
        <v>1</v>
      </c>
      <c r="G20" s="90">
        <f>IF($C2="Affected fraction",G2,IF(G2=1,1,G2*1.05))</f>
        <v>1</v>
      </c>
    </row>
    <row r="21" spans="1:7" x14ac:dyDescent="0.25">
      <c r="C21" s="8" t="s">
        <v>339</v>
      </c>
      <c r="D21" s="90">
        <v>0.98</v>
      </c>
      <c r="E21" s="90">
        <v>0.98</v>
      </c>
      <c r="F21" s="90">
        <v>0.98</v>
      </c>
      <c r="G21" s="90">
        <v>0.98</v>
      </c>
    </row>
    <row r="22" spans="1:7" x14ac:dyDescent="0.25">
      <c r="A22" s="3" t="s">
        <v>187</v>
      </c>
      <c r="B22" s="8" t="s">
        <v>94</v>
      </c>
      <c r="C22" s="3" t="s">
        <v>338</v>
      </c>
      <c r="D22" s="90">
        <f>IF($C4="Affected fraction",D4,IF(D4=1,1,D4*1.05))</f>
        <v>1</v>
      </c>
      <c r="E22" s="90">
        <f>IF($C4="Affected fraction",E4,IF(E4=1,1,E4*1.05))</f>
        <v>1</v>
      </c>
      <c r="F22" s="90">
        <f>IF($C4="Affected fraction",F4,IF(F4=1,1,F4*1.05))</f>
        <v>1</v>
      </c>
      <c r="G22" s="90">
        <f>IF($C4="Affected fraction",G4,IF(G4=1,1,G4*1.05))</f>
        <v>1</v>
      </c>
    </row>
    <row r="23" spans="1:7" x14ac:dyDescent="0.25">
      <c r="C23" s="8" t="s">
        <v>339</v>
      </c>
      <c r="D23" s="90">
        <f>IF($C5="Affected fraction",D5,IF(D5=1,1,D5*1.1))</f>
        <v>0.64900000000000002</v>
      </c>
      <c r="E23" s="90">
        <f>IF($C5="Affected fraction",E5,IF(E5=1,1,E5*1.1))</f>
        <v>0.64900000000000002</v>
      </c>
      <c r="F23" s="90">
        <f>IF($C5="Affected fraction",F5,IF(F5=1,1,F5*1.1))</f>
        <v>0.64900000000000002</v>
      </c>
      <c r="G23" s="90">
        <f>IF($C5="Affected fraction",G5,IF(G5=1,1,G5*1.1))</f>
        <v>0.64900000000000002</v>
      </c>
    </row>
    <row r="24" spans="1:7" x14ac:dyDescent="0.25">
      <c r="A24" s="3" t="s">
        <v>186</v>
      </c>
      <c r="B24" s="8" t="s">
        <v>94</v>
      </c>
      <c r="C24" s="3" t="s">
        <v>338</v>
      </c>
      <c r="D24" s="90">
        <f>IF($C6="Affected fraction",D6,IF(D6=1,1,D6*1.05))</f>
        <v>1</v>
      </c>
      <c r="E24" s="90">
        <f>IF($C6="Affected fraction",E6,IF(E6=1,1,E6*1.05))</f>
        <v>1</v>
      </c>
      <c r="F24" s="90">
        <f>IF($C6="Affected fraction",F6,IF(F6=1,1,F6*1.05))</f>
        <v>1</v>
      </c>
      <c r="G24" s="90">
        <f>IF($C6="Affected fraction",G6,IF(G6=1,1,G6*1.05))</f>
        <v>1</v>
      </c>
    </row>
    <row r="25" spans="1:7" x14ac:dyDescent="0.25">
      <c r="C25" s="8" t="s">
        <v>339</v>
      </c>
      <c r="D25" s="90">
        <f>IF($C7="Affected fraction",D7,IF(D7=1,1,D7*1.1))</f>
        <v>0.64900000000000002</v>
      </c>
      <c r="E25" s="90">
        <f>IF($C7="Affected fraction",E7,IF(E7=1,1,E7*1.1))</f>
        <v>0.64900000000000002</v>
      </c>
      <c r="F25" s="90">
        <f>IF($C7="Affected fraction",F7,IF(F7=1,1,F7*1.1))</f>
        <v>0.64900000000000002</v>
      </c>
      <c r="G25" s="90">
        <f>IF($C7="Affected fraction",G7,IF(G7=1,1,G7*1.1))</f>
        <v>0.64900000000000002</v>
      </c>
    </row>
  </sheetData>
  <sheetProtection algorithmName="SHA-512" hashValue="SSCu+FR+SN+siPEoAiap+3g3Z0SGqFtJklZqGSbEJvGKfBY2J7BHBpfevFvAYPx8Hf15tBeGKZdJ4ehQEpyLRg==" saltValue="A0PmMaoo+OfazXy7x4UxVw==" spinCount="100000" sheet="1" selectLockedCells="1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Baseline year population inputs</vt:lpstr>
      <vt:lpstr>Demographic projections</vt:lpstr>
      <vt:lpstr>Causes of death</vt:lpstr>
      <vt:lpstr>Nutritional status distribution</vt:lpstr>
      <vt:lpstr>Breastfeeding distribution</vt:lpstr>
      <vt:lpstr>Time trends</vt:lpstr>
      <vt:lpstr>Economic loss</vt:lpstr>
      <vt:lpstr>IYCF packages</vt:lpstr>
      <vt:lpstr>Treatment of SAM</vt:lpstr>
      <vt:lpstr>Programs cost and coverage</vt:lpstr>
      <vt:lpstr>Program dependencies</vt:lpstr>
      <vt:lpstr>Reference programs</vt:lpstr>
      <vt:lpstr>Incidence of conditions</vt:lpstr>
      <vt:lpstr>Programs target population</vt:lpstr>
      <vt:lpstr>Cost curve options</vt:lpstr>
      <vt:lpstr>Programs family planning</vt:lpstr>
      <vt:lpstr>Programs impacted population</vt:lpstr>
      <vt:lpstr>Program risk areas</vt:lpstr>
      <vt:lpstr>Population risk areas</vt:lpstr>
      <vt:lpstr>IYCF odds ratios</vt:lpstr>
      <vt:lpstr>Birth outcome risks</vt:lpstr>
      <vt:lpstr>Relative risks</vt:lpstr>
      <vt:lpstr>Odds ratios</vt:lpstr>
      <vt:lpstr>Programs birth outcomes</vt:lpstr>
      <vt:lpstr>Programs anaemia</vt:lpstr>
      <vt:lpstr>Programs wasting</vt:lpstr>
      <vt:lpstr>Programs for children</vt:lpstr>
      <vt:lpstr>Programs for PW</vt:lpstr>
      <vt:lpstr>'IYCF packages'!abortion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'IYCF packages'!stillbirth</vt:lpstr>
      <vt:lpstr>stillbirth</vt:lpstr>
      <vt:lpstr>term_AGA</vt:lpstr>
      <vt:lpstr>term_SGA</vt:lpstr>
      <vt:lpstr>U5_mortality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Tharindu Wickramaarachchi</dc:creator>
  <cp:lastModifiedBy>Tharindu Wickramaarachchi</cp:lastModifiedBy>
  <dcterms:created xsi:type="dcterms:W3CDTF">2017-08-01T10:42:13Z</dcterms:created>
  <dcterms:modified xsi:type="dcterms:W3CDTF">2024-03-28T03:04:50Z</dcterms:modified>
</cp:coreProperties>
</file>