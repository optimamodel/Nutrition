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D8D71B96-A641-4321-9E1F-1405ABA195FB}" xr6:coauthVersionLast="47" xr6:coauthVersionMax="47" xr10:uidLastSave="{00000000-0000-0000-0000-000000000000}"/>
  <bookViews>
    <workbookView xWindow="20" yWindow="20" windowWidth="19180" windowHeight="10180" tabRatio="961" firstSheet="6" activeTab="9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D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E97" i="27"/>
  <c r="E152" i="27" s="1"/>
  <c r="D97" i="27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H39" i="2"/>
  <c r="I39" i="2" s="1"/>
  <c r="G39" i="2"/>
  <c r="H38" i="2"/>
  <c r="G38" i="2"/>
  <c r="I38" i="2" s="1"/>
  <c r="A37" i="2"/>
  <c r="A36" i="2"/>
  <c r="A31" i="2"/>
  <c r="A29" i="2"/>
  <c r="A28" i="2"/>
  <c r="A26" i="2"/>
  <c r="A23" i="2"/>
  <c r="A21" i="2"/>
  <c r="A20" i="2"/>
  <c r="A15" i="2"/>
  <c r="H13" i="2"/>
  <c r="I13" i="2" s="1"/>
  <c r="G13" i="2"/>
  <c r="H12" i="2"/>
  <c r="G12" i="2"/>
  <c r="I12" i="2" s="1"/>
  <c r="H11" i="2"/>
  <c r="I11" i="2" s="1"/>
  <c r="G11" i="2"/>
  <c r="H10" i="2"/>
  <c r="G10" i="2"/>
  <c r="I10" i="2" s="1"/>
  <c r="H9" i="2"/>
  <c r="I9" i="2" s="1"/>
  <c r="G9" i="2"/>
  <c r="H8" i="2"/>
  <c r="G8" i="2"/>
  <c r="I8" i="2" s="1"/>
  <c r="H7" i="2"/>
  <c r="I7" i="2" s="1"/>
  <c r="G7" i="2"/>
  <c r="H6" i="2"/>
  <c r="G6" i="2"/>
  <c r="I6" i="2" s="1"/>
  <c r="H5" i="2"/>
  <c r="I5" i="2" s="1"/>
  <c r="G5" i="2"/>
  <c r="H4" i="2"/>
  <c r="G4" i="2"/>
  <c r="I4" i="2" s="1"/>
  <c r="H3" i="2"/>
  <c r="I3" i="2" s="1"/>
  <c r="G3" i="2"/>
  <c r="A3" i="2"/>
  <c r="H2" i="2"/>
  <c r="G2" i="2"/>
  <c r="I2" i="2" s="1"/>
  <c r="A2" i="2"/>
  <c r="A40" i="2" s="1"/>
  <c r="C33" i="1"/>
  <c r="C20" i="1"/>
  <c r="A16" i="2" l="1"/>
  <c r="A24" i="2"/>
  <c r="A32" i="2"/>
  <c r="A17" i="2"/>
  <c r="A25" i="2"/>
  <c r="A33" i="2"/>
  <c r="A18" i="2"/>
  <c r="A34" i="2"/>
  <c r="A39" i="2"/>
  <c r="A19" i="2"/>
  <c r="A27" i="2"/>
  <c r="A35" i="2"/>
  <c r="A4" i="2"/>
  <c r="A5" i="2" s="1"/>
  <c r="A6" i="2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<sst xmlns="http://schemas.openxmlformats.org/spreadsheetml/2006/main" count="2101" uniqueCount="341">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</sst>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280031.91796875</v>
      </c>
    </row>
    <row r="8" spans="1:3" ht="15" customHeight="1" x14ac:dyDescent="0.25">
      <c r="B8" s="5" t="s">
        <v>8</v>
      </c>
      <c r="C8" s="44">
        <v>1.2999999999999999E-2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0.89062347412109399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0.12920000000000001</v>
      </c>
    </row>
    <row r="24" spans="1:3" ht="15" customHeight="1" x14ac:dyDescent="0.25">
      <c r="B24" s="15" t="s">
        <v>22</v>
      </c>
      <c r="C24" s="45">
        <v>0.48199999999999998</v>
      </c>
    </row>
    <row r="25" spans="1:3" ht="15" customHeight="1" x14ac:dyDescent="0.25">
      <c r="B25" s="15" t="s">
        <v>23</v>
      </c>
      <c r="C25" s="45">
        <v>0.36709999999999998</v>
      </c>
    </row>
    <row r="26" spans="1:3" ht="15" customHeight="1" x14ac:dyDescent="0.25">
      <c r="B26" s="15" t="s">
        <v>24</v>
      </c>
      <c r="C26" s="45">
        <v>2.1700000000000001E-2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0.57290349526853401</v>
      </c>
    </row>
    <row r="30" spans="1:3" ht="14.25" customHeight="1" x14ac:dyDescent="0.25">
      <c r="B30" s="25" t="s">
        <v>27</v>
      </c>
      <c r="C30" s="99">
        <v>2.97816918362898E-2</v>
      </c>
    </row>
    <row r="31" spans="1:3" ht="14.25" customHeight="1" x14ac:dyDescent="0.25">
      <c r="B31" s="25" t="s">
        <v>28</v>
      </c>
      <c r="C31" s="99">
        <v>2.5306962187057899E-2</v>
      </c>
    </row>
    <row r="32" spans="1:3" ht="14.25" customHeight="1" x14ac:dyDescent="0.25">
      <c r="B32" s="25" t="s">
        <v>29</v>
      </c>
      <c r="C32" s="99">
        <v>0.37200785070811798</v>
      </c>
    </row>
    <row r="33" spans="1:5" ht="13" customHeight="1" x14ac:dyDescent="0.25">
      <c r="B33" s="27" t="s">
        <v>30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3.0092500000000002</v>
      </c>
    </row>
    <row r="38" spans="1:5" ht="15" customHeight="1" x14ac:dyDescent="0.25">
      <c r="B38" s="11" t="s">
        <v>34</v>
      </c>
      <c r="C38" s="43">
        <v>5.2746700000000004</v>
      </c>
      <c r="D38" s="12"/>
      <c r="E38" s="13"/>
    </row>
    <row r="39" spans="1:5" ht="15" customHeight="1" x14ac:dyDescent="0.25">
      <c r="B39" s="11" t="s">
        <v>35</v>
      </c>
      <c r="C39" s="43">
        <v>6.3242799999999999</v>
      </c>
      <c r="D39" s="12"/>
      <c r="E39" s="12"/>
    </row>
    <row r="40" spans="1:5" ht="15" customHeight="1" x14ac:dyDescent="0.25">
      <c r="B40" s="11" t="s">
        <v>36</v>
      </c>
      <c r="C40" s="100">
        <v>7.0000000000000007E-2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5.4214900000000004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6.7883000000000006E-3</v>
      </c>
      <c r="D45" s="12"/>
    </row>
    <row r="46" spans="1:5" ht="15.75" customHeight="1" x14ac:dyDescent="0.25">
      <c r="B46" s="11" t="s">
        <v>41</v>
      </c>
      <c r="C46" s="45">
        <v>7.293949999999999E-2</v>
      </c>
      <c r="D46" s="12"/>
    </row>
    <row r="47" spans="1:5" ht="15.75" customHeight="1" x14ac:dyDescent="0.25">
      <c r="B47" s="11" t="s">
        <v>42</v>
      </c>
      <c r="C47" s="45">
        <v>7.4545500000000001E-2</v>
      </c>
      <c r="D47" s="12"/>
      <c r="E47" s="13"/>
    </row>
    <row r="48" spans="1:5" ht="15" customHeight="1" x14ac:dyDescent="0.25">
      <c r="B48" s="11" t="s">
        <v>43</v>
      </c>
      <c r="C48" s="46">
        <v>0.84572670000000005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2.8</v>
      </c>
      <c r="D51" s="12"/>
    </row>
    <row r="52" spans="1:4" ht="15" customHeight="1" x14ac:dyDescent="0.25">
      <c r="B52" s="11" t="s">
        <v>46</v>
      </c>
      <c r="C52" s="100">
        <v>2.8</v>
      </c>
    </row>
    <row r="53" spans="1:4" ht="15.75" customHeight="1" x14ac:dyDescent="0.25">
      <c r="B53" s="11" t="s">
        <v>47</v>
      </c>
      <c r="C53" s="100">
        <v>2.8</v>
      </c>
    </row>
    <row r="54" spans="1:4" ht="15.75" customHeight="1" x14ac:dyDescent="0.25">
      <c r="B54" s="11" t="s">
        <v>48</v>
      </c>
      <c r="C54" s="100">
        <v>2.8</v>
      </c>
    </row>
    <row r="55" spans="1:4" ht="15.75" customHeight="1" x14ac:dyDescent="0.25">
      <c r="B55" s="11" t="s">
        <v>49</v>
      </c>
      <c r="C55" s="100">
        <v>2.8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1.6428571428571431E-2</v>
      </c>
    </row>
    <row r="59" spans="1:4" ht="15.75" customHeight="1" x14ac:dyDescent="0.25">
      <c r="B59" s="11" t="s">
        <v>52</v>
      </c>
      <c r="C59" s="45">
        <v>0.63615299999999997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9.5600833999999899E-2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54467</v>
      </c>
      <c r="C2" s="49">
        <v>192433.5</v>
      </c>
      <c r="D2" s="49">
        <v>293127.5</v>
      </c>
      <c r="E2" s="49">
        <v>420551</v>
      </c>
      <c r="F2" s="49">
        <v>443005.5</v>
      </c>
      <c r="G2" s="17">
        <f t="shared" ref="G2:G13" si="0">C2+D2+E2+F2</f>
        <v>1349117.5</v>
      </c>
      <c r="H2" s="17">
        <f t="shared" ref="H2:H13" si="1">(B2 + stillbirth*B2/(1000-stillbirth))/(1-abortion)</f>
        <v>62231.70675768792</v>
      </c>
      <c r="I2" s="17">
        <f t="shared" ref="I2:I13" si="2">G2-H2</f>
        <v>1286885.793242312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53514</v>
      </c>
      <c r="C3" s="50">
        <v>192820.5</v>
      </c>
      <c r="D3" s="50">
        <v>291767.5</v>
      </c>
      <c r="E3" s="50">
        <v>404953</v>
      </c>
      <c r="F3" s="50">
        <v>433742</v>
      </c>
      <c r="G3" s="17">
        <f t="shared" si="0"/>
        <v>1323283</v>
      </c>
      <c r="H3" s="17">
        <f t="shared" si="1"/>
        <v>61142.848980683928</v>
      </c>
      <c r="I3" s="17">
        <f t="shared" si="2"/>
        <v>1262140.1510193162</v>
      </c>
    </row>
    <row r="4" spans="1:9" ht="15.75" customHeight="1" x14ac:dyDescent="0.25">
      <c r="A4" s="5">
        <f t="shared" si="3"/>
        <v>2026</v>
      </c>
      <c r="B4" s="49">
        <v>52777</v>
      </c>
      <c r="C4" s="50">
        <v>191931</v>
      </c>
      <c r="D4" s="50">
        <v>292391.5</v>
      </c>
      <c r="E4" s="50">
        <v>387164</v>
      </c>
      <c r="F4" s="50">
        <v>425960.5</v>
      </c>
      <c r="G4" s="17">
        <f t="shared" si="0"/>
        <v>1297447</v>
      </c>
      <c r="H4" s="17">
        <f t="shared" si="1"/>
        <v>60300.783732360789</v>
      </c>
      <c r="I4" s="17">
        <f t="shared" si="2"/>
        <v>1237146.2162676393</v>
      </c>
    </row>
    <row r="5" spans="1:9" ht="15.75" customHeight="1" x14ac:dyDescent="0.25">
      <c r="A5" s="5">
        <f t="shared" si="3"/>
        <v>2027</v>
      </c>
      <c r="B5" s="49">
        <v>51930</v>
      </c>
      <c r="C5" s="50">
        <v>190255</v>
      </c>
      <c r="D5" s="50">
        <v>295527.5</v>
      </c>
      <c r="E5" s="50">
        <v>367359</v>
      </c>
      <c r="F5" s="50">
        <v>419269.5</v>
      </c>
      <c r="G5" s="17">
        <f t="shared" si="0"/>
        <v>1272411</v>
      </c>
      <c r="H5" s="17">
        <f t="shared" si="1"/>
        <v>59333.037103690927</v>
      </c>
      <c r="I5" s="17">
        <f t="shared" si="2"/>
        <v>1213077.9628963091</v>
      </c>
    </row>
    <row r="6" spans="1:9" ht="15.75" customHeight="1" x14ac:dyDescent="0.25">
      <c r="A6" s="5">
        <f t="shared" si="3"/>
        <v>2028</v>
      </c>
      <c r="B6" s="49">
        <v>51269</v>
      </c>
      <c r="C6" s="50">
        <v>187972</v>
      </c>
      <c r="D6" s="50">
        <v>300750.5</v>
      </c>
      <c r="E6" s="50">
        <v>346546.5</v>
      </c>
      <c r="F6" s="50">
        <v>413740</v>
      </c>
      <c r="G6" s="17">
        <f t="shared" si="0"/>
        <v>1249009</v>
      </c>
      <c r="H6" s="17">
        <f t="shared" si="1"/>
        <v>58577.806263607352</v>
      </c>
      <c r="I6" s="17">
        <f t="shared" si="2"/>
        <v>1190431.1937363925</v>
      </c>
    </row>
    <row r="7" spans="1:9" ht="15.75" customHeight="1" x14ac:dyDescent="0.25">
      <c r="A7" s="5">
        <f t="shared" si="3"/>
        <v>2029</v>
      </c>
      <c r="B7" s="49">
        <v>50562</v>
      </c>
      <c r="C7" s="50">
        <v>184222.5</v>
      </c>
      <c r="D7" s="50">
        <v>304271.5</v>
      </c>
      <c r="E7" s="50">
        <v>329163</v>
      </c>
      <c r="F7" s="50">
        <v>408555</v>
      </c>
      <c r="G7" s="17">
        <f t="shared" si="0"/>
        <v>1226212</v>
      </c>
      <c r="H7" s="17">
        <f t="shared" si="1"/>
        <v>57770.017755378787</v>
      </c>
      <c r="I7" s="17">
        <f t="shared" si="2"/>
        <v>1168441.9822446213</v>
      </c>
    </row>
    <row r="8" spans="1:9" ht="15.75" customHeight="1" x14ac:dyDescent="0.25">
      <c r="A8" s="5">
        <f t="shared" si="3"/>
        <v>2030</v>
      </c>
      <c r="B8" s="49">
        <v>50043</v>
      </c>
      <c r="C8" s="50">
        <v>180464</v>
      </c>
      <c r="D8" s="50">
        <v>305340</v>
      </c>
      <c r="E8" s="50">
        <v>315686</v>
      </c>
      <c r="F8" s="50">
        <v>404969</v>
      </c>
      <c r="G8" s="17">
        <f t="shared" si="0"/>
        <v>1206459</v>
      </c>
      <c r="H8" s="17">
        <f t="shared" si="1"/>
        <v>57177.030151742831</v>
      </c>
      <c r="I8" s="17">
        <f t="shared" si="2"/>
        <v>1149281.9698482573</v>
      </c>
    </row>
    <row r="9" spans="1:9" ht="15.75" customHeight="1" x14ac:dyDescent="0.25">
      <c r="A9" s="5">
        <f t="shared" si="3"/>
        <v>2031</v>
      </c>
      <c r="B9" s="49">
        <v>49664</v>
      </c>
      <c r="C9" s="50">
        <v>178466.5</v>
      </c>
      <c r="D9" s="50">
        <v>305962.5</v>
      </c>
      <c r="E9" s="50">
        <v>303846</v>
      </c>
      <c r="F9" s="50">
        <v>402126</v>
      </c>
      <c r="G9" s="17">
        <f t="shared" si="0"/>
        <v>1190401</v>
      </c>
      <c r="H9" s="17">
        <f t="shared" si="1"/>
        <v>56744.000668548164</v>
      </c>
      <c r="I9" s="17">
        <f t="shared" si="2"/>
        <v>1133656.999331452</v>
      </c>
    </row>
    <row r="10" spans="1:9" ht="15.75" customHeight="1" x14ac:dyDescent="0.25">
      <c r="A10" s="5">
        <f t="shared" si="3"/>
        <v>2032</v>
      </c>
      <c r="B10" s="49">
        <v>49258</v>
      </c>
      <c r="C10" s="50">
        <v>177009.5</v>
      </c>
      <c r="D10" s="50">
        <v>306851</v>
      </c>
      <c r="E10" s="50">
        <v>294051</v>
      </c>
      <c r="F10" s="50">
        <v>396873</v>
      </c>
      <c r="G10" s="17">
        <f t="shared" si="0"/>
        <v>1174784.5</v>
      </c>
      <c r="H10" s="17">
        <f t="shared" si="1"/>
        <v>56280.122119268395</v>
      </c>
      <c r="I10" s="17">
        <f t="shared" si="2"/>
        <v>1118504.3778807316</v>
      </c>
    </row>
    <row r="11" spans="1:9" ht="15.75" customHeight="1" x14ac:dyDescent="0.25">
      <c r="A11" s="5">
        <f t="shared" si="3"/>
        <v>2033</v>
      </c>
      <c r="B11" s="49">
        <v>48909</v>
      </c>
      <c r="C11" s="50">
        <v>175290</v>
      </c>
      <c r="D11" s="50">
        <v>306873</v>
      </c>
      <c r="E11" s="50">
        <v>286635</v>
      </c>
      <c r="F11" s="50">
        <v>388061</v>
      </c>
      <c r="G11" s="17">
        <f t="shared" si="0"/>
        <v>1156859</v>
      </c>
      <c r="H11" s="17">
        <f t="shared" si="1"/>
        <v>55881.369376168295</v>
      </c>
      <c r="I11" s="17">
        <f t="shared" si="2"/>
        <v>1100977.6306238316</v>
      </c>
    </row>
    <row r="12" spans="1:9" ht="15.75" customHeight="1" x14ac:dyDescent="0.25">
      <c r="A12" s="5">
        <f t="shared" si="3"/>
        <v>2034</v>
      </c>
      <c r="B12" s="49">
        <v>48679</v>
      </c>
      <c r="C12" s="50">
        <v>172621</v>
      </c>
      <c r="D12" s="50">
        <v>306128</v>
      </c>
      <c r="E12" s="50">
        <v>281895</v>
      </c>
      <c r="F12" s="50">
        <v>377076</v>
      </c>
      <c r="G12" s="17">
        <f t="shared" si="0"/>
        <v>1137720</v>
      </c>
      <c r="H12" s="17">
        <f t="shared" si="1"/>
        <v>55618.581035443298</v>
      </c>
      <c r="I12" s="17">
        <f t="shared" si="2"/>
        <v>1082101.4189645567</v>
      </c>
    </row>
    <row r="13" spans="1:9" ht="15.75" customHeight="1" x14ac:dyDescent="0.25">
      <c r="A13" s="5">
        <f t="shared" si="3"/>
        <v>2035</v>
      </c>
      <c r="B13" s="49">
        <v>48452</v>
      </c>
      <c r="C13" s="50">
        <v>169021.5</v>
      </c>
      <c r="D13" s="50">
        <v>305029</v>
      </c>
      <c r="E13" s="50">
        <v>280564</v>
      </c>
      <c r="F13" s="50">
        <v>364704.99999999988</v>
      </c>
      <c r="G13" s="17">
        <f t="shared" si="0"/>
        <v>1119319.5</v>
      </c>
      <c r="H13" s="17">
        <f t="shared" si="1"/>
        <v>55359.220368727758</v>
      </c>
      <c r="I13" s="17">
        <f t="shared" si="2"/>
        <v>1063960.2796312722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4.0816004081600382E-2</v>
      </c>
    </row>
    <row r="5" spans="1:8" ht="15.75" customHeight="1" x14ac:dyDescent="0.25">
      <c r="B5" s="19" t="s">
        <v>70</v>
      </c>
      <c r="C5" s="101">
        <v>4.5121704512170478E-2</v>
      </c>
    </row>
    <row r="6" spans="1:8" ht="15.75" customHeight="1" x14ac:dyDescent="0.25">
      <c r="B6" s="19" t="s">
        <v>71</v>
      </c>
      <c r="C6" s="101">
        <v>0.16704491670449181</v>
      </c>
    </row>
    <row r="7" spans="1:8" ht="15.75" customHeight="1" x14ac:dyDescent="0.25">
      <c r="B7" s="19" t="s">
        <v>72</v>
      </c>
      <c r="C7" s="101">
        <v>0.41512384151238468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0.28284702828470237</v>
      </c>
    </row>
    <row r="10" spans="1:8" ht="15.75" customHeight="1" x14ac:dyDescent="0.25">
      <c r="B10" s="19" t="s">
        <v>75</v>
      </c>
      <c r="C10" s="101">
        <v>4.9046504904650429E-2</v>
      </c>
    </row>
    <row r="11" spans="1:8" ht="15.75" customHeight="1" x14ac:dyDescent="0.25">
      <c r="B11" s="27" t="s">
        <v>30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7.1622213918380306E-2</v>
      </c>
      <c r="D14" s="55">
        <v>7.1622213918380306E-2</v>
      </c>
      <c r="E14" s="55">
        <v>7.1622213918380306E-2</v>
      </c>
      <c r="F14" s="55">
        <v>7.1622213918380306E-2</v>
      </c>
    </row>
    <row r="15" spans="1:8" ht="15.75" customHeight="1" x14ac:dyDescent="0.25">
      <c r="B15" s="19" t="s">
        <v>82</v>
      </c>
      <c r="C15" s="101">
        <v>0.53537243852516658</v>
      </c>
      <c r="D15" s="101">
        <v>0.53537243852516658</v>
      </c>
      <c r="E15" s="101">
        <v>0.53537243852516658</v>
      </c>
      <c r="F15" s="101">
        <v>0.53537243852516658</v>
      </c>
    </row>
    <row r="16" spans="1:8" ht="15.75" customHeight="1" x14ac:dyDescent="0.25">
      <c r="B16" s="19" t="s">
        <v>83</v>
      </c>
      <c r="C16" s="101">
        <v>5.3815270817032607E-2</v>
      </c>
      <c r="D16" s="101">
        <v>5.3815270817032607E-2</v>
      </c>
      <c r="E16" s="101">
        <v>5.3815270817032607E-2</v>
      </c>
      <c r="F16" s="101">
        <v>5.3815270817032607E-2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87</v>
      </c>
      <c r="C20" s="101">
        <v>1.191361167876611E-2</v>
      </c>
      <c r="D20" s="101">
        <v>1.191361167876611E-2</v>
      </c>
      <c r="E20" s="101">
        <v>1.191361167876611E-2</v>
      </c>
      <c r="F20" s="101">
        <v>1.191361167876611E-2</v>
      </c>
    </row>
    <row r="21" spans="1:8" ht="15.75" customHeight="1" x14ac:dyDescent="0.25">
      <c r="B21" s="19" t="s">
        <v>88</v>
      </c>
      <c r="C21" s="101">
        <v>0.25827184543585707</v>
      </c>
      <c r="D21" s="101">
        <v>0.25827184543585707</v>
      </c>
      <c r="E21" s="101">
        <v>0.25827184543585707</v>
      </c>
      <c r="F21" s="101">
        <v>0.25827184543585707</v>
      </c>
    </row>
    <row r="22" spans="1:8" ht="15.75" customHeight="1" x14ac:dyDescent="0.25">
      <c r="B22" s="19" t="s">
        <v>89</v>
      </c>
      <c r="C22" s="101">
        <v>6.9004619624797536E-2</v>
      </c>
      <c r="D22" s="101">
        <v>6.9004619624797536E-2</v>
      </c>
      <c r="E22" s="101">
        <v>6.9004619624797536E-2</v>
      </c>
      <c r="F22" s="101">
        <v>6.9004619624797536E-2</v>
      </c>
    </row>
    <row r="23" spans="1:8" ht="15.75" customHeight="1" x14ac:dyDescent="0.25">
      <c r="B23" s="27" t="s">
        <v>30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7.0890322000000006E-2</v>
      </c>
    </row>
    <row r="27" spans="1:8" ht="15.75" customHeight="1" x14ac:dyDescent="0.25">
      <c r="B27" s="19" t="s">
        <v>92</v>
      </c>
      <c r="C27" s="101">
        <v>6.3794211000000003E-2</v>
      </c>
    </row>
    <row r="28" spans="1:8" ht="15.75" customHeight="1" x14ac:dyDescent="0.25">
      <c r="B28" s="19" t="s">
        <v>93</v>
      </c>
      <c r="C28" s="101">
        <v>0.20576266900000001</v>
      </c>
    </row>
    <row r="29" spans="1:8" ht="15.75" customHeight="1" x14ac:dyDescent="0.25">
      <c r="B29" s="19" t="s">
        <v>94</v>
      </c>
      <c r="C29" s="101">
        <v>0.158973905</v>
      </c>
    </row>
    <row r="30" spans="1:8" ht="15.75" customHeight="1" x14ac:dyDescent="0.25">
      <c r="B30" s="19" t="s">
        <v>95</v>
      </c>
      <c r="C30" s="101">
        <v>0.14980645400000001</v>
      </c>
    </row>
    <row r="31" spans="1:8" ht="15.75" customHeight="1" x14ac:dyDescent="0.25">
      <c r="B31" s="19" t="s">
        <v>96</v>
      </c>
      <c r="C31" s="101">
        <v>5.9616164999999999E-2</v>
      </c>
    </row>
    <row r="32" spans="1:8" ht="15.75" customHeight="1" x14ac:dyDescent="0.25">
      <c r="B32" s="19" t="s">
        <v>97</v>
      </c>
      <c r="C32" s="101">
        <v>9.6391635000000003E-2</v>
      </c>
    </row>
    <row r="33" spans="2:3" ht="15.75" customHeight="1" x14ac:dyDescent="0.25">
      <c r="B33" s="19" t="s">
        <v>98</v>
      </c>
      <c r="C33" s="101">
        <v>0.10287004700000001</v>
      </c>
    </row>
    <row r="34" spans="2:3" ht="15.75" customHeight="1" x14ac:dyDescent="0.25">
      <c r="B34" s="19" t="s">
        <v>99</v>
      </c>
      <c r="C34" s="101">
        <v>9.1894592999999997E-2</v>
      </c>
    </row>
    <row r="35" spans="2:3" ht="15.75" customHeight="1" x14ac:dyDescent="0.25">
      <c r="B35" s="27" t="s">
        <v>30</v>
      </c>
      <c r="C35" s="48">
        <f>SUM(C26:C34)</f>
        <v>1.0000000010000001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0.58297288271154679</v>
      </c>
      <c r="D2" s="52">
        <f>IFERROR(1-_xlfn.NORM.DIST(_xlfn.NORM.INV(SUM(D4:D5), 0, 1) + 1, 0, 1, TRUE), "")</f>
        <v>0.58297288271154679</v>
      </c>
      <c r="E2" s="52">
        <f>IFERROR(1-_xlfn.NORM.DIST(_xlfn.NORM.INV(SUM(E4:E5), 0, 1) + 1, 0, 1, TRUE), "")</f>
        <v>0.58156996680665163</v>
      </c>
      <c r="F2" s="52">
        <f>IFERROR(1-_xlfn.NORM.DIST(_xlfn.NORM.INV(SUM(F4:F5), 0, 1) + 1, 0, 1, TRUE), "")</f>
        <v>0.50195502496214828</v>
      </c>
      <c r="G2" s="52">
        <f>IFERROR(1-_xlfn.NORM.DIST(_xlfn.NORM.INV(SUM(G4:G5), 0, 1) + 1, 0, 1, TRUE), "")</f>
        <v>0.51614479216839237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0.30379262193961598</v>
      </c>
      <c r="D3" s="52">
        <f>IFERROR(_xlfn.NORM.DIST(_xlfn.NORM.INV(SUM(D4:D5), 0, 1) + 1, 0, 1, TRUE) - SUM(D4:D5), "")</f>
        <v>0.30379262193961598</v>
      </c>
      <c r="E3" s="52">
        <f>IFERROR(_xlfn.NORM.DIST(_xlfn.NORM.INV(SUM(E4:E5), 0, 1) + 1, 0, 1, TRUE) - SUM(E4:E5), "")</f>
        <v>0.30450421923985999</v>
      </c>
      <c r="F3" s="52">
        <f>IFERROR(_xlfn.NORM.DIST(_xlfn.NORM.INV(SUM(F4:F5), 0, 1) + 1, 0, 1, TRUE) - SUM(F4:F5), "")</f>
        <v>0.34057260294482855</v>
      </c>
      <c r="G3" s="52">
        <f>IFERROR(_xlfn.NORM.DIST(_xlfn.NORM.INV(SUM(G4:G5), 0, 1) + 1, 0, 1, TRUE) - SUM(G4:G5), "")</f>
        <v>0.33479674271532855</v>
      </c>
    </row>
    <row r="4" spans="1:15" ht="15.75" customHeight="1" x14ac:dyDescent="0.25">
      <c r="B4" s="5" t="s">
        <v>104</v>
      </c>
      <c r="C4" s="45">
        <v>6.7813423255813993E-2</v>
      </c>
      <c r="D4" s="53">
        <v>6.7813423255813993E-2</v>
      </c>
      <c r="E4" s="53">
        <v>5.9689727906976797E-2</v>
      </c>
      <c r="F4" s="53">
        <v>9.1590816279069689E-2</v>
      </c>
      <c r="G4" s="53">
        <v>9.4087655813953508E-2</v>
      </c>
    </row>
    <row r="5" spans="1:15" ht="15.75" customHeight="1" x14ac:dyDescent="0.25">
      <c r="B5" s="5" t="s">
        <v>105</v>
      </c>
      <c r="C5" s="45">
        <v>4.5421072093023297E-2</v>
      </c>
      <c r="D5" s="53">
        <v>4.5421072093023297E-2</v>
      </c>
      <c r="E5" s="53">
        <v>5.4236086046511603E-2</v>
      </c>
      <c r="F5" s="53">
        <v>6.5881555813953496E-2</v>
      </c>
      <c r="G5" s="53">
        <v>5.4970809302325598E-2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0.57723804055256789</v>
      </c>
      <c r="D8" s="52">
        <f>IFERROR(1-_xlfn.NORM.DIST(_xlfn.NORM.INV(SUM(D10:D11), 0, 1) + 1, 0, 1, TRUE), "")</f>
        <v>0.57723804055256789</v>
      </c>
      <c r="E8" s="52">
        <f>IFERROR(1-_xlfn.NORM.DIST(_xlfn.NORM.INV(SUM(E10:E11), 0, 1) + 1, 0, 1, TRUE), "")</f>
        <v>0.70781028816723035</v>
      </c>
      <c r="F8" s="52">
        <f>IFERROR(1-_xlfn.NORM.DIST(_xlfn.NORM.INV(SUM(F10:F11), 0, 1) + 1, 0, 1, TRUE), "")</f>
        <v>0.79165112833288565</v>
      </c>
      <c r="G8" s="52">
        <f>IFERROR(1-_xlfn.NORM.DIST(_xlfn.NORM.INV(SUM(G10:G11), 0, 1) + 1, 0, 1, TRUE), "")</f>
        <v>0.80972013337160054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0.30668575944743215</v>
      </c>
      <c r="D9" s="52">
        <f>IFERROR(_xlfn.NORM.DIST(_xlfn.NORM.INV(SUM(D10:D11), 0, 1) + 1, 0, 1, TRUE) - SUM(D10:D11), "")</f>
        <v>0.30668575944743215</v>
      </c>
      <c r="E9" s="52">
        <f>IFERROR(_xlfn.NORM.DIST(_xlfn.NORM.INV(SUM(E10:E11), 0, 1) + 1, 0, 1, TRUE) - SUM(E10:E11), "")</f>
        <v>0.23125796764672316</v>
      </c>
      <c r="F9" s="52">
        <f>IFERROR(_xlfn.NORM.DIST(_xlfn.NORM.INV(SUM(F10:F11), 0, 1) + 1, 0, 1, TRUE) - SUM(F10:F11), "")</f>
        <v>0.17336841352757945</v>
      </c>
      <c r="G9" s="52">
        <f>IFERROR(_xlfn.NORM.DIST(_xlfn.NORM.INV(SUM(G10:G11), 0, 1) + 1, 0, 1, TRUE) - SUM(G10:G11), "")</f>
        <v>0.16001159686095753</v>
      </c>
    </row>
    <row r="10" spans="1:15" ht="15.75" customHeight="1" x14ac:dyDescent="0.25">
      <c r="B10" s="5" t="s">
        <v>109</v>
      </c>
      <c r="C10" s="45">
        <v>6.98490372093023E-2</v>
      </c>
      <c r="D10" s="53">
        <v>6.98490372093023E-2</v>
      </c>
      <c r="E10" s="53">
        <v>4.0427406976744198E-2</v>
      </c>
      <c r="F10" s="53">
        <v>2.1331202325581399E-2</v>
      </c>
      <c r="G10" s="53">
        <v>1.7904416279069801E-2</v>
      </c>
    </row>
    <row r="11" spans="1:15" ht="15.75" customHeight="1" x14ac:dyDescent="0.25">
      <c r="B11" s="5" t="s">
        <v>110</v>
      </c>
      <c r="C11" s="45">
        <v>4.6227162790697697E-2</v>
      </c>
      <c r="D11" s="53">
        <v>4.6227162790697697E-2</v>
      </c>
      <c r="E11" s="53">
        <v>2.0504337209302299E-2</v>
      </c>
      <c r="F11" s="53">
        <v>1.3649255813953501E-2</v>
      </c>
      <c r="G11" s="53">
        <v>1.2363853488372101E-2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0.36588747924999998</v>
      </c>
      <c r="D14" s="54">
        <v>0.367404292656</v>
      </c>
      <c r="E14" s="54">
        <v>0.367404292656</v>
      </c>
      <c r="F14" s="54">
        <v>0.16958749963200001</v>
      </c>
      <c r="G14" s="54">
        <v>0.16958749963200001</v>
      </c>
      <c r="H14" s="45">
        <v>0.28000000000000003</v>
      </c>
      <c r="I14" s="55">
        <v>0.28000000000000003</v>
      </c>
      <c r="J14" s="55">
        <v>0.28000000000000003</v>
      </c>
      <c r="K14" s="55">
        <v>0.28000000000000003</v>
      </c>
      <c r="L14" s="45">
        <v>0.26400000000000001</v>
      </c>
      <c r="M14" s="55">
        <v>0.26400000000000001</v>
      </c>
      <c r="N14" s="55">
        <v>0.26400000000000001</v>
      </c>
      <c r="O14" s="55">
        <v>0.26400000000000001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0.23276041758732521</v>
      </c>
      <c r="D15" s="52">
        <f t="shared" si="0"/>
        <v>0.23372534298599235</v>
      </c>
      <c r="E15" s="52">
        <f t="shared" si="0"/>
        <v>0.23372534298599235</v>
      </c>
      <c r="F15" s="52">
        <f t="shared" si="0"/>
        <v>0.1078835966533957</v>
      </c>
      <c r="G15" s="52">
        <f t="shared" si="0"/>
        <v>0.1078835966533957</v>
      </c>
      <c r="H15" s="52">
        <f t="shared" si="0"/>
        <v>0.17812284</v>
      </c>
      <c r="I15" s="52">
        <f t="shared" si="0"/>
        <v>0.17812284</v>
      </c>
      <c r="J15" s="52">
        <f t="shared" si="0"/>
        <v>0.17812284</v>
      </c>
      <c r="K15" s="52">
        <f t="shared" si="0"/>
        <v>0.17812284</v>
      </c>
      <c r="L15" s="52">
        <f t="shared" si="0"/>
        <v>0.167944392</v>
      </c>
      <c r="M15" s="52">
        <f t="shared" si="0"/>
        <v>0.167944392</v>
      </c>
      <c r="N15" s="52">
        <f t="shared" si="0"/>
        <v>0.167944392</v>
      </c>
      <c r="O15" s="52">
        <f t="shared" si="0"/>
        <v>0.167944392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0.43399436200000002</v>
      </c>
      <c r="D2" s="53">
        <v>0.23404619600000001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0.27557090400000001</v>
      </c>
      <c r="D3" s="53">
        <v>0.28600471399999999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0.20970329800000001</v>
      </c>
      <c r="D4" s="53">
        <v>0.320885694</v>
      </c>
      <c r="E4" s="53">
        <v>0.65853112884615395</v>
      </c>
      <c r="F4" s="53">
        <v>0.32869853269230798</v>
      </c>
      <c r="G4" s="53">
        <v>0</v>
      </c>
    </row>
    <row r="5" spans="1:7" x14ac:dyDescent="0.25">
      <c r="B5" s="3" t="s">
        <v>122</v>
      </c>
      <c r="C5" s="52">
        <v>8.0731462000000004E-2</v>
      </c>
      <c r="D5" s="52">
        <v>0.15906339</v>
      </c>
      <c r="E5" s="52">
        <f>1-SUM(E2:E4)</f>
        <v>0.34146887115384605</v>
      </c>
      <c r="F5" s="52">
        <f>1-SUM(F2:F4)</f>
        <v>0.67130146730769202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ht="13.25" customHeight="1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ht="13.25" customHeight="1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abSelected="1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79.237944195058446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40.355493895445491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746.9025246802014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8.0641902562029717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13.487793339241399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13.487793339241399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13.487793339241399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13.487793339241399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13.487793339241399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13.487793339241399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1.1945591391367461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17.118703595251191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17.118703595251191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80.311935815133822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23.524997843753901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4.5765963468796116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0.66285820979999999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19.061801059277851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162.0533213325655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1.508389493917569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2.613816007068833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0.99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3.6602630150362971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2.8</v>
      </c>
      <c r="C2" s="21">
        <f>'Baseline year population inputs'!C52</f>
        <v>2.8</v>
      </c>
      <c r="D2" s="21">
        <f>'Baseline year population inputs'!C53</f>
        <v>2.8</v>
      </c>
      <c r="E2" s="21">
        <f>'Baseline year population inputs'!C54</f>
        <v>2.8</v>
      </c>
      <c r="F2" s="21">
        <f>'Baseline year population inputs'!C55</f>
        <v>2.8</v>
      </c>
    </row>
    <row r="3" spans="1:6" ht="15.75" customHeight="1" x14ac:dyDescent="0.25">
      <c r="A3" s="3" t="s">
        <v>204</v>
      </c>
      <c r="B3" s="21">
        <f>frac_mam_1month * 2.6</f>
        <v>0.181607496744186</v>
      </c>
      <c r="C3" s="21">
        <f>frac_mam_1_5months * 2.6</f>
        <v>0.181607496744186</v>
      </c>
      <c r="D3" s="21">
        <f>frac_mam_6_11months * 2.6</f>
        <v>0.10511125813953492</v>
      </c>
      <c r="E3" s="21">
        <f>frac_mam_12_23months * 2.6</f>
        <v>5.5461126046511641E-2</v>
      </c>
      <c r="F3" s="21">
        <f>frac_mam_24_59months * 2.6</f>
        <v>4.6551482325581484E-2</v>
      </c>
    </row>
    <row r="4" spans="1:6" ht="15.75" customHeight="1" x14ac:dyDescent="0.25">
      <c r="A4" s="3" t="s">
        <v>205</v>
      </c>
      <c r="B4" s="21">
        <f>frac_sam_1month * 2.6</f>
        <v>0.12019062325581402</v>
      </c>
      <c r="C4" s="21">
        <f>frac_sam_1_5months * 2.6</f>
        <v>0.12019062325581402</v>
      </c>
      <c r="D4" s="21">
        <f>frac_sam_6_11months * 2.6</f>
        <v>5.3311276744185981E-2</v>
      </c>
      <c r="E4" s="21">
        <f>frac_sam_12_23months * 2.6</f>
        <v>3.5488065116279104E-2</v>
      </c>
      <c r="F4" s="21">
        <f>frac_sam_24_59months * 2.6</f>
        <v>3.2146019069767461E-2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1.2999999999999999E-2</v>
      </c>
      <c r="E2" s="60">
        <f>food_insecure</f>
        <v>1.2999999999999999E-2</v>
      </c>
      <c r="F2" s="60">
        <f>food_insecure</f>
        <v>1.2999999999999999E-2</v>
      </c>
      <c r="G2" s="60">
        <f>food_insecure</f>
        <v>1.2999999999999999E-2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1.2999999999999999E-2</v>
      </c>
      <c r="F5" s="60">
        <f>food_insecure</f>
        <v>1.2999999999999999E-2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1.2999999999999999E-2</v>
      </c>
      <c r="F8" s="60">
        <f>food_insecure</f>
        <v>1.2999999999999999E-2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1.2999999999999999E-2</v>
      </c>
      <c r="F9" s="60">
        <f>food_insecure</f>
        <v>1.2999999999999999E-2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1.2999999999999999E-2</v>
      </c>
      <c r="I15" s="60">
        <f>food_insecure</f>
        <v>1.2999999999999999E-2</v>
      </c>
      <c r="J15" s="60">
        <f>food_insecure</f>
        <v>1.2999999999999999E-2</v>
      </c>
      <c r="K15" s="60">
        <f>food_insecure</f>
        <v>1.2999999999999999E-2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5.3893095596313362E-2</v>
      </c>
      <c r="M25" s="60">
        <f>(1-food_insecure)*(0.49)+food_insecure*(0.7)</f>
        <v>0.49273</v>
      </c>
      <c r="N25" s="60">
        <f>(1-food_insecure)*(0.49)+food_insecure*(0.7)</f>
        <v>0.49273</v>
      </c>
      <c r="O25" s="60">
        <f>(1-food_insecure)*(0.49)+food_insecure*(0.7)</f>
        <v>0.49273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2.3097040969848579E-2</v>
      </c>
      <c r="M26" s="60">
        <f>(1-food_insecure)*(0.21)+food_insecure*(0.3)</f>
        <v>0.21116999999999997</v>
      </c>
      <c r="N26" s="60">
        <f>(1-food_insecure)*(0.21)+food_insecure*(0.3)</f>
        <v>0.21116999999999997</v>
      </c>
      <c r="O26" s="60">
        <f>(1-food_insecure)*(0.21)+food_insecure*(0.3)</f>
        <v>0.21116999999999997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3.2386389312744068E-2</v>
      </c>
      <c r="M27" s="60">
        <f>(1-food_insecure)*(0.3)</f>
        <v>0.29609999999999997</v>
      </c>
      <c r="N27" s="60">
        <f>(1-food_insecure)*(0.3)</f>
        <v>0.29609999999999997</v>
      </c>
      <c r="O27" s="60">
        <f>(1-food_insecure)*(0.3)</f>
        <v>0.29609999999999997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0.89062347412109399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ht="13.25" customHeight="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A8" sqref="A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67</v>
      </c>
      <c r="C58" s="8" t="s">
        <v>145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146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77</v>
      </c>
      <c r="C61" s="8" t="s">
        <v>145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146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67</v>
      </c>
      <c r="C111" s="8" t="s">
        <v>145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146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147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77</v>
      </c>
      <c r="C114" s="8" t="s">
        <v>145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146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147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78</v>
      </c>
      <c r="C117" s="8" t="s">
        <v>145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146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147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79</v>
      </c>
      <c r="C120" s="8" t="s">
        <v>145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146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147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146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147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67</v>
      </c>
      <c r="C128" s="8" t="s">
        <v>145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146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147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77</v>
      </c>
      <c r="C131" s="8" t="s">
        <v>145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146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147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78</v>
      </c>
      <c r="C134" s="8" t="s">
        <v>145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146</v>
      </c>
      <c r="D135" s="88">
        <f t="shared" ref="D135:H144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147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79</v>
      </c>
      <c r="C137" s="8" t="s">
        <v>145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146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147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146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147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67</v>
      </c>
      <c r="C145" s="8" t="s">
        <v>145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146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147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77</v>
      </c>
      <c r="C148" s="8" t="s">
        <v>145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146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147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78</v>
      </c>
      <c r="C151" s="8" t="s">
        <v>145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146</v>
      </c>
      <c r="D152" s="88">
        <f t="shared" ref="D152:H161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147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79</v>
      </c>
      <c r="C154" s="8" t="s">
        <v>145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146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147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A8" sqref="A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A8" sqref="A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A8" sqref="A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A8" sqref="A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A8" sqref="A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A8" sqref="A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0.1079880875647985</v>
      </c>
      <c r="G18" s="90">
        <f>MIN(MAX(1-0.89/(1-frac_sam_12_23months+(frac_sam_12_23months*0.89)),0),1)</f>
        <v>0.10866172855078449</v>
      </c>
      <c r="H18" s="90">
        <f>MIN(MAX(1-0.89/(1-frac_sam_24_59months+(frac_sam_24_59months*0.89)),0),1)</f>
        <v>0.10878793029974732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0.1060244776503797</v>
      </c>
      <c r="G20" s="90">
        <f>MIN(MAX(1-0.89/(1-frac_mam_12_23months+(frac_mam_12_23months*0.89)),0),1)</f>
        <v>0.1079067636550467</v>
      </c>
      <c r="H20" s="90">
        <f>MIN(MAX(1-0.89/(1-frac_mam_24_59months+(frac_mam_24_59months*0.89)),0),1)</f>
        <v>0.10824369863569794</v>
      </c>
    </row>
    <row r="21" spans="1:8" ht="13.25" customHeight="1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9.7969654307351606E-3</v>
      </c>
      <c r="G73" s="90">
        <f>MIN(MAX(1-0.99/(1-frac_sam_12_23months+(frac_sam_12_23months*0.99)),0),1)</f>
        <v>9.8648539210078878E-3</v>
      </c>
      <c r="H73" s="90">
        <f>MIN(MAX(1-0.99/(1-frac_sam_24_59months+(frac_sam_24_59months*0.99)),0),1)</f>
        <v>9.8775827149713002E-3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9.5996068023427306E-3</v>
      </c>
      <c r="G75" s="90">
        <f>MIN(MAX(1-0.99/(1-frac_mam_12_23months+(frac_mam_12_23months*0.99)),0),1)</f>
        <v>9.7887760403665425E-3</v>
      </c>
      <c r="H75" s="90">
        <f>MIN(MAX(1-0.99/(1-frac_mam_24_59months+(frac_mam_24_59months*0.99)),0),1)</f>
        <v>9.8227145369098601E-3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0.1967057969565037</v>
      </c>
      <c r="G128" s="90">
        <f>MIN(MAX(1-0.8/(1-frac_sam_12_23months+(frac_sam_12_23months*0.8)),0),1)</f>
        <v>0.1978101410808506</v>
      </c>
      <c r="H128" s="90">
        <f>MIN(MAX(1-0.8/(1-frac_sam_24_59months+(frac_sam_24_59months*0.8)),0),1)</f>
        <v>0.19801687963994419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0.1934788885584835</v>
      </c>
      <c r="G130" s="90">
        <f>MIN(MAX(1-0.8/(1-frac_mam_12_23months+(frac_mam_12_23months*0.8)),0),1)</f>
        <v>0.19657238459637316</v>
      </c>
      <c r="H130" s="90">
        <f>MIN(MAX(1-0.8/(1-frac_mam_24_59months+(frac_mam_24_59months*0.8)),0),1)</f>
        <v>0.19712499835008013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A8" sqref="A8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ht="13.25" customHeight="1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2024-08-06T06:31:07Z</dcterms:modified>
</cp:coreProperties>
</file>