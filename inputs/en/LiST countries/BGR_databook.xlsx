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FCA76C9-0F7E-4386-8FD3-5548DB6FB61B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G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33" i="2"/>
  <c r="A32" i="2"/>
  <c r="A29" i="2"/>
  <c r="A27" i="2"/>
  <c r="A26" i="2"/>
  <c r="A25" i="2"/>
  <c r="A24" i="2"/>
  <c r="A21" i="2"/>
  <c r="A19" i="2"/>
  <c r="A18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1" i="2" s="1"/>
  <c r="C33" i="1"/>
  <c r="C20" i="1"/>
  <c r="A20" i="2" l="1"/>
  <c r="A28" i="2"/>
  <c r="A36" i="2"/>
  <c r="A38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<sst xmlns="http://schemas.openxmlformats.org/spreadsheetml/2006/main" count="2092" uniqueCount="341">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</sst>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280031.91796875</v>
      </c>
    </row>
    <row r="8" spans="1:3" ht="15" customHeight="1" x14ac:dyDescent="0.25">
      <c r="B8" s="5" t="s">
        <v>8</v>
      </c>
      <c r="C8" s="44">
        <v>1.2999999999999999E-2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0.89062347412109399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0.12920000000000001</v>
      </c>
    </row>
    <row r="24" spans="1:3" ht="15" customHeight="1" x14ac:dyDescent="0.25">
      <c r="B24" s="15" t="s">
        <v>22</v>
      </c>
      <c r="C24" s="45">
        <v>0.48199999999999998</v>
      </c>
    </row>
    <row r="25" spans="1:3" ht="15" customHeight="1" x14ac:dyDescent="0.25">
      <c r="B25" s="15" t="s">
        <v>23</v>
      </c>
      <c r="C25" s="45">
        <v>0.36709999999999998</v>
      </c>
    </row>
    <row r="26" spans="1:3" ht="15" customHeight="1" x14ac:dyDescent="0.25">
      <c r="B26" s="15" t="s">
        <v>24</v>
      </c>
      <c r="C26" s="45">
        <v>2.1700000000000001E-2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3.0092500000000002</v>
      </c>
    </row>
    <row r="38" spans="1:5" ht="15" customHeight="1" x14ac:dyDescent="0.25">
      <c r="B38" s="11" t="s">
        <v>34</v>
      </c>
      <c r="C38" s="43">
        <v>5.2746700000000004</v>
      </c>
      <c r="D38" s="12"/>
      <c r="E38" s="13"/>
    </row>
    <row r="39" spans="1:5" ht="15" customHeight="1" x14ac:dyDescent="0.25">
      <c r="B39" s="11" t="s">
        <v>35</v>
      </c>
      <c r="C39" s="43">
        <v>6.3242799999999999</v>
      </c>
      <c r="D39" s="12"/>
      <c r="E39" s="12"/>
    </row>
    <row r="40" spans="1:5" ht="15" customHeight="1" x14ac:dyDescent="0.25">
      <c r="B40" s="11" t="s">
        <v>36</v>
      </c>
      <c r="C40" s="100">
        <v>7.0000000000000007E-2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5.4214900000000004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6.7883000000000006E-3</v>
      </c>
      <c r="D45" s="12"/>
    </row>
    <row r="46" spans="1:5" ht="15.75" customHeight="1" x14ac:dyDescent="0.25">
      <c r="B46" s="11" t="s">
        <v>41</v>
      </c>
      <c r="C46" s="45">
        <v>7.293949999999999E-2</v>
      </c>
      <c r="D46" s="12"/>
    </row>
    <row r="47" spans="1:5" ht="15.75" customHeight="1" x14ac:dyDescent="0.25">
      <c r="B47" s="11" t="s">
        <v>42</v>
      </c>
      <c r="C47" s="45">
        <v>7.4545500000000001E-2</v>
      </c>
      <c r="D47" s="12"/>
      <c r="E47" s="13"/>
    </row>
    <row r="48" spans="1:5" ht="15" customHeight="1" x14ac:dyDescent="0.25">
      <c r="B48" s="11" t="s">
        <v>43</v>
      </c>
      <c r="C48" s="46">
        <v>0.84572670000000005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0.63615299999999997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9.5600833999999899E-2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59208.430000000008</v>
      </c>
      <c r="C2" s="49">
        <v>167000</v>
      </c>
      <c r="D2" s="49">
        <v>289000</v>
      </c>
      <c r="E2" s="49">
        <v>427000</v>
      </c>
      <c r="F2" s="49">
        <v>485000</v>
      </c>
      <c r="G2" s="17">
        <f t="shared" ref="G2:G13" si="0">C2+D2+E2+F2</f>
        <v>1368000</v>
      </c>
      <c r="H2" s="17">
        <f t="shared" ref="H2:H13" si="1">(B2 + stillbirth*B2/(1000-stillbirth))/(1-abortion)</f>
        <v>67649.065550573607</v>
      </c>
      <c r="I2" s="17">
        <f t="shared" ref="I2:I13" si="2">G2-H2</f>
        <v>1300350.9344494264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58213.127000000008</v>
      </c>
      <c r="C3" s="50">
        <v>168000</v>
      </c>
      <c r="D3" s="50">
        <v>286000</v>
      </c>
      <c r="E3" s="50">
        <v>413000</v>
      </c>
      <c r="F3" s="50">
        <v>478000</v>
      </c>
      <c r="G3" s="17">
        <f t="shared" si="0"/>
        <v>1345000</v>
      </c>
      <c r="H3" s="17">
        <f t="shared" si="1"/>
        <v>66511.874142362271</v>
      </c>
      <c r="I3" s="17">
        <f t="shared" si="2"/>
        <v>1278488.1258576377</v>
      </c>
    </row>
    <row r="4" spans="1:9" ht="15.75" customHeight="1" x14ac:dyDescent="0.25">
      <c r="A4" s="5">
        <f t="shared" si="3"/>
        <v>2026</v>
      </c>
      <c r="B4" s="49">
        <v>57255.721199999993</v>
      </c>
      <c r="C4" s="50">
        <v>168000</v>
      </c>
      <c r="D4" s="50">
        <v>287000</v>
      </c>
      <c r="E4" s="50">
        <v>396000</v>
      </c>
      <c r="F4" s="50">
        <v>471000</v>
      </c>
      <c r="G4" s="17">
        <f t="shared" si="0"/>
        <v>1322000</v>
      </c>
      <c r="H4" s="17">
        <f t="shared" si="1"/>
        <v>65417.982483307969</v>
      </c>
      <c r="I4" s="17">
        <f t="shared" si="2"/>
        <v>1256582.0175166919</v>
      </c>
    </row>
    <row r="5" spans="1:9" ht="15.75" customHeight="1" x14ac:dyDescent="0.25">
      <c r="A5" s="5">
        <f t="shared" si="3"/>
        <v>2027</v>
      </c>
      <c r="B5" s="49">
        <v>56297.59199999999</v>
      </c>
      <c r="C5" s="50">
        <v>166000</v>
      </c>
      <c r="D5" s="50">
        <v>291000</v>
      </c>
      <c r="E5" s="50">
        <v>377000</v>
      </c>
      <c r="F5" s="50">
        <v>464000</v>
      </c>
      <c r="G5" s="17">
        <f t="shared" si="0"/>
        <v>1298000</v>
      </c>
      <c r="H5" s="17">
        <f t="shared" si="1"/>
        <v>64323.264297794194</v>
      </c>
      <c r="I5" s="17">
        <f t="shared" si="2"/>
        <v>1233676.7357022059</v>
      </c>
    </row>
    <row r="6" spans="1:9" ht="15.75" customHeight="1" x14ac:dyDescent="0.25">
      <c r="A6" s="5">
        <f t="shared" si="3"/>
        <v>2028</v>
      </c>
      <c r="B6" s="49">
        <v>55338.943999999989</v>
      </c>
      <c r="C6" s="50">
        <v>163000</v>
      </c>
      <c r="D6" s="50">
        <v>296000</v>
      </c>
      <c r="E6" s="50">
        <v>356000</v>
      </c>
      <c r="F6" s="50">
        <v>459000</v>
      </c>
      <c r="G6" s="17">
        <f t="shared" si="0"/>
        <v>1274000</v>
      </c>
      <c r="H6" s="17">
        <f t="shared" si="1"/>
        <v>63227.953353188401</v>
      </c>
      <c r="I6" s="17">
        <f t="shared" si="2"/>
        <v>1210772.0466468115</v>
      </c>
    </row>
    <row r="7" spans="1:9" ht="15.75" customHeight="1" x14ac:dyDescent="0.25">
      <c r="A7" s="5">
        <f t="shared" si="3"/>
        <v>2029</v>
      </c>
      <c r="B7" s="49">
        <v>54371.483599999978</v>
      </c>
      <c r="C7" s="50">
        <v>160000</v>
      </c>
      <c r="D7" s="50">
        <v>301000</v>
      </c>
      <c r="E7" s="50">
        <v>336000</v>
      </c>
      <c r="F7" s="50">
        <v>452000</v>
      </c>
      <c r="G7" s="17">
        <f t="shared" si="0"/>
        <v>1249000</v>
      </c>
      <c r="H7" s="17">
        <f t="shared" si="1"/>
        <v>62122.573730435615</v>
      </c>
      <c r="I7" s="17">
        <f t="shared" si="2"/>
        <v>1186877.4262695643</v>
      </c>
    </row>
    <row r="8" spans="1:9" ht="15.75" customHeight="1" x14ac:dyDescent="0.25">
      <c r="A8" s="5">
        <f t="shared" si="3"/>
        <v>2030</v>
      </c>
      <c r="B8" s="49">
        <v>53412.480000000003</v>
      </c>
      <c r="C8" s="50">
        <v>158000</v>
      </c>
      <c r="D8" s="50">
        <v>306000</v>
      </c>
      <c r="E8" s="50">
        <v>318000</v>
      </c>
      <c r="F8" s="50">
        <v>445000</v>
      </c>
      <c r="G8" s="17">
        <f t="shared" si="0"/>
        <v>1227000</v>
      </c>
      <c r="H8" s="17">
        <f t="shared" si="1"/>
        <v>61026.856492203922</v>
      </c>
      <c r="I8" s="17">
        <f t="shared" si="2"/>
        <v>1165973.1435077961</v>
      </c>
    </row>
    <row r="9" spans="1:9" ht="15.75" customHeight="1" x14ac:dyDescent="0.25">
      <c r="A9" s="5">
        <f t="shared" si="3"/>
        <v>2031</v>
      </c>
      <c r="B9" s="49">
        <v>52584.487142857142</v>
      </c>
      <c r="C9" s="50">
        <v>156714.28571428571</v>
      </c>
      <c r="D9" s="50">
        <v>308428.57142857142</v>
      </c>
      <c r="E9" s="50">
        <v>302428.57142857142</v>
      </c>
      <c r="F9" s="50">
        <v>439285.71428571432</v>
      </c>
      <c r="G9" s="17">
        <f t="shared" si="0"/>
        <v>1206857.142857143</v>
      </c>
      <c r="H9" s="17">
        <f t="shared" si="1"/>
        <v>60080.826626722534</v>
      </c>
      <c r="I9" s="17">
        <f t="shared" si="2"/>
        <v>1146776.3162304205</v>
      </c>
    </row>
    <row r="10" spans="1:9" ht="15.75" customHeight="1" x14ac:dyDescent="0.25">
      <c r="A10" s="5">
        <f t="shared" si="3"/>
        <v>2032</v>
      </c>
      <c r="B10" s="49">
        <v>51780.395734693877</v>
      </c>
      <c r="C10" s="50">
        <v>155102.04081632651</v>
      </c>
      <c r="D10" s="50">
        <v>311632.6530612245</v>
      </c>
      <c r="E10" s="50">
        <v>286632.6530612245</v>
      </c>
      <c r="F10" s="50">
        <v>433755.10204081627</v>
      </c>
      <c r="G10" s="17">
        <f t="shared" si="0"/>
        <v>1187122.4489795917</v>
      </c>
      <c r="H10" s="17">
        <f t="shared" si="1"/>
        <v>59162.105553059715</v>
      </c>
      <c r="I10" s="17">
        <f t="shared" si="2"/>
        <v>1127960.3434265321</v>
      </c>
    </row>
    <row r="11" spans="1:9" ht="15.75" customHeight="1" x14ac:dyDescent="0.25">
      <c r="A11" s="5">
        <f t="shared" si="3"/>
        <v>2033</v>
      </c>
      <c r="B11" s="49">
        <v>50998.206382507291</v>
      </c>
      <c r="C11" s="50">
        <v>153259.47521865889</v>
      </c>
      <c r="D11" s="50">
        <v>315151.60349854227</v>
      </c>
      <c r="E11" s="50">
        <v>271008.74635568511</v>
      </c>
      <c r="F11" s="50">
        <v>428434.40233236138</v>
      </c>
      <c r="G11" s="17">
        <f t="shared" si="0"/>
        <v>1167854.2274052475</v>
      </c>
      <c r="H11" s="17">
        <f t="shared" si="1"/>
        <v>58268.408848738545</v>
      </c>
      <c r="I11" s="17">
        <f t="shared" si="2"/>
        <v>1109585.818556509</v>
      </c>
    </row>
    <row r="12" spans="1:9" ht="15.75" customHeight="1" x14ac:dyDescent="0.25">
      <c r="A12" s="5">
        <f t="shared" si="3"/>
        <v>2034</v>
      </c>
      <c r="B12" s="49">
        <v>50241.151294294054</v>
      </c>
      <c r="C12" s="50">
        <v>151439.4002498959</v>
      </c>
      <c r="D12" s="50">
        <v>318601.8325697626</v>
      </c>
      <c r="E12" s="50">
        <v>255867.13869221159</v>
      </c>
      <c r="F12" s="50">
        <v>423353.60266555601</v>
      </c>
      <c r="G12" s="17">
        <f t="shared" si="0"/>
        <v>1149261.9741774262</v>
      </c>
      <c r="H12" s="17">
        <f t="shared" si="1"/>
        <v>57403.429498873455</v>
      </c>
      <c r="I12" s="17">
        <f t="shared" si="2"/>
        <v>1091858.5446785528</v>
      </c>
    </row>
    <row r="13" spans="1:9" ht="15.75" customHeight="1" x14ac:dyDescent="0.25">
      <c r="A13" s="5">
        <f t="shared" si="3"/>
        <v>2035</v>
      </c>
      <c r="B13" s="49">
        <v>49512.895193478907</v>
      </c>
      <c r="C13" s="50">
        <v>149787.88599988099</v>
      </c>
      <c r="D13" s="50">
        <v>321830.66579401441</v>
      </c>
      <c r="E13" s="50">
        <v>241562.44421967029</v>
      </c>
      <c r="F13" s="50">
        <v>418261.26018920681</v>
      </c>
      <c r="G13" s="17">
        <f t="shared" si="0"/>
        <v>1131442.2562027725</v>
      </c>
      <c r="H13" s="17">
        <f t="shared" si="1"/>
        <v>56571.354662542726</v>
      </c>
      <c r="I13" s="17">
        <f t="shared" si="2"/>
        <v>1074870.9015402298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4.0816004081600382E-2</v>
      </c>
    </row>
    <row r="5" spans="1:8" ht="15.75" customHeight="1" x14ac:dyDescent="0.25">
      <c r="B5" s="19" t="s">
        <v>70</v>
      </c>
      <c r="C5" s="101">
        <v>4.5121704512170478E-2</v>
      </c>
    </row>
    <row r="6" spans="1:8" ht="15.75" customHeight="1" x14ac:dyDescent="0.25">
      <c r="B6" s="19" t="s">
        <v>71</v>
      </c>
      <c r="C6" s="101">
        <v>0.16704491670449181</v>
      </c>
    </row>
    <row r="7" spans="1:8" ht="15.75" customHeight="1" x14ac:dyDescent="0.25">
      <c r="B7" s="19" t="s">
        <v>72</v>
      </c>
      <c r="C7" s="101">
        <v>0.41512384151238468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0.28284702828470237</v>
      </c>
    </row>
    <row r="10" spans="1:8" ht="15.75" customHeight="1" x14ac:dyDescent="0.25">
      <c r="B10" s="19" t="s">
        <v>75</v>
      </c>
      <c r="C10" s="101">
        <v>4.9046504904650429E-2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7.1622213918380306E-2</v>
      </c>
      <c r="D14" s="55">
        <v>7.1622213918380306E-2</v>
      </c>
      <c r="E14" s="55">
        <v>7.1622213918380306E-2</v>
      </c>
      <c r="F14" s="55">
        <v>7.1622213918380306E-2</v>
      </c>
    </row>
    <row r="15" spans="1:8" ht="15.75" customHeight="1" x14ac:dyDescent="0.25">
      <c r="B15" s="19" t="s">
        <v>82</v>
      </c>
      <c r="C15" s="101">
        <v>0.53537243852516658</v>
      </c>
      <c r="D15" s="101">
        <v>0.53537243852516658</v>
      </c>
      <c r="E15" s="101">
        <v>0.53537243852516658</v>
      </c>
      <c r="F15" s="101">
        <v>0.53537243852516658</v>
      </c>
    </row>
    <row r="16" spans="1:8" ht="15.75" customHeight="1" x14ac:dyDescent="0.25">
      <c r="B16" s="19" t="s">
        <v>83</v>
      </c>
      <c r="C16" s="101">
        <v>5.3815270817032607E-2</v>
      </c>
      <c r="D16" s="101">
        <v>5.3815270817032607E-2</v>
      </c>
      <c r="E16" s="101">
        <v>5.3815270817032607E-2</v>
      </c>
      <c r="F16" s="101">
        <v>5.3815270817032607E-2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1.191361167876611E-2</v>
      </c>
      <c r="D20" s="101">
        <v>1.191361167876611E-2</v>
      </c>
      <c r="E20" s="101">
        <v>1.191361167876611E-2</v>
      </c>
      <c r="F20" s="101">
        <v>1.191361167876611E-2</v>
      </c>
    </row>
    <row r="21" spans="1:8" ht="15.75" customHeight="1" x14ac:dyDescent="0.25">
      <c r="B21" s="19" t="s">
        <v>88</v>
      </c>
      <c r="C21" s="101">
        <v>0.25827184543585707</v>
      </c>
      <c r="D21" s="101">
        <v>0.25827184543585707</v>
      </c>
      <c r="E21" s="101">
        <v>0.25827184543585707</v>
      </c>
      <c r="F21" s="101">
        <v>0.25827184543585707</v>
      </c>
    </row>
    <row r="22" spans="1:8" ht="15.75" customHeight="1" x14ac:dyDescent="0.25">
      <c r="B22" s="19" t="s">
        <v>89</v>
      </c>
      <c r="C22" s="101">
        <v>6.9004619624797536E-2</v>
      </c>
      <c r="D22" s="101">
        <v>6.9004619624797536E-2</v>
      </c>
      <c r="E22" s="101">
        <v>6.9004619624797536E-2</v>
      </c>
      <c r="F22" s="101">
        <v>6.9004619624797536E-2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7.0890322000000006E-2</v>
      </c>
    </row>
    <row r="27" spans="1:8" ht="15.75" customHeight="1" x14ac:dyDescent="0.25">
      <c r="B27" s="19" t="s">
        <v>92</v>
      </c>
      <c r="C27" s="101">
        <v>6.3794211000000003E-2</v>
      </c>
    </row>
    <row r="28" spans="1:8" ht="15.75" customHeight="1" x14ac:dyDescent="0.25">
      <c r="B28" s="19" t="s">
        <v>93</v>
      </c>
      <c r="C28" s="101">
        <v>0.20576266900000001</v>
      </c>
    </row>
    <row r="29" spans="1:8" ht="15.75" customHeight="1" x14ac:dyDescent="0.25">
      <c r="B29" s="19" t="s">
        <v>94</v>
      </c>
      <c r="C29" s="101">
        <v>0.158973905</v>
      </c>
    </row>
    <row r="30" spans="1:8" ht="15.75" customHeight="1" x14ac:dyDescent="0.25">
      <c r="B30" s="19" t="s">
        <v>95</v>
      </c>
      <c r="C30" s="101">
        <v>0.14980645400000001</v>
      </c>
    </row>
    <row r="31" spans="1:8" ht="15.75" customHeight="1" x14ac:dyDescent="0.25">
      <c r="B31" s="19" t="s">
        <v>96</v>
      </c>
      <c r="C31" s="101">
        <v>5.9616164999999999E-2</v>
      </c>
    </row>
    <row r="32" spans="1:8" ht="15.75" customHeight="1" x14ac:dyDescent="0.25">
      <c r="B32" s="19" t="s">
        <v>97</v>
      </c>
      <c r="C32" s="101">
        <v>9.6391635000000003E-2</v>
      </c>
    </row>
    <row r="33" spans="2:3" ht="15.75" customHeight="1" x14ac:dyDescent="0.25">
      <c r="B33" s="19" t="s">
        <v>98</v>
      </c>
      <c r="C33" s="101">
        <v>0.10287004700000001</v>
      </c>
    </row>
    <row r="34" spans="2:3" ht="15.75" customHeight="1" x14ac:dyDescent="0.25">
      <c r="B34" s="19" t="s">
        <v>99</v>
      </c>
      <c r="C34" s="101">
        <v>9.1894592999999997E-2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0.36588747924999998</v>
      </c>
      <c r="D14" s="54">
        <v>0.367404292656</v>
      </c>
      <c r="E14" s="54">
        <v>0.367404292656</v>
      </c>
      <c r="F14" s="54">
        <v>0.16958749963200001</v>
      </c>
      <c r="G14" s="54">
        <v>0.16958749963200001</v>
      </c>
      <c r="H14" s="45">
        <v>0.28000000000000003</v>
      </c>
      <c r="I14" s="55">
        <v>0.28000000000000003</v>
      </c>
      <c r="J14" s="55">
        <v>0.28000000000000003</v>
      </c>
      <c r="K14" s="55">
        <v>0.28000000000000003</v>
      </c>
      <c r="L14" s="45">
        <v>0.26400000000000001</v>
      </c>
      <c r="M14" s="55">
        <v>0.26400000000000001</v>
      </c>
      <c r="N14" s="55">
        <v>0.26400000000000001</v>
      </c>
      <c r="O14" s="55">
        <v>0.26400000000000001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0.23276041758732521</v>
      </c>
      <c r="D15" s="52">
        <f t="shared" si="0"/>
        <v>0.23372534298599235</v>
      </c>
      <c r="E15" s="52">
        <f t="shared" si="0"/>
        <v>0.23372534298599235</v>
      </c>
      <c r="F15" s="52">
        <f t="shared" si="0"/>
        <v>0.1078835966533957</v>
      </c>
      <c r="G15" s="52">
        <f t="shared" si="0"/>
        <v>0.1078835966533957</v>
      </c>
      <c r="H15" s="52">
        <f t="shared" si="0"/>
        <v>0.17812284</v>
      </c>
      <c r="I15" s="52">
        <f t="shared" si="0"/>
        <v>0.17812284</v>
      </c>
      <c r="J15" s="52">
        <f t="shared" si="0"/>
        <v>0.17812284</v>
      </c>
      <c r="K15" s="52">
        <f t="shared" si="0"/>
        <v>0.17812284</v>
      </c>
      <c r="L15" s="52">
        <f t="shared" si="0"/>
        <v>0.167944392</v>
      </c>
      <c r="M15" s="52">
        <f t="shared" si="0"/>
        <v>0.167944392</v>
      </c>
      <c r="N15" s="52">
        <f t="shared" si="0"/>
        <v>0.167944392</v>
      </c>
      <c r="O15" s="52">
        <f t="shared" si="0"/>
        <v>0.167944392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0.43399436200000002</v>
      </c>
      <c r="D2" s="53">
        <v>0.23404619600000001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0.27557090400000001</v>
      </c>
      <c r="D3" s="53">
        <v>0.28600471399999999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0.20970329800000001</v>
      </c>
      <c r="D4" s="53">
        <v>0.320885694</v>
      </c>
      <c r="E4" s="53">
        <v>0.65853112884615395</v>
      </c>
      <c r="F4" s="53">
        <v>0.32869853269230798</v>
      </c>
      <c r="G4" s="53">
        <v>0</v>
      </c>
    </row>
    <row r="5" spans="1:7" x14ac:dyDescent="0.25">
      <c r="B5" s="3" t="s">
        <v>122</v>
      </c>
      <c r="C5" s="52">
        <v>8.0731462000000004E-2</v>
      </c>
      <c r="D5" s="52">
        <v>0.15906339</v>
      </c>
      <c r="E5" s="52">
        <f>1-SUM(E2:E4)</f>
        <v>0.34146887115384605</v>
      </c>
      <c r="F5" s="52">
        <f>1-SUM(F2:F4)</f>
        <v>0.67130146730769202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79.237944195058446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40.355493895445491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746.9025246802014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7.6012727459732039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13.487793339241399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13.487793339241399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13.487793339241399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13.487793339241399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13.487793339241399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13.487793339241399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1.1945591391367461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17.118703595251191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17.118703595251191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80.311935815133822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23.524997843753901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4.5765963468796116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0.69369273269999998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19.061801059277851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162.0533213325655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1.508389493917569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2.613816007068833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0.86055859999999995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3.6602630150362971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205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1.2999999999999999E-2</v>
      </c>
      <c r="E2" s="60">
        <f>food_insecure</f>
        <v>1.2999999999999999E-2</v>
      </c>
      <c r="F2" s="60">
        <f>food_insecure</f>
        <v>1.2999999999999999E-2</v>
      </c>
      <c r="G2" s="60">
        <f>food_insecure</f>
        <v>1.2999999999999999E-2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1.2999999999999999E-2</v>
      </c>
      <c r="F5" s="60">
        <f>food_insecure</f>
        <v>1.2999999999999999E-2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1.2999999999999999E-2</v>
      </c>
      <c r="F8" s="60">
        <f>food_insecure</f>
        <v>1.2999999999999999E-2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1.2999999999999999E-2</v>
      </c>
      <c r="F9" s="60">
        <f>food_insecure</f>
        <v>1.2999999999999999E-2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1.2999999999999999E-2</v>
      </c>
      <c r="I15" s="60">
        <f>food_insecure</f>
        <v>1.2999999999999999E-2</v>
      </c>
      <c r="J15" s="60">
        <f>food_insecure</f>
        <v>1.2999999999999999E-2</v>
      </c>
      <c r="K15" s="60">
        <f>food_insecure</f>
        <v>1.2999999999999999E-2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5.3893095596313362E-2</v>
      </c>
      <c r="M25" s="60">
        <f>(1-food_insecure)*(0.49)+food_insecure*(0.7)</f>
        <v>0.49273</v>
      </c>
      <c r="N25" s="60">
        <f>(1-food_insecure)*(0.49)+food_insecure*(0.7)</f>
        <v>0.49273</v>
      </c>
      <c r="O25" s="60">
        <f>(1-food_insecure)*(0.49)+food_insecure*(0.7)</f>
        <v>0.49273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2.3097040969848579E-2</v>
      </c>
      <c r="M26" s="60">
        <f>(1-food_insecure)*(0.21)+food_insecure*(0.3)</f>
        <v>0.21116999999999997</v>
      </c>
      <c r="N26" s="60">
        <f>(1-food_insecure)*(0.21)+food_insecure*(0.3)</f>
        <v>0.21116999999999997</v>
      </c>
      <c r="O26" s="60">
        <f>(1-food_insecure)*(0.21)+food_insecure*(0.3)</f>
        <v>0.21116999999999997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3.2386389312744068E-2</v>
      </c>
      <c r="M27" s="60">
        <f>(1-food_insecure)*(0.3)</f>
        <v>0.29609999999999997</v>
      </c>
      <c r="N27" s="60">
        <f>(1-food_insecure)*(0.3)</f>
        <v>0.29609999999999997</v>
      </c>
      <c r="O27" s="60">
        <f>(1-food_insecure)*(0.3)</f>
        <v>0.29609999999999997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0.89062347412109399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0.89433643279797115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2024-03-28T03:03:46Z</dcterms:modified>
</cp:coreProperties>
</file>