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8ABC56E-9236-471B-9DF6-33F6A19483C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4" i="2" l="1"/>
  <c r="A5" i="2" s="1"/>
  <c r="A6" i="2"/>
  <c r="A7" i="2" s="1"/>
  <c r="A8" i="2"/>
  <c r="A9" i="2" s="1"/>
  <c r="A10" i="2"/>
  <c r="A11" i="2" s="1"/>
  <c r="A12" i="2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<sst xmlns="http://schemas.openxmlformats.org/spreadsheetml/2006/main" count="2103" uniqueCount="341">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</sst>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280031.91796875</v>
      </c>
    </row>
    <row r="8" spans="1:3" ht="15" customHeight="1" x14ac:dyDescent="0.25">
      <c r="B8" s="5" t="s">
        <v>8</v>
      </c>
      <c r="C8" s="44">
        <v>1.2999999999999999E-2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0.89062347412109399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0.12920000000000001</v>
      </c>
    </row>
    <row r="24" spans="1:3" ht="15" customHeight="1" x14ac:dyDescent="0.25">
      <c r="B24" s="15" t="s">
        <v>22</v>
      </c>
      <c r="C24" s="45">
        <v>0.48199999999999998</v>
      </c>
    </row>
    <row r="25" spans="1:3" ht="15" customHeight="1" x14ac:dyDescent="0.25">
      <c r="B25" s="15" t="s">
        <v>23</v>
      </c>
      <c r="C25" s="45">
        <v>0.36709999999999998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3.0092500000000002</v>
      </c>
    </row>
    <row r="38" spans="1:5" ht="15" customHeight="1" x14ac:dyDescent="0.25">
      <c r="B38" s="11" t="s">
        <v>34</v>
      </c>
      <c r="C38" s="43">
        <v>5.2746700000000004</v>
      </c>
      <c r="D38" s="12"/>
      <c r="E38" s="13"/>
    </row>
    <row r="39" spans="1:5" ht="15" customHeight="1" x14ac:dyDescent="0.25">
      <c r="B39" s="11" t="s">
        <v>35</v>
      </c>
      <c r="C39" s="43">
        <v>6.3242799999999999</v>
      </c>
      <c r="D39" s="12"/>
      <c r="E39" s="12"/>
    </row>
    <row r="40" spans="1:5" ht="15" customHeight="1" x14ac:dyDescent="0.25">
      <c r="B40" s="11" t="s">
        <v>36</v>
      </c>
      <c r="C40" s="100">
        <v>7.0000000000000007E-2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5.4214900000000004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6.7883000000000006E-3</v>
      </c>
      <c r="D45" s="12"/>
    </row>
    <row r="46" spans="1:5" ht="15.75" customHeight="1" x14ac:dyDescent="0.25">
      <c r="B46" s="11" t="s">
        <v>41</v>
      </c>
      <c r="C46" s="45">
        <v>7.293949999999999E-2</v>
      </c>
      <c r="D46" s="12"/>
    </row>
    <row r="47" spans="1:5" ht="15.75" customHeight="1" x14ac:dyDescent="0.25">
      <c r="B47" s="11" t="s">
        <v>42</v>
      </c>
      <c r="C47" s="45">
        <v>7.4545500000000001E-2</v>
      </c>
      <c r="D47" s="12"/>
      <c r="E47" s="13"/>
    </row>
    <row r="48" spans="1:5" ht="15" customHeight="1" x14ac:dyDescent="0.25">
      <c r="B48" s="11" t="s">
        <v>43</v>
      </c>
      <c r="C48" s="46">
        <v>0.84572670000000005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0.63615299999999997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9.5600833999999899E-2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54467</v>
      </c>
      <c r="C2" s="49">
        <v>192433.5</v>
      </c>
      <c r="D2" s="49">
        <v>293127.5</v>
      </c>
      <c r="E2" s="49">
        <v>420551</v>
      </c>
      <c r="F2" s="49">
        <v>443005.5</v>
      </c>
      <c r="G2" s="17">
        <f t="shared" ref="G2:G13" si="0">C2+D2+E2+F2</f>
        <v>1349117.5</v>
      </c>
      <c r="H2" s="17">
        <f t="shared" ref="H2:H13" si="1">(B2 + stillbirth*B2/(1000-stillbirth))/(1-abortion)</f>
        <v>62231.70675768792</v>
      </c>
      <c r="I2" s="17">
        <f t="shared" ref="I2:I13" si="2">G2-H2</f>
        <v>1286885.793242312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53514</v>
      </c>
      <c r="C3" s="50">
        <v>192820.5</v>
      </c>
      <c r="D3" s="50">
        <v>291767.5</v>
      </c>
      <c r="E3" s="50">
        <v>404953</v>
      </c>
      <c r="F3" s="50">
        <v>433742</v>
      </c>
      <c r="G3" s="17">
        <f t="shared" si="0"/>
        <v>1323283</v>
      </c>
      <c r="H3" s="17">
        <f t="shared" si="1"/>
        <v>61142.848980683928</v>
      </c>
      <c r="I3" s="17">
        <f t="shared" si="2"/>
        <v>1262140.1510193162</v>
      </c>
    </row>
    <row r="4" spans="1:9" ht="15.75" customHeight="1" x14ac:dyDescent="0.25">
      <c r="A4" s="5">
        <f t="shared" si="3"/>
        <v>2026</v>
      </c>
      <c r="B4" s="49">
        <v>52777</v>
      </c>
      <c r="C4" s="50">
        <v>191931</v>
      </c>
      <c r="D4" s="50">
        <v>292391.5</v>
      </c>
      <c r="E4" s="50">
        <v>387164</v>
      </c>
      <c r="F4" s="50">
        <v>425960.5</v>
      </c>
      <c r="G4" s="17">
        <f t="shared" si="0"/>
        <v>1297447</v>
      </c>
      <c r="H4" s="17">
        <f t="shared" si="1"/>
        <v>60300.783732360789</v>
      </c>
      <c r="I4" s="17">
        <f t="shared" si="2"/>
        <v>1237146.2162676393</v>
      </c>
    </row>
    <row r="5" spans="1:9" ht="15.75" customHeight="1" x14ac:dyDescent="0.25">
      <c r="A5" s="5">
        <f t="shared" si="3"/>
        <v>2027</v>
      </c>
      <c r="B5" s="49">
        <v>51930</v>
      </c>
      <c r="C5" s="50">
        <v>190255</v>
      </c>
      <c r="D5" s="50">
        <v>295527.5</v>
      </c>
      <c r="E5" s="50">
        <v>367359</v>
      </c>
      <c r="F5" s="50">
        <v>419269.5</v>
      </c>
      <c r="G5" s="17">
        <f t="shared" si="0"/>
        <v>1272411</v>
      </c>
      <c r="H5" s="17">
        <f t="shared" si="1"/>
        <v>59333.037103690927</v>
      </c>
      <c r="I5" s="17">
        <f t="shared" si="2"/>
        <v>1213077.9628963091</v>
      </c>
    </row>
    <row r="6" spans="1:9" ht="15.75" customHeight="1" x14ac:dyDescent="0.25">
      <c r="A6" s="5">
        <f t="shared" si="3"/>
        <v>2028</v>
      </c>
      <c r="B6" s="49">
        <v>51269</v>
      </c>
      <c r="C6" s="50">
        <v>187972</v>
      </c>
      <c r="D6" s="50">
        <v>300750.5</v>
      </c>
      <c r="E6" s="50">
        <v>346546.5</v>
      </c>
      <c r="F6" s="50">
        <v>413740</v>
      </c>
      <c r="G6" s="17">
        <f t="shared" si="0"/>
        <v>1249009</v>
      </c>
      <c r="H6" s="17">
        <f t="shared" si="1"/>
        <v>58577.806263607352</v>
      </c>
      <c r="I6" s="17">
        <f t="shared" si="2"/>
        <v>1190431.1937363925</v>
      </c>
    </row>
    <row r="7" spans="1:9" ht="15.75" customHeight="1" x14ac:dyDescent="0.25">
      <c r="A7" s="5">
        <f t="shared" si="3"/>
        <v>2029</v>
      </c>
      <c r="B7" s="49">
        <v>50562</v>
      </c>
      <c r="C7" s="50">
        <v>184222.5</v>
      </c>
      <c r="D7" s="50">
        <v>304271.5</v>
      </c>
      <c r="E7" s="50">
        <v>329163</v>
      </c>
      <c r="F7" s="50">
        <v>408555</v>
      </c>
      <c r="G7" s="17">
        <f t="shared" si="0"/>
        <v>1226212</v>
      </c>
      <c r="H7" s="17">
        <f t="shared" si="1"/>
        <v>57770.017755378787</v>
      </c>
      <c r="I7" s="17">
        <f t="shared" si="2"/>
        <v>1168441.9822446213</v>
      </c>
    </row>
    <row r="8" spans="1:9" ht="15.75" customHeight="1" x14ac:dyDescent="0.25">
      <c r="A8" s="5">
        <f t="shared" si="3"/>
        <v>2030</v>
      </c>
      <c r="B8" s="49">
        <v>50043</v>
      </c>
      <c r="C8" s="50">
        <v>180464</v>
      </c>
      <c r="D8" s="50">
        <v>305340</v>
      </c>
      <c r="E8" s="50">
        <v>315686</v>
      </c>
      <c r="F8" s="50">
        <v>404969</v>
      </c>
      <c r="G8" s="17">
        <f t="shared" si="0"/>
        <v>1206459</v>
      </c>
      <c r="H8" s="17">
        <f t="shared" si="1"/>
        <v>57177.030151742831</v>
      </c>
      <c r="I8" s="17">
        <f t="shared" si="2"/>
        <v>1149281.9698482573</v>
      </c>
    </row>
    <row r="9" spans="1:9" ht="15.75" customHeight="1" x14ac:dyDescent="0.25">
      <c r="A9" s="5">
        <f t="shared" si="3"/>
        <v>2031</v>
      </c>
      <c r="B9" s="49">
        <v>49664</v>
      </c>
      <c r="C9" s="50">
        <v>178466.5</v>
      </c>
      <c r="D9" s="50">
        <v>305962.5</v>
      </c>
      <c r="E9" s="50">
        <v>303846</v>
      </c>
      <c r="F9" s="50">
        <v>402126</v>
      </c>
      <c r="G9" s="17">
        <f t="shared" si="0"/>
        <v>1190401</v>
      </c>
      <c r="H9" s="17">
        <f t="shared" si="1"/>
        <v>56744.000668548164</v>
      </c>
      <c r="I9" s="17">
        <f t="shared" si="2"/>
        <v>1133656.999331452</v>
      </c>
    </row>
    <row r="10" spans="1:9" ht="15.75" customHeight="1" x14ac:dyDescent="0.25">
      <c r="A10" s="5">
        <f t="shared" si="3"/>
        <v>2032</v>
      </c>
      <c r="B10" s="49">
        <v>49258</v>
      </c>
      <c r="C10" s="50">
        <v>177009.5</v>
      </c>
      <c r="D10" s="50">
        <v>306851</v>
      </c>
      <c r="E10" s="50">
        <v>294051</v>
      </c>
      <c r="F10" s="50">
        <v>396873</v>
      </c>
      <c r="G10" s="17">
        <f t="shared" si="0"/>
        <v>1174784.5</v>
      </c>
      <c r="H10" s="17">
        <f t="shared" si="1"/>
        <v>56280.122119268395</v>
      </c>
      <c r="I10" s="17">
        <f t="shared" si="2"/>
        <v>1118504.3778807316</v>
      </c>
    </row>
    <row r="11" spans="1:9" ht="15.75" customHeight="1" x14ac:dyDescent="0.25">
      <c r="A11" s="5">
        <f t="shared" si="3"/>
        <v>2033</v>
      </c>
      <c r="B11" s="49">
        <v>48909</v>
      </c>
      <c r="C11" s="50">
        <v>175290</v>
      </c>
      <c r="D11" s="50">
        <v>306873</v>
      </c>
      <c r="E11" s="50">
        <v>286635</v>
      </c>
      <c r="F11" s="50">
        <v>388061</v>
      </c>
      <c r="G11" s="17">
        <f t="shared" si="0"/>
        <v>1156859</v>
      </c>
      <c r="H11" s="17">
        <f t="shared" si="1"/>
        <v>55881.369376168295</v>
      </c>
      <c r="I11" s="17">
        <f t="shared" si="2"/>
        <v>1100977.6306238316</v>
      </c>
    </row>
    <row r="12" spans="1:9" ht="15.75" customHeight="1" x14ac:dyDescent="0.25">
      <c r="A12" s="5">
        <f t="shared" si="3"/>
        <v>2034</v>
      </c>
      <c r="B12" s="49">
        <v>48679</v>
      </c>
      <c r="C12" s="50">
        <v>172621</v>
      </c>
      <c r="D12" s="50">
        <v>306128</v>
      </c>
      <c r="E12" s="50">
        <v>281895</v>
      </c>
      <c r="F12" s="50">
        <v>377076</v>
      </c>
      <c r="G12" s="17">
        <f t="shared" si="0"/>
        <v>1137720</v>
      </c>
      <c r="H12" s="17">
        <f t="shared" si="1"/>
        <v>55618.581035443298</v>
      </c>
      <c r="I12" s="17">
        <f t="shared" si="2"/>
        <v>1082101.4189645567</v>
      </c>
    </row>
    <row r="13" spans="1:9" ht="15.75" customHeight="1" x14ac:dyDescent="0.25">
      <c r="A13" s="5">
        <f t="shared" si="3"/>
        <v>2035</v>
      </c>
      <c r="B13" s="49">
        <v>48452</v>
      </c>
      <c r="C13" s="50">
        <v>169021.5</v>
      </c>
      <c r="D13" s="50">
        <v>305029</v>
      </c>
      <c r="E13" s="50">
        <v>280564</v>
      </c>
      <c r="F13" s="50">
        <v>364704.99999999988</v>
      </c>
      <c r="G13" s="17">
        <f t="shared" si="0"/>
        <v>1119319.5</v>
      </c>
      <c r="H13" s="17">
        <f t="shared" si="1"/>
        <v>55359.220368727758</v>
      </c>
      <c r="I13" s="17">
        <f t="shared" si="2"/>
        <v>1063960.2796312722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4.0816004081600382E-2</v>
      </c>
    </row>
    <row r="5" spans="1:8" ht="15.75" customHeight="1" x14ac:dyDescent="0.25">
      <c r="B5" s="19" t="s">
        <v>70</v>
      </c>
      <c r="C5" s="101">
        <v>4.5121704512170478E-2</v>
      </c>
    </row>
    <row r="6" spans="1:8" ht="15.75" customHeight="1" x14ac:dyDescent="0.25">
      <c r="B6" s="19" t="s">
        <v>71</v>
      </c>
      <c r="C6" s="101">
        <v>0.16704491670449181</v>
      </c>
    </row>
    <row r="7" spans="1:8" ht="15.75" customHeight="1" x14ac:dyDescent="0.25">
      <c r="B7" s="19" t="s">
        <v>72</v>
      </c>
      <c r="C7" s="101">
        <v>0.41512384151238468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0.28284702828470237</v>
      </c>
    </row>
    <row r="10" spans="1:8" ht="15.75" customHeight="1" x14ac:dyDescent="0.25">
      <c r="B10" s="19" t="s">
        <v>75</v>
      </c>
      <c r="C10" s="101">
        <v>4.9046504904650429E-2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7.1622213918380306E-2</v>
      </c>
      <c r="D14" s="55">
        <v>7.1622213918380306E-2</v>
      </c>
      <c r="E14" s="55">
        <v>7.1622213918380306E-2</v>
      </c>
      <c r="F14" s="55">
        <v>7.1622213918380306E-2</v>
      </c>
    </row>
    <row r="15" spans="1:8" ht="15.75" customHeight="1" x14ac:dyDescent="0.25">
      <c r="B15" s="19" t="s">
        <v>82</v>
      </c>
      <c r="C15" s="101">
        <v>0.53537243852516658</v>
      </c>
      <c r="D15" s="101">
        <v>0.53537243852516658</v>
      </c>
      <c r="E15" s="101">
        <v>0.53537243852516658</v>
      </c>
      <c r="F15" s="101">
        <v>0.53537243852516658</v>
      </c>
    </row>
    <row r="16" spans="1:8" ht="15.75" customHeight="1" x14ac:dyDescent="0.25">
      <c r="B16" s="19" t="s">
        <v>83</v>
      </c>
      <c r="C16" s="101">
        <v>5.3815270817032607E-2</v>
      </c>
      <c r="D16" s="101">
        <v>5.3815270817032607E-2</v>
      </c>
      <c r="E16" s="101">
        <v>5.3815270817032607E-2</v>
      </c>
      <c r="F16" s="101">
        <v>5.3815270817032607E-2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1.191361167876611E-2</v>
      </c>
      <c r="D20" s="101">
        <v>1.191361167876611E-2</v>
      </c>
      <c r="E20" s="101">
        <v>1.191361167876611E-2</v>
      </c>
      <c r="F20" s="101">
        <v>1.191361167876611E-2</v>
      </c>
    </row>
    <row r="21" spans="1:8" ht="15.75" customHeight="1" x14ac:dyDescent="0.25">
      <c r="B21" s="19" t="s">
        <v>88</v>
      </c>
      <c r="C21" s="101">
        <v>0.25827184543585707</v>
      </c>
      <c r="D21" s="101">
        <v>0.25827184543585707</v>
      </c>
      <c r="E21" s="101">
        <v>0.25827184543585707</v>
      </c>
      <c r="F21" s="101">
        <v>0.25827184543585707</v>
      </c>
    </row>
    <row r="22" spans="1:8" ht="15.75" customHeight="1" x14ac:dyDescent="0.25">
      <c r="B22" s="19" t="s">
        <v>89</v>
      </c>
      <c r="C22" s="101">
        <v>6.9004619624797536E-2</v>
      </c>
      <c r="D22" s="101">
        <v>6.9004619624797536E-2</v>
      </c>
      <c r="E22" s="101">
        <v>6.9004619624797536E-2</v>
      </c>
      <c r="F22" s="101">
        <v>6.9004619624797536E-2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7.0890322000000006E-2</v>
      </c>
    </row>
    <row r="27" spans="1:8" ht="15.75" customHeight="1" x14ac:dyDescent="0.25">
      <c r="B27" s="19" t="s">
        <v>92</v>
      </c>
      <c r="C27" s="101">
        <v>6.3794211000000003E-2</v>
      </c>
    </row>
    <row r="28" spans="1:8" ht="15.75" customHeight="1" x14ac:dyDescent="0.25">
      <c r="B28" s="19" t="s">
        <v>93</v>
      </c>
      <c r="C28" s="101">
        <v>0.20576266900000001</v>
      </c>
    </row>
    <row r="29" spans="1:8" ht="15.75" customHeight="1" x14ac:dyDescent="0.25">
      <c r="B29" s="19" t="s">
        <v>94</v>
      </c>
      <c r="C29" s="101">
        <v>0.158973905</v>
      </c>
    </row>
    <row r="30" spans="1:8" ht="15.75" customHeight="1" x14ac:dyDescent="0.25">
      <c r="B30" s="19" t="s">
        <v>95</v>
      </c>
      <c r="C30" s="101">
        <v>0.14980645400000001</v>
      </c>
    </row>
    <row r="31" spans="1:8" ht="15.75" customHeight="1" x14ac:dyDescent="0.25">
      <c r="B31" s="19" t="s">
        <v>96</v>
      </c>
      <c r="C31" s="101">
        <v>5.9616164999999999E-2</v>
      </c>
    </row>
    <row r="32" spans="1:8" ht="15.75" customHeight="1" x14ac:dyDescent="0.25">
      <c r="B32" s="19" t="s">
        <v>97</v>
      </c>
      <c r="C32" s="101">
        <v>9.6391635000000003E-2</v>
      </c>
    </row>
    <row r="33" spans="2:3" ht="15.75" customHeight="1" x14ac:dyDescent="0.25">
      <c r="B33" s="19" t="s">
        <v>98</v>
      </c>
      <c r="C33" s="101">
        <v>0.10287004700000001</v>
      </c>
    </row>
    <row r="34" spans="2:3" ht="15.75" customHeight="1" x14ac:dyDescent="0.25">
      <c r="B34" s="19" t="s">
        <v>99</v>
      </c>
      <c r="C34" s="101">
        <v>9.1894592999999997E-2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0.36588747924999998</v>
      </c>
      <c r="D14" s="54">
        <v>0.367404292656</v>
      </c>
      <c r="E14" s="54">
        <v>0.367404292656</v>
      </c>
      <c r="F14" s="54">
        <v>0.16958749963200001</v>
      </c>
      <c r="G14" s="54">
        <v>0.16958749963200001</v>
      </c>
      <c r="H14" s="45">
        <v>0.28000000000000003</v>
      </c>
      <c r="I14" s="55">
        <v>0.28000000000000003</v>
      </c>
      <c r="J14" s="55">
        <v>0.28000000000000003</v>
      </c>
      <c r="K14" s="55">
        <v>0.28000000000000003</v>
      </c>
      <c r="L14" s="45">
        <v>0.26400000000000001</v>
      </c>
      <c r="M14" s="55">
        <v>0.26400000000000001</v>
      </c>
      <c r="N14" s="55">
        <v>0.26400000000000001</v>
      </c>
      <c r="O14" s="55">
        <v>0.26400000000000001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0.23276041758732521</v>
      </c>
      <c r="D15" s="52">
        <f t="shared" si="0"/>
        <v>0.23372534298599235</v>
      </c>
      <c r="E15" s="52">
        <f t="shared" si="0"/>
        <v>0.23372534298599235</v>
      </c>
      <c r="F15" s="52">
        <f t="shared" si="0"/>
        <v>0.1078835966533957</v>
      </c>
      <c r="G15" s="52">
        <f t="shared" si="0"/>
        <v>0.1078835966533957</v>
      </c>
      <c r="H15" s="52">
        <f t="shared" si="0"/>
        <v>0.17812284</v>
      </c>
      <c r="I15" s="52">
        <f t="shared" si="0"/>
        <v>0.17812284</v>
      </c>
      <c r="J15" s="52">
        <f t="shared" si="0"/>
        <v>0.17812284</v>
      </c>
      <c r="K15" s="52">
        <f t="shared" si="0"/>
        <v>0.17812284</v>
      </c>
      <c r="L15" s="52">
        <f t="shared" si="0"/>
        <v>0.167944392</v>
      </c>
      <c r="M15" s="52">
        <f t="shared" si="0"/>
        <v>0.167944392</v>
      </c>
      <c r="N15" s="52">
        <f t="shared" si="0"/>
        <v>0.167944392</v>
      </c>
      <c r="O15" s="52">
        <f t="shared" si="0"/>
        <v>0.167944392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79.237944195058446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40.355493895445491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746.9025246802014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8.0641902562029717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13.487793339241399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13.487793339241399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13.487793339241399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13.487793339241399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13.487793339241399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13.487793339241399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1.1945591391367461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17.118703595251191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17.118703595251191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80.311935815133822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23.524997843753901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4.5765963468796116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0.66285820979999999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19.061801059277851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162.0533213325655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1.508389493917569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2.613816007068833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3.6602630150362971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1.2999999999999999E-2</v>
      </c>
      <c r="E2" s="60">
        <f>food_insecure</f>
        <v>1.2999999999999999E-2</v>
      </c>
      <c r="F2" s="60">
        <f>food_insecure</f>
        <v>1.2999999999999999E-2</v>
      </c>
      <c r="G2" s="60">
        <f>food_insecure</f>
        <v>1.2999999999999999E-2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1.2999999999999999E-2</v>
      </c>
      <c r="F5" s="60">
        <f>food_insecure</f>
        <v>1.2999999999999999E-2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1.2999999999999999E-2</v>
      </c>
      <c r="F8" s="60">
        <f>food_insecure</f>
        <v>1.2999999999999999E-2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1.2999999999999999E-2</v>
      </c>
      <c r="F9" s="60">
        <f>food_insecure</f>
        <v>1.2999999999999999E-2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1.2999999999999999E-2</v>
      </c>
      <c r="I15" s="60">
        <f>food_insecure</f>
        <v>1.2999999999999999E-2</v>
      </c>
      <c r="J15" s="60">
        <f>food_insecure</f>
        <v>1.2999999999999999E-2</v>
      </c>
      <c r="K15" s="60">
        <f>food_insecure</f>
        <v>1.2999999999999999E-2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5.3893095596313362E-2</v>
      </c>
      <c r="M25" s="60">
        <f>(1-food_insecure)*(0.49)+food_insecure*(0.7)</f>
        <v>0.49273</v>
      </c>
      <c r="N25" s="60">
        <f>(1-food_insecure)*(0.49)+food_insecure*(0.7)</f>
        <v>0.49273</v>
      </c>
      <c r="O25" s="60">
        <f>(1-food_insecure)*(0.49)+food_insecure*(0.7)</f>
        <v>0.49273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2.3097040969848579E-2</v>
      </c>
      <c r="M26" s="60">
        <f>(1-food_insecure)*(0.21)+food_insecure*(0.3)</f>
        <v>0.21116999999999997</v>
      </c>
      <c r="N26" s="60">
        <f>(1-food_insecure)*(0.21)+food_insecure*(0.3)</f>
        <v>0.21116999999999997</v>
      </c>
      <c r="O26" s="60">
        <f>(1-food_insecure)*(0.21)+food_insecure*(0.3)</f>
        <v>0.21116999999999997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3.2386389312744068E-2</v>
      </c>
      <c r="M27" s="60">
        <f>(1-food_insecure)*(0.3)</f>
        <v>0.29609999999999997</v>
      </c>
      <c r="N27" s="60">
        <f>(1-food_insecure)*(0.3)</f>
        <v>0.29609999999999997</v>
      </c>
      <c r="O27" s="60">
        <f>(1-food_insecure)*(0.3)</f>
        <v>0.29609999999999997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0.89062347412109399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2024-06-18T06:54:22Z</dcterms:modified>
</cp:coreProperties>
</file>