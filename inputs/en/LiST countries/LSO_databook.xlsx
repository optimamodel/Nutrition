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48D4FAF-E1F6-44DC-927D-D0306733DE3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6" i="2"/>
  <c r="A34" i="2"/>
  <c r="A33" i="2"/>
  <c r="A31" i="2"/>
  <c r="A28" i="2"/>
  <c r="A26" i="2"/>
  <c r="A25" i="2"/>
  <c r="A23" i="2"/>
  <c r="A20" i="2"/>
  <c r="A18" i="2"/>
  <c r="A17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19" i="2" l="1"/>
  <c r="A27" i="2"/>
  <c r="A35" i="2"/>
  <c r="A21" i="2"/>
  <c r="A29" i="2"/>
  <c r="A37" i="2"/>
  <c r="A4" i="2"/>
  <c r="A5" i="2" s="1"/>
  <c r="A6" i="2"/>
  <c r="A7" i="2" s="1"/>
  <c r="A8" i="2"/>
  <c r="A9" i="2" s="1"/>
  <c r="A10" i="2"/>
  <c r="A11" i="2" s="1"/>
  <c r="A12" i="2" s="1"/>
  <c r="A13" i="2" s="1"/>
  <c r="A14" i="2"/>
  <c r="A22" i="2"/>
  <c r="A30" i="2"/>
  <c r="A38" i="2"/>
  <c r="A40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<sst xmlns="http://schemas.openxmlformats.org/spreadsheetml/2006/main" count="2103" uniqueCount="341">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</sst>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281186.49609375</v>
      </c>
    </row>
    <row r="8" spans="1:3" ht="15" customHeight="1" x14ac:dyDescent="0.25">
      <c r="B8" s="5" t="s">
        <v>8</v>
      </c>
      <c r="C8" s="44">
        <v>0.26900000000000002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0.447736206054688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0.23899999999999999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0.1454</v>
      </c>
    </row>
    <row r="24" spans="1:3" ht="15" customHeight="1" x14ac:dyDescent="0.25">
      <c r="B24" s="15" t="s">
        <v>22</v>
      </c>
      <c r="C24" s="45">
        <v>0.49180000000000001</v>
      </c>
    </row>
    <row r="25" spans="1:3" ht="15" customHeight="1" x14ac:dyDescent="0.25">
      <c r="B25" s="15" t="s">
        <v>23</v>
      </c>
      <c r="C25" s="45">
        <v>0.28089999999999998</v>
      </c>
    </row>
    <row r="26" spans="1:3" ht="15" customHeight="1" x14ac:dyDescent="0.25">
      <c r="B26" s="15" t="s">
        <v>24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0.391186912619995</v>
      </c>
    </row>
    <row r="30" spans="1:3" ht="14.25" customHeight="1" x14ac:dyDescent="0.25">
      <c r="B30" s="25" t="s">
        <v>27</v>
      </c>
      <c r="C30" s="99">
        <v>2.27253385251939E-2</v>
      </c>
    </row>
    <row r="31" spans="1:3" ht="14.25" customHeight="1" x14ac:dyDescent="0.25">
      <c r="B31" s="25" t="s">
        <v>28</v>
      </c>
      <c r="C31" s="99">
        <v>4.1775369773239798E-2</v>
      </c>
    </row>
    <row r="32" spans="1:3" ht="14.25" customHeight="1" x14ac:dyDescent="0.25">
      <c r="B32" s="25" t="s">
        <v>29</v>
      </c>
      <c r="C32" s="99">
        <v>0.54431237908157204</v>
      </c>
    </row>
    <row r="33" spans="1:5" ht="13" customHeight="1" x14ac:dyDescent="0.25">
      <c r="B33" s="27" t="s">
        <v>30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35.26191</v>
      </c>
    </row>
    <row r="38" spans="1:5" ht="15" customHeight="1" x14ac:dyDescent="0.25">
      <c r="B38" s="11" t="s">
        <v>34</v>
      </c>
      <c r="C38" s="43">
        <v>56.958309999999997</v>
      </c>
      <c r="D38" s="12"/>
      <c r="E38" s="13"/>
    </row>
    <row r="39" spans="1:5" ht="15" customHeight="1" x14ac:dyDescent="0.25">
      <c r="B39" s="11" t="s">
        <v>35</v>
      </c>
      <c r="C39" s="43">
        <v>72.925359999999998</v>
      </c>
      <c r="D39" s="12"/>
      <c r="E39" s="12"/>
    </row>
    <row r="40" spans="1:5" ht="15" customHeight="1" x14ac:dyDescent="0.25">
      <c r="B40" s="11" t="s">
        <v>36</v>
      </c>
      <c r="C40" s="100">
        <v>5.66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7.9373000000000013E-3</v>
      </c>
      <c r="D45" s="12"/>
    </row>
    <row r="46" spans="1:5" ht="15.75" customHeight="1" x14ac:dyDescent="0.25">
      <c r="B46" s="11" t="s">
        <v>41</v>
      </c>
      <c r="C46" s="45">
        <v>8.5285299999999994E-2</v>
      </c>
      <c r="D46" s="12"/>
    </row>
    <row r="47" spans="1:5" ht="15.75" customHeight="1" x14ac:dyDescent="0.25">
      <c r="B47" s="11" t="s">
        <v>42</v>
      </c>
      <c r="C47" s="45">
        <v>7.3452400000000001E-2</v>
      </c>
      <c r="D47" s="12"/>
      <c r="E47" s="13"/>
    </row>
    <row r="48" spans="1:5" ht="15" customHeight="1" x14ac:dyDescent="0.25">
      <c r="B48" s="11" t="s">
        <v>43</v>
      </c>
      <c r="C48" s="46">
        <v>0.83332499999999998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0.54738100000000001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59145</v>
      </c>
      <c r="C2" s="49">
        <v>141433.5</v>
      </c>
      <c r="D2" s="49">
        <v>214814</v>
      </c>
      <c r="E2" s="49">
        <v>182483.5</v>
      </c>
      <c r="F2" s="49">
        <v>100507.5</v>
      </c>
      <c r="G2" s="17">
        <f t="shared" ref="G2:G13" si="0">C2+D2+E2+F2</f>
        <v>639238.5</v>
      </c>
      <c r="H2" s="17">
        <f t="shared" ref="H2:H13" si="1">(B2 + stillbirth*B2/(1000-stillbirth))/(1-abortion)</f>
        <v>69051.016192277311</v>
      </c>
      <c r="I2" s="17">
        <f t="shared" ref="I2:I13" si="2">G2-H2</f>
        <v>570187.48380772269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58753</v>
      </c>
      <c r="C3" s="50">
        <v>142906</v>
      </c>
      <c r="D3" s="50">
        <v>215675</v>
      </c>
      <c r="E3" s="50">
        <v>185024.5</v>
      </c>
      <c r="F3" s="50">
        <v>105036</v>
      </c>
      <c r="G3" s="17">
        <f t="shared" si="0"/>
        <v>648641.5</v>
      </c>
      <c r="H3" s="17">
        <f t="shared" si="1"/>
        <v>68593.361304334583</v>
      </c>
      <c r="I3" s="17">
        <f t="shared" si="2"/>
        <v>580048.1386956654</v>
      </c>
    </row>
    <row r="4" spans="1:9" ht="15.75" customHeight="1" x14ac:dyDescent="0.25">
      <c r="A4" s="5">
        <f t="shared" si="3"/>
        <v>2026</v>
      </c>
      <c r="B4" s="49">
        <v>58585</v>
      </c>
      <c r="C4" s="50">
        <v>144985.5</v>
      </c>
      <c r="D4" s="50">
        <v>216276</v>
      </c>
      <c r="E4" s="50">
        <v>187371.5</v>
      </c>
      <c r="F4" s="50">
        <v>109630</v>
      </c>
      <c r="G4" s="17">
        <f t="shared" si="0"/>
        <v>658263</v>
      </c>
      <c r="H4" s="17">
        <f t="shared" si="1"/>
        <v>68397.223495216269</v>
      </c>
      <c r="I4" s="17">
        <f t="shared" si="2"/>
        <v>589865.77650478377</v>
      </c>
    </row>
    <row r="5" spans="1:9" ht="15.75" customHeight="1" x14ac:dyDescent="0.25">
      <c r="A5" s="5">
        <f t="shared" si="3"/>
        <v>2027</v>
      </c>
      <c r="B5" s="49">
        <v>58295</v>
      </c>
      <c r="C5" s="50">
        <v>146991.5</v>
      </c>
      <c r="D5" s="50">
        <v>217102.5</v>
      </c>
      <c r="E5" s="50">
        <v>189358.5</v>
      </c>
      <c r="F5" s="50">
        <v>114236.5</v>
      </c>
      <c r="G5" s="17">
        <f t="shared" si="0"/>
        <v>667689</v>
      </c>
      <c r="H5" s="17">
        <f t="shared" si="1"/>
        <v>68058.652277095374</v>
      </c>
      <c r="I5" s="17">
        <f t="shared" si="2"/>
        <v>599630.34772290464</v>
      </c>
    </row>
    <row r="6" spans="1:9" ht="15.75" customHeight="1" x14ac:dyDescent="0.25">
      <c r="A6" s="5">
        <f t="shared" si="3"/>
        <v>2028</v>
      </c>
      <c r="B6" s="49">
        <v>58208</v>
      </c>
      <c r="C6" s="50">
        <v>148820</v>
      </c>
      <c r="D6" s="50">
        <v>218376</v>
      </c>
      <c r="E6" s="50">
        <v>190691</v>
      </c>
      <c r="F6" s="50">
        <v>119069</v>
      </c>
      <c r="G6" s="17">
        <f t="shared" si="0"/>
        <v>676956</v>
      </c>
      <c r="H6" s="17">
        <f t="shared" si="1"/>
        <v>67957.080911659112</v>
      </c>
      <c r="I6" s="17">
        <f t="shared" si="2"/>
        <v>608998.91908834083</v>
      </c>
    </row>
    <row r="7" spans="1:9" ht="15.75" customHeight="1" x14ac:dyDescent="0.25">
      <c r="A7" s="5">
        <f t="shared" si="3"/>
        <v>2029</v>
      </c>
      <c r="B7" s="49">
        <v>57917</v>
      </c>
      <c r="C7" s="50">
        <v>150687</v>
      </c>
      <c r="D7" s="50">
        <v>219886</v>
      </c>
      <c r="E7" s="50">
        <v>191473</v>
      </c>
      <c r="F7" s="50">
        <v>124076.5</v>
      </c>
      <c r="G7" s="17">
        <f t="shared" si="0"/>
        <v>686122.5</v>
      </c>
      <c r="H7" s="17">
        <f t="shared" si="1"/>
        <v>67617.342206579182</v>
      </c>
      <c r="I7" s="17">
        <f t="shared" si="2"/>
        <v>618505.15779342083</v>
      </c>
    </row>
    <row r="8" spans="1:9" ht="15.75" customHeight="1" x14ac:dyDescent="0.25">
      <c r="A8" s="5">
        <f t="shared" si="3"/>
        <v>2030</v>
      </c>
      <c r="B8" s="49">
        <v>57920</v>
      </c>
      <c r="C8" s="50">
        <v>152782</v>
      </c>
      <c r="D8" s="50">
        <v>221522.5</v>
      </c>
      <c r="E8" s="50">
        <v>191985</v>
      </c>
      <c r="F8" s="50">
        <v>128880.5</v>
      </c>
      <c r="G8" s="17">
        <f t="shared" si="0"/>
        <v>695170</v>
      </c>
      <c r="H8" s="17">
        <f t="shared" si="1"/>
        <v>67620.844667456287</v>
      </c>
      <c r="I8" s="17">
        <f t="shared" si="2"/>
        <v>627549.15533254365</v>
      </c>
    </row>
    <row r="9" spans="1:9" ht="15.75" customHeight="1" x14ac:dyDescent="0.25">
      <c r="A9" s="5">
        <f t="shared" si="3"/>
        <v>2031</v>
      </c>
      <c r="B9" s="49">
        <v>57735</v>
      </c>
      <c r="C9" s="50">
        <v>154572</v>
      </c>
      <c r="D9" s="50">
        <v>223475.5</v>
      </c>
      <c r="E9" s="50">
        <v>192509</v>
      </c>
      <c r="F9" s="50">
        <v>133304</v>
      </c>
      <c r="G9" s="17">
        <f t="shared" si="0"/>
        <v>703860.5</v>
      </c>
      <c r="H9" s="17">
        <f t="shared" si="1"/>
        <v>67404.859580034332</v>
      </c>
      <c r="I9" s="17">
        <f t="shared" si="2"/>
        <v>636455.64041996561</v>
      </c>
    </row>
    <row r="10" spans="1:9" ht="15.75" customHeight="1" x14ac:dyDescent="0.25">
      <c r="A10" s="5">
        <f t="shared" si="3"/>
        <v>2032</v>
      </c>
      <c r="B10" s="49">
        <v>57735</v>
      </c>
      <c r="C10" s="50">
        <v>155702.5</v>
      </c>
      <c r="D10" s="50">
        <v>225675.5</v>
      </c>
      <c r="E10" s="50">
        <v>193303</v>
      </c>
      <c r="F10" s="50">
        <v>137341</v>
      </c>
      <c r="G10" s="17">
        <f t="shared" si="0"/>
        <v>712022</v>
      </c>
      <c r="H10" s="17">
        <f t="shared" si="1"/>
        <v>67404.859580034332</v>
      </c>
      <c r="I10" s="17">
        <f t="shared" si="2"/>
        <v>644617.14041996561</v>
      </c>
    </row>
    <row r="11" spans="1:9" ht="15.75" customHeight="1" x14ac:dyDescent="0.25">
      <c r="A11" s="5">
        <f t="shared" si="3"/>
        <v>2033</v>
      </c>
      <c r="B11" s="49">
        <v>57623</v>
      </c>
      <c r="C11" s="50">
        <v>156376</v>
      </c>
      <c r="D11" s="50">
        <v>227984.5</v>
      </c>
      <c r="E11" s="50">
        <v>194490.5</v>
      </c>
      <c r="F11" s="50">
        <v>140951.5</v>
      </c>
      <c r="G11" s="17">
        <f t="shared" si="0"/>
        <v>719802.5</v>
      </c>
      <c r="H11" s="17">
        <f t="shared" si="1"/>
        <v>67274.101040622132</v>
      </c>
      <c r="I11" s="17">
        <f t="shared" si="2"/>
        <v>652528.3989593779</v>
      </c>
    </row>
    <row r="12" spans="1:9" ht="15.75" customHeight="1" x14ac:dyDescent="0.25">
      <c r="A12" s="5">
        <f t="shared" si="3"/>
        <v>2034</v>
      </c>
      <c r="B12" s="49">
        <v>57499</v>
      </c>
      <c r="C12" s="50">
        <v>156802</v>
      </c>
      <c r="D12" s="50">
        <v>230585.5</v>
      </c>
      <c r="E12" s="50">
        <v>195737</v>
      </c>
      <c r="F12" s="50">
        <v>143944</v>
      </c>
      <c r="G12" s="17">
        <f t="shared" si="0"/>
        <v>727068.5</v>
      </c>
      <c r="H12" s="17">
        <f t="shared" si="1"/>
        <v>67129.332657701467</v>
      </c>
      <c r="I12" s="17">
        <f t="shared" si="2"/>
        <v>659939.16734229855</v>
      </c>
    </row>
    <row r="13" spans="1:9" ht="15.75" customHeight="1" x14ac:dyDescent="0.25">
      <c r="A13" s="5">
        <f t="shared" si="3"/>
        <v>2035</v>
      </c>
      <c r="B13" s="49">
        <v>57638</v>
      </c>
      <c r="C13" s="50">
        <v>157228</v>
      </c>
      <c r="D13" s="50">
        <v>233430.5</v>
      </c>
      <c r="E13" s="50">
        <v>196670.5</v>
      </c>
      <c r="F13" s="50">
        <v>146300.5</v>
      </c>
      <c r="G13" s="17">
        <f t="shared" si="0"/>
        <v>733629.5</v>
      </c>
      <c r="H13" s="17">
        <f t="shared" si="1"/>
        <v>67291.613345007689</v>
      </c>
      <c r="I13" s="17">
        <f t="shared" si="2"/>
        <v>666337.88665499236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7.7941000000000069E-3</v>
      </c>
    </row>
    <row r="4" spans="1:8" ht="15.75" customHeight="1" x14ac:dyDescent="0.25">
      <c r="B4" s="19" t="s">
        <v>69</v>
      </c>
      <c r="C4" s="101">
        <v>5.680499999999996E-2</v>
      </c>
    </row>
    <row r="5" spans="1:8" ht="15.75" customHeight="1" x14ac:dyDescent="0.25">
      <c r="B5" s="19" t="s">
        <v>70</v>
      </c>
      <c r="C5" s="101">
        <v>7.5246199999999971E-2</v>
      </c>
    </row>
    <row r="6" spans="1:8" ht="15.75" customHeight="1" x14ac:dyDescent="0.25">
      <c r="B6" s="19" t="s">
        <v>71</v>
      </c>
      <c r="C6" s="101">
        <v>0.24614950000000041</v>
      </c>
    </row>
    <row r="7" spans="1:8" ht="15.75" customHeight="1" x14ac:dyDescent="0.25">
      <c r="B7" s="19" t="s">
        <v>72</v>
      </c>
      <c r="C7" s="101">
        <v>0.42908479999999949</v>
      </c>
    </row>
    <row r="8" spans="1:8" ht="15.75" customHeight="1" x14ac:dyDescent="0.25">
      <c r="B8" s="19" t="s">
        <v>73</v>
      </c>
      <c r="C8" s="101">
        <v>1.3393000000000001E-3</v>
      </c>
    </row>
    <row r="9" spans="1:8" ht="15.75" customHeight="1" x14ac:dyDescent="0.25">
      <c r="B9" s="19" t="s">
        <v>74</v>
      </c>
      <c r="C9" s="101">
        <v>6.3739400000000085E-2</v>
      </c>
    </row>
    <row r="10" spans="1:8" ht="15.75" customHeight="1" x14ac:dyDescent="0.25">
      <c r="B10" s="19" t="s">
        <v>75</v>
      </c>
      <c r="C10" s="101">
        <v>0.11984170000000011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82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83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84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87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88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89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7.8500723999999994E-2</v>
      </c>
    </row>
    <row r="27" spans="1:8" ht="15.75" customHeight="1" x14ac:dyDescent="0.25">
      <c r="B27" s="19" t="s">
        <v>92</v>
      </c>
      <c r="C27" s="101">
        <v>7.8598569999999996E-3</v>
      </c>
    </row>
    <row r="28" spans="1:8" ht="15.75" customHeight="1" x14ac:dyDescent="0.25">
      <c r="B28" s="19" t="s">
        <v>93</v>
      </c>
      <c r="C28" s="101">
        <v>0.139408438</v>
      </c>
    </row>
    <row r="29" spans="1:8" ht="15.75" customHeight="1" x14ac:dyDescent="0.25">
      <c r="B29" s="19" t="s">
        <v>94</v>
      </c>
      <c r="C29" s="101">
        <v>0.15153803099999999</v>
      </c>
    </row>
    <row r="30" spans="1:8" ht="15.75" customHeight="1" x14ac:dyDescent="0.25">
      <c r="B30" s="19" t="s">
        <v>95</v>
      </c>
      <c r="C30" s="101">
        <v>9.5629616000000001E-2</v>
      </c>
    </row>
    <row r="31" spans="1:8" ht="15.75" customHeight="1" x14ac:dyDescent="0.25">
      <c r="B31" s="19" t="s">
        <v>96</v>
      </c>
      <c r="C31" s="101">
        <v>9.8062453999999993E-2</v>
      </c>
    </row>
    <row r="32" spans="1:8" ht="15.75" customHeight="1" x14ac:dyDescent="0.25">
      <c r="B32" s="19" t="s">
        <v>97</v>
      </c>
      <c r="C32" s="101">
        <v>1.6473412E-2</v>
      </c>
    </row>
    <row r="33" spans="2:3" ht="15.75" customHeight="1" x14ac:dyDescent="0.25">
      <c r="B33" s="19" t="s">
        <v>98</v>
      </c>
      <c r="C33" s="101">
        <v>7.5640217999999995E-2</v>
      </c>
    </row>
    <row r="34" spans="2:3" ht="15.75" customHeight="1" x14ac:dyDescent="0.25">
      <c r="B34" s="19" t="s">
        <v>99</v>
      </c>
      <c r="C34" s="101">
        <v>0.33688724799999997</v>
      </c>
    </row>
    <row r="35" spans="2:3" ht="15.75" customHeight="1" x14ac:dyDescent="0.25">
      <c r="B35" s="27" t="s">
        <v>30</v>
      </c>
      <c r="C35" s="48">
        <f>SUM(C26:C34)</f>
        <v>0.99999999799999983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104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105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109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110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122</v>
      </c>
      <c r="C5" s="52">
        <v>3.5964900000000001E-2</v>
      </c>
      <c r="D5" s="52">
        <v>0.1155542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38.228563212348718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39.436317937111831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103.97040719198429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0.34881273754836678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0.51401540000000001</v>
      </c>
      <c r="C10" s="98">
        <v>0.95</v>
      </c>
      <c r="D10" s="56">
        <v>12.568617380907741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12.568617380907741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12.568617380907741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12.568617380907741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0.51401540000000001</v>
      </c>
      <c r="C14" s="98">
        <v>0.95</v>
      </c>
      <c r="D14" s="56">
        <v>12.568617380907741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12.568617380907741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0.27538318080309132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0.54791509999999999</v>
      </c>
      <c r="C18" s="98">
        <v>0.95</v>
      </c>
      <c r="D18" s="56">
        <v>2.4903242449752758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0.54791509999999999</v>
      </c>
      <c r="C19" s="98">
        <v>0.95</v>
      </c>
      <c r="D19" s="56">
        <v>2.4903242449752758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3.0954058413748049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21.456851937503181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4.0021113729210773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0.64977730725310001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0.51401540000000001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18.113923100883021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0.39736890000000002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0.1669523</v>
      </c>
      <c r="C29" s="98">
        <v>0.95</v>
      </c>
      <c r="D29" s="56">
        <v>68.455567700421739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6.1500000000000013E-2</v>
      </c>
      <c r="C31" s="98">
        <v>0.95</v>
      </c>
      <c r="D31" s="56">
        <v>0.4685375268623197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0.18</v>
      </c>
      <c r="C32" s="98">
        <v>0.95</v>
      </c>
      <c r="D32" s="56">
        <v>0.54566520211153513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5.5719100000000001E-2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0.52886619999999995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2.7888000000000001E-3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0.72270930000000011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0.17358129999999999</v>
      </c>
      <c r="C38" s="98">
        <v>0.95</v>
      </c>
      <c r="D38" s="56">
        <v>3.150883261827913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205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0.26900000000000002</v>
      </c>
      <c r="E2" s="60">
        <f>food_insecure</f>
        <v>0.26900000000000002</v>
      </c>
      <c r="F2" s="60">
        <f>food_insecure</f>
        <v>0.26900000000000002</v>
      </c>
      <c r="G2" s="60">
        <f>food_insecure</f>
        <v>0.26900000000000002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0.26900000000000002</v>
      </c>
      <c r="F5" s="60">
        <f>food_insecure</f>
        <v>0.26900000000000002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0.26900000000000002</v>
      </c>
      <c r="F8" s="60">
        <f>food_insecure</f>
        <v>0.26900000000000002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0.26900000000000002</v>
      </c>
      <c r="F9" s="60">
        <f>food_insecure</f>
        <v>0.26900000000000002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0.26900000000000002</v>
      </c>
      <c r="I15" s="60">
        <f>food_insecure</f>
        <v>0.26900000000000002</v>
      </c>
      <c r="J15" s="60">
        <f>food_insecure</f>
        <v>0.26900000000000002</v>
      </c>
      <c r="K15" s="60">
        <f>food_insecure</f>
        <v>0.26900000000000002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0.23899999999999999</v>
      </c>
      <c r="M24" s="60">
        <f>famplan_unmet_need</f>
        <v>0.23899999999999999</v>
      </c>
      <c r="N24" s="60">
        <f>famplan_unmet_need</f>
        <v>0.23899999999999999</v>
      </c>
      <c r="O24" s="60">
        <f>famplan_unmet_need</f>
        <v>0.23899999999999999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0.30180664075317354</v>
      </c>
      <c r="M25" s="60">
        <f>(1-food_insecure)*(0.49)+food_insecure*(0.7)</f>
        <v>0.54649000000000003</v>
      </c>
      <c r="N25" s="60">
        <f>(1-food_insecure)*(0.49)+food_insecure*(0.7)</f>
        <v>0.54649000000000003</v>
      </c>
      <c r="O25" s="60">
        <f>(1-food_insecure)*(0.49)+food_insecure*(0.7)</f>
        <v>0.54649000000000003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0.12934570317993152</v>
      </c>
      <c r="M26" s="60">
        <f>(1-food_insecure)*(0.21)+food_insecure*(0.3)</f>
        <v>0.23420999999999997</v>
      </c>
      <c r="N26" s="60">
        <f>(1-food_insecure)*(0.21)+food_insecure*(0.3)</f>
        <v>0.23420999999999997</v>
      </c>
      <c r="O26" s="60">
        <f>(1-food_insecure)*(0.21)+food_insecure*(0.3)</f>
        <v>0.23420999999999997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0.12111145001220691</v>
      </c>
      <c r="M27" s="60">
        <f>(1-food_insecure)*(0.3)</f>
        <v>0.21929999999999999</v>
      </c>
      <c r="N27" s="60">
        <f>(1-food_insecure)*(0.3)</f>
        <v>0.21929999999999999</v>
      </c>
      <c r="O27" s="60">
        <f>(1-food_insecure)*(0.3)</f>
        <v>0.21929999999999999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0.447736206054688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0.1091530352659017</v>
      </c>
      <c r="G18" s="90">
        <f>MIN(MAX(1-0.89/(1-frac_sam_12_23months+(frac_sam_12_23months*0.89)),0),1)</f>
        <v>0.10899542174116428</v>
      </c>
      <c r="H18" s="90">
        <f>MIN(MAX(1-0.89/(1-frac_sam_24_59months+(frac_sam_24_59months*0.89)),0),1)</f>
        <v>0.10945271594768013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0.10738287067748886</v>
      </c>
      <c r="G20" s="90">
        <f>MIN(MAX(1-0.89/(1-frac_mam_12_23months+(frac_mam_12_23months*0.89)),0),1)</f>
        <v>0.10878665937983945</v>
      </c>
      <c r="H20" s="90">
        <f>MIN(MAX(1-0.89/(1-frac_mam_24_59months+(frac_mam_24_59months*0.89)),0),1)</f>
        <v>0.10898892607487454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9.9144259137461388E-3</v>
      </c>
      <c r="G73" s="90">
        <f>MIN(MAX(1-0.99/(1-frac_sam_12_23months+(frac_sam_12_23months*0.99)),0),1)</f>
        <v>9.8985175683552473E-3</v>
      </c>
      <c r="H73" s="90">
        <f>MIN(MAX(1-0.99/(1-frac_sam_24_59months+(frac_sam_24_59months*0.99)),0),1)</f>
        <v>9.944687589806267E-3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9.7360520765286118E-3</v>
      </c>
      <c r="G75" s="90">
        <f>MIN(MAX(1-0.99/(1-frac_mam_12_23months+(frac_mam_12_23months*0.99)),0),1)</f>
        <v>9.8774545127902069E-3</v>
      </c>
      <c r="H75" s="90">
        <f>MIN(MAX(1-0.99/(1-frac_mam_24_59months+(frac_mam_24_59months*0.99)),0),1)</f>
        <v>9.8978620535515871E-3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0.19861470935889192</v>
      </c>
      <c r="G128" s="90">
        <f>MIN(MAX(1-0.8/(1-frac_sam_12_23months+(frac_sam_12_23months*0.8)),0),1)</f>
        <v>0.19835667929114598</v>
      </c>
      <c r="H128" s="90">
        <f>MIN(MAX(1-0.8/(1-frac_sam_24_59months+(frac_sam_24_59months*0.8)),0),1)</f>
        <v>0.19910511208804271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0.19571245570160134</v>
      </c>
      <c r="G130" s="90">
        <f>MIN(MAX(1-0.8/(1-frac_mam_12_23months+(frac_mam_12_23months*0.8)),0),1)</f>
        <v>0.19801479791015486</v>
      </c>
      <c r="H130" s="90">
        <f>MIN(MAX(1-0.8/(1-frac_mam_24_59months+(frac_mam_24_59months*0.8)),0),1)</f>
        <v>0.19834604359021435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2024-06-18T06:55:56Z</dcterms:modified>
</cp:coreProperties>
</file>