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Testing June 2025\Databooks\"/>
    </mc:Choice>
  </mc:AlternateContent>
  <xr:revisionPtr revIDLastSave="0" documentId="8_{4E7BD60F-3757-46AD-AC93-514F6C0117EA}" xr6:coauthVersionLast="47" xr6:coauthVersionMax="47" xr10:uidLastSave="{00000000-0000-0000-0000-000000000000}"/>
  <bookViews>
    <workbookView xWindow="-110" yWindow="-110" windowWidth="19420" windowHeight="10420" tabRatio="961" firstSheet="7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input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Odds ratios" sheetId="23" state="hidden" r:id="rId21"/>
    <sheet name="Programs birth outcomes" sheetId="24" state="hidden" r:id="rId22"/>
    <sheet name="Birth outcome risks" sheetId="21" state="hidden" r:id="rId23"/>
    <sheet name="Relative risks" sheetId="22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9" i="27" l="1"/>
  <c r="G159" i="27"/>
  <c r="F159" i="27"/>
  <c r="E159" i="27"/>
  <c r="D159" i="27"/>
  <c r="H158" i="27"/>
  <c r="G158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G101" i="27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G40" i="2"/>
  <c r="H39" i="2"/>
  <c r="G39" i="2"/>
  <c r="I39" i="2" s="1"/>
  <c r="H38" i="2"/>
  <c r="G38" i="2"/>
  <c r="A37" i="2"/>
  <c r="A26" i="2"/>
  <c r="A25" i="2"/>
  <c r="A23" i="2"/>
  <c r="H13" i="2"/>
  <c r="G13" i="2"/>
  <c r="I13" i="2" s="1"/>
  <c r="H12" i="2"/>
  <c r="G12" i="2"/>
  <c r="H11" i="2"/>
  <c r="G11" i="2"/>
  <c r="I11" i="2" s="1"/>
  <c r="H10" i="2"/>
  <c r="G10" i="2"/>
  <c r="H9" i="2"/>
  <c r="G9" i="2"/>
  <c r="I9" i="2" s="1"/>
  <c r="H8" i="2"/>
  <c r="G8" i="2"/>
  <c r="H7" i="2"/>
  <c r="G7" i="2"/>
  <c r="I7" i="2" s="1"/>
  <c r="H6" i="2"/>
  <c r="G6" i="2"/>
  <c r="H5" i="2"/>
  <c r="G5" i="2"/>
  <c r="H4" i="2"/>
  <c r="G4" i="2"/>
  <c r="H3" i="2"/>
  <c r="G3" i="2"/>
  <c r="I3" i="2" s="1"/>
  <c r="H2" i="2"/>
  <c r="G2" i="2"/>
  <c r="A2" i="2"/>
  <c r="A39" i="2" s="1"/>
  <c r="C33" i="1"/>
  <c r="C20" i="1"/>
  <c r="A31" i="2" l="1"/>
  <c r="A34" i="2"/>
  <c r="A40" i="2"/>
  <c r="I2" i="2"/>
  <c r="I6" i="2"/>
  <c r="A19" i="2"/>
  <c r="A35" i="2"/>
  <c r="A22" i="2"/>
  <c r="A36" i="2"/>
  <c r="A24" i="2"/>
  <c r="I38" i="2"/>
  <c r="I4" i="2"/>
  <c r="I8" i="2"/>
  <c r="I12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6BB5D3EA-EB2C-4557-A77A-BC3B31DE5A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8276B184-5391-46AC-9017-CD45ED68E7E2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70662288-9B2B-4D49-A059-B389A408D887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5F99FF59-4E44-4847-82EE-D42B7418AA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F6C9465E-FBDE-45D1-8394-CD6F9C9C252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8724D448-9507-4D14-BCA7-F21B3CAF1BD6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1D086CE7-3639-4C5A-8FD3-DB935503731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1EDBAC82-3035-4B47-8DB4-6C9605D373F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F889FFDD-F5D3-428F-97C9-3FA317F4DEE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178C61B9-10CF-475E-AE2A-1148BD15950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D1ADD6AA-00B3-496F-889D-6AD9E8EC726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D8A7821F-2C8B-4B9F-B2CF-783B6F1D6ACB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30A88894-D578-48EA-8642-A1FBFF69A3C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1FC0B5F8-9FC2-4095-AEC3-321F62EB13E4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37243D6-BCDE-4F6B-AFCC-3F94A0DD5E02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DE335ADC-5DD3-496C-A5AC-AAE47036457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2912EBE3-D556-42B6-96D5-24EC21E6156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4CB9182B-79CD-4596-8295-56AF4E3846AB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80F6289A-949B-4FAE-AC85-22980BCEA4F4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96FCBC9B-E5EC-46B8-8DF3-3E8D35EE350D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93171B53-CE10-41E2-9E96-E27147D4D778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5FE03E37-E69F-43F4-B94E-7BBC3063A87D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626B60BA-B78A-4BE5-ACC0-D15C014DDDE7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A6D7FDB2-70C1-4A3F-AE05-E1F583DAC91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73FE6ADA-DBBD-4E18-9E0A-7E9F1B65F4F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36DC02C6-7D52-483D-9E4D-A62E1832D1E9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3A418ECB-CB98-4DAE-914F-181BDF7ED56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F54E6507-D7CB-4F8D-8BA0-8C678AC8848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51D136EC-624C-44D3-B5B3-53EE7A4C79F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0358037B-23C7-469B-B136-BD3C312D371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83DD7CE2-EBA6-4C72-A5A2-1E7961104F3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D00C0728-6CE5-4232-9E9D-03298AA7E83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DE005C0A-2F8A-418C-851E-64B2B8CFE1F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E55324F7-370C-4385-ADBA-E8B0EBEB4BE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F53439F8-F18B-45A1-B265-14A4B9BFCA4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D3552897-BBD5-4175-B68A-A3F1E4A6E75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CC47941B-D047-44AD-8609-225A3A1207C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0CBE3706-3924-4509-A583-88069D4C21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A5F6F3D3-D70F-4D04-A795-6D6BF5E3498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DD598447-A738-4E83-BE84-12132D14A7E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AAC1265A-FBA5-4B61-B6FD-C1ADAB02C01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CB5BEA38-52BE-4279-8999-876D134092DA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EC82E46-7238-472F-8156-89C286EC0CC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9AD99541-38BF-452C-BBDF-30A63672B13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9F2485E2-4FB1-40DF-95BC-EF307614F38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5A344499-6486-4E45-BC00-E472735A7CB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031BB5AD-8138-4687-BD78-7EBC20A9866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184A5B5A-1F15-44FE-898C-B90309E01D8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8ED585B4-389F-460E-8916-C9CBE4D87E3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AD24A257-1231-432A-9AC2-49A1BBCFE8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A07ED250-D084-453F-8461-66EC0C10E1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9059BCA8-1FD3-4E64-86A7-3061E1F307E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7052734F-4036-424E-8991-EAD18C6FC7C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9211745A-0C8C-4E89-B62F-2D6F1D5B7D01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5423B35A-FBAB-43E1-A574-44F7790EAEA1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9923839E-0345-401E-8DBE-0D84F514E4A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BA7FE3E3-08B4-4F16-B01F-05A523005C56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6D26BBC2-8403-47E0-89A8-CCA5B5E2A63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4063B8B9-975B-4060-938A-48F03FAEF41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50660BAB-9FCC-42B5-9F93-0DBB8CA8989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C6A07F78-8D75-479F-926E-474BA841B23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FA86AF70-4991-447A-BCAA-1000A44BF25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FD47D524-CA3E-4654-B95C-882313C71EE4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50D10EC-94B3-4790-8891-B0A27313C3E5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E54F70F0-DBA3-4F25-90EB-D1DFD3641E6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7363AFB-2A43-477F-8EB8-CC2F7E3ECEA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1109C22-04ED-4FDB-949C-C34810AB2E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72F3E256-254B-4FFC-9E01-1752BCF475A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E057EF81-59F3-42CB-9D3F-907D9301906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DF457454-4973-4207-9E3D-7D50D7830FD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0A31E4B1-743B-4208-AE2B-4146BBD81A93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BA5122FC-4C8D-49F0-9902-8C88B2457CA4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EB775666-1A82-4D30-A432-4C033A1A7AED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98BB8C6D-B30B-4DB6-8B35-7D8DCE93E79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75544419-0995-4A7F-98E3-CBE19D6471D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866B3636-D1B7-40EE-A9B3-22FD1891C34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3C5743BD-EFCC-4AF2-B330-6FDF8775A9D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07C4191C-0E34-4B64-AAF8-A7F551741AB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419B2D75-98C1-46B5-842D-118FC911FF0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A1CD6A7F-EF69-49BD-84EA-F060EB2411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D5825461-688C-438C-8542-BD85D579FDC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AF7C92B2-AC28-43C3-9C19-D68E37FF28F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700142E9-6A7D-415A-8AA2-F2A8B6A7555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7D67AB3C-983B-47D0-9AFF-DA097636CBA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38FC6B21-5384-4027-AE29-F2FF12011A26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EB3D123B-E86C-4173-B872-21E04127707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5BAFDF7-3C0B-454A-B8DD-17A5272728F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BB84B4E6-6EBF-43F8-A27F-ABACD68A728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BFD18A89-7D4A-4FA5-8D9C-46BDFC49F7B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1ABF9016-F3C2-48B1-BD46-AD89F4003AC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6A6E8E29-2989-40FF-B168-55803883F0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48DA76B4-3665-4A45-819A-BFEEFF70E5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B80ED8C6-87BC-498B-8629-005BCCE79F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B5F2ED77-4534-4005-9653-3943813A8B2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76285A74-606B-4904-9089-8C072E19A1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63134AD8-900C-4178-BB9D-773F5A2AEB3B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4550204-DAD5-4F24-9613-4B653BB1BEF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8EB04C99-52A7-4C56-9738-8833ED4CF79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1E087D6A-9C87-4366-B106-9662D0E9F5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9524A10F-3B35-4B50-9361-07DEAF9EC66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00995C78-B5BF-45A5-8F02-B4D6CB8053C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614B807-4445-457C-8B76-0D078F087764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4A9ECB14-4CB2-41BF-A402-F7A28029EC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B642BE55-802D-4C94-B750-1AEA253BACA7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CE9B9D72-3B1C-4412-9D79-6D0874D60CEE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AB5427B8-7880-46F7-8737-0E11C545B3E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7DADC3D7-B312-4F80-917D-FD030194B70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932DAA3-B84B-48A0-A350-BB68775D78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75AFBBA3-C0BF-47C9-96C1-E2BCE0A5518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44B4DAC8-1128-45E5-B99C-C84974BBEE0A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BFC250B8-BAEB-445C-954D-7BE97AABDF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AEC7DAF2-9B1C-4CBB-B735-E9AB7A0CFD0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5757C298-3224-4FCB-AE44-57AE2804657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32018E11-B6CC-4CB9-AD83-CDEAB15CB02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548CA939-8049-4A22-8DCF-97B43275D4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B79D2BBE-1689-4CA2-9F3C-27F21A0969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521B8842-9FA3-4AE6-9999-7E38BD5734E2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745C521C-CEC3-4590-B658-F244E03502B3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48501DF5-33AD-4137-BF61-A1ACEF3712BB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52DA180B-0E50-41F0-B433-76D057FD32AA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1827DF80-3E7F-4FAE-B545-321A48A20B7F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428ADF28-94CB-45A6-B512-653753D79D4A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E327363C-87BF-426D-8031-8E5B15B868F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0FC0F10D-E16C-4929-8C9C-BBCE7D585B2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83AA2241-D1A0-473B-BB01-4502DE008F6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AB840D19-E9DC-41E5-8B1A-28772D27BB6F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28DA7237-5B4A-4888-B612-1517D8E4181A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24B15358-0318-4650-A1D9-ACBF45D6BD8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3CCBD856-2028-4562-873C-EF798B7CEB0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515C103F-DDC3-40D5-AA24-3704C957FBD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2B07245A-D9DE-402F-8C94-59F9204780A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B09F6ACE-9930-4B23-AC49-D976E3AF6D2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08D07A70-B0BF-4318-BF4F-F0DBC6170F8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76EC0005-9898-4CC7-A802-EC15F25448F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E5FFA232-5153-4095-946B-DFA45A9FBF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AFCCFA07-E0EB-45D3-B7C0-5148157926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C392BCAD-8C69-4A4C-87EF-377772EECC2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E3317A10-0BE4-48FF-9352-A01B5BA3FEE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67EC6033-7BEB-4400-84EE-0A8533A907F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E94FC89C-5249-427A-BE28-D6BFC2F8175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AA56A34D-E716-48F4-B898-FA37D2EF7D4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90492BA0-E368-47BA-98D1-DF7E39D86EF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9CD81021-C7F5-4F80-9E36-5A372FBC35B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49DF1121-32A1-4036-AEE8-BCAAA6147B06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9499DF21-B57E-420A-A749-CC9BF2D4D7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4524A951-07DC-487B-A233-43D4EAAEC70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889D9E25-29F0-4C18-931F-58D4600ECBE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678FE956-BF94-4DA4-81E3-20DDE72682D7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CE9DBC0-F411-450C-ADE5-6FE43AB5134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F2C8AB55-E76F-4187-99C2-69AB2BD9809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D025E63E-9D67-4225-8627-D53B10AA6DB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E220EC8B-3A48-4133-BD12-15E3EB9F00B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74D29CD4-44A4-4706-B0D2-5EBDC4B70B6C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<sst xmlns="http://schemas.openxmlformats.org/spreadsheetml/2006/main" count="2169" uniqueCount="373">
  <si>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</si>
  <si>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</si>
  <si>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</si>
  <si>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</si>
  <si>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</si>
  <si>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</si>
  <si>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</si>
  <si>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</si>
  <si>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</si>
  <si>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</si>
  <si>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</si>
  <si>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</si>
  <si>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</si>
  <si>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</si>
  <si>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</si>
  <si>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</si>
  <si>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</si>
  <si>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</si>
  <si>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</si>
  <si>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</si>
  <si>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</si>
  <si>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</si>
  <si>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</si>
  <si>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</si>
  <si>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</si>
  <si>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</si>
  <si>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</si>
  <si>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</si>
  <si>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</si>
  <si>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</si>
  <si>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</si>
  <si>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</si>
  <si>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</si>
  <si>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</si>
  <si>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</si>
  <si>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</si>
  <si>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</si>
  <si>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</si>
  <si>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</si>
  <si>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</si>
  <si>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</si>
  <si>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</si>
  <si>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</si>
  <si>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</si>
  <si>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</si>
  <si>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</si>
  <si>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</si>
  <si>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</si>
  <si>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</si>
  <si>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</si>
  <si>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</si>
  <si>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</si>
  <si>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</si>
  <si>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</si>
  <si>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</si>
  <si>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</si>
  <si>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</si>
  <si>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</si>
  <si>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</si>
  <si>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</si>
  <si>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</si>
  <si>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</si>
  <si>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</si>
  <si>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</si>
  <si>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</si>
  <si>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</si>
  <si>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</si>
  <si>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</si>
  <si>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</si>
  <si>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</si>
  <si>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</si>
  <si>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</si>
  <si>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</si>
  <si>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</si>
  <si>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</si>
  <si>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</si>
  <si>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</si>
  <si>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</si>
  <si>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</si>
  <si>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</si>
  <si>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</si>
  <si>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</si>
  <si>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</si>
  <si>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</si>
  <si>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</si>
  <si>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</si>
  <si>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</si>
  <si>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</si>
  <si>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</si>
  <si>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</si>
  <si>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</si>
  <si>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</si>
  <si>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</si>
  <si>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</si>
  <si>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</si>
  <si>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</si>
  <si>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</si>
  <si>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</si>
  <si>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</si>
  <si>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</si>
  <si>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</si>
  <si>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</si>
  <si>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</si>
  <si>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</si>
  <si>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</si>
  <si>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</si>
  <si>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</si>
  <si>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</si>
  <si>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</si>
  <si>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</si>
  <si>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</si>
  <si>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</si>
  <si>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</si>
  <si>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</si>
  <si>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</si>
  <si>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</si>
  <si>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</si>
  <si>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</si>
  <si>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</si>
  <si>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</si>
  <si>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</si>
  <si>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</si>
  <si>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</si>
  <si>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</si>
  <si>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</si>
  <si>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</si>
  <si>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</si>
  <si>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</si>
  <si>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</si>
  <si>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</si>
  <si>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</si>
  <si>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</si>
  <si>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</si>
  <si>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</si>
  <si>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</si>
  <si>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Cost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</si>
  <si>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</si>
  <si>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</si>
  <si>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</si>
  <si>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</si>
  <si>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</si>
  <si>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</si>
  <si>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</si>
  <si>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</si>
  <si>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</si>
  <si>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</si>
  <si>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</si>
  <si>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</si>
  <si>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</si>
  <si>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</si>
  <si>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</si>
  <si>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</si>
  <si>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</si>
  <si>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</si>
  <si>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</si>
  <si>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</si>
  <si>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</si>
  <si>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</si>
  <si>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</si>
  <si>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</si>
  <si>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</si>
  <si>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</si>
  <si>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</si>
  <si>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</si>
  <si>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</si>
  <si>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</si>
  <si>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</si>
  <si>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</si>
  <si>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</si>
  <si>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</si>
  <si>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</si>
  <si>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</si>
  <si>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</si>
  <si>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</si>
  <si>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</si>
  <si>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</si>
  <si>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</si>
  <si>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</si>
  <si>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</si>
  <si>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</si>
  <si>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</si>
  <si>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</si>
  <si>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</si>
  <si>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</si>
  <si>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</si>
  <si>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</si>
  <si>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</si>
  <si>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</si>
  <si>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</si>
  <si>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</si>
  <si>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</si>
  <si>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</si>
  <si>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</si>
  <si>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</si>
  <si>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</si>
  <si>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</si>
  <si>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</si>
  <si>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</si>
  <si>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</si>
  <si>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</si>
  <si>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</si>
  <si>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</si>
  <si>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</si>
  <si>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</si>
  <si>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</si>
  <si>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</si>
  <si>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</si>
  <si>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</si>
  <si>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</si>
  <si>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</si>
  <si>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</si>
  <si>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</si>
  <si>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</si>
  <si>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</si>
  <si>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</si>
  <si>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</si>
  <si>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</si>
  <si>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</si>
  <si>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</si>
  <si>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</si>
  <si>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</si>
  <si>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</si>
  <si>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</si>
  <si>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</si>
  <si>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</si>
  <si>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</si>
  <si>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</si>
  <si>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</si>
  <si>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</si>
  <si>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</si>
  <si>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</si>
  <si>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</si>
  <si>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</si>
  <si>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</si>
  <si>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</si>
  <si>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</si>
  <si>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</si>
  <si>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</si>
  <si>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</si>
  <si>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</si>
  <si>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</si>
  <si>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</si>
  <si>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</si>
  <si>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</si>
  <si>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</si>
  <si>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</si>
  <si>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</si>
  <si>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</si>
  <si>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</si>
  <si>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</si>
  <si>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</si>
  <si>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</si>
  <si>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</si>
  <si>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</si>
  <si>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</si>
  <si>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</si>
  <si>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</si>
  <si>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</si>
  <si>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</si>
  <si>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</si>
  <si>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</si>
  <si>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</si>
  <si>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</si>
  <si>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</si>
  <si>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</si>
  <si>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</si>
  <si>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</si>
  <si>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</si>
  <si>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</si>
  <si>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</si>
  <si>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</si>
  <si>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</si>
  <si>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</si>
  <si>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</si>
  <si>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</si>
  <si>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</si>
  <si>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</si>
  <si>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</si>
  <si>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</si>
  <si>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</si>
  <si>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</si>
  <si>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</si>
  <si>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</si>
  <si>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</si>
  <si>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</si>
  <si>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</si>
  <si>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</si>
  <si>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</si>
  <si>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</si>
  <si>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</si>
  <si>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</si>
  <si>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</si>
  <si>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</si>
  <si>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</si>
  <si>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</si>
  <si>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</si>
  <si>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</si>
  <si>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</si>
  <si>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</si>
  <si>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</si>
  <si>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</si>
  <si>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</si>
  <si>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</si>
  <si>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</si>
  <si>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</si>
  <si>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</si>
  <si>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</si>
  <si>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</si>
  <si>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</si>
  <si>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</si>
  <si>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</si>
  <si>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</si>
  <si>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</si>
  <si>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</si>
  <si>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</si>
  <si>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</si>
  <si>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</si>
  <si>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</si>
  <si>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</si>
  <si>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</si>
  <si>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</si>
  <si>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</si>
  <si>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</si>
  <si>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</si>
  <si>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</si>
  <si>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</si>
  <si>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</si>
  <si>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</si>
  <si>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</si>
  <si>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</si>
  <si>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</si>
  <si>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</si>
  <si>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</si>
  <si>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</si>
  <si>
    <t>Parameter</t>
  </si>
  <si>
    <t>Value</t>
  </si>
  <si>
    <t>GDP per capita</t>
  </si>
  <si>
    <t>GDP growth rate per annum</t>
  </si>
  <si>
    <t>Labor share of GDP</t>
  </si>
  <si>
    <t>Discounting (costs)</t>
  </si>
  <si>
    <t>Discounting (benefits)</t>
  </si>
  <si>
    <t>Starting age for workforce productivity</t>
  </si>
  <si>
    <t>Ending age for workforce productivity</t>
  </si>
  <si>
    <t>Female labor force participation</t>
  </si>
  <si>
    <t>Percentage of lifetime earning actually realized</t>
  </si>
  <si>
    <t>Percentage reduction in lifetime earnings for a stunted individual</t>
  </si>
  <si>
    <t>Percentage loss in productivity due to childhood anemia</t>
  </si>
  <si>
    <t>Percentage loss in productivity due to low birth weight</t>
  </si>
  <si>
    <t>Percentage loss in productivity due to maternal anemia</t>
  </si>
  <si>
    <t>Percentage of pregnancy to apply maternal anemia productivity loss to</t>
  </si>
  <si>
    <t>Increase in IQ points due to early breastfeeding</t>
  </si>
  <si>
    <t>Increase in earnings due per one point increase in IQ</t>
  </si>
  <si>
    <t>Percentage of stillbirths to include in productivity loss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</si>
  <si>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</si>
  <si>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</si>
  <si>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</si>
  <si>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</si>
  <si>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</si>
  <si>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</si>
  <si>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</si>
  <si>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</si>
  <si>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</si>
  <si>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</si>
  <si>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</si>
  <si>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</si>
  <si>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</si>
  <si>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</si>
  <si>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</si>
  <si>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Number of people left alive (starting with 100,000 births)</t>
  </si>
  <si>
    <t>Stillbirths</t>
  </si>
  <si>
    <t>Cash transfers - lower</t>
  </si>
  <si>
    <t>Cash transfers - upper</t>
  </si>
  <si>
    <t>All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</si>
</sst>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  <numFmt numFmtId="169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6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69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opLeftCell="A22" zoomScaleNormal="100" workbookViewId="0">
      <selection activeCell="E28" sqref="E28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274721</v>
      </c>
    </row>
    <row r="8" spans="1:3" ht="15" customHeight="1" x14ac:dyDescent="0.25">
      <c r="B8" s="5" t="s">
        <v>8</v>
      </c>
      <c r="C8" s="44">
        <v>0.49700000000000011</v>
      </c>
    </row>
    <row r="9" spans="1:3" ht="15" customHeight="1" x14ac:dyDescent="0.25">
      <c r="B9" s="5" t="s">
        <v>9</v>
      </c>
      <c r="C9" s="45">
        <v>0.01</v>
      </c>
    </row>
    <row r="10" spans="1:3" ht="15" customHeight="1" x14ac:dyDescent="0.25">
      <c r="B10" s="5" t="s">
        <v>10</v>
      </c>
      <c r="C10" s="45">
        <v>0.50025979999999992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0.16008168680000001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0.1454</v>
      </c>
    </row>
    <row r="24" spans="1:3" ht="15" customHeight="1" x14ac:dyDescent="0.25">
      <c r="B24" s="15" t="s">
        <v>22</v>
      </c>
      <c r="C24" s="45">
        <v>0.49180000000000001</v>
      </c>
    </row>
    <row r="25" spans="1:3" ht="15" customHeight="1" x14ac:dyDescent="0.25">
      <c r="B25" s="15" t="s">
        <v>23</v>
      </c>
      <c r="C25" s="45">
        <v>0.28089999999999998</v>
      </c>
    </row>
    <row r="26" spans="1:3" ht="15" customHeight="1" x14ac:dyDescent="0.25">
      <c r="B26" s="15" t="s">
        <v>24</v>
      </c>
      <c r="C26" s="45">
        <v>8.1900000000000001E-2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0.391186912619995</v>
      </c>
    </row>
    <row r="30" spans="1:3" ht="14.25" customHeight="1" x14ac:dyDescent="0.25">
      <c r="B30" s="25" t="s">
        <v>27</v>
      </c>
      <c r="C30" s="97">
        <v>2.27253385251939E-2</v>
      </c>
    </row>
    <row r="31" spans="1:3" ht="14.25" customHeight="1" x14ac:dyDescent="0.25">
      <c r="B31" s="25" t="s">
        <v>28</v>
      </c>
      <c r="C31" s="97">
        <v>4.1775369773239798E-2</v>
      </c>
    </row>
    <row r="32" spans="1:3" ht="14.25" customHeight="1" x14ac:dyDescent="0.25">
      <c r="B32" s="25" t="s">
        <v>29</v>
      </c>
      <c r="C32" s="97">
        <v>0.54431237908157204</v>
      </c>
    </row>
    <row r="33" spans="1:5" ht="13.25" customHeight="1" x14ac:dyDescent="0.25">
      <c r="B33" s="27" t="s">
        <v>30</v>
      </c>
      <c r="C33" s="48">
        <f>SUM(C29:C32)</f>
        <v>1.0000000000000009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35.26191</v>
      </c>
    </row>
    <row r="38" spans="1:5" ht="15" customHeight="1" x14ac:dyDescent="0.25">
      <c r="B38" s="11" t="s">
        <v>34</v>
      </c>
      <c r="C38" s="43">
        <v>56.958309999999997</v>
      </c>
      <c r="D38" s="12"/>
      <c r="E38" s="13"/>
    </row>
    <row r="39" spans="1:5" ht="15" customHeight="1" x14ac:dyDescent="0.25">
      <c r="B39" s="11" t="s">
        <v>35</v>
      </c>
      <c r="C39" s="43">
        <v>72.925359999999998</v>
      </c>
      <c r="D39" s="12"/>
      <c r="E39" s="12"/>
    </row>
    <row r="40" spans="1:5" ht="15" customHeight="1" x14ac:dyDescent="0.25">
      <c r="B40" s="11" t="s">
        <v>36</v>
      </c>
      <c r="C40" s="98">
        <v>5.66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26.658390000000001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7.9373000000000013E-3</v>
      </c>
      <c r="D45" s="12"/>
    </row>
    <row r="46" spans="1:5" ht="15.75" customHeight="1" x14ac:dyDescent="0.25">
      <c r="B46" s="11" t="s">
        <v>41</v>
      </c>
      <c r="C46" s="45">
        <v>8.5285299999999994E-2</v>
      </c>
      <c r="D46" s="12"/>
    </row>
    <row r="47" spans="1:5" ht="15.75" customHeight="1" x14ac:dyDescent="0.25">
      <c r="B47" s="11" t="s">
        <v>42</v>
      </c>
      <c r="C47" s="45">
        <v>7.3452400000000001E-2</v>
      </c>
      <c r="D47" s="12"/>
      <c r="E47" s="13"/>
    </row>
    <row r="48" spans="1:5" ht="15" customHeight="1" x14ac:dyDescent="0.25">
      <c r="B48" s="11" t="s">
        <v>43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98">
        <v>1.56</v>
      </c>
      <c r="D51" s="12"/>
    </row>
    <row r="52" spans="1:4" ht="15" customHeight="1" x14ac:dyDescent="0.25">
      <c r="B52" s="11" t="s">
        <v>46</v>
      </c>
      <c r="C52" s="98">
        <v>1.56</v>
      </c>
    </row>
    <row r="53" spans="1:4" ht="15.75" customHeight="1" x14ac:dyDescent="0.25">
      <c r="B53" s="11" t="s">
        <v>47</v>
      </c>
      <c r="C53" s="98">
        <v>5.798</v>
      </c>
    </row>
    <row r="54" spans="1:4" ht="15.75" customHeight="1" x14ac:dyDescent="0.25">
      <c r="B54" s="11" t="s">
        <v>48</v>
      </c>
      <c r="C54" s="98">
        <v>5.72</v>
      </c>
    </row>
    <row r="55" spans="1:4" ht="15.75" customHeight="1" x14ac:dyDescent="0.25">
      <c r="B55" s="11" t="s">
        <v>49</v>
      </c>
      <c r="C55" s="98">
        <v>1.6466666666666669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2.181818181818182E-2</v>
      </c>
    </row>
    <row r="59" spans="1:4" ht="15.75" customHeight="1" x14ac:dyDescent="0.25">
      <c r="B59" s="11" t="s">
        <v>52</v>
      </c>
      <c r="C59" s="45">
        <v>0.54738100000000001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0.14447423540000001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261301.49999999997</v>
      </c>
      <c r="C2" s="49">
        <v>55384</v>
      </c>
      <c r="D2" s="49">
        <v>132851.5</v>
      </c>
      <c r="E2" s="49">
        <v>244517</v>
      </c>
      <c r="F2" s="49">
        <v>198520.5</v>
      </c>
      <c r="G2" s="17">
        <f t="shared" ref="G2:G13" si="0">C2+D2+E2+F2</f>
        <v>631273</v>
      </c>
      <c r="H2" s="17">
        <f t="shared" ref="H2:H13" si="1">(B2 + stillbirth*B2/(1000-stillbirth))/(1-abortion)</f>
        <v>305066.09362695663</v>
      </c>
      <c r="I2" s="17">
        <f t="shared" ref="I2:I13" si="2">G2-H2</f>
        <v>326206.90637304337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55542</v>
      </c>
      <c r="C3" s="50">
        <v>120380</v>
      </c>
      <c r="D3" s="50">
        <v>213518</v>
      </c>
      <c r="E3" s="50">
        <v>197734.5</v>
      </c>
      <c r="F3" s="50">
        <v>118527</v>
      </c>
      <c r="G3" s="17">
        <f t="shared" si="0"/>
        <v>650159.5</v>
      </c>
      <c r="H3" s="17">
        <f t="shared" si="1"/>
        <v>64844.560678864938</v>
      </c>
      <c r="I3" s="17">
        <f t="shared" si="2"/>
        <v>585314.93932113505</v>
      </c>
    </row>
    <row r="4" spans="1:9" ht="15.75" customHeight="1" x14ac:dyDescent="0.25">
      <c r="A4" s="5">
        <f t="shared" si="3"/>
        <v>2026</v>
      </c>
      <c r="B4" s="49">
        <v>55434</v>
      </c>
      <c r="C4" s="50">
        <v>122219</v>
      </c>
      <c r="D4" s="50">
        <v>214641.00000000003</v>
      </c>
      <c r="E4" s="50">
        <v>198607</v>
      </c>
      <c r="F4" s="50">
        <v>126492.5</v>
      </c>
      <c r="G4" s="17">
        <f t="shared" si="0"/>
        <v>661959.5</v>
      </c>
      <c r="H4" s="17">
        <f t="shared" si="1"/>
        <v>64718.472087288879</v>
      </c>
      <c r="I4" s="17">
        <f t="shared" si="2"/>
        <v>597241.02791271114</v>
      </c>
    </row>
    <row r="5" spans="1:9" ht="15.75" customHeight="1" x14ac:dyDescent="0.25">
      <c r="A5" s="5">
        <f t="shared" si="3"/>
        <v>2027</v>
      </c>
      <c r="B5" s="49">
        <v>55312</v>
      </c>
      <c r="C5" s="50">
        <v>124735.5</v>
      </c>
      <c r="D5" s="50">
        <v>215760</v>
      </c>
      <c r="E5" s="50">
        <v>198926.5</v>
      </c>
      <c r="F5" s="50">
        <v>134487.5</v>
      </c>
      <c r="G5" s="17">
        <f t="shared" si="0"/>
        <v>673909.5</v>
      </c>
      <c r="H5" s="17">
        <f t="shared" si="1"/>
        <v>64576.038678286292</v>
      </c>
      <c r="I5" s="17">
        <f t="shared" si="2"/>
        <v>609333.46132171375</v>
      </c>
    </row>
    <row r="6" spans="1:9" ht="15.75" customHeight="1" x14ac:dyDescent="0.25">
      <c r="A6" s="5">
        <f t="shared" si="3"/>
        <v>2028</v>
      </c>
      <c r="B6" s="49">
        <v>55177</v>
      </c>
      <c r="C6" s="50">
        <v>127377</v>
      </c>
      <c r="D6" s="50">
        <v>217338.5</v>
      </c>
      <c r="E6" s="50">
        <v>198579.99999999997</v>
      </c>
      <c r="F6" s="50">
        <v>142647.5</v>
      </c>
      <c r="G6" s="17">
        <f t="shared" si="0"/>
        <v>685943</v>
      </c>
      <c r="H6" s="17">
        <f t="shared" si="1"/>
        <v>64418.427938816225</v>
      </c>
      <c r="I6" s="17">
        <f t="shared" si="2"/>
        <v>621524.57206118375</v>
      </c>
    </row>
    <row r="7" spans="1:9" ht="15.75" customHeight="1" x14ac:dyDescent="0.25">
      <c r="A7" s="5">
        <f t="shared" si="3"/>
        <v>2029</v>
      </c>
      <c r="B7" s="49">
        <v>55092</v>
      </c>
      <c r="C7" s="50">
        <v>129564.50000000001</v>
      </c>
      <c r="D7" s="50">
        <v>219838.5</v>
      </c>
      <c r="E7" s="50">
        <v>197475.00000000003</v>
      </c>
      <c r="F7" s="50">
        <v>150685</v>
      </c>
      <c r="G7" s="17">
        <f t="shared" si="0"/>
        <v>697563</v>
      </c>
      <c r="H7" s="17">
        <f t="shared" si="1"/>
        <v>64319.191547298033</v>
      </c>
      <c r="I7" s="17">
        <f t="shared" si="2"/>
        <v>633243.80845270201</v>
      </c>
    </row>
    <row r="8" spans="1:9" ht="15.75" customHeight="1" x14ac:dyDescent="0.25">
      <c r="A8" s="5">
        <f t="shared" si="3"/>
        <v>2030</v>
      </c>
      <c r="B8" s="49">
        <v>55086</v>
      </c>
      <c r="C8" s="50">
        <v>131613.5</v>
      </c>
      <c r="D8" s="50">
        <v>223062.5</v>
      </c>
      <c r="E8" s="50">
        <v>195950.5</v>
      </c>
      <c r="F8" s="50">
        <v>157987</v>
      </c>
      <c r="G8" s="17">
        <f t="shared" si="0"/>
        <v>708613.5</v>
      </c>
      <c r="H8" s="17">
        <f t="shared" si="1"/>
        <v>64312.1866255438</v>
      </c>
      <c r="I8" s="17">
        <f t="shared" si="2"/>
        <v>644301.31337445625</v>
      </c>
    </row>
    <row r="9" spans="1:9" ht="15.75" customHeight="1" x14ac:dyDescent="0.25">
      <c r="A9" s="5">
        <f t="shared" si="3"/>
        <v>2031</v>
      </c>
      <c r="B9" s="49">
        <v>55094</v>
      </c>
      <c r="C9" s="50">
        <v>133515.5</v>
      </c>
      <c r="D9" s="50">
        <v>226471.5</v>
      </c>
      <c r="E9" s="50">
        <v>194482.50000000003</v>
      </c>
      <c r="F9" s="50">
        <v>164362.5</v>
      </c>
      <c r="G9" s="17">
        <f t="shared" si="0"/>
        <v>718832</v>
      </c>
      <c r="H9" s="17">
        <f t="shared" si="1"/>
        <v>64321.526521216103</v>
      </c>
      <c r="I9" s="17">
        <f t="shared" si="2"/>
        <v>654510.47347878385</v>
      </c>
    </row>
    <row r="10" spans="1:9" ht="15.75" customHeight="1" x14ac:dyDescent="0.25">
      <c r="A10" s="5">
        <f t="shared" si="3"/>
        <v>2032</v>
      </c>
      <c r="B10" s="49">
        <v>55121</v>
      </c>
      <c r="C10" s="50">
        <v>134799</v>
      </c>
      <c r="D10" s="50">
        <v>230138.50000000003</v>
      </c>
      <c r="E10" s="50">
        <v>193697</v>
      </c>
      <c r="F10" s="50">
        <v>169761</v>
      </c>
      <c r="G10" s="17">
        <f t="shared" si="0"/>
        <v>728395.5</v>
      </c>
      <c r="H10" s="17">
        <f t="shared" si="1"/>
        <v>64353.048669110118</v>
      </c>
      <c r="I10" s="17">
        <f t="shared" si="2"/>
        <v>664042.45133088983</v>
      </c>
    </row>
    <row r="11" spans="1:9" ht="15.75" customHeight="1" x14ac:dyDescent="0.25">
      <c r="A11" s="5">
        <f t="shared" si="3"/>
        <v>2033</v>
      </c>
      <c r="B11" s="49">
        <v>55189</v>
      </c>
      <c r="C11" s="50">
        <v>135280</v>
      </c>
      <c r="D11" s="50">
        <v>233707</v>
      </c>
      <c r="E11" s="50">
        <v>194066.50000000003</v>
      </c>
      <c r="F11" s="50">
        <v>174108.5</v>
      </c>
      <c r="G11" s="17">
        <f t="shared" si="0"/>
        <v>737162</v>
      </c>
      <c r="H11" s="17">
        <f t="shared" si="1"/>
        <v>64432.437782324676</v>
      </c>
      <c r="I11" s="17">
        <f t="shared" si="2"/>
        <v>672729.56221767538</v>
      </c>
    </row>
    <row r="12" spans="1:9" ht="15.75" customHeight="1" x14ac:dyDescent="0.25">
      <c r="A12" s="5">
        <f t="shared" si="3"/>
        <v>2034</v>
      </c>
      <c r="B12" s="49">
        <v>55268</v>
      </c>
      <c r="C12" s="50">
        <v>135095.5</v>
      </c>
      <c r="D12" s="50">
        <v>237022</v>
      </c>
      <c r="E12" s="50">
        <v>195413</v>
      </c>
      <c r="F12" s="50">
        <v>177253</v>
      </c>
      <c r="G12" s="17">
        <f t="shared" si="0"/>
        <v>744783.5</v>
      </c>
      <c r="H12" s="17">
        <f t="shared" si="1"/>
        <v>64524.669252088643</v>
      </c>
      <c r="I12" s="17">
        <f t="shared" si="2"/>
        <v>680258.83074791136</v>
      </c>
    </row>
    <row r="13" spans="1:9" ht="15.75" customHeight="1" x14ac:dyDescent="0.25">
      <c r="A13" s="5">
        <f t="shared" si="3"/>
        <v>2035</v>
      </c>
      <c r="B13" s="49">
        <v>55362</v>
      </c>
      <c r="C13" s="50">
        <v>134235.5</v>
      </c>
      <c r="D13" s="50">
        <v>240628.49999999997</v>
      </c>
      <c r="E13" s="50">
        <v>197018</v>
      </c>
      <c r="F13" s="50">
        <v>179284</v>
      </c>
      <c r="G13" s="17">
        <f t="shared" si="0"/>
        <v>751166</v>
      </c>
      <c r="H13" s="17">
        <f t="shared" si="1"/>
        <v>64634.41302623818</v>
      </c>
      <c r="I13" s="17">
        <f t="shared" si="2"/>
        <v>686531.58697376179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4" zoomScale="115" zoomScaleNormal="115" workbookViewId="0">
      <selection activeCell="E28" sqref="E28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7.7941000000000069E-3</v>
      </c>
    </row>
    <row r="4" spans="1:8" ht="15.75" customHeight="1" x14ac:dyDescent="0.25">
      <c r="B4" s="19" t="s">
        <v>69</v>
      </c>
      <c r="C4" s="99">
        <v>5.680499999999996E-2</v>
      </c>
    </row>
    <row r="5" spans="1:8" ht="15.75" customHeight="1" x14ac:dyDescent="0.25">
      <c r="B5" s="19" t="s">
        <v>70</v>
      </c>
      <c r="C5" s="99">
        <v>7.5246199999999971E-2</v>
      </c>
    </row>
    <row r="6" spans="1:8" ht="15.75" customHeight="1" x14ac:dyDescent="0.25">
      <c r="B6" s="19" t="s">
        <v>71</v>
      </c>
      <c r="C6" s="99">
        <v>0.24614950000000041</v>
      </c>
    </row>
    <row r="7" spans="1:8" ht="15.75" customHeight="1" x14ac:dyDescent="0.25">
      <c r="B7" s="19" t="s">
        <v>72</v>
      </c>
      <c r="C7" s="99">
        <v>0.42908479999999949</v>
      </c>
    </row>
    <row r="8" spans="1:8" ht="15.75" customHeight="1" x14ac:dyDescent="0.25">
      <c r="B8" s="19" t="s">
        <v>73</v>
      </c>
      <c r="C8" s="99">
        <v>1.3393000000000001E-3</v>
      </c>
    </row>
    <row r="9" spans="1:8" ht="15.75" customHeight="1" x14ac:dyDescent="0.25">
      <c r="B9" s="19" t="s">
        <v>74</v>
      </c>
      <c r="C9" s="99">
        <v>6.3739400000000085E-2</v>
      </c>
    </row>
    <row r="10" spans="1:8" ht="15.75" customHeight="1" x14ac:dyDescent="0.25">
      <c r="B10" s="19" t="s">
        <v>75</v>
      </c>
      <c r="C10" s="99">
        <v>0.11984170000000011</v>
      </c>
    </row>
    <row r="11" spans="1:8" ht="15.75" customHeight="1" x14ac:dyDescent="0.25">
      <c r="B11" s="27" t="s">
        <v>30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0" t="s">
        <v>77</v>
      </c>
      <c r="D13" s="100" t="s">
        <v>78</v>
      </c>
      <c r="E13" s="100" t="s">
        <v>79</v>
      </c>
      <c r="F13" s="100" t="s">
        <v>80</v>
      </c>
      <c r="G13" s="19"/>
    </row>
    <row r="14" spans="1:8" ht="15.75" customHeight="1" x14ac:dyDescent="0.25">
      <c r="B14" s="19" t="s">
        <v>81</v>
      </c>
      <c r="C14" s="55">
        <v>0.196029067448931</v>
      </c>
      <c r="D14" s="55">
        <v>0.196029067448931</v>
      </c>
      <c r="E14" s="55">
        <v>0.196029067448931</v>
      </c>
      <c r="F14" s="55">
        <v>0.196029067448931</v>
      </c>
    </row>
    <row r="15" spans="1:8" ht="15.75" customHeight="1" x14ac:dyDescent="0.25">
      <c r="B15" s="19" t="s">
        <v>82</v>
      </c>
      <c r="C15" s="99">
        <v>0.2119757211068988</v>
      </c>
      <c r="D15" s="99">
        <v>0.2119757211068988</v>
      </c>
      <c r="E15" s="99">
        <v>0.2119757211068988</v>
      </c>
      <c r="F15" s="99">
        <v>0.2119757211068988</v>
      </c>
    </row>
    <row r="16" spans="1:8" ht="15.75" customHeight="1" x14ac:dyDescent="0.25">
      <c r="B16" s="19" t="s">
        <v>83</v>
      </c>
      <c r="C16" s="99">
        <v>1.4086381465792089E-2</v>
      </c>
      <c r="D16" s="99">
        <v>1.4086381465792089E-2</v>
      </c>
      <c r="E16" s="99">
        <v>1.4086381465792089E-2</v>
      </c>
      <c r="F16" s="99">
        <v>1.4086381465792089E-2</v>
      </c>
    </row>
    <row r="17" spans="1:8" ht="15.75" customHeight="1" x14ac:dyDescent="0.25">
      <c r="B17" s="19" t="s">
        <v>84</v>
      </c>
      <c r="C17" s="99">
        <v>5.4992529902401334E-3</v>
      </c>
      <c r="D17" s="99">
        <v>5.4992529902401334E-3</v>
      </c>
      <c r="E17" s="99">
        <v>5.4992529902401334E-3</v>
      </c>
      <c r="F17" s="99">
        <v>5.4992529902401334E-3</v>
      </c>
    </row>
    <row r="18" spans="1:8" ht="15.75" customHeight="1" x14ac:dyDescent="0.25">
      <c r="B18" s="19" t="s">
        <v>85</v>
      </c>
      <c r="C18" s="99">
        <v>0</v>
      </c>
      <c r="D18" s="99">
        <v>0</v>
      </c>
      <c r="E18" s="99">
        <v>0</v>
      </c>
      <c r="F18" s="99">
        <v>0</v>
      </c>
    </row>
    <row r="19" spans="1:8" ht="15.75" customHeight="1" x14ac:dyDescent="0.25">
      <c r="B19" s="19" t="s">
        <v>86</v>
      </c>
      <c r="C19" s="99">
        <v>2.240392218952935E-2</v>
      </c>
      <c r="D19" s="99">
        <v>2.240392218952935E-2</v>
      </c>
      <c r="E19" s="99">
        <v>2.240392218952935E-2</v>
      </c>
      <c r="F19" s="99">
        <v>2.240392218952935E-2</v>
      </c>
    </row>
    <row r="20" spans="1:8" ht="15.75" customHeight="1" x14ac:dyDescent="0.25">
      <c r="B20" s="19" t="s">
        <v>87</v>
      </c>
      <c r="C20" s="99">
        <v>0.23441902277012119</v>
      </c>
      <c r="D20" s="99">
        <v>0.23441902277012119</v>
      </c>
      <c r="E20" s="99">
        <v>0.23441902277012119</v>
      </c>
      <c r="F20" s="99">
        <v>0.23441902277012119</v>
      </c>
    </row>
    <row r="21" spans="1:8" ht="15.75" customHeight="1" x14ac:dyDescent="0.25">
      <c r="B21" s="19" t="s">
        <v>88</v>
      </c>
      <c r="C21" s="99">
        <v>0.1020277474478483</v>
      </c>
      <c r="D21" s="99">
        <v>0.1020277474478483</v>
      </c>
      <c r="E21" s="99">
        <v>0.1020277474478483</v>
      </c>
      <c r="F21" s="99">
        <v>0.1020277474478483</v>
      </c>
    </row>
    <row r="22" spans="1:8" ht="15.75" customHeight="1" x14ac:dyDescent="0.25">
      <c r="B22" s="19" t="s">
        <v>89</v>
      </c>
      <c r="C22" s="99">
        <v>0.2135588845806389</v>
      </c>
      <c r="D22" s="99">
        <v>0.2135588845806389</v>
      </c>
      <c r="E22" s="99">
        <v>0.2135588845806389</v>
      </c>
      <c r="F22" s="99">
        <v>0.2135588845806389</v>
      </c>
    </row>
    <row r="23" spans="1:8" ht="15.75" customHeight="1" x14ac:dyDescent="0.25">
      <c r="B23" s="27" t="s">
        <v>30</v>
      </c>
      <c r="C23" s="48">
        <f>SUM(C14:C22)</f>
        <v>0.99999999999999967</v>
      </c>
      <c r="D23" s="48">
        <f>SUM(D14:D22)</f>
        <v>0.99999999999999967</v>
      </c>
      <c r="E23" s="48">
        <f>SUM(E14:E22)</f>
        <v>0.99999999999999967</v>
      </c>
      <c r="F23" s="48">
        <f>SUM(F14:F22)</f>
        <v>0.99999999999999967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7.8500723999999994E-2</v>
      </c>
    </row>
    <row r="27" spans="1:8" ht="15.75" customHeight="1" x14ac:dyDescent="0.25">
      <c r="B27" s="19" t="s">
        <v>92</v>
      </c>
      <c r="C27" s="99">
        <v>7.8598569999999996E-3</v>
      </c>
    </row>
    <row r="28" spans="1:8" ht="15.75" customHeight="1" x14ac:dyDescent="0.25">
      <c r="B28" s="19" t="s">
        <v>93</v>
      </c>
      <c r="C28" s="99">
        <v>0.139408438</v>
      </c>
    </row>
    <row r="29" spans="1:8" ht="15.75" customHeight="1" x14ac:dyDescent="0.25">
      <c r="B29" s="19" t="s">
        <v>94</v>
      </c>
      <c r="C29" s="99">
        <v>0.15153803099999999</v>
      </c>
    </row>
    <row r="30" spans="1:8" ht="15.75" customHeight="1" x14ac:dyDescent="0.25">
      <c r="B30" s="19" t="s">
        <v>95</v>
      </c>
      <c r="C30" s="99">
        <v>9.5629616000000001E-2</v>
      </c>
    </row>
    <row r="31" spans="1:8" ht="15.75" customHeight="1" x14ac:dyDescent="0.25">
      <c r="B31" s="19" t="s">
        <v>96</v>
      </c>
      <c r="C31" s="99">
        <v>9.8062453999999993E-2</v>
      </c>
    </row>
    <row r="32" spans="1:8" ht="15.75" customHeight="1" x14ac:dyDescent="0.25">
      <c r="B32" s="19" t="s">
        <v>97</v>
      </c>
      <c r="C32" s="99">
        <v>1.6473412E-2</v>
      </c>
    </row>
    <row r="33" spans="2:3" ht="15.75" customHeight="1" x14ac:dyDescent="0.25">
      <c r="B33" s="19" t="s">
        <v>98</v>
      </c>
      <c r="C33" s="99">
        <v>7.5640217999999995E-2</v>
      </c>
    </row>
    <row r="34" spans="2:3" ht="15.75" customHeight="1" x14ac:dyDescent="0.25">
      <c r="B34" s="19" t="s">
        <v>99</v>
      </c>
      <c r="C34" s="99">
        <v>0.33688724799999997</v>
      </c>
    </row>
    <row r="35" spans="2:3" ht="15.75" customHeight="1" x14ac:dyDescent="0.25">
      <c r="B35" s="27" t="s">
        <v>30</v>
      </c>
      <c r="C35" s="48">
        <f>SUM(C26:C34)</f>
        <v>0.99999999799999983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E28" sqref="E28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0.44164537184189023</v>
      </c>
      <c r="D2" s="52">
        <f>IFERROR(1-_xlfn.NORM.DIST(_xlfn.NORM.INV(SUM(D4:D5), 0, 1) + 1, 0, 1, TRUE), "")</f>
        <v>0.44164537184189023</v>
      </c>
      <c r="E2" s="52">
        <f>IFERROR(1-_xlfn.NORM.DIST(_xlfn.NORM.INV(SUM(E4:E5), 0, 1) + 1, 0, 1, TRUE), "")</f>
        <v>0.39200167866862889</v>
      </c>
      <c r="F2" s="52">
        <f>IFERROR(1-_xlfn.NORM.DIST(_xlfn.NORM.INV(SUM(F4:F5), 0, 1) + 1, 0, 1, TRUE), "")</f>
        <v>0.19310127727033533</v>
      </c>
      <c r="G2" s="52">
        <f>IFERROR(1-_xlfn.NORM.DIST(_xlfn.NORM.INV(SUM(G4:G5), 0, 1) + 1, 0, 1, TRUE), "")</f>
        <v>0.27262627322708688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0.36158072815810977</v>
      </c>
      <c r="D3" s="52">
        <f>IFERROR(_xlfn.NORM.DIST(_xlfn.NORM.INV(SUM(D4:D5), 0, 1) + 1, 0, 1, TRUE) - SUM(D4:D5), "")</f>
        <v>0.36158072815810977</v>
      </c>
      <c r="E3" s="52">
        <f>IFERROR(_xlfn.NORM.DIST(_xlfn.NORM.INV(SUM(E4:E5), 0, 1) + 1, 0, 1, TRUE) - SUM(E4:E5), "")</f>
        <v>0.37404652133137112</v>
      </c>
      <c r="F3" s="52">
        <f>IFERROR(_xlfn.NORM.DIST(_xlfn.NORM.INV(SUM(F4:F5), 0, 1) + 1, 0, 1, TRUE) - SUM(F4:F5), "")</f>
        <v>0.35999002272966463</v>
      </c>
      <c r="G3" s="52">
        <f>IFERROR(_xlfn.NORM.DIST(_xlfn.NORM.INV(SUM(G4:G5), 0, 1) + 1, 0, 1, TRUE) - SUM(G4:G5), "")</f>
        <v>0.38099312677291314</v>
      </c>
    </row>
    <row r="4" spans="1:15" ht="15.75" customHeight="1" x14ac:dyDescent="0.25">
      <c r="B4" s="5" t="s">
        <v>104</v>
      </c>
      <c r="C4" s="45">
        <v>0.13775409999999999</v>
      </c>
      <c r="D4" s="53">
        <v>0.13775409999999999</v>
      </c>
      <c r="E4" s="53">
        <v>0.1247017</v>
      </c>
      <c r="F4" s="53">
        <v>0.28340530000000003</v>
      </c>
      <c r="G4" s="53">
        <v>0.24160329999999999</v>
      </c>
    </row>
    <row r="5" spans="1:15" ht="15.75" customHeight="1" x14ac:dyDescent="0.25">
      <c r="B5" s="5" t="s">
        <v>105</v>
      </c>
      <c r="C5" s="45">
        <v>5.9019799999999997E-2</v>
      </c>
      <c r="D5" s="53">
        <v>5.9019799999999997E-2</v>
      </c>
      <c r="E5" s="53">
        <v>0.1092501</v>
      </c>
      <c r="F5" s="53">
        <v>0.16350339999999999</v>
      </c>
      <c r="G5" s="53">
        <v>0.1047773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0.7762927027928157</v>
      </c>
      <c r="D8" s="52">
        <f>IFERROR(1-_xlfn.NORM.DIST(_xlfn.NORM.INV(SUM(D10:D11), 0, 1) + 1, 0, 1, TRUE), "")</f>
        <v>0.7762927027928157</v>
      </c>
      <c r="E8" s="52">
        <f>IFERROR(1-_xlfn.NORM.DIST(_xlfn.NORM.INV(SUM(E10:E11), 0, 1) + 1, 0, 1, TRUE), "")</f>
        <v>0.79047634861427762</v>
      </c>
      <c r="F8" s="52">
        <f>IFERROR(1-_xlfn.NORM.DIST(_xlfn.NORM.INV(SUM(F10:F11), 0, 1) + 1, 0, 1, TRUE), "")</f>
        <v>0.84189946186029696</v>
      </c>
      <c r="G8" s="52">
        <f>IFERROR(1-_xlfn.NORM.DIST(_xlfn.NORM.INV(SUM(G10:G11), 0, 1) + 1, 0, 1, TRUE), "")</f>
        <v>0.87427773634898454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0.18448069720718435</v>
      </c>
      <c r="D9" s="52">
        <f>IFERROR(_xlfn.NORM.DIST(_xlfn.NORM.INV(SUM(D10:D11), 0, 1) + 1, 0, 1, TRUE) - SUM(D10:D11), "")</f>
        <v>0.18448069720718435</v>
      </c>
      <c r="E9" s="52">
        <f>IFERROR(_xlfn.NORM.DIST(_xlfn.NORM.INV(SUM(E10:E11), 0, 1) + 1, 0, 1, TRUE) - SUM(E10:E11), "")</f>
        <v>0.17422625138572237</v>
      </c>
      <c r="F9" s="52">
        <f>IFERROR(_xlfn.NORM.DIST(_xlfn.NORM.INV(SUM(F10:F11), 0, 1) + 1, 0, 1, TRUE) - SUM(F10:F11), "")</f>
        <v>0.13547403813970302</v>
      </c>
      <c r="G9" s="52">
        <f>IFERROR(_xlfn.NORM.DIST(_xlfn.NORM.INV(SUM(G10:G11), 0, 1) + 1, 0, 1, TRUE) - SUM(G10:G11), "")</f>
        <v>0.1098195636510155</v>
      </c>
    </row>
    <row r="10" spans="1:15" ht="15.75" customHeight="1" x14ac:dyDescent="0.25">
      <c r="B10" s="5" t="s">
        <v>109</v>
      </c>
      <c r="C10" s="45">
        <v>1.9007900000000001E-2</v>
      </c>
      <c r="D10" s="53">
        <v>1.9007900000000001E-2</v>
      </c>
      <c r="E10" s="53">
        <v>2.6654299999999999E-2</v>
      </c>
      <c r="F10" s="53">
        <v>1.23768E-2</v>
      </c>
      <c r="G10" s="53">
        <v>1.0315899999999999E-2</v>
      </c>
    </row>
    <row r="11" spans="1:15" ht="15.75" customHeight="1" x14ac:dyDescent="0.25">
      <c r="B11" s="5" t="s">
        <v>110</v>
      </c>
      <c r="C11" s="45">
        <v>2.0218699999999999E-2</v>
      </c>
      <c r="D11" s="53">
        <v>2.0218699999999999E-2</v>
      </c>
      <c r="E11" s="53">
        <v>8.6431000000000008E-3</v>
      </c>
      <c r="F11" s="53">
        <v>1.02497E-2</v>
      </c>
      <c r="G11" s="53">
        <v>5.5867999999999994E-3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0.54817841550000002</v>
      </c>
      <c r="D14" s="54">
        <v>0.53192778054099998</v>
      </c>
      <c r="E14" s="54">
        <v>0.53192778054099998</v>
      </c>
      <c r="F14" s="54">
        <v>0.51498086482299998</v>
      </c>
      <c r="G14" s="54">
        <v>0.51498086482299998</v>
      </c>
      <c r="H14" s="45">
        <v>0.33200000000000002</v>
      </c>
      <c r="I14" s="55">
        <v>0.33200000000000002</v>
      </c>
      <c r="J14" s="55">
        <v>0.33200000000000002</v>
      </c>
      <c r="K14" s="55">
        <v>0.33200000000000002</v>
      </c>
      <c r="L14" s="45">
        <v>0.27</v>
      </c>
      <c r="M14" s="55">
        <v>0.27</v>
      </c>
      <c r="N14" s="55">
        <v>0.27</v>
      </c>
      <c r="O14" s="55">
        <v>0.27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0.30006244925480552</v>
      </c>
      <c r="D15" s="52">
        <f t="shared" si="0"/>
        <v>0.2911671604403131</v>
      </c>
      <c r="E15" s="52">
        <f t="shared" si="0"/>
        <v>0.2911671604403131</v>
      </c>
      <c r="F15" s="52">
        <f t="shared" si="0"/>
        <v>0.28189074076767856</v>
      </c>
      <c r="G15" s="52">
        <f t="shared" si="0"/>
        <v>0.28189074076767856</v>
      </c>
      <c r="H15" s="52">
        <f t="shared" si="0"/>
        <v>0.18173049200000002</v>
      </c>
      <c r="I15" s="52">
        <f t="shared" si="0"/>
        <v>0.18173049200000002</v>
      </c>
      <c r="J15" s="52">
        <f t="shared" si="0"/>
        <v>0.18173049200000002</v>
      </c>
      <c r="K15" s="52">
        <f t="shared" si="0"/>
        <v>0.18173049200000002</v>
      </c>
      <c r="L15" s="52">
        <f t="shared" si="0"/>
        <v>0.14779287000000002</v>
      </c>
      <c r="M15" s="52">
        <f t="shared" si="0"/>
        <v>0.14779287000000002</v>
      </c>
      <c r="N15" s="52">
        <f t="shared" si="0"/>
        <v>0.14779287000000002</v>
      </c>
      <c r="O15" s="52">
        <f t="shared" si="0"/>
        <v>0.14779287000000002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E28" sqref="E28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0.82486890000000002</v>
      </c>
      <c r="D2" s="53">
        <v>0.54791509999999999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3.1576899999999998E-2</v>
      </c>
      <c r="D3" s="53">
        <v>5.63711E-2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0.1075892</v>
      </c>
      <c r="D4" s="53">
        <v>0.28015960000000001</v>
      </c>
      <c r="E4" s="53">
        <v>0.74949389999999994</v>
      </c>
      <c r="F4" s="53">
        <v>0.3424198</v>
      </c>
      <c r="G4" s="53">
        <v>0</v>
      </c>
    </row>
    <row r="5" spans="1:7" x14ac:dyDescent="0.25">
      <c r="B5" s="3" t="s">
        <v>122</v>
      </c>
      <c r="C5" s="52">
        <f t="shared" ref="C5:D5" si="0">1-SUM(C2:C4)</f>
        <v>3.5965000000000025E-2</v>
      </c>
      <c r="D5" s="52">
        <f t="shared" si="0"/>
        <v>0.11555420000000005</v>
      </c>
      <c r="E5" s="52">
        <f>1-SUM(E2:E4)</f>
        <v>0.25050610000000006</v>
      </c>
      <c r="F5" s="52">
        <f>1-SUM(F2:F4)</f>
        <v>0.65758019999999995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Q18" sqref="Q18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334</v>
      </c>
      <c r="B1" s="103" t="s">
        <v>335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336</v>
      </c>
      <c r="B2" s="107">
        <v>969.93576015940596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337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338</v>
      </c>
      <c r="B4" s="108">
        <v>0.55220000000000002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339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340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341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342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343</v>
      </c>
      <c r="B9" s="108">
        <v>0.59519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344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345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346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347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348</v>
      </c>
      <c r="B14" s="110">
        <v>1.8943005751266326E-2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349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350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351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352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353</v>
      </c>
      <c r="B21" s="106" t="s">
        <v>354</v>
      </c>
      <c r="C21" s="106" t="s">
        <v>355</v>
      </c>
      <c r="D21" s="106" t="s">
        <v>356</v>
      </c>
      <c r="E21" s="106" t="s">
        <v>357</v>
      </c>
      <c r="F21" s="106" t="s">
        <v>358</v>
      </c>
      <c r="G21" s="106" t="s">
        <v>359</v>
      </c>
      <c r="H21" s="106" t="s">
        <v>360</v>
      </c>
      <c r="I21" s="106" t="s">
        <v>361</v>
      </c>
      <c r="J21" s="106" t="s">
        <v>362</v>
      </c>
      <c r="K21" s="106" t="s">
        <v>363</v>
      </c>
      <c r="L21" s="106" t="s">
        <v>364</v>
      </c>
      <c r="M21" s="106" t="s">
        <v>365</v>
      </c>
      <c r="N21" s="106" t="s">
        <v>366</v>
      </c>
      <c r="O21" s="106" t="s">
        <v>367</v>
      </c>
    </row>
    <row r="22" spans="1:15" x14ac:dyDescent="0.25">
      <c r="A22" s="106" t="s">
        <v>368</v>
      </c>
      <c r="B22" s="107">
        <v>91334.282250000004</v>
      </c>
      <c r="C22" s="107">
        <v>90869.409620000006</v>
      </c>
      <c r="D22" s="107">
        <v>90541.851280000003</v>
      </c>
      <c r="E22" s="107">
        <v>89152.615990000006</v>
      </c>
      <c r="F22" s="107">
        <v>86938.323080000002</v>
      </c>
      <c r="G22" s="107">
        <v>83441.564849999995</v>
      </c>
      <c r="H22" s="107">
        <v>78242.721080000003</v>
      </c>
      <c r="I22" s="107">
        <v>71331.386240000007</v>
      </c>
      <c r="J22" s="107">
        <v>63229.26539</v>
      </c>
      <c r="K22" s="107">
        <v>54556.007660000003</v>
      </c>
      <c r="L22" s="107">
        <v>46247.636780000001</v>
      </c>
      <c r="M22" s="107">
        <v>38298.813719999998</v>
      </c>
      <c r="N22" s="107">
        <v>30591.59201</v>
      </c>
      <c r="O22" s="107">
        <v>23049.9362</v>
      </c>
    </row>
  </sheetData>
  <sheetProtection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E28" sqref="E28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136</v>
      </c>
      <c r="B1" s="36" t="s">
        <v>137</v>
      </c>
      <c r="C1" s="36" t="s">
        <v>138</v>
      </c>
      <c r="D1" s="36" t="s">
        <v>139</v>
      </c>
      <c r="E1" s="36" t="s">
        <v>140</v>
      </c>
    </row>
    <row r="2" spans="1:5" ht="13" x14ac:dyDescent="0.3">
      <c r="A2" s="34" t="s">
        <v>141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142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142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142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142</v>
      </c>
      <c r="E6" s="38" t="str">
        <f>IF(E$7="","",E$7)</f>
        <v/>
      </c>
    </row>
    <row r="7" spans="1:5" x14ac:dyDescent="0.25">
      <c r="B7" s="32" t="s">
        <v>143</v>
      </c>
      <c r="C7" s="31"/>
      <c r="D7" s="30"/>
      <c r="E7" s="47"/>
    </row>
    <row r="9" spans="1:5" ht="13" x14ac:dyDescent="0.3">
      <c r="A9" s="34" t="s">
        <v>144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142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142</v>
      </c>
      <c r="E13" s="38" t="str">
        <f>IF(E$7="","",E$7)</f>
        <v/>
      </c>
    </row>
    <row r="14" spans="1:5" x14ac:dyDescent="0.25">
      <c r="B14" s="32" t="s">
        <v>143</v>
      </c>
      <c r="C14" s="31"/>
      <c r="D14" s="30"/>
      <c r="E14" s="47"/>
    </row>
    <row r="16" spans="1:5" ht="13" x14ac:dyDescent="0.3">
      <c r="A16" s="34" t="s">
        <v>145</v>
      </c>
      <c r="B16" s="32" t="s">
        <v>90</v>
      </c>
      <c r="C16" s="47"/>
      <c r="D16" s="47" t="s">
        <v>142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142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142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142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142</v>
      </c>
      <c r="E20" s="38" t="str">
        <f>IF(E$7="","",E$7)</f>
        <v/>
      </c>
    </row>
    <row r="21" spans="2:5" x14ac:dyDescent="0.25">
      <c r="B21" s="32" t="s">
        <v>143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E28" sqref="E28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1</v>
      </c>
      <c r="B1" s="36" t="s">
        <v>146</v>
      </c>
      <c r="C1" s="40" t="s">
        <v>147</v>
      </c>
      <c r="D1" s="40" t="s">
        <v>148</v>
      </c>
    </row>
    <row r="2" spans="1:4" ht="13" x14ac:dyDescent="0.3">
      <c r="A2" s="40" t="s">
        <v>149</v>
      </c>
      <c r="B2" s="32" t="s">
        <v>150</v>
      </c>
      <c r="C2" s="32" t="s">
        <v>151</v>
      </c>
      <c r="D2" s="47"/>
    </row>
    <row r="3" spans="1:4" ht="13" x14ac:dyDescent="0.3">
      <c r="A3" s="40" t="s">
        <v>152</v>
      </c>
      <c r="B3" s="32" t="s">
        <v>138</v>
      </c>
      <c r="C3" s="32" t="s">
        <v>153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149</v>
      </c>
      <c r="B1" s="22" t="str">
        <f>"Baseline ("&amp;start_year&amp;") coverage"</f>
        <v>Baseline (2024) coverage</v>
      </c>
      <c r="C1" s="22" t="s">
        <v>154</v>
      </c>
      <c r="D1" s="22" t="s">
        <v>155</v>
      </c>
      <c r="E1" s="22" t="s">
        <v>156</v>
      </c>
      <c r="F1" s="22" t="s">
        <v>157</v>
      </c>
      <c r="G1" s="22" t="s">
        <v>158</v>
      </c>
    </row>
    <row r="2" spans="1:7" ht="15.75" customHeight="1" x14ac:dyDescent="0.25">
      <c r="A2" s="5" t="s">
        <v>159</v>
      </c>
      <c r="B2" s="45">
        <v>0</v>
      </c>
      <c r="C2" s="96">
        <v>0.95</v>
      </c>
      <c r="D2" s="56">
        <v>19.75</v>
      </c>
      <c r="E2" s="56" t="s">
        <v>160</v>
      </c>
      <c r="F2" s="96">
        <v>1</v>
      </c>
      <c r="G2" s="96">
        <v>1</v>
      </c>
    </row>
    <row r="3" spans="1:7" ht="15.75" customHeight="1" x14ac:dyDescent="0.25">
      <c r="A3" s="5" t="s">
        <v>161</v>
      </c>
      <c r="B3" s="45">
        <v>0</v>
      </c>
      <c r="C3" s="96">
        <v>0.95</v>
      </c>
      <c r="D3" s="56">
        <v>19.75</v>
      </c>
      <c r="E3" s="56" t="s">
        <v>160</v>
      </c>
      <c r="F3" s="96">
        <v>1</v>
      </c>
      <c r="G3" s="96">
        <v>1</v>
      </c>
    </row>
    <row r="4" spans="1:7" ht="15.75" customHeight="1" x14ac:dyDescent="0.25">
      <c r="A4" s="5" t="s">
        <v>162</v>
      </c>
      <c r="B4" s="96">
        <v>0</v>
      </c>
      <c r="C4" s="96">
        <v>0.95</v>
      </c>
      <c r="D4" s="56">
        <v>6.8747382117628364</v>
      </c>
      <c r="E4" s="56" t="s">
        <v>160</v>
      </c>
      <c r="F4" s="96">
        <v>1</v>
      </c>
      <c r="G4" s="96">
        <v>1</v>
      </c>
    </row>
    <row r="5" spans="1:7" ht="15.75" customHeight="1" x14ac:dyDescent="0.25">
      <c r="A5" s="5" t="s">
        <v>163</v>
      </c>
      <c r="B5" s="96">
        <v>0</v>
      </c>
      <c r="C5" s="96">
        <v>0.95</v>
      </c>
      <c r="D5" s="56">
        <v>2.1291837256908908</v>
      </c>
      <c r="E5" s="56" t="s">
        <v>160</v>
      </c>
      <c r="F5" s="96">
        <v>1</v>
      </c>
      <c r="G5" s="96">
        <v>1</v>
      </c>
    </row>
    <row r="6" spans="1:7" ht="15.75" customHeight="1" x14ac:dyDescent="0.25">
      <c r="A6" s="5" t="s">
        <v>164</v>
      </c>
      <c r="B6" s="96">
        <v>0</v>
      </c>
      <c r="C6" s="96">
        <v>0.95</v>
      </c>
      <c r="D6" s="56">
        <v>99.99</v>
      </c>
      <c r="E6" s="56" t="s">
        <v>160</v>
      </c>
      <c r="F6" s="96">
        <v>1</v>
      </c>
      <c r="G6" s="96">
        <v>1</v>
      </c>
    </row>
    <row r="7" spans="1:7" ht="15.75" customHeight="1" x14ac:dyDescent="0.25">
      <c r="A7" s="5" t="s">
        <v>165</v>
      </c>
      <c r="B7" s="96">
        <v>0</v>
      </c>
      <c r="C7" s="96">
        <v>0.95</v>
      </c>
      <c r="D7" s="56">
        <v>0.38567054261930528</v>
      </c>
      <c r="E7" s="56" t="s">
        <v>160</v>
      </c>
      <c r="F7" s="96">
        <v>1</v>
      </c>
      <c r="G7" s="96">
        <v>1</v>
      </c>
    </row>
    <row r="8" spans="1:7" ht="15.75" customHeight="1" x14ac:dyDescent="0.25">
      <c r="A8" s="5" t="s">
        <v>166</v>
      </c>
      <c r="B8" s="96">
        <v>0</v>
      </c>
      <c r="C8" s="96">
        <v>0.95</v>
      </c>
      <c r="D8" s="56">
        <v>0.10284547803181469</v>
      </c>
      <c r="E8" s="56" t="s">
        <v>160</v>
      </c>
      <c r="F8" s="96">
        <v>1</v>
      </c>
      <c r="G8" s="96">
        <v>1</v>
      </c>
    </row>
    <row r="9" spans="1:7" ht="15.75" customHeight="1" x14ac:dyDescent="0.25">
      <c r="A9" s="5" t="s">
        <v>167</v>
      </c>
      <c r="B9" s="96">
        <v>0.5</v>
      </c>
      <c r="C9" s="96">
        <v>0.95</v>
      </c>
      <c r="D9" s="56">
        <v>0.22197642864885933</v>
      </c>
      <c r="E9" s="56" t="s">
        <v>160</v>
      </c>
      <c r="F9" s="96">
        <v>1</v>
      </c>
      <c r="G9" s="96">
        <v>1</v>
      </c>
    </row>
    <row r="10" spans="1:7" ht="15.75" customHeight="1" x14ac:dyDescent="0.25">
      <c r="A10" s="11" t="s">
        <v>168</v>
      </c>
      <c r="B10" s="45">
        <v>0.51401540000000001</v>
      </c>
      <c r="C10" s="96">
        <v>0.95</v>
      </c>
      <c r="D10" s="56">
        <v>12.568617380907741</v>
      </c>
      <c r="E10" s="56" t="s">
        <v>160</v>
      </c>
      <c r="F10" s="96">
        <v>1</v>
      </c>
      <c r="G10" s="96">
        <v>1</v>
      </c>
    </row>
    <row r="11" spans="1:7" ht="15.75" customHeight="1" x14ac:dyDescent="0.25">
      <c r="A11" s="11" t="s">
        <v>169</v>
      </c>
      <c r="B11" s="96">
        <v>0</v>
      </c>
      <c r="C11" s="96">
        <v>0.95</v>
      </c>
      <c r="D11" s="56">
        <v>12.568617380907741</v>
      </c>
      <c r="E11" s="56" t="s">
        <v>160</v>
      </c>
      <c r="F11" s="96">
        <v>1</v>
      </c>
      <c r="G11" s="96">
        <v>1</v>
      </c>
    </row>
    <row r="12" spans="1:7" ht="15.75" customHeight="1" x14ac:dyDescent="0.25">
      <c r="A12" s="11" t="s">
        <v>170</v>
      </c>
      <c r="B12" s="96">
        <v>0</v>
      </c>
      <c r="C12" s="96">
        <v>0.95</v>
      </c>
      <c r="D12" s="56">
        <v>12.568617380907741</v>
      </c>
      <c r="E12" s="56" t="s">
        <v>160</v>
      </c>
      <c r="F12" s="96">
        <v>1</v>
      </c>
      <c r="G12" s="96">
        <v>1</v>
      </c>
    </row>
    <row r="13" spans="1:7" ht="15.75" customHeight="1" x14ac:dyDescent="0.25">
      <c r="A13" s="11" t="s">
        <v>171</v>
      </c>
      <c r="B13" s="96">
        <v>0</v>
      </c>
      <c r="C13" s="96">
        <v>0.95</v>
      </c>
      <c r="D13" s="56">
        <v>12.568617380907741</v>
      </c>
      <c r="E13" s="56" t="s">
        <v>160</v>
      </c>
      <c r="F13" s="96">
        <v>1</v>
      </c>
      <c r="G13" s="96">
        <v>1</v>
      </c>
    </row>
    <row r="14" spans="1:7" ht="15.75" customHeight="1" x14ac:dyDescent="0.25">
      <c r="A14" s="5" t="s">
        <v>172</v>
      </c>
      <c r="B14" s="45">
        <v>0.31330000000000002</v>
      </c>
      <c r="C14" s="96">
        <v>0.95</v>
      </c>
      <c r="D14" s="56">
        <v>2.7509100930955666</v>
      </c>
      <c r="E14" s="56" t="s">
        <v>160</v>
      </c>
      <c r="F14" s="96">
        <v>1</v>
      </c>
      <c r="G14" s="96">
        <v>1</v>
      </c>
    </row>
    <row r="15" spans="1:7" ht="15.75" customHeight="1" x14ac:dyDescent="0.25">
      <c r="A15" s="5" t="s">
        <v>173</v>
      </c>
      <c r="B15" s="96">
        <v>0</v>
      </c>
      <c r="C15" s="96">
        <v>0.95</v>
      </c>
      <c r="D15" s="56">
        <v>12.568617380907741</v>
      </c>
      <c r="E15" s="56" t="s">
        <v>160</v>
      </c>
      <c r="F15" s="96">
        <v>1</v>
      </c>
      <c r="G15" s="96">
        <v>1</v>
      </c>
    </row>
    <row r="16" spans="1:7" ht="15.75" customHeight="1" x14ac:dyDescent="0.25">
      <c r="A16" s="5" t="s">
        <v>174</v>
      </c>
      <c r="B16" s="45">
        <v>0</v>
      </c>
      <c r="C16" s="96">
        <v>0.95</v>
      </c>
      <c r="D16" s="56">
        <v>2.1562548532894295</v>
      </c>
      <c r="E16" s="56" t="s">
        <v>160</v>
      </c>
      <c r="F16" s="96">
        <v>1</v>
      </c>
      <c r="G16" s="96">
        <v>1</v>
      </c>
    </row>
    <row r="17" spans="1:7" ht="15.75" customHeight="1" x14ac:dyDescent="0.25">
      <c r="A17" s="5" t="s">
        <v>175</v>
      </c>
      <c r="B17" s="96">
        <v>0</v>
      </c>
      <c r="C17" s="96">
        <v>0.95</v>
      </c>
      <c r="D17" s="56">
        <v>0.58636119533868591</v>
      </c>
      <c r="E17" s="56" t="s">
        <v>160</v>
      </c>
      <c r="F17" s="96">
        <v>1</v>
      </c>
      <c r="G17" s="96">
        <v>1</v>
      </c>
    </row>
    <row r="18" spans="1:7" ht="15.9" customHeight="1" x14ac:dyDescent="0.25">
      <c r="A18" s="5" t="s">
        <v>141</v>
      </c>
      <c r="B18" s="96">
        <v>0.621</v>
      </c>
      <c r="C18" s="96">
        <v>0.95</v>
      </c>
      <c r="D18" s="56">
        <v>6.8747382117628364</v>
      </c>
      <c r="E18" s="56" t="s">
        <v>160</v>
      </c>
      <c r="F18" s="96">
        <v>1</v>
      </c>
      <c r="G18" s="96">
        <v>1</v>
      </c>
    </row>
    <row r="19" spans="1:7" ht="15.75" customHeight="1" x14ac:dyDescent="0.25">
      <c r="A19" s="5" t="s">
        <v>144</v>
      </c>
      <c r="B19" s="96">
        <v>0.54791509999999999</v>
      </c>
      <c r="C19" s="96">
        <v>0.95</v>
      </c>
      <c r="D19" s="56">
        <v>2.4903242449752758</v>
      </c>
      <c r="E19" s="56" t="s">
        <v>160</v>
      </c>
      <c r="F19" s="96">
        <v>1</v>
      </c>
      <c r="G19" s="96">
        <v>1</v>
      </c>
    </row>
    <row r="20" spans="1:7" ht="15.75" customHeight="1" x14ac:dyDescent="0.25">
      <c r="A20" s="5" t="s">
        <v>145</v>
      </c>
      <c r="B20" s="96">
        <v>0</v>
      </c>
      <c r="C20" s="96">
        <v>0.95</v>
      </c>
      <c r="D20" s="56">
        <v>99.99</v>
      </c>
      <c r="E20" s="56" t="s">
        <v>160</v>
      </c>
      <c r="F20" s="96">
        <v>1</v>
      </c>
      <c r="G20" s="96">
        <v>1</v>
      </c>
    </row>
    <row r="21" spans="1:7" ht="15.75" customHeight="1" x14ac:dyDescent="0.25">
      <c r="A21" s="5" t="s">
        <v>176</v>
      </c>
      <c r="B21" s="45">
        <v>0</v>
      </c>
      <c r="C21" s="96">
        <v>0.95</v>
      </c>
      <c r="D21" s="56">
        <v>7.2638561333206297</v>
      </c>
      <c r="E21" s="56" t="s">
        <v>160</v>
      </c>
      <c r="F21" s="96">
        <v>1</v>
      </c>
      <c r="G21" s="96">
        <v>1</v>
      </c>
    </row>
    <row r="22" spans="1:7" ht="15.75" customHeight="1" x14ac:dyDescent="0.25">
      <c r="A22" s="5" t="s">
        <v>177</v>
      </c>
      <c r="B22" s="96">
        <v>0</v>
      </c>
      <c r="C22" s="96">
        <v>0.95</v>
      </c>
      <c r="D22" s="56">
        <v>6.8747382117628364</v>
      </c>
      <c r="E22" s="56" t="s">
        <v>160</v>
      </c>
      <c r="F22" s="96">
        <v>1</v>
      </c>
      <c r="G22" s="96">
        <v>1</v>
      </c>
    </row>
    <row r="23" spans="1:7" ht="15.75" customHeight="1" x14ac:dyDescent="0.25">
      <c r="A23" s="5" t="s">
        <v>178</v>
      </c>
      <c r="B23" s="96">
        <v>0</v>
      </c>
      <c r="C23" s="96">
        <v>0.95</v>
      </c>
      <c r="D23" s="56">
        <v>4.0021113729210773</v>
      </c>
      <c r="E23" s="56" t="s">
        <v>160</v>
      </c>
      <c r="F23" s="96">
        <v>1</v>
      </c>
      <c r="G23" s="96">
        <v>1</v>
      </c>
    </row>
    <row r="24" spans="1:7" ht="15.75" customHeight="1" x14ac:dyDescent="0.25">
      <c r="A24" s="5" t="s">
        <v>179</v>
      </c>
      <c r="B24" s="45">
        <v>0.64977730725310001</v>
      </c>
      <c r="C24" s="96">
        <v>0.95</v>
      </c>
      <c r="D24" s="56">
        <v>99.99</v>
      </c>
      <c r="E24" s="56" t="s">
        <v>160</v>
      </c>
      <c r="F24" s="96">
        <v>1</v>
      </c>
      <c r="G24" s="96">
        <v>1</v>
      </c>
    </row>
    <row r="25" spans="1:7" ht="15.75" customHeight="1" x14ac:dyDescent="0.25">
      <c r="A25" s="5" t="s">
        <v>180</v>
      </c>
      <c r="B25" s="96">
        <v>0</v>
      </c>
      <c r="C25" s="96">
        <v>0.95</v>
      </c>
      <c r="D25" s="56">
        <v>99.99</v>
      </c>
      <c r="E25" s="56" t="s">
        <v>160</v>
      </c>
      <c r="F25" s="96">
        <v>1</v>
      </c>
      <c r="G25" s="96">
        <v>1</v>
      </c>
    </row>
    <row r="26" spans="1:7" ht="15.75" customHeight="1" x14ac:dyDescent="0.25">
      <c r="A26" s="5" t="s">
        <v>181</v>
      </c>
      <c r="B26" s="45">
        <v>0</v>
      </c>
      <c r="C26" s="96">
        <v>0.95</v>
      </c>
      <c r="D26" s="56">
        <v>4.4432147531692987</v>
      </c>
      <c r="E26" s="56" t="s">
        <v>160</v>
      </c>
      <c r="F26" s="96">
        <v>1</v>
      </c>
      <c r="G26" s="96">
        <v>1</v>
      </c>
    </row>
    <row r="27" spans="1:7" ht="15.75" customHeight="1" x14ac:dyDescent="0.25">
      <c r="A27" s="5" t="s">
        <v>182</v>
      </c>
      <c r="B27" s="45">
        <v>0</v>
      </c>
      <c r="C27" s="96">
        <v>0.95</v>
      </c>
      <c r="D27" s="56">
        <v>8.8360724993186164</v>
      </c>
      <c r="E27" s="56" t="s">
        <v>160</v>
      </c>
      <c r="F27" s="96">
        <v>1</v>
      </c>
      <c r="G27" s="96">
        <v>1</v>
      </c>
    </row>
    <row r="28" spans="1:7" ht="15.75" customHeight="1" x14ac:dyDescent="0.25">
      <c r="A28" s="5" t="s">
        <v>183</v>
      </c>
      <c r="B28" s="45">
        <v>0.39736890000000002</v>
      </c>
      <c r="C28" s="96">
        <v>0.95</v>
      </c>
      <c r="D28" s="56">
        <v>99.99</v>
      </c>
      <c r="E28" s="56" t="s">
        <v>160</v>
      </c>
      <c r="F28" s="96">
        <v>1</v>
      </c>
      <c r="G28" s="96">
        <v>1</v>
      </c>
    </row>
    <row r="29" spans="1:7" ht="15.75" customHeight="1" x14ac:dyDescent="0.25">
      <c r="A29" s="5" t="s">
        <v>184</v>
      </c>
      <c r="B29" s="45">
        <v>0.1669523</v>
      </c>
      <c r="C29" s="96">
        <v>0.95</v>
      </c>
      <c r="D29" s="56">
        <v>88.005851455993124</v>
      </c>
      <c r="E29" s="56" t="s">
        <v>160</v>
      </c>
      <c r="F29" s="96">
        <v>1</v>
      </c>
      <c r="G29" s="96">
        <v>1</v>
      </c>
    </row>
    <row r="30" spans="1:7" ht="15.75" customHeight="1" x14ac:dyDescent="0.25">
      <c r="A30" s="5" t="s">
        <v>185</v>
      </c>
      <c r="B30" s="96">
        <v>0</v>
      </c>
      <c r="C30" s="96">
        <v>0.95</v>
      </c>
      <c r="D30" s="56">
        <v>57.448392612859095</v>
      </c>
      <c r="E30" s="56" t="s">
        <v>160</v>
      </c>
      <c r="F30" s="96">
        <v>1</v>
      </c>
      <c r="G30" s="96">
        <v>1</v>
      </c>
    </row>
    <row r="31" spans="1:7" ht="15.75" customHeight="1" x14ac:dyDescent="0.25">
      <c r="A31" s="5" t="s">
        <v>150</v>
      </c>
      <c r="B31" s="45">
        <v>6.1500000000000013E-2</v>
      </c>
      <c r="C31" s="96">
        <v>0.95</v>
      </c>
      <c r="D31" s="56">
        <v>125.66324080233395</v>
      </c>
      <c r="E31" s="56" t="s">
        <v>160</v>
      </c>
      <c r="F31" s="96">
        <v>1</v>
      </c>
      <c r="G31" s="96">
        <v>1</v>
      </c>
    </row>
    <row r="32" spans="1:7" ht="15.75" customHeight="1" x14ac:dyDescent="0.25">
      <c r="A32" s="5" t="s">
        <v>186</v>
      </c>
      <c r="B32" s="45">
        <v>0.69599999999999995</v>
      </c>
      <c r="C32" s="96">
        <v>0.95</v>
      </c>
      <c r="D32" s="56">
        <v>0.65</v>
      </c>
      <c r="E32" s="56" t="s">
        <v>160</v>
      </c>
      <c r="F32" s="96">
        <v>1</v>
      </c>
      <c r="G32" s="96">
        <v>1</v>
      </c>
    </row>
    <row r="33" spans="1:7" ht="15.75" customHeight="1" x14ac:dyDescent="0.25">
      <c r="A33" s="5" t="s">
        <v>187</v>
      </c>
      <c r="B33" s="45">
        <v>5.5719100000000001E-2</v>
      </c>
      <c r="C33" s="96">
        <v>0.95</v>
      </c>
      <c r="D33" s="56">
        <v>99.99</v>
      </c>
      <c r="E33" s="56" t="s">
        <v>160</v>
      </c>
      <c r="F33" s="96">
        <v>1</v>
      </c>
      <c r="G33" s="96">
        <v>1</v>
      </c>
    </row>
    <row r="34" spans="1:7" ht="15.75" customHeight="1" x14ac:dyDescent="0.25">
      <c r="A34" s="5" t="s">
        <v>188</v>
      </c>
      <c r="B34" s="45">
        <v>0.52886619999999995</v>
      </c>
      <c r="C34" s="96">
        <v>0.95</v>
      </c>
      <c r="D34" s="56">
        <v>99.99</v>
      </c>
      <c r="E34" s="56" t="s">
        <v>160</v>
      </c>
      <c r="F34" s="96">
        <v>1</v>
      </c>
      <c r="G34" s="96">
        <v>1</v>
      </c>
    </row>
    <row r="35" spans="1:7" ht="15.75" customHeight="1" x14ac:dyDescent="0.25">
      <c r="A35" s="5" t="s">
        <v>189</v>
      </c>
      <c r="B35" s="96">
        <v>0</v>
      </c>
      <c r="C35" s="96">
        <v>0.95</v>
      </c>
      <c r="D35" s="56">
        <v>99.99</v>
      </c>
      <c r="E35" s="56" t="s">
        <v>160</v>
      </c>
      <c r="F35" s="96">
        <v>1</v>
      </c>
      <c r="G35" s="96">
        <v>1</v>
      </c>
    </row>
    <row r="36" spans="1:7" ht="15.75" customHeight="1" x14ac:dyDescent="0.25">
      <c r="A36" s="5" t="s">
        <v>190</v>
      </c>
      <c r="B36" s="45">
        <v>2.7888000000000001E-3</v>
      </c>
      <c r="C36" s="96">
        <v>0.95</v>
      </c>
      <c r="D36" s="56">
        <v>99.99</v>
      </c>
      <c r="E36" s="56" t="s">
        <v>160</v>
      </c>
      <c r="F36" s="96">
        <v>1</v>
      </c>
      <c r="G36" s="96">
        <v>1</v>
      </c>
    </row>
    <row r="37" spans="1:7" ht="15.75" customHeight="1" x14ac:dyDescent="0.25">
      <c r="A37" s="5" t="s">
        <v>191</v>
      </c>
      <c r="B37" s="45">
        <v>0.72270930000000011</v>
      </c>
      <c r="C37" s="96">
        <v>0.95</v>
      </c>
      <c r="D37" s="56">
        <v>99.99</v>
      </c>
      <c r="E37" s="56" t="s">
        <v>160</v>
      </c>
      <c r="F37" s="96">
        <v>1</v>
      </c>
      <c r="G37" s="96">
        <v>1</v>
      </c>
    </row>
    <row r="38" spans="1:7" ht="15.75" customHeight="1" x14ac:dyDescent="0.25">
      <c r="A38" s="5" t="s">
        <v>192</v>
      </c>
      <c r="B38" s="45">
        <v>0.104</v>
      </c>
      <c r="C38" s="96">
        <v>0.95</v>
      </c>
      <c r="D38" s="56">
        <v>2.2145073762257557</v>
      </c>
      <c r="E38" s="56" t="s">
        <v>160</v>
      </c>
      <c r="F38" s="96">
        <v>1</v>
      </c>
      <c r="G38" s="96">
        <v>1</v>
      </c>
    </row>
    <row r="39" spans="1:7" ht="15.75" customHeight="1" x14ac:dyDescent="0.25">
      <c r="A39" s="5" t="s">
        <v>193</v>
      </c>
      <c r="B39" s="45">
        <v>0</v>
      </c>
      <c r="C39" s="96">
        <v>0.95</v>
      </c>
      <c r="D39" s="56">
        <v>5.8497136845734818</v>
      </c>
      <c r="E39" s="56" t="s">
        <v>160</v>
      </c>
      <c r="F39" s="96">
        <v>1</v>
      </c>
      <c r="G39" s="96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tabSelected="1"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149</v>
      </c>
      <c r="B1" s="4" t="s">
        <v>194</v>
      </c>
      <c r="C1" s="4" t="s">
        <v>195</v>
      </c>
    </row>
    <row r="2" spans="1:3" x14ac:dyDescent="0.25">
      <c r="A2" s="57" t="s">
        <v>172</v>
      </c>
      <c r="B2" s="47" t="s">
        <v>182</v>
      </c>
      <c r="C2" s="47"/>
    </row>
    <row r="3" spans="1:3" x14ac:dyDescent="0.25">
      <c r="A3" s="57" t="s">
        <v>173</v>
      </c>
      <c r="B3" s="47" t="s">
        <v>182</v>
      </c>
      <c r="C3" s="47"/>
    </row>
    <row r="4" spans="1:3" x14ac:dyDescent="0.25">
      <c r="A4" s="57" t="s">
        <v>184</v>
      </c>
      <c r="B4" s="47" t="s">
        <v>177</v>
      </c>
      <c r="C4" s="47"/>
    </row>
    <row r="5" spans="1:3" x14ac:dyDescent="0.25">
      <c r="A5" s="57" t="s">
        <v>184</v>
      </c>
      <c r="B5" s="47" t="s">
        <v>185</v>
      </c>
      <c r="C5" s="47"/>
    </row>
    <row r="6" spans="1:3" x14ac:dyDescent="0.25">
      <c r="A6" s="57" t="s">
        <v>181</v>
      </c>
      <c r="B6" s="58" t="s">
        <v>185</v>
      </c>
      <c r="C6" s="58"/>
    </row>
    <row r="7" spans="1:3" x14ac:dyDescent="0.25">
      <c r="A7" s="57" t="s">
        <v>193</v>
      </c>
      <c r="B7" s="58" t="s">
        <v>185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149</v>
      </c>
    </row>
    <row r="2" spans="1:1" x14ac:dyDescent="0.25">
      <c r="A2" s="33" t="s">
        <v>164</v>
      </c>
    </row>
    <row r="3" spans="1:1" x14ac:dyDescent="0.25">
      <c r="A3" s="33" t="s">
        <v>174</v>
      </c>
    </row>
    <row r="4" spans="1:1" x14ac:dyDescent="0.25">
      <c r="A4" s="33" t="s">
        <v>178</v>
      </c>
    </row>
    <row r="5" spans="1:1" x14ac:dyDescent="0.25">
      <c r="A5" s="33" t="s">
        <v>187</v>
      </c>
    </row>
    <row r="6" spans="1:1" x14ac:dyDescent="0.25">
      <c r="A6" s="33" t="s">
        <v>188</v>
      </c>
    </row>
    <row r="7" spans="1:1" x14ac:dyDescent="0.25">
      <c r="A7" s="33" t="s">
        <v>189</v>
      </c>
    </row>
    <row r="8" spans="1:1" x14ac:dyDescent="0.25">
      <c r="A8" s="33" t="s">
        <v>190</v>
      </c>
    </row>
    <row r="9" spans="1:1" x14ac:dyDescent="0.25">
      <c r="A9" s="33" t="s">
        <v>191</v>
      </c>
    </row>
    <row r="10" spans="1:1" x14ac:dyDescent="0.25">
      <c r="A10" s="33" t="s">
        <v>150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196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1.56</v>
      </c>
      <c r="C2" s="21">
        <f>'Baseline year population inputs'!C52</f>
        <v>1.56</v>
      </c>
      <c r="D2" s="21">
        <f>'Baseline year population inputs'!C53</f>
        <v>5.798</v>
      </c>
      <c r="E2" s="21">
        <f>'Baseline year population inputs'!C54</f>
        <v>5.72</v>
      </c>
      <c r="F2" s="21">
        <f>'Baseline year population inputs'!C55</f>
        <v>1.6466666666666669</v>
      </c>
    </row>
    <row r="3" spans="1:6" ht="15.75" customHeight="1" x14ac:dyDescent="0.25">
      <c r="A3" s="3" t="s">
        <v>197</v>
      </c>
      <c r="B3" s="21">
        <f>frac_mam_1month * 2.6</f>
        <v>4.9420540000000006E-2</v>
      </c>
      <c r="C3" s="21">
        <f>frac_mam_1_5months * 2.6</f>
        <v>4.9420540000000006E-2</v>
      </c>
      <c r="D3" s="21">
        <f>frac_mam_6_11months * 2.6</f>
        <v>6.9301180000000004E-2</v>
      </c>
      <c r="E3" s="21">
        <f>frac_mam_12_23months * 2.6</f>
        <v>3.2179680000000002E-2</v>
      </c>
      <c r="F3" s="21">
        <f>frac_mam_24_59months * 2.6</f>
        <v>2.6821339999999999E-2</v>
      </c>
    </row>
    <row r="4" spans="1:6" ht="15.75" customHeight="1" x14ac:dyDescent="0.25">
      <c r="A4" s="3" t="s">
        <v>198</v>
      </c>
      <c r="B4" s="21">
        <f>frac_sam_1month * 2.6</f>
        <v>5.2568619999999996E-2</v>
      </c>
      <c r="C4" s="21">
        <f>frac_sam_1_5months * 2.6</f>
        <v>5.2568619999999996E-2</v>
      </c>
      <c r="D4" s="21">
        <f>frac_sam_6_11months * 2.6</f>
        <v>2.2472060000000002E-2</v>
      </c>
      <c r="E4" s="21">
        <f>frac_sam_12_23months * 2.6</f>
        <v>2.6649220000000001E-2</v>
      </c>
      <c r="F4" s="21">
        <f>frac_sam_24_59months * 2.6</f>
        <v>1.4525679999999999E-2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162</v>
      </c>
      <c r="C2" s="60">
        <v>0</v>
      </c>
      <c r="D2" s="60">
        <v>0</v>
      </c>
      <c r="E2" s="60">
        <f>food_insecure</f>
        <v>0.49700000000000011</v>
      </c>
      <c r="F2" s="60">
        <f>food_insecure</f>
        <v>0.49700000000000011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163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176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177</v>
      </c>
      <c r="C5" s="60">
        <v>0</v>
      </c>
      <c r="D5" s="60">
        <v>0</v>
      </c>
      <c r="E5" s="60">
        <f>food_insecure</f>
        <v>0.49700000000000011</v>
      </c>
      <c r="F5" s="60">
        <f>food_insecure</f>
        <v>0.49700000000000011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181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183</v>
      </c>
      <c r="C7" s="60">
        <f>diarrhoea_1mo*frac_diarrhea_severe</f>
        <v>3.4036363636363642E-2</v>
      </c>
      <c r="D7" s="60">
        <f>diarrhoea_1_5mo*frac_diarrhea_severe</f>
        <v>3.4036363636363642E-2</v>
      </c>
      <c r="E7" s="60">
        <f>diarrhoea_6_11mo*frac_diarrhea_severe</f>
        <v>0.12650181818181819</v>
      </c>
      <c r="F7" s="60">
        <f>diarrhoea_12_23mo*frac_diarrhea_severe</f>
        <v>0.12480000000000001</v>
      </c>
      <c r="G7" s="60">
        <f>diarrhoea_24_59mo*frac_diarrhea_severe</f>
        <v>3.5927272727272738E-2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184</v>
      </c>
      <c r="C8" s="60">
        <v>0</v>
      </c>
      <c r="D8" s="60">
        <v>0</v>
      </c>
      <c r="E8" s="60">
        <f>food_insecure</f>
        <v>0.49700000000000011</v>
      </c>
      <c r="F8" s="60">
        <f>food_insecure</f>
        <v>0.49700000000000011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185</v>
      </c>
      <c r="C9" s="60">
        <v>0</v>
      </c>
      <c r="D9" s="60">
        <v>0</v>
      </c>
      <c r="E9" s="60">
        <f>food_insecure</f>
        <v>0.49700000000000011</v>
      </c>
      <c r="F9" s="60">
        <f>food_insecure</f>
        <v>0.49700000000000011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186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192</v>
      </c>
      <c r="C12" s="60">
        <f>diarrhoea_1mo*frac_diarrhea_severe</f>
        <v>3.4036363636363642E-2</v>
      </c>
      <c r="D12" s="60">
        <f>diarrhoea_1_5mo*frac_diarrhea_severe</f>
        <v>3.4036363636363642E-2</v>
      </c>
      <c r="E12" s="60">
        <f>diarrhoea_6_11mo*frac_diarrhea_severe</f>
        <v>0.12650181818181819</v>
      </c>
      <c r="F12" s="60">
        <f>diarrhoea_12_23mo*frac_diarrhea_severe</f>
        <v>0.12480000000000001</v>
      </c>
      <c r="G12" s="60">
        <f>diarrhoea_24_59mo*frac_diarrhea_severe</f>
        <v>3.5927272727272738E-2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193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159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0.49700000000000011</v>
      </c>
      <c r="I15" s="60">
        <f t="shared" si="0"/>
        <v>0.49700000000000011</v>
      </c>
      <c r="J15" s="60">
        <f t="shared" si="0"/>
        <v>0.49700000000000011</v>
      </c>
      <c r="K15" s="60">
        <f t="shared" si="0"/>
        <v>0.49700000000000011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161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0.49700000000000011</v>
      </c>
      <c r="I16" s="60">
        <f t="shared" si="0"/>
        <v>0.49700000000000011</v>
      </c>
      <c r="J16" s="60">
        <f t="shared" si="0"/>
        <v>0.49700000000000011</v>
      </c>
      <c r="K16" s="60">
        <f t="shared" si="0"/>
        <v>0.49700000000000011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172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173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174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179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180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182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200</v>
      </c>
      <c r="B24" s="11" t="s">
        <v>164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0.16008168680000001</v>
      </c>
      <c r="M24" s="60">
        <f>famplan_unmet_need</f>
        <v>0.16008168680000001</v>
      </c>
      <c r="N24" s="60">
        <f>famplan_unmet_need</f>
        <v>0.16008168680000001</v>
      </c>
      <c r="O24" s="60">
        <f>famplan_unmet_need</f>
        <v>0.16008168680000001</v>
      </c>
    </row>
    <row r="25" spans="1:15" ht="15.75" customHeight="1" x14ac:dyDescent="0.25">
      <c r="B25" s="11" t="s">
        <v>168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0.29703058267400007</v>
      </c>
      <c r="M25" s="60">
        <f>(1-food_insecure)*(0.49)+food_insecure*(0.7)</f>
        <v>0.59436999999999995</v>
      </c>
      <c r="N25" s="60">
        <f>(1-food_insecure)*(0.49)+food_insecure*(0.7)</f>
        <v>0.59436999999999995</v>
      </c>
      <c r="O25" s="60">
        <f>(1-food_insecure)*(0.49)+food_insecure*(0.7)</f>
        <v>0.59436999999999995</v>
      </c>
    </row>
    <row r="26" spans="1:15" ht="15.75" customHeight="1" x14ac:dyDescent="0.25">
      <c r="B26" s="11" t="s">
        <v>169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0.12729882114600002</v>
      </c>
      <c r="M26" s="60">
        <f>(1-food_insecure)*(0.21)+food_insecure*(0.3)</f>
        <v>0.25473000000000001</v>
      </c>
      <c r="N26" s="60">
        <f>(1-food_insecure)*(0.21)+food_insecure*(0.3)</f>
        <v>0.25473000000000001</v>
      </c>
      <c r="O26" s="60">
        <f>(1-food_insecure)*(0.21)+food_insecure*(0.3)</f>
        <v>0.25473000000000001</v>
      </c>
    </row>
    <row r="27" spans="1:15" ht="15.75" customHeight="1" x14ac:dyDescent="0.25">
      <c r="B27" s="11" t="s">
        <v>170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7.5410796179999989E-2</v>
      </c>
      <c r="M27" s="60">
        <f>(1-food_insecure)*(0.3)</f>
        <v>0.15089999999999995</v>
      </c>
      <c r="N27" s="60">
        <f>(1-food_insecure)*(0.3)</f>
        <v>0.15089999999999995</v>
      </c>
      <c r="O27" s="60">
        <f>(1-food_insecure)*(0.3)</f>
        <v>0.15089999999999995</v>
      </c>
    </row>
    <row r="28" spans="1:15" ht="15.75" customHeight="1" x14ac:dyDescent="0.25">
      <c r="B28" s="11" t="s">
        <v>171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0.50025979999999992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201</v>
      </c>
      <c r="B30" s="5" t="s">
        <v>165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166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167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175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178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187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188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189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wgo7XNr2JxP7Ql6m5BNK+l9KamJ34r23Y5jz1XN8+N7E+d6W6TRCIB4CvUfkpfDjYoTdBm3j/AY5J0WTPLstYw==" saltValue="tqaBG9v2e2aE4iDDli/elQ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160</v>
      </c>
    </row>
    <row r="2" spans="1:1" x14ac:dyDescent="0.25">
      <c r="A2" s="8" t="s">
        <v>202</v>
      </c>
    </row>
    <row r="3" spans="1:1" x14ac:dyDescent="0.25">
      <c r="A3" s="8" t="s">
        <v>203</v>
      </c>
    </row>
    <row r="4" spans="1:1" x14ac:dyDescent="0.25">
      <c r="A4" s="8" t="s">
        <v>204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205</v>
      </c>
      <c r="B1" s="4" t="s">
        <v>206</v>
      </c>
      <c r="C1" s="4" t="s">
        <v>207</v>
      </c>
      <c r="D1" s="4" t="s">
        <v>135</v>
      </c>
      <c r="E1" s="4" t="s">
        <v>208</v>
      </c>
    </row>
    <row r="2" spans="1:5" ht="14" customHeight="1" x14ac:dyDescent="0.3">
      <c r="A2" s="28" t="s">
        <v>209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210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211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212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213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214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215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216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217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162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163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144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145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176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177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181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183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184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185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186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193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159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161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172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173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174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179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180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182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200</v>
      </c>
      <c r="B27" s="5" t="s">
        <v>164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168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169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170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171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201</v>
      </c>
      <c r="B33" s="5" t="s">
        <v>165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166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167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175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178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187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188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189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2" workbookViewId="0">
      <selection activeCell="D2" sqref="D2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149</v>
      </c>
      <c r="B1" s="106" t="s">
        <v>218</v>
      </c>
      <c r="C1" s="106" t="s">
        <v>111</v>
      </c>
      <c r="D1" s="106" t="s">
        <v>219</v>
      </c>
      <c r="E1" s="106" t="s">
        <v>220</v>
      </c>
      <c r="F1" s="106" t="s">
        <v>118</v>
      </c>
      <c r="G1" s="106" t="s">
        <v>81</v>
      </c>
      <c r="H1" s="106" t="s">
        <v>32</v>
      </c>
      <c r="I1" s="106" t="s">
        <v>221</v>
      </c>
      <c r="J1" s="106" t="s">
        <v>25</v>
      </c>
      <c r="K1" s="106" t="s">
        <v>222</v>
      </c>
      <c r="L1" s="106" t="s">
        <v>369</v>
      </c>
    </row>
    <row r="2" spans="1:12" x14ac:dyDescent="0.25">
      <c r="A2" s="113" t="s">
        <v>159</v>
      </c>
      <c r="B2" s="114"/>
      <c r="C2" s="114"/>
      <c r="D2" s="114"/>
      <c r="E2" s="114"/>
      <c r="F2" s="114"/>
      <c r="G2" s="114"/>
      <c r="H2" s="114"/>
      <c r="I2" s="114" t="s">
        <v>142</v>
      </c>
      <c r="J2" s="114"/>
      <c r="K2" s="114"/>
      <c r="L2" s="114"/>
    </row>
    <row r="3" spans="1:12" x14ac:dyDescent="0.25">
      <c r="A3" s="113" t="s">
        <v>161</v>
      </c>
      <c r="B3" s="114"/>
      <c r="C3" s="114"/>
      <c r="D3" s="114"/>
      <c r="E3" s="114"/>
      <c r="F3" s="114"/>
      <c r="G3" s="114"/>
      <c r="H3" s="114" t="s">
        <v>142</v>
      </c>
      <c r="I3" s="114" t="s">
        <v>142</v>
      </c>
      <c r="J3" s="114"/>
      <c r="K3" s="114"/>
      <c r="L3" s="114"/>
    </row>
    <row r="4" spans="1:12" x14ac:dyDescent="0.25">
      <c r="A4" s="113" t="s">
        <v>162</v>
      </c>
      <c r="B4" s="114" t="s">
        <v>142</v>
      </c>
      <c r="C4" s="114"/>
      <c r="D4" s="114" t="s">
        <v>142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163</v>
      </c>
      <c r="B5" s="114"/>
      <c r="C5" s="114" t="s">
        <v>142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164</v>
      </c>
      <c r="B6" s="114"/>
      <c r="C6" s="114"/>
      <c r="D6" s="114"/>
      <c r="E6" s="114"/>
      <c r="F6" s="114"/>
      <c r="G6" s="114"/>
      <c r="H6" s="114"/>
      <c r="I6" s="114"/>
      <c r="J6" s="114" t="s">
        <v>142</v>
      </c>
      <c r="K6" s="114" t="s">
        <v>142</v>
      </c>
      <c r="L6" s="114"/>
    </row>
    <row r="7" spans="1:12" x14ac:dyDescent="0.25">
      <c r="A7" s="113" t="s">
        <v>165</v>
      </c>
      <c r="B7" s="114"/>
      <c r="C7" s="114" t="s">
        <v>142</v>
      </c>
      <c r="D7" s="114"/>
      <c r="E7" s="114"/>
      <c r="F7" s="114"/>
      <c r="G7" s="114"/>
      <c r="H7" s="114" t="s">
        <v>142</v>
      </c>
      <c r="I7" s="114"/>
      <c r="J7" s="114"/>
      <c r="K7" s="114"/>
      <c r="L7" s="114"/>
    </row>
    <row r="8" spans="1:12" x14ac:dyDescent="0.25">
      <c r="A8" s="113" t="s">
        <v>166</v>
      </c>
      <c r="B8" s="114"/>
      <c r="C8" s="114" t="s">
        <v>142</v>
      </c>
      <c r="D8" s="114"/>
      <c r="E8" s="114"/>
      <c r="F8" s="114"/>
      <c r="G8" s="114"/>
      <c r="H8" s="114" t="s">
        <v>142</v>
      </c>
      <c r="I8" s="114"/>
      <c r="J8" s="114"/>
      <c r="K8" s="114"/>
      <c r="L8" s="114"/>
    </row>
    <row r="9" spans="1:12" x14ac:dyDescent="0.25">
      <c r="A9" s="113" t="s">
        <v>167</v>
      </c>
      <c r="B9" s="114"/>
      <c r="C9" s="114" t="s">
        <v>142</v>
      </c>
      <c r="D9" s="114"/>
      <c r="E9" s="114"/>
      <c r="F9" s="114"/>
      <c r="G9" s="114"/>
      <c r="H9" s="114" t="s">
        <v>142</v>
      </c>
      <c r="I9" s="114"/>
      <c r="J9" s="114"/>
      <c r="K9" s="114"/>
      <c r="L9" s="114"/>
    </row>
    <row r="10" spans="1:12" x14ac:dyDescent="0.25">
      <c r="A10" s="113" t="s">
        <v>168</v>
      </c>
      <c r="B10" s="114"/>
      <c r="C10" s="114" t="s">
        <v>142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169</v>
      </c>
      <c r="B11" s="114"/>
      <c r="C11" s="114" t="s">
        <v>142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170</v>
      </c>
      <c r="B12" s="114"/>
      <c r="C12" s="114" t="s">
        <v>142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171</v>
      </c>
      <c r="B13" s="114"/>
      <c r="C13" s="114" t="s">
        <v>142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172</v>
      </c>
      <c r="B14" s="114"/>
      <c r="C14" s="114" t="s">
        <v>142</v>
      </c>
      <c r="D14" s="114"/>
      <c r="E14" s="114"/>
      <c r="F14" s="114"/>
      <c r="G14" s="114"/>
      <c r="H14" s="114"/>
      <c r="I14" s="114" t="s">
        <v>142</v>
      </c>
      <c r="J14" s="114"/>
      <c r="K14" s="114"/>
      <c r="L14" s="114"/>
    </row>
    <row r="15" spans="1:12" x14ac:dyDescent="0.25">
      <c r="A15" s="115" t="s">
        <v>173</v>
      </c>
      <c r="B15" s="114"/>
      <c r="C15" s="114" t="s">
        <v>142</v>
      </c>
      <c r="D15" s="114"/>
      <c r="E15" s="114"/>
      <c r="F15" s="114"/>
      <c r="G15" s="114"/>
      <c r="H15" s="114"/>
      <c r="I15" s="114" t="s">
        <v>142</v>
      </c>
      <c r="J15" s="114"/>
      <c r="K15" s="114"/>
      <c r="L15" s="114"/>
    </row>
    <row r="16" spans="1:12" x14ac:dyDescent="0.25">
      <c r="A16" s="113" t="s">
        <v>174</v>
      </c>
      <c r="B16" s="114"/>
      <c r="C16" s="114" t="s">
        <v>142</v>
      </c>
      <c r="D16" s="114"/>
      <c r="E16" s="114"/>
      <c r="F16" s="114"/>
      <c r="G16" s="114"/>
      <c r="H16" s="114" t="s">
        <v>142</v>
      </c>
      <c r="I16" s="114" t="s">
        <v>142</v>
      </c>
      <c r="J16" s="114"/>
      <c r="K16" s="114"/>
      <c r="L16" s="114"/>
    </row>
    <row r="17" spans="1:12" x14ac:dyDescent="0.25">
      <c r="A17" s="113" t="s">
        <v>175</v>
      </c>
      <c r="B17" s="114"/>
      <c r="C17" s="114" t="s">
        <v>142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141</v>
      </c>
      <c r="B18" s="114" t="s">
        <v>142</v>
      </c>
      <c r="C18" s="114"/>
      <c r="D18" s="114"/>
      <c r="E18" s="114"/>
      <c r="F18" s="114" t="s">
        <v>142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144</v>
      </c>
      <c r="B19" s="114" t="s">
        <v>142</v>
      </c>
      <c r="C19" s="114"/>
      <c r="D19" s="114"/>
      <c r="E19" s="114"/>
      <c r="F19" s="114" t="s">
        <v>142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145</v>
      </c>
      <c r="B20" s="114" t="s">
        <v>142</v>
      </c>
      <c r="C20" s="114"/>
      <c r="D20" s="114"/>
      <c r="E20" s="114"/>
      <c r="F20" s="114" t="s">
        <v>142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176</v>
      </c>
      <c r="B21" s="114"/>
      <c r="C21" s="114"/>
      <c r="D21" s="114"/>
      <c r="E21" s="114"/>
      <c r="F21" s="114"/>
      <c r="G21" s="114"/>
      <c r="H21" s="114" t="s">
        <v>142</v>
      </c>
      <c r="I21" s="114" t="s">
        <v>142</v>
      </c>
      <c r="J21" s="114"/>
      <c r="K21" s="114"/>
      <c r="L21" s="114"/>
    </row>
    <row r="22" spans="1:12" x14ac:dyDescent="0.25">
      <c r="A22" s="113" t="s">
        <v>177</v>
      </c>
      <c r="B22" s="114" t="s">
        <v>142</v>
      </c>
      <c r="C22" s="114" t="s">
        <v>142</v>
      </c>
      <c r="D22" s="114" t="s">
        <v>142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178</v>
      </c>
      <c r="B23" s="114"/>
      <c r="C23" s="114" t="s">
        <v>142</v>
      </c>
      <c r="D23" s="114"/>
      <c r="E23" s="114"/>
      <c r="F23" s="114"/>
      <c r="G23" s="114"/>
      <c r="H23" s="114"/>
      <c r="I23" s="114" t="s">
        <v>142</v>
      </c>
      <c r="J23" s="114"/>
      <c r="K23" s="114"/>
      <c r="L23" s="114"/>
    </row>
    <row r="24" spans="1:12" x14ac:dyDescent="0.25">
      <c r="A24" s="113" t="s">
        <v>179</v>
      </c>
      <c r="B24" s="114"/>
      <c r="C24" s="114"/>
      <c r="D24" s="114"/>
      <c r="E24" s="114"/>
      <c r="F24" s="114"/>
      <c r="G24" s="114"/>
      <c r="H24" s="114" t="s">
        <v>142</v>
      </c>
      <c r="I24" s="114"/>
      <c r="J24" s="114"/>
      <c r="K24" s="114"/>
      <c r="L24" s="114"/>
    </row>
    <row r="25" spans="1:12" x14ac:dyDescent="0.25">
      <c r="A25" s="113" t="s">
        <v>180</v>
      </c>
      <c r="B25" s="114"/>
      <c r="C25" s="114"/>
      <c r="D25" s="114"/>
      <c r="E25" s="114"/>
      <c r="F25" s="114"/>
      <c r="G25" s="114"/>
      <c r="H25" s="114" t="s">
        <v>142</v>
      </c>
      <c r="I25" s="114"/>
      <c r="J25" s="114"/>
      <c r="K25" s="114"/>
      <c r="L25" s="114"/>
    </row>
    <row r="26" spans="1:12" x14ac:dyDescent="0.25">
      <c r="A26" s="113" t="s">
        <v>181</v>
      </c>
      <c r="B26" s="114"/>
      <c r="C26" s="114" t="s">
        <v>142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182</v>
      </c>
      <c r="B27" s="114"/>
      <c r="C27" s="114" t="s">
        <v>142</v>
      </c>
      <c r="D27" s="114"/>
      <c r="E27" s="114"/>
      <c r="F27" s="114"/>
      <c r="G27" s="114"/>
      <c r="H27" s="114"/>
      <c r="I27" s="114" t="s">
        <v>142</v>
      </c>
      <c r="J27" s="114"/>
      <c r="K27" s="114"/>
      <c r="L27" s="114" t="s">
        <v>142</v>
      </c>
    </row>
    <row r="28" spans="1:12" x14ac:dyDescent="0.25">
      <c r="A28" s="113" t="s">
        <v>183</v>
      </c>
      <c r="B28" s="114"/>
      <c r="C28" s="114"/>
      <c r="D28" s="114"/>
      <c r="E28" s="114"/>
      <c r="F28" s="114"/>
      <c r="G28" s="114"/>
      <c r="H28" s="114" t="s">
        <v>142</v>
      </c>
      <c r="I28" s="114"/>
      <c r="J28" s="114"/>
      <c r="K28" s="114"/>
      <c r="L28" s="114"/>
    </row>
    <row r="29" spans="1:12" x14ac:dyDescent="0.25">
      <c r="A29" s="113" t="s">
        <v>184</v>
      </c>
      <c r="B29" s="114" t="s">
        <v>142</v>
      </c>
      <c r="C29" s="114"/>
      <c r="D29" s="114" t="s">
        <v>142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185</v>
      </c>
      <c r="B30" s="114" t="s">
        <v>142</v>
      </c>
      <c r="C30" s="114" t="s">
        <v>142</v>
      </c>
      <c r="D30" s="114" t="s">
        <v>142</v>
      </c>
      <c r="E30" s="114"/>
      <c r="F30" s="114"/>
      <c r="G30" s="114"/>
      <c r="H30" s="114" t="s">
        <v>142</v>
      </c>
      <c r="I30" s="114"/>
      <c r="J30" s="114"/>
      <c r="K30" s="114"/>
      <c r="L30" s="114"/>
    </row>
    <row r="31" spans="1:12" x14ac:dyDescent="0.25">
      <c r="A31" s="113" t="s">
        <v>150</v>
      </c>
      <c r="B31" s="114"/>
      <c r="C31" s="114"/>
      <c r="D31" s="114"/>
      <c r="E31" s="114" t="s">
        <v>142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186</v>
      </c>
      <c r="B32" s="114"/>
      <c r="C32" s="114"/>
      <c r="D32" s="114"/>
      <c r="E32" s="114"/>
      <c r="F32" s="114"/>
      <c r="G32" s="114" t="s">
        <v>142</v>
      </c>
      <c r="H32" s="114" t="s">
        <v>142</v>
      </c>
      <c r="I32" s="114"/>
      <c r="J32" s="114"/>
      <c r="K32" s="114"/>
      <c r="L32" s="114"/>
    </row>
    <row r="33" spans="1:12" x14ac:dyDescent="0.25">
      <c r="A33" s="113" t="s">
        <v>187</v>
      </c>
      <c r="B33" s="114"/>
      <c r="C33" s="114"/>
      <c r="D33" s="114"/>
      <c r="E33" s="114"/>
      <c r="F33" s="114"/>
      <c r="G33" s="114" t="s">
        <v>142</v>
      </c>
      <c r="H33" s="114" t="s">
        <v>142</v>
      </c>
      <c r="I33" s="114"/>
      <c r="J33" s="114"/>
      <c r="K33" s="114"/>
      <c r="L33" s="114"/>
    </row>
    <row r="34" spans="1:12" x14ac:dyDescent="0.25">
      <c r="A34" s="113" t="s">
        <v>188</v>
      </c>
      <c r="B34" s="114"/>
      <c r="C34" s="114"/>
      <c r="D34" s="114"/>
      <c r="E34" s="114"/>
      <c r="F34" s="114"/>
      <c r="G34" s="114" t="s">
        <v>142</v>
      </c>
      <c r="H34" s="114" t="s">
        <v>142</v>
      </c>
      <c r="I34" s="114"/>
      <c r="J34" s="114"/>
      <c r="K34" s="114"/>
      <c r="L34" s="114"/>
    </row>
    <row r="35" spans="1:12" x14ac:dyDescent="0.25">
      <c r="A35" s="113" t="s">
        <v>189</v>
      </c>
      <c r="B35" s="114"/>
      <c r="C35" s="114"/>
      <c r="D35" s="114"/>
      <c r="E35" s="114"/>
      <c r="F35" s="114"/>
      <c r="G35" s="114" t="s">
        <v>142</v>
      </c>
      <c r="H35" s="114" t="s">
        <v>142</v>
      </c>
      <c r="I35" s="114"/>
      <c r="J35" s="114"/>
      <c r="K35" s="114"/>
      <c r="L35" s="114"/>
    </row>
    <row r="36" spans="1:12" x14ac:dyDescent="0.25">
      <c r="A36" s="113" t="s">
        <v>190</v>
      </c>
      <c r="B36" s="114"/>
      <c r="C36" s="114"/>
      <c r="D36" s="114"/>
      <c r="E36" s="114"/>
      <c r="F36" s="114"/>
      <c r="G36" s="114" t="s">
        <v>142</v>
      </c>
      <c r="H36" s="114" t="s">
        <v>142</v>
      </c>
      <c r="I36" s="114"/>
      <c r="J36" s="114"/>
      <c r="K36" s="114"/>
      <c r="L36" s="114"/>
    </row>
    <row r="37" spans="1:12" x14ac:dyDescent="0.25">
      <c r="A37" s="113" t="s">
        <v>191</v>
      </c>
      <c r="B37" s="114"/>
      <c r="C37" s="114"/>
      <c r="D37" s="114"/>
      <c r="E37" s="114"/>
      <c r="F37" s="114"/>
      <c r="G37" s="114" t="s">
        <v>142</v>
      </c>
      <c r="H37" s="114" t="s">
        <v>142</v>
      </c>
      <c r="I37" s="114"/>
      <c r="J37" s="114"/>
      <c r="K37" s="114"/>
      <c r="L37" s="114"/>
    </row>
    <row r="38" spans="1:12" x14ac:dyDescent="0.25">
      <c r="A38" s="113" t="s">
        <v>192</v>
      </c>
      <c r="B38" s="114"/>
      <c r="C38" s="114"/>
      <c r="D38" s="114"/>
      <c r="E38" s="114"/>
      <c r="F38" s="114"/>
      <c r="G38" s="114"/>
      <c r="H38" s="114" t="s">
        <v>142</v>
      </c>
      <c r="I38" s="114"/>
      <c r="J38" s="114"/>
      <c r="K38" s="114"/>
      <c r="L38" s="114"/>
    </row>
    <row r="39" spans="1:12" x14ac:dyDescent="0.25">
      <c r="A39" s="113" t="s">
        <v>193</v>
      </c>
      <c r="B39" s="114" t="s">
        <v>142</v>
      </c>
      <c r="C39" s="114"/>
      <c r="D39" s="114"/>
      <c r="E39" s="114"/>
      <c r="F39" s="114"/>
      <c r="G39" s="114" t="s">
        <v>142</v>
      </c>
      <c r="H39" s="114" t="s">
        <v>142</v>
      </c>
      <c r="I39" s="114"/>
      <c r="J39" s="114"/>
      <c r="K39" s="114"/>
      <c r="L39" s="114"/>
    </row>
  </sheetData>
  <sheetProtection algorithmName="SHA-512" hashValue="PpWpoVdW19iDLvJ4e413CflgKwgDbvZhfHAZSGUGkQQ6+V9HnAOWg+p+gaHwieH6gthkRXdIc9tFKvP2sDftrA==" saltValue="6DJdExNkvnNmcHBrJ/VGB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H15" sqref="H15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223</v>
      </c>
      <c r="B1" s="106" t="s">
        <v>218</v>
      </c>
      <c r="C1" s="106" t="s">
        <v>111</v>
      </c>
      <c r="D1" s="106" t="s">
        <v>219</v>
      </c>
      <c r="E1" s="106" t="s">
        <v>220</v>
      </c>
      <c r="F1" s="106" t="s">
        <v>118</v>
      </c>
      <c r="G1" s="106" t="s">
        <v>81</v>
      </c>
      <c r="H1" s="106" t="s">
        <v>32</v>
      </c>
      <c r="I1" s="106" t="s">
        <v>221</v>
      </c>
      <c r="J1" s="106" t="s">
        <v>25</v>
      </c>
      <c r="K1" s="106" t="s">
        <v>222</v>
      </c>
      <c r="L1" s="106" t="s">
        <v>369</v>
      </c>
    </row>
    <row r="2" spans="1:12" x14ac:dyDescent="0.25">
      <c r="A2" s="106" t="s">
        <v>67</v>
      </c>
      <c r="B2" s="114" t="s">
        <v>142</v>
      </c>
      <c r="C2" s="114" t="s">
        <v>142</v>
      </c>
      <c r="D2" s="114" t="s">
        <v>142</v>
      </c>
      <c r="E2" s="114" t="s">
        <v>142</v>
      </c>
      <c r="F2" s="114" t="s">
        <v>142</v>
      </c>
      <c r="G2" s="114" t="s">
        <v>142</v>
      </c>
      <c r="H2" s="114" t="s">
        <v>142</v>
      </c>
      <c r="I2" s="114"/>
      <c r="J2" s="114"/>
      <c r="K2" s="114"/>
      <c r="L2" s="114"/>
    </row>
    <row r="3" spans="1:12" x14ac:dyDescent="0.25">
      <c r="A3" s="106" t="s">
        <v>77</v>
      </c>
      <c r="B3" s="114" t="s">
        <v>142</v>
      </c>
      <c r="C3" s="114" t="s">
        <v>142</v>
      </c>
      <c r="D3" s="114" t="s">
        <v>142</v>
      </c>
      <c r="E3" s="114" t="s">
        <v>142</v>
      </c>
      <c r="F3" s="114" t="s">
        <v>142</v>
      </c>
      <c r="G3" s="114" t="s">
        <v>142</v>
      </c>
      <c r="H3" s="114" t="s">
        <v>142</v>
      </c>
      <c r="I3" s="114"/>
      <c r="J3" s="114"/>
      <c r="K3" s="114"/>
      <c r="L3" s="114"/>
    </row>
    <row r="4" spans="1:12" x14ac:dyDescent="0.25">
      <c r="A4" s="106" t="s">
        <v>78</v>
      </c>
      <c r="B4" s="114" t="s">
        <v>142</v>
      </c>
      <c r="C4" s="114" t="s">
        <v>142</v>
      </c>
      <c r="D4" s="114" t="s">
        <v>142</v>
      </c>
      <c r="E4" s="114" t="s">
        <v>142</v>
      </c>
      <c r="F4" s="114" t="s">
        <v>142</v>
      </c>
      <c r="G4" s="114" t="s">
        <v>142</v>
      </c>
      <c r="H4" s="114" t="s">
        <v>142</v>
      </c>
      <c r="I4" s="114"/>
      <c r="J4" s="114"/>
      <c r="K4" s="114"/>
      <c r="L4" s="114"/>
    </row>
    <row r="5" spans="1:12" x14ac:dyDescent="0.25">
      <c r="A5" s="106" t="s">
        <v>79</v>
      </c>
      <c r="B5" s="114" t="s">
        <v>142</v>
      </c>
      <c r="C5" s="114" t="s">
        <v>142</v>
      </c>
      <c r="D5" s="114" t="s">
        <v>142</v>
      </c>
      <c r="E5" s="114" t="s">
        <v>142</v>
      </c>
      <c r="F5" s="114" t="s">
        <v>142</v>
      </c>
      <c r="G5" s="114" t="s">
        <v>142</v>
      </c>
      <c r="H5" s="114" t="s">
        <v>142</v>
      </c>
      <c r="I5" s="114"/>
      <c r="J5" s="114"/>
      <c r="K5" s="114"/>
      <c r="L5" s="114"/>
    </row>
    <row r="6" spans="1:12" x14ac:dyDescent="0.25">
      <c r="A6" s="106" t="s">
        <v>80</v>
      </c>
      <c r="B6" s="114" t="s">
        <v>142</v>
      </c>
      <c r="C6" s="114" t="s">
        <v>142</v>
      </c>
      <c r="D6" s="114" t="s">
        <v>142</v>
      </c>
      <c r="E6" s="114" t="s">
        <v>142</v>
      </c>
      <c r="F6" s="114" t="s">
        <v>142</v>
      </c>
      <c r="G6" s="114" t="s">
        <v>142</v>
      </c>
      <c r="H6" s="114" t="s">
        <v>142</v>
      </c>
      <c r="I6" s="114"/>
      <c r="J6" s="114"/>
      <c r="K6" s="114"/>
      <c r="L6" s="114"/>
    </row>
    <row r="7" spans="1:12" x14ac:dyDescent="0.25">
      <c r="A7" s="106" t="s">
        <v>112</v>
      </c>
      <c r="B7" s="114"/>
      <c r="C7" s="114" t="s">
        <v>142</v>
      </c>
      <c r="D7" s="114"/>
      <c r="E7" s="114"/>
      <c r="F7" s="114"/>
      <c r="G7" s="114"/>
      <c r="H7" s="114" t="s">
        <v>142</v>
      </c>
      <c r="I7" s="114" t="s">
        <v>142</v>
      </c>
      <c r="J7" s="114"/>
      <c r="K7" s="114"/>
      <c r="L7" s="114" t="s">
        <v>142</v>
      </c>
    </row>
    <row r="8" spans="1:12" x14ac:dyDescent="0.25">
      <c r="A8" s="106" t="s">
        <v>113</v>
      </c>
      <c r="B8" s="114"/>
      <c r="C8" s="114" t="s">
        <v>142</v>
      </c>
      <c r="D8" s="114"/>
      <c r="E8" s="114"/>
      <c r="F8" s="114"/>
      <c r="G8" s="114"/>
      <c r="H8" s="114" t="s">
        <v>142</v>
      </c>
      <c r="I8" s="114" t="s">
        <v>142</v>
      </c>
      <c r="J8" s="114"/>
      <c r="K8" s="114"/>
      <c r="L8" s="114" t="s">
        <v>142</v>
      </c>
    </row>
    <row r="9" spans="1:12" x14ac:dyDescent="0.25">
      <c r="A9" s="106" t="s">
        <v>114</v>
      </c>
      <c r="B9" s="114"/>
      <c r="C9" s="114" t="s">
        <v>142</v>
      </c>
      <c r="D9" s="114"/>
      <c r="E9" s="114"/>
      <c r="F9" s="114"/>
      <c r="G9" s="114"/>
      <c r="H9" s="114" t="s">
        <v>142</v>
      </c>
      <c r="I9" s="114" t="s">
        <v>142</v>
      </c>
      <c r="J9" s="114"/>
      <c r="K9" s="114"/>
      <c r="L9" s="114" t="s">
        <v>142</v>
      </c>
    </row>
    <row r="10" spans="1:12" x14ac:dyDescent="0.25">
      <c r="A10" s="106" t="s">
        <v>115</v>
      </c>
      <c r="B10" s="114"/>
      <c r="C10" s="114" t="s">
        <v>142</v>
      </c>
      <c r="D10" s="114"/>
      <c r="E10" s="114"/>
      <c r="F10" s="114"/>
      <c r="G10" s="114"/>
      <c r="H10" s="114" t="s">
        <v>142</v>
      </c>
      <c r="I10" s="114" t="s">
        <v>142</v>
      </c>
      <c r="J10" s="114"/>
      <c r="K10" s="114"/>
      <c r="L10" s="114" t="s">
        <v>142</v>
      </c>
    </row>
    <row r="11" spans="1:12" x14ac:dyDescent="0.25">
      <c r="A11" s="106" t="s">
        <v>58</v>
      </c>
      <c r="B11" s="114"/>
      <c r="C11" s="114" t="s">
        <v>142</v>
      </c>
      <c r="D11" s="114"/>
      <c r="E11" s="114"/>
      <c r="F11" s="114"/>
      <c r="G11" s="114"/>
      <c r="H11" s="114"/>
      <c r="I11" s="114"/>
      <c r="J11" s="114" t="s">
        <v>142</v>
      </c>
      <c r="K11" s="114" t="s">
        <v>142</v>
      </c>
      <c r="L11" s="114"/>
    </row>
    <row r="12" spans="1:12" x14ac:dyDescent="0.25">
      <c r="A12" s="106" t="s">
        <v>59</v>
      </c>
      <c r="B12" s="114"/>
      <c r="C12" s="114" t="s">
        <v>142</v>
      </c>
      <c r="D12" s="114"/>
      <c r="E12" s="114"/>
      <c r="F12" s="114"/>
      <c r="G12" s="114"/>
      <c r="H12" s="114"/>
      <c r="I12" s="114"/>
      <c r="J12" s="114"/>
      <c r="K12" s="114" t="s">
        <v>142</v>
      </c>
      <c r="L12" s="114"/>
    </row>
    <row r="13" spans="1:12" x14ac:dyDescent="0.25">
      <c r="A13" s="106" t="s">
        <v>60</v>
      </c>
      <c r="B13" s="114"/>
      <c r="C13" s="114" t="s">
        <v>142</v>
      </c>
      <c r="D13" s="114"/>
      <c r="E13" s="114"/>
      <c r="F13" s="114"/>
      <c r="G13" s="114"/>
      <c r="H13" s="114"/>
      <c r="I13" s="114"/>
      <c r="J13" s="114"/>
      <c r="K13" s="114" t="s">
        <v>142</v>
      </c>
      <c r="L13" s="114"/>
    </row>
    <row r="14" spans="1:12" x14ac:dyDescent="0.25">
      <c r="A14" s="106" t="s">
        <v>61</v>
      </c>
      <c r="B14" s="114"/>
      <c r="C14" s="114" t="s">
        <v>142</v>
      </c>
      <c r="D14" s="114"/>
      <c r="E14" s="114"/>
      <c r="F14" s="114"/>
      <c r="G14" s="114"/>
      <c r="H14" s="114"/>
      <c r="I14" s="114"/>
      <c r="J14" s="114"/>
      <c r="K14" s="114" t="s">
        <v>142</v>
      </c>
      <c r="L14" s="114"/>
    </row>
  </sheetData>
  <sheetProtection algorithmName="SHA-512" hashValue="f7+GSWgBQp+zgIaGbRM8MuvAIXAsNljN3lrWAwu/eaytrp/6A4IYhPB4cLjzfMvTXu/5ocIYRO7yO0TVFGYCnw==" saltValue="wnJyf+RW4qQkik6uRZECIg==" spinCount="100000" sheet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224</v>
      </c>
      <c r="B1" s="4" t="s">
        <v>137</v>
      </c>
      <c r="C1" s="4" t="s">
        <v>152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x14ac:dyDescent="0.3">
      <c r="A2" s="4" t="s">
        <v>225</v>
      </c>
      <c r="B2" s="126" t="s">
        <v>90</v>
      </c>
      <c r="C2" s="8" t="s">
        <v>138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139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140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67</v>
      </c>
      <c r="C5" s="8" t="s">
        <v>138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139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140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77</v>
      </c>
      <c r="C8" s="8" t="s">
        <v>138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139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140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78</v>
      </c>
      <c r="C11" s="8" t="s">
        <v>138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139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140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79</v>
      </c>
      <c r="C14" s="8" t="s">
        <v>138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139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140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143</v>
      </c>
      <c r="C17" s="8" t="s">
        <v>140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226</v>
      </c>
      <c r="B19" s="126" t="s">
        <v>90</v>
      </c>
      <c r="C19" s="8" t="s">
        <v>138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139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140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67</v>
      </c>
      <c r="C22" s="8" t="s">
        <v>138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139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140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77</v>
      </c>
      <c r="C25" s="8" t="s">
        <v>138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139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140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78</v>
      </c>
      <c r="C28" s="8" t="s">
        <v>138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139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140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79</v>
      </c>
      <c r="C31" s="8" t="s">
        <v>138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139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140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143</v>
      </c>
      <c r="C34" s="8" t="s">
        <v>140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227</v>
      </c>
      <c r="B36" s="126" t="s">
        <v>90</v>
      </c>
      <c r="C36" s="8" t="s">
        <v>138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139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140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67</v>
      </c>
      <c r="C39" s="8" t="s">
        <v>138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139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140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77</v>
      </c>
      <c r="C42" s="8" t="s">
        <v>138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139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140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78</v>
      </c>
      <c r="C45" s="8" t="s">
        <v>138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139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140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79</v>
      </c>
      <c r="C48" s="8" t="s">
        <v>138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139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140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143</v>
      </c>
      <c r="C51" s="8" t="s">
        <v>140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228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224</v>
      </c>
      <c r="B54" s="4" t="s">
        <v>137</v>
      </c>
      <c r="C54" s="4" t="s">
        <v>152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x14ac:dyDescent="0.3">
      <c r="A55" s="4" t="s">
        <v>229</v>
      </c>
      <c r="B55" s="126" t="s">
        <v>90</v>
      </c>
      <c r="C55" s="8" t="s">
        <v>138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139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140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67</v>
      </c>
      <c r="C58" s="8" t="s">
        <v>138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139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140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77</v>
      </c>
      <c r="C61" s="8" t="s">
        <v>138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139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140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78</v>
      </c>
      <c r="C64" s="8" t="s">
        <v>138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139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140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79</v>
      </c>
      <c r="C67" s="8" t="s">
        <v>138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139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140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143</v>
      </c>
      <c r="C70" s="8" t="s">
        <v>140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230</v>
      </c>
      <c r="B72" s="126" t="s">
        <v>90</v>
      </c>
      <c r="C72" s="8" t="s">
        <v>138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139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140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67</v>
      </c>
      <c r="C75" s="8" t="s">
        <v>138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139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140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77</v>
      </c>
      <c r="C78" s="8" t="s">
        <v>138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139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140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78</v>
      </c>
      <c r="C81" s="8" t="s">
        <v>138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139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140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79</v>
      </c>
      <c r="C84" s="8" t="s">
        <v>138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139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140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143</v>
      </c>
      <c r="C87" s="8" t="s">
        <v>140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231</v>
      </c>
      <c r="B89" s="126" t="s">
        <v>90</v>
      </c>
      <c r="C89" s="8" t="s">
        <v>138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139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140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67</v>
      </c>
      <c r="C92" s="8" t="s">
        <v>138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139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140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77</v>
      </c>
      <c r="C95" s="8" t="s">
        <v>138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139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140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78</v>
      </c>
      <c r="C98" s="8" t="s">
        <v>138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139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140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79</v>
      </c>
      <c r="C101" s="8" t="s">
        <v>138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139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140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143</v>
      </c>
      <c r="C104" s="8" t="s">
        <v>140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232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224</v>
      </c>
      <c r="B107" s="4" t="s">
        <v>137</v>
      </c>
      <c r="C107" s="4" t="s">
        <v>152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x14ac:dyDescent="0.3">
      <c r="A108" s="4" t="s">
        <v>233</v>
      </c>
      <c r="B108" s="126" t="s">
        <v>90</v>
      </c>
      <c r="C108" s="8" t="s">
        <v>138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139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140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67</v>
      </c>
      <c r="C111" s="8" t="s">
        <v>138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139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140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77</v>
      </c>
      <c r="C114" s="8" t="s">
        <v>138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139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140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78</v>
      </c>
      <c r="C117" s="8" t="s">
        <v>138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139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140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79</v>
      </c>
      <c r="C120" s="8" t="s">
        <v>138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139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140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143</v>
      </c>
      <c r="C123" s="8" t="s">
        <v>140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234</v>
      </c>
      <c r="B125" s="126" t="s">
        <v>90</v>
      </c>
      <c r="C125" s="8" t="s">
        <v>138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139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140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67</v>
      </c>
      <c r="C128" s="8" t="s">
        <v>138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139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140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77</v>
      </c>
      <c r="C131" s="8" t="s">
        <v>138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139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140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78</v>
      </c>
      <c r="C134" s="8" t="s">
        <v>138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139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140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79</v>
      </c>
      <c r="C137" s="8" t="s">
        <v>138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139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140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143</v>
      </c>
      <c r="C140" s="8" t="s">
        <v>140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235</v>
      </c>
      <c r="B142" s="126" t="s">
        <v>90</v>
      </c>
      <c r="C142" s="8" t="s">
        <v>138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139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140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67</v>
      </c>
      <c r="C145" s="8" t="s">
        <v>138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139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140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77</v>
      </c>
      <c r="C148" s="8" t="s">
        <v>138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139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140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78</v>
      </c>
      <c r="C151" s="8" t="s">
        <v>138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139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140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79</v>
      </c>
      <c r="C154" s="8" t="s">
        <v>138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139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140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143</v>
      </c>
      <c r="C157" s="8" t="s">
        <v>140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H15" sqref="H15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274</v>
      </c>
    </row>
    <row r="2" spans="1:7" ht="14.25" customHeight="1" x14ac:dyDescent="0.3">
      <c r="A2" s="120" t="s">
        <v>196</v>
      </c>
      <c r="B2" s="105"/>
      <c r="C2" s="103" t="s">
        <v>67</v>
      </c>
      <c r="D2" s="103" t="s">
        <v>77</v>
      </c>
      <c r="E2" s="103" t="s">
        <v>78</v>
      </c>
      <c r="F2" s="103" t="s">
        <v>79</v>
      </c>
      <c r="G2" s="103" t="s">
        <v>80</v>
      </c>
    </row>
    <row r="3" spans="1:7" ht="14.25" customHeight="1" x14ac:dyDescent="0.25">
      <c r="B3" s="115" t="s">
        <v>275</v>
      </c>
      <c r="C3" s="116" t="s">
        <v>276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277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278</v>
      </c>
    </row>
    <row r="6" spans="1:7" ht="14.25" customHeight="1" x14ac:dyDescent="0.25">
      <c r="B6" s="115" t="s">
        <v>184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177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162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185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193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279</v>
      </c>
    </row>
    <row r="13" spans="1:7" ht="14.25" customHeight="1" x14ac:dyDescent="0.3">
      <c r="A13" s="121"/>
      <c r="B13" s="115" t="s">
        <v>176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280</v>
      </c>
    </row>
    <row r="16" spans="1:7" ht="14.25" customHeight="1" x14ac:dyDescent="0.3">
      <c r="A16" s="120" t="s">
        <v>265</v>
      </c>
      <c r="B16" s="115" t="s">
        <v>281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282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111</v>
      </c>
      <c r="B18" s="115" t="s">
        <v>283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284</v>
      </c>
    </row>
    <row r="21" spans="1:7" s="121" customFormat="1" ht="14.25" customHeight="1" x14ac:dyDescent="0.3">
      <c r="C21" s="122" t="s">
        <v>58</v>
      </c>
      <c r="D21" s="122" t="s">
        <v>59</v>
      </c>
      <c r="E21" s="122" t="s">
        <v>60</v>
      </c>
      <c r="F21" s="122" t="s">
        <v>61</v>
      </c>
    </row>
    <row r="22" spans="1:7" x14ac:dyDescent="0.25">
      <c r="B22" s="115" t="s">
        <v>164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228</v>
      </c>
    </row>
    <row r="25" spans="1:7" ht="13" x14ac:dyDescent="0.3">
      <c r="A25" s="118" t="s">
        <v>274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196</v>
      </c>
      <c r="B26" s="105"/>
      <c r="C26" s="103" t="s">
        <v>67</v>
      </c>
      <c r="D26" s="103" t="s">
        <v>77</v>
      </c>
      <c r="E26" s="103" t="s">
        <v>78</v>
      </c>
      <c r="F26" s="103" t="s">
        <v>79</v>
      </c>
      <c r="G26" s="103" t="s">
        <v>80</v>
      </c>
    </row>
    <row r="27" spans="1:7" x14ac:dyDescent="0.25">
      <c r="B27" s="115" t="s">
        <v>285</v>
      </c>
      <c r="C27" s="116" t="s">
        <v>276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286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287</v>
      </c>
    </row>
    <row r="30" spans="1:7" x14ac:dyDescent="0.25">
      <c r="B30" s="115" t="s">
        <v>288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289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370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290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291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292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293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280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265</v>
      </c>
      <c r="B40" s="115" t="s">
        <v>294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295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111</v>
      </c>
      <c r="B42" s="115" t="s">
        <v>296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297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58</v>
      </c>
      <c r="D45" s="122" t="s">
        <v>59</v>
      </c>
      <c r="E45" s="122" t="s">
        <v>60</v>
      </c>
      <c r="F45" s="122" t="s">
        <v>61</v>
      </c>
      <c r="G45" s="121"/>
    </row>
    <row r="46" spans="1:7" x14ac:dyDescent="0.25">
      <c r="B46" s="115" t="s">
        <v>298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232</v>
      </c>
    </row>
    <row r="49" spans="1:7" ht="13" x14ac:dyDescent="0.3">
      <c r="A49" s="118" t="s">
        <v>274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196</v>
      </c>
      <c r="B50" s="105"/>
      <c r="C50" s="103" t="s">
        <v>67</v>
      </c>
      <c r="D50" s="103" t="s">
        <v>77</v>
      </c>
      <c r="E50" s="103" t="s">
        <v>78</v>
      </c>
      <c r="F50" s="103" t="s">
        <v>79</v>
      </c>
      <c r="G50" s="103" t="s">
        <v>80</v>
      </c>
    </row>
    <row r="51" spans="1:7" x14ac:dyDescent="0.25">
      <c r="B51" s="115" t="s">
        <v>299</v>
      </c>
      <c r="C51" s="116" t="s">
        <v>276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300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301</v>
      </c>
    </row>
    <row r="54" spans="1:7" x14ac:dyDescent="0.25">
      <c r="B54" s="115" t="s">
        <v>302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303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371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304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305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306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307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280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265</v>
      </c>
      <c r="B64" s="115" t="s">
        <v>308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309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111</v>
      </c>
      <c r="B66" s="115" t="s">
        <v>310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311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58</v>
      </c>
      <c r="D69" s="122" t="s">
        <v>59</v>
      </c>
      <c r="E69" s="122" t="s">
        <v>60</v>
      </c>
      <c r="F69" s="122" t="s">
        <v>61</v>
      </c>
      <c r="G69" s="121"/>
    </row>
    <row r="70" spans="1:7" x14ac:dyDescent="0.25">
      <c r="B70" s="115" t="s">
        <v>312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PCqzq1OOUtsic8ocnrXQ8xxuYbKmi8ZJ7Pld9xkgyR+OBHAu/SnU75NY5MNEYJfNv6pIOzYJCmiR0EiwYtlWMw==" saltValue="c4ep8LRP3mzZ6HTD2L1Kj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H15" sqref="H15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149</v>
      </c>
      <c r="B1" s="103"/>
      <c r="C1" s="103" t="s">
        <v>40</v>
      </c>
      <c r="D1" s="103" t="s">
        <v>42</v>
      </c>
      <c r="E1" s="103" t="s">
        <v>41</v>
      </c>
      <c r="F1" s="105" t="s">
        <v>43</v>
      </c>
    </row>
    <row r="2" spans="1:6" ht="15.75" customHeight="1" x14ac:dyDescent="0.25">
      <c r="A2" s="115" t="s">
        <v>159</v>
      </c>
      <c r="B2" s="115" t="s">
        <v>313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314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161</v>
      </c>
      <c r="B4" s="115" t="s">
        <v>313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314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172</v>
      </c>
      <c r="B6" s="115" t="s">
        <v>313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314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173</v>
      </c>
      <c r="B8" s="115" t="s">
        <v>313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314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174</v>
      </c>
      <c r="B10" s="115" t="s">
        <v>313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314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178</v>
      </c>
      <c r="B12" s="115" t="s">
        <v>313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314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182</v>
      </c>
      <c r="B14" s="115" t="s">
        <v>313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314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228</v>
      </c>
    </row>
    <row r="18" spans="1:6" ht="15.75" customHeight="1" x14ac:dyDescent="0.3">
      <c r="A18" s="105" t="s">
        <v>149</v>
      </c>
      <c r="B18" s="103"/>
      <c r="C18" s="103" t="s">
        <v>40</v>
      </c>
      <c r="D18" s="103" t="s">
        <v>42</v>
      </c>
      <c r="E18" s="103" t="s">
        <v>41</v>
      </c>
      <c r="F18" s="105" t="s">
        <v>43</v>
      </c>
    </row>
    <row r="19" spans="1:6" ht="15.75" customHeight="1" x14ac:dyDescent="0.25">
      <c r="A19" s="115" t="s">
        <v>159</v>
      </c>
      <c r="B19" s="115" t="s">
        <v>313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314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161</v>
      </c>
      <c r="B21" s="115" t="s">
        <v>313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314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172</v>
      </c>
      <c r="B23" s="115" t="s">
        <v>313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314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173</v>
      </c>
      <c r="B25" s="115" t="s">
        <v>313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314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174</v>
      </c>
      <c r="B27" s="115" t="s">
        <v>313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314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178</v>
      </c>
      <c r="B29" s="115" t="s">
        <v>313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314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182</v>
      </c>
      <c r="B31" s="115" t="s">
        <v>313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314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232</v>
      </c>
    </row>
    <row r="35" spans="1:6" ht="15.75" customHeight="1" x14ac:dyDescent="0.3">
      <c r="A35" s="105" t="s">
        <v>149</v>
      </c>
      <c r="B35" s="103"/>
      <c r="C35" s="103" t="s">
        <v>40</v>
      </c>
      <c r="D35" s="103" t="s">
        <v>42</v>
      </c>
      <c r="E35" s="103" t="s">
        <v>41</v>
      </c>
      <c r="F35" s="105" t="s">
        <v>43</v>
      </c>
    </row>
    <row r="36" spans="1:6" ht="15.75" customHeight="1" x14ac:dyDescent="0.25">
      <c r="A36" s="115" t="s">
        <v>159</v>
      </c>
      <c r="B36" s="115" t="s">
        <v>313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314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161</v>
      </c>
      <c r="B38" s="115" t="s">
        <v>313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314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172</v>
      </c>
      <c r="B40" s="115" t="s">
        <v>313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314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173</v>
      </c>
      <c r="B42" s="115" t="s">
        <v>313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314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174</v>
      </c>
      <c r="B44" s="115" t="s">
        <v>313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314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178</v>
      </c>
      <c r="B46" s="115" t="s">
        <v>313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314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182</v>
      </c>
      <c r="B48" s="115" t="s">
        <v>313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314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mTJBfDtVD8RS7vF+FLRTdNLzOeUfx+W/IGn0ywVnTUFVxHRPK0jMpUV85xStGAKvVCIherf2LOYrZO35DcOfXA==" saltValue="Ns9bFbdx8mjiboYdwI5AJ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E28" sqref="E2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236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237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238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239</v>
      </c>
      <c r="C11" s="74"/>
      <c r="D11" s="75"/>
      <c r="E11" s="75"/>
      <c r="F11" s="75"/>
    </row>
    <row r="12" spans="1:6" ht="15.75" customHeight="1" x14ac:dyDescent="0.3">
      <c r="A12" s="4" t="s">
        <v>240</v>
      </c>
      <c r="C12" s="73"/>
      <c r="D12" s="64"/>
      <c r="E12" s="64"/>
      <c r="F12" s="64"/>
    </row>
    <row r="13" spans="1:6" ht="15.75" customHeight="1" x14ac:dyDescent="0.25">
      <c r="B13" s="11" t="s">
        <v>241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242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228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236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243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244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239</v>
      </c>
      <c r="B38" s="68"/>
      <c r="C38" s="74"/>
      <c r="D38" s="75"/>
      <c r="E38" s="75"/>
      <c r="F38" s="75"/>
    </row>
    <row r="39" spans="1:6" ht="15.75" customHeight="1" x14ac:dyDescent="0.3">
      <c r="A39" s="4" t="s">
        <v>245</v>
      </c>
      <c r="C39" s="73"/>
      <c r="D39" s="64"/>
      <c r="E39" s="64"/>
      <c r="F39" s="64"/>
    </row>
    <row r="40" spans="1:6" ht="15.75" customHeight="1" x14ac:dyDescent="0.25">
      <c r="B40" s="11" t="s">
        <v>246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248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249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232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236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250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251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239</v>
      </c>
      <c r="B65" s="68"/>
      <c r="C65" s="74"/>
      <c r="D65" s="75"/>
      <c r="E65" s="75"/>
      <c r="F65" s="75"/>
    </row>
    <row r="66" spans="1:6" ht="15.75" customHeight="1" x14ac:dyDescent="0.3">
      <c r="A66" s="4" t="s">
        <v>252</v>
      </c>
      <c r="C66" s="73"/>
      <c r="D66" s="64"/>
      <c r="E66" s="64"/>
      <c r="F66" s="64"/>
    </row>
    <row r="67" spans="1:6" ht="15.75" customHeight="1" x14ac:dyDescent="0.25">
      <c r="B67" s="11" t="s">
        <v>253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254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255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256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E28" sqref="E28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257</v>
      </c>
    </row>
    <row r="2" spans="1:16" ht="13" x14ac:dyDescent="0.3">
      <c r="A2" s="39" t="s">
        <v>218</v>
      </c>
      <c r="B2" s="1" t="s">
        <v>258</v>
      </c>
      <c r="C2" s="1" t="s">
        <v>259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81</v>
      </c>
      <c r="C3" s="3" t="s">
        <v>260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261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262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263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261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262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263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261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262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263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261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262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263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262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263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261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262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263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264</v>
      </c>
    </row>
    <row r="29" spans="1:16" ht="13" x14ac:dyDescent="0.3">
      <c r="A29" s="39" t="s">
        <v>265</v>
      </c>
      <c r="B29" s="4" t="s">
        <v>258</v>
      </c>
      <c r="C29" s="4" t="s">
        <v>266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81</v>
      </c>
      <c r="C30" s="3" t="s">
        <v>260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261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197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198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261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197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198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261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197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198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261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197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198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261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197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198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261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197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198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267</v>
      </c>
    </row>
    <row r="56" spans="1:16" ht="26.4" customHeight="1" x14ac:dyDescent="0.3">
      <c r="A56" s="39" t="s">
        <v>111</v>
      </c>
      <c r="B56" s="4" t="s">
        <v>258</v>
      </c>
      <c r="C56" s="69" t="s">
        <v>268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91</v>
      </c>
      <c r="C57" s="3" t="s">
        <v>269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269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269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271</v>
      </c>
    </row>
    <row r="65" spans="1:16" ht="26.4" customHeight="1" x14ac:dyDescent="0.3">
      <c r="A65" s="39" t="s">
        <v>118</v>
      </c>
      <c r="B65" s="4" t="s">
        <v>258</v>
      </c>
      <c r="C65" s="69" t="s">
        <v>272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68</v>
      </c>
      <c r="C66" s="3" t="s">
        <v>119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273</v>
      </c>
    </row>
    <row r="104" spans="1:16" ht="26.4" customHeight="1" x14ac:dyDescent="0.3">
      <c r="A104" s="39" t="s">
        <v>81</v>
      </c>
      <c r="B104" s="82" t="s">
        <v>122</v>
      </c>
      <c r="C104" s="69" t="s">
        <v>272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228</v>
      </c>
      <c r="H110" s="92"/>
    </row>
    <row r="111" spans="1:16" ht="13" x14ac:dyDescent="0.3">
      <c r="A111" s="67" t="s">
        <v>257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218</v>
      </c>
      <c r="B112" s="1" t="s">
        <v>258</v>
      </c>
      <c r="C112" s="1" t="s">
        <v>259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x14ac:dyDescent="0.3">
      <c r="A113" s="4"/>
      <c r="B113" s="8" t="s">
        <v>81</v>
      </c>
      <c r="C113" s="3" t="s">
        <v>260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261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262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263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261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262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263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261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262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263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261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262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263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261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262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263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261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262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263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264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265</v>
      </c>
      <c r="B139" s="4" t="s">
        <v>258</v>
      </c>
      <c r="C139" s="4" t="s">
        <v>266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x14ac:dyDescent="0.3">
      <c r="A140" s="4"/>
      <c r="B140" s="8" t="s">
        <v>81</v>
      </c>
      <c r="C140" s="3" t="s">
        <v>260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261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197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198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261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197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198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261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197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198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261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197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198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261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197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198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261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197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198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267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111</v>
      </c>
      <c r="B166" s="4" t="s">
        <v>258</v>
      </c>
      <c r="C166" s="69" t="s">
        <v>268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x14ac:dyDescent="0.3">
      <c r="A167" s="4"/>
      <c r="B167" s="8" t="s">
        <v>91</v>
      </c>
      <c r="C167" s="3" t="s">
        <v>269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269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269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271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118</v>
      </c>
      <c r="B175" s="4" t="s">
        <v>258</v>
      </c>
      <c r="C175" s="69" t="s">
        <v>272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273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81</v>
      </c>
      <c r="B214" s="82" t="s">
        <v>122</v>
      </c>
      <c r="C214" s="69" t="s">
        <v>272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232</v>
      </c>
      <c r="H220" s="92"/>
    </row>
    <row r="221" spans="1:9" ht="13" x14ac:dyDescent="0.3">
      <c r="A221" s="67" t="s">
        <v>257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218</v>
      </c>
      <c r="B222" s="1" t="s">
        <v>258</v>
      </c>
      <c r="C222" s="1" t="s">
        <v>259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x14ac:dyDescent="0.3">
      <c r="A223" s="4"/>
      <c r="B223" s="8" t="s">
        <v>81</v>
      </c>
      <c r="C223" s="3" t="s">
        <v>260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261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262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263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261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262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263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261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262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263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261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262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263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261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262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263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261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262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263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264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265</v>
      </c>
      <c r="B249" s="4" t="s">
        <v>258</v>
      </c>
      <c r="C249" s="4" t="s">
        <v>266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x14ac:dyDescent="0.3">
      <c r="A250" s="4"/>
      <c r="B250" s="8" t="s">
        <v>81</v>
      </c>
      <c r="C250" s="3" t="s">
        <v>260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261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197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198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261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197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198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261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197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198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261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197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198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261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197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198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261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197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198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267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111</v>
      </c>
      <c r="B276" s="4" t="s">
        <v>258</v>
      </c>
      <c r="C276" s="69" t="s">
        <v>268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x14ac:dyDescent="0.3">
      <c r="A277" s="4"/>
      <c r="B277" s="8" t="s">
        <v>91</v>
      </c>
      <c r="C277" s="3" t="s">
        <v>269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269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269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271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118</v>
      </c>
      <c r="B285" s="4" t="s">
        <v>258</v>
      </c>
      <c r="C285" s="69" t="s">
        <v>272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273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81</v>
      </c>
      <c r="B324" s="82" t="s">
        <v>122</v>
      </c>
      <c r="C324" s="69" t="s">
        <v>272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PUFmCFtFBVVyEMWX+ufO46C8X+nKRCwHNyDvv7CKg/oO7DPZp1nYnOMxNvnqXsQKuBxQKlHWKOifwOzFAazNA==" saltValue="HCEWU6EJTzcX+etfLOPz7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x14ac:dyDescent="0.3">
      <c r="A2" s="4" t="s">
        <v>315</v>
      </c>
    </row>
    <row r="3" spans="1:15" x14ac:dyDescent="0.25">
      <c r="B3" s="11" t="s">
        <v>163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168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169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170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171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172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174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177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178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181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182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185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316</v>
      </c>
      <c r="B17" s="11"/>
    </row>
    <row r="18" spans="1:15" x14ac:dyDescent="0.25">
      <c r="B18" s="5" t="s">
        <v>165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166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167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175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228</v>
      </c>
    </row>
    <row r="24" spans="1:15" ht="26.4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x14ac:dyDescent="0.3">
      <c r="A25" s="4" t="s">
        <v>317</v>
      </c>
    </row>
    <row r="26" spans="1:15" x14ac:dyDescent="0.25">
      <c r="B26" s="11" t="s">
        <v>163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168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169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170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171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172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173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174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177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178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181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182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185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318</v>
      </c>
      <c r="B40" s="11"/>
    </row>
    <row r="41" spans="1:15" x14ac:dyDescent="0.25">
      <c r="B41" s="5" t="s">
        <v>165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166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167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175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232</v>
      </c>
    </row>
    <row r="47" spans="1:15" ht="26.4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x14ac:dyDescent="0.3">
      <c r="A48" s="4" t="s">
        <v>319</v>
      </c>
    </row>
    <row r="49" spans="1:15" x14ac:dyDescent="0.25">
      <c r="B49" s="11" t="s">
        <v>163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168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169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170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171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172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173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174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177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178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181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182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185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320</v>
      </c>
      <c r="B63" s="11"/>
    </row>
    <row r="64" spans="1:15" x14ac:dyDescent="0.25">
      <c r="B64" s="5" t="s">
        <v>165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166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167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175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TBm5n0F3ZSMKrCjY+AL4slUg0hXT2hO+5shU+GoRiFXJBcHFkYgPBlqs+Fxx6PFsQewttQOR21aj1fXZcoz8ag==" saltValue="SognIhr+7Tvq4ZYvkkpSZ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x14ac:dyDescent="0.3">
      <c r="A2" s="4" t="s">
        <v>321</v>
      </c>
    </row>
    <row r="3" spans="1:7" x14ac:dyDescent="0.25">
      <c r="B3" s="11" t="s">
        <v>150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322</v>
      </c>
      <c r="B4" s="11"/>
      <c r="C4" s="83"/>
      <c r="D4" s="83"/>
      <c r="E4" s="83"/>
      <c r="F4" s="83"/>
      <c r="G4" s="83"/>
    </row>
    <row r="5" spans="1:7" x14ac:dyDescent="0.25">
      <c r="B5" s="5" t="s">
        <v>151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323</v>
      </c>
    </row>
    <row r="8" spans="1:7" ht="13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x14ac:dyDescent="0.3">
      <c r="A9" s="4" t="s">
        <v>324</v>
      </c>
    </row>
    <row r="10" spans="1:7" x14ac:dyDescent="0.25">
      <c r="B10" s="11" t="s">
        <v>150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325</v>
      </c>
      <c r="B11" s="11"/>
      <c r="C11" s="83"/>
      <c r="D11" s="83"/>
      <c r="E11" s="83"/>
      <c r="F11" s="83"/>
      <c r="G11" s="83"/>
    </row>
    <row r="12" spans="1:7" x14ac:dyDescent="0.25">
      <c r="B12" s="5" t="s">
        <v>151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326</v>
      </c>
    </row>
    <row r="15" spans="1:7" ht="13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x14ac:dyDescent="0.3">
      <c r="A16" s="4" t="s">
        <v>327</v>
      </c>
    </row>
    <row r="17" spans="1:7" x14ac:dyDescent="0.25">
      <c r="B17" s="11" t="s">
        <v>150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328</v>
      </c>
      <c r="B18" s="11"/>
      <c r="C18" s="83"/>
      <c r="D18" s="83"/>
      <c r="E18" s="83"/>
      <c r="F18" s="83"/>
      <c r="G18" s="83"/>
    </row>
    <row r="19" spans="1:7" x14ac:dyDescent="0.25">
      <c r="B19" s="5" t="s">
        <v>151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1Mri6mDNakxTN++LYDkrSlnJ4hCf3+16Ur3JzKHbXsgMLeiOx4246djFaBfqw7/DRWYE8TBQn+gwoEULaV5KRw==" saltValue="hCtPYkilVxJaj3uZrBsg0A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2" sqref="D2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149</v>
      </c>
      <c r="B1" s="103" t="s">
        <v>329</v>
      </c>
      <c r="C1" s="120" t="s">
        <v>330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113" t="s">
        <v>186</v>
      </c>
      <c r="B2" s="113" t="s">
        <v>81</v>
      </c>
      <c r="C2" s="113" t="s">
        <v>331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332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333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184</v>
      </c>
      <c r="B5" s="113" t="s">
        <v>198</v>
      </c>
      <c r="C5" s="113" t="s">
        <v>331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333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197</v>
      </c>
      <c r="C7" s="113" t="s">
        <v>331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333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177</v>
      </c>
      <c r="B9" s="113" t="s">
        <v>198</v>
      </c>
      <c r="C9" s="113" t="s">
        <v>331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333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197</v>
      </c>
      <c r="C11" s="113" t="s">
        <v>331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333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185</v>
      </c>
      <c r="B13" s="113" t="s">
        <v>198</v>
      </c>
      <c r="C13" s="113" t="s">
        <v>331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333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197</v>
      </c>
      <c r="C15" s="113" t="s">
        <v>331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333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372</v>
      </c>
      <c r="C17" s="113" t="s">
        <v>331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332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162</v>
      </c>
      <c r="B19" s="113" t="s">
        <v>198</v>
      </c>
      <c r="C19" s="113" t="s">
        <v>331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333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197</v>
      </c>
      <c r="C21" s="113" t="s">
        <v>331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333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167</v>
      </c>
      <c r="B23" s="113" t="s">
        <v>74</v>
      </c>
      <c r="C23" s="113" t="s">
        <v>331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332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165</v>
      </c>
      <c r="B25" s="113" t="s">
        <v>74</v>
      </c>
      <c r="C25" s="113" t="s">
        <v>331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332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166</v>
      </c>
      <c r="B27" s="113" t="s">
        <v>74</v>
      </c>
      <c r="C27" s="113" t="s">
        <v>331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332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190</v>
      </c>
      <c r="B29" s="113" t="s">
        <v>81</v>
      </c>
      <c r="C29" s="113" t="s">
        <v>331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332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333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191</v>
      </c>
      <c r="B32" s="113" t="s">
        <v>81</v>
      </c>
      <c r="C32" s="113" t="s">
        <v>331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332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333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189</v>
      </c>
      <c r="B35" s="113" t="s">
        <v>81</v>
      </c>
      <c r="C35" s="113" t="s">
        <v>331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332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333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188</v>
      </c>
      <c r="B38" s="113" t="s">
        <v>81</v>
      </c>
      <c r="C38" s="113" t="s">
        <v>331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332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333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187</v>
      </c>
      <c r="B41" s="113" t="s">
        <v>81</v>
      </c>
      <c r="C41" s="113" t="s">
        <v>331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332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333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193</v>
      </c>
      <c r="B44" s="113" t="s">
        <v>81</v>
      </c>
      <c r="C44" s="113" t="s">
        <v>331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332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333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82</v>
      </c>
      <c r="C47" s="113" t="s">
        <v>331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332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333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183</v>
      </c>
      <c r="B50" s="113" t="s">
        <v>81</v>
      </c>
      <c r="C50" s="113" t="s">
        <v>331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332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192</v>
      </c>
      <c r="B52" s="113" t="s">
        <v>81</v>
      </c>
      <c r="C52" s="113" t="s">
        <v>331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332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176</v>
      </c>
      <c r="B54" s="113" t="s">
        <v>72</v>
      </c>
      <c r="C54" s="113" t="s">
        <v>331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332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323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149</v>
      </c>
      <c r="B58" s="103" t="s">
        <v>329</v>
      </c>
      <c r="C58" s="120" t="s">
        <v>330</v>
      </c>
      <c r="D58" s="4" t="s">
        <v>67</v>
      </c>
      <c r="E58" s="4" t="s">
        <v>77</v>
      </c>
      <c r="F58" s="4" t="s">
        <v>78</v>
      </c>
      <c r="G58" s="4" t="s">
        <v>79</v>
      </c>
      <c r="H58" s="4" t="s">
        <v>80</v>
      </c>
    </row>
    <row r="59" spans="1:8" x14ac:dyDescent="0.25">
      <c r="A59" s="113" t="s">
        <v>186</v>
      </c>
      <c r="B59" s="113" t="s">
        <v>81</v>
      </c>
      <c r="C59" s="113" t="s">
        <v>331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332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333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184</v>
      </c>
      <c r="B62" s="113" t="s">
        <v>198</v>
      </c>
      <c r="C62" s="113" t="s">
        <v>331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333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197</v>
      </c>
      <c r="C64" s="113" t="s">
        <v>331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333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177</v>
      </c>
      <c r="B66" s="113" t="s">
        <v>198</v>
      </c>
      <c r="C66" s="113" t="s">
        <v>331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333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197</v>
      </c>
      <c r="C68" s="113" t="s">
        <v>331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333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185</v>
      </c>
      <c r="B70" s="113" t="s">
        <v>198</v>
      </c>
      <c r="C70" s="113" t="s">
        <v>331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333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197</v>
      </c>
      <c r="C72" s="113" t="s">
        <v>331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333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372</v>
      </c>
      <c r="C74" s="113" t="s">
        <v>331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332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162</v>
      </c>
      <c r="B76" s="113" t="s">
        <v>198</v>
      </c>
      <c r="C76" s="113" t="s">
        <v>331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333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197</v>
      </c>
      <c r="C78" s="113" t="s">
        <v>331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333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167</v>
      </c>
      <c r="B80" s="113" t="s">
        <v>74</v>
      </c>
      <c r="C80" s="113" t="s">
        <v>331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332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165</v>
      </c>
      <c r="B82" s="113" t="s">
        <v>74</v>
      </c>
      <c r="C82" s="113" t="s">
        <v>331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332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166</v>
      </c>
      <c r="B84" s="113" t="s">
        <v>74</v>
      </c>
      <c r="C84" s="113" t="s">
        <v>331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332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190</v>
      </c>
      <c r="B86" s="113" t="s">
        <v>81</v>
      </c>
      <c r="C86" s="113" t="s">
        <v>331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332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333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191</v>
      </c>
      <c r="B89" s="113" t="s">
        <v>81</v>
      </c>
      <c r="C89" s="113" t="s">
        <v>331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332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333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189</v>
      </c>
      <c r="B92" s="113" t="s">
        <v>81</v>
      </c>
      <c r="C92" s="113" t="s">
        <v>331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332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333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188</v>
      </c>
      <c r="B95" s="113" t="s">
        <v>81</v>
      </c>
      <c r="C95" s="113" t="s">
        <v>331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332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333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187</v>
      </c>
      <c r="B98" s="113" t="s">
        <v>81</v>
      </c>
      <c r="C98" s="113" t="s">
        <v>331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332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333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193</v>
      </c>
      <c r="B101" s="113" t="s">
        <v>81</v>
      </c>
      <c r="C101" s="113" t="s">
        <v>331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332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333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82</v>
      </c>
      <c r="C104" s="113" t="s">
        <v>331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332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333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183</v>
      </c>
      <c r="B107" s="113" t="s">
        <v>81</v>
      </c>
      <c r="C107" s="113" t="s">
        <v>331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332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192</v>
      </c>
      <c r="B109" s="113" t="s">
        <v>81</v>
      </c>
      <c r="C109" s="113" t="s">
        <v>331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332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176</v>
      </c>
      <c r="B111" s="113" t="s">
        <v>72</v>
      </c>
      <c r="C111" s="113" t="s">
        <v>331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332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326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149</v>
      </c>
      <c r="B115" s="103" t="s">
        <v>329</v>
      </c>
      <c r="C115" s="120" t="s">
        <v>330</v>
      </c>
      <c r="D115" s="4" t="s">
        <v>67</v>
      </c>
      <c r="E115" s="4" t="s">
        <v>77</v>
      </c>
      <c r="F115" s="4" t="s">
        <v>78</v>
      </c>
      <c r="G115" s="4" t="s">
        <v>79</v>
      </c>
      <c r="H115" s="4" t="s">
        <v>80</v>
      </c>
    </row>
    <row r="116" spans="1:8" x14ac:dyDescent="0.25">
      <c r="A116" s="113" t="s">
        <v>186</v>
      </c>
      <c r="B116" s="113" t="s">
        <v>81</v>
      </c>
      <c r="C116" s="113" t="s">
        <v>331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332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333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184</v>
      </c>
      <c r="B119" s="113" t="s">
        <v>198</v>
      </c>
      <c r="C119" s="113" t="s">
        <v>331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333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197</v>
      </c>
      <c r="C121" s="113" t="s">
        <v>331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333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177</v>
      </c>
      <c r="B123" s="113" t="s">
        <v>198</v>
      </c>
      <c r="C123" s="113" t="s">
        <v>331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333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197</v>
      </c>
      <c r="C125" s="113" t="s">
        <v>331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333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185</v>
      </c>
      <c r="B127" s="113" t="s">
        <v>198</v>
      </c>
      <c r="C127" s="113" t="s">
        <v>331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333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197</v>
      </c>
      <c r="C129" s="113" t="s">
        <v>331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333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372</v>
      </c>
      <c r="C131" s="113" t="s">
        <v>331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332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162</v>
      </c>
      <c r="B133" s="113" t="s">
        <v>198</v>
      </c>
      <c r="C133" s="113" t="s">
        <v>331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333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197</v>
      </c>
      <c r="C135" s="113" t="s">
        <v>331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333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167</v>
      </c>
      <c r="B137" s="113" t="s">
        <v>74</v>
      </c>
      <c r="C137" s="113" t="s">
        <v>331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332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165</v>
      </c>
      <c r="B139" s="113" t="s">
        <v>74</v>
      </c>
      <c r="C139" s="113" t="s">
        <v>331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332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166</v>
      </c>
      <c r="B141" s="113" t="s">
        <v>74</v>
      </c>
      <c r="C141" s="113" t="s">
        <v>331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332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190</v>
      </c>
      <c r="B143" s="113" t="s">
        <v>81</v>
      </c>
      <c r="C143" s="113" t="s">
        <v>331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332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333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191</v>
      </c>
      <c r="B146" s="113" t="s">
        <v>81</v>
      </c>
      <c r="C146" s="113" t="s">
        <v>331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332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333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189</v>
      </c>
      <c r="B149" s="113" t="s">
        <v>81</v>
      </c>
      <c r="C149" s="113" t="s">
        <v>331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332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333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188</v>
      </c>
      <c r="B152" s="113" t="s">
        <v>81</v>
      </c>
      <c r="C152" s="113" t="s">
        <v>331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332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333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187</v>
      </c>
      <c r="B155" s="113" t="s">
        <v>81</v>
      </c>
      <c r="C155" s="113" t="s">
        <v>331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332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333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193</v>
      </c>
      <c r="B158" s="113" t="s">
        <v>81</v>
      </c>
      <c r="C158" s="113" t="s">
        <v>331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332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333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82</v>
      </c>
      <c r="C161" s="113" t="s">
        <v>331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332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333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183</v>
      </c>
      <c r="B164" s="113" t="s">
        <v>81</v>
      </c>
      <c r="C164" s="113" t="s">
        <v>331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332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192</v>
      </c>
      <c r="B166" s="113" t="s">
        <v>81</v>
      </c>
      <c r="C166" s="113" t="s">
        <v>331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332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176</v>
      </c>
      <c r="B168" s="113" t="s">
        <v>72</v>
      </c>
      <c r="C168" s="113" t="s">
        <v>331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332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QZuJBLT18RLClOQpds4MuooJcG/7vFHLggKJjPvPOQAFJAkJ01ilC4kkb2DTiT5pCXWheznDmX2e8pP9U30oZA==" saltValue="StP3eyhH6xyKX3Qyhj6KZ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149</v>
      </c>
      <c r="B1" s="1" t="s">
        <v>329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161</v>
      </c>
      <c r="B2" s="8" t="s">
        <v>94</v>
      </c>
      <c r="C2" s="3" t="s">
        <v>331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332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180</v>
      </c>
      <c r="B4" s="8" t="s">
        <v>94</v>
      </c>
      <c r="C4" s="3" t="s">
        <v>331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332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179</v>
      </c>
      <c r="B6" s="8" t="s">
        <v>94</v>
      </c>
      <c r="C6" s="3" t="s">
        <v>331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332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182</v>
      </c>
      <c r="B8" s="3" t="s">
        <v>369</v>
      </c>
      <c r="C8" s="3" t="s">
        <v>331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206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323</v>
      </c>
    </row>
    <row r="12" spans="1:8" ht="13" x14ac:dyDescent="0.3">
      <c r="A12" s="1" t="s">
        <v>149</v>
      </c>
      <c r="B12" s="1" t="s">
        <v>329</v>
      </c>
      <c r="C12" s="1"/>
      <c r="D12" s="4" t="s">
        <v>112</v>
      </c>
      <c r="E12" s="4" t="s">
        <v>113</v>
      </c>
      <c r="F12" s="4" t="s">
        <v>114</v>
      </c>
      <c r="G12" s="4" t="s">
        <v>115</v>
      </c>
    </row>
    <row r="13" spans="1:8" x14ac:dyDescent="0.25">
      <c r="A13" s="3" t="s">
        <v>161</v>
      </c>
      <c r="B13" s="8" t="s">
        <v>94</v>
      </c>
      <c r="C13" s="3" t="s">
        <v>331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332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180</v>
      </c>
      <c r="B15" s="8" t="s">
        <v>94</v>
      </c>
      <c r="C15" s="3" t="s">
        <v>331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332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179</v>
      </c>
      <c r="B17" s="8" t="s">
        <v>94</v>
      </c>
      <c r="C17" s="3" t="s">
        <v>331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332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182</v>
      </c>
      <c r="B19" s="3" t="s">
        <v>369</v>
      </c>
      <c r="C19" s="3" t="s">
        <v>331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206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326</v>
      </c>
    </row>
    <row r="23" spans="1:7" ht="13" x14ac:dyDescent="0.3">
      <c r="A23" s="1" t="s">
        <v>149</v>
      </c>
      <c r="B23" s="1" t="s">
        <v>329</v>
      </c>
      <c r="C23" s="1"/>
      <c r="D23" s="4" t="s">
        <v>112</v>
      </c>
      <c r="E23" s="4" t="s">
        <v>113</v>
      </c>
      <c r="F23" s="4" t="s">
        <v>114</v>
      </c>
      <c r="G23" s="4" t="s">
        <v>115</v>
      </c>
    </row>
    <row r="24" spans="1:7" x14ac:dyDescent="0.25">
      <c r="A24" s="3" t="s">
        <v>161</v>
      </c>
      <c r="B24" s="8" t="s">
        <v>94</v>
      </c>
      <c r="C24" s="3" t="s">
        <v>331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332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180</v>
      </c>
      <c r="B26" s="8" t="s">
        <v>94</v>
      </c>
      <c r="C26" s="3" t="s">
        <v>331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332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179</v>
      </c>
      <c r="B28" s="8" t="s">
        <v>94</v>
      </c>
      <c r="C28" s="3" t="s">
        <v>331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332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182</v>
      </c>
      <c r="B30" s="3" t="s">
        <v>369</v>
      </c>
      <c r="C30" s="3" t="s">
        <v>331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206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rBj4/xhupbkAjC3P8LLaOOabRcINjXHoySh1ckSTSXgOjYOIfIAjJmLR21rEgF+VA5vPMQjl2MeTTNpp+BUspw==" saltValue="QX9aSRqCF7tm0vhyOJqcEw==" spinCount="100000" sheet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inputs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Odds ratios</vt:lpstr>
      <vt:lpstr>Programs birth outcomes</vt:lpstr>
      <vt:lpstr>Birth outcome risks</vt:lpstr>
      <vt:lpstr>Relative risks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Scott</dc:creator>
  <cp:keywords/>
  <dc:description/>
  <cp:lastModifiedBy>Tharindu Wickramaarachchi</cp:lastModifiedBy>
  <cp:revision/>
  <dcterms:created xsi:type="dcterms:W3CDTF">2017-08-01T10:42:13Z</dcterms:created>
  <dcterms:modified xsi:type="dcterms:W3CDTF">2025-07-29T06:39:19Z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