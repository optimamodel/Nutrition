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B31B5EA9-D6A5-4CBC-9B30-05334AC12022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31" i="2"/>
  <c r="A34" i="2"/>
  <c r="A40" i="2"/>
  <c r="I2" i="2"/>
  <c r="I6" i="2"/>
  <c r="A19" i="2"/>
  <c r="A35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<sst xmlns="http://schemas.openxmlformats.org/spreadsheetml/2006/main" count="2159" uniqueCount="372">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</sst>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1255702.5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0.77735023498535194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0.12039999999999999</v>
      </c>
    </row>
    <row r="24" spans="1:3" ht="15" customHeight="1" x14ac:dyDescent="0.25">
      <c r="B24" s="15" t="s">
        <v>22</v>
      </c>
      <c r="C24" s="45">
        <v>0.49090000000000011</v>
      </c>
    </row>
    <row r="25" spans="1:3" ht="15" customHeight="1" x14ac:dyDescent="0.25">
      <c r="B25" s="15" t="s">
        <v>23</v>
      </c>
      <c r="C25" s="45">
        <v>0.31830000000000003</v>
      </c>
    </row>
    <row r="26" spans="1:3" ht="15" customHeight="1" x14ac:dyDescent="0.25">
      <c r="B26" s="15" t="s">
        <v>24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0.27832797111666402</v>
      </c>
    </row>
    <row r="30" spans="1:3" ht="14.25" customHeight="1" x14ac:dyDescent="0.25">
      <c r="B30" s="25" t="s">
        <v>27</v>
      </c>
      <c r="C30" s="99">
        <v>5.5017555006970899E-2</v>
      </c>
    </row>
    <row r="31" spans="1:3" ht="14.25" customHeight="1" x14ac:dyDescent="0.25">
      <c r="B31" s="25" t="s">
        <v>28</v>
      </c>
      <c r="C31" s="99">
        <v>0.107732345514889</v>
      </c>
    </row>
    <row r="32" spans="1:3" ht="14.25" customHeight="1" x14ac:dyDescent="0.25">
      <c r="B32" s="25" t="s">
        <v>29</v>
      </c>
      <c r="C32" s="99">
        <v>0.55892212836147603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13.18085</v>
      </c>
    </row>
    <row r="38" spans="1:5" ht="15" customHeight="1" x14ac:dyDescent="0.25">
      <c r="B38" s="11" t="s">
        <v>34</v>
      </c>
      <c r="C38" s="43">
        <v>20.18317</v>
      </c>
      <c r="D38" s="12"/>
      <c r="E38" s="13"/>
    </row>
    <row r="39" spans="1:5" ht="15" customHeight="1" x14ac:dyDescent="0.25">
      <c r="B39" s="11" t="s">
        <v>35</v>
      </c>
      <c r="C39" s="43">
        <v>24.691939999999999</v>
      </c>
      <c r="D39" s="12"/>
      <c r="E39" s="12"/>
    </row>
    <row r="40" spans="1:5" ht="15" customHeight="1" x14ac:dyDescent="0.25">
      <c r="B40" s="11" t="s">
        <v>36</v>
      </c>
      <c r="C40" s="100">
        <v>1.61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7.2189999999999997E-3</v>
      </c>
      <c r="D45" s="12"/>
    </row>
    <row r="46" spans="1:5" ht="15.75" customHeight="1" x14ac:dyDescent="0.25">
      <c r="B46" s="11" t="s">
        <v>41</v>
      </c>
      <c r="C46" s="45">
        <v>7.7567700000000003E-2</v>
      </c>
      <c r="D46" s="12"/>
    </row>
    <row r="47" spans="1:5" ht="15.75" customHeight="1" x14ac:dyDescent="0.25">
      <c r="B47" s="11" t="s">
        <v>42</v>
      </c>
      <c r="C47" s="45">
        <v>7.4135800000000002E-2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0.52239300000000011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261003</v>
      </c>
      <c r="C2" s="49">
        <v>580742.5</v>
      </c>
      <c r="D2" s="49">
        <v>1088183</v>
      </c>
      <c r="E2" s="49">
        <v>937098.5</v>
      </c>
      <c r="F2" s="49">
        <v>698220</v>
      </c>
      <c r="G2" s="17">
        <f t="shared" ref="G2:G13" si="0">C2+D2+E2+F2</f>
        <v>3304244</v>
      </c>
      <c r="H2" s="17">
        <f t="shared" ref="H2:H13" si="1">(B2 + stillbirth*B2/(1000-stillbirth))/(1-abortion)</f>
        <v>299217.59775966487</v>
      </c>
      <c r="I2" s="17">
        <f t="shared" ref="I2:I13" si="2">G2-H2</f>
        <v>3005026.402240335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261486</v>
      </c>
      <c r="C3" s="50">
        <v>585303</v>
      </c>
      <c r="D3" s="50">
        <v>1095557</v>
      </c>
      <c r="E3" s="50">
        <v>957283</v>
      </c>
      <c r="F3" s="50">
        <v>716728.00000000012</v>
      </c>
      <c r="G3" s="17">
        <f t="shared" si="0"/>
        <v>3354871</v>
      </c>
      <c r="H3" s="17">
        <f t="shared" si="1"/>
        <v>299771.31591508037</v>
      </c>
      <c r="I3" s="17">
        <f t="shared" si="2"/>
        <v>3055099.6840849197</v>
      </c>
    </row>
    <row r="4" spans="1:9" ht="15.75" customHeight="1" x14ac:dyDescent="0.25">
      <c r="A4" s="5">
        <f t="shared" si="3"/>
        <v>2026</v>
      </c>
      <c r="B4" s="49">
        <v>261495.99999999997</v>
      </c>
      <c r="C4" s="50">
        <v>588605</v>
      </c>
      <c r="D4" s="50">
        <v>1103364.5</v>
      </c>
      <c r="E4" s="50">
        <v>976351.00000000012</v>
      </c>
      <c r="F4" s="50">
        <v>735560</v>
      </c>
      <c r="G4" s="17">
        <f t="shared" si="0"/>
        <v>3403880.5</v>
      </c>
      <c r="H4" s="17">
        <f t="shared" si="1"/>
        <v>299782.78005908488</v>
      </c>
      <c r="I4" s="17">
        <f t="shared" si="2"/>
        <v>3104097.7199409152</v>
      </c>
    </row>
    <row r="5" spans="1:9" ht="15.75" customHeight="1" x14ac:dyDescent="0.25">
      <c r="A5" s="5">
        <f t="shared" si="3"/>
        <v>2027</v>
      </c>
      <c r="B5" s="49">
        <v>261796</v>
      </c>
      <c r="C5" s="50">
        <v>590854</v>
      </c>
      <c r="D5" s="50">
        <v>1111773.0000000002</v>
      </c>
      <c r="E5" s="50">
        <v>993485.5</v>
      </c>
      <c r="F5" s="50">
        <v>755064.5</v>
      </c>
      <c r="G5" s="17">
        <f t="shared" si="0"/>
        <v>3451177</v>
      </c>
      <c r="H5" s="17">
        <f t="shared" si="1"/>
        <v>300126.70437921875</v>
      </c>
      <c r="I5" s="17">
        <f t="shared" si="2"/>
        <v>3151050.2956207814</v>
      </c>
    </row>
    <row r="6" spans="1:9" ht="15.75" customHeight="1" x14ac:dyDescent="0.25">
      <c r="A6" s="5">
        <f t="shared" si="3"/>
        <v>2028</v>
      </c>
      <c r="B6" s="49">
        <v>261612.00000000003</v>
      </c>
      <c r="C6" s="50">
        <v>592963</v>
      </c>
      <c r="D6" s="50">
        <v>1119912.5</v>
      </c>
      <c r="E6" s="50">
        <v>1008434</v>
      </c>
      <c r="F6" s="50">
        <v>775765</v>
      </c>
      <c r="G6" s="17">
        <f t="shared" si="0"/>
        <v>3497074.5</v>
      </c>
      <c r="H6" s="17">
        <f t="shared" si="1"/>
        <v>299915.76412953669</v>
      </c>
      <c r="I6" s="17">
        <f t="shared" si="2"/>
        <v>3197158.7358704633</v>
      </c>
    </row>
    <row r="7" spans="1:9" ht="15.75" customHeight="1" x14ac:dyDescent="0.25">
      <c r="A7" s="5">
        <f t="shared" si="3"/>
        <v>2029</v>
      </c>
      <c r="B7" s="49">
        <v>261559.00000000003</v>
      </c>
      <c r="C7" s="50">
        <v>594799</v>
      </c>
      <c r="D7" s="50">
        <v>1127197.5</v>
      </c>
      <c r="E7" s="50">
        <v>1021976.9999999999</v>
      </c>
      <c r="F7" s="50">
        <v>797624</v>
      </c>
      <c r="G7" s="17">
        <f t="shared" si="0"/>
        <v>3541597.5</v>
      </c>
      <c r="H7" s="17">
        <f t="shared" si="1"/>
        <v>299855.00416631304</v>
      </c>
      <c r="I7" s="17">
        <f t="shared" si="2"/>
        <v>3241742.495833687</v>
      </c>
    </row>
    <row r="8" spans="1:9" ht="15.75" customHeight="1" x14ac:dyDescent="0.25">
      <c r="A8" s="5">
        <f t="shared" si="3"/>
        <v>2030</v>
      </c>
      <c r="B8" s="49">
        <v>261370.99999999997</v>
      </c>
      <c r="C8" s="50">
        <v>596286</v>
      </c>
      <c r="D8" s="50">
        <v>1134240.5</v>
      </c>
      <c r="E8" s="50">
        <v>1033908.5</v>
      </c>
      <c r="F8" s="50">
        <v>820260.5</v>
      </c>
      <c r="G8" s="17">
        <f t="shared" si="0"/>
        <v>3584695.5</v>
      </c>
      <c r="H8" s="17">
        <f t="shared" si="1"/>
        <v>299639.47825902904</v>
      </c>
      <c r="I8" s="17">
        <f t="shared" si="2"/>
        <v>3285056.0217409711</v>
      </c>
    </row>
    <row r="9" spans="1:9" ht="15.75" customHeight="1" x14ac:dyDescent="0.25">
      <c r="A9" s="5">
        <f t="shared" si="3"/>
        <v>2031</v>
      </c>
      <c r="B9" s="49">
        <v>261072.99999999997</v>
      </c>
      <c r="C9" s="50">
        <v>597389</v>
      </c>
      <c r="D9" s="50">
        <v>1141751.0000000002</v>
      </c>
      <c r="E9" s="50">
        <v>1043495.5</v>
      </c>
      <c r="F9" s="50">
        <v>843498.49999999988</v>
      </c>
      <c r="G9" s="17">
        <f t="shared" si="0"/>
        <v>3626134</v>
      </c>
      <c r="H9" s="17">
        <f t="shared" si="1"/>
        <v>299297.84676769603</v>
      </c>
      <c r="I9" s="17">
        <f t="shared" si="2"/>
        <v>3326836.1532323039</v>
      </c>
    </row>
    <row r="10" spans="1:9" ht="15.75" customHeight="1" x14ac:dyDescent="0.25">
      <c r="A10" s="5">
        <f t="shared" si="3"/>
        <v>2032</v>
      </c>
      <c r="B10" s="49">
        <v>260500.99999999997</v>
      </c>
      <c r="C10" s="50">
        <v>598172</v>
      </c>
      <c r="D10" s="50">
        <v>1149539</v>
      </c>
      <c r="E10" s="50">
        <v>1051601.5</v>
      </c>
      <c r="F10" s="50">
        <v>866623.49999999988</v>
      </c>
      <c r="G10" s="17">
        <f t="shared" si="0"/>
        <v>3665936</v>
      </c>
      <c r="H10" s="17">
        <f t="shared" si="1"/>
        <v>298642.09773064079</v>
      </c>
      <c r="I10" s="17">
        <f t="shared" si="2"/>
        <v>3367293.9022693592</v>
      </c>
    </row>
    <row r="11" spans="1:9" ht="15.75" customHeight="1" x14ac:dyDescent="0.25">
      <c r="A11" s="5">
        <f t="shared" si="3"/>
        <v>2033</v>
      </c>
      <c r="B11" s="49">
        <v>260216</v>
      </c>
      <c r="C11" s="50">
        <v>598766</v>
      </c>
      <c r="D11" s="50">
        <v>1156980</v>
      </c>
      <c r="E11" s="50">
        <v>1059492.5</v>
      </c>
      <c r="F11" s="50">
        <v>888840.5</v>
      </c>
      <c r="G11" s="17">
        <f t="shared" si="0"/>
        <v>3704079</v>
      </c>
      <c r="H11" s="17">
        <f t="shared" si="1"/>
        <v>298315.36962651368</v>
      </c>
      <c r="I11" s="17">
        <f t="shared" si="2"/>
        <v>3405763.6303734863</v>
      </c>
    </row>
    <row r="12" spans="1:9" ht="15.75" customHeight="1" x14ac:dyDescent="0.25">
      <c r="A12" s="5">
        <f t="shared" si="3"/>
        <v>2034</v>
      </c>
      <c r="B12" s="49">
        <v>259620</v>
      </c>
      <c r="C12" s="50">
        <v>599346.5</v>
      </c>
      <c r="D12" s="50">
        <v>1163789</v>
      </c>
      <c r="E12" s="50">
        <v>1067243</v>
      </c>
      <c r="F12" s="50">
        <v>909903.5</v>
      </c>
      <c r="G12" s="17">
        <f t="shared" si="0"/>
        <v>3740282</v>
      </c>
      <c r="H12" s="17">
        <f t="shared" si="1"/>
        <v>297632.10664384771</v>
      </c>
      <c r="I12" s="17">
        <f t="shared" si="2"/>
        <v>3442649.8933561523</v>
      </c>
    </row>
    <row r="13" spans="1:9" ht="15.75" customHeight="1" x14ac:dyDescent="0.25">
      <c r="A13" s="5">
        <f t="shared" si="3"/>
        <v>2035</v>
      </c>
      <c r="B13" s="49">
        <v>259012.99999999997</v>
      </c>
      <c r="C13" s="50">
        <v>600060</v>
      </c>
      <c r="D13" s="50">
        <v>1169923.4999999998</v>
      </c>
      <c r="E13" s="50">
        <v>1074766</v>
      </c>
      <c r="F13" s="50">
        <v>929857.5</v>
      </c>
      <c r="G13" s="17">
        <f t="shared" si="0"/>
        <v>3774607</v>
      </c>
      <c r="H13" s="17">
        <f t="shared" si="1"/>
        <v>296936.23310277687</v>
      </c>
      <c r="I13" s="17">
        <f t="shared" si="2"/>
        <v>3477670.766897223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3.6456003645600312E-3</v>
      </c>
    </row>
    <row r="4" spans="1:8" ht="15.75" customHeight="1" x14ac:dyDescent="0.25">
      <c r="B4" s="19" t="s">
        <v>69</v>
      </c>
      <c r="C4" s="101">
        <v>5.8251005825100642E-2</v>
      </c>
    </row>
    <row r="5" spans="1:8" ht="15.75" customHeight="1" x14ac:dyDescent="0.25">
      <c r="B5" s="19" t="s">
        <v>70</v>
      </c>
      <c r="C5" s="101">
        <v>5.1449305144930617E-2</v>
      </c>
    </row>
    <row r="6" spans="1:8" ht="15.75" customHeight="1" x14ac:dyDescent="0.25">
      <c r="B6" s="19" t="s">
        <v>71</v>
      </c>
      <c r="C6" s="101">
        <v>0.2125657212565718</v>
      </c>
    </row>
    <row r="7" spans="1:8" ht="15.75" customHeight="1" x14ac:dyDescent="0.25">
      <c r="B7" s="19" t="s">
        <v>72</v>
      </c>
      <c r="C7" s="101">
        <v>0.4356234435623445</v>
      </c>
    </row>
    <row r="8" spans="1:8" ht="15.75" customHeight="1" x14ac:dyDescent="0.25">
      <c r="B8" s="19" t="s">
        <v>73</v>
      </c>
      <c r="C8" s="101">
        <v>6.3460006346000757E-4</v>
      </c>
    </row>
    <row r="9" spans="1:8" ht="15.75" customHeight="1" x14ac:dyDescent="0.25">
      <c r="B9" s="19" t="s">
        <v>74</v>
      </c>
      <c r="C9" s="101">
        <v>0.14113301411330151</v>
      </c>
    </row>
    <row r="10" spans="1:8" ht="15.75" customHeight="1" x14ac:dyDescent="0.25">
      <c r="B10" s="19" t="s">
        <v>75</v>
      </c>
      <c r="C10" s="101">
        <v>9.6697309669731002E-2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82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83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86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87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88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89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6.8104466000000002E-2</v>
      </c>
    </row>
    <row r="27" spans="1:8" ht="15.75" customHeight="1" x14ac:dyDescent="0.25">
      <c r="B27" s="19" t="s">
        <v>92</v>
      </c>
      <c r="C27" s="101">
        <v>4.1400316000000013E-2</v>
      </c>
    </row>
    <row r="28" spans="1:8" ht="15.75" customHeight="1" x14ac:dyDescent="0.25">
      <c r="B28" s="19" t="s">
        <v>93</v>
      </c>
      <c r="C28" s="101">
        <v>0.33340020500000001</v>
      </c>
    </row>
    <row r="29" spans="1:8" ht="15.75" customHeight="1" x14ac:dyDescent="0.25">
      <c r="B29" s="19" t="s">
        <v>94</v>
      </c>
      <c r="C29" s="101">
        <v>0.12901136499999999</v>
      </c>
    </row>
    <row r="30" spans="1:8" ht="15.75" customHeight="1" x14ac:dyDescent="0.25">
      <c r="B30" s="19" t="s">
        <v>95</v>
      </c>
      <c r="C30" s="101">
        <v>9.0447656999999987E-2</v>
      </c>
    </row>
    <row r="31" spans="1:8" ht="15.75" customHeight="1" x14ac:dyDescent="0.25">
      <c r="B31" s="19" t="s">
        <v>96</v>
      </c>
      <c r="C31" s="101">
        <v>5.0940217000000003E-2</v>
      </c>
    </row>
    <row r="32" spans="1:8" ht="15.75" customHeight="1" x14ac:dyDescent="0.25">
      <c r="B32" s="19" t="s">
        <v>97</v>
      </c>
      <c r="C32" s="101">
        <v>1.0491317999999999E-2</v>
      </c>
    </row>
    <row r="33" spans="2:3" ht="15.75" customHeight="1" x14ac:dyDescent="0.25">
      <c r="B33" s="19" t="s">
        <v>98</v>
      </c>
      <c r="C33" s="101">
        <v>8.3462208999999982E-2</v>
      </c>
    </row>
    <row r="34" spans="2:3" ht="15.75" customHeight="1" x14ac:dyDescent="0.25">
      <c r="B34" s="19" t="s">
        <v>99</v>
      </c>
      <c r="C34" s="101">
        <v>0.19274224700000001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104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105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109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110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5.9707500000000024E-2</v>
      </c>
      <c r="D5" s="52">
        <f t="shared" si="0"/>
        <v>4.1745600000000049E-2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3600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0.55259000000000003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0.60799999999999998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2.1331864246318832E-2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97348.311090000003</v>
      </c>
      <c r="C22" s="109">
        <v>97127.914290000001</v>
      </c>
      <c r="D22" s="109">
        <v>96946.432119999998</v>
      </c>
      <c r="E22" s="109">
        <v>96603.906910000005</v>
      </c>
      <c r="F22" s="109">
        <v>96147.765209999998</v>
      </c>
      <c r="G22" s="109">
        <v>95636.710749999998</v>
      </c>
      <c r="H22" s="109">
        <v>95008.516770000002</v>
      </c>
      <c r="I22" s="109">
        <v>94158.296770000001</v>
      </c>
      <c r="J22" s="109">
        <v>92911.889249999993</v>
      </c>
      <c r="K22" s="109">
        <v>91025.218599999993</v>
      </c>
      <c r="L22" s="109">
        <v>88111.080600000001</v>
      </c>
      <c r="M22" s="109">
        <v>83721.960879999999</v>
      </c>
      <c r="N22" s="109">
        <v>77035.486080000002</v>
      </c>
      <c r="O22" s="109">
        <v>67497.661470000006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0.25147419999999998</v>
      </c>
      <c r="C10" s="98">
        <v>0.95</v>
      </c>
      <c r="D10" s="56">
        <v>12.863878723512009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12.863878723512009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12.863878723512009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12.863878723512009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0.25147419999999998</v>
      </c>
      <c r="C14" s="98">
        <v>0.95</v>
      </c>
      <c r="D14" s="56">
        <v>12.863878723512009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12.863878723512009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0.191266666666667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0.57843060000000002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0.57843060000000002</v>
      </c>
      <c r="C19" s="98">
        <v>0.95</v>
      </c>
      <c r="D19" s="56">
        <v>7.1893102094440149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4.1866497120487418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0.62066605665885999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0.25147419999999998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0.1417909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0.67377399999999998</v>
      </c>
      <c r="C29" s="98">
        <v>0.95</v>
      </c>
      <c r="D29" s="56">
        <v>98.521408904830395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0.26987369999999999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0.16559660000000001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1.1714E-3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0.67045480000000002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2.0761999999999999E-2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198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