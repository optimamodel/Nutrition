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0B3FDAF-683C-40F7-924E-3D165EDD123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<sst xmlns="http://schemas.openxmlformats.org/spreadsheetml/2006/main" count="2103" uniqueCount="341">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</sst>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1280664.078125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0.77735023498535194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0.12039999999999999</v>
      </c>
    </row>
    <row r="24" spans="1:3" ht="15" customHeight="1" x14ac:dyDescent="0.25">
      <c r="B24" s="15" t="s">
        <v>22</v>
      </c>
      <c r="C24" s="45">
        <v>0.49090000000000011</v>
      </c>
    </row>
    <row r="25" spans="1:3" ht="15" customHeight="1" x14ac:dyDescent="0.25">
      <c r="B25" s="15" t="s">
        <v>23</v>
      </c>
      <c r="C25" s="45">
        <v>0.31830000000000003</v>
      </c>
    </row>
    <row r="26" spans="1:3" ht="15" customHeight="1" x14ac:dyDescent="0.25">
      <c r="B26" s="15" t="s">
        <v>24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0.27832797111666402</v>
      </c>
    </row>
    <row r="30" spans="1:3" ht="14.25" customHeight="1" x14ac:dyDescent="0.25">
      <c r="B30" s="25" t="s">
        <v>27</v>
      </c>
      <c r="C30" s="99">
        <v>5.5017555006970899E-2</v>
      </c>
    </row>
    <row r="31" spans="1:3" ht="14.25" customHeight="1" x14ac:dyDescent="0.25">
      <c r="B31" s="25" t="s">
        <v>28</v>
      </c>
      <c r="C31" s="99">
        <v>0.107732345514889</v>
      </c>
    </row>
    <row r="32" spans="1:3" ht="14.25" customHeight="1" x14ac:dyDescent="0.25">
      <c r="B32" s="25" t="s">
        <v>29</v>
      </c>
      <c r="C32" s="99">
        <v>0.55892212836147603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13.18085</v>
      </c>
    </row>
    <row r="38" spans="1:5" ht="15" customHeight="1" x14ac:dyDescent="0.25">
      <c r="B38" s="11" t="s">
        <v>34</v>
      </c>
      <c r="C38" s="43">
        <v>20.18317</v>
      </c>
      <c r="D38" s="12"/>
      <c r="E38" s="13"/>
    </row>
    <row r="39" spans="1:5" ht="15" customHeight="1" x14ac:dyDescent="0.25">
      <c r="B39" s="11" t="s">
        <v>35</v>
      </c>
      <c r="C39" s="43">
        <v>24.691939999999999</v>
      </c>
      <c r="D39" s="12"/>
      <c r="E39" s="12"/>
    </row>
    <row r="40" spans="1:5" ht="15" customHeight="1" x14ac:dyDescent="0.25">
      <c r="B40" s="11" t="s">
        <v>36</v>
      </c>
      <c r="C40" s="100">
        <v>1.61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7.2189999999999997E-3</v>
      </c>
      <c r="D45" s="12"/>
    </row>
    <row r="46" spans="1:5" ht="15.75" customHeight="1" x14ac:dyDescent="0.25">
      <c r="B46" s="11" t="s">
        <v>41</v>
      </c>
      <c r="C46" s="45">
        <v>7.7567700000000003E-2</v>
      </c>
      <c r="D46" s="12"/>
    </row>
    <row r="47" spans="1:5" ht="15.75" customHeight="1" x14ac:dyDescent="0.25">
      <c r="B47" s="11" t="s">
        <v>42</v>
      </c>
      <c r="C47" s="45">
        <v>7.4135800000000002E-2</v>
      </c>
      <c r="D47" s="12"/>
      <c r="E47" s="13"/>
    </row>
    <row r="48" spans="1:5" ht="15" customHeight="1" x14ac:dyDescent="0.25">
      <c r="B48" s="11" t="s">
        <v>43</v>
      </c>
      <c r="C48" s="46">
        <v>0.84107749999999992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0.52239300000000011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265235</v>
      </c>
      <c r="C2" s="49">
        <v>715267.5</v>
      </c>
      <c r="D2" s="49">
        <v>1103128</v>
      </c>
      <c r="E2" s="49">
        <v>958138.5</v>
      </c>
      <c r="F2" s="49">
        <v>632260</v>
      </c>
      <c r="G2" s="17">
        <f t="shared" ref="G2:G13" si="0">C2+D2+E2+F2</f>
        <v>3408794</v>
      </c>
      <c r="H2" s="17">
        <f t="shared" ref="H2:H13" si="1">(B2 + stillbirth*B2/(1000-stillbirth))/(1-abortion)</f>
        <v>304069.22350235324</v>
      </c>
      <c r="I2" s="17">
        <f t="shared" ref="I2:I13" si="2">G2-H2</f>
        <v>3104724.7764976467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266191</v>
      </c>
      <c r="C3" s="50">
        <v>720794</v>
      </c>
      <c r="D3" s="50">
        <v>1112139</v>
      </c>
      <c r="E3" s="50">
        <v>977196</v>
      </c>
      <c r="F3" s="50">
        <v>649591.5</v>
      </c>
      <c r="G3" s="17">
        <f t="shared" si="0"/>
        <v>3459720.5</v>
      </c>
      <c r="H3" s="17">
        <f t="shared" si="1"/>
        <v>305165.1956691799</v>
      </c>
      <c r="I3" s="17">
        <f t="shared" si="2"/>
        <v>3154555.3043308202</v>
      </c>
    </row>
    <row r="4" spans="1:9" ht="15.75" customHeight="1" x14ac:dyDescent="0.25">
      <c r="A4" s="5">
        <f t="shared" si="3"/>
        <v>2026</v>
      </c>
      <c r="B4" s="49">
        <v>266974</v>
      </c>
      <c r="C4" s="50">
        <v>724924.00000000012</v>
      </c>
      <c r="D4" s="50">
        <v>1121832.5</v>
      </c>
      <c r="E4" s="50">
        <v>994628.5</v>
      </c>
      <c r="F4" s="50">
        <v>667659</v>
      </c>
      <c r="G4" s="17">
        <f t="shared" si="0"/>
        <v>3509044</v>
      </c>
      <c r="H4" s="17">
        <f t="shared" si="1"/>
        <v>306062.83814472926</v>
      </c>
      <c r="I4" s="17">
        <f t="shared" si="2"/>
        <v>3202981.1618552706</v>
      </c>
    </row>
    <row r="5" spans="1:9" ht="15.75" customHeight="1" x14ac:dyDescent="0.25">
      <c r="A5" s="5">
        <f t="shared" si="3"/>
        <v>2027</v>
      </c>
      <c r="B5" s="49">
        <v>266660</v>
      </c>
      <c r="C5" s="50">
        <v>727847.00000000012</v>
      </c>
      <c r="D5" s="50">
        <v>1132165</v>
      </c>
      <c r="E5" s="50">
        <v>1010160.5</v>
      </c>
      <c r="F5" s="50">
        <v>686487</v>
      </c>
      <c r="G5" s="17">
        <f t="shared" si="0"/>
        <v>3556659.5</v>
      </c>
      <c r="H5" s="17">
        <f t="shared" si="1"/>
        <v>305702.86402298912</v>
      </c>
      <c r="I5" s="17">
        <f t="shared" si="2"/>
        <v>3250956.6359770107</v>
      </c>
    </row>
    <row r="6" spans="1:9" ht="15.75" customHeight="1" x14ac:dyDescent="0.25">
      <c r="A6" s="5">
        <f t="shared" si="3"/>
        <v>2028</v>
      </c>
      <c r="B6" s="49">
        <v>266211</v>
      </c>
      <c r="C6" s="50">
        <v>730456</v>
      </c>
      <c r="D6" s="50">
        <v>1142095</v>
      </c>
      <c r="E6" s="50">
        <v>1023967</v>
      </c>
      <c r="F6" s="50">
        <v>706264</v>
      </c>
      <c r="G6" s="17">
        <f t="shared" si="0"/>
        <v>3602782</v>
      </c>
      <c r="H6" s="17">
        <f t="shared" si="1"/>
        <v>305188.1239571888</v>
      </c>
      <c r="I6" s="17">
        <f t="shared" si="2"/>
        <v>3297593.8760428112</v>
      </c>
    </row>
    <row r="7" spans="1:9" ht="15.75" customHeight="1" x14ac:dyDescent="0.25">
      <c r="A7" s="5">
        <f t="shared" si="3"/>
        <v>2029</v>
      </c>
      <c r="B7" s="49">
        <v>266289</v>
      </c>
      <c r="C7" s="50">
        <v>732649</v>
      </c>
      <c r="D7" s="50">
        <v>1150977.5</v>
      </c>
      <c r="E7" s="50">
        <v>1036973</v>
      </c>
      <c r="F7" s="50">
        <v>726937.5</v>
      </c>
      <c r="G7" s="17">
        <f t="shared" si="0"/>
        <v>3647537</v>
      </c>
      <c r="H7" s="17">
        <f t="shared" si="1"/>
        <v>305277.54428042355</v>
      </c>
      <c r="I7" s="17">
        <f t="shared" si="2"/>
        <v>3342259.4557195762</v>
      </c>
    </row>
    <row r="8" spans="1:9" ht="15.75" customHeight="1" x14ac:dyDescent="0.25">
      <c r="A8" s="5">
        <f t="shared" si="3"/>
        <v>2030</v>
      </c>
      <c r="B8" s="49">
        <v>266744</v>
      </c>
      <c r="C8" s="50">
        <v>734311</v>
      </c>
      <c r="D8" s="50">
        <v>1159434.5</v>
      </c>
      <c r="E8" s="50">
        <v>1048803.5</v>
      </c>
      <c r="F8" s="50">
        <v>748213.5</v>
      </c>
      <c r="G8" s="17">
        <f t="shared" si="0"/>
        <v>3690762.5</v>
      </c>
      <c r="H8" s="17">
        <f t="shared" si="1"/>
        <v>305799.16283262661</v>
      </c>
      <c r="I8" s="17">
        <f t="shared" si="2"/>
        <v>3384963.3371673734</v>
      </c>
    </row>
    <row r="9" spans="1:9" ht="15.75" customHeight="1" x14ac:dyDescent="0.25">
      <c r="A9" s="5">
        <f t="shared" si="3"/>
        <v>2031</v>
      </c>
      <c r="B9" s="49">
        <v>266621</v>
      </c>
      <c r="C9" s="50">
        <v>735535.00000000012</v>
      </c>
      <c r="D9" s="50">
        <v>1168225</v>
      </c>
      <c r="E9" s="50">
        <v>1058956.5</v>
      </c>
      <c r="F9" s="50">
        <v>769857.5</v>
      </c>
      <c r="G9" s="17">
        <f t="shared" si="0"/>
        <v>3732574</v>
      </c>
      <c r="H9" s="17">
        <f t="shared" si="1"/>
        <v>305658.15386137174</v>
      </c>
      <c r="I9" s="17">
        <f t="shared" si="2"/>
        <v>3426915.8461386282</v>
      </c>
    </row>
    <row r="10" spans="1:9" ht="15.75" customHeight="1" x14ac:dyDescent="0.25">
      <c r="A10" s="5">
        <f t="shared" si="3"/>
        <v>2032</v>
      </c>
      <c r="B10" s="49">
        <v>267218</v>
      </c>
      <c r="C10" s="50">
        <v>736479.49999999988</v>
      </c>
      <c r="D10" s="50">
        <v>1176995.5</v>
      </c>
      <c r="E10" s="50">
        <v>1068116.5</v>
      </c>
      <c r="F10" s="50">
        <v>791526.5</v>
      </c>
      <c r="G10" s="17">
        <f t="shared" si="0"/>
        <v>3773118</v>
      </c>
      <c r="H10" s="17">
        <f t="shared" si="1"/>
        <v>306342.56325843808</v>
      </c>
      <c r="I10" s="17">
        <f t="shared" si="2"/>
        <v>3466775.4367415621</v>
      </c>
    </row>
    <row r="11" spans="1:9" ht="15.75" customHeight="1" x14ac:dyDescent="0.25">
      <c r="A11" s="5">
        <f t="shared" si="3"/>
        <v>2033</v>
      </c>
      <c r="B11" s="49">
        <v>266582</v>
      </c>
      <c r="C11" s="50">
        <v>737297</v>
      </c>
      <c r="D11" s="50">
        <v>1185227.5</v>
      </c>
      <c r="E11" s="50">
        <v>1077081.5</v>
      </c>
      <c r="F11" s="50">
        <v>812711.5</v>
      </c>
      <c r="G11" s="17">
        <f t="shared" si="0"/>
        <v>3812317.5</v>
      </c>
      <c r="H11" s="17">
        <f t="shared" si="1"/>
        <v>305613.44369975431</v>
      </c>
      <c r="I11" s="17">
        <f t="shared" si="2"/>
        <v>3506704.0563002457</v>
      </c>
    </row>
    <row r="12" spans="1:9" ht="15.75" customHeight="1" x14ac:dyDescent="0.25">
      <c r="A12" s="5">
        <f t="shared" si="3"/>
        <v>2034</v>
      </c>
      <c r="B12" s="49">
        <v>265709</v>
      </c>
      <c r="C12" s="50">
        <v>738216.5</v>
      </c>
      <c r="D12" s="50">
        <v>1192803.5</v>
      </c>
      <c r="E12" s="50">
        <v>1086156.5</v>
      </c>
      <c r="F12" s="50">
        <v>832759.49999999988</v>
      </c>
      <c r="G12" s="17">
        <f t="shared" si="0"/>
        <v>3849936</v>
      </c>
      <c r="H12" s="17">
        <f t="shared" si="1"/>
        <v>304612.62392816477</v>
      </c>
      <c r="I12" s="17">
        <f t="shared" si="2"/>
        <v>3545323.3760718354</v>
      </c>
    </row>
    <row r="13" spans="1:9" ht="15.75" customHeight="1" x14ac:dyDescent="0.25">
      <c r="A13" s="5">
        <f t="shared" si="3"/>
        <v>2035</v>
      </c>
      <c r="B13" s="49">
        <v>264642</v>
      </c>
      <c r="C13" s="50">
        <v>739428</v>
      </c>
      <c r="D13" s="50">
        <v>1199578</v>
      </c>
      <c r="E13" s="50">
        <v>1095405</v>
      </c>
      <c r="F13" s="50">
        <v>851011.5</v>
      </c>
      <c r="G13" s="17">
        <f t="shared" si="0"/>
        <v>3885422.5</v>
      </c>
      <c r="H13" s="17">
        <f t="shared" si="1"/>
        <v>303389.39976288867</v>
      </c>
      <c r="I13" s="17">
        <f t="shared" si="2"/>
        <v>3582033.1002371116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3.6456003645600312E-3</v>
      </c>
    </row>
    <row r="4" spans="1:8" ht="15.75" customHeight="1" x14ac:dyDescent="0.25">
      <c r="B4" s="19" t="s">
        <v>69</v>
      </c>
      <c r="C4" s="101">
        <v>5.8251005825100642E-2</v>
      </c>
    </row>
    <row r="5" spans="1:8" ht="15.75" customHeight="1" x14ac:dyDescent="0.25">
      <c r="B5" s="19" t="s">
        <v>70</v>
      </c>
      <c r="C5" s="101">
        <v>5.1449305144930617E-2</v>
      </c>
    </row>
    <row r="6" spans="1:8" ht="15.75" customHeight="1" x14ac:dyDescent="0.25">
      <c r="B6" s="19" t="s">
        <v>71</v>
      </c>
      <c r="C6" s="101">
        <v>0.2125657212565718</v>
      </c>
    </row>
    <row r="7" spans="1:8" ht="15.75" customHeight="1" x14ac:dyDescent="0.25">
      <c r="B7" s="19" t="s">
        <v>72</v>
      </c>
      <c r="C7" s="101">
        <v>0.4356234435623445</v>
      </c>
    </row>
    <row r="8" spans="1:8" ht="15.75" customHeight="1" x14ac:dyDescent="0.25">
      <c r="B8" s="19" t="s">
        <v>73</v>
      </c>
      <c r="C8" s="101">
        <v>6.3460006346000757E-4</v>
      </c>
    </row>
    <row r="9" spans="1:8" ht="15.75" customHeight="1" x14ac:dyDescent="0.25">
      <c r="B9" s="19" t="s">
        <v>74</v>
      </c>
      <c r="C9" s="101">
        <v>0.14113301411330151</v>
      </c>
    </row>
    <row r="10" spans="1:8" ht="15.75" customHeight="1" x14ac:dyDescent="0.25">
      <c r="B10" s="19" t="s">
        <v>75</v>
      </c>
      <c r="C10" s="101">
        <v>9.6697309669731002E-2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82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83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86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87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88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89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6.8104466000000002E-2</v>
      </c>
    </row>
    <row r="27" spans="1:8" ht="15.75" customHeight="1" x14ac:dyDescent="0.25">
      <c r="B27" s="19" t="s">
        <v>92</v>
      </c>
      <c r="C27" s="101">
        <v>4.1400316000000013E-2</v>
      </c>
    </row>
    <row r="28" spans="1:8" ht="15.75" customHeight="1" x14ac:dyDescent="0.25">
      <c r="B28" s="19" t="s">
        <v>93</v>
      </c>
      <c r="C28" s="101">
        <v>0.33340020500000001</v>
      </c>
    </row>
    <row r="29" spans="1:8" ht="15.75" customHeight="1" x14ac:dyDescent="0.25">
      <c r="B29" s="19" t="s">
        <v>94</v>
      </c>
      <c r="C29" s="101">
        <v>0.12901136499999999</v>
      </c>
    </row>
    <row r="30" spans="1:8" ht="15.75" customHeight="1" x14ac:dyDescent="0.25">
      <c r="B30" s="19" t="s">
        <v>95</v>
      </c>
      <c r="C30" s="101">
        <v>9.0447656999999987E-2</v>
      </c>
    </row>
    <row r="31" spans="1:8" ht="15.75" customHeight="1" x14ac:dyDescent="0.25">
      <c r="B31" s="19" t="s">
        <v>96</v>
      </c>
      <c r="C31" s="101">
        <v>5.0940217000000003E-2</v>
      </c>
    </row>
    <row r="32" spans="1:8" ht="15.75" customHeight="1" x14ac:dyDescent="0.25">
      <c r="B32" s="19" t="s">
        <v>97</v>
      </c>
      <c r="C32" s="101">
        <v>1.0491317999999999E-2</v>
      </c>
    </row>
    <row r="33" spans="2:3" ht="15.75" customHeight="1" x14ac:dyDescent="0.25">
      <c r="B33" s="19" t="s">
        <v>98</v>
      </c>
      <c r="C33" s="101">
        <v>8.3462208999999982E-2</v>
      </c>
    </row>
    <row r="34" spans="2:3" ht="15.75" customHeight="1" x14ac:dyDescent="0.25">
      <c r="B34" s="19" t="s">
        <v>99</v>
      </c>
      <c r="C34" s="101">
        <v>0.19274224700000001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104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105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109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110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122</v>
      </c>
      <c r="C5" s="52">
        <v>5.97076E-2</v>
      </c>
      <c r="D5" s="52">
        <v>4.1745599999999987E-2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51.401759028170218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39.731579279716087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310.49560891409538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0.84658616962475519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0.25147419999999998</v>
      </c>
      <c r="C10" s="98">
        <v>0.95</v>
      </c>
      <c r="D10" s="56">
        <v>12.863878723512009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12.863878723512009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12.863878723512009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12.863878723512009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0.25147419999999998</v>
      </c>
      <c r="C14" s="98">
        <v>0.95</v>
      </c>
      <c r="D14" s="56">
        <v>12.863878723512009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12.863878723512009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0.57064452340735461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0.191266666666667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0.57843060000000002</v>
      </c>
      <c r="C18" s="98">
        <v>0.95</v>
      </c>
      <c r="D18" s="56">
        <v>7.1893102094440149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0.57843060000000002</v>
      </c>
      <c r="C19" s="98">
        <v>0.95</v>
      </c>
      <c r="D19" s="56">
        <v>7.1893102094440149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9.7399777981275673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22.12118995836277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4.1866497120487418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0.62066605665885999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0.25147419999999998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18.43140089545771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0.1417909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0.67377399999999998</v>
      </c>
      <c r="C29" s="98">
        <v>0.95</v>
      </c>
      <c r="D29" s="56">
        <v>98.521408904830395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1.01886993046857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0.31</v>
      </c>
      <c r="C32" s="98">
        <v>0.95</v>
      </c>
      <c r="D32" s="56">
        <v>1.210007178251463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0.26987369999999999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0.16559660000000001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1.1714E-3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0.67045480000000002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2.0761999999999999E-2</v>
      </c>
      <c r="C38" s="98">
        <v>0.95</v>
      </c>
      <c r="D38" s="56">
        <v>4.1448077543726143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205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0.10942238739085863</v>
      </c>
      <c r="G18" s="90">
        <f>MIN(MAX(1-0.89/(1-frac_sam_12_23months+(frac_sam_12_23months*0.89)),0),1)</f>
        <v>0.10927445951099468</v>
      </c>
      <c r="H18" s="90">
        <f>MIN(MAX(1-0.89/(1-frac_sam_24_59months+(frac_sam_24_59months*0.89)),0),1)</f>
        <v>0.10938032196856029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0.10939404684977783</v>
      </c>
      <c r="G20" s="90">
        <f>MIN(MAX(1-0.89/(1-frac_mam_12_23months+(frac_mam_12_23months*0.89)),0),1)</f>
        <v>0.10895841872565248</v>
      </c>
      <c r="H20" s="90">
        <f>MIN(MAX(1-0.89/(1-frac_mam_24_59months+(frac_mam_24_59months*0.89)),0),1)</f>
        <v>0.10902870318592151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9.9416241780447834E-3</v>
      </c>
      <c r="G73" s="90">
        <f>MIN(MAX(1-0.99/(1-frac_sam_12_23months+(frac_sam_12_23months*0.99)),0),1)</f>
        <v>9.9266850710294507E-3</v>
      </c>
      <c r="H73" s="90">
        <f>MIN(MAX(1-0.99/(1-frac_sam_24_59months+(frac_sam_24_59months*0.99)),0),1)</f>
        <v>9.9373755688169085E-3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9.9387617422300734E-3</v>
      </c>
      <c r="G75" s="90">
        <f>MIN(MAX(1-0.99/(1-frac_mam_12_23months+(frac_mam_12_23months*0.99)),0),1)</f>
        <v>9.894783498852866E-3</v>
      </c>
      <c r="H75" s="90">
        <f>MIN(MAX(1-0.99/(1-frac_mam_24_59months+(frac_mam_24_59months*0.99)),0),1)</f>
        <v>9.9018763254531406E-3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0.19905549420098145</v>
      </c>
      <c r="G128" s="90">
        <f>MIN(MAX(1-0.8/(1-frac_sam_12_23months+(frac_sam_12_23months*0.8)),0),1)</f>
        <v>0.19881344270865153</v>
      </c>
      <c r="H128" s="90">
        <f>MIN(MAX(1-0.8/(1-frac_sam_24_59months+(frac_sam_24_59months*0.8)),0),1)</f>
        <v>0.19898667007684745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0.19900912622969369</v>
      </c>
      <c r="G130" s="90">
        <f>MIN(MAX(1-0.8/(1-frac_mam_12_23months+(frac_mam_12_23months*0.8)),0),1)</f>
        <v>0.19829609057907305</v>
      </c>
      <c r="H130" s="90">
        <f>MIN(MAX(1-0.8/(1-frac_mam_24_59months+(frac_mam_24_59months*0.8)),0),1)</f>
        <v>0.19841117078160608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2024-06-18T06:54:15Z</dcterms:modified>
</cp:coreProperties>
</file>