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87531DF9-B667-4824-A204-32F5CCA18A80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I39" i="2" s="1"/>
  <c r="G39" i="2"/>
  <c r="A39" i="2"/>
  <c r="H38" i="2"/>
  <c r="G38" i="2"/>
  <c r="I38" i="2" s="1"/>
  <c r="A37" i="2"/>
  <c r="A36" i="2"/>
  <c r="A34" i="2"/>
  <c r="A31" i="2"/>
  <c r="A29" i="2"/>
  <c r="A28" i="2"/>
  <c r="A26" i="2"/>
  <c r="A23" i="2"/>
  <c r="A21" i="2"/>
  <c r="A20" i="2"/>
  <c r="A18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A3" i="2"/>
  <c r="H2" i="2"/>
  <c r="G2" i="2"/>
  <c r="I2" i="2" s="1"/>
  <c r="A2" i="2"/>
  <c r="A40" i="2" s="1"/>
  <c r="C33" i="1"/>
  <c r="C20" i="1"/>
  <c r="A16" i="2" l="1"/>
  <c r="A24" i="2"/>
  <c r="A32" i="2"/>
  <c r="A17" i="2"/>
  <c r="A25" i="2"/>
  <c r="A33" i="2"/>
  <c r="A19" i="2"/>
  <c r="A27" i="2"/>
  <c r="A35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<sst xmlns="http://schemas.openxmlformats.org/spreadsheetml/2006/main" count="2101" uniqueCount="341">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</sst>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1469901.34375</v>
      </c>
    </row>
    <row r="8" spans="1:3" ht="15" customHeight="1" x14ac:dyDescent="0.25">
      <c r="B8" s="5" t="s">
        <v>8</v>
      </c>
      <c r="C8" s="44">
        <v>3.3000000000000002E-2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0.89274291992187504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0.193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0.151</v>
      </c>
    </row>
    <row r="24" spans="1:3" ht="15" customHeight="1" x14ac:dyDescent="0.25">
      <c r="B24" s="15" t="s">
        <v>22</v>
      </c>
      <c r="C24" s="45">
        <v>0.51359999999999995</v>
      </c>
    </row>
    <row r="25" spans="1:3" ht="15" customHeight="1" x14ac:dyDescent="0.25">
      <c r="B25" s="15" t="s">
        <v>23</v>
      </c>
      <c r="C25" s="45">
        <v>0.27929999999999999</v>
      </c>
    </row>
    <row r="26" spans="1:3" ht="15" customHeight="1" x14ac:dyDescent="0.25">
      <c r="B26" s="15" t="s">
        <v>24</v>
      </c>
      <c r="C26" s="45">
        <v>5.6099999999999997E-2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0.24516550000000001</v>
      </c>
    </row>
    <row r="30" spans="1:3" ht="14.25" customHeight="1" x14ac:dyDescent="0.25">
      <c r="B30" s="25" t="s">
        <v>27</v>
      </c>
      <c r="C30" s="99">
        <v>0.14159289999999999</v>
      </c>
    </row>
    <row r="31" spans="1:3" ht="14.25" customHeight="1" x14ac:dyDescent="0.25">
      <c r="B31" s="25" t="s">
        <v>28</v>
      </c>
      <c r="C31" s="99">
        <v>0.1189774</v>
      </c>
    </row>
    <row r="32" spans="1:3" ht="14.25" customHeight="1" x14ac:dyDescent="0.25">
      <c r="B32" s="25" t="s">
        <v>29</v>
      </c>
      <c r="C32" s="99">
        <v>0.49426419999999999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6.6514800000000003</v>
      </c>
    </row>
    <row r="38" spans="1:5" ht="15" customHeight="1" x14ac:dyDescent="0.25">
      <c r="B38" s="11" t="s">
        <v>34</v>
      </c>
      <c r="C38" s="43">
        <v>10.72316</v>
      </c>
      <c r="D38" s="12"/>
      <c r="E38" s="13"/>
    </row>
    <row r="39" spans="1:5" ht="15" customHeight="1" x14ac:dyDescent="0.25">
      <c r="B39" s="11" t="s">
        <v>35</v>
      </c>
      <c r="C39" s="43">
        <v>12.46062</v>
      </c>
      <c r="D39" s="12"/>
      <c r="E39" s="12"/>
    </row>
    <row r="40" spans="1:5" ht="15" customHeight="1" x14ac:dyDescent="0.25">
      <c r="B40" s="11" t="s">
        <v>36</v>
      </c>
      <c r="C40" s="100">
        <v>0.66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8.8524999999999991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6.0990999999999997E-3</v>
      </c>
      <c r="D45" s="12"/>
    </row>
    <row r="46" spans="1:5" ht="15.75" customHeight="1" x14ac:dyDescent="0.25">
      <c r="B46" s="11" t="s">
        <v>41</v>
      </c>
      <c r="C46" s="45">
        <v>6.5533999999999995E-2</v>
      </c>
      <c r="D46" s="12"/>
    </row>
    <row r="47" spans="1:5" ht="15.75" customHeight="1" x14ac:dyDescent="0.25">
      <c r="B47" s="11" t="s">
        <v>42</v>
      </c>
      <c r="C47" s="45">
        <v>7.520120000000001E-2</v>
      </c>
      <c r="D47" s="12"/>
      <c r="E47" s="13"/>
    </row>
    <row r="48" spans="1:5" ht="15" customHeight="1" x14ac:dyDescent="0.25">
      <c r="B48" s="11" t="s">
        <v>43</v>
      </c>
      <c r="C48" s="46">
        <v>0.85316570000000003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0.55768200000000001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0.11180640999999999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296231</v>
      </c>
      <c r="C2" s="49">
        <v>926692.5</v>
      </c>
      <c r="D2" s="49">
        <v>1542379</v>
      </c>
      <c r="E2" s="49">
        <v>1433766.5</v>
      </c>
      <c r="F2" s="49">
        <v>1023518</v>
      </c>
      <c r="G2" s="17">
        <f t="shared" ref="G2:G13" si="0">C2+D2+E2+F2</f>
        <v>4926356</v>
      </c>
      <c r="H2" s="17">
        <f t="shared" ref="H2:H13" si="1">(B2 + stillbirth*B2/(1000-stillbirth))/(1-abortion)</f>
        <v>339632.73515156563</v>
      </c>
      <c r="I2" s="17">
        <f t="shared" ref="I2:I13" si="2">G2-H2</f>
        <v>4586723.2648484344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294956</v>
      </c>
      <c r="C3" s="50">
        <v>931280.00000000012</v>
      </c>
      <c r="D3" s="50">
        <v>1537333</v>
      </c>
      <c r="E3" s="50">
        <v>1450916</v>
      </c>
      <c r="F3" s="50">
        <v>1049008</v>
      </c>
      <c r="G3" s="17">
        <f t="shared" si="0"/>
        <v>4968537</v>
      </c>
      <c r="H3" s="17">
        <f t="shared" si="1"/>
        <v>338170.93089300307</v>
      </c>
      <c r="I3" s="17">
        <f t="shared" si="2"/>
        <v>4630366.069106997</v>
      </c>
    </row>
    <row r="4" spans="1:9" ht="15.75" customHeight="1" x14ac:dyDescent="0.25">
      <c r="A4" s="5">
        <f t="shared" si="3"/>
        <v>2026</v>
      </c>
      <c r="B4" s="49">
        <v>294146</v>
      </c>
      <c r="C4" s="50">
        <v>935775.50000000012</v>
      </c>
      <c r="D4" s="50">
        <v>1532273.5</v>
      </c>
      <c r="E4" s="50">
        <v>1466379</v>
      </c>
      <c r="F4" s="50">
        <v>1074945.5</v>
      </c>
      <c r="G4" s="17">
        <f t="shared" si="0"/>
        <v>5009373.5</v>
      </c>
      <c r="H4" s="17">
        <f t="shared" si="1"/>
        <v>337242.25524638686</v>
      </c>
      <c r="I4" s="17">
        <f t="shared" si="2"/>
        <v>4672131.2447536131</v>
      </c>
    </row>
    <row r="5" spans="1:9" ht="15.75" customHeight="1" x14ac:dyDescent="0.25">
      <c r="A5" s="5">
        <f t="shared" si="3"/>
        <v>2027</v>
      </c>
      <c r="B5" s="49">
        <v>292903</v>
      </c>
      <c r="C5" s="50">
        <v>936716.99999999988</v>
      </c>
      <c r="D5" s="50">
        <v>1528107</v>
      </c>
      <c r="E5" s="50">
        <v>1480080.5</v>
      </c>
      <c r="F5" s="50">
        <v>1101180.5</v>
      </c>
      <c r="G5" s="17">
        <f t="shared" si="0"/>
        <v>5046085</v>
      </c>
      <c r="H5" s="17">
        <f t="shared" si="1"/>
        <v>335817.13940843131</v>
      </c>
      <c r="I5" s="17">
        <f t="shared" si="2"/>
        <v>4710267.860591569</v>
      </c>
    </row>
    <row r="6" spans="1:9" ht="15.75" customHeight="1" x14ac:dyDescent="0.25">
      <c r="A6" s="5">
        <f t="shared" si="3"/>
        <v>2028</v>
      </c>
      <c r="B6" s="49">
        <v>291859</v>
      </c>
      <c r="C6" s="50">
        <v>933218</v>
      </c>
      <c r="D6" s="50">
        <v>1525083</v>
      </c>
      <c r="E6" s="50">
        <v>1492102.5</v>
      </c>
      <c r="F6" s="50">
        <v>1127265</v>
      </c>
      <c r="G6" s="17">
        <f t="shared" si="0"/>
        <v>5077668.5</v>
      </c>
      <c r="H6" s="17">
        <f t="shared" si="1"/>
        <v>334620.17968612595</v>
      </c>
      <c r="I6" s="17">
        <f t="shared" si="2"/>
        <v>4743048.3203138737</v>
      </c>
    </row>
    <row r="7" spans="1:9" ht="15.75" customHeight="1" x14ac:dyDescent="0.25">
      <c r="A7" s="5">
        <f t="shared" si="3"/>
        <v>2029</v>
      </c>
      <c r="B7" s="49">
        <v>290915</v>
      </c>
      <c r="C7" s="50">
        <v>925958</v>
      </c>
      <c r="D7" s="50">
        <v>1523522.5</v>
      </c>
      <c r="E7" s="50">
        <v>1502197.5</v>
      </c>
      <c r="F7" s="50">
        <v>1152593</v>
      </c>
      <c r="G7" s="17">
        <f t="shared" si="0"/>
        <v>5104271</v>
      </c>
      <c r="H7" s="17">
        <f t="shared" si="1"/>
        <v>333537.8712782177</v>
      </c>
      <c r="I7" s="17">
        <f t="shared" si="2"/>
        <v>4770733.128721782</v>
      </c>
    </row>
    <row r="8" spans="1:9" ht="15.75" customHeight="1" x14ac:dyDescent="0.25">
      <c r="A8" s="5">
        <f t="shared" si="3"/>
        <v>2030</v>
      </c>
      <c r="B8" s="49">
        <v>289830</v>
      </c>
      <c r="C8" s="50">
        <v>915607.50000000012</v>
      </c>
      <c r="D8" s="50">
        <v>1524139</v>
      </c>
      <c r="E8" s="50">
        <v>1509876.5</v>
      </c>
      <c r="F8" s="50">
        <v>1176881.5</v>
      </c>
      <c r="G8" s="17">
        <f t="shared" si="0"/>
        <v>5126504.5</v>
      </c>
      <c r="H8" s="17">
        <f t="shared" si="1"/>
        <v>332293.90451700956</v>
      </c>
      <c r="I8" s="17">
        <f t="shared" si="2"/>
        <v>4794210.5954829901</v>
      </c>
    </row>
    <row r="9" spans="1:9" ht="15.75" customHeight="1" x14ac:dyDescent="0.25">
      <c r="A9" s="5">
        <f t="shared" si="3"/>
        <v>2031</v>
      </c>
      <c r="B9" s="49">
        <v>288378</v>
      </c>
      <c r="C9" s="50">
        <v>903297.5</v>
      </c>
      <c r="D9" s="50">
        <v>1527319</v>
      </c>
      <c r="E9" s="50">
        <v>1515003.5</v>
      </c>
      <c r="F9" s="50">
        <v>1199926.5</v>
      </c>
      <c r="G9" s="17">
        <f t="shared" si="0"/>
        <v>5145546.5</v>
      </c>
      <c r="H9" s="17">
        <f t="shared" si="1"/>
        <v>330629.16743196419</v>
      </c>
      <c r="I9" s="17">
        <f t="shared" si="2"/>
        <v>4814917.3325680355</v>
      </c>
    </row>
    <row r="10" spans="1:9" ht="15.75" customHeight="1" x14ac:dyDescent="0.25">
      <c r="A10" s="5">
        <f t="shared" si="3"/>
        <v>2032</v>
      </c>
      <c r="B10" s="49">
        <v>286493</v>
      </c>
      <c r="C10" s="50">
        <v>891346</v>
      </c>
      <c r="D10" s="50">
        <v>1531204</v>
      </c>
      <c r="E10" s="50">
        <v>1517886.5</v>
      </c>
      <c r="F10" s="50">
        <v>1221673</v>
      </c>
      <c r="G10" s="17">
        <f t="shared" si="0"/>
        <v>5162109.5</v>
      </c>
      <c r="H10" s="17">
        <f t="shared" si="1"/>
        <v>328467.99015557958</v>
      </c>
      <c r="I10" s="17">
        <f t="shared" si="2"/>
        <v>4833641.5098444205</v>
      </c>
    </row>
    <row r="11" spans="1:9" ht="15.75" customHeight="1" x14ac:dyDescent="0.25">
      <c r="A11" s="5">
        <f t="shared" si="3"/>
        <v>2033</v>
      </c>
      <c r="B11" s="49">
        <v>284242</v>
      </c>
      <c r="C11" s="50">
        <v>882037.49999999988</v>
      </c>
      <c r="D11" s="50">
        <v>1532831</v>
      </c>
      <c r="E11" s="50">
        <v>1518802</v>
      </c>
      <c r="F11" s="50">
        <v>1241947.5</v>
      </c>
      <c r="G11" s="17">
        <f t="shared" si="0"/>
        <v>5175618</v>
      </c>
      <c r="H11" s="17">
        <f t="shared" si="1"/>
        <v>325887.18906850164</v>
      </c>
      <c r="I11" s="17">
        <f t="shared" si="2"/>
        <v>4849730.8109314982</v>
      </c>
    </row>
    <row r="12" spans="1:9" ht="15.75" customHeight="1" x14ac:dyDescent="0.25">
      <c r="A12" s="5">
        <f t="shared" si="3"/>
        <v>2034</v>
      </c>
      <c r="B12" s="49">
        <v>281809</v>
      </c>
      <c r="C12" s="50">
        <v>875655.5</v>
      </c>
      <c r="D12" s="50">
        <v>1531551.5</v>
      </c>
      <c r="E12" s="50">
        <v>1517810.5</v>
      </c>
      <c r="F12" s="50">
        <v>1260618.5</v>
      </c>
      <c r="G12" s="17">
        <f t="shared" si="0"/>
        <v>5185636</v>
      </c>
      <c r="H12" s="17">
        <f t="shared" si="1"/>
        <v>323097.72258922108</v>
      </c>
      <c r="I12" s="17">
        <f t="shared" si="2"/>
        <v>4862538.2774107791</v>
      </c>
    </row>
    <row r="13" spans="1:9" ht="15.75" customHeight="1" x14ac:dyDescent="0.25">
      <c r="A13" s="5">
        <f t="shared" si="3"/>
        <v>2035</v>
      </c>
      <c r="B13" s="49">
        <v>280280</v>
      </c>
      <c r="C13" s="50">
        <v>871304.5</v>
      </c>
      <c r="D13" s="50">
        <v>1528052.5</v>
      </c>
      <c r="E13" s="50">
        <v>1515411</v>
      </c>
      <c r="F13" s="50">
        <v>1277903.5</v>
      </c>
      <c r="G13" s="17">
        <f t="shared" si="0"/>
        <v>5192671.5</v>
      </c>
      <c r="H13" s="17">
        <f t="shared" si="1"/>
        <v>321344.70399208996</v>
      </c>
      <c r="I13" s="17">
        <f t="shared" si="2"/>
        <v>4871326.7960079098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9.4421100000000091E-2</v>
      </c>
    </row>
    <row r="5" spans="1:8" ht="15.75" customHeight="1" x14ac:dyDescent="0.25">
      <c r="B5" s="19" t="s">
        <v>70</v>
      </c>
      <c r="C5" s="101">
        <v>3.2750199999999993E-2</v>
      </c>
    </row>
    <row r="6" spans="1:8" ht="15.75" customHeight="1" x14ac:dyDescent="0.25">
      <c r="B6" s="19" t="s">
        <v>71</v>
      </c>
      <c r="C6" s="101">
        <v>0.1179866</v>
      </c>
    </row>
    <row r="7" spans="1:8" ht="15.75" customHeight="1" x14ac:dyDescent="0.25">
      <c r="B7" s="19" t="s">
        <v>72</v>
      </c>
      <c r="C7" s="101">
        <v>0.40071889999999949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0.2526860000000003</v>
      </c>
    </row>
    <row r="10" spans="1:8" ht="15.75" customHeight="1" x14ac:dyDescent="0.25">
      <c r="B10" s="19" t="s">
        <v>75</v>
      </c>
      <c r="C10" s="101">
        <v>0.1014372000000001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5.9475555032479699E-2</v>
      </c>
      <c r="D14" s="55">
        <v>5.9475555032479699E-2</v>
      </c>
      <c r="E14" s="55">
        <v>5.9475555032479699E-2</v>
      </c>
      <c r="F14" s="55">
        <v>5.9475555032479699E-2</v>
      </c>
    </row>
    <row r="15" spans="1:8" ht="15.75" customHeight="1" x14ac:dyDescent="0.25">
      <c r="B15" s="19" t="s">
        <v>82</v>
      </c>
      <c r="C15" s="101">
        <v>0.41431394664587951</v>
      </c>
      <c r="D15" s="101">
        <v>0.41431394664587951</v>
      </c>
      <c r="E15" s="101">
        <v>0.41431394664587951</v>
      </c>
      <c r="F15" s="101">
        <v>0.41431394664587951</v>
      </c>
    </row>
    <row r="16" spans="1:8" ht="15.75" customHeight="1" x14ac:dyDescent="0.25">
      <c r="B16" s="19" t="s">
        <v>83</v>
      </c>
      <c r="C16" s="101">
        <v>2.9739062085462981E-2</v>
      </c>
      <c r="D16" s="101">
        <v>2.9739062085462981E-2</v>
      </c>
      <c r="E16" s="101">
        <v>2.9739062085462981E-2</v>
      </c>
      <c r="F16" s="101">
        <v>2.9739062085462981E-2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1.6893002834047849E-2</v>
      </c>
      <c r="D19" s="101">
        <v>1.6893002834047849E-2</v>
      </c>
      <c r="E19" s="101">
        <v>1.6893002834047849E-2</v>
      </c>
      <c r="F19" s="101">
        <v>1.6893002834047849E-2</v>
      </c>
    </row>
    <row r="20" spans="1:8" ht="15.75" customHeight="1" x14ac:dyDescent="0.25">
      <c r="B20" s="19" t="s">
        <v>87</v>
      </c>
      <c r="C20" s="101">
        <v>4.3700973736667592E-2</v>
      </c>
      <c r="D20" s="101">
        <v>4.3700973736667592E-2</v>
      </c>
      <c r="E20" s="101">
        <v>4.3700973736667592E-2</v>
      </c>
      <c r="F20" s="101">
        <v>4.3700973736667592E-2</v>
      </c>
    </row>
    <row r="21" spans="1:8" ht="15.75" customHeight="1" x14ac:dyDescent="0.25">
      <c r="B21" s="19" t="s">
        <v>88</v>
      </c>
      <c r="C21" s="101">
        <v>0.330193747557116</v>
      </c>
      <c r="D21" s="101">
        <v>0.330193747557116</v>
      </c>
      <c r="E21" s="101">
        <v>0.330193747557116</v>
      </c>
      <c r="F21" s="101">
        <v>0.330193747557116</v>
      </c>
    </row>
    <row r="22" spans="1:8" ht="15.75" customHeight="1" x14ac:dyDescent="0.25">
      <c r="B22" s="19" t="s">
        <v>89</v>
      </c>
      <c r="C22" s="101">
        <v>0.1056837121083463</v>
      </c>
      <c r="D22" s="101">
        <v>0.1056837121083463</v>
      </c>
      <c r="E22" s="101">
        <v>0.1056837121083463</v>
      </c>
      <c r="F22" s="101">
        <v>0.1056837121083463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6.7922542000000002E-2</v>
      </c>
    </row>
    <row r="27" spans="1:8" ht="15.75" customHeight="1" x14ac:dyDescent="0.25">
      <c r="B27" s="19" t="s">
        <v>92</v>
      </c>
      <c r="C27" s="101">
        <v>3.9153998000000002E-2</v>
      </c>
    </row>
    <row r="28" spans="1:8" ht="15.75" customHeight="1" x14ac:dyDescent="0.25">
      <c r="B28" s="19" t="s">
        <v>93</v>
      </c>
      <c r="C28" s="101">
        <v>0.14092202700000001</v>
      </c>
    </row>
    <row r="29" spans="1:8" ht="15.75" customHeight="1" x14ac:dyDescent="0.25">
      <c r="B29" s="19" t="s">
        <v>94</v>
      </c>
      <c r="C29" s="101">
        <v>0.29517143400000001</v>
      </c>
    </row>
    <row r="30" spans="1:8" ht="15.75" customHeight="1" x14ac:dyDescent="0.25">
      <c r="B30" s="19" t="s">
        <v>95</v>
      </c>
      <c r="C30" s="101">
        <v>4.8052300999999999E-2</v>
      </c>
    </row>
    <row r="31" spans="1:8" ht="15.75" customHeight="1" x14ac:dyDescent="0.25">
      <c r="B31" s="19" t="s">
        <v>96</v>
      </c>
      <c r="C31" s="101">
        <v>8.049626E-2</v>
      </c>
    </row>
    <row r="32" spans="1:8" ht="15.75" customHeight="1" x14ac:dyDescent="0.25">
      <c r="B32" s="19" t="s">
        <v>97</v>
      </c>
      <c r="C32" s="101">
        <v>1.1478149E-2</v>
      </c>
    </row>
    <row r="33" spans="2:3" ht="15.75" customHeight="1" x14ac:dyDescent="0.25">
      <c r="B33" s="19" t="s">
        <v>98</v>
      </c>
      <c r="C33" s="101">
        <v>0.18240295500000001</v>
      </c>
    </row>
    <row r="34" spans="2:3" ht="15.75" customHeight="1" x14ac:dyDescent="0.25">
      <c r="B34" s="19" t="s">
        <v>99</v>
      </c>
      <c r="C34" s="101">
        <v>0.13440033400000001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0.40112313220861096</v>
      </c>
      <c r="D2" s="52">
        <f>IFERROR(1-_xlfn.NORM.DIST(_xlfn.NORM.INV(SUM(D4:D5), 0, 1) + 1, 0, 1, TRUE), "")</f>
        <v>0.40112313220861096</v>
      </c>
      <c r="E2" s="52">
        <f>IFERROR(1-_xlfn.NORM.DIST(_xlfn.NORM.INV(SUM(E4:E5), 0, 1) + 1, 0, 1, TRUE), "")</f>
        <v>0.39973960379490125</v>
      </c>
      <c r="F2" s="52">
        <f>IFERROR(1-_xlfn.NORM.DIST(_xlfn.NORM.INV(SUM(F4:F5), 0, 1) + 1, 0, 1, TRUE), "")</f>
        <v>0.30250579448511505</v>
      </c>
      <c r="G2" s="52">
        <f>IFERROR(1-_xlfn.NORM.DIST(_xlfn.NORM.INV(SUM(G4:G5), 0, 1) + 1, 0, 1, TRUE), "")</f>
        <v>0.43331125327208508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0.37211666779138902</v>
      </c>
      <c r="D3" s="52">
        <f>IFERROR(_xlfn.NORM.DIST(_xlfn.NORM.INV(SUM(D4:D5), 0, 1) + 1, 0, 1, TRUE) - SUM(D4:D5), "")</f>
        <v>0.37211666779138902</v>
      </c>
      <c r="E3" s="52">
        <f>IFERROR(_xlfn.NORM.DIST(_xlfn.NORM.INV(SUM(E4:E5), 0, 1) + 1, 0, 1, TRUE) - SUM(E4:E5), "")</f>
        <v>0.37242029620509876</v>
      </c>
      <c r="F3" s="52">
        <f>IFERROR(_xlfn.NORM.DIST(_xlfn.NORM.INV(SUM(F4:F5), 0, 1) + 1, 0, 1, TRUE) - SUM(F4:F5), "")</f>
        <v>0.38287280551488495</v>
      </c>
      <c r="G3" s="52">
        <f>IFERROR(_xlfn.NORM.DIST(_xlfn.NORM.INV(SUM(G4:G5), 0, 1) + 1, 0, 1, TRUE) - SUM(G4:G5), "")</f>
        <v>0.36399834672791487</v>
      </c>
    </row>
    <row r="4" spans="1:15" ht="15.75" customHeight="1" x14ac:dyDescent="0.25">
      <c r="B4" s="5" t="s">
        <v>104</v>
      </c>
      <c r="C4" s="45">
        <v>0.1208487</v>
      </c>
      <c r="D4" s="53">
        <v>0.1208487</v>
      </c>
      <c r="E4" s="53">
        <v>0.1336842</v>
      </c>
      <c r="F4" s="53">
        <v>0.19221740000000001</v>
      </c>
      <c r="G4" s="53">
        <v>0.14890880000000001</v>
      </c>
    </row>
    <row r="5" spans="1:15" ht="15.75" customHeight="1" x14ac:dyDescent="0.25">
      <c r="B5" s="5" t="s">
        <v>105</v>
      </c>
      <c r="C5" s="45">
        <v>0.10591150000000001</v>
      </c>
      <c r="D5" s="53">
        <v>0.10591150000000001</v>
      </c>
      <c r="E5" s="53">
        <v>9.4155900000000001E-2</v>
      </c>
      <c r="F5" s="53">
        <v>0.122404</v>
      </c>
      <c r="G5" s="53">
        <v>5.3781600000000013E-2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0.63826758365359426</v>
      </c>
      <c r="D8" s="52">
        <f>IFERROR(1-_xlfn.NORM.DIST(_xlfn.NORM.INV(SUM(D10:D11), 0, 1) + 1, 0, 1, TRUE), "")</f>
        <v>0.63826758365359426</v>
      </c>
      <c r="E8" s="52">
        <f>IFERROR(1-_xlfn.NORM.DIST(_xlfn.NORM.INV(SUM(E10:E11), 0, 1) + 1, 0, 1, TRUE), "")</f>
        <v>0.6851177116211753</v>
      </c>
      <c r="F8" s="52">
        <f>IFERROR(1-_xlfn.NORM.DIST(_xlfn.NORM.INV(SUM(F10:F11), 0, 1) + 1, 0, 1, TRUE), "")</f>
        <v>0.81752555802658022</v>
      </c>
      <c r="G8" s="52">
        <f>IFERROR(1-_xlfn.NORM.DIST(_xlfn.NORM.INV(SUM(G10:G11), 0, 1) + 1, 0, 1, TRUE), "")</f>
        <v>0.82506237856284637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0.27383741634640568</v>
      </c>
      <c r="D9" s="52">
        <f>IFERROR(_xlfn.NORM.DIST(_xlfn.NORM.INV(SUM(D10:D11), 0, 1) + 1, 0, 1, TRUE) - SUM(D10:D11), "")</f>
        <v>0.27383741634640568</v>
      </c>
      <c r="E9" s="52">
        <f>IFERROR(_xlfn.NORM.DIST(_xlfn.NORM.INV(SUM(E10:E11), 0, 1) + 1, 0, 1, TRUE) - SUM(E10:E11), "")</f>
        <v>0.24571988837882469</v>
      </c>
      <c r="F9" s="52">
        <f>IFERROR(_xlfn.NORM.DIST(_xlfn.NORM.INV(SUM(F10:F11), 0, 1) + 1, 0, 1, TRUE) - SUM(F10:F11), "")</f>
        <v>0.15414774197341979</v>
      </c>
      <c r="G9" s="52">
        <f>IFERROR(_xlfn.NORM.DIST(_xlfn.NORM.INV(SUM(G10:G11), 0, 1) + 1, 0, 1, TRUE) - SUM(G10:G11), "")</f>
        <v>0.14843212143715362</v>
      </c>
    </row>
    <row r="10" spans="1:15" ht="15.75" customHeight="1" x14ac:dyDescent="0.25">
      <c r="B10" s="5" t="s">
        <v>109</v>
      </c>
      <c r="C10" s="45">
        <v>6.1974400000000013E-2</v>
      </c>
      <c r="D10" s="53">
        <v>6.1974400000000013E-2</v>
      </c>
      <c r="E10" s="53">
        <v>4.8004100000000001E-2</v>
      </c>
      <c r="F10" s="53">
        <v>1.4466E-2</v>
      </c>
      <c r="G10" s="53">
        <v>1.6286100000000001E-2</v>
      </c>
    </row>
    <row r="11" spans="1:15" ht="15.75" customHeight="1" x14ac:dyDescent="0.25">
      <c r="B11" s="5" t="s">
        <v>110</v>
      </c>
      <c r="C11" s="45">
        <v>2.5920599999999999E-2</v>
      </c>
      <c r="D11" s="53">
        <v>2.5920599999999999E-2</v>
      </c>
      <c r="E11" s="53">
        <v>2.1158300000000001E-2</v>
      </c>
      <c r="F11" s="53">
        <v>1.38607E-2</v>
      </c>
      <c r="G11" s="53">
        <v>1.02194E-2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0.18063501800000001</v>
      </c>
      <c r="D14" s="54">
        <v>0.170571809943</v>
      </c>
      <c r="E14" s="54">
        <v>0.170571809943</v>
      </c>
      <c r="F14" s="54">
        <v>0.121825787856</v>
      </c>
      <c r="G14" s="54">
        <v>0.121825787856</v>
      </c>
      <c r="H14" s="45">
        <v>0.26400000000000001</v>
      </c>
      <c r="I14" s="55">
        <v>0.26400000000000001</v>
      </c>
      <c r="J14" s="55">
        <v>0.26400000000000001</v>
      </c>
      <c r="K14" s="55">
        <v>0.26400000000000001</v>
      </c>
      <c r="L14" s="45">
        <v>0.184</v>
      </c>
      <c r="M14" s="55">
        <v>0.184</v>
      </c>
      <c r="N14" s="55">
        <v>0.184</v>
      </c>
      <c r="O14" s="55">
        <v>0.184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0.100736898108276</v>
      </c>
      <c r="D15" s="52">
        <f t="shared" si="0"/>
        <v>9.5124828112632134E-2</v>
      </c>
      <c r="E15" s="52">
        <f t="shared" si="0"/>
        <v>9.5124828112632134E-2</v>
      </c>
      <c r="F15" s="52">
        <f t="shared" si="0"/>
        <v>6.7940049023109794E-2</v>
      </c>
      <c r="G15" s="52">
        <f t="shared" si="0"/>
        <v>6.7940049023109794E-2</v>
      </c>
      <c r="H15" s="52">
        <f t="shared" si="0"/>
        <v>0.147228048</v>
      </c>
      <c r="I15" s="52">
        <f t="shared" si="0"/>
        <v>0.147228048</v>
      </c>
      <c r="J15" s="52">
        <f t="shared" si="0"/>
        <v>0.147228048</v>
      </c>
      <c r="K15" s="52">
        <f t="shared" si="0"/>
        <v>0.147228048</v>
      </c>
      <c r="L15" s="52">
        <f t="shared" si="0"/>
        <v>0.102613488</v>
      </c>
      <c r="M15" s="52">
        <f t="shared" si="0"/>
        <v>0.102613488</v>
      </c>
      <c r="N15" s="52">
        <f t="shared" si="0"/>
        <v>0.102613488</v>
      </c>
      <c r="O15" s="52">
        <f t="shared" si="0"/>
        <v>0.102613488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0.76540940000000002</v>
      </c>
      <c r="D2" s="53">
        <v>0.57190620000000003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2.4179699999999998E-2</v>
      </c>
      <c r="D3" s="53">
        <v>8.36731E-2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0.14975620000000001</v>
      </c>
      <c r="D4" s="53">
        <v>0.27914949999999999</v>
      </c>
      <c r="E4" s="53">
        <v>0.85490650000000001</v>
      </c>
      <c r="F4" s="53">
        <v>0.5301382</v>
      </c>
      <c r="G4" s="53">
        <v>0</v>
      </c>
    </row>
    <row r="5" spans="1:7" x14ac:dyDescent="0.25">
      <c r="B5" s="3" t="s">
        <v>122</v>
      </c>
      <c r="C5" s="52">
        <v>6.0654600000000003E-2</v>
      </c>
      <c r="D5" s="52">
        <v>6.5271200000000001E-2</v>
      </c>
      <c r="E5" s="52">
        <f>1-SUM(E2:E4)</f>
        <v>0.14509349999999999</v>
      </c>
      <c r="F5" s="52">
        <f>1-SUM(F2:F4)</f>
        <v>0.4698618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69.98595024529601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40.148121577173832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601.85268684878201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1.888708090027355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13.28042102096974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13.28042102096974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13.28042102096974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13.28042102096974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13.28042102096974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13.28042102096974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0.98718682086509035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0.52564722222222204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0.57190620000000003</v>
      </c>
      <c r="C18" s="98">
        <v>0.95</v>
      </c>
      <c r="D18" s="56">
        <v>13.818442191631251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0.57190620000000003</v>
      </c>
      <c r="C19" s="98">
        <v>0.95</v>
      </c>
      <c r="D19" s="56">
        <v>13.818442191631251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30.960439902477539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23.05841012764267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4.4469886479598264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0.68347109796406003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18.844293755198361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0.44999919999999999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0.58568469999999995</v>
      </c>
      <c r="C29" s="98">
        <v>0.95</v>
      </c>
      <c r="D29" s="56">
        <v>140.93703453269751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0.69989222611764845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2.147228290957607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0.8722955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0.91284360000000009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3.4506874250287209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0.16113344000000004</v>
      </c>
      <c r="C3" s="21">
        <f>frac_mam_1_5months * 2.6</f>
        <v>0.16113344000000004</v>
      </c>
      <c r="D3" s="21">
        <f>frac_mam_6_11months * 2.6</f>
        <v>0.12481066</v>
      </c>
      <c r="E3" s="21">
        <f>frac_mam_12_23months * 2.6</f>
        <v>3.7611600000000002E-2</v>
      </c>
      <c r="F3" s="21">
        <f>frac_mam_24_59months * 2.6</f>
        <v>4.2343860000000004E-2</v>
      </c>
    </row>
    <row r="4" spans="1:6" ht="15.75" customHeight="1" x14ac:dyDescent="0.25">
      <c r="A4" s="3" t="s">
        <v>205</v>
      </c>
      <c r="B4" s="21">
        <f>frac_sam_1month * 2.6</f>
        <v>6.7393560000000005E-2</v>
      </c>
      <c r="C4" s="21">
        <f>frac_sam_1_5months * 2.6</f>
        <v>6.7393560000000005E-2</v>
      </c>
      <c r="D4" s="21">
        <f>frac_sam_6_11months * 2.6</f>
        <v>5.5011580000000004E-2</v>
      </c>
      <c r="E4" s="21">
        <f>frac_sam_12_23months * 2.6</f>
        <v>3.6037819999999998E-2</v>
      </c>
      <c r="F4" s="21">
        <f>frac_sam_24_59months * 2.6</f>
        <v>2.6570440000000001E-2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3.3000000000000002E-2</v>
      </c>
      <c r="E2" s="60">
        <f>food_insecure</f>
        <v>3.3000000000000002E-2</v>
      </c>
      <c r="F2" s="60">
        <f>food_insecure</f>
        <v>3.3000000000000002E-2</v>
      </c>
      <c r="G2" s="60">
        <f>food_insecure</f>
        <v>3.3000000000000002E-2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3.3000000000000002E-2</v>
      </c>
      <c r="F5" s="60">
        <f>food_insecure</f>
        <v>3.3000000000000002E-2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3.3000000000000002E-2</v>
      </c>
      <c r="F8" s="60">
        <f>food_insecure</f>
        <v>3.3000000000000002E-2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3.3000000000000002E-2</v>
      </c>
      <c r="F9" s="60">
        <f>food_insecure</f>
        <v>3.3000000000000002E-2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3.3000000000000002E-2</v>
      </c>
      <c r="I15" s="60">
        <f>food_insecure</f>
        <v>3.3000000000000002E-2</v>
      </c>
      <c r="J15" s="60">
        <f>food_insecure</f>
        <v>3.3000000000000002E-2</v>
      </c>
      <c r="K15" s="60">
        <f>food_insecure</f>
        <v>3.3000000000000002E-2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0.193</v>
      </c>
      <c r="M24" s="60">
        <f>famplan_unmet_need</f>
        <v>0.193</v>
      </c>
      <c r="N24" s="60">
        <f>famplan_unmet_need</f>
        <v>0.193</v>
      </c>
      <c r="O24" s="60">
        <f>famplan_unmet_need</f>
        <v>0.193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5.3299260803222628E-2</v>
      </c>
      <c r="M25" s="60">
        <f>(1-food_insecure)*(0.49)+food_insecure*(0.7)</f>
        <v>0.49692999999999998</v>
      </c>
      <c r="N25" s="60">
        <f>(1-food_insecure)*(0.49)+food_insecure*(0.7)</f>
        <v>0.49692999999999998</v>
      </c>
      <c r="O25" s="60">
        <f>(1-food_insecure)*(0.49)+food_insecure*(0.7)</f>
        <v>0.49692999999999998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2.2842540344238268E-2</v>
      </c>
      <c r="M26" s="60">
        <f>(1-food_insecure)*(0.21)+food_insecure*(0.3)</f>
        <v>0.21296999999999996</v>
      </c>
      <c r="N26" s="60">
        <f>(1-food_insecure)*(0.21)+food_insecure*(0.3)</f>
        <v>0.21296999999999996</v>
      </c>
      <c r="O26" s="60">
        <f>(1-food_insecure)*(0.21)+food_insecure*(0.3)</f>
        <v>0.21296999999999996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3.1115278930664046E-2</v>
      </c>
      <c r="M27" s="60">
        <f>(1-food_insecure)*(0.3)</f>
        <v>0.29009999999999997</v>
      </c>
      <c r="N27" s="60">
        <f>(1-food_insecure)*(0.3)</f>
        <v>0.29009999999999997</v>
      </c>
      <c r="O27" s="60">
        <f>(1-food_insecure)*(0.3)</f>
        <v>0.29009999999999997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0.89274291992187504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0.10792377018573929</v>
      </c>
      <c r="G18" s="90">
        <f>MIN(MAX(1-0.89/(1-frac_sam_12_23months+(frac_sam_12_23months*0.89)),0),1)</f>
        <v>0.10864096538117451</v>
      </c>
      <c r="H18" s="90">
        <f>MIN(MAX(1-0.89/(1-frac_sam_24_59months+(frac_sam_24_59months*0.89)),0),1)</f>
        <v>0.10899839480154183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0.10527545085976797</v>
      </c>
      <c r="G20" s="90">
        <f>MIN(MAX(1-0.89/(1-frac_mam_12_23months+(frac_mam_12_23months*0.89)),0),1)</f>
        <v>0.10858152143179356</v>
      </c>
      <c r="H20" s="90">
        <f>MIN(MAX(1-0.89/(1-frac_mam_24_59months+(frac_mam_24_59months*0.89)),0),1)</f>
        <v>0.10840272934594408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9.7904885009284515E-3</v>
      </c>
      <c r="G73" s="90">
        <f>MIN(MAX(1-0.99/(1-frac_sam_12_23months+(frac_sam_12_23months*0.99)),0),1)</f>
        <v>9.8627600475820199E-3</v>
      </c>
      <c r="H73" s="90">
        <f>MIN(MAX(1-0.99/(1-frac_sam_24_59months+(frac_sam_24_59months*0.99)),0),1)</f>
        <v>9.8988175997658523E-3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9.5245311654652554E-3</v>
      </c>
      <c r="G75" s="90">
        <f>MIN(MAX(1-0.99/(1-frac_mam_12_23months+(frac_mam_12_23months*0.99)),0),1)</f>
        <v>9.8567658797521496E-3</v>
      </c>
      <c r="H75" s="90">
        <f>MIN(MAX(1-0.99/(1-frac_mam_24_59months+(frac_mam_24_59months*0.99)),0),1)</f>
        <v>9.8387413472545981E-3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0.19660028556441145</v>
      </c>
      <c r="G128" s="90">
        <f>MIN(MAX(1-0.8/(1-frac_sam_12_23months+(frac_sam_12_23months*0.8)),0),1)</f>
        <v>0.19777612310189574</v>
      </c>
      <c r="H128" s="90">
        <f>MIN(MAX(1-0.8/(1-frac_sam_24_59months+(frac_sam_24_59months*0.8)),0),1)</f>
        <v>0.19836154719908927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0.19224488857109112</v>
      </c>
      <c r="G130" s="90">
        <f>MIN(MAX(1-0.8/(1-frac_mam_12_23months+(frac_mam_12_23months*0.8)),0),1)</f>
        <v>0.19767872408452136</v>
      </c>
      <c r="H130" s="90">
        <f>MIN(MAX(1-0.8/(1-frac_mam_24_59months+(frac_mam_24_59months*0.8)),0),1)</f>
        <v>0.19738570867802019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2024-08-06T06:31:21Z</dcterms:modified>
</cp:coreProperties>
</file>