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3968794-69AC-4BF5-BE98-9F676A74A1B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5" i="2"/>
  <c r="A24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25" i="2" l="1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<sst xmlns="http://schemas.openxmlformats.org/spreadsheetml/2006/main" count="2159" uniqueCount="372">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</sst>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1352402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9">
        <v>0.14159289999999999</v>
      </c>
    </row>
    <row r="31" spans="1:3" ht="14.25" customHeight="1" x14ac:dyDescent="0.25">
      <c r="B31" s="25" t="s">
        <v>28</v>
      </c>
      <c r="C31" s="99">
        <v>0.1189774</v>
      </c>
    </row>
    <row r="32" spans="1:3" ht="14.25" customHeight="1" x14ac:dyDescent="0.25">
      <c r="B32" s="25" t="s">
        <v>29</v>
      </c>
      <c r="C32" s="99">
        <v>0.49426419999999999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268769</v>
      </c>
      <c r="C2" s="49">
        <v>773041</v>
      </c>
      <c r="D2" s="49">
        <v>1529546</v>
      </c>
      <c r="E2" s="49">
        <v>1405010.5</v>
      </c>
      <c r="F2" s="49">
        <v>1156356.4999999998</v>
      </c>
      <c r="G2" s="17">
        <f t="shared" ref="G2:G13" si="0">C2+D2+E2+F2</f>
        <v>4863954</v>
      </c>
      <c r="H2" s="17">
        <f t="shared" ref="H2:H13" si="1">(B2 + stillbirth*B2/(1000-stillbirth))/(1-abortion)</f>
        <v>308147.191191844</v>
      </c>
      <c r="I2" s="17">
        <f t="shared" ref="I2:I13" si="2">G2-H2</f>
        <v>4555806.8088081563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267665</v>
      </c>
      <c r="C3" s="50">
        <v>777827</v>
      </c>
      <c r="D3" s="50">
        <v>1527887.0000000002</v>
      </c>
      <c r="E3" s="50">
        <v>1420577.4999999998</v>
      </c>
      <c r="F3" s="50">
        <v>1182642</v>
      </c>
      <c r="G3" s="17">
        <f t="shared" si="0"/>
        <v>4908933.5</v>
      </c>
      <c r="H3" s="17">
        <f t="shared" si="1"/>
        <v>306881.44068090041</v>
      </c>
      <c r="I3" s="17">
        <f t="shared" si="2"/>
        <v>4602052.0593190994</v>
      </c>
    </row>
    <row r="4" spans="1:9" ht="15.75" customHeight="1" x14ac:dyDescent="0.25">
      <c r="A4" s="5">
        <f t="shared" si="3"/>
        <v>2026</v>
      </c>
      <c r="B4" s="49">
        <v>267031</v>
      </c>
      <c r="C4" s="50">
        <v>783126.5</v>
      </c>
      <c r="D4" s="50">
        <v>1525328.5</v>
      </c>
      <c r="E4" s="50">
        <v>1437137.4999999998</v>
      </c>
      <c r="F4" s="50">
        <v>1207564.5</v>
      </c>
      <c r="G4" s="17">
        <f t="shared" si="0"/>
        <v>4953157</v>
      </c>
      <c r="H4" s="17">
        <f t="shared" si="1"/>
        <v>306154.551347623</v>
      </c>
      <c r="I4" s="17">
        <f t="shared" si="2"/>
        <v>4647002.4486523774</v>
      </c>
    </row>
    <row r="5" spans="1:9" ht="15.75" customHeight="1" x14ac:dyDescent="0.25">
      <c r="A5" s="5">
        <f t="shared" si="3"/>
        <v>2027</v>
      </c>
      <c r="B5" s="49">
        <v>266500</v>
      </c>
      <c r="C5" s="50">
        <v>787501</v>
      </c>
      <c r="D5" s="50">
        <v>1523123</v>
      </c>
      <c r="E5" s="50">
        <v>1453826.5</v>
      </c>
      <c r="F5" s="50">
        <v>1231114</v>
      </c>
      <c r="G5" s="17">
        <f t="shared" si="0"/>
        <v>4995564.5</v>
      </c>
      <c r="H5" s="17">
        <f t="shared" si="1"/>
        <v>305545.75286817463</v>
      </c>
      <c r="I5" s="17">
        <f t="shared" si="2"/>
        <v>4690018.7471318254</v>
      </c>
    </row>
    <row r="6" spans="1:9" ht="15.75" customHeight="1" x14ac:dyDescent="0.25">
      <c r="A6" s="5">
        <f t="shared" si="3"/>
        <v>2028</v>
      </c>
      <c r="B6" s="49">
        <v>266158</v>
      </c>
      <c r="C6" s="50">
        <v>785422.5</v>
      </c>
      <c r="D6" s="50">
        <v>1522994</v>
      </c>
      <c r="E6" s="50">
        <v>1469146.4999999998</v>
      </c>
      <c r="F6" s="50">
        <v>1253829.5</v>
      </c>
      <c r="G6" s="17">
        <f t="shared" si="0"/>
        <v>5031392.5</v>
      </c>
      <c r="H6" s="17">
        <f t="shared" si="1"/>
        <v>305153.64537293662</v>
      </c>
      <c r="I6" s="17">
        <f t="shared" si="2"/>
        <v>4726238.8546270635</v>
      </c>
    </row>
    <row r="7" spans="1:9" ht="15.75" customHeight="1" x14ac:dyDescent="0.25">
      <c r="A7" s="5">
        <f t="shared" si="3"/>
        <v>2029</v>
      </c>
      <c r="B7" s="49">
        <v>265457</v>
      </c>
      <c r="C7" s="50">
        <v>775764.5</v>
      </c>
      <c r="D7" s="50">
        <v>1525801.5</v>
      </c>
      <c r="E7" s="50">
        <v>1481941.5</v>
      </c>
      <c r="F7" s="50">
        <v>1276659.5</v>
      </c>
      <c r="G7" s="17">
        <f t="shared" si="0"/>
        <v>5060167</v>
      </c>
      <c r="H7" s="17">
        <f t="shared" si="1"/>
        <v>304349.93965901324</v>
      </c>
      <c r="I7" s="17">
        <f t="shared" si="2"/>
        <v>4755817.0603409866</v>
      </c>
    </row>
    <row r="8" spans="1:9" ht="15.75" customHeight="1" x14ac:dyDescent="0.25">
      <c r="A8" s="5">
        <f t="shared" si="3"/>
        <v>2030</v>
      </c>
      <c r="B8" s="49">
        <v>264848</v>
      </c>
      <c r="C8" s="50">
        <v>762646.5</v>
      </c>
      <c r="D8" s="50">
        <v>1530032</v>
      </c>
      <c r="E8" s="50">
        <v>1491766</v>
      </c>
      <c r="F8" s="50">
        <v>1299558.5</v>
      </c>
      <c r="G8" s="17">
        <f t="shared" si="0"/>
        <v>5084003</v>
      </c>
      <c r="H8" s="17">
        <f t="shared" si="1"/>
        <v>303651.7131543351</v>
      </c>
      <c r="I8" s="17">
        <f t="shared" si="2"/>
        <v>4780351.2868456645</v>
      </c>
    </row>
    <row r="9" spans="1:9" ht="15.75" customHeight="1" x14ac:dyDescent="0.25">
      <c r="A9" s="5">
        <f t="shared" si="3"/>
        <v>2031</v>
      </c>
      <c r="B9" s="49">
        <v>263893</v>
      </c>
      <c r="C9" s="50">
        <v>746116</v>
      </c>
      <c r="D9" s="50">
        <v>1535483</v>
      </c>
      <c r="E9" s="50">
        <v>1498593</v>
      </c>
      <c r="F9" s="50">
        <v>1322163.5</v>
      </c>
      <c r="G9" s="17">
        <f t="shared" si="0"/>
        <v>5102355.5</v>
      </c>
      <c r="H9" s="17">
        <f t="shared" si="1"/>
        <v>302556.79310184316</v>
      </c>
      <c r="I9" s="17">
        <f t="shared" si="2"/>
        <v>4799798.7068981566</v>
      </c>
    </row>
    <row r="10" spans="1:9" ht="15.75" customHeight="1" x14ac:dyDescent="0.25">
      <c r="A10" s="5">
        <f t="shared" si="3"/>
        <v>2032</v>
      </c>
      <c r="B10" s="49">
        <v>262592</v>
      </c>
      <c r="C10" s="50">
        <v>729631.5</v>
      </c>
      <c r="D10" s="50">
        <v>1540805.5</v>
      </c>
      <c r="E10" s="50">
        <v>1502809</v>
      </c>
      <c r="F10" s="50">
        <v>1344120</v>
      </c>
      <c r="G10" s="17">
        <f t="shared" si="0"/>
        <v>5117366</v>
      </c>
      <c r="H10" s="17">
        <f t="shared" si="1"/>
        <v>301065.17950153735</v>
      </c>
      <c r="I10" s="17">
        <f t="shared" si="2"/>
        <v>4816300.8204984628</v>
      </c>
    </row>
    <row r="11" spans="1:9" ht="15.75" customHeight="1" x14ac:dyDescent="0.25">
      <c r="A11" s="5">
        <f t="shared" si="3"/>
        <v>2033</v>
      </c>
      <c r="B11" s="49">
        <v>261452.99999999997</v>
      </c>
      <c r="C11" s="50">
        <v>720093</v>
      </c>
      <c r="D11" s="50">
        <v>1541290.5</v>
      </c>
      <c r="E11" s="50">
        <v>1505592.5</v>
      </c>
      <c r="F11" s="50">
        <v>1364389.9999999998</v>
      </c>
      <c r="G11" s="17">
        <f t="shared" si="0"/>
        <v>5131366</v>
      </c>
      <c r="H11" s="17">
        <f t="shared" si="1"/>
        <v>299759.30103055475</v>
      </c>
      <c r="I11" s="17">
        <f t="shared" si="2"/>
        <v>4831606.6989694452</v>
      </c>
    </row>
    <row r="12" spans="1:9" ht="15.75" customHeight="1" x14ac:dyDescent="0.25">
      <c r="A12" s="5">
        <f t="shared" si="3"/>
        <v>2034</v>
      </c>
      <c r="B12" s="49">
        <v>259986</v>
      </c>
      <c r="C12" s="50">
        <v>714634.5</v>
      </c>
      <c r="D12" s="50">
        <v>1536759.5</v>
      </c>
      <c r="E12" s="50">
        <v>1507619.0000000002</v>
      </c>
      <c r="F12" s="50">
        <v>1382187.5</v>
      </c>
      <c r="G12" s="17">
        <f t="shared" si="0"/>
        <v>5141200.5</v>
      </c>
      <c r="H12" s="17">
        <f t="shared" si="1"/>
        <v>298077.36624834989</v>
      </c>
      <c r="I12" s="17">
        <f t="shared" si="2"/>
        <v>4843123.1337516503</v>
      </c>
    </row>
    <row r="13" spans="1:9" ht="15.75" customHeight="1" x14ac:dyDescent="0.25">
      <c r="A13" s="5">
        <f t="shared" si="3"/>
        <v>2035</v>
      </c>
      <c r="B13" s="49">
        <v>258658.00000000003</v>
      </c>
      <c r="C13" s="50">
        <v>708534.5</v>
      </c>
      <c r="D13" s="50">
        <v>1529568.4999999998</v>
      </c>
      <c r="E13" s="50">
        <v>1508565</v>
      </c>
      <c r="F13" s="50">
        <v>1399054.5</v>
      </c>
      <c r="G13" s="17">
        <f t="shared" si="0"/>
        <v>5145722.5</v>
      </c>
      <c r="H13" s="17">
        <f t="shared" si="1"/>
        <v>296554.79679315694</v>
      </c>
      <c r="I13" s="17">
        <f t="shared" si="2"/>
        <v>4849167.7032068428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9.4421100000000091E-2</v>
      </c>
    </row>
    <row r="5" spans="1:8" ht="15.75" customHeight="1" x14ac:dyDescent="0.25">
      <c r="B5" s="19" t="s">
        <v>70</v>
      </c>
      <c r="C5" s="101">
        <v>3.2750199999999993E-2</v>
      </c>
    </row>
    <row r="6" spans="1:8" ht="15.75" customHeight="1" x14ac:dyDescent="0.25">
      <c r="B6" s="19" t="s">
        <v>71</v>
      </c>
      <c r="C6" s="101">
        <v>0.1179866</v>
      </c>
    </row>
    <row r="7" spans="1:8" ht="15.75" customHeight="1" x14ac:dyDescent="0.25">
      <c r="B7" s="19" t="s">
        <v>72</v>
      </c>
      <c r="C7" s="101">
        <v>0.40071889999999949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0.2526860000000003</v>
      </c>
    </row>
    <row r="10" spans="1:8" ht="15.75" customHeight="1" x14ac:dyDescent="0.25">
      <c r="B10" s="19" t="s">
        <v>75</v>
      </c>
      <c r="C10" s="101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83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87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89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101">
        <v>3.9153998000000002E-2</v>
      </c>
    </row>
    <row r="28" spans="1:8" ht="15.75" customHeight="1" x14ac:dyDescent="0.25">
      <c r="B28" s="19" t="s">
        <v>93</v>
      </c>
      <c r="C28" s="101">
        <v>0.14092202700000001</v>
      </c>
    </row>
    <row r="29" spans="1:8" ht="15.75" customHeight="1" x14ac:dyDescent="0.25">
      <c r="B29" s="19" t="s">
        <v>94</v>
      </c>
      <c r="C29" s="101">
        <v>0.29517143400000001</v>
      </c>
    </row>
    <row r="30" spans="1:8" ht="15.75" customHeight="1" x14ac:dyDescent="0.25">
      <c r="B30" s="19" t="s">
        <v>95</v>
      </c>
      <c r="C30" s="101">
        <v>4.8052300999999999E-2</v>
      </c>
    </row>
    <row r="31" spans="1:8" ht="15.75" customHeight="1" x14ac:dyDescent="0.25">
      <c r="B31" s="19" t="s">
        <v>96</v>
      </c>
      <c r="C31" s="101">
        <v>8.049626E-2</v>
      </c>
    </row>
    <row r="32" spans="1:8" ht="15.75" customHeight="1" x14ac:dyDescent="0.25">
      <c r="B32" s="19" t="s">
        <v>97</v>
      </c>
      <c r="C32" s="101">
        <v>1.1478149E-2</v>
      </c>
    </row>
    <row r="33" spans="2:3" ht="15.75" customHeight="1" x14ac:dyDescent="0.25">
      <c r="B33" s="19" t="s">
        <v>98</v>
      </c>
      <c r="C33" s="101">
        <v>0.18240295500000001</v>
      </c>
    </row>
    <row r="34" spans="2:3" ht="15.75" customHeight="1" x14ac:dyDescent="0.25">
      <c r="B34" s="19" t="s">
        <v>99</v>
      </c>
      <c r="C34" s="101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6.065469999999995E-2</v>
      </c>
      <c r="D5" s="52">
        <f t="shared" si="0"/>
        <v>6.5271199999999974E-2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6391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0.54978000000000005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0.57489999999999997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1.7098553792749306E-2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98612.38192</v>
      </c>
      <c r="C22" s="109">
        <v>98471.543890000001</v>
      </c>
      <c r="D22" s="109">
        <v>98287.624890000006</v>
      </c>
      <c r="E22" s="109">
        <v>97953.012220000004</v>
      </c>
      <c r="F22" s="109">
        <v>97454.361680000002</v>
      </c>
      <c r="G22" s="109">
        <v>96961.6734</v>
      </c>
      <c r="H22" s="109">
        <v>96380.391199999998</v>
      </c>
      <c r="I22" s="109">
        <v>95641.088480000006</v>
      </c>
      <c r="J22" s="109">
        <v>94822.714500000002</v>
      </c>
      <c r="K22" s="109">
        <v>93678.981750000006</v>
      </c>
      <c r="L22" s="109">
        <v>91955.330029999997</v>
      </c>
      <c r="M22" s="109">
        <v>89340.673030000005</v>
      </c>
      <c r="N22" s="109">
        <v>85605.360969999994</v>
      </c>
      <c r="O22" s="109">
        <v>79528.155599999998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13.28042102096974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13.28042102096974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13.28042102096974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13.28042102096974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13.28042102096974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13.28042102096974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0.52564722222222204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0.57190620000000003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0.57190620000000003</v>
      </c>
      <c r="C19" s="98">
        <v>0.95</v>
      </c>
      <c r="D19" s="56">
        <v>13.818442191631251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4.4469886479598264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0.68347109796406003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0.44999919999999999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0.58568469999999995</v>
      </c>
      <c r="C29" s="98">
        <v>0.95</v>
      </c>
      <c r="D29" s="56">
        <v>140.93703453269751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0.8722955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0.91284360000000009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198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3.3000000000000002E-2</v>
      </c>
      <c r="F2" s="60">
        <f>food_insecure</f>
        <v>3.3000000000000002E-2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3.3000000000000002E-2</v>
      </c>
      <c r="I15" s="60">
        <f t="shared" si="0"/>
        <v>3.3000000000000002E-2</v>
      </c>
      <c r="J15" s="60">
        <f t="shared" si="0"/>
        <v>3.3000000000000002E-2</v>
      </c>
      <c r="K15" s="60">
        <f t="shared" si="0"/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3.3000000000000002E-2</v>
      </c>
      <c r="I16" s="60">
        <f t="shared" si="0"/>
        <v>3.3000000000000002E-2</v>
      </c>
      <c r="J16" s="60">
        <f t="shared" si="0"/>
        <v>3.3000000000000002E-2</v>
      </c>
      <c r="K16" s="60">
        <f t="shared" si="0"/>
        <v>3.3000000000000002E-2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