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FF51974-2B1E-4751-9A43-72B0A353EFF6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28" i="2"/>
  <c r="A27" i="2"/>
  <c r="A24" i="2"/>
  <c r="A20" i="2"/>
  <c r="A19" i="2"/>
  <c r="A16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14" i="2"/>
  <c r="A22" i="2"/>
  <c r="A30" i="2"/>
  <c r="A38" i="2"/>
  <c r="A40" i="2"/>
  <c r="A15" i="2"/>
  <c r="A23" i="2"/>
  <c r="A31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<sst xmlns="http://schemas.openxmlformats.org/spreadsheetml/2006/main" count="2094" uniqueCount="341">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</sst>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503774.5703125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0.16</v>
      </c>
    </row>
    <row r="10" spans="1:3" ht="15" customHeight="1" x14ac:dyDescent="0.25">
      <c r="B10" s="5" t="s">
        <v>10</v>
      </c>
      <c r="C10" s="45">
        <v>0.30309999999999998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8.4900000000000003E-2</v>
      </c>
    </row>
    <row r="24" spans="1:3" ht="15" customHeight="1" x14ac:dyDescent="0.25">
      <c r="B24" s="15" t="s">
        <v>22</v>
      </c>
      <c r="C24" s="45">
        <v>0.46400000000000002</v>
      </c>
    </row>
    <row r="25" spans="1:3" ht="15" customHeight="1" x14ac:dyDescent="0.25">
      <c r="B25" s="15" t="s">
        <v>23</v>
      </c>
      <c r="C25" s="45">
        <v>0.35129999999999989</v>
      </c>
    </row>
    <row r="26" spans="1:3" ht="15" customHeight="1" x14ac:dyDescent="0.25">
      <c r="B26" s="15" t="s">
        <v>24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0.21829699999999999</v>
      </c>
    </row>
    <row r="30" spans="1:3" ht="14.25" customHeight="1" x14ac:dyDescent="0.25">
      <c r="B30" s="25" t="s">
        <v>27</v>
      </c>
      <c r="C30" s="99">
        <v>7.5314300000000001E-2</v>
      </c>
    </row>
    <row r="31" spans="1:3" ht="14.25" customHeight="1" x14ac:dyDescent="0.25">
      <c r="B31" s="25" t="s">
        <v>28</v>
      </c>
      <c r="C31" s="99">
        <v>0.11899999999999999</v>
      </c>
    </row>
    <row r="32" spans="1:3" ht="14.25" customHeight="1" x14ac:dyDescent="0.25">
      <c r="B32" s="25" t="s">
        <v>29</v>
      </c>
      <c r="C32" s="99">
        <v>0.58738869999999999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17.335930000000001</v>
      </c>
    </row>
    <row r="38" spans="1:5" ht="15" customHeight="1" x14ac:dyDescent="0.25">
      <c r="B38" s="11" t="s">
        <v>34</v>
      </c>
      <c r="C38" s="43">
        <v>28.94961</v>
      </c>
      <c r="D38" s="12"/>
      <c r="E38" s="13"/>
    </row>
    <row r="39" spans="1:5" ht="15" customHeight="1" x14ac:dyDescent="0.25">
      <c r="B39" s="11" t="s">
        <v>35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100">
        <v>3.22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7.9316999999999999E-3</v>
      </c>
      <c r="D45" s="12"/>
    </row>
    <row r="46" spans="1:5" ht="15.75" customHeight="1" x14ac:dyDescent="0.25">
      <c r="B46" s="11" t="s">
        <v>41</v>
      </c>
      <c r="C46" s="45">
        <v>8.5224899999999992E-2</v>
      </c>
      <c r="D46" s="12"/>
    </row>
    <row r="47" spans="1:5" ht="15.75" customHeight="1" x14ac:dyDescent="0.25">
      <c r="B47" s="11" t="s">
        <v>42</v>
      </c>
      <c r="C47" s="45">
        <v>7.3457800000000004E-2</v>
      </c>
      <c r="D47" s="12"/>
      <c r="E47" s="13"/>
    </row>
    <row r="48" spans="1:5" ht="15" customHeight="1" x14ac:dyDescent="0.25">
      <c r="B48" s="11" t="s">
        <v>43</v>
      </c>
      <c r="C48" s="46">
        <v>0.83338560000000006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0.50167899999999999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0.15160000000000001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107286</v>
      </c>
      <c r="C2" s="49">
        <v>275962.5</v>
      </c>
      <c r="D2" s="49">
        <v>350286</v>
      </c>
      <c r="E2" s="49">
        <v>211773</v>
      </c>
      <c r="F2" s="49">
        <v>144809</v>
      </c>
      <c r="G2" s="17">
        <f t="shared" ref="G2:G13" si="0">C2+D2+E2+F2</f>
        <v>982830.5</v>
      </c>
      <c r="H2" s="17">
        <f t="shared" ref="H2:H13" si="1">(B2 + stillbirth*B2/(1000-stillbirth))/(1-abortion)</f>
        <v>123915.60711395918</v>
      </c>
      <c r="I2" s="17">
        <f t="shared" ref="I2:I13" si="2">G2-H2</f>
        <v>858914.89288604085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108679</v>
      </c>
      <c r="C3" s="50">
        <v>277892.5</v>
      </c>
      <c r="D3" s="50">
        <v>364123.49999999988</v>
      </c>
      <c r="E3" s="50">
        <v>218688</v>
      </c>
      <c r="F3" s="50">
        <v>147036.5</v>
      </c>
      <c r="G3" s="17">
        <f t="shared" si="0"/>
        <v>1007740.4999999999</v>
      </c>
      <c r="H3" s="17">
        <f t="shared" si="1"/>
        <v>125524.52571200315</v>
      </c>
      <c r="I3" s="17">
        <f t="shared" si="2"/>
        <v>882215.97428799677</v>
      </c>
    </row>
    <row r="4" spans="1:9" ht="15.75" customHeight="1" x14ac:dyDescent="0.25">
      <c r="A4" s="5">
        <f t="shared" si="3"/>
        <v>2026</v>
      </c>
      <c r="B4" s="49">
        <v>109897</v>
      </c>
      <c r="C4" s="50">
        <v>279236.99999999988</v>
      </c>
      <c r="D4" s="50">
        <v>376094</v>
      </c>
      <c r="E4" s="50">
        <v>228269</v>
      </c>
      <c r="F4" s="50">
        <v>149249.5</v>
      </c>
      <c r="G4" s="17">
        <f t="shared" si="0"/>
        <v>1032849.4999999999</v>
      </c>
      <c r="H4" s="17">
        <f t="shared" si="1"/>
        <v>126931.31885803155</v>
      </c>
      <c r="I4" s="17">
        <f t="shared" si="2"/>
        <v>905918.18114196835</v>
      </c>
    </row>
    <row r="5" spans="1:9" ht="15.75" customHeight="1" x14ac:dyDescent="0.25">
      <c r="A5" s="5">
        <f t="shared" si="3"/>
        <v>2027</v>
      </c>
      <c r="B5" s="49">
        <v>111776</v>
      </c>
      <c r="C5" s="50">
        <v>280189.5</v>
      </c>
      <c r="D5" s="50">
        <v>386187.5</v>
      </c>
      <c r="E5" s="50">
        <v>239987</v>
      </c>
      <c r="F5" s="50">
        <v>151529</v>
      </c>
      <c r="G5" s="17">
        <f t="shared" si="0"/>
        <v>1057893</v>
      </c>
      <c r="H5" s="17">
        <f t="shared" si="1"/>
        <v>129101.56871138733</v>
      </c>
      <c r="I5" s="17">
        <f t="shared" si="2"/>
        <v>928791.43128861266</v>
      </c>
    </row>
    <row r="6" spans="1:9" ht="15.75" customHeight="1" x14ac:dyDescent="0.25">
      <c r="A6" s="5">
        <f t="shared" si="3"/>
        <v>2028</v>
      </c>
      <c r="B6" s="49">
        <v>113415</v>
      </c>
      <c r="C6" s="50">
        <v>281051</v>
      </c>
      <c r="D6" s="50">
        <v>396432.5</v>
      </c>
      <c r="E6" s="50">
        <v>251416</v>
      </c>
      <c r="F6" s="50">
        <v>153967</v>
      </c>
      <c r="G6" s="17">
        <f t="shared" si="0"/>
        <v>1082866.5</v>
      </c>
      <c r="H6" s="17">
        <f t="shared" si="1"/>
        <v>130994.61794483603</v>
      </c>
      <c r="I6" s="17">
        <f t="shared" si="2"/>
        <v>951871.88205516397</v>
      </c>
    </row>
    <row r="7" spans="1:9" ht="15.75" customHeight="1" x14ac:dyDescent="0.25">
      <c r="A7" s="5">
        <f t="shared" si="3"/>
        <v>2029</v>
      </c>
      <c r="B7" s="49">
        <v>114328</v>
      </c>
      <c r="C7" s="50">
        <v>280942.5</v>
      </c>
      <c r="D7" s="50">
        <v>407210.00000000012</v>
      </c>
      <c r="E7" s="50">
        <v>262756.5</v>
      </c>
      <c r="F7" s="50">
        <v>156688.5</v>
      </c>
      <c r="G7" s="17">
        <f t="shared" si="0"/>
        <v>1107597.5</v>
      </c>
      <c r="H7" s="17">
        <f t="shared" si="1"/>
        <v>132049.13530306588</v>
      </c>
      <c r="I7" s="17">
        <f t="shared" si="2"/>
        <v>975548.36469693412</v>
      </c>
    </row>
    <row r="8" spans="1:9" ht="15.75" customHeight="1" x14ac:dyDescent="0.25">
      <c r="A8" s="5">
        <f t="shared" si="3"/>
        <v>2030</v>
      </c>
      <c r="B8" s="49">
        <v>115732</v>
      </c>
      <c r="C8" s="50">
        <v>279947.5</v>
      </c>
      <c r="D8" s="50">
        <v>417870</v>
      </c>
      <c r="E8" s="50">
        <v>274506.5</v>
      </c>
      <c r="F8" s="50">
        <v>159702</v>
      </c>
      <c r="G8" s="17">
        <f t="shared" si="0"/>
        <v>1132026</v>
      </c>
      <c r="H8" s="17">
        <f t="shared" si="1"/>
        <v>133670.75892952224</v>
      </c>
      <c r="I8" s="17">
        <f t="shared" si="2"/>
        <v>998355.24107047776</v>
      </c>
    </row>
    <row r="9" spans="1:9" ht="15.75" customHeight="1" x14ac:dyDescent="0.25">
      <c r="A9" s="5">
        <f t="shared" si="3"/>
        <v>2031</v>
      </c>
      <c r="B9" s="49">
        <v>116752</v>
      </c>
      <c r="C9" s="50">
        <v>278789.50000000012</v>
      </c>
      <c r="D9" s="50">
        <v>427743.5</v>
      </c>
      <c r="E9" s="50">
        <v>286855</v>
      </c>
      <c r="F9" s="50">
        <v>162924</v>
      </c>
      <c r="G9" s="17">
        <f t="shared" si="0"/>
        <v>1156312</v>
      </c>
      <c r="H9" s="17">
        <f t="shared" si="1"/>
        <v>134848.86156412729</v>
      </c>
      <c r="I9" s="17">
        <f t="shared" si="2"/>
        <v>1021463.1384358727</v>
      </c>
    </row>
    <row r="10" spans="1:9" ht="15.75" customHeight="1" x14ac:dyDescent="0.25">
      <c r="A10" s="5">
        <f t="shared" si="3"/>
        <v>2032</v>
      </c>
      <c r="B10" s="49">
        <v>117648</v>
      </c>
      <c r="C10" s="50">
        <v>277729</v>
      </c>
      <c r="D10" s="50">
        <v>436071</v>
      </c>
      <c r="E10" s="50">
        <v>300085.5</v>
      </c>
      <c r="F10" s="50">
        <v>166320.5</v>
      </c>
      <c r="G10" s="17">
        <f t="shared" si="0"/>
        <v>1180206</v>
      </c>
      <c r="H10" s="17">
        <f t="shared" si="1"/>
        <v>135883.74387844704</v>
      </c>
      <c r="I10" s="17">
        <f t="shared" si="2"/>
        <v>1044322.256121553</v>
      </c>
    </row>
    <row r="11" spans="1:9" ht="15.75" customHeight="1" x14ac:dyDescent="0.25">
      <c r="A11" s="5">
        <f t="shared" si="3"/>
        <v>2033</v>
      </c>
      <c r="B11" s="49">
        <v>118560</v>
      </c>
      <c r="C11" s="50">
        <v>277367.5</v>
      </c>
      <c r="D11" s="50">
        <v>442362</v>
      </c>
      <c r="E11" s="50">
        <v>314280.5</v>
      </c>
      <c r="F11" s="50">
        <v>170188.5</v>
      </c>
      <c r="G11" s="17">
        <f t="shared" si="0"/>
        <v>1204198.5</v>
      </c>
      <c r="H11" s="17">
        <f t="shared" si="1"/>
        <v>136937.10623409392</v>
      </c>
      <c r="I11" s="17">
        <f t="shared" si="2"/>
        <v>1067261.3937659061</v>
      </c>
    </row>
    <row r="12" spans="1:9" ht="15.75" customHeight="1" x14ac:dyDescent="0.25">
      <c r="A12" s="5">
        <f t="shared" si="3"/>
        <v>2034</v>
      </c>
      <c r="B12" s="49">
        <v>118811</v>
      </c>
      <c r="C12" s="50">
        <v>277695</v>
      </c>
      <c r="D12" s="50">
        <v>446557</v>
      </c>
      <c r="E12" s="50">
        <v>328919.5</v>
      </c>
      <c r="F12" s="50">
        <v>174679</v>
      </c>
      <c r="G12" s="17">
        <f t="shared" si="0"/>
        <v>1227850.5</v>
      </c>
      <c r="H12" s="17">
        <f t="shared" si="1"/>
        <v>137227.01188241341</v>
      </c>
      <c r="I12" s="17">
        <f t="shared" si="2"/>
        <v>1090623.4881175866</v>
      </c>
    </row>
    <row r="13" spans="1:9" ht="15.75" customHeight="1" x14ac:dyDescent="0.25">
      <c r="A13" s="5">
        <f t="shared" si="3"/>
        <v>2035</v>
      </c>
      <c r="B13" s="49">
        <v>119568</v>
      </c>
      <c r="C13" s="50">
        <v>279009</v>
      </c>
      <c r="D13" s="50">
        <v>448648.99999999988</v>
      </c>
      <c r="E13" s="50">
        <v>343753.5</v>
      </c>
      <c r="F13" s="50">
        <v>180478.5</v>
      </c>
      <c r="G13" s="17">
        <f t="shared" si="0"/>
        <v>1251890</v>
      </c>
      <c r="H13" s="17">
        <f t="shared" si="1"/>
        <v>138101.34883770361</v>
      </c>
      <c r="I13" s="17">
        <f t="shared" si="2"/>
        <v>1113788.6511622963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9.54159904584009E-3</v>
      </c>
    </row>
    <row r="4" spans="1:8" ht="15.75" customHeight="1" x14ac:dyDescent="0.25">
      <c r="B4" s="19" t="s">
        <v>69</v>
      </c>
      <c r="C4" s="101">
        <v>6.4930893506910725E-2</v>
      </c>
    </row>
    <row r="5" spans="1:8" ht="15.75" customHeight="1" x14ac:dyDescent="0.25">
      <c r="B5" s="19" t="s">
        <v>70</v>
      </c>
      <c r="C5" s="101">
        <v>8.333079166692095E-2</v>
      </c>
    </row>
    <row r="6" spans="1:8" ht="15.75" customHeight="1" x14ac:dyDescent="0.25">
      <c r="B6" s="19" t="s">
        <v>71</v>
      </c>
      <c r="C6" s="101">
        <v>0.24122667587733301</v>
      </c>
    </row>
    <row r="7" spans="1:8" ht="15.75" customHeight="1" x14ac:dyDescent="0.25">
      <c r="B7" s="19" t="s">
        <v>72</v>
      </c>
      <c r="C7" s="101">
        <v>0.41004985899501339</v>
      </c>
    </row>
    <row r="8" spans="1:8" ht="15.75" customHeight="1" x14ac:dyDescent="0.25">
      <c r="B8" s="19" t="s">
        <v>73</v>
      </c>
      <c r="C8" s="101">
        <v>1.193399880660011E-3</v>
      </c>
    </row>
    <row r="9" spans="1:8" ht="15.75" customHeight="1" x14ac:dyDescent="0.25">
      <c r="B9" s="19" t="s">
        <v>74</v>
      </c>
      <c r="C9" s="101">
        <v>8.1527291847270894E-2</v>
      </c>
    </row>
    <row r="10" spans="1:8" ht="15.75" customHeight="1" x14ac:dyDescent="0.25">
      <c r="B10" s="19" t="s">
        <v>75</v>
      </c>
      <c r="C10" s="101">
        <v>0.108199489180051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82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83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84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85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86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87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88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89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8.7620265000000017E-2</v>
      </c>
    </row>
    <row r="27" spans="1:8" ht="15.75" customHeight="1" x14ac:dyDescent="0.25">
      <c r="B27" s="19" t="s">
        <v>92</v>
      </c>
      <c r="C27" s="101">
        <v>8.4936790000000005E-3</v>
      </c>
    </row>
    <row r="28" spans="1:8" ht="15.75" customHeight="1" x14ac:dyDescent="0.25">
      <c r="B28" s="19" t="s">
        <v>93</v>
      </c>
      <c r="C28" s="101">
        <v>0.15420750799999999</v>
      </c>
    </row>
    <row r="29" spans="1:8" ht="15.75" customHeight="1" x14ac:dyDescent="0.25">
      <c r="B29" s="19" t="s">
        <v>94</v>
      </c>
      <c r="C29" s="101">
        <v>0.168404365</v>
      </c>
    </row>
    <row r="30" spans="1:8" ht="15.75" customHeight="1" x14ac:dyDescent="0.25">
      <c r="B30" s="19" t="s">
        <v>95</v>
      </c>
      <c r="C30" s="101">
        <v>0.105568509</v>
      </c>
    </row>
    <row r="31" spans="1:8" ht="15.75" customHeight="1" x14ac:dyDescent="0.25">
      <c r="B31" s="19" t="s">
        <v>96</v>
      </c>
      <c r="C31" s="101">
        <v>0.10981025899999999</v>
      </c>
    </row>
    <row r="32" spans="1:8" ht="15.75" customHeight="1" x14ac:dyDescent="0.25">
      <c r="B32" s="19" t="s">
        <v>97</v>
      </c>
      <c r="C32" s="101">
        <v>1.8832593000000002E-2</v>
      </c>
    </row>
    <row r="33" spans="2:3" ht="15.75" customHeight="1" x14ac:dyDescent="0.25">
      <c r="B33" s="19" t="s">
        <v>98</v>
      </c>
      <c r="C33" s="101">
        <v>8.4520607999999997E-2</v>
      </c>
    </row>
    <row r="34" spans="2:3" ht="15.75" customHeight="1" x14ac:dyDescent="0.25">
      <c r="B34" s="19" t="s">
        <v>99</v>
      </c>
      <c r="C34" s="101">
        <v>0.26254221300000002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122</v>
      </c>
      <c r="C5" s="52">
        <v>0</v>
      </c>
      <c r="D5" s="52">
        <v>1E-3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0.17454155599999999</v>
      </c>
      <c r="C3" s="98">
        <v>0.95</v>
      </c>
      <c r="D3" s="56">
        <v>13.1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116.95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0.1622916426232176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15.05101211717766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15.05101211717766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15.05101211717766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15.05101211717766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15.05101211717766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15.05101211717766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2.5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4.23121776E-2</v>
      </c>
      <c r="C18" s="98">
        <v>0.95</v>
      </c>
      <c r="D18" s="56">
        <v>7.29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0.1193997</v>
      </c>
      <c r="C19" s="98">
        <v>0.95</v>
      </c>
      <c r="D19" s="56">
        <v>7.29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0.51764500000000002</v>
      </c>
      <c r="C21" s="98">
        <v>0.95</v>
      </c>
      <c r="D21" s="56">
        <v>7.48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25.652464004019169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4.9325180741630454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0.32062773119999999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0.25143555359999997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88.01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0.78</v>
      </c>
      <c r="C31" s="98">
        <v>0.95</v>
      </c>
      <c r="D31" s="56">
        <v>180.94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0.42499999999999999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0.434</v>
      </c>
      <c r="C38" s="98">
        <v>0.95</v>
      </c>
      <c r="D38" s="56">
        <v>2.4500000000000002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205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0.4076307480000001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0.17469889200000002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0.11457036000000002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0.30309999999999998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0.16</v>
      </c>
      <c r="D34" s="60">
        <f t="shared" si="3"/>
        <v>0.16</v>
      </c>
      <c r="E34" s="60">
        <f t="shared" si="3"/>
        <v>0.16</v>
      </c>
      <c r="F34" s="60">
        <f t="shared" si="3"/>
        <v>0.16</v>
      </c>
      <c r="G34" s="60">
        <f t="shared" si="3"/>
        <v>0.16</v>
      </c>
      <c r="H34" s="60">
        <f t="shared" si="3"/>
        <v>0.16</v>
      </c>
      <c r="I34" s="60">
        <f t="shared" si="3"/>
        <v>0.16</v>
      </c>
      <c r="J34" s="60">
        <f t="shared" si="3"/>
        <v>0.16</v>
      </c>
      <c r="K34" s="60">
        <f t="shared" si="3"/>
        <v>0.16</v>
      </c>
      <c r="L34" s="60">
        <f t="shared" si="3"/>
        <v>0.16</v>
      </c>
      <c r="M34" s="60">
        <f t="shared" si="3"/>
        <v>0.16</v>
      </c>
      <c r="N34" s="60">
        <f t="shared" si="3"/>
        <v>0.16</v>
      </c>
      <c r="O34" s="60">
        <f t="shared" si="3"/>
        <v>0.16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986FB3E-D20B-4C99-8614-7B3159AF3BA0}"/>
</file>

<file path=customXml/itemProps2.xml><?xml version="1.0" encoding="utf-8"?>
<ds:datastoreItem xmlns:ds="http://schemas.openxmlformats.org/officeDocument/2006/customXml" ds:itemID="{3C93A9B2-E0B8-4F6E-9F46-4E3C8F5E7B4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2024-04-11T00:40:26Z</dcterms:modified>
</cp:coreProperties>
</file>