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5225F89-689D-46F3-8AE8-933831AF377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<sst xmlns="http://schemas.openxmlformats.org/spreadsheetml/2006/main" count="2103" uniqueCount="341">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</sst>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0.30309999999999998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0.15160000000000001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107286</v>
      </c>
      <c r="C2" s="49">
        <v>275962.5</v>
      </c>
      <c r="D2" s="49">
        <v>350286</v>
      </c>
      <c r="E2" s="49">
        <v>211773</v>
      </c>
      <c r="F2" s="49">
        <v>144809</v>
      </c>
      <c r="G2" s="17">
        <f t="shared" ref="G2:G13" si="0">C2+D2+E2+F2</f>
        <v>982830.5</v>
      </c>
      <c r="H2" s="17">
        <f t="shared" ref="H2:H13" si="1">(B2 + stillbirth*B2/(1000-stillbirth))/(1-abortion)</f>
        <v>123915.60711395918</v>
      </c>
      <c r="I2" s="17">
        <f t="shared" ref="I2:I13" si="2">G2-H2</f>
        <v>858914.89288604085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108679</v>
      </c>
      <c r="C3" s="50">
        <v>277892.5</v>
      </c>
      <c r="D3" s="50">
        <v>364123.49999999988</v>
      </c>
      <c r="E3" s="50">
        <v>218688</v>
      </c>
      <c r="F3" s="50">
        <v>147036.5</v>
      </c>
      <c r="G3" s="17">
        <f t="shared" si="0"/>
        <v>1007740.4999999999</v>
      </c>
      <c r="H3" s="17">
        <f t="shared" si="1"/>
        <v>125524.52571200315</v>
      </c>
      <c r="I3" s="17">
        <f t="shared" si="2"/>
        <v>882215.97428799677</v>
      </c>
    </row>
    <row r="4" spans="1:9" ht="15.75" customHeight="1" x14ac:dyDescent="0.25">
      <c r="A4" s="5">
        <f t="shared" si="3"/>
        <v>2026</v>
      </c>
      <c r="B4" s="49">
        <v>109897</v>
      </c>
      <c r="C4" s="50">
        <v>279236.99999999988</v>
      </c>
      <c r="D4" s="50">
        <v>376094</v>
      </c>
      <c r="E4" s="50">
        <v>228269</v>
      </c>
      <c r="F4" s="50">
        <v>149249.5</v>
      </c>
      <c r="G4" s="17">
        <f t="shared" si="0"/>
        <v>1032849.4999999999</v>
      </c>
      <c r="H4" s="17">
        <f t="shared" si="1"/>
        <v>126931.31885803155</v>
      </c>
      <c r="I4" s="17">
        <f t="shared" si="2"/>
        <v>905918.18114196835</v>
      </c>
    </row>
    <row r="5" spans="1:9" ht="15.75" customHeight="1" x14ac:dyDescent="0.25">
      <c r="A5" s="5">
        <f t="shared" si="3"/>
        <v>2027</v>
      </c>
      <c r="B5" s="49">
        <v>111776</v>
      </c>
      <c r="C5" s="50">
        <v>280189.5</v>
      </c>
      <c r="D5" s="50">
        <v>386187.5</v>
      </c>
      <c r="E5" s="50">
        <v>239987</v>
      </c>
      <c r="F5" s="50">
        <v>151529</v>
      </c>
      <c r="G5" s="17">
        <f t="shared" si="0"/>
        <v>1057893</v>
      </c>
      <c r="H5" s="17">
        <f t="shared" si="1"/>
        <v>129101.56871138733</v>
      </c>
      <c r="I5" s="17">
        <f t="shared" si="2"/>
        <v>928791.43128861266</v>
      </c>
    </row>
    <row r="6" spans="1:9" ht="15.75" customHeight="1" x14ac:dyDescent="0.25">
      <c r="A6" s="5">
        <f t="shared" si="3"/>
        <v>2028</v>
      </c>
      <c r="B6" s="49">
        <v>113415</v>
      </c>
      <c r="C6" s="50">
        <v>281051</v>
      </c>
      <c r="D6" s="50">
        <v>396432.5</v>
      </c>
      <c r="E6" s="50">
        <v>251416</v>
      </c>
      <c r="F6" s="50">
        <v>153967</v>
      </c>
      <c r="G6" s="17">
        <f t="shared" si="0"/>
        <v>1082866.5</v>
      </c>
      <c r="H6" s="17">
        <f t="shared" si="1"/>
        <v>130994.61794483603</v>
      </c>
      <c r="I6" s="17">
        <f t="shared" si="2"/>
        <v>951871.88205516397</v>
      </c>
    </row>
    <row r="7" spans="1:9" ht="15.75" customHeight="1" x14ac:dyDescent="0.25">
      <c r="A7" s="5">
        <f t="shared" si="3"/>
        <v>2029</v>
      </c>
      <c r="B7" s="49">
        <v>114328</v>
      </c>
      <c r="C7" s="50">
        <v>280942.5</v>
      </c>
      <c r="D7" s="50">
        <v>407210.00000000012</v>
      </c>
      <c r="E7" s="50">
        <v>262756.5</v>
      </c>
      <c r="F7" s="50">
        <v>156688.5</v>
      </c>
      <c r="G7" s="17">
        <f t="shared" si="0"/>
        <v>1107597.5</v>
      </c>
      <c r="H7" s="17">
        <f t="shared" si="1"/>
        <v>132049.13530306588</v>
      </c>
      <c r="I7" s="17">
        <f t="shared" si="2"/>
        <v>975548.36469693412</v>
      </c>
    </row>
    <row r="8" spans="1:9" ht="15.75" customHeight="1" x14ac:dyDescent="0.25">
      <c r="A8" s="5">
        <f t="shared" si="3"/>
        <v>2030</v>
      </c>
      <c r="B8" s="49">
        <v>115732</v>
      </c>
      <c r="C8" s="50">
        <v>279947.5</v>
      </c>
      <c r="D8" s="50">
        <v>417870</v>
      </c>
      <c r="E8" s="50">
        <v>274506.5</v>
      </c>
      <c r="F8" s="50">
        <v>159702</v>
      </c>
      <c r="G8" s="17">
        <f t="shared" si="0"/>
        <v>1132026</v>
      </c>
      <c r="H8" s="17">
        <f t="shared" si="1"/>
        <v>133670.75892952224</v>
      </c>
      <c r="I8" s="17">
        <f t="shared" si="2"/>
        <v>998355.24107047776</v>
      </c>
    </row>
    <row r="9" spans="1:9" ht="15.75" customHeight="1" x14ac:dyDescent="0.25">
      <c r="A9" s="5">
        <f t="shared" si="3"/>
        <v>2031</v>
      </c>
      <c r="B9" s="49">
        <v>116752</v>
      </c>
      <c r="C9" s="50">
        <v>278789.50000000012</v>
      </c>
      <c r="D9" s="50">
        <v>427743.5</v>
      </c>
      <c r="E9" s="50">
        <v>286855</v>
      </c>
      <c r="F9" s="50">
        <v>162924</v>
      </c>
      <c r="G9" s="17">
        <f t="shared" si="0"/>
        <v>1156312</v>
      </c>
      <c r="H9" s="17">
        <f t="shared" si="1"/>
        <v>134848.86156412729</v>
      </c>
      <c r="I9" s="17">
        <f t="shared" si="2"/>
        <v>1021463.1384358727</v>
      </c>
    </row>
    <row r="10" spans="1:9" ht="15.75" customHeight="1" x14ac:dyDescent="0.25">
      <c r="A10" s="5">
        <f t="shared" si="3"/>
        <v>2032</v>
      </c>
      <c r="B10" s="49">
        <v>117648</v>
      </c>
      <c r="C10" s="50">
        <v>277729</v>
      </c>
      <c r="D10" s="50">
        <v>436071</v>
      </c>
      <c r="E10" s="50">
        <v>300085.5</v>
      </c>
      <c r="F10" s="50">
        <v>166320.5</v>
      </c>
      <c r="G10" s="17">
        <f t="shared" si="0"/>
        <v>1180206</v>
      </c>
      <c r="H10" s="17">
        <f t="shared" si="1"/>
        <v>135883.74387844704</v>
      </c>
      <c r="I10" s="17">
        <f t="shared" si="2"/>
        <v>1044322.256121553</v>
      </c>
    </row>
    <row r="11" spans="1:9" ht="15.75" customHeight="1" x14ac:dyDescent="0.25">
      <c r="A11" s="5">
        <f t="shared" si="3"/>
        <v>2033</v>
      </c>
      <c r="B11" s="49">
        <v>118560</v>
      </c>
      <c r="C11" s="50">
        <v>277367.5</v>
      </c>
      <c r="D11" s="50">
        <v>442362</v>
      </c>
      <c r="E11" s="50">
        <v>314280.5</v>
      </c>
      <c r="F11" s="50">
        <v>170188.5</v>
      </c>
      <c r="G11" s="17">
        <f t="shared" si="0"/>
        <v>1204198.5</v>
      </c>
      <c r="H11" s="17">
        <f t="shared" si="1"/>
        <v>136937.10623409392</v>
      </c>
      <c r="I11" s="17">
        <f t="shared" si="2"/>
        <v>1067261.3937659061</v>
      </c>
    </row>
    <row r="12" spans="1:9" ht="15.75" customHeight="1" x14ac:dyDescent="0.25">
      <c r="A12" s="5">
        <f t="shared" si="3"/>
        <v>2034</v>
      </c>
      <c r="B12" s="49">
        <v>118811</v>
      </c>
      <c r="C12" s="50">
        <v>277695</v>
      </c>
      <c r="D12" s="50">
        <v>446557</v>
      </c>
      <c r="E12" s="50">
        <v>328919.5</v>
      </c>
      <c r="F12" s="50">
        <v>174679</v>
      </c>
      <c r="G12" s="17">
        <f t="shared" si="0"/>
        <v>1227850.5</v>
      </c>
      <c r="H12" s="17">
        <f t="shared" si="1"/>
        <v>137227.01188241341</v>
      </c>
      <c r="I12" s="17">
        <f t="shared" si="2"/>
        <v>1090623.4881175866</v>
      </c>
    </row>
    <row r="13" spans="1:9" ht="15.75" customHeight="1" x14ac:dyDescent="0.25">
      <c r="A13" s="5">
        <f t="shared" si="3"/>
        <v>2035</v>
      </c>
      <c r="B13" s="49">
        <v>119568</v>
      </c>
      <c r="C13" s="50">
        <v>279009</v>
      </c>
      <c r="D13" s="50">
        <v>448648.99999999988</v>
      </c>
      <c r="E13" s="50">
        <v>343753.5</v>
      </c>
      <c r="F13" s="50">
        <v>180478.5</v>
      </c>
      <c r="G13" s="17">
        <f t="shared" si="0"/>
        <v>1251890</v>
      </c>
      <c r="H13" s="17">
        <f t="shared" si="1"/>
        <v>138101.34883770361</v>
      </c>
      <c r="I13" s="17">
        <f t="shared" si="2"/>
        <v>1113788.6511622963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101">
        <v>6.4930893506910725E-2</v>
      </c>
    </row>
    <row r="5" spans="1:8" ht="15.75" customHeight="1" x14ac:dyDescent="0.25">
      <c r="B5" s="19" t="s">
        <v>70</v>
      </c>
      <c r="C5" s="101">
        <v>8.333079166692095E-2</v>
      </c>
    </row>
    <row r="6" spans="1:8" ht="15.75" customHeight="1" x14ac:dyDescent="0.25">
      <c r="B6" s="19" t="s">
        <v>71</v>
      </c>
      <c r="C6" s="101">
        <v>0.24122667587733301</v>
      </c>
    </row>
    <row r="7" spans="1:8" ht="15.75" customHeight="1" x14ac:dyDescent="0.25">
      <c r="B7" s="19" t="s">
        <v>72</v>
      </c>
      <c r="C7" s="101">
        <v>0.41004985899501339</v>
      </c>
    </row>
    <row r="8" spans="1:8" ht="15.75" customHeight="1" x14ac:dyDescent="0.25">
      <c r="B8" s="19" t="s">
        <v>73</v>
      </c>
      <c r="C8" s="101">
        <v>1.193399880660011E-3</v>
      </c>
    </row>
    <row r="9" spans="1:8" ht="15.75" customHeight="1" x14ac:dyDescent="0.25">
      <c r="B9" s="19" t="s">
        <v>74</v>
      </c>
      <c r="C9" s="101">
        <v>8.1527291847270894E-2</v>
      </c>
    </row>
    <row r="10" spans="1:8" ht="15.75" customHeight="1" x14ac:dyDescent="0.25">
      <c r="B10" s="19" t="s">
        <v>75</v>
      </c>
      <c r="C10" s="101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83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84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85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86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87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89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101">
        <v>8.4936790000000005E-3</v>
      </c>
    </row>
    <row r="28" spans="1:8" ht="15.75" customHeight="1" x14ac:dyDescent="0.25">
      <c r="B28" s="19" t="s">
        <v>93</v>
      </c>
      <c r="C28" s="101">
        <v>0.15420750799999999</v>
      </c>
    </row>
    <row r="29" spans="1:8" ht="15.75" customHeight="1" x14ac:dyDescent="0.25">
      <c r="B29" s="19" t="s">
        <v>94</v>
      </c>
      <c r="C29" s="101">
        <v>0.168404365</v>
      </c>
    </row>
    <row r="30" spans="1:8" ht="15.75" customHeight="1" x14ac:dyDescent="0.25">
      <c r="B30" s="19" t="s">
        <v>95</v>
      </c>
      <c r="C30" s="101">
        <v>0.105568509</v>
      </c>
    </row>
    <row r="31" spans="1:8" ht="15.75" customHeight="1" x14ac:dyDescent="0.25">
      <c r="B31" s="19" t="s">
        <v>96</v>
      </c>
      <c r="C31" s="101">
        <v>0.10981025899999999</v>
      </c>
    </row>
    <row r="32" spans="1:8" ht="15.75" customHeight="1" x14ac:dyDescent="0.25">
      <c r="B32" s="19" t="s">
        <v>97</v>
      </c>
      <c r="C32" s="101">
        <v>1.8832593000000002E-2</v>
      </c>
    </row>
    <row r="33" spans="2:3" ht="15.75" customHeight="1" x14ac:dyDescent="0.25">
      <c r="B33" s="19" t="s">
        <v>98</v>
      </c>
      <c r="C33" s="101">
        <v>8.4520607999999997E-2</v>
      </c>
    </row>
    <row r="34" spans="2:3" ht="15.75" customHeight="1" x14ac:dyDescent="0.25">
      <c r="B34" s="19" t="s">
        <v>99</v>
      </c>
      <c r="C34" s="101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13.1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116.95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0.1622916426232176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0.14499999999999999</v>
      </c>
      <c r="C16" s="98">
        <v>0.95</v>
      </c>
      <c r="D16" s="56">
        <v>2.5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0.25800000000000001</v>
      </c>
      <c r="C18" s="98">
        <v>0.95</v>
      </c>
      <c r="D18" s="56">
        <v>7.29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0.25800000000000001</v>
      </c>
      <c r="C19" s="98">
        <v>0.95</v>
      </c>
      <c r="D19" s="56">
        <v>7.29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0.70900000000000007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0.24025928639999999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0.434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0.42499999999999999</v>
      </c>
      <c r="C29" s="98">
        <v>0.95</v>
      </c>
      <c r="D29" s="56">
        <v>88.01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0.65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0.26800000000000002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0.51764500000000002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2.4500000000000002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0.4076307480000001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0.17469889200000002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0.11457036000000002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0.30309999999999998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2024-06-18T06:55:03Z</dcterms:modified>
</cp:coreProperties>
</file>