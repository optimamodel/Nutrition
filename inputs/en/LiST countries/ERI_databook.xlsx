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7E50EA1-0280-45AD-B5DE-AB5DF78588A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A2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2" i="2"/>
  <c r="I6" i="2"/>
  <c r="A19" i="2"/>
  <c r="A35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<sst xmlns="http://schemas.openxmlformats.org/spreadsheetml/2006/main" count="2169" uniqueCount="373">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</sst>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502472.00000000012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0.40256750000000002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0.21829699999999999</v>
      </c>
    </row>
    <row r="30" spans="1:3" ht="14.25" customHeight="1" x14ac:dyDescent="0.25">
      <c r="B30" s="25" t="s">
        <v>27</v>
      </c>
      <c r="C30" s="97">
        <v>7.5314300000000001E-2</v>
      </c>
    </row>
    <row r="31" spans="1:3" ht="14.25" customHeight="1" x14ac:dyDescent="0.25">
      <c r="B31" s="25" t="s">
        <v>28</v>
      </c>
      <c r="C31" s="97">
        <v>0.11899999999999999</v>
      </c>
    </row>
    <row r="32" spans="1:3" ht="14.25" customHeight="1" x14ac:dyDescent="0.25">
      <c r="B32" s="25" t="s">
        <v>29</v>
      </c>
      <c r="C32" s="97">
        <v>0.58738869999999999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98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1.8460000000000001</v>
      </c>
      <c r="D51" s="12"/>
    </row>
    <row r="52" spans="1:4" ht="15" customHeight="1" x14ac:dyDescent="0.25">
      <c r="B52" s="11" t="s">
        <v>46</v>
      </c>
      <c r="C52" s="98">
        <v>1.8460000000000001</v>
      </c>
    </row>
    <row r="53" spans="1:4" ht="15.75" customHeight="1" x14ac:dyDescent="0.25">
      <c r="B53" s="11" t="s">
        <v>47</v>
      </c>
      <c r="C53" s="98">
        <v>5.3039999999999994</v>
      </c>
    </row>
    <row r="54" spans="1:4" ht="15.75" customHeight="1" x14ac:dyDescent="0.25">
      <c r="B54" s="11" t="s">
        <v>48</v>
      </c>
      <c r="C54" s="98">
        <v>5.8760000000000003</v>
      </c>
    </row>
    <row r="55" spans="1:4" ht="15.75" customHeight="1" x14ac:dyDescent="0.25">
      <c r="B55" s="11" t="s">
        <v>49</v>
      </c>
      <c r="C55" s="98">
        <v>2.8166666666666669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476046.5</v>
      </c>
      <c r="C2" s="49">
        <v>115986</v>
      </c>
      <c r="D2" s="49">
        <v>213467.5</v>
      </c>
      <c r="E2" s="49">
        <v>416290.5</v>
      </c>
      <c r="F2" s="49">
        <v>325508</v>
      </c>
      <c r="G2" s="17">
        <f t="shared" ref="G2:G13" si="0">C2+D2+E2+F2</f>
        <v>1071252</v>
      </c>
      <c r="H2" s="17">
        <f t="shared" ref="H2:H13" si="1">(B2 + stillbirth*B2/(1000-stillbirth))/(1-abortion)</f>
        <v>549834.93710246787</v>
      </c>
      <c r="I2" s="17">
        <f t="shared" ref="I2:I13" si="2">G2-H2</f>
        <v>521417.06289753213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101539</v>
      </c>
      <c r="C3" s="50">
        <v>211512</v>
      </c>
      <c r="D3" s="50">
        <v>326817.5</v>
      </c>
      <c r="E3" s="50">
        <v>194239.50000000003</v>
      </c>
      <c r="F3" s="50">
        <v>144839.99999999997</v>
      </c>
      <c r="G3" s="17">
        <f t="shared" si="0"/>
        <v>877409</v>
      </c>
      <c r="H3" s="17">
        <f t="shared" si="1"/>
        <v>117277.80726976773</v>
      </c>
      <c r="I3" s="17">
        <f t="shared" si="2"/>
        <v>760131.19273023226</v>
      </c>
    </row>
    <row r="4" spans="1:9" ht="15.75" customHeight="1" x14ac:dyDescent="0.25">
      <c r="A4" s="5">
        <f t="shared" si="3"/>
        <v>2026</v>
      </c>
      <c r="B4" s="49">
        <v>103276</v>
      </c>
      <c r="C4" s="50">
        <v>213414.5</v>
      </c>
      <c r="D4" s="50">
        <v>340270</v>
      </c>
      <c r="E4" s="50">
        <v>202782.5</v>
      </c>
      <c r="F4" s="50">
        <v>145983</v>
      </c>
      <c r="G4" s="17">
        <f t="shared" si="0"/>
        <v>902450</v>
      </c>
      <c r="H4" s="17">
        <f t="shared" si="1"/>
        <v>119284.04675634517</v>
      </c>
      <c r="I4" s="17">
        <f t="shared" si="2"/>
        <v>783165.9532436548</v>
      </c>
    </row>
    <row r="5" spans="1:9" ht="15.75" customHeight="1" x14ac:dyDescent="0.25">
      <c r="A5" s="5">
        <f t="shared" si="3"/>
        <v>2027</v>
      </c>
      <c r="B5" s="49">
        <v>105398</v>
      </c>
      <c r="C5" s="50">
        <v>214842</v>
      </c>
      <c r="D5" s="50">
        <v>351986.99999999994</v>
      </c>
      <c r="E5" s="50">
        <v>213441.50000000003</v>
      </c>
      <c r="F5" s="50">
        <v>147714.5</v>
      </c>
      <c r="G5" s="17">
        <f t="shared" si="0"/>
        <v>927985</v>
      </c>
      <c r="H5" s="17">
        <f t="shared" si="1"/>
        <v>121734.96223735687</v>
      </c>
      <c r="I5" s="17">
        <f t="shared" si="2"/>
        <v>806250.03776264307</v>
      </c>
    </row>
    <row r="6" spans="1:9" ht="15.75" customHeight="1" x14ac:dyDescent="0.25">
      <c r="A6" s="5">
        <f t="shared" si="3"/>
        <v>2028</v>
      </c>
      <c r="B6" s="49">
        <v>107199</v>
      </c>
      <c r="C6" s="50">
        <v>216074</v>
      </c>
      <c r="D6" s="50">
        <v>361609.00000000006</v>
      </c>
      <c r="E6" s="50">
        <v>225442</v>
      </c>
      <c r="F6" s="50">
        <v>150261</v>
      </c>
      <c r="G6" s="17">
        <f t="shared" si="0"/>
        <v>953386</v>
      </c>
      <c r="H6" s="17">
        <f t="shared" si="1"/>
        <v>123815.12188924287</v>
      </c>
      <c r="I6" s="17">
        <f t="shared" si="2"/>
        <v>829570.8781107571</v>
      </c>
    </row>
    <row r="7" spans="1:9" ht="15.75" customHeight="1" x14ac:dyDescent="0.25">
      <c r="A7" s="5">
        <f t="shared" si="3"/>
        <v>2029</v>
      </c>
      <c r="B7" s="49">
        <v>108940</v>
      </c>
      <c r="C7" s="50">
        <v>217081.5</v>
      </c>
      <c r="D7" s="50">
        <v>371204</v>
      </c>
      <c r="E7" s="50">
        <v>236910.5</v>
      </c>
      <c r="F7" s="50">
        <v>153461.5</v>
      </c>
      <c r="G7" s="17">
        <f t="shared" si="0"/>
        <v>978657.5</v>
      </c>
      <c r="H7" s="17">
        <f t="shared" si="1"/>
        <v>125825.9813861521</v>
      </c>
      <c r="I7" s="17">
        <f t="shared" si="2"/>
        <v>852831.5186138479</v>
      </c>
    </row>
    <row r="8" spans="1:9" ht="15.75" customHeight="1" x14ac:dyDescent="0.25">
      <c r="A8" s="5">
        <f t="shared" si="3"/>
        <v>2030</v>
      </c>
      <c r="B8" s="49">
        <v>110590</v>
      </c>
      <c r="C8" s="50">
        <v>217242</v>
      </c>
      <c r="D8" s="50">
        <v>380964.5</v>
      </c>
      <c r="E8" s="50">
        <v>248238.99999999997</v>
      </c>
      <c r="F8" s="50">
        <v>156988.5</v>
      </c>
      <c r="G8" s="17">
        <f t="shared" si="0"/>
        <v>1003434</v>
      </c>
      <c r="H8" s="17">
        <f t="shared" si="1"/>
        <v>127731.7356480132</v>
      </c>
      <c r="I8" s="17">
        <f t="shared" si="2"/>
        <v>875702.26435198681</v>
      </c>
    </row>
    <row r="9" spans="1:9" ht="15.75" customHeight="1" x14ac:dyDescent="0.25">
      <c r="A9" s="5">
        <f t="shared" si="3"/>
        <v>2031</v>
      </c>
      <c r="B9" s="49">
        <v>111974</v>
      </c>
      <c r="C9" s="50">
        <v>216570.5</v>
      </c>
      <c r="D9" s="50">
        <v>390563.5</v>
      </c>
      <c r="E9" s="50">
        <v>259933.49999999997</v>
      </c>
      <c r="F9" s="50">
        <v>160942.5</v>
      </c>
      <c r="G9" s="17">
        <f t="shared" si="0"/>
        <v>1028010</v>
      </c>
      <c r="H9" s="17">
        <f t="shared" si="1"/>
        <v>129330.25922281065</v>
      </c>
      <c r="I9" s="17">
        <f t="shared" si="2"/>
        <v>898679.74077718938</v>
      </c>
    </row>
    <row r="10" spans="1:9" ht="15.75" customHeight="1" x14ac:dyDescent="0.25">
      <c r="A10" s="5">
        <f t="shared" si="3"/>
        <v>2032</v>
      </c>
      <c r="B10" s="49">
        <v>113264</v>
      </c>
      <c r="C10" s="50">
        <v>215382</v>
      </c>
      <c r="D10" s="50">
        <v>399215.00000000006</v>
      </c>
      <c r="E10" s="50">
        <v>271938</v>
      </c>
      <c r="F10" s="50">
        <v>165359.5</v>
      </c>
      <c r="G10" s="17">
        <f t="shared" si="0"/>
        <v>1051894.5</v>
      </c>
      <c r="H10" s="17">
        <f t="shared" si="1"/>
        <v>130820.21255481118</v>
      </c>
      <c r="I10" s="17">
        <f t="shared" si="2"/>
        <v>921074.28744518885</v>
      </c>
    </row>
    <row r="11" spans="1:9" ht="15.75" customHeight="1" x14ac:dyDescent="0.25">
      <c r="A11" s="5">
        <f t="shared" si="3"/>
        <v>2033</v>
      </c>
      <c r="B11" s="49">
        <v>114266</v>
      </c>
      <c r="C11" s="50">
        <v>214055.5</v>
      </c>
      <c r="D11" s="50">
        <v>406087.99999999994</v>
      </c>
      <c r="E11" s="50">
        <v>284429</v>
      </c>
      <c r="F11" s="50">
        <v>170686</v>
      </c>
      <c r="G11" s="17">
        <f t="shared" si="0"/>
        <v>1075258.5</v>
      </c>
      <c r="H11" s="17">
        <f t="shared" si="1"/>
        <v>131977.5251429232</v>
      </c>
      <c r="I11" s="17">
        <f t="shared" si="2"/>
        <v>943280.97485707677</v>
      </c>
    </row>
    <row r="12" spans="1:9" ht="15.75" customHeight="1" x14ac:dyDescent="0.25">
      <c r="A12" s="5">
        <f t="shared" si="3"/>
        <v>2034</v>
      </c>
      <c r="B12" s="49">
        <v>115029</v>
      </c>
      <c r="C12" s="50">
        <v>213118.5</v>
      </c>
      <c r="D12" s="50">
        <v>411196</v>
      </c>
      <c r="E12" s="50">
        <v>297768</v>
      </c>
      <c r="F12" s="50">
        <v>177129.5</v>
      </c>
      <c r="G12" s="17">
        <f t="shared" si="0"/>
        <v>1099212</v>
      </c>
      <c r="H12" s="17">
        <f t="shared" si="1"/>
        <v>132858.7921137111</v>
      </c>
      <c r="I12" s="17">
        <f t="shared" si="2"/>
        <v>966353.20788628887</v>
      </c>
    </row>
    <row r="13" spans="1:9" ht="15.75" customHeight="1" x14ac:dyDescent="0.25">
      <c r="A13" s="5">
        <f t="shared" si="3"/>
        <v>2035</v>
      </c>
      <c r="B13" s="49">
        <v>115561</v>
      </c>
      <c r="C13" s="50">
        <v>212833</v>
      </c>
      <c r="D13" s="50">
        <v>414665.5</v>
      </c>
      <c r="E13" s="50">
        <v>311559.49999999994</v>
      </c>
      <c r="F13" s="50">
        <v>184954</v>
      </c>
      <c r="G13" s="17">
        <f t="shared" si="0"/>
        <v>1124012</v>
      </c>
      <c r="H13" s="17">
        <f t="shared" si="1"/>
        <v>133473.25348783846</v>
      </c>
      <c r="I13" s="17">
        <f t="shared" si="2"/>
        <v>990538.74651216157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99">
        <v>6.4930893506910725E-2</v>
      </c>
    </row>
    <row r="5" spans="1:8" ht="15.75" customHeight="1" x14ac:dyDescent="0.25">
      <c r="B5" s="19" t="s">
        <v>70</v>
      </c>
      <c r="C5" s="99">
        <v>8.333079166692095E-2</v>
      </c>
    </row>
    <row r="6" spans="1:8" ht="15.75" customHeight="1" x14ac:dyDescent="0.25">
      <c r="B6" s="19" t="s">
        <v>71</v>
      </c>
      <c r="C6" s="99">
        <v>0.24122667587733301</v>
      </c>
    </row>
    <row r="7" spans="1:8" ht="15.75" customHeight="1" x14ac:dyDescent="0.25">
      <c r="B7" s="19" t="s">
        <v>72</v>
      </c>
      <c r="C7" s="99">
        <v>0.41004985899501339</v>
      </c>
    </row>
    <row r="8" spans="1:8" ht="15.75" customHeight="1" x14ac:dyDescent="0.25">
      <c r="B8" s="19" t="s">
        <v>73</v>
      </c>
      <c r="C8" s="99">
        <v>1.193399880660011E-3</v>
      </c>
    </row>
    <row r="9" spans="1:8" ht="15.75" customHeight="1" x14ac:dyDescent="0.25">
      <c r="B9" s="19" t="s">
        <v>74</v>
      </c>
      <c r="C9" s="99">
        <v>8.1527291847270894E-2</v>
      </c>
    </row>
    <row r="10" spans="1:8" ht="15.75" customHeight="1" x14ac:dyDescent="0.25">
      <c r="B10" s="19" t="s">
        <v>75</v>
      </c>
      <c r="C10" s="99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83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84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85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86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87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88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89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99">
        <v>8.4936790000000005E-3</v>
      </c>
    </row>
    <row r="28" spans="1:8" ht="15.75" customHeight="1" x14ac:dyDescent="0.25">
      <c r="B28" s="19" t="s">
        <v>93</v>
      </c>
      <c r="C28" s="99">
        <v>0.15420750799999999</v>
      </c>
    </row>
    <row r="29" spans="1:8" ht="15.75" customHeight="1" x14ac:dyDescent="0.25">
      <c r="B29" s="19" t="s">
        <v>94</v>
      </c>
      <c r="C29" s="99">
        <v>0.168404365</v>
      </c>
    </row>
    <row r="30" spans="1:8" ht="15.75" customHeight="1" x14ac:dyDescent="0.25">
      <c r="B30" s="19" t="s">
        <v>95</v>
      </c>
      <c r="C30" s="99">
        <v>0.105568509</v>
      </c>
    </row>
    <row r="31" spans="1:8" ht="15.75" customHeight="1" x14ac:dyDescent="0.25">
      <c r="B31" s="19" t="s">
        <v>96</v>
      </c>
      <c r="C31" s="99">
        <v>0.10981025899999999</v>
      </c>
    </row>
    <row r="32" spans="1:8" ht="15.75" customHeight="1" x14ac:dyDescent="0.25">
      <c r="B32" s="19" t="s">
        <v>97</v>
      </c>
      <c r="C32" s="99">
        <v>1.8832593000000002E-2</v>
      </c>
    </row>
    <row r="33" spans="2:3" ht="15.75" customHeight="1" x14ac:dyDescent="0.25">
      <c r="B33" s="19" t="s">
        <v>98</v>
      </c>
      <c r="C33" s="99">
        <v>8.4520607999999997E-2</v>
      </c>
    </row>
    <row r="34" spans="2:3" ht="15.75" customHeight="1" x14ac:dyDescent="0.25">
      <c r="B34" s="19" t="s">
        <v>99</v>
      </c>
      <c r="C34" s="99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643.79004231123895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0.38130999999999998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0.73868999999999996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1.4661369499999998E-2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95935.472460000005</v>
      </c>
      <c r="C22" s="107">
        <v>95585.087790000005</v>
      </c>
      <c r="D22" s="107">
        <v>95215.541410000005</v>
      </c>
      <c r="E22" s="107">
        <v>94528.811369999996</v>
      </c>
      <c r="F22" s="107">
        <v>93532.808940000003</v>
      </c>
      <c r="G22" s="107">
        <v>92327.932209999999</v>
      </c>
      <c r="H22" s="107">
        <v>90792.587190000006</v>
      </c>
      <c r="I22" s="107">
        <v>88637.59822</v>
      </c>
      <c r="J22" s="107">
        <v>85524.114249999999</v>
      </c>
      <c r="K22" s="107">
        <v>81231.095660000006</v>
      </c>
      <c r="L22" s="107">
        <v>75422.882159999994</v>
      </c>
      <c r="M22" s="107">
        <v>67838.960309999995</v>
      </c>
      <c r="N22" s="107">
        <v>58239.989220000003</v>
      </c>
      <c r="O22" s="107">
        <v>47098.437530000003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15.05101211717766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15.05101211717766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15.05101211717766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15.05101211717766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15.05101211717766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0.14499999999999999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0.373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0.25800000000000001</v>
      </c>
      <c r="C19" s="96">
        <v>0.95</v>
      </c>
      <c r="D19" s="56">
        <v>7.29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0.70900000000000007</v>
      </c>
      <c r="C23" s="96">
        <v>0.95</v>
      </c>
      <c r="D23" s="56">
        <v>4.9325180741630454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0.24025928639999999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0.434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0.42499999999999999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0.78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0.26800000000000002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0.51764500000000002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1.8460000000000001</v>
      </c>
      <c r="C2" s="21">
        <f>'Baseline year population inputs'!C52</f>
        <v>1.8460000000000001</v>
      </c>
      <c r="D2" s="21">
        <f>'Baseline year population inputs'!C53</f>
        <v>5.3039999999999994</v>
      </c>
      <c r="E2" s="21">
        <f>'Baseline year population inputs'!C54</f>
        <v>5.8760000000000003</v>
      </c>
      <c r="F2" s="21">
        <f>'Baseline year population inputs'!C55</f>
        <v>2.8166666666666669</v>
      </c>
    </row>
    <row r="3" spans="1:6" ht="15.75" customHeight="1" x14ac:dyDescent="0.25">
      <c r="A3" s="3" t="s">
        <v>197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198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