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0FCC20D5-882C-42DC-A286-F1C7ACA03913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A31" i="2"/>
  <c r="A34" i="2"/>
  <c r="A40" i="2"/>
  <c r="I2" i="2"/>
  <c r="I6" i="2"/>
  <c r="A19" i="2"/>
  <c r="A35" i="2"/>
  <c r="A22" i="2"/>
  <c r="A36" i="2"/>
  <c r="I3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<sst xmlns="http://schemas.openxmlformats.org/spreadsheetml/2006/main" count="2159" uniqueCount="372">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</sst>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630394</v>
      </c>
    </row>
    <row r="8" spans="1:3" ht="15" customHeight="1" x14ac:dyDescent="0.25">
      <c r="B8" s="5" t="s">
        <v>8</v>
      </c>
      <c r="C8" s="44">
        <v>0.01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0.91188728330000002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0.1489</v>
      </c>
    </row>
    <row r="24" spans="1:3" ht="15" customHeight="1" x14ac:dyDescent="0.25">
      <c r="B24" s="15" t="s">
        <v>22</v>
      </c>
      <c r="C24" s="45">
        <v>0.65529999999999999</v>
      </c>
    </row>
    <row r="25" spans="1:3" ht="15" customHeight="1" x14ac:dyDescent="0.25">
      <c r="B25" s="15" t="s">
        <v>23</v>
      </c>
      <c r="C25" s="45">
        <v>0.1857</v>
      </c>
    </row>
    <row r="26" spans="1:3" ht="15" customHeight="1" x14ac:dyDescent="0.25">
      <c r="B26" s="15" t="s">
        <v>24</v>
      </c>
      <c r="C26" s="45">
        <v>1.01E-2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0.43972863237246501</v>
      </c>
    </row>
    <row r="30" spans="1:3" ht="14.25" customHeight="1" x14ac:dyDescent="0.25">
      <c r="B30" s="25" t="s">
        <v>27</v>
      </c>
      <c r="C30" s="99">
        <v>0.10181424433873699</v>
      </c>
    </row>
    <row r="31" spans="1:3" ht="14.25" customHeight="1" x14ac:dyDescent="0.25">
      <c r="B31" s="25" t="s">
        <v>28</v>
      </c>
      <c r="C31" s="99">
        <v>9.9255704226601515E-2</v>
      </c>
    </row>
    <row r="32" spans="1:3" ht="14.25" customHeight="1" x14ac:dyDescent="0.25">
      <c r="B32" s="25" t="s">
        <v>29</v>
      </c>
      <c r="C32" s="99">
        <v>0.35920141906219599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9.5091000000000001</v>
      </c>
    </row>
    <row r="38" spans="1:5" ht="15" customHeight="1" x14ac:dyDescent="0.25">
      <c r="B38" s="11" t="s">
        <v>34</v>
      </c>
      <c r="C38" s="43">
        <v>16.60615</v>
      </c>
      <c r="D38" s="12"/>
      <c r="E38" s="13"/>
    </row>
    <row r="39" spans="1:5" ht="15" customHeight="1" x14ac:dyDescent="0.25">
      <c r="B39" s="11" t="s">
        <v>35</v>
      </c>
      <c r="C39" s="43">
        <v>18.586200000000002</v>
      </c>
      <c r="D39" s="12"/>
      <c r="E39" s="12"/>
    </row>
    <row r="40" spans="1:5" ht="15" customHeight="1" x14ac:dyDescent="0.25">
      <c r="B40" s="11" t="s">
        <v>36</v>
      </c>
      <c r="C40" s="100">
        <v>0.41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8.7131299999999996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7.5017E-3</v>
      </c>
      <c r="D45" s="12"/>
    </row>
    <row r="46" spans="1:5" ht="15.75" customHeight="1" x14ac:dyDescent="0.25">
      <c r="B46" s="11" t="s">
        <v>41</v>
      </c>
      <c r="C46" s="45">
        <v>8.0604700000000001E-2</v>
      </c>
      <c r="D46" s="12"/>
    </row>
    <row r="47" spans="1:5" ht="15.75" customHeight="1" x14ac:dyDescent="0.25">
      <c r="B47" s="11" t="s">
        <v>42</v>
      </c>
      <c r="C47" s="45">
        <v>7.3866899999999999E-2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0.57557999999999998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7.2826089999999899E-2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121322</v>
      </c>
      <c r="C2" s="49">
        <v>359811.5</v>
      </c>
      <c r="D2" s="49">
        <v>685975</v>
      </c>
      <c r="E2" s="49">
        <v>952964</v>
      </c>
      <c r="F2" s="49">
        <v>721994.5</v>
      </c>
      <c r="G2" s="17">
        <f t="shared" ref="G2:G13" si="0">C2+D2+E2+F2</f>
        <v>2720745</v>
      </c>
      <c r="H2" s="17">
        <f t="shared" ref="H2:H13" si="1">(B2 + stillbirth*B2/(1000-stillbirth))/(1-abortion)</f>
        <v>139077.71126930098</v>
      </c>
      <c r="I2" s="17">
        <f t="shared" ref="I2:I13" si="2">G2-H2</f>
        <v>2581667.2887306991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120097</v>
      </c>
      <c r="C3" s="50">
        <v>375047.5</v>
      </c>
      <c r="D3" s="50">
        <v>669610.5</v>
      </c>
      <c r="E3" s="50">
        <v>949094</v>
      </c>
      <c r="F3" s="50">
        <v>746582</v>
      </c>
      <c r="G3" s="17">
        <f t="shared" si="0"/>
        <v>2740334</v>
      </c>
      <c r="H3" s="17">
        <f t="shared" si="1"/>
        <v>137673.4301306378</v>
      </c>
      <c r="I3" s="17">
        <f t="shared" si="2"/>
        <v>2602660.5698693623</v>
      </c>
    </row>
    <row r="4" spans="1:9" ht="15.75" customHeight="1" x14ac:dyDescent="0.25">
      <c r="A4" s="5">
        <f t="shared" si="3"/>
        <v>2026</v>
      </c>
      <c r="B4" s="49">
        <v>119620</v>
      </c>
      <c r="C4" s="50">
        <v>387229.5</v>
      </c>
      <c r="D4" s="50">
        <v>662929.5</v>
      </c>
      <c r="E4" s="50">
        <v>935694</v>
      </c>
      <c r="F4" s="50">
        <v>771950.5</v>
      </c>
      <c r="G4" s="17">
        <f t="shared" si="0"/>
        <v>2757803.5</v>
      </c>
      <c r="H4" s="17">
        <f t="shared" si="1"/>
        <v>137126.62025052161</v>
      </c>
      <c r="I4" s="17">
        <f t="shared" si="2"/>
        <v>2620676.8797494783</v>
      </c>
    </row>
    <row r="5" spans="1:9" ht="15.75" customHeight="1" x14ac:dyDescent="0.25">
      <c r="A5" s="5">
        <f t="shared" si="3"/>
        <v>2027</v>
      </c>
      <c r="B5" s="49">
        <v>119961</v>
      </c>
      <c r="C5" s="50">
        <v>396956.5</v>
      </c>
      <c r="D5" s="50">
        <v>665782.99999999988</v>
      </c>
      <c r="E5" s="50">
        <v>913961</v>
      </c>
      <c r="F5" s="50">
        <v>797814.5</v>
      </c>
      <c r="G5" s="17">
        <f t="shared" si="0"/>
        <v>2774515</v>
      </c>
      <c r="H5" s="17">
        <f t="shared" si="1"/>
        <v>137517.52626544744</v>
      </c>
      <c r="I5" s="17">
        <f t="shared" si="2"/>
        <v>2636997.4737345525</v>
      </c>
    </row>
    <row r="6" spans="1:9" ht="15.75" customHeight="1" x14ac:dyDescent="0.25">
      <c r="A6" s="5">
        <f t="shared" si="3"/>
        <v>2028</v>
      </c>
      <c r="B6" s="49">
        <v>120765</v>
      </c>
      <c r="C6" s="50">
        <v>404354.5</v>
      </c>
      <c r="D6" s="50">
        <v>677988.49999999988</v>
      </c>
      <c r="E6" s="50">
        <v>883894</v>
      </c>
      <c r="F6" s="50">
        <v>824294.5</v>
      </c>
      <c r="G6" s="17">
        <f t="shared" si="0"/>
        <v>2790531.5</v>
      </c>
      <c r="H6" s="17">
        <f t="shared" si="1"/>
        <v>138439.19323319045</v>
      </c>
      <c r="I6" s="17">
        <f t="shared" si="2"/>
        <v>2652092.3067668094</v>
      </c>
    </row>
    <row r="7" spans="1:9" ht="15.75" customHeight="1" x14ac:dyDescent="0.25">
      <c r="A7" s="5">
        <f t="shared" si="3"/>
        <v>2029</v>
      </c>
      <c r="B7" s="49">
        <v>121981</v>
      </c>
      <c r="C7" s="50">
        <v>407994</v>
      </c>
      <c r="D7" s="50">
        <v>695928.5</v>
      </c>
      <c r="E7" s="50">
        <v>847902.5</v>
      </c>
      <c r="F7" s="50">
        <v>850699.00000000012</v>
      </c>
      <c r="G7" s="17">
        <f t="shared" si="0"/>
        <v>2802524</v>
      </c>
      <c r="H7" s="17">
        <f t="shared" si="1"/>
        <v>139833.15720430427</v>
      </c>
      <c r="I7" s="17">
        <f t="shared" si="2"/>
        <v>2662690.8427956956</v>
      </c>
    </row>
    <row r="8" spans="1:9" ht="15.75" customHeight="1" x14ac:dyDescent="0.25">
      <c r="A8" s="5">
        <f t="shared" si="3"/>
        <v>2030</v>
      </c>
      <c r="B8" s="49">
        <v>123303</v>
      </c>
      <c r="C8" s="50">
        <v>407077.5</v>
      </c>
      <c r="D8" s="50">
        <v>718378.5</v>
      </c>
      <c r="E8" s="50">
        <v>807591</v>
      </c>
      <c r="F8" s="50">
        <v>875268.49999999988</v>
      </c>
      <c r="G8" s="17">
        <f t="shared" si="0"/>
        <v>2808315.5</v>
      </c>
      <c r="H8" s="17">
        <f t="shared" si="1"/>
        <v>141348.63448211056</v>
      </c>
      <c r="I8" s="17">
        <f t="shared" si="2"/>
        <v>2666966.8655178896</v>
      </c>
    </row>
    <row r="9" spans="1:9" ht="15.75" customHeight="1" x14ac:dyDescent="0.25">
      <c r="A9" s="5">
        <f t="shared" si="3"/>
        <v>2031</v>
      </c>
      <c r="B9" s="49">
        <v>124540</v>
      </c>
      <c r="C9" s="50">
        <v>402086</v>
      </c>
      <c r="D9" s="50">
        <v>744087</v>
      </c>
      <c r="E9" s="50">
        <v>765959.49999999988</v>
      </c>
      <c r="F9" s="50">
        <v>896122</v>
      </c>
      <c r="G9" s="17">
        <f t="shared" si="0"/>
        <v>2808254.5</v>
      </c>
      <c r="H9" s="17">
        <f t="shared" si="1"/>
        <v>142766.6718441729</v>
      </c>
      <c r="I9" s="17">
        <f t="shared" si="2"/>
        <v>2665487.8281558272</v>
      </c>
    </row>
    <row r="10" spans="1:9" ht="15.75" customHeight="1" x14ac:dyDescent="0.25">
      <c r="A10" s="5">
        <f t="shared" si="3"/>
        <v>2032</v>
      </c>
      <c r="B10" s="49">
        <v>125946</v>
      </c>
      <c r="C10" s="50">
        <v>392321</v>
      </c>
      <c r="D10" s="50">
        <v>770970</v>
      </c>
      <c r="E10" s="50">
        <v>726931.49999999988</v>
      </c>
      <c r="F10" s="50">
        <v>913178.5</v>
      </c>
      <c r="G10" s="17">
        <f t="shared" si="0"/>
        <v>2803401</v>
      </c>
      <c r="H10" s="17">
        <f t="shared" si="1"/>
        <v>144378.44268577325</v>
      </c>
      <c r="I10" s="17">
        <f t="shared" si="2"/>
        <v>2659022.5573142269</v>
      </c>
    </row>
    <row r="11" spans="1:9" ht="15.75" customHeight="1" x14ac:dyDescent="0.25">
      <c r="A11" s="5">
        <f t="shared" si="3"/>
        <v>2033</v>
      </c>
      <c r="B11" s="49">
        <v>127122</v>
      </c>
      <c r="C11" s="50">
        <v>375585</v>
      </c>
      <c r="D11" s="50">
        <v>796557</v>
      </c>
      <c r="E11" s="50">
        <v>692972.5</v>
      </c>
      <c r="F11" s="50">
        <v>924459.49999999988</v>
      </c>
      <c r="G11" s="17">
        <f t="shared" si="0"/>
        <v>2789574</v>
      </c>
      <c r="H11" s="17">
        <f t="shared" si="1"/>
        <v>145726.55257888988</v>
      </c>
      <c r="I11" s="17">
        <f t="shared" si="2"/>
        <v>2643847.4474211102</v>
      </c>
    </row>
    <row r="12" spans="1:9" ht="15.75" customHeight="1" x14ac:dyDescent="0.25">
      <c r="A12" s="5">
        <f t="shared" si="3"/>
        <v>2034</v>
      </c>
      <c r="B12" s="49">
        <v>128097.00000000001</v>
      </c>
      <c r="C12" s="50">
        <v>360324.5</v>
      </c>
      <c r="D12" s="50">
        <v>817176.99999999988</v>
      </c>
      <c r="E12" s="50">
        <v>666514</v>
      </c>
      <c r="F12" s="50">
        <v>928655.50000000012</v>
      </c>
      <c r="G12" s="17">
        <f t="shared" si="0"/>
        <v>2772671</v>
      </c>
      <c r="H12" s="17">
        <f t="shared" si="1"/>
        <v>146844.24573007078</v>
      </c>
      <c r="I12" s="17">
        <f t="shared" si="2"/>
        <v>2625826.7542699291</v>
      </c>
    </row>
    <row r="13" spans="1:9" ht="15.75" customHeight="1" x14ac:dyDescent="0.25">
      <c r="A13" s="5">
        <f t="shared" si="3"/>
        <v>2035</v>
      </c>
      <c r="B13" s="49">
        <v>128598.99999999999</v>
      </c>
      <c r="C13" s="50">
        <v>348512.5</v>
      </c>
      <c r="D13" s="50">
        <v>831391.00000000012</v>
      </c>
      <c r="E13" s="50">
        <v>649475</v>
      </c>
      <c r="F13" s="50">
        <v>924415.99999999988</v>
      </c>
      <c r="G13" s="17">
        <f t="shared" si="0"/>
        <v>2753794.5</v>
      </c>
      <c r="H13" s="17">
        <f t="shared" si="1"/>
        <v>147419.71440893519</v>
      </c>
      <c r="I13" s="17">
        <f t="shared" si="2"/>
        <v>2606374.785591065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7.6930000000000043E-4</v>
      </c>
    </row>
    <row r="4" spans="1:8" ht="15.75" customHeight="1" x14ac:dyDescent="0.25">
      <c r="B4" s="19" t="s">
        <v>69</v>
      </c>
      <c r="C4" s="101">
        <v>4.0746100000000042E-2</v>
      </c>
    </row>
    <row r="5" spans="1:8" ht="15.75" customHeight="1" x14ac:dyDescent="0.25">
      <c r="B5" s="19" t="s">
        <v>70</v>
      </c>
      <c r="C5" s="101">
        <v>3.8142599999999888E-2</v>
      </c>
    </row>
    <row r="6" spans="1:8" ht="15.75" customHeight="1" x14ac:dyDescent="0.25">
      <c r="B6" s="19" t="s">
        <v>71</v>
      </c>
      <c r="C6" s="101">
        <v>0.1658214999999999</v>
      </c>
    </row>
    <row r="7" spans="1:8" ht="15.75" customHeight="1" x14ac:dyDescent="0.25">
      <c r="B7" s="19" t="s">
        <v>72</v>
      </c>
      <c r="C7" s="101">
        <v>0.4688312999999999</v>
      </c>
    </row>
    <row r="8" spans="1:8" ht="15.75" customHeight="1" x14ac:dyDescent="0.25">
      <c r="B8" s="19" t="s">
        <v>73</v>
      </c>
      <c r="C8" s="101">
        <v>9.6299999999999942E-5</v>
      </c>
    </row>
    <row r="9" spans="1:8" ht="15.75" customHeight="1" x14ac:dyDescent="0.25">
      <c r="B9" s="19" t="s">
        <v>74</v>
      </c>
      <c r="C9" s="101">
        <v>0.20751630000000029</v>
      </c>
    </row>
    <row r="10" spans="1:8" ht="15.75" customHeight="1" x14ac:dyDescent="0.25">
      <c r="B10" s="19" t="s">
        <v>75</v>
      </c>
      <c r="C10" s="101">
        <v>7.8076599999999899E-2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5.3078907527641349E-2</v>
      </c>
      <c r="D14" s="55">
        <v>5.3078907527641349E-2</v>
      </c>
      <c r="E14" s="55">
        <v>5.3078907527641349E-2</v>
      </c>
      <c r="F14" s="55">
        <v>5.3078907527641349E-2</v>
      </c>
    </row>
    <row r="15" spans="1:8" ht="15.75" customHeight="1" x14ac:dyDescent="0.25">
      <c r="B15" s="19" t="s">
        <v>82</v>
      </c>
      <c r="C15" s="101">
        <v>0.30908005016101692</v>
      </c>
      <c r="D15" s="101">
        <v>0.30908005016101692</v>
      </c>
      <c r="E15" s="101">
        <v>0.30908005016101692</v>
      </c>
      <c r="F15" s="101">
        <v>0.30908005016101692</v>
      </c>
    </row>
    <row r="16" spans="1:8" ht="15.75" customHeight="1" x14ac:dyDescent="0.25">
      <c r="B16" s="19" t="s">
        <v>83</v>
      </c>
      <c r="C16" s="101">
        <v>2.0862040124609481E-2</v>
      </c>
      <c r="D16" s="101">
        <v>2.0862040124609481E-2</v>
      </c>
      <c r="E16" s="101">
        <v>2.0862040124609481E-2</v>
      </c>
      <c r="F16" s="101">
        <v>2.0862040124609481E-2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3.6157917131633778E-2</v>
      </c>
      <c r="D19" s="101">
        <v>3.6157917131633778E-2</v>
      </c>
      <c r="E19" s="101">
        <v>3.6157917131633778E-2</v>
      </c>
      <c r="F19" s="101">
        <v>3.6157917131633778E-2</v>
      </c>
    </row>
    <row r="20" spans="1:8" ht="15.75" customHeight="1" x14ac:dyDescent="0.25">
      <c r="B20" s="19" t="s">
        <v>87</v>
      </c>
      <c r="C20" s="101">
        <v>3.4706712718423171E-3</v>
      </c>
      <c r="D20" s="101">
        <v>3.4706712718423171E-3</v>
      </c>
      <c r="E20" s="101">
        <v>3.4706712718423171E-3</v>
      </c>
      <c r="F20" s="101">
        <v>3.4706712718423171E-3</v>
      </c>
    </row>
    <row r="21" spans="1:8" ht="15.75" customHeight="1" x14ac:dyDescent="0.25">
      <c r="B21" s="19" t="s">
        <v>88</v>
      </c>
      <c r="C21" s="101">
        <v>0.44912391833034337</v>
      </c>
      <c r="D21" s="101">
        <v>0.44912391833034337</v>
      </c>
      <c r="E21" s="101">
        <v>0.44912391833034337</v>
      </c>
      <c r="F21" s="101">
        <v>0.44912391833034337</v>
      </c>
    </row>
    <row r="22" spans="1:8" ht="15.75" customHeight="1" x14ac:dyDescent="0.25">
      <c r="B22" s="19" t="s">
        <v>89</v>
      </c>
      <c r="C22" s="101">
        <v>0.12822649545291279</v>
      </c>
      <c r="D22" s="101">
        <v>0.12822649545291279</v>
      </c>
      <c r="E22" s="101">
        <v>0.12822649545291279</v>
      </c>
      <c r="F22" s="101">
        <v>0.12822649545291279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3.2286483999999997E-2</v>
      </c>
    </row>
    <row r="27" spans="1:8" ht="15.75" customHeight="1" x14ac:dyDescent="0.25">
      <c r="B27" s="19" t="s">
        <v>92</v>
      </c>
      <c r="C27" s="101">
        <v>8.0926539000000006E-2</v>
      </c>
    </row>
    <row r="28" spans="1:8" ht="15.75" customHeight="1" x14ac:dyDescent="0.25">
      <c r="B28" s="19" t="s">
        <v>93</v>
      </c>
      <c r="C28" s="101">
        <v>0.11034517200000001</v>
      </c>
    </row>
    <row r="29" spans="1:8" ht="15.75" customHeight="1" x14ac:dyDescent="0.25">
      <c r="B29" s="19" t="s">
        <v>94</v>
      </c>
      <c r="C29" s="101">
        <v>8.99475E-2</v>
      </c>
    </row>
    <row r="30" spans="1:8" ht="15.75" customHeight="1" x14ac:dyDescent="0.25">
      <c r="B30" s="19" t="s">
        <v>95</v>
      </c>
      <c r="C30" s="101">
        <v>2.9600607000000001E-2</v>
      </c>
    </row>
    <row r="31" spans="1:8" ht="15.75" customHeight="1" x14ac:dyDescent="0.25">
      <c r="B31" s="19" t="s">
        <v>96</v>
      </c>
      <c r="C31" s="101">
        <v>3.5472995E-2</v>
      </c>
    </row>
    <row r="32" spans="1:8" ht="15.75" customHeight="1" x14ac:dyDescent="0.25">
      <c r="B32" s="19" t="s">
        <v>97</v>
      </c>
      <c r="C32" s="101">
        <v>0.250963082</v>
      </c>
    </row>
    <row r="33" spans="2:3" ht="15.75" customHeight="1" x14ac:dyDescent="0.25">
      <c r="B33" s="19" t="s">
        <v>98</v>
      </c>
      <c r="C33" s="101">
        <v>0.14174240299999999</v>
      </c>
    </row>
    <row r="34" spans="2:3" ht="15.75" customHeight="1" x14ac:dyDescent="0.25">
      <c r="B34" s="19" t="s">
        <v>99</v>
      </c>
      <c r="C34" s="101">
        <v>0.228715217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0.47739931224137999</v>
      </c>
      <c r="D2" s="52">
        <f>IFERROR(1-_xlfn.NORM.DIST(_xlfn.NORM.INV(SUM(D4:D5), 0, 1) + 1, 0, 1, TRUE), "")</f>
        <v>0.47739931224137999</v>
      </c>
      <c r="E2" s="52">
        <f>IFERROR(1-_xlfn.NORM.DIST(_xlfn.NORM.INV(SUM(E4:E5), 0, 1) + 1, 0, 1, TRUE), "")</f>
        <v>0.49818617359722817</v>
      </c>
      <c r="F2" s="52">
        <f>IFERROR(1-_xlfn.NORM.DIST(_xlfn.NORM.INV(SUM(F4:F5), 0, 1) + 1, 0, 1, TRUE), "")</f>
        <v>0.46686510877582754</v>
      </c>
      <c r="G2" s="52">
        <f>IFERROR(1-_xlfn.NORM.DIST(_xlfn.NORM.INV(SUM(G4:G5), 0, 1) + 1, 0, 1, TRUE), "")</f>
        <v>0.28615189256699458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0.34984158775862001</v>
      </c>
      <c r="D3" s="52">
        <f>IFERROR(_xlfn.NORM.DIST(_xlfn.NORM.INV(SUM(D4:D5), 0, 1) + 1, 0, 1, TRUE) - SUM(D4:D5), "")</f>
        <v>0.34984158775862001</v>
      </c>
      <c r="E3" s="52">
        <f>IFERROR(_xlfn.NORM.DIST(_xlfn.NORM.INV(SUM(E4:E5), 0, 1) + 1, 0, 1, TRUE) - SUM(E4:E5), "")</f>
        <v>0.34205592640277183</v>
      </c>
      <c r="F3" s="52">
        <f>IFERROR(_xlfn.NORM.DIST(_xlfn.NORM.INV(SUM(F4:F5), 0, 1) + 1, 0, 1, TRUE) - SUM(F4:F5), "")</f>
        <v>0.35352359122417248</v>
      </c>
      <c r="G3" s="52">
        <f>IFERROR(_xlfn.NORM.DIST(_xlfn.NORM.INV(SUM(G4:G5), 0, 1) + 1, 0, 1, TRUE) - SUM(G4:G5), "")</f>
        <v>0.38218960743300545</v>
      </c>
    </row>
    <row r="4" spans="1:15" ht="15.75" customHeight="1" x14ac:dyDescent="0.25">
      <c r="B4" s="5" t="s">
        <v>104</v>
      </c>
      <c r="C4" s="45">
        <v>9.1228099999999993E-2</v>
      </c>
      <c r="D4" s="53">
        <v>9.1228099999999993E-2</v>
      </c>
      <c r="E4" s="53">
        <v>7.3348999999999998E-2</v>
      </c>
      <c r="F4" s="53">
        <v>9.1956399999999994E-2</v>
      </c>
      <c r="G4" s="53">
        <v>0.16452</v>
      </c>
    </row>
    <row r="5" spans="1:15" ht="15.75" customHeight="1" x14ac:dyDescent="0.25">
      <c r="B5" s="5" t="s">
        <v>105</v>
      </c>
      <c r="C5" s="45">
        <v>8.1531000000000006E-2</v>
      </c>
      <c r="D5" s="53">
        <v>8.1531000000000006E-2</v>
      </c>
      <c r="E5" s="53">
        <v>8.6408900000000011E-2</v>
      </c>
      <c r="F5" s="53">
        <v>8.7654899999999994E-2</v>
      </c>
      <c r="G5" s="53">
        <v>0.1671385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0.46863868673029108</v>
      </c>
      <c r="D8" s="52">
        <f>IFERROR(1-_xlfn.NORM.DIST(_xlfn.NORM.INV(SUM(D10:D11), 0, 1) + 1, 0, 1, TRUE), "")</f>
        <v>0.46863868673029108</v>
      </c>
      <c r="E8" s="52">
        <f>IFERROR(1-_xlfn.NORM.DIST(_xlfn.NORM.INV(SUM(E10:E11), 0, 1) + 1, 0, 1, TRUE), "")</f>
        <v>0.51914326848214976</v>
      </c>
      <c r="F8" s="52">
        <f>IFERROR(1-_xlfn.NORM.DIST(_xlfn.NORM.INV(SUM(F10:F11), 0, 1) + 1, 0, 1, TRUE), "")</f>
        <v>0.71278063060972918</v>
      </c>
      <c r="G8" s="52">
        <f>IFERROR(1-_xlfn.NORM.DIST(_xlfn.NORM.INV(SUM(G10:G11), 0, 1) + 1, 0, 1, TRUE), "")</f>
        <v>0.78690015131897528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0.35291641326970891</v>
      </c>
      <c r="D9" s="52">
        <f>IFERROR(_xlfn.NORM.DIST(_xlfn.NORM.INV(SUM(D10:D11), 0, 1) + 1, 0, 1, TRUE) - SUM(D10:D11), "")</f>
        <v>0.35291641326970891</v>
      </c>
      <c r="E9" s="52">
        <f>IFERROR(_xlfn.NORM.DIST(_xlfn.NORM.INV(SUM(E10:E11), 0, 1) + 1, 0, 1, TRUE) - SUM(E10:E11), "")</f>
        <v>0.33353823151785028</v>
      </c>
      <c r="F9" s="52">
        <f>IFERROR(_xlfn.NORM.DIST(_xlfn.NORM.INV(SUM(F10:F11), 0, 1) + 1, 0, 1, TRUE) - SUM(F10:F11), "")</f>
        <v>0.22801956939027082</v>
      </c>
      <c r="G9" s="52">
        <f>IFERROR(_xlfn.NORM.DIST(_xlfn.NORM.INV(SUM(G10:G11), 0, 1) + 1, 0, 1, TRUE) - SUM(G10:G11), "")</f>
        <v>0.17682964868102474</v>
      </c>
    </row>
    <row r="10" spans="1:15" ht="15.75" customHeight="1" x14ac:dyDescent="0.25">
      <c r="B10" s="5" t="s">
        <v>109</v>
      </c>
      <c r="C10" s="45">
        <v>0.1270491</v>
      </c>
      <c r="D10" s="53">
        <v>0.1270491</v>
      </c>
      <c r="E10" s="53">
        <v>0.11937</v>
      </c>
      <c r="F10" s="53">
        <v>3.1077899999999999E-2</v>
      </c>
      <c r="G10" s="53">
        <v>2.2932299999999999E-2</v>
      </c>
    </row>
    <row r="11" spans="1:15" ht="15.75" customHeight="1" x14ac:dyDescent="0.25">
      <c r="B11" s="5" t="s">
        <v>110</v>
      </c>
      <c r="C11" s="45">
        <v>5.1395799999999998E-2</v>
      </c>
      <c r="D11" s="53">
        <v>5.1395799999999998E-2</v>
      </c>
      <c r="E11" s="53">
        <v>2.7948500000000001E-2</v>
      </c>
      <c r="F11" s="53">
        <v>2.8121899999999998E-2</v>
      </c>
      <c r="G11" s="53">
        <v>1.33379E-2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0.62129762875000005</v>
      </c>
      <c r="D14" s="54">
        <v>0.59335814614399995</v>
      </c>
      <c r="E14" s="54">
        <v>0.59335814614399995</v>
      </c>
      <c r="F14" s="54">
        <v>0.289678393378</v>
      </c>
      <c r="G14" s="54">
        <v>0.289678393378</v>
      </c>
      <c r="H14" s="45">
        <v>0.40100000000000002</v>
      </c>
      <c r="I14" s="55">
        <v>0.40100000000000002</v>
      </c>
      <c r="J14" s="55">
        <v>0.40100000000000002</v>
      </c>
      <c r="K14" s="55">
        <v>0.40100000000000002</v>
      </c>
      <c r="L14" s="45">
        <v>0.38400000000000001</v>
      </c>
      <c r="M14" s="55">
        <v>0.38400000000000001</v>
      </c>
      <c r="N14" s="55">
        <v>0.38400000000000001</v>
      </c>
      <c r="O14" s="55">
        <v>0.38400000000000001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0.35760648915592502</v>
      </c>
      <c r="D15" s="52">
        <f t="shared" si="0"/>
        <v>0.34152508175756346</v>
      </c>
      <c r="E15" s="52">
        <f t="shared" si="0"/>
        <v>0.34152508175756346</v>
      </c>
      <c r="F15" s="52">
        <f t="shared" si="0"/>
        <v>0.16673308966050923</v>
      </c>
      <c r="G15" s="52">
        <f t="shared" si="0"/>
        <v>0.16673308966050923</v>
      </c>
      <c r="H15" s="52">
        <f t="shared" si="0"/>
        <v>0.23080758000000001</v>
      </c>
      <c r="I15" s="52">
        <f t="shared" si="0"/>
        <v>0.23080758000000001</v>
      </c>
      <c r="J15" s="52">
        <f t="shared" si="0"/>
        <v>0.23080758000000001</v>
      </c>
      <c r="K15" s="52">
        <f t="shared" si="0"/>
        <v>0.23080758000000001</v>
      </c>
      <c r="L15" s="52">
        <f t="shared" si="0"/>
        <v>0.22102272000000001</v>
      </c>
      <c r="M15" s="52">
        <f t="shared" si="0"/>
        <v>0.22102272000000001</v>
      </c>
      <c r="N15" s="52">
        <f t="shared" si="0"/>
        <v>0.22102272000000001</v>
      </c>
      <c r="O15" s="52">
        <f t="shared" si="0"/>
        <v>0.22102272000000001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0.22567519999999999</v>
      </c>
      <c r="D2" s="53">
        <v>8.5698500000000011E-2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0.39929409999999999</v>
      </c>
      <c r="D3" s="53">
        <v>0.36836629999999998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0.27223619999999998</v>
      </c>
      <c r="D4" s="53">
        <v>0.3576281</v>
      </c>
      <c r="E4" s="53">
        <v>0.49657509999999999</v>
      </c>
      <c r="F4" s="53">
        <v>0.26392650000000001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0.10279450000000012</v>
      </c>
      <c r="D5" s="52">
        <f t="shared" si="0"/>
        <v>0.18830710000000006</v>
      </c>
      <c r="E5" s="52">
        <f>1-SUM(E2:E4)</f>
        <v>0.50342489999999995</v>
      </c>
      <c r="F5" s="52">
        <f>1-SUM(F2:F4)</f>
        <v>0.73607350000000005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7762.0738285883999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0.46567000000000003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0.746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1.3172659202306283E-2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97828.187860000005</v>
      </c>
      <c r="C22" s="109">
        <v>97670.950490000003</v>
      </c>
      <c r="D22" s="109">
        <v>97529.362949999995</v>
      </c>
      <c r="E22" s="109">
        <v>97253.044750000001</v>
      </c>
      <c r="F22" s="109">
        <v>96852.336469999995</v>
      </c>
      <c r="G22" s="109">
        <v>96430.079379999996</v>
      </c>
      <c r="H22" s="109">
        <v>95894.986619999996</v>
      </c>
      <c r="I22" s="109">
        <v>95131.926749999999</v>
      </c>
      <c r="J22" s="109">
        <v>93955.619160000002</v>
      </c>
      <c r="K22" s="109">
        <v>92113.938970000003</v>
      </c>
      <c r="L22" s="109">
        <v>89106.894440000004</v>
      </c>
      <c r="M22" s="109">
        <v>84271.890910000002</v>
      </c>
      <c r="N22" s="109">
        <v>76748.593859999994</v>
      </c>
      <c r="O22" s="109">
        <v>65502.907200000001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12.008526100307062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12.008526100307062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8.8894216990788131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0.40262538382804508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1.6153600000000001E-2</v>
      </c>
      <c r="C10" s="98">
        <v>0.95</v>
      </c>
      <c r="D10" s="56">
        <v>12.974499314795549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12.974499314795549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12.974499314795549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12.974499314795549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1.6153600000000001E-2</v>
      </c>
      <c r="C14" s="98">
        <v>0.95</v>
      </c>
      <c r="D14" s="56">
        <v>12.974499314795549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12.974499314795549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8.5698500000000011E-2</v>
      </c>
      <c r="C18" s="98">
        <v>0.95</v>
      </c>
      <c r="D18" s="56">
        <v>8.8894216990788131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8.5698500000000011E-2</v>
      </c>
      <c r="C19" s="98">
        <v>0.95</v>
      </c>
      <c r="D19" s="56">
        <v>8.9498000901640609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8.8894216990788131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4.2557875816009592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0.55540145219353199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1.6153600000000001E-2</v>
      </c>
      <c r="C26" s="98">
        <v>0.95</v>
      </c>
      <c r="D26" s="56">
        <v>5.1498336745138182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11.470990276356194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0.21083840000000001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0.34978969999999998</v>
      </c>
      <c r="C29" s="98">
        <v>0.95</v>
      </c>
      <c r="D29" s="56">
        <v>109.78567093836929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170.92419651995908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0.41</v>
      </c>
      <c r="C32" s="98">
        <v>0.95</v>
      </c>
      <c r="D32" s="56">
        <v>1.1057036847492325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0.89304019999999995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1.33188E-2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0.93835589999999991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2.6374181166837261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0.33032766000000002</v>
      </c>
      <c r="C3" s="21">
        <f>frac_mam_1_5months * 2.6</f>
        <v>0.33032766000000002</v>
      </c>
      <c r="D3" s="21">
        <f>frac_mam_6_11months * 2.6</f>
        <v>0.31036200000000003</v>
      </c>
      <c r="E3" s="21">
        <f>frac_mam_12_23months * 2.6</f>
        <v>8.0802539999999992E-2</v>
      </c>
      <c r="F3" s="21">
        <f>frac_mam_24_59months * 2.6</f>
        <v>5.962398E-2</v>
      </c>
    </row>
    <row r="4" spans="1:6" ht="15.75" customHeight="1" x14ac:dyDescent="0.25">
      <c r="A4" s="3" t="s">
        <v>198</v>
      </c>
      <c r="B4" s="21">
        <f>frac_sam_1month * 2.6</f>
        <v>0.13362908000000001</v>
      </c>
      <c r="C4" s="21">
        <f>frac_sam_1_5months * 2.6</f>
        <v>0.13362908000000001</v>
      </c>
      <c r="D4" s="21">
        <f>frac_sam_6_11months * 2.6</f>
        <v>7.2666100000000011E-2</v>
      </c>
      <c r="E4" s="21">
        <f>frac_sam_12_23months * 2.6</f>
        <v>7.3116939999999991E-2</v>
      </c>
      <c r="F4" s="21">
        <f>frac_sam_24_59months * 2.6</f>
        <v>3.4678540000000001E-2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4.3360267888069993E-2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1.8582971952029997E-2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2.6169476859899992E-2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0.91188728329999991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