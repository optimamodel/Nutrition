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12DB348-5F10-49EC-A15D-4A9D2A609CD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33" i="2"/>
  <c r="A29" i="2"/>
  <c r="A25" i="2"/>
  <c r="A21" i="2"/>
  <c r="A17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A2" i="2"/>
  <c r="A32" i="2" s="1"/>
  <c r="C33" i="1"/>
  <c r="C20" i="1"/>
  <c r="A3" i="2" l="1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20" i="2"/>
  <c r="A28" i="2"/>
  <c r="A36" i="2"/>
  <c r="A4" i="2"/>
  <c r="A14" i="2"/>
  <c r="A22" i="2"/>
  <c r="A30" i="2"/>
  <c r="A38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<sst xmlns="http://schemas.openxmlformats.org/spreadsheetml/2006/main" count="2103" uniqueCount="341">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</sst>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616375.58984375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0.1489</v>
      </c>
    </row>
    <row r="24" spans="1:3" ht="15" customHeight="1" x14ac:dyDescent="0.25">
      <c r="B24" s="15" t="s">
        <v>22</v>
      </c>
      <c r="C24" s="45">
        <v>0.65529999999999999</v>
      </c>
    </row>
    <row r="25" spans="1:3" ht="15" customHeight="1" x14ac:dyDescent="0.25">
      <c r="B25" s="15" t="s">
        <v>23</v>
      </c>
      <c r="C25" s="45">
        <v>0.1857</v>
      </c>
    </row>
    <row r="26" spans="1:3" ht="15" customHeight="1" x14ac:dyDescent="0.25">
      <c r="B26" s="15" t="s">
        <v>24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0.43972863237246501</v>
      </c>
    </row>
    <row r="30" spans="1:3" ht="14.25" customHeight="1" x14ac:dyDescent="0.25">
      <c r="B30" s="25" t="s">
        <v>27</v>
      </c>
      <c r="C30" s="99">
        <v>0.10181424433873699</v>
      </c>
    </row>
    <row r="31" spans="1:3" ht="14.25" customHeight="1" x14ac:dyDescent="0.25">
      <c r="B31" s="25" t="s">
        <v>28</v>
      </c>
      <c r="C31" s="99">
        <v>9.9255704226601515E-2</v>
      </c>
    </row>
    <row r="32" spans="1:3" ht="14.25" customHeight="1" x14ac:dyDescent="0.25">
      <c r="B32" s="25" t="s">
        <v>29</v>
      </c>
      <c r="C32" s="99">
        <v>0.35920141906219599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9.5091000000000001</v>
      </c>
    </row>
    <row r="38" spans="1:5" ht="15" customHeight="1" x14ac:dyDescent="0.25">
      <c r="B38" s="11" t="s">
        <v>34</v>
      </c>
      <c r="C38" s="43">
        <v>16.60615</v>
      </c>
      <c r="D38" s="12"/>
      <c r="E38" s="13"/>
    </row>
    <row r="39" spans="1:5" ht="15" customHeight="1" x14ac:dyDescent="0.25">
      <c r="B39" s="11" t="s">
        <v>35</v>
      </c>
      <c r="C39" s="43">
        <v>18.586200000000002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7.5017E-3</v>
      </c>
      <c r="D45" s="12"/>
    </row>
    <row r="46" spans="1:5" ht="15.75" customHeight="1" x14ac:dyDescent="0.25">
      <c r="B46" s="11" t="s">
        <v>41</v>
      </c>
      <c r="C46" s="45">
        <v>8.0604700000000001E-2</v>
      </c>
      <c r="D46" s="12"/>
    </row>
    <row r="47" spans="1:5" ht="15.75" customHeight="1" x14ac:dyDescent="0.25">
      <c r="B47" s="11" t="s">
        <v>42</v>
      </c>
      <c r="C47" s="45">
        <v>7.3866899999999999E-2</v>
      </c>
      <c r="D47" s="12"/>
      <c r="E47" s="13"/>
    </row>
    <row r="48" spans="1:5" ht="15" customHeight="1" x14ac:dyDescent="0.25">
      <c r="B48" s="11" t="s">
        <v>43</v>
      </c>
      <c r="C48" s="46">
        <v>0.83802670000000001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0.57557999999999998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118216</v>
      </c>
      <c r="C2" s="49">
        <v>445853</v>
      </c>
      <c r="D2" s="49">
        <v>675555</v>
      </c>
      <c r="E2" s="49">
        <v>933227.5</v>
      </c>
      <c r="F2" s="49">
        <v>658536.5</v>
      </c>
      <c r="G2" s="17">
        <f t="shared" ref="G2:G13" si="0">C2+D2+E2+F2</f>
        <v>2713172</v>
      </c>
      <c r="H2" s="17">
        <f t="shared" ref="H2:H13" si="1">(B2 + stillbirth*B2/(1000-stillbirth))/(1-abortion)</f>
        <v>135517.14211282111</v>
      </c>
      <c r="I2" s="17">
        <f t="shared" ref="I2:I13" si="2">G2-H2</f>
        <v>2577654.8578871787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116697</v>
      </c>
      <c r="C3" s="50">
        <v>462545</v>
      </c>
      <c r="D3" s="50">
        <v>659707.5</v>
      </c>
      <c r="E3" s="50">
        <v>923025.5</v>
      </c>
      <c r="F3" s="50">
        <v>681065</v>
      </c>
      <c r="G3" s="17">
        <f t="shared" si="0"/>
        <v>2726343</v>
      </c>
      <c r="H3" s="17">
        <f t="shared" si="1"/>
        <v>133775.83350087877</v>
      </c>
      <c r="I3" s="17">
        <f t="shared" si="2"/>
        <v>2592567.1664991211</v>
      </c>
    </row>
    <row r="4" spans="1:9" ht="15.75" customHeight="1" x14ac:dyDescent="0.25">
      <c r="A4" s="5">
        <f t="shared" si="3"/>
        <v>2026</v>
      </c>
      <c r="B4" s="49">
        <v>116230</v>
      </c>
      <c r="C4" s="50">
        <v>478325.99999999988</v>
      </c>
      <c r="D4" s="50">
        <v>651937</v>
      </c>
      <c r="E4" s="50">
        <v>905372</v>
      </c>
      <c r="F4" s="50">
        <v>705845</v>
      </c>
      <c r="G4" s="17">
        <f t="shared" si="0"/>
        <v>2741480</v>
      </c>
      <c r="H4" s="17">
        <f t="shared" si="1"/>
        <v>133240.48714026189</v>
      </c>
      <c r="I4" s="17">
        <f t="shared" si="2"/>
        <v>2608239.512859738</v>
      </c>
    </row>
    <row r="5" spans="1:9" ht="15.75" customHeight="1" x14ac:dyDescent="0.25">
      <c r="A5" s="5">
        <f t="shared" si="3"/>
        <v>2027</v>
      </c>
      <c r="B5" s="49">
        <v>116620</v>
      </c>
      <c r="C5" s="50">
        <v>491978</v>
      </c>
      <c r="D5" s="50">
        <v>652685</v>
      </c>
      <c r="E5" s="50">
        <v>880716.5</v>
      </c>
      <c r="F5" s="50">
        <v>731689</v>
      </c>
      <c r="G5" s="17">
        <f t="shared" si="0"/>
        <v>2757068.5</v>
      </c>
      <c r="H5" s="17">
        <f t="shared" si="1"/>
        <v>133687.56440073426</v>
      </c>
      <c r="I5" s="17">
        <f t="shared" si="2"/>
        <v>2623380.9355992656</v>
      </c>
    </row>
    <row r="6" spans="1:9" ht="15.75" customHeight="1" x14ac:dyDescent="0.25">
      <c r="A6" s="5">
        <f t="shared" si="3"/>
        <v>2028</v>
      </c>
      <c r="B6" s="49">
        <v>116785</v>
      </c>
      <c r="C6" s="50">
        <v>502463</v>
      </c>
      <c r="D6" s="50">
        <v>660697.5</v>
      </c>
      <c r="E6" s="50">
        <v>850995</v>
      </c>
      <c r="F6" s="50">
        <v>757099.5</v>
      </c>
      <c r="G6" s="17">
        <f t="shared" si="0"/>
        <v>2771255</v>
      </c>
      <c r="H6" s="17">
        <f t="shared" si="1"/>
        <v>133876.71247247254</v>
      </c>
      <c r="I6" s="17">
        <f t="shared" si="2"/>
        <v>2637378.2875275277</v>
      </c>
    </row>
    <row r="7" spans="1:9" ht="15.75" customHeight="1" x14ac:dyDescent="0.25">
      <c r="A7" s="5">
        <f t="shared" si="3"/>
        <v>2029</v>
      </c>
      <c r="B7" s="49">
        <v>118115</v>
      </c>
      <c r="C7" s="50">
        <v>508536.00000000012</v>
      </c>
      <c r="D7" s="50">
        <v>673815</v>
      </c>
      <c r="E7" s="50">
        <v>818681.5</v>
      </c>
      <c r="F7" s="50">
        <v>780492</v>
      </c>
      <c r="G7" s="17">
        <f t="shared" si="0"/>
        <v>2781524.5</v>
      </c>
      <c r="H7" s="17">
        <f t="shared" si="1"/>
        <v>135401.36056587828</v>
      </c>
      <c r="I7" s="17">
        <f t="shared" si="2"/>
        <v>2646123.1394341215</v>
      </c>
    </row>
    <row r="8" spans="1:9" ht="15.75" customHeight="1" x14ac:dyDescent="0.25">
      <c r="A8" s="5">
        <f t="shared" si="3"/>
        <v>2030</v>
      </c>
      <c r="B8" s="49">
        <v>119685</v>
      </c>
      <c r="C8" s="50">
        <v>508482</v>
      </c>
      <c r="D8" s="50">
        <v>691021</v>
      </c>
      <c r="E8" s="50">
        <v>785182.5</v>
      </c>
      <c r="F8" s="50">
        <v>800828.5</v>
      </c>
      <c r="G8" s="17">
        <f t="shared" si="0"/>
        <v>2785514</v>
      </c>
      <c r="H8" s="17">
        <f t="shared" si="1"/>
        <v>137201.13312726701</v>
      </c>
      <c r="I8" s="17">
        <f t="shared" si="2"/>
        <v>2648312.866872733</v>
      </c>
    </row>
    <row r="9" spans="1:9" ht="15.75" customHeight="1" x14ac:dyDescent="0.25">
      <c r="A9" s="5">
        <f t="shared" si="3"/>
        <v>2031</v>
      </c>
      <c r="B9" s="49">
        <v>121025</v>
      </c>
      <c r="C9" s="50">
        <v>498151</v>
      </c>
      <c r="D9" s="50">
        <v>712602</v>
      </c>
      <c r="E9" s="50">
        <v>751710.5</v>
      </c>
      <c r="F9" s="50">
        <v>817464</v>
      </c>
      <c r="G9" s="17">
        <f t="shared" si="0"/>
        <v>2779927.5</v>
      </c>
      <c r="H9" s="17">
        <f t="shared" si="1"/>
        <v>138737.24474017203</v>
      </c>
      <c r="I9" s="17">
        <f t="shared" si="2"/>
        <v>2641190.2552598282</v>
      </c>
    </row>
    <row r="10" spans="1:9" ht="15.75" customHeight="1" x14ac:dyDescent="0.25">
      <c r="A10" s="5">
        <f t="shared" si="3"/>
        <v>2032</v>
      </c>
      <c r="B10" s="49">
        <v>122985</v>
      </c>
      <c r="C10" s="50">
        <v>479022.50000000012</v>
      </c>
      <c r="D10" s="50">
        <v>737409</v>
      </c>
      <c r="E10" s="50">
        <v>720282</v>
      </c>
      <c r="F10" s="50">
        <v>829441.5</v>
      </c>
      <c r="G10" s="17">
        <f t="shared" si="0"/>
        <v>2766155</v>
      </c>
      <c r="H10" s="17">
        <f t="shared" si="1"/>
        <v>140984.0945620331</v>
      </c>
      <c r="I10" s="17">
        <f t="shared" si="2"/>
        <v>2625170.9054379668</v>
      </c>
    </row>
    <row r="11" spans="1:9" ht="15.75" customHeight="1" x14ac:dyDescent="0.25">
      <c r="A11" s="5">
        <f t="shared" si="3"/>
        <v>2033</v>
      </c>
      <c r="B11" s="49">
        <v>124084</v>
      </c>
      <c r="C11" s="50">
        <v>458630.5</v>
      </c>
      <c r="D11" s="50">
        <v>762509.5</v>
      </c>
      <c r="E11" s="50">
        <v>692706.5</v>
      </c>
      <c r="F11" s="50">
        <v>835761.5</v>
      </c>
      <c r="G11" s="17">
        <f t="shared" si="0"/>
        <v>2749608</v>
      </c>
      <c r="H11" s="17">
        <f t="shared" si="1"/>
        <v>142243.9353550052</v>
      </c>
      <c r="I11" s="17">
        <f t="shared" si="2"/>
        <v>2607364.0646449947</v>
      </c>
    </row>
    <row r="12" spans="1:9" ht="15.75" customHeight="1" x14ac:dyDescent="0.25">
      <c r="A12" s="5">
        <f t="shared" si="3"/>
        <v>2034</v>
      </c>
      <c r="B12" s="49">
        <v>125213</v>
      </c>
      <c r="C12" s="50">
        <v>435962.00000000012</v>
      </c>
      <c r="D12" s="50">
        <v>785411.5</v>
      </c>
      <c r="E12" s="50">
        <v>670350.5</v>
      </c>
      <c r="F12" s="50">
        <v>835942</v>
      </c>
      <c r="G12" s="17">
        <f t="shared" si="0"/>
        <v>2727666</v>
      </c>
      <c r="H12" s="17">
        <f t="shared" si="1"/>
        <v>143538.1667064752</v>
      </c>
      <c r="I12" s="17">
        <f t="shared" si="2"/>
        <v>2584127.8332935246</v>
      </c>
    </row>
    <row r="13" spans="1:9" ht="15.75" customHeight="1" x14ac:dyDescent="0.25">
      <c r="A13" s="5">
        <f t="shared" si="3"/>
        <v>2035</v>
      </c>
      <c r="B13" s="49">
        <v>125270</v>
      </c>
      <c r="C13" s="50">
        <v>410674</v>
      </c>
      <c r="D13" s="50">
        <v>803702</v>
      </c>
      <c r="E13" s="50">
        <v>654705</v>
      </c>
      <c r="F13" s="50">
        <v>829834</v>
      </c>
      <c r="G13" s="17">
        <f t="shared" si="0"/>
        <v>2698915</v>
      </c>
      <c r="H13" s="17">
        <f t="shared" si="1"/>
        <v>143603.50876762116</v>
      </c>
      <c r="I13" s="17">
        <f t="shared" si="2"/>
        <v>2555311.4912323789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7.6930000000000043E-4</v>
      </c>
    </row>
    <row r="4" spans="1:8" ht="15.75" customHeight="1" x14ac:dyDescent="0.25">
      <c r="B4" s="19" t="s">
        <v>69</v>
      </c>
      <c r="C4" s="101">
        <v>4.0746100000000042E-2</v>
      </c>
    </row>
    <row r="5" spans="1:8" ht="15.75" customHeight="1" x14ac:dyDescent="0.25">
      <c r="B5" s="19" t="s">
        <v>70</v>
      </c>
      <c r="C5" s="101">
        <v>3.8142599999999888E-2</v>
      </c>
    </row>
    <row r="6" spans="1:8" ht="15.75" customHeight="1" x14ac:dyDescent="0.25">
      <c r="B6" s="19" t="s">
        <v>71</v>
      </c>
      <c r="C6" s="101">
        <v>0.1658214999999999</v>
      </c>
    </row>
    <row r="7" spans="1:8" ht="15.75" customHeight="1" x14ac:dyDescent="0.25">
      <c r="B7" s="19" t="s">
        <v>72</v>
      </c>
      <c r="C7" s="101">
        <v>0.4688312999999999</v>
      </c>
    </row>
    <row r="8" spans="1:8" ht="15.75" customHeight="1" x14ac:dyDescent="0.25">
      <c r="B8" s="19" t="s">
        <v>73</v>
      </c>
      <c r="C8" s="101">
        <v>9.6299999999999942E-5</v>
      </c>
    </row>
    <row r="9" spans="1:8" ht="15.75" customHeight="1" x14ac:dyDescent="0.25">
      <c r="B9" s="19" t="s">
        <v>74</v>
      </c>
      <c r="C9" s="101">
        <v>0.20751630000000029</v>
      </c>
    </row>
    <row r="10" spans="1:8" ht="15.75" customHeight="1" x14ac:dyDescent="0.25">
      <c r="B10" s="19" t="s">
        <v>75</v>
      </c>
      <c r="C10" s="101">
        <v>7.8076599999999899E-2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82</v>
      </c>
      <c r="C15" s="101">
        <v>0.30908005016101692</v>
      </c>
      <c r="D15" s="101">
        <v>0.30908005016101692</v>
      </c>
      <c r="E15" s="101">
        <v>0.30908005016101692</v>
      </c>
      <c r="F15" s="101">
        <v>0.30908005016101692</v>
      </c>
    </row>
    <row r="16" spans="1:8" ht="15.75" customHeight="1" x14ac:dyDescent="0.25">
      <c r="B16" s="19" t="s">
        <v>83</v>
      </c>
      <c r="C16" s="101">
        <v>2.0862040124609481E-2</v>
      </c>
      <c r="D16" s="101">
        <v>2.0862040124609481E-2</v>
      </c>
      <c r="E16" s="101">
        <v>2.0862040124609481E-2</v>
      </c>
      <c r="F16" s="101">
        <v>2.0862040124609481E-2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3.6157917131633778E-2</v>
      </c>
      <c r="D19" s="101">
        <v>3.6157917131633778E-2</v>
      </c>
      <c r="E19" s="101">
        <v>3.6157917131633778E-2</v>
      </c>
      <c r="F19" s="101">
        <v>3.6157917131633778E-2</v>
      </c>
    </row>
    <row r="20" spans="1:8" ht="15.75" customHeight="1" x14ac:dyDescent="0.25">
      <c r="B20" s="19" t="s">
        <v>87</v>
      </c>
      <c r="C20" s="101">
        <v>3.4706712718423171E-3</v>
      </c>
      <c r="D20" s="101">
        <v>3.4706712718423171E-3</v>
      </c>
      <c r="E20" s="101">
        <v>3.4706712718423171E-3</v>
      </c>
      <c r="F20" s="101">
        <v>3.4706712718423171E-3</v>
      </c>
    </row>
    <row r="21" spans="1:8" ht="15.75" customHeight="1" x14ac:dyDescent="0.25">
      <c r="B21" s="19" t="s">
        <v>88</v>
      </c>
      <c r="C21" s="101">
        <v>0.44912391833034337</v>
      </c>
      <c r="D21" s="101">
        <v>0.44912391833034337</v>
      </c>
      <c r="E21" s="101">
        <v>0.44912391833034337</v>
      </c>
      <c r="F21" s="101">
        <v>0.44912391833034337</v>
      </c>
    </row>
    <row r="22" spans="1:8" ht="15.75" customHeight="1" x14ac:dyDescent="0.25">
      <c r="B22" s="19" t="s">
        <v>89</v>
      </c>
      <c r="C22" s="101">
        <v>0.12822649545291279</v>
      </c>
      <c r="D22" s="101">
        <v>0.12822649545291279</v>
      </c>
      <c r="E22" s="101">
        <v>0.12822649545291279</v>
      </c>
      <c r="F22" s="101">
        <v>0.12822649545291279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3.2286483999999997E-2</v>
      </c>
    </row>
    <row r="27" spans="1:8" ht="15.75" customHeight="1" x14ac:dyDescent="0.25">
      <c r="B27" s="19" t="s">
        <v>92</v>
      </c>
      <c r="C27" s="101">
        <v>8.0926539000000006E-2</v>
      </c>
    </row>
    <row r="28" spans="1:8" ht="15.75" customHeight="1" x14ac:dyDescent="0.25">
      <c r="B28" s="19" t="s">
        <v>93</v>
      </c>
      <c r="C28" s="101">
        <v>0.11034517200000001</v>
      </c>
    </row>
    <row r="29" spans="1:8" ht="15.75" customHeight="1" x14ac:dyDescent="0.25">
      <c r="B29" s="19" t="s">
        <v>94</v>
      </c>
      <c r="C29" s="101">
        <v>8.99475E-2</v>
      </c>
    </row>
    <row r="30" spans="1:8" ht="15.75" customHeight="1" x14ac:dyDescent="0.25">
      <c r="B30" s="19" t="s">
        <v>95</v>
      </c>
      <c r="C30" s="101">
        <v>2.9600607000000001E-2</v>
      </c>
    </row>
    <row r="31" spans="1:8" ht="15.75" customHeight="1" x14ac:dyDescent="0.25">
      <c r="B31" s="19" t="s">
        <v>96</v>
      </c>
      <c r="C31" s="101">
        <v>3.5472995E-2</v>
      </c>
    </row>
    <row r="32" spans="1:8" ht="15.75" customHeight="1" x14ac:dyDescent="0.25">
      <c r="B32" s="19" t="s">
        <v>97</v>
      </c>
      <c r="C32" s="101">
        <v>0.250963082</v>
      </c>
    </row>
    <row r="33" spans="2:3" ht="15.75" customHeight="1" x14ac:dyDescent="0.25">
      <c r="B33" s="19" t="s">
        <v>98</v>
      </c>
      <c r="C33" s="101">
        <v>0.14174240299999999</v>
      </c>
    </row>
    <row r="34" spans="2:3" ht="15.75" customHeight="1" x14ac:dyDescent="0.25">
      <c r="B34" s="19" t="s">
        <v>99</v>
      </c>
      <c r="C34" s="101">
        <v>0.228715217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104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105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109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110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122</v>
      </c>
      <c r="C5" s="52">
        <v>0.1027945</v>
      </c>
      <c r="D5" s="52">
        <v>0.18830710000000001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56.337138300604238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39.842199870999643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387.87092573663659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6.2265350403132853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1.6153600000000001E-2</v>
      </c>
      <c r="C10" s="98">
        <v>0.95</v>
      </c>
      <c r="D10" s="56">
        <v>12.974499314795549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12.974499314795549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12.974499314795549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12.974499314795549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1.6153600000000001E-2</v>
      </c>
      <c r="C14" s="98">
        <v>0.95</v>
      </c>
      <c r="D14" s="56">
        <v>12.974499314795549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12.974499314795549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0.68126511469090134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8.5698500000000011E-2</v>
      </c>
      <c r="C18" s="98">
        <v>0.95</v>
      </c>
      <c r="D18" s="56">
        <v>8.9498000901640609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8.5698500000000011E-2</v>
      </c>
      <c r="C19" s="98">
        <v>0.95</v>
      </c>
      <c r="D19" s="56">
        <v>8.9498000901640609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69.283092298354532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22.370086288750748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4.2557875816009592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0.55540145219353199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1.6153600000000001E-2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18.535649720195959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0.21083840000000001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0.34978969999999998</v>
      </c>
      <c r="C29" s="98">
        <v>0.95</v>
      </c>
      <c r="D29" s="56">
        <v>109.78567093836929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1.2514852015075351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0.41</v>
      </c>
      <c r="C32" s="98">
        <v>0.95</v>
      </c>
      <c r="D32" s="56">
        <v>1.45890481734541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0.89304019999999995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1.33188E-2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0.93835589999999991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2.24059070083436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205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0.10725540404258715</v>
      </c>
      <c r="G18" s="90">
        <f>MIN(MAX(1-0.89/(1-frac_sam_12_23months+(frac_sam_12_23months*0.89)),0),1)</f>
        <v>0.10723832299349301</v>
      </c>
      <c r="H18" s="90">
        <f>MIN(MAX(1-0.89/(1-frac_sam_24_59months+(frac_sam_24_59months*0.89)),0),1)</f>
        <v>0.10869230097452853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9.8158185688824284E-2</v>
      </c>
      <c r="G20" s="90">
        <f>MIN(MAX(1-0.89/(1-frac_mam_12_23months+(frac_mam_12_23months*0.89)),0),1)</f>
        <v>0.10694703682473083</v>
      </c>
      <c r="H20" s="90">
        <f>MIN(MAX(1-0.89/(1-frac_mam_24_59months+(frac_mam_24_59months*0.89)),0),1)</f>
        <v>0.10774925019432535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9.7232324976345152E-3</v>
      </c>
      <c r="G73" s="90">
        <f>MIN(MAX(1-0.99/(1-frac_sam_12_23months+(frac_sam_12_23months*0.99)),0),1)</f>
        <v>9.7215148746915281E-3</v>
      </c>
      <c r="H73" s="90">
        <f>MIN(MAX(1-0.99/(1-frac_sam_24_59months+(frac_sam_24_59months*0.99)),0),1)</f>
        <v>9.8679371755925338E-3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8.8168246435771369E-3</v>
      </c>
      <c r="G75" s="90">
        <f>MIN(MAX(1-0.99/(1-frac_mam_12_23months+(frac_mam_12_23months*0.99)),0),1)</f>
        <v>9.6922331425238761E-3</v>
      </c>
      <c r="H75" s="90">
        <f>MIN(MAX(1-0.99/(1-frac_mam_24_59months+(frac_mam_24_59months*0.99)),0),1)</f>
        <v>9.772918154909993E-3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0.1955031036987448</v>
      </c>
      <c r="G128" s="90">
        <f>MIN(MAX(1-0.8/(1-frac_sam_12_23months+(frac_sam_12_23months*0.8)),0),1)</f>
        <v>0.19547504593887766</v>
      </c>
      <c r="H128" s="90">
        <f>MIN(MAX(1-0.8/(1-frac_sam_24_59months+(frac_sam_24_59months*0.8)),0),1)</f>
        <v>0.19786022798697345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0.18043367352165596</v>
      </c>
      <c r="G130" s="90">
        <f>MIN(MAX(1-0.8/(1-frac_mam_12_23months+(frac_mam_12_23months*0.8)),0),1)</f>
        <v>0.19499643594734561</v>
      </c>
      <c r="H130" s="90">
        <f>MIN(MAX(1-0.8/(1-frac_mam_24_59months+(frac_mam_24_59months*0.8)),0),1)</f>
        <v>0.19631392596889918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2024-06-18T06:54:05Z</dcterms:modified>
</cp:coreProperties>
</file>