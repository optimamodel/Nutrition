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968E6DB-AF2F-4F02-A54E-7FA267306E3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2" i="2"/>
  <c r="A27" i="2"/>
  <c r="A25" i="2"/>
  <c r="A24" i="2"/>
  <c r="A19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38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17" i="2"/>
  <c r="A33" i="2"/>
  <c r="A3" i="2"/>
  <c r="A4" i="2" s="1"/>
  <c r="A5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<sst xmlns="http://schemas.openxmlformats.org/spreadsheetml/2006/main" count="2092" uniqueCount="341">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</sst>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616375.58984375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9">
        <v>0.10181424433873699</v>
      </c>
    </row>
    <row r="31" spans="1:3" ht="14.25" customHeight="1" x14ac:dyDescent="0.25">
      <c r="B31" s="25" t="s">
        <v>28</v>
      </c>
      <c r="C31" s="99">
        <v>9.9255704226601515E-2</v>
      </c>
    </row>
    <row r="32" spans="1:3" ht="14.25" customHeight="1" x14ac:dyDescent="0.25">
      <c r="B32" s="25" t="s">
        <v>29</v>
      </c>
      <c r="C32" s="99">
        <v>0.35920141906219599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140473.74299999999</v>
      </c>
      <c r="C2" s="49">
        <v>312000</v>
      </c>
      <c r="D2" s="49">
        <v>657000</v>
      </c>
      <c r="E2" s="49">
        <v>921000</v>
      </c>
      <c r="F2" s="49">
        <v>722000</v>
      </c>
      <c r="G2" s="17">
        <f t="shared" ref="G2:G13" si="0">C2+D2+E2+F2</f>
        <v>2612000</v>
      </c>
      <c r="H2" s="17">
        <f t="shared" ref="H2:H13" si="1">(B2 + stillbirth*B2/(1000-stillbirth))/(1-abortion)</f>
        <v>161032.34920189236</v>
      </c>
      <c r="I2" s="17">
        <f t="shared" ref="I2:I13" si="2">G2-H2</f>
        <v>2450967.6507981075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136555.20000000001</v>
      </c>
      <c r="C3" s="50">
        <v>324000</v>
      </c>
      <c r="D3" s="50">
        <v>635000</v>
      </c>
      <c r="E3" s="50">
        <v>911000</v>
      </c>
      <c r="F3" s="50">
        <v>745000</v>
      </c>
      <c r="G3" s="17">
        <f t="shared" si="0"/>
        <v>2615000</v>
      </c>
      <c r="H3" s="17">
        <f t="shared" si="1"/>
        <v>156540.31979296129</v>
      </c>
      <c r="I3" s="17">
        <f t="shared" si="2"/>
        <v>2458459.6802070388</v>
      </c>
    </row>
    <row r="4" spans="1:9" ht="15.75" customHeight="1" x14ac:dyDescent="0.25">
      <c r="A4" s="5">
        <f t="shared" si="3"/>
        <v>2026</v>
      </c>
      <c r="B4" s="49">
        <v>135509.70480000001</v>
      </c>
      <c r="C4" s="50">
        <v>339000</v>
      </c>
      <c r="D4" s="50">
        <v>620000</v>
      </c>
      <c r="E4" s="50">
        <v>894000</v>
      </c>
      <c r="F4" s="50">
        <v>772000</v>
      </c>
      <c r="G4" s="17">
        <f t="shared" si="0"/>
        <v>2625000</v>
      </c>
      <c r="H4" s="17">
        <f t="shared" si="1"/>
        <v>155341.81433179977</v>
      </c>
      <c r="I4" s="17">
        <f t="shared" si="2"/>
        <v>2469658.1856682003</v>
      </c>
    </row>
    <row r="5" spans="1:9" ht="15.75" customHeight="1" x14ac:dyDescent="0.25">
      <c r="A5" s="5">
        <f t="shared" si="3"/>
        <v>2027</v>
      </c>
      <c r="B5" s="49">
        <v>134408.08679999999</v>
      </c>
      <c r="C5" s="50">
        <v>358000</v>
      </c>
      <c r="D5" s="50">
        <v>611000</v>
      </c>
      <c r="E5" s="50">
        <v>869000</v>
      </c>
      <c r="F5" s="50">
        <v>801000</v>
      </c>
      <c r="G5" s="17">
        <f t="shared" si="0"/>
        <v>2639000</v>
      </c>
      <c r="H5" s="17">
        <f t="shared" si="1"/>
        <v>154078.97238942271</v>
      </c>
      <c r="I5" s="17">
        <f t="shared" si="2"/>
        <v>2484921.0276105772</v>
      </c>
    </row>
    <row r="6" spans="1:9" ht="15.75" customHeight="1" x14ac:dyDescent="0.25">
      <c r="A6" s="5">
        <f t="shared" si="3"/>
        <v>2028</v>
      </c>
      <c r="B6" s="49">
        <v>133251.84359999999</v>
      </c>
      <c r="C6" s="50">
        <v>377000</v>
      </c>
      <c r="D6" s="50">
        <v>607000</v>
      </c>
      <c r="E6" s="50">
        <v>840000</v>
      </c>
      <c r="F6" s="50">
        <v>831000</v>
      </c>
      <c r="G6" s="17">
        <f t="shared" si="0"/>
        <v>2655000</v>
      </c>
      <c r="H6" s="17">
        <f t="shared" si="1"/>
        <v>152753.51074251041</v>
      </c>
      <c r="I6" s="17">
        <f t="shared" si="2"/>
        <v>2502246.4892574898</v>
      </c>
    </row>
    <row r="7" spans="1:9" ht="15.75" customHeight="1" x14ac:dyDescent="0.25">
      <c r="A7" s="5">
        <f t="shared" si="3"/>
        <v>2029</v>
      </c>
      <c r="B7" s="49">
        <v>132030.08840000001</v>
      </c>
      <c r="C7" s="50">
        <v>392000</v>
      </c>
      <c r="D7" s="50">
        <v>610000</v>
      </c>
      <c r="E7" s="50">
        <v>808000</v>
      </c>
      <c r="F7" s="50">
        <v>858000</v>
      </c>
      <c r="G7" s="17">
        <f t="shared" si="0"/>
        <v>2668000</v>
      </c>
      <c r="H7" s="17">
        <f t="shared" si="1"/>
        <v>151352.94928665439</v>
      </c>
      <c r="I7" s="17">
        <f t="shared" si="2"/>
        <v>2516647.0507133454</v>
      </c>
    </row>
    <row r="8" spans="1:9" ht="15.75" customHeight="1" x14ac:dyDescent="0.25">
      <c r="A8" s="5">
        <f t="shared" si="3"/>
        <v>2030</v>
      </c>
      <c r="B8" s="49">
        <v>130769.254</v>
      </c>
      <c r="C8" s="50">
        <v>401000</v>
      </c>
      <c r="D8" s="50">
        <v>619000</v>
      </c>
      <c r="E8" s="50">
        <v>775000</v>
      </c>
      <c r="F8" s="50">
        <v>879000</v>
      </c>
      <c r="G8" s="17">
        <f t="shared" si="0"/>
        <v>2674000</v>
      </c>
      <c r="H8" s="17">
        <f t="shared" si="1"/>
        <v>149907.58931367667</v>
      </c>
      <c r="I8" s="17">
        <f t="shared" si="2"/>
        <v>2524092.4106863234</v>
      </c>
    </row>
    <row r="9" spans="1:9" ht="15.75" customHeight="1" x14ac:dyDescent="0.25">
      <c r="A9" s="5">
        <f t="shared" si="3"/>
        <v>2031</v>
      </c>
      <c r="B9" s="49">
        <v>129382.8984285714</v>
      </c>
      <c r="C9" s="50">
        <v>413714.28571428568</v>
      </c>
      <c r="D9" s="50">
        <v>613571.42857142852</v>
      </c>
      <c r="E9" s="50">
        <v>754142.85714285716</v>
      </c>
      <c r="F9" s="50">
        <v>901428.57142857148</v>
      </c>
      <c r="G9" s="17">
        <f t="shared" si="0"/>
        <v>2682857.1428571427</v>
      </c>
      <c r="H9" s="17">
        <f t="shared" si="1"/>
        <v>148318.33790107441</v>
      </c>
      <c r="I9" s="17">
        <f t="shared" si="2"/>
        <v>2534538.8049560683</v>
      </c>
    </row>
    <row r="10" spans="1:9" ht="15.75" customHeight="1" x14ac:dyDescent="0.25">
      <c r="A10" s="5">
        <f t="shared" si="3"/>
        <v>2032</v>
      </c>
      <c r="B10" s="49">
        <v>128358.28391836731</v>
      </c>
      <c r="C10" s="50">
        <v>426530.61224489799</v>
      </c>
      <c r="D10" s="50">
        <v>610510.20408163255</v>
      </c>
      <c r="E10" s="50">
        <v>731734.69387755101</v>
      </c>
      <c r="F10" s="50">
        <v>923775.51020408166</v>
      </c>
      <c r="G10" s="17">
        <f t="shared" si="0"/>
        <v>2692551.0204081628</v>
      </c>
      <c r="H10" s="17">
        <f t="shared" si="1"/>
        <v>147143.76905937627</v>
      </c>
      <c r="I10" s="17">
        <f t="shared" si="2"/>
        <v>2545407.2513487865</v>
      </c>
    </row>
    <row r="11" spans="1:9" ht="15.75" customHeight="1" x14ac:dyDescent="0.25">
      <c r="A11" s="5">
        <f t="shared" si="3"/>
        <v>2033</v>
      </c>
      <c r="B11" s="49">
        <v>127336.65236384841</v>
      </c>
      <c r="C11" s="50">
        <v>439034.98542274057</v>
      </c>
      <c r="D11" s="50">
        <v>609154.5189504372</v>
      </c>
      <c r="E11" s="50">
        <v>708553.93586005829</v>
      </c>
      <c r="F11" s="50">
        <v>945457.72594752186</v>
      </c>
      <c r="G11" s="17">
        <f t="shared" si="0"/>
        <v>2702201.1661807578</v>
      </c>
      <c r="H11" s="17">
        <f t="shared" si="1"/>
        <v>145972.6197347444</v>
      </c>
      <c r="I11" s="17">
        <f t="shared" si="2"/>
        <v>2556228.5464460133</v>
      </c>
    </row>
    <row r="12" spans="1:9" ht="15.75" customHeight="1" x14ac:dyDescent="0.25">
      <c r="A12" s="5">
        <f t="shared" si="3"/>
        <v>2034</v>
      </c>
      <c r="B12" s="49">
        <v>126326.4474443981</v>
      </c>
      <c r="C12" s="50">
        <v>450611.41191170347</v>
      </c>
      <c r="D12" s="50">
        <v>608890.8788004996</v>
      </c>
      <c r="E12" s="50">
        <v>685633.06955435232</v>
      </c>
      <c r="F12" s="50">
        <v>966094.54394002503</v>
      </c>
      <c r="G12" s="17">
        <f t="shared" si="0"/>
        <v>2711229.9042065805</v>
      </c>
      <c r="H12" s="17">
        <f t="shared" si="1"/>
        <v>144814.56935550456</v>
      </c>
      <c r="I12" s="17">
        <f t="shared" si="2"/>
        <v>2566415.3348510759</v>
      </c>
    </row>
    <row r="13" spans="1:9" ht="15.75" customHeight="1" x14ac:dyDescent="0.25">
      <c r="A13" s="5">
        <f t="shared" si="3"/>
        <v>2035</v>
      </c>
      <c r="B13" s="49">
        <v>125337.10513645499</v>
      </c>
      <c r="C13" s="50">
        <v>461127.32789908972</v>
      </c>
      <c r="D13" s="50">
        <v>609161.00434342807</v>
      </c>
      <c r="E13" s="50">
        <v>663580.65091925976</v>
      </c>
      <c r="F13" s="50">
        <v>985393.76450288575</v>
      </c>
      <c r="G13" s="17">
        <f t="shared" si="0"/>
        <v>2719262.747664663</v>
      </c>
      <c r="H13" s="17">
        <f t="shared" si="1"/>
        <v>143680.43487164658</v>
      </c>
      <c r="I13" s="17">
        <f t="shared" si="2"/>
        <v>2575582.3127930164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101">
        <v>4.0746100000000042E-2</v>
      </c>
    </row>
    <row r="5" spans="1:8" ht="15.75" customHeight="1" x14ac:dyDescent="0.25">
      <c r="B5" s="19" t="s">
        <v>70</v>
      </c>
      <c r="C5" s="101">
        <v>3.8142599999999888E-2</v>
      </c>
    </row>
    <row r="6" spans="1:8" ht="15.75" customHeight="1" x14ac:dyDescent="0.25">
      <c r="B6" s="19" t="s">
        <v>71</v>
      </c>
      <c r="C6" s="101">
        <v>0.1658214999999999</v>
      </c>
    </row>
    <row r="7" spans="1:8" ht="15.75" customHeight="1" x14ac:dyDescent="0.25">
      <c r="B7" s="19" t="s">
        <v>72</v>
      </c>
      <c r="C7" s="101">
        <v>0.4688312999999999</v>
      </c>
    </row>
    <row r="8" spans="1:8" ht="15.75" customHeight="1" x14ac:dyDescent="0.25">
      <c r="B8" s="19" t="s">
        <v>73</v>
      </c>
      <c r="C8" s="101">
        <v>9.6299999999999942E-5</v>
      </c>
    </row>
    <row r="9" spans="1:8" ht="15.75" customHeight="1" x14ac:dyDescent="0.25">
      <c r="B9" s="19" t="s">
        <v>74</v>
      </c>
      <c r="C9" s="101">
        <v>0.20751630000000029</v>
      </c>
    </row>
    <row r="10" spans="1:8" ht="15.75" customHeight="1" x14ac:dyDescent="0.25">
      <c r="B10" s="19" t="s">
        <v>75</v>
      </c>
      <c r="C10" s="101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83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87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89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101">
        <v>8.0926539000000006E-2</v>
      </c>
    </row>
    <row r="28" spans="1:8" ht="15.75" customHeight="1" x14ac:dyDescent="0.25">
      <c r="B28" s="19" t="s">
        <v>93</v>
      </c>
      <c r="C28" s="101">
        <v>0.11034517200000001</v>
      </c>
    </row>
    <row r="29" spans="1:8" ht="15.75" customHeight="1" x14ac:dyDescent="0.25">
      <c r="B29" s="19" t="s">
        <v>94</v>
      </c>
      <c r="C29" s="101">
        <v>8.99475E-2</v>
      </c>
    </row>
    <row r="30" spans="1:8" ht="15.75" customHeight="1" x14ac:dyDescent="0.25">
      <c r="B30" s="19" t="s">
        <v>95</v>
      </c>
      <c r="C30" s="101">
        <v>2.9600607000000001E-2</v>
      </c>
    </row>
    <row r="31" spans="1:8" ht="15.75" customHeight="1" x14ac:dyDescent="0.25">
      <c r="B31" s="19" t="s">
        <v>96</v>
      </c>
      <c r="C31" s="101">
        <v>3.5472995E-2</v>
      </c>
    </row>
    <row r="32" spans="1:8" ht="15.75" customHeight="1" x14ac:dyDescent="0.25">
      <c r="B32" s="19" t="s">
        <v>97</v>
      </c>
      <c r="C32" s="101">
        <v>0.250963082</v>
      </c>
    </row>
    <row r="33" spans="2:3" ht="15.75" customHeight="1" x14ac:dyDescent="0.25">
      <c r="B33" s="19" t="s">
        <v>98</v>
      </c>
      <c r="C33" s="101">
        <v>0.14174240299999999</v>
      </c>
    </row>
    <row r="34" spans="2:3" ht="15.75" customHeight="1" x14ac:dyDescent="0.25">
      <c r="B34" s="19" t="s">
        <v>99</v>
      </c>
      <c r="C34" s="101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9.2061883299999994E-2</v>
      </c>
      <c r="C2" s="98">
        <v>0.95</v>
      </c>
      <c r="D2" s="56">
        <v>56.337138300604238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39.842199870999643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387.87092573663659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5.8691064570772804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12.974499314795549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12.974499314795549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12.974499314795549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12.974499314795549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12.974499314795549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12.974499314795549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0.19576896912054301</v>
      </c>
      <c r="C16" s="98">
        <v>0.95</v>
      </c>
      <c r="D16" s="56">
        <v>0.68126511469090134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8.9498000901640609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8.9498000901640609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69.283092298354532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1.33188E-2</v>
      </c>
      <c r="C23" s="98">
        <v>0.95</v>
      </c>
      <c r="D23" s="56">
        <v>4.2557875816009592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0.58118711531353195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0.1180633442</v>
      </c>
      <c r="C27" s="98">
        <v>0.95</v>
      </c>
      <c r="D27" s="56">
        <v>18.535649720195959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0.21083840000000001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109.78567093836929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1.2514852015075351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8.5698500000000011E-2</v>
      </c>
      <c r="C32" s="98">
        <v>0.95</v>
      </c>
      <c r="D32" s="56">
        <v>1.45890481734541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0.96129030000000004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2.24059070083436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0.34978969999999998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205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0.87629886194952999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2024-03-28T03:03:40Z</dcterms:modified>
</cp:coreProperties>
</file>