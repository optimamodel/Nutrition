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DE6B7A4-0B41-49F8-971B-80C15024D58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<sst xmlns="http://schemas.openxmlformats.org/spreadsheetml/2006/main" count="2102" uniqueCount="341">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</sst>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117886.263671875</v>
      </c>
    </row>
    <row r="8" spans="1:3" ht="15" customHeight="1" x14ac:dyDescent="0.25">
      <c r="B8" s="5" t="s">
        <v>8</v>
      </c>
      <c r="C8" s="44">
        <v>0.17100000000000001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0.31655279159545902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3.44E-2</v>
      </c>
    </row>
    <row r="24" spans="1:3" ht="15" customHeight="1" x14ac:dyDescent="0.25">
      <c r="B24" s="15" t="s">
        <v>22</v>
      </c>
      <c r="C24" s="45">
        <v>0.33629999999999999</v>
      </c>
    </row>
    <row r="25" spans="1:3" ht="15" customHeight="1" x14ac:dyDescent="0.25">
      <c r="B25" s="15" t="s">
        <v>23</v>
      </c>
      <c r="C25" s="45">
        <v>0.51450000000000007</v>
      </c>
    </row>
    <row r="26" spans="1:3" ht="15" customHeight="1" x14ac:dyDescent="0.25">
      <c r="B26" s="15" t="s">
        <v>24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29.55951</v>
      </c>
    </row>
    <row r="38" spans="1:5" ht="15" customHeight="1" x14ac:dyDescent="0.25">
      <c r="B38" s="11" t="s">
        <v>34</v>
      </c>
      <c r="C38" s="43">
        <v>45.850830000000002</v>
      </c>
      <c r="D38" s="12"/>
      <c r="E38" s="13"/>
    </row>
    <row r="39" spans="1:5" ht="15" customHeight="1" x14ac:dyDescent="0.25">
      <c r="B39" s="11" t="s">
        <v>35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100">
        <v>2.34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7.9539999999999993E-3</v>
      </c>
      <c r="D45" s="12"/>
    </row>
    <row r="46" spans="1:5" ht="15.75" customHeight="1" x14ac:dyDescent="0.25">
      <c r="B46" s="11" t="s">
        <v>41</v>
      </c>
      <c r="C46" s="45">
        <v>8.5464499999999999E-2</v>
      </c>
      <c r="D46" s="12"/>
    </row>
    <row r="47" spans="1:5" ht="15.75" customHeight="1" x14ac:dyDescent="0.25">
      <c r="B47" s="11" t="s">
        <v>42</v>
      </c>
      <c r="C47" s="45">
        <v>7.3436600000000005E-2</v>
      </c>
      <c r="D47" s="12"/>
      <c r="E47" s="13"/>
    </row>
    <row r="48" spans="1:5" ht="15" customHeight="1" x14ac:dyDescent="0.25">
      <c r="B48" s="11" t="s">
        <v>43</v>
      </c>
      <c r="C48" s="46">
        <v>0.83314490000000008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0.53184900000000002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8.8169999999999932E-3</v>
      </c>
    </row>
    <row r="4" spans="1:8" ht="15.75" customHeight="1" x14ac:dyDescent="0.25">
      <c r="B4" s="19" t="s">
        <v>69</v>
      </c>
      <c r="C4" s="101">
        <v>5.5100499999999913E-2</v>
      </c>
    </row>
    <row r="5" spans="1:8" ht="15.75" customHeight="1" x14ac:dyDescent="0.25">
      <c r="B5" s="19" t="s">
        <v>70</v>
      </c>
      <c r="C5" s="101">
        <v>6.986630000000002E-2</v>
      </c>
    </row>
    <row r="6" spans="1:8" ht="15.75" customHeight="1" x14ac:dyDescent="0.25">
      <c r="B6" s="19" t="s">
        <v>71</v>
      </c>
      <c r="C6" s="101">
        <v>0.24833930000000001</v>
      </c>
    </row>
    <row r="7" spans="1:8" ht="15.75" customHeight="1" x14ac:dyDescent="0.25">
      <c r="B7" s="19" t="s">
        <v>72</v>
      </c>
      <c r="C7" s="101">
        <v>0.4203207000000001</v>
      </c>
    </row>
    <row r="8" spans="1:8" ht="15.75" customHeight="1" x14ac:dyDescent="0.25">
      <c r="B8" s="19" t="s">
        <v>73</v>
      </c>
      <c r="C8" s="101">
        <v>1.5927000000000001E-3</v>
      </c>
    </row>
    <row r="9" spans="1:8" ht="15.75" customHeight="1" x14ac:dyDescent="0.25">
      <c r="B9" s="19" t="s">
        <v>74</v>
      </c>
      <c r="C9" s="101">
        <v>7.7598499999999945E-2</v>
      </c>
    </row>
    <row r="10" spans="1:8" ht="15.75" customHeight="1" x14ac:dyDescent="0.25">
      <c r="B10" s="19" t="s">
        <v>75</v>
      </c>
      <c r="C10" s="101">
        <v>0.1183649999999999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82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83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84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85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86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87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88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89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4.4741791000000003E-2</v>
      </c>
    </row>
    <row r="27" spans="1:8" ht="15.75" customHeight="1" x14ac:dyDescent="0.25">
      <c r="B27" s="19" t="s">
        <v>92</v>
      </c>
      <c r="C27" s="101">
        <v>2.6038460999999999E-2</v>
      </c>
    </row>
    <row r="28" spans="1:8" ht="15.75" customHeight="1" x14ac:dyDescent="0.25">
      <c r="B28" s="19" t="s">
        <v>93</v>
      </c>
      <c r="C28" s="101">
        <v>0.189573254</v>
      </c>
    </row>
    <row r="29" spans="1:8" ht="15.75" customHeight="1" x14ac:dyDescent="0.25">
      <c r="B29" s="19" t="s">
        <v>94</v>
      </c>
      <c r="C29" s="101">
        <v>0.14647354200000001</v>
      </c>
    </row>
    <row r="30" spans="1:8" ht="15.75" customHeight="1" x14ac:dyDescent="0.25">
      <c r="B30" s="19" t="s">
        <v>95</v>
      </c>
      <c r="C30" s="101">
        <v>4.8331328999999999E-2</v>
      </c>
    </row>
    <row r="31" spans="1:8" ht="15.75" customHeight="1" x14ac:dyDescent="0.25">
      <c r="B31" s="19" t="s">
        <v>96</v>
      </c>
      <c r="C31" s="101">
        <v>2.9691288999999999E-2</v>
      </c>
    </row>
    <row r="32" spans="1:8" ht="15.75" customHeight="1" x14ac:dyDescent="0.25">
      <c r="B32" s="19" t="s">
        <v>97</v>
      </c>
      <c r="C32" s="101">
        <v>8.2147682999999999E-2</v>
      </c>
    </row>
    <row r="33" spans="2:3" ht="15.75" customHeight="1" x14ac:dyDescent="0.25">
      <c r="B33" s="19" t="s">
        <v>98</v>
      </c>
      <c r="C33" s="101">
        <v>0.16250015100000001</v>
      </c>
    </row>
    <row r="34" spans="2:3" ht="15.75" customHeight="1" x14ac:dyDescent="0.25">
      <c r="B34" s="19" t="s">
        <v>99</v>
      </c>
      <c r="C34" s="101">
        <v>0.27050250100000001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104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109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110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122</v>
      </c>
      <c r="C5" s="52">
        <v>6.5475599999999995E-2</v>
      </c>
      <c r="D5" s="52">
        <v>8.8723700000000003E-2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43.538824130096224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5.5873076000000001E-2</v>
      </c>
      <c r="C3" s="98">
        <v>0.95</v>
      </c>
      <c r="D3" s="56">
        <v>39.555341049656008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187.22300000000001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0.47937144420386901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12.687640493451919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12.687640493451919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12.687640493451919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12.687640493451919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12.687640493451919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12.687640493451919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0.39440629334727351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0.90249999999999997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0.11008927186433</v>
      </c>
      <c r="C18" s="98">
        <v>0.95</v>
      </c>
      <c r="D18" s="56">
        <v>4.3845374540579991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0.66905209999999993</v>
      </c>
      <c r="C19" s="98">
        <v>0.95</v>
      </c>
      <c r="D19" s="56">
        <v>4.3845374540579991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0.83361079999999999</v>
      </c>
      <c r="C21" s="98">
        <v>0.95</v>
      </c>
      <c r="D21" s="56">
        <v>4.3947620614430702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21.724653940727581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4.0765008182611906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0.83422020490196003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18.207243489598099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0.65419362903763001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80.575440792660984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0.78</v>
      </c>
      <c r="C31" s="98">
        <v>0.95</v>
      </c>
      <c r="D31" s="56">
        <v>7.6024020713157681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0.81346282995132901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0.23100000000000001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0.61573460000000002</v>
      </c>
      <c r="C38" s="98">
        <v>0.95</v>
      </c>
      <c r="D38" s="56">
        <v>2.5817575544536639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205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0.17100000000000001</v>
      </c>
      <c r="E2" s="60">
        <f>food_insecure</f>
        <v>0.17100000000000001</v>
      </c>
      <c r="F2" s="60">
        <f>food_insecure</f>
        <v>0.17100000000000001</v>
      </c>
      <c r="G2" s="60">
        <f>food_insecure</f>
        <v>0.17100000000000001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0.17100000000000001</v>
      </c>
      <c r="F5" s="60">
        <f>food_insecure</f>
        <v>0.17100000000000001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0.17100000000000001</v>
      </c>
      <c r="F8" s="60">
        <f>food_insecure</f>
        <v>0.17100000000000001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0.17100000000000001</v>
      </c>
      <c r="F9" s="60">
        <f>food_insecure</f>
        <v>0.17100000000000001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0.17100000000000001</v>
      </c>
      <c r="I15" s="60">
        <f>food_insecure</f>
        <v>0.17100000000000001</v>
      </c>
      <c r="J15" s="60">
        <f>food_insecure</f>
        <v>0.17100000000000001</v>
      </c>
      <c r="K15" s="60">
        <f>food_insecure</f>
        <v>0.17100000000000001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0.35943172137203216</v>
      </c>
      <c r="M25" s="60">
        <f>(1-food_insecure)*(0.49)+food_insecure*(0.7)</f>
        <v>0.52590999999999999</v>
      </c>
      <c r="N25" s="60">
        <f>(1-food_insecure)*(0.49)+food_insecure*(0.7)</f>
        <v>0.52590999999999999</v>
      </c>
      <c r="O25" s="60">
        <f>(1-food_insecure)*(0.49)+food_insecure*(0.7)</f>
        <v>0.52590999999999999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0.1540421663022995</v>
      </c>
      <c r="M26" s="60">
        <f>(1-food_insecure)*(0.21)+food_insecure*(0.3)</f>
        <v>0.22539000000000001</v>
      </c>
      <c r="N26" s="60">
        <f>(1-food_insecure)*(0.21)+food_insecure*(0.3)</f>
        <v>0.22539000000000001</v>
      </c>
      <c r="O26" s="60">
        <f>(1-food_insecure)*(0.21)+food_insecure*(0.3)</f>
        <v>0.22539000000000001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0.16997332073020932</v>
      </c>
      <c r="M27" s="60">
        <f>(1-food_insecure)*(0.3)</f>
        <v>0.24869999999999998</v>
      </c>
      <c r="N27" s="60">
        <f>(1-food_insecure)*(0.3)</f>
        <v>0.24869999999999998</v>
      </c>
      <c r="O27" s="60">
        <f>(1-food_insecure)*(0.3)</f>
        <v>0.24869999999999998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0.31655279159545902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2024-05-09T01:46:08Z</dcterms:modified>
</cp:coreProperties>
</file>