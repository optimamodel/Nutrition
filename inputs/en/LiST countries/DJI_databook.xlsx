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LiST Optima bridge\App\en\"/>
    </mc:Choice>
  </mc:AlternateContent>
  <xr:revisionPtr revIDLastSave="0" documentId="8_{4D47F914-D258-499C-9CB1-D18B90D3D560}" xr6:coauthVersionLast="47" xr6:coauthVersionMax="47" xr10:uidLastSave="{00000000-0000-0000-0000-000000000000}"/>
  <bookViews>
    <workbookView xWindow="0" yWindow="3670" windowWidth="19200" windowHeight="6530" tabRatio="961" firstSheet="4" activeTab="10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state="hidden" r:id="rId6"/>
    <sheet name="Economic los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Birth outcome risks" sheetId="21" state="hidden" r:id="rId21"/>
    <sheet name="Relative risks" sheetId="22" state="hidden" r:id="rId22"/>
    <sheet name="Odds ratios" sheetId="23" state="hidden" r:id="rId23"/>
    <sheet name="Programs birth outcomes" sheetId="24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28" l="1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F152" i="27"/>
  <c r="D152" i="27"/>
  <c r="H136" i="27"/>
  <c r="G136" i="27"/>
  <c r="F136" i="27"/>
  <c r="E136" i="27"/>
  <c r="H135" i="27"/>
  <c r="G135" i="27"/>
  <c r="F135" i="27"/>
  <c r="E135" i="27"/>
  <c r="D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E130" i="27"/>
  <c r="D130" i="27"/>
  <c r="H129" i="27"/>
  <c r="F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E112" i="27"/>
  <c r="D112" i="27"/>
  <c r="H97" i="27"/>
  <c r="H152" i="27" s="1"/>
  <c r="G97" i="27"/>
  <c r="G152" i="27" s="1"/>
  <c r="F97" i="27"/>
  <c r="E97" i="27"/>
  <c r="E152" i="27" s="1"/>
  <c r="D97" i="27"/>
  <c r="H81" i="27"/>
  <c r="G81" i="27"/>
  <c r="F81" i="27"/>
  <c r="E81" i="27"/>
  <c r="H80" i="27"/>
  <c r="G80" i="27"/>
  <c r="F80" i="27"/>
  <c r="E80" i="27"/>
  <c r="D80" i="27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H74" i="27"/>
  <c r="G74" i="27"/>
  <c r="G129" i="27" s="1"/>
  <c r="F74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G112" i="27" s="1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O67" i="25"/>
  <c r="D67" i="25"/>
  <c r="C67" i="25"/>
  <c r="O66" i="25"/>
  <c r="N66" i="25"/>
  <c r="M66" i="25"/>
  <c r="L66" i="25"/>
  <c r="K66" i="25"/>
  <c r="J66" i="25"/>
  <c r="I66" i="25"/>
  <c r="H66" i="25"/>
  <c r="G66" i="25"/>
  <c r="F66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O60" i="25"/>
  <c r="N60" i="25"/>
  <c r="M60" i="25"/>
  <c r="L60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O37" i="25"/>
  <c r="N37" i="25"/>
  <c r="M37" i="25"/>
  <c r="L37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9" i="25"/>
  <c r="N19" i="25"/>
  <c r="M19" i="25"/>
  <c r="L19" i="25"/>
  <c r="K19" i="25"/>
  <c r="J19" i="25"/>
  <c r="I19" i="25"/>
  <c r="H19" i="25"/>
  <c r="G19" i="25"/>
  <c r="F19" i="25"/>
  <c r="E19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H40" i="2"/>
  <c r="I40" i="2" s="1"/>
  <c r="G40" i="2"/>
  <c r="H39" i="2"/>
  <c r="G39" i="2"/>
  <c r="I39" i="2" s="1"/>
  <c r="A39" i="2"/>
  <c r="H38" i="2"/>
  <c r="I38" i="2" s="1"/>
  <c r="G38" i="2"/>
  <c r="A37" i="2"/>
  <c r="A35" i="2"/>
  <c r="A34" i="2"/>
  <c r="A33" i="2"/>
  <c r="A32" i="2"/>
  <c r="A29" i="2"/>
  <c r="A27" i="2"/>
  <c r="A26" i="2"/>
  <c r="A25" i="2"/>
  <c r="A24" i="2"/>
  <c r="A21" i="2"/>
  <c r="A19" i="2"/>
  <c r="A18" i="2"/>
  <c r="A17" i="2"/>
  <c r="A16" i="2"/>
  <c r="H13" i="2"/>
  <c r="G13" i="2"/>
  <c r="I13" i="2" s="1"/>
  <c r="H12" i="2"/>
  <c r="I12" i="2" s="1"/>
  <c r="G12" i="2"/>
  <c r="H11" i="2"/>
  <c r="G11" i="2"/>
  <c r="I11" i="2" s="1"/>
  <c r="H10" i="2"/>
  <c r="I10" i="2" s="1"/>
  <c r="G10" i="2"/>
  <c r="H9" i="2"/>
  <c r="G9" i="2"/>
  <c r="I9" i="2" s="1"/>
  <c r="H8" i="2"/>
  <c r="I8" i="2" s="1"/>
  <c r="G8" i="2"/>
  <c r="H7" i="2"/>
  <c r="G7" i="2"/>
  <c r="I7" i="2" s="1"/>
  <c r="H6" i="2"/>
  <c r="I6" i="2" s="1"/>
  <c r="G6" i="2"/>
  <c r="H5" i="2"/>
  <c r="G5" i="2"/>
  <c r="I5" i="2" s="1"/>
  <c r="H4" i="2"/>
  <c r="I4" i="2" s="1"/>
  <c r="G4" i="2"/>
  <c r="H3" i="2"/>
  <c r="G3" i="2"/>
  <c r="I3" i="2" s="1"/>
  <c r="A3" i="2"/>
  <c r="H2" i="2"/>
  <c r="I2" i="2" s="1"/>
  <c r="G2" i="2"/>
  <c r="A2" i="2"/>
  <c r="A31" i="2" s="1"/>
  <c r="C33" i="1"/>
  <c r="C20" i="1"/>
  <c r="A20" i="2" l="1"/>
  <c r="A28" i="2"/>
  <c r="A36" i="2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/>
  <c r="A22" i="2"/>
  <c r="A30" i="2"/>
  <c r="A38" i="2"/>
  <c r="A40" i="2"/>
  <c r="A15" i="2"/>
  <c r="A2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29" authorId="1" shapeId="0" xr:uid="{00000000-0006-0000-1600-00000E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F29" authorId="1" shapeId="0" xr:uid="{00000000-0006-0000-1600-00000F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B30" authorId="0" shapeId="0" xr:uid="{00000000-0006-0000-1600-000010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11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2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4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5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6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7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52" authorId="1" shapeId="0" xr:uid="{00000000-0006-0000-1600-000018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F52" authorId="1" shapeId="0" xr:uid="{00000000-0006-0000-1600-000019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B53" authorId="0" shapeId="0" xr:uid="{00000000-0006-0000-1600-00001A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B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C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RR from the lterature was used.
RRR = 0.53 (0.40-0.70) for being anaemic [Hutton and Hassan, 2007 Jama [63]]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Peña‐Rosas et al 2019, anemia RR 0.72 (0.54-0.97)
If no data for anaemia prev. the use RR otherwise convert RR to OR using prev.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Larson et al 2021, RR 0.80 (0.70-0.92)
If no data for anaemia prev. the use RR otherwise convert RR to OR using prev.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RR from the lterature was used.
RRR = 0.53 (0.40-0.70) for being anaemic [Hutton and Hassan, 2007 Jama [63]]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C49" authorId="0" shapeId="0" xr:uid="{00000000-0006-0000-1800-000052000000}">
      <text>
        <r>
          <rPr>
            <sz val="10"/>
            <color rgb="FF000000"/>
            <rFont val="Arial"/>
          </rPr>
          <t>Tharindu Wickramaarachchi:
RR from the lterature was used.
RRR = 0.53 (0.40-0.70) for being anaemic [Hutton and Hassan, 2007 Jama [63]]</t>
        </r>
      </text>
    </comment>
    <comment ref="H50" authorId="0" shapeId="0" xr:uid="{00000000-0006-0000-1800-00005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B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6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C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<sst xmlns="http://schemas.openxmlformats.org/spreadsheetml/2006/main" count="2092" uniqueCount="341">
  <si>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</si>
  <si>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</si>
  <si>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</si>
  <si>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</si>
  <si>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</si>
  <si>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</si>
  <si>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</si>
  <si>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</si>
  <si>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</si>
  <si>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</si>
  <si>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</si>
  <si>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</si>
  <si>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</si>
  <si>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</si>
  <si>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</si>
  <si>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</si>
  <si>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</si>
  <si>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</si>
  <si>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</si>
  <si>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</si>
  <si>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</si>
  <si>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</si>
  <si>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</si>
  <si>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</si>
  <si>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</si>
  <si>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</si>
  <si>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</si>
  <si>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</si>
  <si>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</si>
  <si>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</si>
  <si>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</si>
  <si>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</si>
  <si>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</si>
  <si>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</si>
  <si>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</si>
  <si>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</si>
  <si>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</si>
  <si>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</si>
  <si>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</si>
  <si>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</si>
  <si>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</si>
  <si>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</si>
  <si>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</si>
  <si>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</si>
  <si>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</si>
  <si>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</si>
  <si>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</si>
  <si>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</si>
  <si>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</si>
  <si>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</si>
  <si>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</si>
  <si>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</si>
  <si>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</si>
  <si>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</si>
  <si>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</si>
  <si>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</si>
  <si>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</si>
  <si>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</si>
  <si>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</si>
  <si>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</si>
  <si>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</si>
  <si>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</si>
  <si>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</si>
  <si>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</si>
  <si>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</si>
  <si>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</si>
  <si>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</si>
  <si>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</si>
  <si>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</si>
  <si>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</si>
  <si>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</si>
  <si>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</si>
  <si>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</si>
  <si>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</si>
  <si>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</si>
  <si>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</si>
  <si>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</si>
  <si>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</si>
  <si>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</si>
  <si>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</si>
  <si>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</si>
  <si>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</si>
  <si>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</si>
  <si>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</si>
  <si>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</si>
  <si>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</si>
  <si>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</si>
  <si>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</si>
  <si>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</si>
  <si>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</si>
  <si>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</si>
  <si>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</si>
  <si>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</si>
  <si>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</si>
  <si>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</si>
  <si>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</si>
  <si>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</si>
  <si>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</si>
  <si>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</si>
  <si>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</si>
  <si>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</si>
  <si>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</si>
  <si>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</si>
  <si>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</si>
  <si>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</si>
  <si>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</si>
  <si>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</si>
  <si>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</si>
  <si>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</si>
  <si>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</si>
  <si>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</si>
  <si>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</si>
  <si>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</si>
  <si>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</si>
  <si>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</si>
  <si>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</si>
  <si>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</si>
  <si>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</si>
  <si>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</si>
  <si>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</si>
  <si>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</si>
  <si>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</si>
  <si>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</si>
  <si>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</si>
  <si>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</si>
  <si>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</si>
  <si>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</si>
  <si>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</si>
  <si>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</si>
  <si>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</si>
  <si>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</si>
  <si>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</si>
  <si>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</si>
  <si>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</si>
  <si>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</si>
  <si>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Type</t>
  </si>
  <si>
    <t>Cost</t>
  </si>
  <si>
    <t>Child wasting episode</t>
  </si>
  <si>
    <t>Child turning age 5 stunted (over lifetime)</t>
  </si>
  <si>
    <t>Child death</t>
  </si>
  <si>
    <t>Maternal death</t>
  </si>
  <si>
    <t>Anaemic child (per year)</t>
  </si>
  <si>
    <t>Anaemic pregnant woman (per pregnancy)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</si>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</sst>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117886.263671875</v>
      </c>
    </row>
    <row r="8" spans="1:3" ht="15" customHeight="1" x14ac:dyDescent="0.25">
      <c r="B8" s="5" t="s">
        <v>8</v>
      </c>
      <c r="C8" s="44">
        <v>0.17100000000000001</v>
      </c>
    </row>
    <row r="9" spans="1:3" ht="15" customHeight="1" x14ac:dyDescent="0.25">
      <c r="B9" s="5" t="s">
        <v>9</v>
      </c>
      <c r="C9" s="45">
        <v>0.01</v>
      </c>
    </row>
    <row r="10" spans="1:3" ht="15" customHeight="1" x14ac:dyDescent="0.25">
      <c r="B10" s="5" t="s">
        <v>10</v>
      </c>
      <c r="C10" s="45">
        <v>0.31655279159545902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0.36399999999999999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0.7</v>
      </c>
    </row>
    <row r="18" spans="1:3" ht="15" customHeight="1" x14ac:dyDescent="0.25">
      <c r="B18" s="5" t="s">
        <v>17</v>
      </c>
      <c r="C18" s="45">
        <v>0.05</v>
      </c>
    </row>
    <row r="19" spans="1:3" ht="15" customHeight="1" x14ac:dyDescent="0.25">
      <c r="B19" s="5" t="s">
        <v>18</v>
      </c>
      <c r="C19" s="45">
        <v>0.05</v>
      </c>
    </row>
    <row r="20" spans="1:3" ht="15" customHeight="1" x14ac:dyDescent="0.25">
      <c r="B20" s="5" t="s">
        <v>19</v>
      </c>
      <c r="C20" s="46">
        <f>1-frac_rice-frac_wheat-frac_maize</f>
        <v>0.20000000000000007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3.44E-2</v>
      </c>
    </row>
    <row r="24" spans="1:3" ht="15" customHeight="1" x14ac:dyDescent="0.25">
      <c r="B24" s="15" t="s">
        <v>22</v>
      </c>
      <c r="C24" s="45">
        <v>0.33629999999999999</v>
      </c>
    </row>
    <row r="25" spans="1:3" ht="15" customHeight="1" x14ac:dyDescent="0.25">
      <c r="B25" s="15" t="s">
        <v>23</v>
      </c>
      <c r="C25" s="45">
        <v>0.51450000000000007</v>
      </c>
    </row>
    <row r="26" spans="1:3" ht="15" customHeight="1" x14ac:dyDescent="0.25">
      <c r="B26" s="15" t="s">
        <v>24</v>
      </c>
      <c r="C26" s="45">
        <v>0.1148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0.18812535867607999</v>
      </c>
    </row>
    <row r="30" spans="1:3" ht="14.25" customHeight="1" x14ac:dyDescent="0.25">
      <c r="B30" s="25" t="s">
        <v>27</v>
      </c>
      <c r="C30" s="99">
        <v>7.529214782846369E-2</v>
      </c>
    </row>
    <row r="31" spans="1:3" ht="14.25" customHeight="1" x14ac:dyDescent="0.25">
      <c r="B31" s="25" t="s">
        <v>28</v>
      </c>
      <c r="C31" s="99">
        <v>0.10030682254742999</v>
      </c>
    </row>
    <row r="32" spans="1:3" ht="14.25" customHeight="1" x14ac:dyDescent="0.25">
      <c r="B32" s="25" t="s">
        <v>29</v>
      </c>
      <c r="C32" s="99">
        <v>0.63627567094802595</v>
      </c>
    </row>
    <row r="33" spans="1:5" ht="13" customHeight="1" x14ac:dyDescent="0.25">
      <c r="B33" s="27" t="s">
        <v>30</v>
      </c>
      <c r="C33" s="48">
        <f>SUM(C29:C32)</f>
        <v>0.99999999999999956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29.55951</v>
      </c>
    </row>
    <row r="38" spans="1:5" ht="15" customHeight="1" x14ac:dyDescent="0.25">
      <c r="B38" s="11" t="s">
        <v>34</v>
      </c>
      <c r="C38" s="43">
        <v>45.850830000000002</v>
      </c>
      <c r="D38" s="12"/>
      <c r="E38" s="13"/>
    </row>
    <row r="39" spans="1:5" ht="15" customHeight="1" x14ac:dyDescent="0.25">
      <c r="B39" s="11" t="s">
        <v>35</v>
      </c>
      <c r="C39" s="43">
        <v>54.14123</v>
      </c>
      <c r="D39" s="12"/>
      <c r="E39" s="12"/>
    </row>
    <row r="40" spans="1:5" ht="15" customHeight="1" x14ac:dyDescent="0.25">
      <c r="B40" s="11" t="s">
        <v>36</v>
      </c>
      <c r="C40" s="100">
        <v>2.34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26.74746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7.9539999999999993E-3</v>
      </c>
      <c r="D45" s="12"/>
    </row>
    <row r="46" spans="1:5" ht="15.75" customHeight="1" x14ac:dyDescent="0.25">
      <c r="B46" s="11" t="s">
        <v>41</v>
      </c>
      <c r="C46" s="45">
        <v>8.5464499999999999E-2</v>
      </c>
      <c r="D46" s="12"/>
    </row>
    <row r="47" spans="1:5" ht="15.75" customHeight="1" x14ac:dyDescent="0.25">
      <c r="B47" s="11" t="s">
        <v>42</v>
      </c>
      <c r="C47" s="45">
        <v>7.3436600000000005E-2</v>
      </c>
      <c r="D47" s="12"/>
      <c r="E47" s="13"/>
    </row>
    <row r="48" spans="1:5" ht="15" customHeight="1" x14ac:dyDescent="0.25">
      <c r="B48" s="11" t="s">
        <v>43</v>
      </c>
      <c r="C48" s="46">
        <v>0.83314490000000008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100">
        <v>3.3</v>
      </c>
      <c r="D51" s="12"/>
    </row>
    <row r="52" spans="1:4" ht="15" customHeight="1" x14ac:dyDescent="0.25">
      <c r="B52" s="11" t="s">
        <v>46</v>
      </c>
      <c r="C52" s="100">
        <v>3.3</v>
      </c>
    </row>
    <row r="53" spans="1:4" ht="15.75" customHeight="1" x14ac:dyDescent="0.25">
      <c r="B53" s="11" t="s">
        <v>47</v>
      </c>
      <c r="C53" s="100">
        <v>3.3</v>
      </c>
    </row>
    <row r="54" spans="1:4" ht="15.75" customHeight="1" x14ac:dyDescent="0.25">
      <c r="B54" s="11" t="s">
        <v>48</v>
      </c>
      <c r="C54" s="100">
        <v>3.3</v>
      </c>
    </row>
    <row r="55" spans="1:4" ht="15.75" customHeight="1" x14ac:dyDescent="0.25">
      <c r="B55" s="11" t="s">
        <v>49</v>
      </c>
      <c r="C55" s="100">
        <v>3.3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2.181818181818182E-2</v>
      </c>
    </row>
    <row r="59" spans="1:4" ht="15.75" customHeight="1" x14ac:dyDescent="0.25">
      <c r="B59" s="11" t="s">
        <v>52</v>
      </c>
      <c r="C59" s="45">
        <v>0.53184900000000002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0.14599999999999999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21526.560000000001</v>
      </c>
      <c r="C2" s="49">
        <v>47000</v>
      </c>
      <c r="D2" s="49">
        <v>96000</v>
      </c>
      <c r="E2" s="49">
        <v>88000</v>
      </c>
      <c r="F2" s="49">
        <v>62000</v>
      </c>
      <c r="G2" s="17">
        <f t="shared" ref="G2:G13" si="0">C2+D2+E2+F2</f>
        <v>293000</v>
      </c>
      <c r="H2" s="17">
        <f t="shared" ref="H2:H13" si="1">(B2 + stillbirth*B2/(1000-stillbirth))/(1-abortion)</f>
        <v>25134.278098056649</v>
      </c>
      <c r="I2" s="17">
        <f t="shared" ref="I2:I13" si="2">G2-H2</f>
        <v>267865.72190194333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21447.347000000002</v>
      </c>
      <c r="C3" s="50">
        <v>47000</v>
      </c>
      <c r="D3" s="50">
        <v>97000</v>
      </c>
      <c r="E3" s="50">
        <v>90000</v>
      </c>
      <c r="F3" s="50">
        <v>64000</v>
      </c>
      <c r="G3" s="17">
        <f t="shared" si="0"/>
        <v>298000</v>
      </c>
      <c r="H3" s="17">
        <f t="shared" si="1"/>
        <v>25041.789489984509</v>
      </c>
      <c r="I3" s="17">
        <f t="shared" si="2"/>
        <v>272958.21051001549</v>
      </c>
    </row>
    <row r="4" spans="1:9" ht="15.75" customHeight="1" x14ac:dyDescent="0.25">
      <c r="A4" s="5">
        <f t="shared" si="3"/>
        <v>2026</v>
      </c>
      <c r="B4" s="49">
        <v>21353.486400000002</v>
      </c>
      <c r="C4" s="50">
        <v>47000</v>
      </c>
      <c r="D4" s="50">
        <v>96000</v>
      </c>
      <c r="E4" s="50">
        <v>91000</v>
      </c>
      <c r="F4" s="50">
        <v>66000</v>
      </c>
      <c r="G4" s="17">
        <f t="shared" si="0"/>
        <v>300000</v>
      </c>
      <c r="H4" s="17">
        <f t="shared" si="1"/>
        <v>24932.198434894868</v>
      </c>
      <c r="I4" s="17">
        <f t="shared" si="2"/>
        <v>275067.80156510515</v>
      </c>
    </row>
    <row r="5" spans="1:9" ht="15.75" customHeight="1" x14ac:dyDescent="0.25">
      <c r="A5" s="5">
        <f t="shared" si="3"/>
        <v>2027</v>
      </c>
      <c r="B5" s="49">
        <v>21251.102999999999</v>
      </c>
      <c r="C5" s="50">
        <v>48000</v>
      </c>
      <c r="D5" s="50">
        <v>96000</v>
      </c>
      <c r="E5" s="50">
        <v>91000</v>
      </c>
      <c r="F5" s="50">
        <v>68000</v>
      </c>
      <c r="G5" s="17">
        <f t="shared" si="0"/>
        <v>303000</v>
      </c>
      <c r="H5" s="17">
        <f t="shared" si="1"/>
        <v>24812.656211324331</v>
      </c>
      <c r="I5" s="17">
        <f t="shared" si="2"/>
        <v>278187.34378867567</v>
      </c>
    </row>
    <row r="6" spans="1:9" ht="15.75" customHeight="1" x14ac:dyDescent="0.25">
      <c r="A6" s="5">
        <f t="shared" si="3"/>
        <v>2028</v>
      </c>
      <c r="B6" s="49">
        <v>21140.196800000002</v>
      </c>
      <c r="C6" s="50">
        <v>48000</v>
      </c>
      <c r="D6" s="50">
        <v>96000</v>
      </c>
      <c r="E6" s="50">
        <v>92000</v>
      </c>
      <c r="F6" s="50">
        <v>71000</v>
      </c>
      <c r="G6" s="17">
        <f t="shared" si="0"/>
        <v>307000</v>
      </c>
      <c r="H6" s="17">
        <f t="shared" si="1"/>
        <v>24683.1628192729</v>
      </c>
      <c r="I6" s="17">
        <f t="shared" si="2"/>
        <v>282316.8371807271</v>
      </c>
    </row>
    <row r="7" spans="1:9" ht="15.75" customHeight="1" x14ac:dyDescent="0.25">
      <c r="A7" s="5">
        <f t="shared" si="3"/>
        <v>2029</v>
      </c>
      <c r="B7" s="49">
        <v>21020.767800000001</v>
      </c>
      <c r="C7" s="50">
        <v>48000</v>
      </c>
      <c r="D7" s="50">
        <v>95000</v>
      </c>
      <c r="E7" s="50">
        <v>92000</v>
      </c>
      <c r="F7" s="50">
        <v>73000</v>
      </c>
      <c r="G7" s="17">
        <f t="shared" si="0"/>
        <v>308000</v>
      </c>
      <c r="H7" s="17">
        <f t="shared" si="1"/>
        <v>24543.71825874057</v>
      </c>
      <c r="I7" s="17">
        <f t="shared" si="2"/>
        <v>283456.28174125944</v>
      </c>
    </row>
    <row r="8" spans="1:9" ht="15.75" customHeight="1" x14ac:dyDescent="0.25">
      <c r="A8" s="5">
        <f t="shared" si="3"/>
        <v>2030</v>
      </c>
      <c r="B8" s="49">
        <v>20874.392</v>
      </c>
      <c r="C8" s="50">
        <v>48000</v>
      </c>
      <c r="D8" s="50">
        <v>95000</v>
      </c>
      <c r="E8" s="50">
        <v>92000</v>
      </c>
      <c r="F8" s="50">
        <v>76000</v>
      </c>
      <c r="G8" s="17">
        <f t="shared" si="0"/>
        <v>311000</v>
      </c>
      <c r="H8" s="17">
        <f t="shared" si="1"/>
        <v>24372.810781464799</v>
      </c>
      <c r="I8" s="17">
        <f t="shared" si="2"/>
        <v>286627.1892185352</v>
      </c>
    </row>
    <row r="9" spans="1:9" ht="15.75" customHeight="1" x14ac:dyDescent="0.25">
      <c r="A9" s="5">
        <f t="shared" si="3"/>
        <v>2031</v>
      </c>
      <c r="B9" s="49">
        <v>20781.22514285714</v>
      </c>
      <c r="C9" s="50">
        <v>48142.857142857138</v>
      </c>
      <c r="D9" s="50">
        <v>94857.142857142855</v>
      </c>
      <c r="E9" s="50">
        <v>92571.428571428565</v>
      </c>
      <c r="F9" s="50">
        <v>78000</v>
      </c>
      <c r="G9" s="17">
        <f t="shared" si="0"/>
        <v>313571.42857142858</v>
      </c>
      <c r="H9" s="17">
        <f t="shared" si="1"/>
        <v>24264.029736237386</v>
      </c>
      <c r="I9" s="17">
        <f t="shared" si="2"/>
        <v>289307.39883519121</v>
      </c>
    </row>
    <row r="10" spans="1:9" ht="15.75" customHeight="1" x14ac:dyDescent="0.25">
      <c r="A10" s="5">
        <f t="shared" si="3"/>
        <v>2032</v>
      </c>
      <c r="B10" s="49">
        <v>20686.06487755102</v>
      </c>
      <c r="C10" s="50">
        <v>48306.122448979593</v>
      </c>
      <c r="D10" s="50">
        <v>94551.020408163269</v>
      </c>
      <c r="E10" s="50">
        <v>92938.775510204068</v>
      </c>
      <c r="F10" s="50">
        <v>80000</v>
      </c>
      <c r="G10" s="17">
        <f t="shared" si="0"/>
        <v>315795.91836734692</v>
      </c>
      <c r="H10" s="17">
        <f t="shared" si="1"/>
        <v>24152.921199987803</v>
      </c>
      <c r="I10" s="17">
        <f t="shared" si="2"/>
        <v>291642.99716735911</v>
      </c>
    </row>
    <row r="11" spans="1:9" ht="15.75" customHeight="1" x14ac:dyDescent="0.25">
      <c r="A11" s="5">
        <f t="shared" si="3"/>
        <v>2033</v>
      </c>
      <c r="B11" s="49">
        <v>20590.718945772591</v>
      </c>
      <c r="C11" s="50">
        <v>48492.71137026239</v>
      </c>
      <c r="D11" s="50">
        <v>94344.023323615169</v>
      </c>
      <c r="E11" s="50">
        <v>93215.743440233215</v>
      </c>
      <c r="F11" s="50">
        <v>82000</v>
      </c>
      <c r="G11" s="17">
        <f t="shared" si="0"/>
        <v>318052.4781341108</v>
      </c>
      <c r="H11" s="17">
        <f t="shared" si="1"/>
        <v>24041.595880715362</v>
      </c>
      <c r="I11" s="17">
        <f t="shared" si="2"/>
        <v>294010.88225339545</v>
      </c>
    </row>
    <row r="12" spans="1:9" ht="15.75" customHeight="1" x14ac:dyDescent="0.25">
      <c r="A12" s="5">
        <f t="shared" si="3"/>
        <v>2034</v>
      </c>
      <c r="B12" s="49">
        <v>20496.378366597251</v>
      </c>
      <c r="C12" s="50">
        <v>48563.098708871301</v>
      </c>
      <c r="D12" s="50">
        <v>94107.455226988764</v>
      </c>
      <c r="E12" s="50">
        <v>93532.278217409388</v>
      </c>
      <c r="F12" s="50">
        <v>84000</v>
      </c>
      <c r="G12" s="17">
        <f t="shared" si="0"/>
        <v>320202.83215326944</v>
      </c>
      <c r="H12" s="17">
        <f t="shared" si="1"/>
        <v>23931.444404914084</v>
      </c>
      <c r="I12" s="17">
        <f t="shared" si="2"/>
        <v>296271.38774835534</v>
      </c>
    </row>
    <row r="13" spans="1:9" ht="15.75" customHeight="1" x14ac:dyDescent="0.25">
      <c r="A13" s="5">
        <f t="shared" si="3"/>
        <v>2035</v>
      </c>
      <c r="B13" s="49">
        <v>20404.404304682568</v>
      </c>
      <c r="C13" s="50">
        <v>48643.5413815672</v>
      </c>
      <c r="D13" s="50">
        <v>93837.091687987166</v>
      </c>
      <c r="E13" s="50">
        <v>93751.175105610731</v>
      </c>
      <c r="F13" s="50">
        <v>85857.142857142855</v>
      </c>
      <c r="G13" s="17">
        <f t="shared" si="0"/>
        <v>322088.95103230793</v>
      </c>
      <c r="H13" s="17">
        <f t="shared" si="1"/>
        <v>23824.056060005678</v>
      </c>
      <c r="I13" s="17">
        <f t="shared" si="2"/>
        <v>298264.89497230225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8.8169999999999932E-3</v>
      </c>
    </row>
    <row r="4" spans="1:8" ht="15.75" customHeight="1" x14ac:dyDescent="0.25">
      <c r="B4" s="19" t="s">
        <v>69</v>
      </c>
      <c r="C4" s="101">
        <v>5.5100499999999913E-2</v>
      </c>
    </row>
    <row r="5" spans="1:8" ht="15.75" customHeight="1" x14ac:dyDescent="0.25">
      <c r="B5" s="19" t="s">
        <v>70</v>
      </c>
      <c r="C5" s="101">
        <v>6.986630000000002E-2</v>
      </c>
    </row>
    <row r="6" spans="1:8" ht="15.75" customHeight="1" x14ac:dyDescent="0.25">
      <c r="B6" s="19" t="s">
        <v>71</v>
      </c>
      <c r="C6" s="101">
        <v>0.24833930000000001</v>
      </c>
    </row>
    <row r="7" spans="1:8" ht="15.75" customHeight="1" x14ac:dyDescent="0.25">
      <c r="B7" s="19" t="s">
        <v>72</v>
      </c>
      <c r="C7" s="101">
        <v>0.4203207000000001</v>
      </c>
    </row>
    <row r="8" spans="1:8" ht="15.75" customHeight="1" x14ac:dyDescent="0.25">
      <c r="B8" s="19" t="s">
        <v>73</v>
      </c>
      <c r="C8" s="101">
        <v>1.5927000000000001E-3</v>
      </c>
    </row>
    <row r="9" spans="1:8" ht="15.75" customHeight="1" x14ac:dyDescent="0.25">
      <c r="B9" s="19" t="s">
        <v>74</v>
      </c>
      <c r="C9" s="101">
        <v>7.7598499999999945E-2</v>
      </c>
    </row>
    <row r="10" spans="1:8" ht="15.75" customHeight="1" x14ac:dyDescent="0.25">
      <c r="B10" s="19" t="s">
        <v>75</v>
      </c>
      <c r="C10" s="101">
        <v>0.1183649999999999</v>
      </c>
    </row>
    <row r="11" spans="1:8" ht="15.75" customHeight="1" x14ac:dyDescent="0.25">
      <c r="B11" s="27" t="s">
        <v>30</v>
      </c>
      <c r="C11" s="48">
        <f>SUM(C3:C10)</f>
        <v>0.99999999999999989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2" t="s">
        <v>77</v>
      </c>
      <c r="D13" s="102" t="s">
        <v>78</v>
      </c>
      <c r="E13" s="102" t="s">
        <v>79</v>
      </c>
      <c r="F13" s="102" t="s">
        <v>80</v>
      </c>
      <c r="G13" s="19"/>
    </row>
    <row r="14" spans="1:8" ht="15.75" customHeight="1" x14ac:dyDescent="0.25">
      <c r="B14" s="19" t="s">
        <v>81</v>
      </c>
      <c r="C14" s="55">
        <v>0.19246063563713339</v>
      </c>
      <c r="D14" s="55">
        <v>0.19246063563713339</v>
      </c>
      <c r="E14" s="55">
        <v>0.19246063563713339</v>
      </c>
      <c r="F14" s="55">
        <v>0.19246063563713339</v>
      </c>
    </row>
    <row r="15" spans="1:8" ht="15.75" customHeight="1" x14ac:dyDescent="0.25">
      <c r="B15" s="19" t="s">
        <v>82</v>
      </c>
      <c r="C15" s="101">
        <v>0.2649449053983835</v>
      </c>
      <c r="D15" s="101">
        <v>0.2649449053983835</v>
      </c>
      <c r="E15" s="101">
        <v>0.2649449053983835</v>
      </c>
      <c r="F15" s="101">
        <v>0.2649449053983835</v>
      </c>
    </row>
    <row r="16" spans="1:8" ht="15.75" customHeight="1" x14ac:dyDescent="0.25">
      <c r="B16" s="19" t="s">
        <v>83</v>
      </c>
      <c r="C16" s="101">
        <v>2.1128147976965089E-2</v>
      </c>
      <c r="D16" s="101">
        <v>2.1128147976965089E-2</v>
      </c>
      <c r="E16" s="101">
        <v>2.1128147976965089E-2</v>
      </c>
      <c r="F16" s="101">
        <v>2.1128147976965089E-2</v>
      </c>
    </row>
    <row r="17" spans="1:8" ht="15.75" customHeight="1" x14ac:dyDescent="0.25">
      <c r="B17" s="19" t="s">
        <v>84</v>
      </c>
      <c r="C17" s="101">
        <v>4.0492182920467542E-3</v>
      </c>
      <c r="D17" s="101">
        <v>4.0492182920467542E-3</v>
      </c>
      <c r="E17" s="101">
        <v>4.0492182920467542E-3</v>
      </c>
      <c r="F17" s="101">
        <v>4.0492182920467542E-3</v>
      </c>
    </row>
    <row r="18" spans="1:8" ht="15.75" customHeight="1" x14ac:dyDescent="0.25">
      <c r="B18" s="19" t="s">
        <v>85</v>
      </c>
      <c r="C18" s="101">
        <v>6.9602010278532786E-2</v>
      </c>
      <c r="D18" s="101">
        <v>6.9602010278532786E-2</v>
      </c>
      <c r="E18" s="101">
        <v>6.9602010278532786E-2</v>
      </c>
      <c r="F18" s="101">
        <v>6.9602010278532786E-2</v>
      </c>
    </row>
    <row r="19" spans="1:8" ht="15.75" customHeight="1" x14ac:dyDescent="0.25">
      <c r="B19" s="19" t="s">
        <v>86</v>
      </c>
      <c r="C19" s="101">
        <v>7.8603843456375461E-3</v>
      </c>
      <c r="D19" s="101">
        <v>7.8603843456375461E-3</v>
      </c>
      <c r="E19" s="101">
        <v>7.8603843456375461E-3</v>
      </c>
      <c r="F19" s="101">
        <v>7.8603843456375461E-3</v>
      </c>
    </row>
    <row r="20" spans="1:8" ht="15.75" customHeight="1" x14ac:dyDescent="0.25">
      <c r="B20" s="19" t="s">
        <v>87</v>
      </c>
      <c r="C20" s="101">
        <v>3.9660599476444458E-2</v>
      </c>
      <c r="D20" s="101">
        <v>3.9660599476444458E-2</v>
      </c>
      <c r="E20" s="101">
        <v>3.9660599476444458E-2</v>
      </c>
      <c r="F20" s="101">
        <v>3.9660599476444458E-2</v>
      </c>
    </row>
    <row r="21" spans="1:8" ht="15.75" customHeight="1" x14ac:dyDescent="0.25">
      <c r="B21" s="19" t="s">
        <v>88</v>
      </c>
      <c r="C21" s="101">
        <v>0.1392684087204811</v>
      </c>
      <c r="D21" s="101">
        <v>0.1392684087204811</v>
      </c>
      <c r="E21" s="101">
        <v>0.1392684087204811</v>
      </c>
      <c r="F21" s="101">
        <v>0.1392684087204811</v>
      </c>
    </row>
    <row r="22" spans="1:8" ht="15.75" customHeight="1" x14ac:dyDescent="0.25">
      <c r="B22" s="19" t="s">
        <v>89</v>
      </c>
      <c r="C22" s="101">
        <v>0.26102568987437541</v>
      </c>
      <c r="D22" s="101">
        <v>0.26102568987437541</v>
      </c>
      <c r="E22" s="101">
        <v>0.26102568987437541</v>
      </c>
      <c r="F22" s="101">
        <v>0.26102568987437541</v>
      </c>
    </row>
    <row r="23" spans="1:8" ht="15.75" customHeight="1" x14ac:dyDescent="0.25">
      <c r="B23" s="27" t="s">
        <v>30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4.4741791000000003E-2</v>
      </c>
    </row>
    <row r="27" spans="1:8" ht="15.75" customHeight="1" x14ac:dyDescent="0.25">
      <c r="B27" s="19" t="s">
        <v>92</v>
      </c>
      <c r="C27" s="101">
        <v>2.6038460999999999E-2</v>
      </c>
    </row>
    <row r="28" spans="1:8" ht="15.75" customHeight="1" x14ac:dyDescent="0.25">
      <c r="B28" s="19" t="s">
        <v>93</v>
      </c>
      <c r="C28" s="101">
        <v>0.189573254</v>
      </c>
    </row>
    <row r="29" spans="1:8" ht="15.75" customHeight="1" x14ac:dyDescent="0.25">
      <c r="B29" s="19" t="s">
        <v>94</v>
      </c>
      <c r="C29" s="101">
        <v>0.14647354200000001</v>
      </c>
    </row>
    <row r="30" spans="1:8" ht="15.75" customHeight="1" x14ac:dyDescent="0.25">
      <c r="B30" s="19" t="s">
        <v>95</v>
      </c>
      <c r="C30" s="101">
        <v>4.8331328999999999E-2</v>
      </c>
    </row>
    <row r="31" spans="1:8" ht="15.75" customHeight="1" x14ac:dyDescent="0.25">
      <c r="B31" s="19" t="s">
        <v>96</v>
      </c>
      <c r="C31" s="101">
        <v>2.9691288999999999E-2</v>
      </c>
    </row>
    <row r="32" spans="1:8" ht="15.75" customHeight="1" x14ac:dyDescent="0.25">
      <c r="B32" s="19" t="s">
        <v>97</v>
      </c>
      <c r="C32" s="101">
        <v>8.2147682999999999E-2</v>
      </c>
    </row>
    <row r="33" spans="2:3" ht="15.75" customHeight="1" x14ac:dyDescent="0.25">
      <c r="B33" s="19" t="s">
        <v>98</v>
      </c>
      <c r="C33" s="101">
        <v>0.16250015100000001</v>
      </c>
    </row>
    <row r="34" spans="2:3" ht="15.75" customHeight="1" x14ac:dyDescent="0.25">
      <c r="B34" s="19" t="s">
        <v>99</v>
      </c>
      <c r="C34" s="101">
        <v>0.27050250100000001</v>
      </c>
    </row>
    <row r="35" spans="2:3" ht="15.75" customHeight="1" x14ac:dyDescent="0.25">
      <c r="B35" s="27" t="s">
        <v>30</v>
      </c>
      <c r="C35" s="48">
        <f>SUM(C26:C34)</f>
        <v>1.0000000010000001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0.38682505991318183</v>
      </c>
      <c r="D2" s="52">
        <f>IFERROR(1-_xlfn.NORM.DIST(_xlfn.NORM.INV(SUM(D4:D5), 0, 1) + 1, 0, 1, TRUE), "")</f>
        <v>0.38682505991318183</v>
      </c>
      <c r="E2" s="52">
        <f>IFERROR(1-_xlfn.NORM.DIST(_xlfn.NORM.INV(SUM(E4:E5), 0, 1) + 1, 0, 1, TRUE), "")</f>
        <v>0.45166447232247831</v>
      </c>
      <c r="F2" s="52">
        <f>IFERROR(1-_xlfn.NORM.DIST(_xlfn.NORM.INV(SUM(F4:F5), 0, 1) + 1, 0, 1, TRUE), "")</f>
        <v>0.18289189106172676</v>
      </c>
      <c r="G2" s="52">
        <f>IFERROR(1-_xlfn.NORM.DIST(_xlfn.NORM.INV(SUM(G4:G5), 0, 1) + 1, 0, 1, TRUE), "")</f>
        <v>0.30274689464556115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0.37506524008681819</v>
      </c>
      <c r="D3" s="52">
        <f>IFERROR(_xlfn.NORM.DIST(_xlfn.NORM.INV(SUM(D4:D5), 0, 1) + 1, 0, 1, TRUE) - SUM(D4:D5), "")</f>
        <v>0.37506524008681819</v>
      </c>
      <c r="E3" s="52">
        <f>IFERROR(_xlfn.NORM.DIST(_xlfn.NORM.INV(SUM(E4:E5), 0, 1) + 1, 0, 1, TRUE) - SUM(E4:E5), "")</f>
        <v>0.35851092767752168</v>
      </c>
      <c r="F3" s="52">
        <f>IFERROR(_xlfn.NORM.DIST(_xlfn.NORM.INV(SUM(F4:F5), 0, 1) + 1, 0, 1, TRUE) - SUM(F4:F5), "")</f>
        <v>0.35518930893827322</v>
      </c>
      <c r="G3" s="52">
        <f>IFERROR(_xlfn.NORM.DIST(_xlfn.NORM.INV(SUM(G4:G5), 0, 1) + 1, 0, 1, TRUE) - SUM(G4:G5), "")</f>
        <v>0.38287690535443886</v>
      </c>
    </row>
    <row r="4" spans="1:15" ht="15.75" customHeight="1" x14ac:dyDescent="0.25">
      <c r="B4" s="5" t="s">
        <v>104</v>
      </c>
      <c r="C4" s="45">
        <v>7.2689599999999993E-2</v>
      </c>
      <c r="D4" s="53">
        <v>7.2689599999999993E-2</v>
      </c>
      <c r="E4" s="53">
        <v>4.0676999999999998E-2</v>
      </c>
      <c r="F4" s="53">
        <v>0.18425859999999999</v>
      </c>
      <c r="G4" s="53">
        <v>0.11971710000000001</v>
      </c>
    </row>
    <row r="5" spans="1:15" ht="15.75" customHeight="1" x14ac:dyDescent="0.25">
      <c r="B5" s="5" t="s">
        <v>105</v>
      </c>
      <c r="C5" s="45">
        <v>0.16542009999999999</v>
      </c>
      <c r="D5" s="53">
        <v>0.16542009999999999</v>
      </c>
      <c r="E5" s="53">
        <v>0.14914759999999999</v>
      </c>
      <c r="F5" s="53">
        <v>0.27766020000000002</v>
      </c>
      <c r="G5" s="53">
        <v>0.1946591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0.18445850137133024</v>
      </c>
      <c r="D8" s="52">
        <f>IFERROR(1-_xlfn.NORM.DIST(_xlfn.NORM.INV(SUM(D10:D11), 0, 1) + 1, 0, 1, TRUE), "")</f>
        <v>0.18445850137133024</v>
      </c>
      <c r="E8" s="52">
        <f>IFERROR(1-_xlfn.NORM.DIST(_xlfn.NORM.INV(SUM(E10:E11), 0, 1) + 1, 0, 1, TRUE), "")</f>
        <v>0.32662506351033715</v>
      </c>
      <c r="F8" s="52">
        <f>IFERROR(1-_xlfn.NORM.DIST(_xlfn.NORM.INV(SUM(F10:F11), 0, 1) + 1, 0, 1, TRUE), "")</f>
        <v>0.35941781510395909</v>
      </c>
      <c r="G8" s="52">
        <f>IFERROR(1-_xlfn.NORM.DIST(_xlfn.NORM.INV(SUM(G10:G11), 0, 1) + 1, 0, 1, TRUE), "")</f>
        <v>0.39141488892640375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0.35596319862866976</v>
      </c>
      <c r="D9" s="52">
        <f>IFERROR(_xlfn.NORM.DIST(_xlfn.NORM.INV(SUM(D10:D11), 0, 1) + 1, 0, 1, TRUE) - SUM(D10:D11), "")</f>
        <v>0.35596319862866976</v>
      </c>
      <c r="E9" s="52">
        <f>IFERROR(_xlfn.NORM.DIST(_xlfn.NORM.INV(SUM(E10:E11), 0, 1) + 1, 0, 1, TRUE) - SUM(E10:E11), "")</f>
        <v>0.38247183648966282</v>
      </c>
      <c r="F9" s="52">
        <f>IFERROR(_xlfn.NORM.DIST(_xlfn.NORM.INV(SUM(F10:F11), 0, 1) + 1, 0, 1, TRUE) - SUM(F10:F11), "")</f>
        <v>0.37949088489604094</v>
      </c>
      <c r="G9" s="52">
        <f>IFERROR(_xlfn.NORM.DIST(_xlfn.NORM.INV(SUM(G10:G11), 0, 1) + 1, 0, 1, TRUE) - SUM(G10:G11), "")</f>
        <v>0.37416481107359623</v>
      </c>
    </row>
    <row r="10" spans="1:15" ht="15.75" customHeight="1" x14ac:dyDescent="0.25">
      <c r="B10" s="5" t="s">
        <v>109</v>
      </c>
      <c r="C10" s="45">
        <v>0.24267030000000001</v>
      </c>
      <c r="D10" s="53">
        <v>0.24267030000000001</v>
      </c>
      <c r="E10" s="53">
        <v>0.10680630000000001</v>
      </c>
      <c r="F10" s="53">
        <v>8.5183999999999996E-2</v>
      </c>
      <c r="G10" s="53">
        <v>9.2542200000000005E-2</v>
      </c>
    </row>
    <row r="11" spans="1:15" ht="15.75" customHeight="1" x14ac:dyDescent="0.25">
      <c r="B11" s="5" t="s">
        <v>110</v>
      </c>
      <c r="C11" s="45">
        <v>0.21690799999999999</v>
      </c>
      <c r="D11" s="53">
        <v>0.21690799999999999</v>
      </c>
      <c r="E11" s="53">
        <v>0.1840968</v>
      </c>
      <c r="F11" s="53">
        <v>0.17590729999999999</v>
      </c>
      <c r="G11" s="53">
        <v>0.14187810000000001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0.53744121300000003</v>
      </c>
      <c r="D14" s="54">
        <v>0.52109150421700001</v>
      </c>
      <c r="E14" s="54">
        <v>0.52109150421700001</v>
      </c>
      <c r="F14" s="54">
        <v>0.50456223493399999</v>
      </c>
      <c r="G14" s="54">
        <v>0.50456223493399999</v>
      </c>
      <c r="H14" s="45">
        <v>0.376</v>
      </c>
      <c r="I14" s="55">
        <v>0.376</v>
      </c>
      <c r="J14" s="55">
        <v>0.376</v>
      </c>
      <c r="K14" s="55">
        <v>0.376</v>
      </c>
      <c r="L14" s="45">
        <v>0.32400000000000001</v>
      </c>
      <c r="M14" s="55">
        <v>0.32400000000000001</v>
      </c>
      <c r="N14" s="55">
        <v>0.32400000000000001</v>
      </c>
      <c r="O14" s="55">
        <v>0.32400000000000001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0.28583757169283702</v>
      </c>
      <c r="D15" s="52">
        <f t="shared" si="0"/>
        <v>0.27714199542630724</v>
      </c>
      <c r="E15" s="52">
        <f t="shared" si="0"/>
        <v>0.27714199542630724</v>
      </c>
      <c r="F15" s="52">
        <f t="shared" si="0"/>
        <v>0.26835092008741296</v>
      </c>
      <c r="G15" s="52">
        <f t="shared" si="0"/>
        <v>0.26835092008741296</v>
      </c>
      <c r="H15" s="52">
        <f t="shared" si="0"/>
        <v>0.19997522400000001</v>
      </c>
      <c r="I15" s="52">
        <f t="shared" si="0"/>
        <v>0.19997522400000001</v>
      </c>
      <c r="J15" s="52">
        <f t="shared" si="0"/>
        <v>0.19997522400000001</v>
      </c>
      <c r="K15" s="52">
        <f t="shared" si="0"/>
        <v>0.19997522400000001</v>
      </c>
      <c r="L15" s="52">
        <f t="shared" si="0"/>
        <v>0.17231907600000002</v>
      </c>
      <c r="M15" s="52">
        <f t="shared" si="0"/>
        <v>0.17231907600000002</v>
      </c>
      <c r="N15" s="52">
        <f t="shared" si="0"/>
        <v>0.17231907600000002</v>
      </c>
      <c r="O15" s="52">
        <f t="shared" si="0"/>
        <v>0.17231907600000002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3.7690899999999999E-2</v>
      </c>
      <c r="D2" s="53">
        <v>1.41438E-2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0.17248140000000001</v>
      </c>
      <c r="D3" s="53">
        <v>0.16339989999999999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0.72435209999999994</v>
      </c>
      <c r="D4" s="53">
        <v>0.73373260000000007</v>
      </c>
      <c r="E4" s="53">
        <v>0.68563439999999998</v>
      </c>
      <c r="F4" s="53">
        <v>0.38439060000000003</v>
      </c>
      <c r="G4" s="53">
        <v>0</v>
      </c>
    </row>
    <row r="5" spans="1:7" x14ac:dyDescent="0.25">
      <c r="B5" s="3" t="s">
        <v>122</v>
      </c>
      <c r="C5" s="52">
        <v>6.5475599999999995E-2</v>
      </c>
      <c r="D5" s="52">
        <v>8.8723700000000003E-2</v>
      </c>
      <c r="E5" s="52">
        <f>1-SUM(E2:E4)</f>
        <v>0.31436560000000002</v>
      </c>
      <c r="F5" s="52">
        <f>1-SUM(F2:F4)</f>
        <v>0.61560939999999997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135</v>
      </c>
      <c r="B1" s="4" t="s">
        <v>136</v>
      </c>
    </row>
    <row r="2" spans="1:2" x14ac:dyDescent="0.25">
      <c r="A2" s="8" t="s">
        <v>137</v>
      </c>
      <c r="B2" s="41">
        <v>10</v>
      </c>
    </row>
    <row r="3" spans="1:2" x14ac:dyDescent="0.25">
      <c r="A3" s="8" t="s">
        <v>138</v>
      </c>
      <c r="B3" s="41">
        <v>10</v>
      </c>
    </row>
    <row r="4" spans="1:2" x14ac:dyDescent="0.25">
      <c r="A4" s="8" t="s">
        <v>139</v>
      </c>
      <c r="B4" s="41">
        <v>10</v>
      </c>
    </row>
    <row r="5" spans="1:2" x14ac:dyDescent="0.25">
      <c r="A5" s="8" t="s">
        <v>140</v>
      </c>
      <c r="B5" s="41">
        <v>10</v>
      </c>
    </row>
    <row r="6" spans="1:2" x14ac:dyDescent="0.25">
      <c r="A6" s="8" t="s">
        <v>141</v>
      </c>
      <c r="B6" s="41">
        <v>10</v>
      </c>
    </row>
    <row r="7" spans="1:2" x14ac:dyDescent="0.25">
      <c r="A7" s="8" t="s">
        <v>142</v>
      </c>
      <c r="B7" s="41">
        <v>10</v>
      </c>
    </row>
  </sheetData>
  <sheetProtection algorithmName="SHA-512" hashValue="YTrXHsnirT/bsP+7+uMgpWAhdccKC9Qo1FzXrh2XswY271EWOG0bFZHop7LfSCGKI/uyxD63LS8xZgES2J7SsQ==" saltValue="F9kdn6b4UaX+yMB6vvKJXg==" spinCount="100000" sheet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topLeftCell="A3" zoomScale="115" zoomScaleNormal="115" workbookViewId="0">
      <selection activeCell="D12" sqref="D12:D13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143</v>
      </c>
      <c r="B1" s="36" t="s">
        <v>144</v>
      </c>
      <c r="C1" s="36" t="s">
        <v>145</v>
      </c>
      <c r="D1" s="36" t="s">
        <v>146</v>
      </c>
      <c r="E1" s="36" t="s">
        <v>147</v>
      </c>
    </row>
    <row r="2" spans="1:5" ht="13" customHeight="1" x14ac:dyDescent="0.3">
      <c r="A2" s="34" t="s">
        <v>148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149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149</v>
      </c>
      <c r="E4" s="38" t="str">
        <f>IF(E$7="","",E$7)</f>
        <v/>
      </c>
    </row>
    <row r="5" spans="1:5" x14ac:dyDescent="0.25">
      <c r="B5" s="32" t="s">
        <v>78</v>
      </c>
      <c r="C5" s="47"/>
      <c r="D5" s="47"/>
      <c r="E5" s="38" t="str">
        <f>IF(E$7="","",E$7)</f>
        <v/>
      </c>
    </row>
    <row r="6" spans="1:5" x14ac:dyDescent="0.25">
      <c r="B6" s="32" t="s">
        <v>79</v>
      </c>
      <c r="C6" s="47"/>
      <c r="D6" s="47"/>
      <c r="E6" s="38" t="str">
        <f>IF(E$7="","",E$7)</f>
        <v/>
      </c>
    </row>
    <row r="7" spans="1:5" x14ac:dyDescent="0.25">
      <c r="B7" s="32" t="s">
        <v>150</v>
      </c>
      <c r="C7" s="31"/>
      <c r="D7" s="30"/>
      <c r="E7" s="47"/>
    </row>
    <row r="9" spans="1:5" ht="13" customHeight="1" x14ac:dyDescent="0.3">
      <c r="A9" s="34" t="s">
        <v>151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149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149</v>
      </c>
      <c r="E13" s="38" t="str">
        <f>IF(E$7="","",E$7)</f>
        <v/>
      </c>
    </row>
    <row r="14" spans="1:5" x14ac:dyDescent="0.25">
      <c r="B14" s="32" t="s">
        <v>150</v>
      </c>
      <c r="C14" s="31"/>
      <c r="D14" s="30"/>
      <c r="E14" s="47"/>
    </row>
    <row r="16" spans="1:5" ht="13" customHeight="1" x14ac:dyDescent="0.3">
      <c r="A16" s="34" t="s">
        <v>152</v>
      </c>
      <c r="B16" s="32" t="s">
        <v>90</v>
      </c>
      <c r="C16" s="47"/>
      <c r="D16" s="47" t="s">
        <v>149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149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149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149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149</v>
      </c>
      <c r="E20" s="38" t="str">
        <f>IF(E$7="","",E$7)</f>
        <v/>
      </c>
    </row>
    <row r="21" spans="2:5" x14ac:dyDescent="0.25">
      <c r="B21" s="32" t="s">
        <v>150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1</v>
      </c>
      <c r="B1" s="36" t="s">
        <v>153</v>
      </c>
      <c r="C1" s="40" t="s">
        <v>154</v>
      </c>
      <c r="D1" s="40" t="s">
        <v>155</v>
      </c>
    </row>
    <row r="2" spans="1:4" ht="13" customHeight="1" x14ac:dyDescent="0.3">
      <c r="A2" s="40" t="s">
        <v>156</v>
      </c>
      <c r="B2" s="32" t="s">
        <v>157</v>
      </c>
      <c r="C2" s="32" t="s">
        <v>158</v>
      </c>
      <c r="D2" s="47"/>
    </row>
    <row r="3" spans="1:4" ht="13" customHeight="1" x14ac:dyDescent="0.3">
      <c r="A3" s="40" t="s">
        <v>159</v>
      </c>
      <c r="B3" s="32" t="s">
        <v>145</v>
      </c>
      <c r="C3" s="32" t="s">
        <v>160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156</v>
      </c>
      <c r="B1" s="22" t="str">
        <f>"Baseline ("&amp;start_year&amp;") coverage"</f>
        <v>Baseline (2024) coverage</v>
      </c>
      <c r="C1" s="22" t="s">
        <v>161</v>
      </c>
      <c r="D1" s="22" t="s">
        <v>162</v>
      </c>
      <c r="E1" s="22" t="s">
        <v>163</v>
      </c>
      <c r="F1" s="22" t="s">
        <v>164</v>
      </c>
      <c r="G1" s="22" t="s">
        <v>165</v>
      </c>
    </row>
    <row r="2" spans="1:7" ht="15.75" customHeight="1" x14ac:dyDescent="0.25">
      <c r="A2" s="5" t="s">
        <v>166</v>
      </c>
      <c r="B2" s="45">
        <v>4.2340263800000007E-2</v>
      </c>
      <c r="C2" s="98">
        <v>0.95</v>
      </c>
      <c r="D2" s="56">
        <v>43.538824130096224</v>
      </c>
      <c r="E2" s="56" t="s">
        <v>167</v>
      </c>
      <c r="F2" s="98">
        <v>1</v>
      </c>
      <c r="G2" s="98">
        <v>1</v>
      </c>
    </row>
    <row r="3" spans="1:7" ht="15.75" customHeight="1" x14ac:dyDescent="0.25">
      <c r="A3" s="5" t="s">
        <v>168</v>
      </c>
      <c r="B3" s="45">
        <v>0</v>
      </c>
      <c r="C3" s="98">
        <v>0.95</v>
      </c>
      <c r="D3" s="56">
        <v>39.555341049656008</v>
      </c>
      <c r="E3" s="56" t="s">
        <v>167</v>
      </c>
      <c r="F3" s="98">
        <v>1</v>
      </c>
      <c r="G3" s="98">
        <v>1</v>
      </c>
    </row>
    <row r="4" spans="1:7" ht="15.75" customHeight="1" x14ac:dyDescent="0.25">
      <c r="A4" s="5" t="s">
        <v>169</v>
      </c>
      <c r="B4" s="98">
        <v>0</v>
      </c>
      <c r="C4" s="98">
        <v>0.95</v>
      </c>
      <c r="D4" s="56">
        <v>187.22300000000001</v>
      </c>
      <c r="E4" s="56" t="s">
        <v>167</v>
      </c>
      <c r="F4" s="98">
        <v>1</v>
      </c>
      <c r="G4" s="98">
        <v>1</v>
      </c>
    </row>
    <row r="5" spans="1:7" ht="15.75" customHeight="1" x14ac:dyDescent="0.25">
      <c r="A5" s="5" t="s">
        <v>170</v>
      </c>
      <c r="B5" s="98">
        <v>0</v>
      </c>
      <c r="C5" s="98">
        <v>0.95</v>
      </c>
      <c r="D5" s="56">
        <v>0.45185356226210671</v>
      </c>
      <c r="E5" s="56" t="s">
        <v>167</v>
      </c>
      <c r="F5" s="98">
        <v>1</v>
      </c>
      <c r="G5" s="98">
        <v>1</v>
      </c>
    </row>
    <row r="6" spans="1:7" ht="15.75" customHeight="1" x14ac:dyDescent="0.25">
      <c r="A6" s="5" t="s">
        <v>171</v>
      </c>
      <c r="B6" s="98">
        <v>0</v>
      </c>
      <c r="C6" s="98">
        <v>0.95</v>
      </c>
      <c r="D6" s="56">
        <v>99.99</v>
      </c>
      <c r="E6" s="56" t="s">
        <v>167</v>
      </c>
      <c r="F6" s="98">
        <v>1</v>
      </c>
      <c r="G6" s="98">
        <v>1</v>
      </c>
    </row>
    <row r="7" spans="1:7" ht="15.75" customHeight="1" x14ac:dyDescent="0.25">
      <c r="A7" s="5" t="s">
        <v>172</v>
      </c>
      <c r="B7" s="98">
        <v>0</v>
      </c>
      <c r="C7" s="98">
        <v>0.95</v>
      </c>
      <c r="D7" s="56">
        <v>99.99</v>
      </c>
      <c r="E7" s="56" t="s">
        <v>167</v>
      </c>
      <c r="F7" s="98">
        <v>1</v>
      </c>
      <c r="G7" s="98">
        <v>1</v>
      </c>
    </row>
    <row r="8" spans="1:7" ht="15.75" customHeight="1" x14ac:dyDescent="0.25">
      <c r="A8" s="5" t="s">
        <v>173</v>
      </c>
      <c r="B8" s="98">
        <v>0</v>
      </c>
      <c r="C8" s="98">
        <v>0.95</v>
      </c>
      <c r="D8" s="56">
        <v>99.99</v>
      </c>
      <c r="E8" s="56" t="s">
        <v>167</v>
      </c>
      <c r="F8" s="98">
        <v>1</v>
      </c>
      <c r="G8" s="98">
        <v>1</v>
      </c>
    </row>
    <row r="9" spans="1:7" ht="15.75" customHeight="1" x14ac:dyDescent="0.25">
      <c r="A9" s="5" t="s">
        <v>174</v>
      </c>
      <c r="B9" s="98">
        <v>0</v>
      </c>
      <c r="C9" s="98">
        <v>0.95</v>
      </c>
      <c r="D9" s="56">
        <v>99.99</v>
      </c>
      <c r="E9" s="56" t="s">
        <v>167</v>
      </c>
      <c r="F9" s="98">
        <v>1</v>
      </c>
      <c r="G9" s="98">
        <v>1</v>
      </c>
    </row>
    <row r="10" spans="1:7" ht="15.75" customHeight="1" x14ac:dyDescent="0.25">
      <c r="A10" s="11" t="s">
        <v>175</v>
      </c>
      <c r="B10" s="45">
        <v>0</v>
      </c>
      <c r="C10" s="98">
        <v>0.95</v>
      </c>
      <c r="D10" s="56">
        <v>12.687640493451919</v>
      </c>
      <c r="E10" s="56" t="s">
        <v>167</v>
      </c>
      <c r="F10" s="98">
        <v>1</v>
      </c>
      <c r="G10" s="98">
        <v>1</v>
      </c>
    </row>
    <row r="11" spans="1:7" ht="15.75" customHeight="1" x14ac:dyDescent="0.25">
      <c r="A11" s="11" t="s">
        <v>176</v>
      </c>
      <c r="B11" s="98">
        <v>0</v>
      </c>
      <c r="C11" s="98">
        <v>0.95</v>
      </c>
      <c r="D11" s="56">
        <v>12.687640493451919</v>
      </c>
      <c r="E11" s="56" t="s">
        <v>167</v>
      </c>
      <c r="F11" s="98">
        <v>1</v>
      </c>
      <c r="G11" s="98">
        <v>1</v>
      </c>
    </row>
    <row r="12" spans="1:7" ht="15.75" customHeight="1" x14ac:dyDescent="0.25">
      <c r="A12" s="11" t="s">
        <v>177</v>
      </c>
      <c r="B12" s="98">
        <v>0</v>
      </c>
      <c r="C12" s="98">
        <v>0.95</v>
      </c>
      <c r="D12" s="56">
        <v>12.687640493451919</v>
      </c>
      <c r="E12" s="56" t="s">
        <v>167</v>
      </c>
      <c r="F12" s="98">
        <v>1</v>
      </c>
      <c r="G12" s="98">
        <v>1</v>
      </c>
    </row>
    <row r="13" spans="1:7" ht="15.75" customHeight="1" x14ac:dyDescent="0.25">
      <c r="A13" s="11" t="s">
        <v>178</v>
      </c>
      <c r="B13" s="98">
        <v>0</v>
      </c>
      <c r="C13" s="98">
        <v>0.95</v>
      </c>
      <c r="D13" s="56">
        <v>12.687640493451919</v>
      </c>
      <c r="E13" s="56" t="s">
        <v>167</v>
      </c>
      <c r="F13" s="98">
        <v>1</v>
      </c>
      <c r="G13" s="98">
        <v>1</v>
      </c>
    </row>
    <row r="14" spans="1:7" ht="15.75" customHeight="1" x14ac:dyDescent="0.25">
      <c r="A14" s="5" t="s">
        <v>179</v>
      </c>
      <c r="B14" s="45">
        <v>0</v>
      </c>
      <c r="C14" s="98">
        <v>0.95</v>
      </c>
      <c r="D14" s="56">
        <v>12.687640493451919</v>
      </c>
      <c r="E14" s="56" t="s">
        <v>167</v>
      </c>
      <c r="F14" s="98">
        <v>1</v>
      </c>
      <c r="G14" s="98">
        <v>1</v>
      </c>
    </row>
    <row r="15" spans="1:7" ht="15.75" customHeight="1" x14ac:dyDescent="0.25">
      <c r="A15" s="5" t="s">
        <v>180</v>
      </c>
      <c r="B15" s="98">
        <v>0</v>
      </c>
      <c r="C15" s="98">
        <v>0.95</v>
      </c>
      <c r="D15" s="56">
        <v>12.687640493451919</v>
      </c>
      <c r="E15" s="56" t="s">
        <v>167</v>
      </c>
      <c r="F15" s="98">
        <v>1</v>
      </c>
      <c r="G15" s="98">
        <v>1</v>
      </c>
    </row>
    <row r="16" spans="1:7" ht="15.75" customHeight="1" x14ac:dyDescent="0.25">
      <c r="A16" s="5" t="s">
        <v>181</v>
      </c>
      <c r="B16" s="45">
        <v>5.5873076000000001E-2</v>
      </c>
      <c r="C16" s="98">
        <v>0.95</v>
      </c>
      <c r="D16" s="56">
        <v>0.39440629334727351</v>
      </c>
      <c r="E16" s="56" t="s">
        <v>167</v>
      </c>
      <c r="F16" s="98">
        <v>1</v>
      </c>
      <c r="G16" s="98">
        <v>1</v>
      </c>
    </row>
    <row r="17" spans="1:7" ht="15.75" customHeight="1" x14ac:dyDescent="0.25">
      <c r="A17" s="5" t="s">
        <v>182</v>
      </c>
      <c r="B17" s="98">
        <v>0.99</v>
      </c>
      <c r="C17" s="98">
        <v>0.95</v>
      </c>
      <c r="D17" s="56">
        <v>0.1369044839662158</v>
      </c>
      <c r="E17" s="56" t="s">
        <v>167</v>
      </c>
      <c r="F17" s="98">
        <v>1</v>
      </c>
      <c r="G17" s="98">
        <v>1</v>
      </c>
    </row>
    <row r="18" spans="1:7" ht="15.9" customHeight="1" x14ac:dyDescent="0.25">
      <c r="A18" s="5" t="s">
        <v>148</v>
      </c>
      <c r="B18" s="98">
        <v>0</v>
      </c>
      <c r="C18" s="98">
        <v>0.95</v>
      </c>
      <c r="D18" s="56">
        <v>4.3845374540579991</v>
      </c>
      <c r="E18" s="56" t="s">
        <v>167</v>
      </c>
      <c r="F18" s="98">
        <v>1</v>
      </c>
      <c r="G18" s="98">
        <v>1</v>
      </c>
    </row>
    <row r="19" spans="1:7" ht="15.75" customHeight="1" x14ac:dyDescent="0.25">
      <c r="A19" s="5" t="s">
        <v>151</v>
      </c>
      <c r="B19" s="98">
        <v>0</v>
      </c>
      <c r="C19" s="98">
        <v>0.95</v>
      </c>
      <c r="D19" s="56">
        <v>4.3845374540579991</v>
      </c>
      <c r="E19" s="56" t="s">
        <v>167</v>
      </c>
      <c r="F19" s="98">
        <v>1</v>
      </c>
      <c r="G19" s="98">
        <v>1</v>
      </c>
    </row>
    <row r="20" spans="1:7" ht="15.75" customHeight="1" x14ac:dyDescent="0.25">
      <c r="A20" s="5" t="s">
        <v>152</v>
      </c>
      <c r="B20" s="98">
        <v>0</v>
      </c>
      <c r="C20" s="98">
        <v>0.95</v>
      </c>
      <c r="D20" s="56">
        <v>99.99</v>
      </c>
      <c r="E20" s="56" t="s">
        <v>167</v>
      </c>
      <c r="F20" s="98">
        <v>1</v>
      </c>
      <c r="G20" s="98">
        <v>1</v>
      </c>
    </row>
    <row r="21" spans="1:7" ht="15.75" customHeight="1" x14ac:dyDescent="0.25">
      <c r="A21" s="5" t="s">
        <v>183</v>
      </c>
      <c r="B21" s="45">
        <v>0</v>
      </c>
      <c r="C21" s="98">
        <v>0.95</v>
      </c>
      <c r="D21" s="56">
        <v>4.3947620614430702</v>
      </c>
      <c r="E21" s="56" t="s">
        <v>167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21.724653940727581</v>
      </c>
      <c r="E22" s="56" t="s">
        <v>167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4.3199999999999998E-4</v>
      </c>
      <c r="C23" s="98">
        <v>0.95</v>
      </c>
      <c r="D23" s="56">
        <v>4.0765008182611906</v>
      </c>
      <c r="E23" s="56" t="s">
        <v>167</v>
      </c>
      <c r="F23" s="98">
        <v>1</v>
      </c>
      <c r="G23" s="98">
        <v>1</v>
      </c>
    </row>
    <row r="24" spans="1:7" ht="15.75" customHeight="1" x14ac:dyDescent="0.25">
      <c r="A24" s="5" t="s">
        <v>186</v>
      </c>
      <c r="B24" s="45">
        <v>0.65419362903763001</v>
      </c>
      <c r="C24" s="98">
        <v>0.95</v>
      </c>
      <c r="D24" s="56">
        <v>99.99</v>
      </c>
      <c r="E24" s="56" t="s">
        <v>167</v>
      </c>
      <c r="F24" s="98">
        <v>1</v>
      </c>
      <c r="G24" s="98">
        <v>1</v>
      </c>
    </row>
    <row r="25" spans="1:7" ht="15.75" customHeight="1" x14ac:dyDescent="0.25">
      <c r="A25" s="5" t="s">
        <v>187</v>
      </c>
      <c r="B25" s="98">
        <v>0</v>
      </c>
      <c r="C25" s="98">
        <v>0.95</v>
      </c>
      <c r="D25" s="56">
        <v>99.99</v>
      </c>
      <c r="E25" s="56" t="s">
        <v>167</v>
      </c>
      <c r="F25" s="98">
        <v>1</v>
      </c>
      <c r="G25" s="98">
        <v>1</v>
      </c>
    </row>
    <row r="26" spans="1:7" ht="15.75" customHeight="1" x14ac:dyDescent="0.25">
      <c r="A26" s="5" t="s">
        <v>188</v>
      </c>
      <c r="B26" s="45">
        <v>0</v>
      </c>
      <c r="C26" s="98">
        <v>0.95</v>
      </c>
      <c r="D26" s="56">
        <v>99.99</v>
      </c>
      <c r="E26" s="56" t="s">
        <v>167</v>
      </c>
      <c r="F26" s="98">
        <v>1</v>
      </c>
      <c r="G26" s="98">
        <v>1</v>
      </c>
    </row>
    <row r="27" spans="1:7" ht="15.75" customHeight="1" x14ac:dyDescent="0.25">
      <c r="A27" s="5" t="s">
        <v>189</v>
      </c>
      <c r="B27" s="45">
        <v>5.4286736799999999E-2</v>
      </c>
      <c r="C27" s="98">
        <v>0.95</v>
      </c>
      <c r="D27" s="56">
        <v>18.207243489598099</v>
      </c>
      <c r="E27" s="56" t="s">
        <v>167</v>
      </c>
      <c r="F27" s="98">
        <v>1</v>
      </c>
      <c r="G27" s="98">
        <v>1</v>
      </c>
    </row>
    <row r="28" spans="1:7" ht="15.75" customHeight="1" x14ac:dyDescent="0.25">
      <c r="A28" s="5" t="s">
        <v>190</v>
      </c>
      <c r="B28" s="45">
        <v>0.61573460000000002</v>
      </c>
      <c r="C28" s="98">
        <v>0.95</v>
      </c>
      <c r="D28" s="56">
        <v>99.99</v>
      </c>
      <c r="E28" s="56" t="s">
        <v>167</v>
      </c>
      <c r="F28" s="98">
        <v>1</v>
      </c>
      <c r="G28" s="98">
        <v>1</v>
      </c>
    </row>
    <row r="29" spans="1:7" ht="15.75" customHeight="1" x14ac:dyDescent="0.25">
      <c r="A29" s="5" t="s">
        <v>191</v>
      </c>
      <c r="B29" s="45">
        <v>0</v>
      </c>
      <c r="C29" s="98">
        <v>0.95</v>
      </c>
      <c r="D29" s="56">
        <v>80.575440792660984</v>
      </c>
      <c r="E29" s="56" t="s">
        <v>167</v>
      </c>
      <c r="F29" s="98">
        <v>1</v>
      </c>
      <c r="G29" s="98">
        <v>1</v>
      </c>
    </row>
    <row r="30" spans="1:7" ht="15.75" customHeight="1" x14ac:dyDescent="0.25">
      <c r="A30" s="5" t="s">
        <v>192</v>
      </c>
      <c r="B30" s="98">
        <v>0</v>
      </c>
      <c r="C30" s="98">
        <v>0.95</v>
      </c>
      <c r="D30" s="56">
        <v>99</v>
      </c>
      <c r="E30" s="56" t="s">
        <v>167</v>
      </c>
      <c r="F30" s="98">
        <v>1</v>
      </c>
      <c r="G30" s="98">
        <v>1</v>
      </c>
    </row>
    <row r="31" spans="1:7" ht="15.75" customHeight="1" x14ac:dyDescent="0.25">
      <c r="A31" s="5" t="s">
        <v>157</v>
      </c>
      <c r="B31" s="45">
        <v>0.3236</v>
      </c>
      <c r="C31" s="98">
        <v>0.95</v>
      </c>
      <c r="D31" s="56">
        <v>7.6024020713157681</v>
      </c>
      <c r="E31" s="56" t="s">
        <v>167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1.41438E-2</v>
      </c>
      <c r="C32" s="98">
        <v>0.95</v>
      </c>
      <c r="D32" s="56">
        <v>0.81346282995132901</v>
      </c>
      <c r="E32" s="56" t="s">
        <v>167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</v>
      </c>
      <c r="C33" s="98">
        <v>0.95</v>
      </c>
      <c r="D33" s="56">
        <v>99.99</v>
      </c>
      <c r="E33" s="56" t="s">
        <v>167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0.66905209999999993</v>
      </c>
      <c r="C34" s="98">
        <v>0.95</v>
      </c>
      <c r="D34" s="56">
        <v>99.99</v>
      </c>
      <c r="E34" s="56" t="s">
        <v>167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167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0</v>
      </c>
      <c r="C36" s="98">
        <v>0.95</v>
      </c>
      <c r="D36" s="56">
        <v>99.99</v>
      </c>
      <c r="E36" s="56" t="s">
        <v>167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0.78</v>
      </c>
      <c r="C37" s="98">
        <v>0.95</v>
      </c>
      <c r="D37" s="56">
        <v>99.99</v>
      </c>
      <c r="E37" s="56" t="s">
        <v>167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</v>
      </c>
      <c r="C38" s="98">
        <v>0.95</v>
      </c>
      <c r="D38" s="56">
        <v>2.5817575544536639</v>
      </c>
      <c r="E38" s="56" t="s">
        <v>167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0.23100000000000001</v>
      </c>
      <c r="C39" s="98">
        <v>0.95</v>
      </c>
      <c r="D39" s="56">
        <v>99.99</v>
      </c>
      <c r="E39" s="56" t="s">
        <v>167</v>
      </c>
      <c r="F39" s="98">
        <v>1</v>
      </c>
      <c r="G39" s="98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tabSelected="1" workbookViewId="0">
      <selection activeCell="C13" sqref="C13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156</v>
      </c>
      <c r="B1" s="4" t="s">
        <v>201</v>
      </c>
      <c r="C1" s="4" t="s">
        <v>202</v>
      </c>
    </row>
    <row r="2" spans="1:3" x14ac:dyDescent="0.25">
      <c r="A2" s="57" t="s">
        <v>179</v>
      </c>
      <c r="B2" s="47" t="s">
        <v>189</v>
      </c>
      <c r="C2" s="47"/>
    </row>
    <row r="3" spans="1:3" x14ac:dyDescent="0.25">
      <c r="A3" s="57" t="s">
        <v>180</v>
      </c>
      <c r="B3" s="47" t="s">
        <v>189</v>
      </c>
      <c r="C3" s="47"/>
    </row>
    <row r="4" spans="1:3" x14ac:dyDescent="0.25">
      <c r="A4" s="57" t="s">
        <v>191</v>
      </c>
      <c r="B4" s="47" t="s">
        <v>184</v>
      </c>
      <c r="C4" s="47"/>
    </row>
    <row r="5" spans="1:3" x14ac:dyDescent="0.25">
      <c r="A5" s="57" t="s">
        <v>188</v>
      </c>
      <c r="B5" s="47" t="s">
        <v>184</v>
      </c>
      <c r="C5" s="47"/>
    </row>
    <row r="6" spans="1:3" x14ac:dyDescent="0.25">
      <c r="A6" s="57"/>
      <c r="B6" s="58"/>
      <c r="C6" s="58"/>
    </row>
    <row r="7" spans="1:3" x14ac:dyDescent="0.25">
      <c r="A7" s="57"/>
      <c r="B7" s="58"/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156</v>
      </c>
    </row>
    <row r="2" spans="1:1" x14ac:dyDescent="0.25">
      <c r="A2" s="33" t="s">
        <v>171</v>
      </c>
    </row>
    <row r="3" spans="1:1" x14ac:dyDescent="0.25">
      <c r="A3" s="33" t="s">
        <v>181</v>
      </c>
    </row>
    <row r="4" spans="1:1" x14ac:dyDescent="0.25">
      <c r="A4" s="33" t="s">
        <v>185</v>
      </c>
    </row>
    <row r="5" spans="1:1" x14ac:dyDescent="0.25">
      <c r="A5" s="33" t="s">
        <v>194</v>
      </c>
    </row>
    <row r="6" spans="1:1" x14ac:dyDescent="0.25">
      <c r="A6" s="33" t="s">
        <v>195</v>
      </c>
    </row>
    <row r="7" spans="1:1" x14ac:dyDescent="0.25">
      <c r="A7" s="33" t="s">
        <v>196</v>
      </c>
    </row>
    <row r="8" spans="1:1" x14ac:dyDescent="0.25">
      <c r="A8" s="33" t="s">
        <v>197</v>
      </c>
    </row>
    <row r="9" spans="1:1" x14ac:dyDescent="0.25">
      <c r="A9" s="33" t="s">
        <v>198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203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3.3</v>
      </c>
      <c r="C2" s="21">
        <f>'Baseline year population inputs'!C52</f>
        <v>3.3</v>
      </c>
      <c r="D2" s="21">
        <f>'Baseline year population inputs'!C53</f>
        <v>3.3</v>
      </c>
      <c r="E2" s="21">
        <f>'Baseline year population inputs'!C54</f>
        <v>3.3</v>
      </c>
      <c r="F2" s="21">
        <f>'Baseline year population inputs'!C55</f>
        <v>3.3</v>
      </c>
    </row>
    <row r="3" spans="1:6" ht="15.75" customHeight="1" x14ac:dyDescent="0.25">
      <c r="A3" s="3" t="s">
        <v>204</v>
      </c>
      <c r="B3" s="21">
        <f>frac_mam_1month * 2.6</f>
        <v>0.63094278000000004</v>
      </c>
      <c r="C3" s="21">
        <f>frac_mam_1_5months * 2.6</f>
        <v>0.63094278000000004</v>
      </c>
      <c r="D3" s="21">
        <f>frac_mam_6_11months * 2.6</f>
        <v>0.27769638000000002</v>
      </c>
      <c r="E3" s="21">
        <f>frac_mam_12_23months * 2.6</f>
        <v>0.22147839999999999</v>
      </c>
      <c r="F3" s="21">
        <f>frac_mam_24_59months * 2.6</f>
        <v>0.24060972000000003</v>
      </c>
    </row>
    <row r="4" spans="1:6" ht="15.75" customHeight="1" x14ac:dyDescent="0.25">
      <c r="A4" s="3" t="s">
        <v>205</v>
      </c>
      <c r="B4" s="21">
        <f>frac_sam_1month * 2.6</f>
        <v>0.56396080000000004</v>
      </c>
      <c r="C4" s="21">
        <f>frac_sam_1_5months * 2.6</f>
        <v>0.56396080000000004</v>
      </c>
      <c r="D4" s="21">
        <f>frac_sam_6_11months * 2.6</f>
        <v>0.47865168000000002</v>
      </c>
      <c r="E4" s="21">
        <f>frac_sam_12_23months * 2.6</f>
        <v>0.45735897999999997</v>
      </c>
      <c r="F4" s="21">
        <f>frac_sam_24_59months * 2.6</f>
        <v>0.36888306000000004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169</v>
      </c>
      <c r="C2" s="60">
        <v>0</v>
      </c>
      <c r="D2" s="60">
        <f>food_insecure</f>
        <v>0.17100000000000001</v>
      </c>
      <c r="E2" s="60">
        <f>food_insecure</f>
        <v>0.17100000000000001</v>
      </c>
      <c r="F2" s="60">
        <f>food_insecure</f>
        <v>0.17100000000000001</v>
      </c>
      <c r="G2" s="60">
        <f>food_insecure</f>
        <v>0.17100000000000001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0.17100000000000001</v>
      </c>
      <c r="F5" s="60">
        <f>food_insecure</f>
        <v>0.17100000000000001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190</v>
      </c>
      <c r="C7" s="60">
        <f>diarrhoea_1mo*frac_diarrhea_severe</f>
        <v>7.2000000000000008E-2</v>
      </c>
      <c r="D7" s="60">
        <f>diarrhoea_1_5mo*frac_diarrhea_severe</f>
        <v>7.2000000000000008E-2</v>
      </c>
      <c r="E7" s="60">
        <f>diarrhoea_6_11mo*frac_diarrhea_severe</f>
        <v>7.2000000000000008E-2</v>
      </c>
      <c r="F7" s="60">
        <f>diarrhoea_12_23mo*frac_diarrhea_severe</f>
        <v>7.2000000000000008E-2</v>
      </c>
      <c r="G7" s="60">
        <f>diarrhoea_24_59mo*frac_diarrhea_severe</f>
        <v>7.2000000000000008E-2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191</v>
      </c>
      <c r="C8" s="60">
        <v>0</v>
      </c>
      <c r="D8" s="60">
        <v>0</v>
      </c>
      <c r="E8" s="60">
        <f>food_insecure</f>
        <v>0.17100000000000001</v>
      </c>
      <c r="F8" s="60">
        <f>food_insecure</f>
        <v>0.17100000000000001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192</v>
      </c>
      <c r="C9" s="60">
        <v>0</v>
      </c>
      <c r="D9" s="60">
        <v>0</v>
      </c>
      <c r="E9" s="60">
        <f>food_insecure</f>
        <v>0.17100000000000001</v>
      </c>
      <c r="F9" s="60">
        <f>food_insecure</f>
        <v>0.17100000000000001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157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7.2000000000000008E-2</v>
      </c>
      <c r="D12" s="60">
        <f>diarrhoea_1_5mo*frac_diarrhea_severe</f>
        <v>7.2000000000000008E-2</v>
      </c>
      <c r="E12" s="60">
        <f>diarrhoea_6_11mo*frac_diarrhea_severe</f>
        <v>7.2000000000000008E-2</v>
      </c>
      <c r="F12" s="60">
        <f>diarrhoea_12_23mo*frac_diarrhea_severe</f>
        <v>7.2000000000000008E-2</v>
      </c>
      <c r="G12" s="60">
        <f>diarrhoea_24_59mo*frac_diarrhea_severe</f>
        <v>7.2000000000000008E-2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166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0.17100000000000001</v>
      </c>
      <c r="I15" s="60">
        <f>food_insecure</f>
        <v>0.17100000000000001</v>
      </c>
      <c r="J15" s="60">
        <f>food_insecure</f>
        <v>0.17100000000000001</v>
      </c>
      <c r="K15" s="60">
        <f>food_insecure</f>
        <v>0.17100000000000001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207</v>
      </c>
      <c r="B24" s="11" t="s">
        <v>171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0.36399999999999999</v>
      </c>
      <c r="M24" s="60">
        <f>famplan_unmet_need</f>
        <v>0.36399999999999999</v>
      </c>
      <c r="N24" s="60">
        <f>famplan_unmet_need</f>
        <v>0.36399999999999999</v>
      </c>
      <c r="O24" s="60">
        <f>famplan_unmet_need</f>
        <v>0.36399999999999999</v>
      </c>
    </row>
    <row r="25" spans="1:15" ht="15.75" customHeight="1" x14ac:dyDescent="0.25">
      <c r="B25" s="11" t="s">
        <v>175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0.35943172137203216</v>
      </c>
      <c r="M25" s="60">
        <f>(1-food_insecure)*(0.49)+food_insecure*(0.7)</f>
        <v>0.52590999999999999</v>
      </c>
      <c r="N25" s="60">
        <f>(1-food_insecure)*(0.49)+food_insecure*(0.7)</f>
        <v>0.52590999999999999</v>
      </c>
      <c r="O25" s="60">
        <f>(1-food_insecure)*(0.49)+food_insecure*(0.7)</f>
        <v>0.52590999999999999</v>
      </c>
    </row>
    <row r="26" spans="1:15" ht="15.75" customHeight="1" x14ac:dyDescent="0.25">
      <c r="B26" s="11" t="s">
        <v>176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0.1540421663022995</v>
      </c>
      <c r="M26" s="60">
        <f>(1-food_insecure)*(0.21)+food_insecure*(0.3)</f>
        <v>0.22539000000000001</v>
      </c>
      <c r="N26" s="60">
        <f>(1-food_insecure)*(0.21)+food_insecure*(0.3)</f>
        <v>0.22539000000000001</v>
      </c>
      <c r="O26" s="60">
        <f>(1-food_insecure)*(0.21)+food_insecure*(0.3)</f>
        <v>0.22539000000000001</v>
      </c>
    </row>
    <row r="27" spans="1:15" ht="15.75" customHeight="1" x14ac:dyDescent="0.25">
      <c r="B27" s="11" t="s">
        <v>177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0.16997332073020932</v>
      </c>
      <c r="M27" s="60">
        <f>(1-food_insecure)*(0.3)</f>
        <v>0.24869999999999998</v>
      </c>
      <c r="N27" s="60">
        <f>(1-food_insecure)*(0.3)</f>
        <v>0.24869999999999998</v>
      </c>
      <c r="O27" s="60">
        <f>(1-food_insecure)*(0.3)</f>
        <v>0.24869999999999998</v>
      </c>
    </row>
    <row r="28" spans="1:15" ht="15.75" customHeight="1" x14ac:dyDescent="0.25">
      <c r="B28" s="11" t="s">
        <v>178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0.31655279159545902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208</v>
      </c>
      <c r="B30" s="5" t="s">
        <v>172</v>
      </c>
      <c r="C30" s="60">
        <v>0</v>
      </c>
      <c r="D30" s="60">
        <v>0</v>
      </c>
      <c r="E30" s="60">
        <f t="shared" ref="E30:O30" si="0">frac_maize</f>
        <v>0.05</v>
      </c>
      <c r="F30" s="60">
        <f t="shared" si="0"/>
        <v>0.05</v>
      </c>
      <c r="G30" s="60">
        <f t="shared" si="0"/>
        <v>0.05</v>
      </c>
      <c r="H30" s="60">
        <f t="shared" si="0"/>
        <v>0.05</v>
      </c>
      <c r="I30" s="60">
        <f t="shared" si="0"/>
        <v>0.05</v>
      </c>
      <c r="J30" s="60">
        <f t="shared" si="0"/>
        <v>0.05</v>
      </c>
      <c r="K30" s="60">
        <f t="shared" si="0"/>
        <v>0.05</v>
      </c>
      <c r="L30" s="60">
        <f t="shared" si="0"/>
        <v>0.05</v>
      </c>
      <c r="M30" s="60">
        <f t="shared" si="0"/>
        <v>0.05</v>
      </c>
      <c r="N30" s="60">
        <f t="shared" si="0"/>
        <v>0.05</v>
      </c>
      <c r="O30" s="60">
        <f t="shared" si="0"/>
        <v>0.05</v>
      </c>
    </row>
    <row r="31" spans="1:15" ht="15.75" customHeight="1" x14ac:dyDescent="0.25">
      <c r="B31" s="5" t="s">
        <v>173</v>
      </c>
      <c r="C31" s="60">
        <v>0</v>
      </c>
      <c r="D31" s="60">
        <v>0</v>
      </c>
      <c r="E31" s="60">
        <f t="shared" ref="E31:O31" si="1">frac_rice</f>
        <v>0.7</v>
      </c>
      <c r="F31" s="60">
        <f t="shared" si="1"/>
        <v>0.7</v>
      </c>
      <c r="G31" s="60">
        <f t="shared" si="1"/>
        <v>0.7</v>
      </c>
      <c r="H31" s="60">
        <f t="shared" si="1"/>
        <v>0.7</v>
      </c>
      <c r="I31" s="60">
        <f t="shared" si="1"/>
        <v>0.7</v>
      </c>
      <c r="J31" s="60">
        <f t="shared" si="1"/>
        <v>0.7</v>
      </c>
      <c r="K31" s="60">
        <f t="shared" si="1"/>
        <v>0.7</v>
      </c>
      <c r="L31" s="60">
        <f t="shared" si="1"/>
        <v>0.7</v>
      </c>
      <c r="M31" s="60">
        <f t="shared" si="1"/>
        <v>0.7</v>
      </c>
      <c r="N31" s="60">
        <f t="shared" si="1"/>
        <v>0.7</v>
      </c>
      <c r="O31" s="60">
        <f t="shared" si="1"/>
        <v>0.7</v>
      </c>
    </row>
    <row r="32" spans="1:15" ht="15.75" customHeight="1" x14ac:dyDescent="0.25">
      <c r="B32" s="5" t="s">
        <v>174</v>
      </c>
      <c r="C32" s="60">
        <v>0</v>
      </c>
      <c r="D32" s="60">
        <v>0</v>
      </c>
      <c r="E32" s="60">
        <f t="shared" ref="E32:O32" si="2">frac_wheat</f>
        <v>0.05</v>
      </c>
      <c r="F32" s="60">
        <f t="shared" si="2"/>
        <v>0.05</v>
      </c>
      <c r="G32" s="60">
        <f t="shared" si="2"/>
        <v>0.05</v>
      </c>
      <c r="H32" s="60">
        <f t="shared" si="2"/>
        <v>0.05</v>
      </c>
      <c r="I32" s="60">
        <f t="shared" si="2"/>
        <v>0.05</v>
      </c>
      <c r="J32" s="60">
        <f t="shared" si="2"/>
        <v>0.05</v>
      </c>
      <c r="K32" s="60">
        <f t="shared" si="2"/>
        <v>0.05</v>
      </c>
      <c r="L32" s="60">
        <f t="shared" si="2"/>
        <v>0.05</v>
      </c>
      <c r="M32" s="60">
        <f t="shared" si="2"/>
        <v>0.05</v>
      </c>
      <c r="N32" s="60">
        <f t="shared" si="2"/>
        <v>0.05</v>
      </c>
      <c r="O32" s="60">
        <f t="shared" si="2"/>
        <v>0.05</v>
      </c>
    </row>
    <row r="33" spans="2:15" ht="15.75" customHeight="1" x14ac:dyDescent="0.25">
      <c r="B33" s="5" t="s">
        <v>182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c/rGyVZgGkhUAqOYeQhEdKJohJnZwMlPtVcOZvPWAG/LEg5Gne9k7nZtnui0huHfripADE6dYtqDmtQbZr0eCA==" saltValue="B8YmPLaFBUBxrPCcmxl/Fg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167</v>
      </c>
    </row>
    <row r="2" spans="1:1" x14ac:dyDescent="0.25">
      <c r="A2" s="8" t="s">
        <v>209</v>
      </c>
    </row>
    <row r="3" spans="1:1" x14ac:dyDescent="0.25">
      <c r="A3" s="8" t="s">
        <v>210</v>
      </c>
    </row>
    <row r="4" spans="1:1" x14ac:dyDescent="0.25">
      <c r="A4" s="8" t="s">
        <v>211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212</v>
      </c>
      <c r="B1" s="4" t="s">
        <v>213</v>
      </c>
      <c r="C1" s="4" t="s">
        <v>214</v>
      </c>
      <c r="D1" s="4" t="s">
        <v>136</v>
      </c>
      <c r="E1" s="4" t="s">
        <v>215</v>
      </c>
    </row>
    <row r="2" spans="1:5" ht="14" customHeight="1" x14ac:dyDescent="0.3">
      <c r="A2" s="28" t="s">
        <v>216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A12" sqref="A12:XFD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169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148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192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157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166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207</v>
      </c>
      <c r="B27" s="5" t="s">
        <v>171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208</v>
      </c>
      <c r="B33" s="5" t="s">
        <v>172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156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5" t="s">
        <v>166</v>
      </c>
      <c r="B2" s="87"/>
      <c r="C2" s="87"/>
      <c r="D2" s="87"/>
      <c r="E2" s="87"/>
      <c r="F2" s="87"/>
      <c r="G2" s="87"/>
      <c r="H2" s="87"/>
      <c r="I2" s="87" t="s">
        <v>149</v>
      </c>
      <c r="J2" s="87"/>
      <c r="K2" s="87"/>
    </row>
    <row r="3" spans="1:11" x14ac:dyDescent="0.25">
      <c r="A3" s="5" t="s">
        <v>168</v>
      </c>
      <c r="B3" s="87"/>
      <c r="C3" s="87"/>
      <c r="D3" s="87"/>
      <c r="E3" s="87"/>
      <c r="F3" s="87"/>
      <c r="G3" s="87"/>
      <c r="H3" s="87" t="s">
        <v>149</v>
      </c>
      <c r="I3" s="87"/>
      <c r="J3" s="87"/>
      <c r="K3" s="87"/>
    </row>
    <row r="4" spans="1:11" x14ac:dyDescent="0.25">
      <c r="A4" s="5" t="s">
        <v>169</v>
      </c>
      <c r="B4" s="87"/>
      <c r="C4" s="87"/>
      <c r="D4" s="87" t="s">
        <v>149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170</v>
      </c>
      <c r="B5" s="87"/>
      <c r="C5" s="87" t="s">
        <v>149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171</v>
      </c>
      <c r="B6" s="87"/>
      <c r="C6" s="87"/>
      <c r="D6" s="87"/>
      <c r="E6" s="87"/>
      <c r="F6" s="87"/>
      <c r="G6" s="87"/>
      <c r="H6" s="87"/>
      <c r="I6" s="87"/>
      <c r="J6" s="87" t="s">
        <v>149</v>
      </c>
      <c r="K6" s="87" t="s">
        <v>149</v>
      </c>
    </row>
    <row r="7" spans="1:11" x14ac:dyDescent="0.25">
      <c r="A7" s="5" t="s">
        <v>172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/>
      <c r="J7" s="87"/>
      <c r="K7" s="87"/>
    </row>
    <row r="8" spans="1:11" x14ac:dyDescent="0.25">
      <c r="A8" s="5" t="s">
        <v>173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/>
      <c r="J8" s="87"/>
      <c r="K8" s="87"/>
    </row>
    <row r="9" spans="1:11" x14ac:dyDescent="0.25">
      <c r="A9" s="5" t="s">
        <v>174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/>
      <c r="J9" s="87"/>
      <c r="K9" s="87"/>
    </row>
    <row r="10" spans="1:11" x14ac:dyDescent="0.25">
      <c r="A10" s="11" t="s">
        <v>175</v>
      </c>
      <c r="B10" s="87"/>
      <c r="C10" s="87" t="s">
        <v>149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176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177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178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179</v>
      </c>
      <c r="B14" s="87"/>
      <c r="C14" s="87" t="s">
        <v>149</v>
      </c>
      <c r="D14" s="87"/>
      <c r="E14" s="87"/>
      <c r="F14" s="87"/>
      <c r="G14" s="87"/>
      <c r="H14" s="87"/>
      <c r="I14" s="87" t="s">
        <v>149</v>
      </c>
      <c r="J14" s="87"/>
      <c r="K14" s="87"/>
    </row>
    <row r="15" spans="1:11" x14ac:dyDescent="0.25">
      <c r="A15" s="5" t="s">
        <v>180</v>
      </c>
      <c r="B15" s="87"/>
      <c r="C15" s="87" t="s">
        <v>149</v>
      </c>
      <c r="D15" s="87"/>
      <c r="E15" s="87"/>
      <c r="F15" s="87"/>
      <c r="G15" s="87"/>
      <c r="H15" s="87"/>
      <c r="I15" s="87" t="s">
        <v>149</v>
      </c>
      <c r="J15" s="87"/>
      <c r="K15" s="87"/>
    </row>
    <row r="16" spans="1:11" x14ac:dyDescent="0.25">
      <c r="A16" s="5" t="s">
        <v>181</v>
      </c>
      <c r="B16" s="87"/>
      <c r="C16" s="87" t="s">
        <v>149</v>
      </c>
      <c r="D16" s="87"/>
      <c r="E16" s="87"/>
      <c r="F16" s="87"/>
      <c r="G16" s="87"/>
      <c r="H16" s="87" t="s">
        <v>149</v>
      </c>
      <c r="I16" s="87" t="s">
        <v>149</v>
      </c>
      <c r="J16" s="87"/>
      <c r="K16" s="87"/>
    </row>
    <row r="17" spans="1:11" x14ac:dyDescent="0.25">
      <c r="A17" s="5" t="s">
        <v>182</v>
      </c>
      <c r="B17" s="87"/>
      <c r="C17" s="87" t="s">
        <v>149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148</v>
      </c>
      <c r="B18" s="87" t="s">
        <v>149</v>
      </c>
      <c r="C18" s="87"/>
      <c r="D18" s="87"/>
      <c r="E18" s="87"/>
      <c r="F18" s="87" t="s">
        <v>149</v>
      </c>
      <c r="G18" s="87"/>
      <c r="H18" s="87"/>
      <c r="I18" s="87"/>
      <c r="J18" s="87"/>
      <c r="K18" s="87"/>
    </row>
    <row r="19" spans="1:11" x14ac:dyDescent="0.25">
      <c r="A19" s="5" t="s">
        <v>151</v>
      </c>
      <c r="B19" s="87" t="s">
        <v>149</v>
      </c>
      <c r="C19" s="87"/>
      <c r="D19" s="87"/>
      <c r="E19" s="87"/>
      <c r="F19" s="87" t="s">
        <v>149</v>
      </c>
      <c r="G19" s="87"/>
      <c r="H19" s="87"/>
      <c r="I19" s="87"/>
      <c r="J19" s="87"/>
      <c r="K19" s="87"/>
    </row>
    <row r="20" spans="1:11" x14ac:dyDescent="0.25">
      <c r="A20" s="5" t="s">
        <v>152</v>
      </c>
      <c r="B20" s="87" t="s">
        <v>149</v>
      </c>
      <c r="C20" s="87"/>
      <c r="D20" s="87"/>
      <c r="E20" s="87"/>
      <c r="F20" s="87" t="s">
        <v>149</v>
      </c>
      <c r="G20" s="87"/>
      <c r="H20" s="87"/>
      <c r="I20" s="87"/>
      <c r="J20" s="87"/>
      <c r="K20" s="87"/>
    </row>
    <row r="21" spans="1:11" x14ac:dyDescent="0.25">
      <c r="A21" s="5" t="s">
        <v>183</v>
      </c>
      <c r="B21" s="87"/>
      <c r="C21" s="87"/>
      <c r="D21" s="87"/>
      <c r="E21" s="87"/>
      <c r="F21" s="87"/>
      <c r="G21" s="87"/>
      <c r="H21" s="87" t="s">
        <v>149</v>
      </c>
      <c r="I21" s="87" t="s">
        <v>149</v>
      </c>
      <c r="J21" s="87"/>
      <c r="K21" s="87"/>
    </row>
    <row r="22" spans="1:11" x14ac:dyDescent="0.25">
      <c r="A22" s="5" t="s">
        <v>184</v>
      </c>
      <c r="B22" s="87" t="s">
        <v>149</v>
      </c>
      <c r="C22" s="87" t="s">
        <v>149</v>
      </c>
      <c r="D22" s="87" t="s">
        <v>149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149</v>
      </c>
      <c r="D23" s="87"/>
      <c r="E23" s="87"/>
      <c r="F23" s="87"/>
      <c r="G23" s="87"/>
      <c r="H23" s="87"/>
      <c r="I23" s="87" t="s">
        <v>149</v>
      </c>
      <c r="J23" s="87"/>
      <c r="K23" s="87"/>
    </row>
    <row r="24" spans="1:11" x14ac:dyDescent="0.25">
      <c r="A24" s="5" t="s">
        <v>186</v>
      </c>
      <c r="B24" s="87"/>
      <c r="C24" s="87"/>
      <c r="D24" s="87"/>
      <c r="E24" s="87"/>
      <c r="F24" s="87"/>
      <c r="G24" s="87"/>
      <c r="H24" s="87" t="s">
        <v>149</v>
      </c>
      <c r="I24" s="87"/>
      <c r="J24" s="87"/>
      <c r="K24" s="87"/>
    </row>
    <row r="25" spans="1:11" x14ac:dyDescent="0.25">
      <c r="A25" s="5" t="s">
        <v>187</v>
      </c>
      <c r="B25" s="87"/>
      <c r="C25" s="87"/>
      <c r="D25" s="87"/>
      <c r="E25" s="87"/>
      <c r="F25" s="87"/>
      <c r="G25" s="87"/>
      <c r="H25" s="87" t="s">
        <v>149</v>
      </c>
      <c r="I25" s="87"/>
      <c r="J25" s="87"/>
      <c r="K25" s="87"/>
    </row>
    <row r="26" spans="1:11" x14ac:dyDescent="0.25">
      <c r="A26" s="5" t="s">
        <v>188</v>
      </c>
      <c r="B26" s="87"/>
      <c r="C26" s="87" t="s">
        <v>149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189</v>
      </c>
      <c r="B27" s="87"/>
      <c r="C27" s="87" t="s">
        <v>149</v>
      </c>
      <c r="D27" s="87"/>
      <c r="E27" s="87"/>
      <c r="F27" s="87"/>
      <c r="G27" s="87"/>
      <c r="H27" s="87"/>
      <c r="I27" s="87" t="s">
        <v>149</v>
      </c>
      <c r="J27" s="87"/>
      <c r="K27" s="87"/>
    </row>
    <row r="28" spans="1:11" x14ac:dyDescent="0.25">
      <c r="A28" s="5" t="s">
        <v>190</v>
      </c>
      <c r="B28" s="87"/>
      <c r="C28" s="87"/>
      <c r="D28" s="87"/>
      <c r="E28" s="87"/>
      <c r="F28" s="87"/>
      <c r="G28" s="87"/>
      <c r="H28" s="87" t="s">
        <v>149</v>
      </c>
      <c r="I28" s="87"/>
      <c r="J28" s="87"/>
      <c r="K28" s="87"/>
    </row>
    <row r="29" spans="1:11" x14ac:dyDescent="0.25">
      <c r="A29" s="5" t="s">
        <v>191</v>
      </c>
      <c r="B29" s="87" t="s">
        <v>149</v>
      </c>
      <c r="C29" s="87"/>
      <c r="D29" s="87" t="s">
        <v>149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192</v>
      </c>
      <c r="B30" s="87" t="s">
        <v>149</v>
      </c>
      <c r="C30" s="87" t="s">
        <v>149</v>
      </c>
      <c r="D30" s="87" t="s">
        <v>149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157</v>
      </c>
      <c r="B31" s="87"/>
      <c r="C31" s="87"/>
      <c r="D31" s="87"/>
      <c r="E31" s="87" t="s">
        <v>149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149</v>
      </c>
      <c r="H32" s="87" t="s">
        <v>149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149</v>
      </c>
      <c r="H33" s="87" t="s">
        <v>149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149</v>
      </c>
      <c r="H34" s="87" t="s">
        <v>149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149</v>
      </c>
      <c r="H35" s="87" t="s">
        <v>149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149</v>
      </c>
      <c r="H36" s="87" t="s">
        <v>149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149</v>
      </c>
      <c r="H37" s="87" t="s">
        <v>149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149</v>
      </c>
      <c r="I38" s="87"/>
      <c r="J38" s="87"/>
      <c r="K38" s="87"/>
    </row>
    <row r="39" spans="1:11" x14ac:dyDescent="0.25">
      <c r="A39" s="5" t="s">
        <v>200</v>
      </c>
      <c r="B39" s="87" t="s">
        <v>149</v>
      </c>
      <c r="C39" s="87"/>
      <c r="D39" s="87"/>
      <c r="E39" s="87"/>
      <c r="F39" s="87"/>
      <c r="G39" s="87" t="s">
        <v>149</v>
      </c>
      <c r="H39" s="87" t="s">
        <v>149</v>
      </c>
      <c r="I39" s="87"/>
      <c r="J39" s="87"/>
      <c r="K39" s="87"/>
    </row>
  </sheetData>
  <sheetProtection algorithmName="SHA-512" hashValue="IvQDIxW99fzq1Zy0EhkbKUzL+Oo6JppYFJRusT7f1RK58axANCQbQrXBA4I5Zda1hiQSlfJ6FnKfxlkgJRWRpg==" saltValue="tOfPnYqP3Wy6+yrctBxWk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8" t="s">
        <v>67</v>
      </c>
      <c r="B2" s="87" t="s">
        <v>149</v>
      </c>
      <c r="C2" s="87" t="s">
        <v>149</v>
      </c>
      <c r="D2" s="87" t="s">
        <v>149</v>
      </c>
      <c r="E2" s="87" t="s">
        <v>149</v>
      </c>
      <c r="F2" s="87" t="s">
        <v>149</v>
      </c>
      <c r="G2" s="87" t="s">
        <v>149</v>
      </c>
      <c r="H2" s="87" t="s">
        <v>149</v>
      </c>
      <c r="I2" s="87"/>
      <c r="J2" s="87"/>
      <c r="K2" s="87"/>
    </row>
    <row r="3" spans="1:11" x14ac:dyDescent="0.25">
      <c r="A3" s="8" t="s">
        <v>77</v>
      </c>
      <c r="B3" s="87" t="s">
        <v>149</v>
      </c>
      <c r="C3" s="87" t="s">
        <v>149</v>
      </c>
      <c r="D3" s="87" t="s">
        <v>149</v>
      </c>
      <c r="E3" s="87" t="s">
        <v>149</v>
      </c>
      <c r="F3" s="87" t="s">
        <v>149</v>
      </c>
      <c r="G3" s="87" t="s">
        <v>149</v>
      </c>
      <c r="H3" s="87" t="s">
        <v>149</v>
      </c>
      <c r="I3" s="87"/>
      <c r="J3" s="87"/>
      <c r="K3" s="87"/>
    </row>
    <row r="4" spans="1:11" x14ac:dyDescent="0.25">
      <c r="A4" s="8" t="s">
        <v>78</v>
      </c>
      <c r="B4" s="87" t="s">
        <v>149</v>
      </c>
      <c r="C4" s="87" t="s">
        <v>149</v>
      </c>
      <c r="D4" s="87" t="s">
        <v>149</v>
      </c>
      <c r="E4" s="87" t="s">
        <v>149</v>
      </c>
      <c r="F4" s="87" t="s">
        <v>149</v>
      </c>
      <c r="G4" s="87" t="s">
        <v>149</v>
      </c>
      <c r="H4" s="87" t="s">
        <v>149</v>
      </c>
      <c r="I4" s="87"/>
      <c r="J4" s="87"/>
      <c r="K4" s="87"/>
    </row>
    <row r="5" spans="1:11" x14ac:dyDescent="0.25">
      <c r="A5" s="8" t="s">
        <v>79</v>
      </c>
      <c r="B5" s="87" t="s">
        <v>149</v>
      </c>
      <c r="C5" s="87" t="s">
        <v>149</v>
      </c>
      <c r="D5" s="87" t="s">
        <v>149</v>
      </c>
      <c r="E5" s="87" t="s">
        <v>149</v>
      </c>
      <c r="F5" s="87" t="s">
        <v>149</v>
      </c>
      <c r="G5" s="87" t="s">
        <v>149</v>
      </c>
      <c r="H5" s="87" t="s">
        <v>149</v>
      </c>
      <c r="I5" s="87"/>
      <c r="J5" s="87"/>
      <c r="K5" s="87"/>
    </row>
    <row r="6" spans="1:11" x14ac:dyDescent="0.25">
      <c r="A6" s="8" t="s">
        <v>80</v>
      </c>
      <c r="B6" s="87" t="s">
        <v>149</v>
      </c>
      <c r="C6" s="87" t="s">
        <v>149</v>
      </c>
      <c r="D6" s="87" t="s">
        <v>149</v>
      </c>
      <c r="E6" s="87" t="s">
        <v>149</v>
      </c>
      <c r="F6" s="87" t="s">
        <v>149</v>
      </c>
      <c r="G6" s="87" t="s">
        <v>149</v>
      </c>
      <c r="H6" s="87" t="s">
        <v>149</v>
      </c>
      <c r="I6" s="87"/>
      <c r="J6" s="87"/>
      <c r="K6" s="87"/>
    </row>
    <row r="7" spans="1:11" x14ac:dyDescent="0.25">
      <c r="A7" s="8" t="s">
        <v>112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 t="s">
        <v>149</v>
      </c>
      <c r="J7" s="87"/>
      <c r="K7" s="87"/>
    </row>
    <row r="8" spans="1:11" x14ac:dyDescent="0.25">
      <c r="A8" s="8" t="s">
        <v>113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 t="s">
        <v>149</v>
      </c>
      <c r="J8" s="87"/>
      <c r="K8" s="87"/>
    </row>
    <row r="9" spans="1:11" x14ac:dyDescent="0.25">
      <c r="A9" s="8" t="s">
        <v>114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 t="s">
        <v>149</v>
      </c>
      <c r="J9" s="87"/>
      <c r="K9" s="87"/>
    </row>
    <row r="10" spans="1:11" x14ac:dyDescent="0.25">
      <c r="A10" s="8" t="s">
        <v>115</v>
      </c>
      <c r="B10" s="87"/>
      <c r="C10" s="87" t="s">
        <v>149</v>
      </c>
      <c r="D10" s="87"/>
      <c r="E10" s="87"/>
      <c r="F10" s="87"/>
      <c r="G10" s="87"/>
      <c r="H10" s="87" t="s">
        <v>149</v>
      </c>
      <c r="I10" s="87" t="s">
        <v>149</v>
      </c>
      <c r="J10" s="87"/>
      <c r="K10" s="87"/>
    </row>
    <row r="11" spans="1:11" x14ac:dyDescent="0.25">
      <c r="A11" s="8" t="s">
        <v>58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 t="s">
        <v>149</v>
      </c>
      <c r="K11" s="87" t="s">
        <v>149</v>
      </c>
    </row>
    <row r="12" spans="1:11" x14ac:dyDescent="0.25">
      <c r="A12" s="8" t="s">
        <v>59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 t="s">
        <v>149</v>
      </c>
    </row>
    <row r="13" spans="1:11" x14ac:dyDescent="0.25">
      <c r="A13" s="8" t="s">
        <v>60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 t="s">
        <v>149</v>
      </c>
    </row>
    <row r="14" spans="1:11" x14ac:dyDescent="0.25">
      <c r="A14" s="8" t="s">
        <v>61</v>
      </c>
      <c r="B14" s="87"/>
      <c r="C14" s="87" t="s">
        <v>149</v>
      </c>
      <c r="D14" s="87"/>
      <c r="E14" s="87"/>
      <c r="F14" s="87"/>
      <c r="G14" s="87"/>
      <c r="H14" s="87"/>
      <c r="I14" s="87"/>
      <c r="J14" s="87"/>
      <c r="K14" s="87" t="s">
        <v>149</v>
      </c>
    </row>
  </sheetData>
  <sheetProtection algorithmName="SHA-512" hashValue="9wIG9Gim71KVsT3md4UjHKWLN/dmVTAHDAhRa4jGvwy4VGKHj7mGyWZMKQgGvDCmZmlmSsHFRHQVC+GKpvnATg==" saltValue="lgc1Xvk31gXE9M1YSAdFWQ==" spinCount="100000" sheet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D5" sqref="D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144</v>
      </c>
      <c r="C1" s="4" t="s">
        <v>159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customHeight="1" x14ac:dyDescent="0.3">
      <c r="A2" s="4" t="s">
        <v>232</v>
      </c>
      <c r="B2" s="103" t="s">
        <v>90</v>
      </c>
      <c r="C2" s="8" t="s">
        <v>145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146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147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67</v>
      </c>
      <c r="C5" s="8" t="s">
        <v>145</v>
      </c>
      <c r="D5" s="88">
        <v>1.56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146</v>
      </c>
      <c r="D6" s="88">
        <v>1.56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147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77</v>
      </c>
      <c r="C8" s="8" t="s">
        <v>145</v>
      </c>
      <c r="D8" s="88">
        <v>1</v>
      </c>
      <c r="E8" s="88">
        <v>1.56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146</v>
      </c>
      <c r="D9" s="88">
        <v>1</v>
      </c>
      <c r="E9" s="88">
        <v>1.56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147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78</v>
      </c>
      <c r="C11" s="8" t="s">
        <v>145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146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147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79</v>
      </c>
      <c r="C14" s="8" t="s">
        <v>145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146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147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150</v>
      </c>
      <c r="C17" s="8" t="s">
        <v>147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90</v>
      </c>
      <c r="C19" s="8" t="s">
        <v>145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146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147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67</v>
      </c>
      <c r="C22" s="8" t="s">
        <v>145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146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147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77</v>
      </c>
      <c r="C25" s="8" t="s">
        <v>145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146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147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78</v>
      </c>
      <c r="C28" s="8" t="s">
        <v>145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146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147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79</v>
      </c>
      <c r="C31" s="8" t="s">
        <v>145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146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147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150</v>
      </c>
      <c r="C34" s="8" t="s">
        <v>147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90</v>
      </c>
      <c r="C36" s="8" t="s">
        <v>145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146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147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67</v>
      </c>
      <c r="C39" s="8" t="s">
        <v>145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146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147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77</v>
      </c>
      <c r="C42" s="8" t="s">
        <v>145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146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147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78</v>
      </c>
      <c r="C45" s="8" t="s">
        <v>145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146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147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79</v>
      </c>
      <c r="C48" s="8" t="s">
        <v>145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146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147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150</v>
      </c>
      <c r="C51" s="8" t="s">
        <v>147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144</v>
      </c>
      <c r="C54" s="4" t="s">
        <v>159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customHeight="1" x14ac:dyDescent="0.3">
      <c r="A55" s="4" t="s">
        <v>236</v>
      </c>
      <c r="B55" s="103" t="s">
        <v>90</v>
      </c>
      <c r="C55" s="8" t="s">
        <v>145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146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147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67</v>
      </c>
      <c r="C58" s="8" t="s">
        <v>145</v>
      </c>
      <c r="D58" s="88">
        <v>1.37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146</v>
      </c>
      <c r="D59" s="88">
        <v>1.37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147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77</v>
      </c>
      <c r="C61" s="8" t="s">
        <v>145</v>
      </c>
      <c r="D61" s="88">
        <f t="shared" si="2"/>
        <v>1</v>
      </c>
      <c r="E61" s="88">
        <v>1.37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146</v>
      </c>
      <c r="D62" s="88">
        <f t="shared" si="2"/>
        <v>1</v>
      </c>
      <c r="E62" s="88">
        <v>1.37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147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78</v>
      </c>
      <c r="C64" s="8" t="s">
        <v>145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146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147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79</v>
      </c>
      <c r="C67" s="8" t="s">
        <v>145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146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147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150</v>
      </c>
      <c r="C70" s="8" t="s">
        <v>147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90</v>
      </c>
      <c r="C72" s="8" t="s">
        <v>145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146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147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67</v>
      </c>
      <c r="C75" s="8" t="s">
        <v>145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146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147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77</v>
      </c>
      <c r="C78" s="8" t="s">
        <v>145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146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147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78</v>
      </c>
      <c r="C81" s="8" t="s">
        <v>145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146</v>
      </c>
      <c r="D82" s="88">
        <f t="shared" ref="D82:H91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147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79</v>
      </c>
      <c r="C84" s="8" t="s">
        <v>145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146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147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150</v>
      </c>
      <c r="C87" s="8" t="s">
        <v>147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90</v>
      </c>
      <c r="C89" s="8" t="s">
        <v>145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146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147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67</v>
      </c>
      <c r="C92" s="8" t="s">
        <v>145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146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147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77</v>
      </c>
      <c r="C95" s="8" t="s">
        <v>145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146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147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78</v>
      </c>
      <c r="C98" s="8" t="s">
        <v>145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146</v>
      </c>
      <c r="D99" s="88">
        <f t="shared" ref="D99:H108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147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79</v>
      </c>
      <c r="C101" s="8" t="s">
        <v>145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146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147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150</v>
      </c>
      <c r="C104" s="8" t="s">
        <v>147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144</v>
      </c>
      <c r="C107" s="4" t="s">
        <v>159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customHeight="1" x14ac:dyDescent="0.3">
      <c r="A108" s="4" t="s">
        <v>240</v>
      </c>
      <c r="B108" s="103" t="s">
        <v>90</v>
      </c>
      <c r="C108" s="8" t="s">
        <v>145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146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147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67</v>
      </c>
      <c r="C111" s="8" t="s">
        <v>145</v>
      </c>
      <c r="D111" s="88">
        <v>1.77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146</v>
      </c>
      <c r="D112" s="88">
        <v>1.77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147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77</v>
      </c>
      <c r="C114" s="8" t="s">
        <v>145</v>
      </c>
      <c r="D114" s="88">
        <f t="shared" si="12"/>
        <v>1</v>
      </c>
      <c r="E114" s="88">
        <v>1.77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146</v>
      </c>
      <c r="D115" s="88">
        <f t="shared" si="12"/>
        <v>1</v>
      </c>
      <c r="E115" s="88">
        <v>1.77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147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78</v>
      </c>
      <c r="C117" s="8" t="s">
        <v>145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146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147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79</v>
      </c>
      <c r="C120" s="8" t="s">
        <v>145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146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147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150</v>
      </c>
      <c r="C123" s="8" t="s">
        <v>147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90</v>
      </c>
      <c r="C125" s="8" t="s">
        <v>145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146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147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67</v>
      </c>
      <c r="C128" s="8" t="s">
        <v>145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146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147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77</v>
      </c>
      <c r="C131" s="8" t="s">
        <v>145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146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147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78</v>
      </c>
      <c r="C134" s="8" t="s">
        <v>145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146</v>
      </c>
      <c r="D135" s="88">
        <f t="shared" ref="D135:H144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147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79</v>
      </c>
      <c r="C137" s="8" t="s">
        <v>145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146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147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150</v>
      </c>
      <c r="C140" s="8" t="s">
        <v>147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90</v>
      </c>
      <c r="C142" s="8" t="s">
        <v>145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146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147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67</v>
      </c>
      <c r="C145" s="8" t="s">
        <v>145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146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147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77</v>
      </c>
      <c r="C148" s="8" t="s">
        <v>145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146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147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78</v>
      </c>
      <c r="C151" s="8" t="s">
        <v>145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146</v>
      </c>
      <c r="D152" s="88">
        <f t="shared" ref="D152:H161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147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79</v>
      </c>
      <c r="C154" s="8" t="s">
        <v>145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146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147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150</v>
      </c>
      <c r="C157" s="8" t="s">
        <v>147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riIqDHxQDNIc95k8WEEMlpv2yK5yRhEl3GZr9d21PG7QnhNwxgtjaWmZN+9widROwyhXiwQ4XZiTM/cZ2Cl95g==" saltValue="b1Xx0XPjIcbtdUQJGdoNkQ==" spinCount="100000" sheet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31" zoomScale="85" zoomScaleNormal="85" workbookViewId="0">
      <selection activeCell="D5" sqref="D5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245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246</v>
      </c>
      <c r="C11" s="74"/>
      <c r="D11" s="75"/>
      <c r="E11" s="75"/>
      <c r="F11" s="75"/>
    </row>
    <row r="12" spans="1:6" ht="15.75" customHeight="1" x14ac:dyDescent="0.3">
      <c r="A12" s="4" t="s">
        <v>247</v>
      </c>
      <c r="C12" s="73"/>
      <c r="D12" s="64"/>
      <c r="E12" s="64"/>
      <c r="F12" s="64"/>
    </row>
    <row r="13" spans="1:6" ht="15.75" customHeight="1" x14ac:dyDescent="0.25">
      <c r="B13" s="11" t="s">
        <v>248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249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251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246</v>
      </c>
      <c r="B38" s="68"/>
      <c r="C38" s="74"/>
      <c r="D38" s="75"/>
      <c r="E38" s="75"/>
      <c r="F38" s="75"/>
    </row>
    <row r="39" spans="1:6" ht="15.75" customHeight="1" x14ac:dyDescent="0.3">
      <c r="A39" s="4" t="s">
        <v>252</v>
      </c>
      <c r="C39" s="73"/>
      <c r="D39" s="64"/>
      <c r="E39" s="64"/>
      <c r="F39" s="64"/>
    </row>
    <row r="40" spans="1:6" ht="15.75" customHeight="1" x14ac:dyDescent="0.25">
      <c r="B40" s="11" t="s">
        <v>253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254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255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256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258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246</v>
      </c>
      <c r="B65" s="68"/>
      <c r="C65" s="74"/>
      <c r="D65" s="75"/>
      <c r="E65" s="75"/>
      <c r="F65" s="75"/>
    </row>
    <row r="66" spans="1:6" ht="15.75" customHeight="1" x14ac:dyDescent="0.3">
      <c r="A66" s="4" t="s">
        <v>259</v>
      </c>
      <c r="C66" s="73"/>
      <c r="D66" s="64"/>
      <c r="E66" s="64"/>
      <c r="F66" s="64"/>
    </row>
    <row r="67" spans="1:6" ht="15.75" customHeight="1" x14ac:dyDescent="0.25">
      <c r="B67" s="11" t="s">
        <v>260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263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OEa5xq8Dht0iRzVx1fQ1EOJdDm09uSIzQRujIfp/VJ8GNGNECqE8Uut2U6j1omy5Y9ajcKxMUHwzsTWrCb+nAw==" saltValue="Poj67khbkyqhF7WVYd6Cs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topLeftCell="A54" zoomScaleNormal="100" workbookViewId="0">
      <selection activeCell="D5" sqref="D5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225</v>
      </c>
      <c r="B2" s="1" t="s">
        <v>265</v>
      </c>
      <c r="C2" s="1" t="s">
        <v>266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81</v>
      </c>
      <c r="C3" s="3" t="s">
        <v>267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271</v>
      </c>
    </row>
    <row r="29" spans="1:16" ht="13" customHeight="1" x14ac:dyDescent="0.3">
      <c r="A29" s="39" t="s">
        <v>272</v>
      </c>
      <c r="B29" s="4" t="s">
        <v>265</v>
      </c>
      <c r="C29" s="4" t="s">
        <v>273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81</v>
      </c>
      <c r="C30" s="3" t="s">
        <v>267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204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205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204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205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204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205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204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205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204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205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204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205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274</v>
      </c>
    </row>
    <row r="56" spans="1:16" ht="26" customHeight="1" x14ac:dyDescent="0.3">
      <c r="A56" s="39" t="s">
        <v>111</v>
      </c>
      <c r="B56" s="4" t="s">
        <v>265</v>
      </c>
      <c r="C56" s="69" t="s">
        <v>275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91</v>
      </c>
      <c r="C57" s="3" t="s">
        <v>276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277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276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277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276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277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278</v>
      </c>
    </row>
    <row r="65" spans="1:16" ht="26" customHeight="1" x14ac:dyDescent="0.3">
      <c r="A65" s="39" t="s">
        <v>118</v>
      </c>
      <c r="B65" s="4" t="s">
        <v>265</v>
      </c>
      <c r="C65" s="69" t="s">
        <v>279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68</v>
      </c>
      <c r="C66" s="3" t="s">
        <v>119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81</v>
      </c>
      <c r="B104" s="82" t="s">
        <v>122</v>
      </c>
      <c r="C104" s="69" t="s">
        <v>279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225</v>
      </c>
      <c r="B112" s="1" t="s">
        <v>265</v>
      </c>
      <c r="C112" s="1" t="s">
        <v>266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customHeight="1" x14ac:dyDescent="0.3">
      <c r="A113" s="4"/>
      <c r="B113" s="8" t="s">
        <v>81</v>
      </c>
      <c r="C113" s="3" t="s">
        <v>267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267</v>
      </c>
      <c r="D133" s="91">
        <f t="shared" ref="D133:H142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271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272</v>
      </c>
      <c r="B139" s="4" t="s">
        <v>265</v>
      </c>
      <c r="C139" s="4" t="s">
        <v>273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customHeight="1" x14ac:dyDescent="0.3">
      <c r="A140" s="4"/>
      <c r="B140" s="8" t="s">
        <v>81</v>
      </c>
      <c r="C140" s="3" t="s">
        <v>267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204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205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204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205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204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205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204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205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204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205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267</v>
      </c>
      <c r="D160" s="91">
        <f t="shared" ref="D160:H169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204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205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274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111</v>
      </c>
      <c r="B166" s="4" t="s">
        <v>265</v>
      </c>
      <c r="C166" s="69" t="s">
        <v>275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customHeight="1" x14ac:dyDescent="0.3">
      <c r="A167" s="4"/>
      <c r="B167" s="8" t="s">
        <v>91</v>
      </c>
      <c r="C167" s="3" t="s">
        <v>276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277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276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277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276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277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278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118</v>
      </c>
      <c r="B175" s="4" t="s">
        <v>265</v>
      </c>
      <c r="C175" s="69" t="s">
        <v>279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customHeight="1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5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81</v>
      </c>
      <c r="B214" s="82" t="s">
        <v>122</v>
      </c>
      <c r="C214" s="69" t="s">
        <v>279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customHeight="1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225</v>
      </c>
      <c r="B222" s="1" t="s">
        <v>265</v>
      </c>
      <c r="C222" s="1" t="s">
        <v>266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customHeight="1" x14ac:dyDescent="0.3">
      <c r="A223" s="4"/>
      <c r="B223" s="8" t="s">
        <v>81</v>
      </c>
      <c r="C223" s="3" t="s">
        <v>267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267</v>
      </c>
      <c r="D243" s="91">
        <f t="shared" ref="D243:H252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272</v>
      </c>
      <c r="B249" s="4" t="s">
        <v>265</v>
      </c>
      <c r="C249" s="4" t="s">
        <v>273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customHeight="1" x14ac:dyDescent="0.3">
      <c r="A250" s="4"/>
      <c r="B250" s="8" t="s">
        <v>81</v>
      </c>
      <c r="C250" s="3" t="s">
        <v>267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204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205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204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205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204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205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204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205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204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205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267</v>
      </c>
      <c r="D270" s="91">
        <f t="shared" ref="D270:H279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204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205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274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111</v>
      </c>
      <c r="B276" s="4" t="s">
        <v>265</v>
      </c>
      <c r="C276" s="69" t="s">
        <v>275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customHeight="1" x14ac:dyDescent="0.3">
      <c r="A277" s="4"/>
      <c r="B277" s="8" t="s">
        <v>91</v>
      </c>
      <c r="C277" s="3" t="s">
        <v>276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277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276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277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276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277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278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118</v>
      </c>
      <c r="B285" s="4" t="s">
        <v>265</v>
      </c>
      <c r="C285" s="69" t="s">
        <v>279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customHeight="1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5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81</v>
      </c>
      <c r="B324" s="82" t="s">
        <v>122</v>
      </c>
      <c r="C324" s="69" t="s">
        <v>279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customHeight="1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rzjjr+eUY+zLxtgvRuigrXBCYk8ZjZeKkvy/Wu7lqFGhk7GKsrVngS9i2Jt2gxX9Fn0pC2b9tyB7+BxRGGivEA==" saltValue="vsQDJsypwJz22iUc18xJ6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topLeftCell="A6"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281</v>
      </c>
    </row>
    <row r="2" spans="1:7" ht="14.25" customHeight="1" x14ac:dyDescent="0.3">
      <c r="A2" s="82" t="s">
        <v>203</v>
      </c>
      <c r="B2" s="1"/>
      <c r="C2" s="4" t="s">
        <v>67</v>
      </c>
      <c r="D2" s="4" t="s">
        <v>77</v>
      </c>
      <c r="E2" s="4" t="s">
        <v>78</v>
      </c>
      <c r="F2" s="4" t="s">
        <v>79</v>
      </c>
      <c r="G2" s="4" t="s">
        <v>80</v>
      </c>
    </row>
    <row r="3" spans="1:7" ht="14.25" customHeight="1" x14ac:dyDescent="0.25">
      <c r="B3" s="11" t="s">
        <v>282</v>
      </c>
      <c r="C3" s="90" t="s">
        <v>283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284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285</v>
      </c>
    </row>
    <row r="6" spans="1:7" ht="14.25" customHeight="1" x14ac:dyDescent="0.25">
      <c r="B6" s="5" t="s">
        <v>191</v>
      </c>
      <c r="C6" s="90">
        <v>1</v>
      </c>
      <c r="D6" s="90">
        <v>1</v>
      </c>
      <c r="E6" s="90">
        <v>0.64</v>
      </c>
      <c r="F6" s="90">
        <v>0.64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192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183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287</v>
      </c>
    </row>
    <row r="15" spans="1:7" ht="14.25" customHeight="1" x14ac:dyDescent="0.3">
      <c r="A15" s="82" t="s">
        <v>272</v>
      </c>
      <c r="B15" s="5" t="s">
        <v>288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289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111</v>
      </c>
      <c r="B17" s="11" t="s">
        <v>290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291</v>
      </c>
    </row>
    <row r="20" spans="1:7" s="14" customFormat="1" ht="14.25" customHeight="1" x14ac:dyDescent="0.3">
      <c r="C20" s="4" t="s">
        <v>58</v>
      </c>
      <c r="D20" s="4" t="s">
        <v>59</v>
      </c>
      <c r="E20" s="4" t="s">
        <v>60</v>
      </c>
      <c r="F20" s="4" t="s">
        <v>61</v>
      </c>
    </row>
    <row r="21" spans="1:7" x14ac:dyDescent="0.25">
      <c r="B21" s="11" t="s">
        <v>171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281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203</v>
      </c>
      <c r="B25" s="1"/>
      <c r="C25" s="4" t="s">
        <v>67</v>
      </c>
      <c r="D25" s="4" t="s">
        <v>77</v>
      </c>
      <c r="E25" s="4" t="s">
        <v>78</v>
      </c>
      <c r="F25" s="4" t="s">
        <v>79</v>
      </c>
      <c r="G25" s="4" t="s">
        <v>80</v>
      </c>
    </row>
    <row r="26" spans="1:7" x14ac:dyDescent="0.25">
      <c r="B26" s="11" t="s">
        <v>292</v>
      </c>
      <c r="C26" s="90" t="s">
        <v>283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293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294</v>
      </c>
    </row>
    <row r="29" spans="1:7" x14ac:dyDescent="0.25">
      <c r="B29" s="5" t="s">
        <v>295</v>
      </c>
      <c r="C29" s="90">
        <f t="shared" ref="C29:D32" si="0">IF(C6=1,1,C6*0.9)</f>
        <v>1</v>
      </c>
      <c r="D29" s="90">
        <f t="shared" si="0"/>
        <v>1</v>
      </c>
      <c r="E29" s="90">
        <v>0.44</v>
      </c>
      <c r="F29" s="90">
        <v>0.44</v>
      </c>
      <c r="G29" s="90">
        <f>IF(G6=1,1,G6*0.9)</f>
        <v>1</v>
      </c>
    </row>
    <row r="30" spans="1:7" x14ac:dyDescent="0.25">
      <c r="B30" s="5" t="s">
        <v>296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297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298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299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300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287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272</v>
      </c>
      <c r="B38" s="5" t="s">
        <v>301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302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111</v>
      </c>
      <c r="B40" s="11" t="s">
        <v>303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304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58</v>
      </c>
      <c r="D43" s="4" t="s">
        <v>59</v>
      </c>
      <c r="E43" s="4" t="s">
        <v>60</v>
      </c>
      <c r="F43" s="4" t="s">
        <v>61</v>
      </c>
      <c r="G43" s="14"/>
    </row>
    <row r="44" spans="1:7" x14ac:dyDescent="0.25">
      <c r="B44" s="11" t="s">
        <v>305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281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203</v>
      </c>
      <c r="B48" s="1"/>
      <c r="C48" s="4" t="s">
        <v>67</v>
      </c>
      <c r="D48" s="4" t="s">
        <v>77</v>
      </c>
      <c r="E48" s="4" t="s">
        <v>78</v>
      </c>
      <c r="F48" s="4" t="s">
        <v>79</v>
      </c>
      <c r="G48" s="4" t="s">
        <v>80</v>
      </c>
    </row>
    <row r="49" spans="1:7" x14ac:dyDescent="0.25">
      <c r="B49" s="11" t="s">
        <v>306</v>
      </c>
      <c r="C49" s="90" t="s">
        <v>283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307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308</v>
      </c>
    </row>
    <row r="52" spans="1:7" x14ac:dyDescent="0.25">
      <c r="B52" s="5" t="s">
        <v>309</v>
      </c>
      <c r="C52" s="90">
        <f t="shared" ref="C52:D55" si="3">IF(C6=1,1,C6*1.1)</f>
        <v>1</v>
      </c>
      <c r="D52" s="90">
        <f t="shared" si="3"/>
        <v>1</v>
      </c>
      <c r="E52" s="90">
        <v>0.92</v>
      </c>
      <c r="F52" s="90">
        <v>0.92</v>
      </c>
      <c r="G52" s="90">
        <f>IF(G6=1,1,G6*1.1)</f>
        <v>1</v>
      </c>
    </row>
    <row r="53" spans="1:7" x14ac:dyDescent="0.25">
      <c r="B53" s="5" t="s">
        <v>310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311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312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313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314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287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272</v>
      </c>
      <c r="B61" s="5" t="s">
        <v>315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316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111</v>
      </c>
      <c r="B63" s="11" t="s">
        <v>317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318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58</v>
      </c>
      <c r="D66" s="4" t="s">
        <v>59</v>
      </c>
      <c r="E66" s="4" t="s">
        <v>60</v>
      </c>
      <c r="F66" s="4" t="s">
        <v>61</v>
      </c>
      <c r="G66" s="14"/>
    </row>
    <row r="67" spans="1:7" x14ac:dyDescent="0.25">
      <c r="B67" s="11" t="s">
        <v>319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uxH3qxfpHv3MxEVFpMF959vuuHVMbjUY0YDJlIXIgHOAA25UaRTm/IIjRx7RzEUfWaTP3eP7cZpYIm+m6J8PbA==" saltValue="wm1A0TwV/0DyOIoqtNvf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topLeftCell="A10" zoomScale="70" zoomScaleNormal="70" workbookViewId="0">
      <selection activeCell="D5" sqref="D5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156</v>
      </c>
      <c r="B1" s="4"/>
      <c r="C1" s="4" t="s">
        <v>40</v>
      </c>
      <c r="D1" s="4" t="s">
        <v>42</v>
      </c>
      <c r="E1" s="4" t="s">
        <v>41</v>
      </c>
      <c r="F1" s="1" t="s">
        <v>43</v>
      </c>
    </row>
    <row r="2" spans="1:6" ht="15.75" customHeight="1" x14ac:dyDescent="0.25">
      <c r="A2" s="5" t="s">
        <v>166</v>
      </c>
      <c r="B2" s="5" t="s">
        <v>320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179</v>
      </c>
      <c r="B4" s="5" t="s">
        <v>320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180</v>
      </c>
      <c r="B6" s="5" t="s">
        <v>320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181</v>
      </c>
      <c r="B8" s="5" t="s">
        <v>320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320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189</v>
      </c>
      <c r="B12" s="5" t="s">
        <v>320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156</v>
      </c>
      <c r="B16" s="4"/>
      <c r="C16" s="4" t="s">
        <v>40</v>
      </c>
      <c r="D16" s="4" t="s">
        <v>42</v>
      </c>
      <c r="E16" s="4" t="s">
        <v>41</v>
      </c>
      <c r="F16" s="1" t="s">
        <v>43</v>
      </c>
    </row>
    <row r="17" spans="1:6" ht="15.75" customHeight="1" x14ac:dyDescent="0.25">
      <c r="A17" s="5" t="s">
        <v>166</v>
      </c>
      <c r="B17" s="5" t="s">
        <v>320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179</v>
      </c>
      <c r="B19" s="5" t="s">
        <v>320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180</v>
      </c>
      <c r="B21" s="5" t="s">
        <v>320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181</v>
      </c>
      <c r="B23" s="5" t="s">
        <v>320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320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189</v>
      </c>
      <c r="B27" s="5" t="s">
        <v>320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156</v>
      </c>
      <c r="B31" s="4"/>
      <c r="C31" s="4" t="s">
        <v>40</v>
      </c>
      <c r="D31" s="4" t="s">
        <v>42</v>
      </c>
      <c r="E31" s="4" t="s">
        <v>41</v>
      </c>
      <c r="F31" s="1" t="s">
        <v>43</v>
      </c>
    </row>
    <row r="32" spans="1:6" ht="15.75" customHeight="1" x14ac:dyDescent="0.25">
      <c r="A32" s="5" t="s">
        <v>166</v>
      </c>
      <c r="B32" s="5" t="s">
        <v>320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179</v>
      </c>
      <c r="B34" s="5" t="s">
        <v>320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180</v>
      </c>
      <c r="B36" s="5" t="s">
        <v>320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181</v>
      </c>
      <c r="B38" s="5" t="s">
        <v>320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320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189</v>
      </c>
      <c r="B42" s="5" t="s">
        <v>320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lEvf/7Nn9p0s2t120JFgJzNA1BIMAO9h8EmTziKGX5ZA7K3Y+rQ77oXfzNqKwsdbYQwCY96ujjsdxuDmqt1luA==" saltValue="pZcegXbvW/wKpwHEQP8pc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D5" sqref="D5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customHeight="1" x14ac:dyDescent="0.3">
      <c r="A2" s="4" t="s">
        <v>322</v>
      </c>
    </row>
    <row r="3" spans="1:15" x14ac:dyDescent="0.25">
      <c r="B3" s="11" t="s">
        <v>170</v>
      </c>
      <c r="C3" s="90">
        <v>0.53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v>0.51</v>
      </c>
      <c r="M14" s="90">
        <v>0.51</v>
      </c>
      <c r="N14" s="90">
        <v>0.51</v>
      </c>
      <c r="O14" s="90">
        <v>0.51</v>
      </c>
    </row>
    <row r="15" spans="1:15" x14ac:dyDescent="0.25">
      <c r="B15" s="5" t="s">
        <v>192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172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173</v>
      </c>
      <c r="C19" s="90">
        <v>1</v>
      </c>
      <c r="D19" s="90">
        <v>1</v>
      </c>
      <c r="E19" s="90">
        <f t="shared" ref="E19:O19" si="0">0.72</f>
        <v>0.72</v>
      </c>
      <c r="F19" s="90">
        <f t="shared" si="0"/>
        <v>0.72</v>
      </c>
      <c r="G19" s="90">
        <f t="shared" si="0"/>
        <v>0.72</v>
      </c>
      <c r="H19" s="90">
        <f t="shared" si="0"/>
        <v>0.72</v>
      </c>
      <c r="I19" s="90">
        <f t="shared" si="0"/>
        <v>0.72</v>
      </c>
      <c r="J19" s="90">
        <f t="shared" si="0"/>
        <v>0.72</v>
      </c>
      <c r="K19" s="90">
        <f t="shared" si="0"/>
        <v>0.72</v>
      </c>
      <c r="L19" s="90">
        <f t="shared" si="0"/>
        <v>0.72</v>
      </c>
      <c r="M19" s="90">
        <f t="shared" si="0"/>
        <v>0.72</v>
      </c>
      <c r="N19" s="90">
        <f t="shared" si="0"/>
        <v>0.72</v>
      </c>
      <c r="O19" s="90">
        <f t="shared" si="0"/>
        <v>0.72</v>
      </c>
    </row>
    <row r="20" spans="1:15" x14ac:dyDescent="0.25">
      <c r="B20" s="5" t="s">
        <v>174</v>
      </c>
      <c r="C20" s="90">
        <v>1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90">
        <v>1</v>
      </c>
      <c r="J20" s="90">
        <v>1</v>
      </c>
      <c r="K20" s="90">
        <v>1</v>
      </c>
      <c r="L20" s="90">
        <v>1</v>
      </c>
      <c r="M20" s="90">
        <v>1</v>
      </c>
      <c r="N20" s="90">
        <v>1</v>
      </c>
      <c r="O20" s="90">
        <v>1</v>
      </c>
    </row>
    <row r="21" spans="1:15" x14ac:dyDescent="0.25">
      <c r="B21" s="5" t="s">
        <v>182</v>
      </c>
      <c r="C21" s="90">
        <v>1</v>
      </c>
      <c r="D21" s="90">
        <v>1</v>
      </c>
      <c r="E21" s="90">
        <v>0.8</v>
      </c>
      <c r="F21" s="90">
        <v>0.8</v>
      </c>
      <c r="G21" s="90">
        <v>0.8</v>
      </c>
      <c r="H21" s="90">
        <v>0.8</v>
      </c>
      <c r="I21" s="90">
        <v>0.8</v>
      </c>
      <c r="J21" s="90">
        <v>0.8</v>
      </c>
      <c r="K21" s="90">
        <v>0.8</v>
      </c>
      <c r="L21" s="90">
        <v>0.8</v>
      </c>
      <c r="M21" s="90">
        <v>0.8</v>
      </c>
      <c r="N21" s="90">
        <v>0.8</v>
      </c>
      <c r="O21" s="90">
        <v>0.8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customHeight="1" x14ac:dyDescent="0.3">
      <c r="A25" s="4" t="s">
        <v>324</v>
      </c>
    </row>
    <row r="26" spans="1:15" x14ac:dyDescent="0.25">
      <c r="B26" s="11" t="s">
        <v>170</v>
      </c>
      <c r="C26" s="90">
        <v>0.4</v>
      </c>
      <c r="D26" s="90">
        <v>0.4</v>
      </c>
      <c r="E26" s="90">
        <f t="shared" ref="E26:O26" si="1">IF(E3=1,1,E3*0.9)</f>
        <v>1</v>
      </c>
      <c r="F26" s="90">
        <f t="shared" si="1"/>
        <v>1</v>
      </c>
      <c r="G26" s="90">
        <f t="shared" si="1"/>
        <v>1</v>
      </c>
      <c r="H26" s="90">
        <f t="shared" si="1"/>
        <v>1</v>
      </c>
      <c r="I26" s="90">
        <f t="shared" si="1"/>
        <v>1</v>
      </c>
      <c r="J26" s="90">
        <f t="shared" si="1"/>
        <v>1</v>
      </c>
      <c r="K26" s="90">
        <f t="shared" si="1"/>
        <v>1</v>
      </c>
      <c r="L26" s="90">
        <f t="shared" si="1"/>
        <v>1</v>
      </c>
      <c r="M26" s="90">
        <f t="shared" si="1"/>
        <v>1</v>
      </c>
      <c r="N26" s="90">
        <f t="shared" si="1"/>
        <v>1</v>
      </c>
      <c r="O26" s="90">
        <f t="shared" si="1"/>
        <v>1</v>
      </c>
    </row>
    <row r="27" spans="1:15" x14ac:dyDescent="0.25">
      <c r="B27" s="11" t="s">
        <v>175</v>
      </c>
      <c r="C27" s="90">
        <f t="shared" ref="C27:G33" si="2">IF(C4=1,1,C4*0.9)</f>
        <v>1</v>
      </c>
      <c r="D27" s="90">
        <f t="shared" si="2"/>
        <v>1</v>
      </c>
      <c r="E27" s="90">
        <f t="shared" si="2"/>
        <v>1</v>
      </c>
      <c r="F27" s="90">
        <f t="shared" si="2"/>
        <v>1</v>
      </c>
      <c r="G27" s="90">
        <f t="shared" si="2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3">IF(L4=1,1,L4*0.9)</f>
        <v>1</v>
      </c>
      <c r="M27" s="90">
        <f t="shared" si="3"/>
        <v>1</v>
      </c>
      <c r="N27" s="90">
        <f t="shared" si="3"/>
        <v>1</v>
      </c>
      <c r="O27" s="90">
        <f t="shared" si="3"/>
        <v>1</v>
      </c>
    </row>
    <row r="28" spans="1:15" x14ac:dyDescent="0.25">
      <c r="B28" s="11" t="s">
        <v>176</v>
      </c>
      <c r="C28" s="90">
        <f t="shared" si="2"/>
        <v>1</v>
      </c>
      <c r="D28" s="90">
        <f t="shared" si="2"/>
        <v>1</v>
      </c>
      <c r="E28" s="90">
        <f t="shared" si="2"/>
        <v>1</v>
      </c>
      <c r="F28" s="90">
        <f t="shared" si="2"/>
        <v>1</v>
      </c>
      <c r="G28" s="90">
        <f t="shared" si="2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3"/>
        <v>1</v>
      </c>
      <c r="M28" s="90">
        <f t="shared" si="3"/>
        <v>1</v>
      </c>
      <c r="N28" s="90">
        <f t="shared" si="3"/>
        <v>1</v>
      </c>
      <c r="O28" s="90">
        <f t="shared" si="3"/>
        <v>1</v>
      </c>
    </row>
    <row r="29" spans="1:15" x14ac:dyDescent="0.25">
      <c r="B29" s="11" t="s">
        <v>177</v>
      </c>
      <c r="C29" s="90">
        <f t="shared" si="2"/>
        <v>1</v>
      </c>
      <c r="D29" s="90">
        <f t="shared" si="2"/>
        <v>1</v>
      </c>
      <c r="E29" s="90">
        <f t="shared" si="2"/>
        <v>1</v>
      </c>
      <c r="F29" s="90">
        <f t="shared" si="2"/>
        <v>1</v>
      </c>
      <c r="G29" s="90">
        <f t="shared" si="2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3"/>
        <v>1</v>
      </c>
      <c r="M29" s="90">
        <f t="shared" si="3"/>
        <v>1</v>
      </c>
      <c r="N29" s="90">
        <f t="shared" si="3"/>
        <v>1</v>
      </c>
      <c r="O29" s="90">
        <f t="shared" si="3"/>
        <v>1</v>
      </c>
    </row>
    <row r="30" spans="1:15" x14ac:dyDescent="0.25">
      <c r="B30" s="11" t="s">
        <v>178</v>
      </c>
      <c r="C30" s="90">
        <f t="shared" si="2"/>
        <v>1</v>
      </c>
      <c r="D30" s="90">
        <f t="shared" si="2"/>
        <v>1</v>
      </c>
      <c r="E30" s="90">
        <f t="shared" si="2"/>
        <v>1</v>
      </c>
      <c r="F30" s="90">
        <f t="shared" si="2"/>
        <v>1</v>
      </c>
      <c r="G30" s="90">
        <f t="shared" si="2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3"/>
        <v>1</v>
      </c>
      <c r="M30" s="90">
        <f t="shared" si="3"/>
        <v>1</v>
      </c>
      <c r="N30" s="90">
        <f t="shared" si="3"/>
        <v>1</v>
      </c>
      <c r="O30" s="90">
        <f t="shared" si="3"/>
        <v>1</v>
      </c>
    </row>
    <row r="31" spans="1:15" x14ac:dyDescent="0.25">
      <c r="B31" s="5" t="s">
        <v>179</v>
      </c>
      <c r="C31" s="90">
        <f t="shared" si="2"/>
        <v>1</v>
      </c>
      <c r="D31" s="90">
        <f t="shared" si="2"/>
        <v>1</v>
      </c>
      <c r="E31" s="90">
        <f t="shared" si="2"/>
        <v>1</v>
      </c>
      <c r="F31" s="90">
        <f t="shared" si="2"/>
        <v>1</v>
      </c>
      <c r="G31" s="90">
        <f t="shared" si="2"/>
        <v>1</v>
      </c>
      <c r="H31" s="90">
        <f t="shared" ref="H31:K34" si="4">IF(H8=1,1,H8*0.9)</f>
        <v>1</v>
      </c>
      <c r="I31" s="90">
        <f t="shared" si="4"/>
        <v>1</v>
      </c>
      <c r="J31" s="90">
        <f t="shared" si="4"/>
        <v>1</v>
      </c>
      <c r="K31" s="90">
        <f t="shared" si="4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180</v>
      </c>
      <c r="C32" s="90">
        <f t="shared" si="2"/>
        <v>1</v>
      </c>
      <c r="D32" s="90">
        <f t="shared" si="2"/>
        <v>1</v>
      </c>
      <c r="E32" s="90">
        <f t="shared" si="2"/>
        <v>1</v>
      </c>
      <c r="F32" s="90">
        <f t="shared" si="2"/>
        <v>1</v>
      </c>
      <c r="G32" s="90">
        <f t="shared" si="2"/>
        <v>1</v>
      </c>
      <c r="H32" s="90">
        <f t="shared" si="4"/>
        <v>1</v>
      </c>
      <c r="I32" s="90">
        <f t="shared" si="4"/>
        <v>1</v>
      </c>
      <c r="J32" s="90">
        <f t="shared" si="4"/>
        <v>1</v>
      </c>
      <c r="K32" s="90">
        <f t="shared" si="4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181</v>
      </c>
      <c r="C33" s="90">
        <f t="shared" si="2"/>
        <v>1</v>
      </c>
      <c r="D33" s="90">
        <f t="shared" si="2"/>
        <v>1</v>
      </c>
      <c r="E33" s="90">
        <f t="shared" si="2"/>
        <v>1</v>
      </c>
      <c r="F33" s="90">
        <f t="shared" si="2"/>
        <v>1</v>
      </c>
      <c r="G33" s="90">
        <f t="shared" si="2"/>
        <v>1</v>
      </c>
      <c r="H33" s="90">
        <f t="shared" si="4"/>
        <v>1</v>
      </c>
      <c r="I33" s="90">
        <f t="shared" si="4"/>
        <v>1</v>
      </c>
      <c r="J33" s="90">
        <f t="shared" si="4"/>
        <v>1</v>
      </c>
      <c r="K33" s="90">
        <f t="shared" si="4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4"/>
        <v>1</v>
      </c>
      <c r="I34" s="90">
        <f t="shared" si="4"/>
        <v>1</v>
      </c>
      <c r="J34" s="90">
        <f t="shared" si="4"/>
        <v>1</v>
      </c>
      <c r="K34" s="90">
        <f t="shared" si="4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188</v>
      </c>
      <c r="C36" s="90">
        <f t="shared" ref="C36:D38" si="5">IF(C13=1,1,C13*0.9)</f>
        <v>1</v>
      </c>
      <c r="D36" s="90">
        <f t="shared" si="5"/>
        <v>1</v>
      </c>
      <c r="E36" s="90">
        <v>0.62</v>
      </c>
      <c r="F36" s="90">
        <v>0.62</v>
      </c>
      <c r="G36" s="90">
        <v>0.62</v>
      </c>
      <c r="H36" s="90">
        <f t="shared" ref="H36:O36" si="6">IF(H13=1,1,H13*0.9)</f>
        <v>1</v>
      </c>
      <c r="I36" s="90">
        <f t="shared" si="6"/>
        <v>1</v>
      </c>
      <c r="J36" s="90">
        <f t="shared" si="6"/>
        <v>1</v>
      </c>
      <c r="K36" s="90">
        <f t="shared" si="6"/>
        <v>1</v>
      </c>
      <c r="L36" s="90">
        <f t="shared" si="6"/>
        <v>1</v>
      </c>
      <c r="M36" s="90">
        <f t="shared" si="6"/>
        <v>1</v>
      </c>
      <c r="N36" s="90">
        <f t="shared" si="6"/>
        <v>1</v>
      </c>
      <c r="O36" s="90">
        <f t="shared" si="6"/>
        <v>1</v>
      </c>
    </row>
    <row r="37" spans="1:15" x14ac:dyDescent="0.25">
      <c r="B37" s="11" t="s">
        <v>189</v>
      </c>
      <c r="C37" s="90">
        <f t="shared" si="5"/>
        <v>1</v>
      </c>
      <c r="D37" s="90">
        <f t="shared" si="5"/>
        <v>1</v>
      </c>
      <c r="E37" s="90">
        <f t="shared" ref="E37:K37" si="7">IF(E14=1,1,E14*0.9)</f>
        <v>1</v>
      </c>
      <c r="F37" s="90">
        <f t="shared" si="7"/>
        <v>1</v>
      </c>
      <c r="G37" s="90">
        <f t="shared" si="7"/>
        <v>1</v>
      </c>
      <c r="H37" s="90">
        <f t="shared" si="7"/>
        <v>1</v>
      </c>
      <c r="I37" s="90">
        <f t="shared" si="7"/>
        <v>1</v>
      </c>
      <c r="J37" s="90">
        <f t="shared" si="7"/>
        <v>1</v>
      </c>
      <c r="K37" s="90">
        <f t="shared" si="7"/>
        <v>1</v>
      </c>
      <c r="L37" s="90">
        <f>L32</f>
        <v>0.38</v>
      </c>
      <c r="M37" s="90">
        <f>M32</f>
        <v>0.38</v>
      </c>
      <c r="N37" s="90">
        <f>N32</f>
        <v>0.38</v>
      </c>
      <c r="O37" s="90">
        <f>O32</f>
        <v>0.38</v>
      </c>
    </row>
    <row r="38" spans="1:15" x14ac:dyDescent="0.25">
      <c r="B38" s="5" t="s">
        <v>192</v>
      </c>
      <c r="C38" s="90">
        <f t="shared" si="5"/>
        <v>1</v>
      </c>
      <c r="D38" s="90">
        <f t="shared" si="5"/>
        <v>1</v>
      </c>
      <c r="E38" s="90">
        <v>0.3</v>
      </c>
      <c r="F38" s="90">
        <v>0.3</v>
      </c>
      <c r="G38" s="90">
        <f t="shared" ref="G38:O38" si="8">IF(G15=1,1,G15*0.9)</f>
        <v>1</v>
      </c>
      <c r="H38" s="90">
        <f t="shared" si="8"/>
        <v>1</v>
      </c>
      <c r="I38" s="90">
        <f t="shared" si="8"/>
        <v>1</v>
      </c>
      <c r="J38" s="90">
        <f t="shared" si="8"/>
        <v>1</v>
      </c>
      <c r="K38" s="90">
        <f t="shared" si="8"/>
        <v>1</v>
      </c>
      <c r="L38" s="90">
        <f t="shared" si="8"/>
        <v>1</v>
      </c>
      <c r="M38" s="90">
        <f t="shared" si="8"/>
        <v>1</v>
      </c>
      <c r="N38" s="90">
        <f t="shared" si="8"/>
        <v>1</v>
      </c>
      <c r="O38" s="90">
        <f t="shared" si="8"/>
        <v>1</v>
      </c>
    </row>
    <row r="40" spans="1:15" ht="13" customHeight="1" x14ac:dyDescent="0.3">
      <c r="A40" s="4" t="s">
        <v>325</v>
      </c>
      <c r="B40" s="11"/>
    </row>
    <row r="41" spans="1:15" x14ac:dyDescent="0.25">
      <c r="B41" s="5" t="s">
        <v>172</v>
      </c>
      <c r="C41" s="90">
        <f t="shared" ref="C41:O41" si="9">IF(C18=1,1,C18*0.9)</f>
        <v>1</v>
      </c>
      <c r="D41" s="90">
        <f t="shared" si="9"/>
        <v>1</v>
      </c>
      <c r="E41" s="90">
        <f t="shared" si="9"/>
        <v>1</v>
      </c>
      <c r="F41" s="90">
        <f t="shared" si="9"/>
        <v>1</v>
      </c>
      <c r="G41" s="90">
        <f t="shared" si="9"/>
        <v>1</v>
      </c>
      <c r="H41" s="90">
        <f t="shared" si="9"/>
        <v>1</v>
      </c>
      <c r="I41" s="90">
        <f t="shared" si="9"/>
        <v>1</v>
      </c>
      <c r="J41" s="90">
        <f t="shared" si="9"/>
        <v>1</v>
      </c>
      <c r="K41" s="90">
        <f t="shared" si="9"/>
        <v>1</v>
      </c>
      <c r="L41" s="90">
        <f t="shared" si="9"/>
        <v>1</v>
      </c>
      <c r="M41" s="90">
        <f t="shared" si="9"/>
        <v>1</v>
      </c>
      <c r="N41" s="90">
        <f t="shared" si="9"/>
        <v>1</v>
      </c>
      <c r="O41" s="90">
        <f t="shared" si="9"/>
        <v>1</v>
      </c>
    </row>
    <row r="42" spans="1:15" x14ac:dyDescent="0.25">
      <c r="B42" s="5" t="s">
        <v>173</v>
      </c>
      <c r="C42" s="90">
        <f t="shared" ref="C42:D44" si="10">IF(C19=1,1,C19*0.9)</f>
        <v>1</v>
      </c>
      <c r="D42" s="90">
        <f t="shared" si="10"/>
        <v>1</v>
      </c>
      <c r="E42" s="90">
        <v>0.54</v>
      </c>
      <c r="F42" s="90">
        <v>0.54</v>
      </c>
      <c r="G42" s="90">
        <v>0.54</v>
      </c>
      <c r="H42" s="90">
        <v>0.54</v>
      </c>
      <c r="I42" s="90">
        <v>0.54</v>
      </c>
      <c r="J42" s="90">
        <v>0.54</v>
      </c>
      <c r="K42" s="90">
        <v>0.54</v>
      </c>
      <c r="L42" s="90">
        <v>0.54</v>
      </c>
      <c r="M42" s="90">
        <v>0.54</v>
      </c>
      <c r="N42" s="90">
        <v>0.54</v>
      </c>
      <c r="O42" s="90">
        <v>0.54</v>
      </c>
    </row>
    <row r="43" spans="1:15" x14ac:dyDescent="0.25">
      <c r="B43" s="5" t="s">
        <v>174</v>
      </c>
      <c r="C43" s="90">
        <f t="shared" si="10"/>
        <v>1</v>
      </c>
      <c r="D43" s="90">
        <f t="shared" si="10"/>
        <v>1</v>
      </c>
      <c r="E43" s="90">
        <f t="shared" ref="E43:O43" si="11">IF(E20=1,1,E20*0.9)</f>
        <v>1</v>
      </c>
      <c r="F43" s="90">
        <f t="shared" si="11"/>
        <v>1</v>
      </c>
      <c r="G43" s="90">
        <f t="shared" si="11"/>
        <v>1</v>
      </c>
      <c r="H43" s="90">
        <f t="shared" si="11"/>
        <v>1</v>
      </c>
      <c r="I43" s="90">
        <f t="shared" si="11"/>
        <v>1</v>
      </c>
      <c r="J43" s="90">
        <f t="shared" si="11"/>
        <v>1</v>
      </c>
      <c r="K43" s="90">
        <f t="shared" si="11"/>
        <v>1</v>
      </c>
      <c r="L43" s="90">
        <f t="shared" si="11"/>
        <v>1</v>
      </c>
      <c r="M43" s="90">
        <f t="shared" si="11"/>
        <v>1</v>
      </c>
      <c r="N43" s="90">
        <f t="shared" si="11"/>
        <v>1</v>
      </c>
      <c r="O43" s="90">
        <f t="shared" si="11"/>
        <v>1</v>
      </c>
    </row>
    <row r="44" spans="1:15" x14ac:dyDescent="0.25">
      <c r="B44" s="5" t="s">
        <v>182</v>
      </c>
      <c r="C44" s="90">
        <f t="shared" si="10"/>
        <v>1</v>
      </c>
      <c r="D44" s="90">
        <f t="shared" si="10"/>
        <v>1</v>
      </c>
      <c r="E44" s="90">
        <v>0.7</v>
      </c>
      <c r="F44" s="90">
        <v>0.7</v>
      </c>
      <c r="G44" s="90">
        <v>0.7</v>
      </c>
      <c r="H44" s="90">
        <v>0.7</v>
      </c>
      <c r="I44" s="90">
        <v>0.7</v>
      </c>
      <c r="J44" s="90">
        <v>0.7</v>
      </c>
      <c r="K44" s="90">
        <v>0.7</v>
      </c>
      <c r="L44" s="90">
        <v>0.7</v>
      </c>
      <c r="M44" s="90">
        <v>0.7</v>
      </c>
      <c r="N44" s="90">
        <v>0.7</v>
      </c>
      <c r="O44" s="90">
        <v>0.7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customHeight="1" x14ac:dyDescent="0.3">
      <c r="A48" s="4" t="s">
        <v>326</v>
      </c>
    </row>
    <row r="49" spans="1:15" x14ac:dyDescent="0.25">
      <c r="B49" s="11" t="s">
        <v>170</v>
      </c>
      <c r="C49" s="90">
        <v>0.7</v>
      </c>
      <c r="D49" s="90">
        <v>0.7</v>
      </c>
      <c r="E49" s="90">
        <f t="shared" ref="E49:O49" si="12">IF(E3=1,1,E3*1.05)</f>
        <v>1</v>
      </c>
      <c r="F49" s="90">
        <f t="shared" si="12"/>
        <v>1</v>
      </c>
      <c r="G49" s="90">
        <f t="shared" si="12"/>
        <v>1</v>
      </c>
      <c r="H49" s="90">
        <f t="shared" si="12"/>
        <v>1</v>
      </c>
      <c r="I49" s="90">
        <f t="shared" si="12"/>
        <v>1</v>
      </c>
      <c r="J49" s="90">
        <f t="shared" si="12"/>
        <v>1</v>
      </c>
      <c r="K49" s="90">
        <f t="shared" si="12"/>
        <v>1</v>
      </c>
      <c r="L49" s="90">
        <f t="shared" si="12"/>
        <v>1</v>
      </c>
      <c r="M49" s="90">
        <f t="shared" si="12"/>
        <v>1</v>
      </c>
      <c r="N49" s="90">
        <f t="shared" si="12"/>
        <v>1</v>
      </c>
      <c r="O49" s="90">
        <f t="shared" si="12"/>
        <v>1</v>
      </c>
    </row>
    <row r="50" spans="1:15" x14ac:dyDescent="0.25">
      <c r="B50" s="11" t="s">
        <v>175</v>
      </c>
      <c r="C50" s="90">
        <f t="shared" ref="C50:G56" si="13">IF(C4=1,1,C4*1.05)</f>
        <v>1</v>
      </c>
      <c r="D50" s="90">
        <f t="shared" si="13"/>
        <v>1</v>
      </c>
      <c r="E50" s="90">
        <f t="shared" si="13"/>
        <v>1</v>
      </c>
      <c r="F50" s="90">
        <f t="shared" si="13"/>
        <v>1</v>
      </c>
      <c r="G50" s="90">
        <f t="shared" si="13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4">IF(L4=1,1,L4*1.05)</f>
        <v>1</v>
      </c>
      <c r="M50" s="90">
        <f t="shared" si="14"/>
        <v>1</v>
      </c>
      <c r="N50" s="90">
        <f t="shared" si="14"/>
        <v>1</v>
      </c>
      <c r="O50" s="90">
        <f t="shared" si="14"/>
        <v>1</v>
      </c>
    </row>
    <row r="51" spans="1:15" x14ac:dyDescent="0.25">
      <c r="B51" s="11" t="s">
        <v>176</v>
      </c>
      <c r="C51" s="90">
        <f t="shared" si="13"/>
        <v>1</v>
      </c>
      <c r="D51" s="90">
        <f t="shared" si="13"/>
        <v>1</v>
      </c>
      <c r="E51" s="90">
        <f t="shared" si="13"/>
        <v>1</v>
      </c>
      <c r="F51" s="90">
        <f t="shared" si="13"/>
        <v>1</v>
      </c>
      <c r="G51" s="90">
        <f t="shared" si="13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4"/>
        <v>1</v>
      </c>
      <c r="M51" s="90">
        <f t="shared" si="14"/>
        <v>1</v>
      </c>
      <c r="N51" s="90">
        <f t="shared" si="14"/>
        <v>1</v>
      </c>
      <c r="O51" s="90">
        <f t="shared" si="14"/>
        <v>1</v>
      </c>
    </row>
    <row r="52" spans="1:15" x14ac:dyDescent="0.25">
      <c r="B52" s="11" t="s">
        <v>177</v>
      </c>
      <c r="C52" s="90">
        <f t="shared" si="13"/>
        <v>1</v>
      </c>
      <c r="D52" s="90">
        <f t="shared" si="13"/>
        <v>1</v>
      </c>
      <c r="E52" s="90">
        <f t="shared" si="13"/>
        <v>1</v>
      </c>
      <c r="F52" s="90">
        <f t="shared" si="13"/>
        <v>1</v>
      </c>
      <c r="G52" s="90">
        <f t="shared" si="13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4"/>
        <v>1</v>
      </c>
      <c r="M52" s="90">
        <f t="shared" si="14"/>
        <v>1</v>
      </c>
      <c r="N52" s="90">
        <f t="shared" si="14"/>
        <v>1</v>
      </c>
      <c r="O52" s="90">
        <f t="shared" si="14"/>
        <v>1</v>
      </c>
    </row>
    <row r="53" spans="1:15" x14ac:dyDescent="0.25">
      <c r="B53" s="11" t="s">
        <v>178</v>
      </c>
      <c r="C53" s="90">
        <f t="shared" si="13"/>
        <v>1</v>
      </c>
      <c r="D53" s="90">
        <f t="shared" si="13"/>
        <v>1</v>
      </c>
      <c r="E53" s="90">
        <f t="shared" si="13"/>
        <v>1</v>
      </c>
      <c r="F53" s="90">
        <f t="shared" si="13"/>
        <v>1</v>
      </c>
      <c r="G53" s="90">
        <f t="shared" si="13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4"/>
        <v>1</v>
      </c>
      <c r="M53" s="90">
        <f t="shared" si="14"/>
        <v>1</v>
      </c>
      <c r="N53" s="90">
        <f t="shared" si="14"/>
        <v>1</v>
      </c>
      <c r="O53" s="90">
        <f t="shared" si="14"/>
        <v>1</v>
      </c>
    </row>
    <row r="54" spans="1:15" x14ac:dyDescent="0.25">
      <c r="B54" s="5" t="s">
        <v>179</v>
      </c>
      <c r="C54" s="90">
        <f t="shared" si="13"/>
        <v>1</v>
      </c>
      <c r="D54" s="90">
        <f t="shared" si="13"/>
        <v>1</v>
      </c>
      <c r="E54" s="90">
        <f t="shared" si="13"/>
        <v>1</v>
      </c>
      <c r="F54" s="90">
        <f t="shared" si="13"/>
        <v>1</v>
      </c>
      <c r="G54" s="90">
        <f t="shared" si="13"/>
        <v>1</v>
      </c>
      <c r="H54" s="90">
        <f t="shared" ref="H54:K57" si="15">IF(H8=1,1,H8*1.05)</f>
        <v>1</v>
      </c>
      <c r="I54" s="90">
        <f t="shared" si="15"/>
        <v>1</v>
      </c>
      <c r="J54" s="90">
        <f t="shared" si="15"/>
        <v>1</v>
      </c>
      <c r="K54" s="90">
        <f t="shared" si="15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180</v>
      </c>
      <c r="C55" s="90">
        <f t="shared" si="13"/>
        <v>1</v>
      </c>
      <c r="D55" s="90">
        <f t="shared" si="13"/>
        <v>1</v>
      </c>
      <c r="E55" s="90">
        <f t="shared" si="13"/>
        <v>1</v>
      </c>
      <c r="F55" s="90">
        <f t="shared" si="13"/>
        <v>1</v>
      </c>
      <c r="G55" s="90">
        <f t="shared" si="13"/>
        <v>1</v>
      </c>
      <c r="H55" s="90">
        <f t="shared" si="15"/>
        <v>1</v>
      </c>
      <c r="I55" s="90">
        <f t="shared" si="15"/>
        <v>1</v>
      </c>
      <c r="J55" s="90">
        <f t="shared" si="15"/>
        <v>1</v>
      </c>
      <c r="K55" s="90">
        <f t="shared" si="15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181</v>
      </c>
      <c r="C56" s="90">
        <f t="shared" si="13"/>
        <v>1</v>
      </c>
      <c r="D56" s="90">
        <f t="shared" si="13"/>
        <v>1</v>
      </c>
      <c r="E56" s="90">
        <f t="shared" si="13"/>
        <v>1</v>
      </c>
      <c r="F56" s="90">
        <f t="shared" si="13"/>
        <v>1</v>
      </c>
      <c r="G56" s="90">
        <f t="shared" si="13"/>
        <v>1</v>
      </c>
      <c r="H56" s="90">
        <f t="shared" si="15"/>
        <v>1</v>
      </c>
      <c r="I56" s="90">
        <f t="shared" si="15"/>
        <v>1</v>
      </c>
      <c r="J56" s="90">
        <f t="shared" si="15"/>
        <v>1</v>
      </c>
      <c r="K56" s="90">
        <f t="shared" si="15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5"/>
        <v>1</v>
      </c>
      <c r="I57" s="90">
        <f t="shared" si="15"/>
        <v>1</v>
      </c>
      <c r="J57" s="90">
        <f t="shared" si="15"/>
        <v>1</v>
      </c>
      <c r="K57" s="90">
        <f t="shared" si="15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188</v>
      </c>
      <c r="C59" s="90">
        <f t="shared" ref="C59:D61" si="16">IF(C13=1,1,C13*1.05)</f>
        <v>1</v>
      </c>
      <c r="D59" s="90">
        <f t="shared" si="16"/>
        <v>1</v>
      </c>
      <c r="E59" s="90">
        <v>0.77</v>
      </c>
      <c r="F59" s="90">
        <v>0.77</v>
      </c>
      <c r="G59" s="90">
        <v>0.77</v>
      </c>
      <c r="H59" s="90">
        <f t="shared" ref="H59:O59" si="17">IF(H13=1,1,H13*1.05)</f>
        <v>1</v>
      </c>
      <c r="I59" s="90">
        <f t="shared" si="17"/>
        <v>1</v>
      </c>
      <c r="J59" s="90">
        <f t="shared" si="17"/>
        <v>1</v>
      </c>
      <c r="K59" s="90">
        <f t="shared" si="17"/>
        <v>1</v>
      </c>
      <c r="L59" s="90">
        <f t="shared" si="17"/>
        <v>1</v>
      </c>
      <c r="M59" s="90">
        <f t="shared" si="17"/>
        <v>1</v>
      </c>
      <c r="N59" s="90">
        <f t="shared" si="17"/>
        <v>1</v>
      </c>
      <c r="O59" s="90">
        <f t="shared" si="17"/>
        <v>1</v>
      </c>
    </row>
    <row r="60" spans="1:15" x14ac:dyDescent="0.25">
      <c r="B60" s="11" t="s">
        <v>189</v>
      </c>
      <c r="C60" s="90">
        <f t="shared" si="16"/>
        <v>1</v>
      </c>
      <c r="D60" s="90">
        <f t="shared" si="16"/>
        <v>1</v>
      </c>
      <c r="E60" s="90">
        <f t="shared" ref="E60:K60" si="18">IF(E14=1,1,E14*1.05)</f>
        <v>1</v>
      </c>
      <c r="F60" s="90">
        <f t="shared" si="18"/>
        <v>1</v>
      </c>
      <c r="G60" s="90">
        <f t="shared" si="18"/>
        <v>1</v>
      </c>
      <c r="H60" s="90">
        <f t="shared" si="18"/>
        <v>1</v>
      </c>
      <c r="I60" s="90">
        <f t="shared" si="18"/>
        <v>1</v>
      </c>
      <c r="J60" s="90">
        <f t="shared" si="18"/>
        <v>1</v>
      </c>
      <c r="K60" s="90">
        <f t="shared" si="18"/>
        <v>1</v>
      </c>
      <c r="L60" s="90">
        <f>L54</f>
        <v>0.7</v>
      </c>
      <c r="M60" s="90">
        <f>M54</f>
        <v>0.7</v>
      </c>
      <c r="N60" s="90">
        <f>N54</f>
        <v>0.7</v>
      </c>
      <c r="O60" s="90">
        <f>O54</f>
        <v>0.7</v>
      </c>
    </row>
    <row r="61" spans="1:15" x14ac:dyDescent="0.25">
      <c r="B61" s="5" t="s">
        <v>192</v>
      </c>
      <c r="C61" s="90">
        <f t="shared" si="16"/>
        <v>1</v>
      </c>
      <c r="D61" s="90">
        <f t="shared" si="16"/>
        <v>1</v>
      </c>
      <c r="E61" s="90">
        <v>0.44</v>
      </c>
      <c r="F61" s="90">
        <v>0.44</v>
      </c>
      <c r="G61" s="90">
        <f t="shared" ref="G61:O61" si="19">IF(G15=1,1,G15*1.05)</f>
        <v>1</v>
      </c>
      <c r="H61" s="90">
        <f t="shared" si="19"/>
        <v>1</v>
      </c>
      <c r="I61" s="90">
        <f t="shared" si="19"/>
        <v>1</v>
      </c>
      <c r="J61" s="90">
        <f t="shared" si="19"/>
        <v>1</v>
      </c>
      <c r="K61" s="90">
        <f t="shared" si="19"/>
        <v>1</v>
      </c>
      <c r="L61" s="90">
        <f t="shared" si="19"/>
        <v>1</v>
      </c>
      <c r="M61" s="90">
        <f t="shared" si="19"/>
        <v>1</v>
      </c>
      <c r="N61" s="90">
        <f t="shared" si="19"/>
        <v>1</v>
      </c>
      <c r="O61" s="90">
        <f t="shared" si="19"/>
        <v>1</v>
      </c>
    </row>
    <row r="63" spans="1:15" ht="13" customHeight="1" x14ac:dyDescent="0.3">
      <c r="A63" s="4" t="s">
        <v>327</v>
      </c>
      <c r="B63" s="11"/>
    </row>
    <row r="64" spans="1:15" x14ac:dyDescent="0.25">
      <c r="B64" s="5" t="s">
        <v>172</v>
      </c>
      <c r="C64" s="90">
        <f t="shared" ref="C64:O64" si="20">IF(C18=1,1,C18*1.05)</f>
        <v>1</v>
      </c>
      <c r="D64" s="90">
        <f t="shared" si="20"/>
        <v>1</v>
      </c>
      <c r="E64" s="90">
        <f t="shared" si="20"/>
        <v>1</v>
      </c>
      <c r="F64" s="90">
        <f t="shared" si="20"/>
        <v>1</v>
      </c>
      <c r="G64" s="90">
        <f t="shared" si="20"/>
        <v>1</v>
      </c>
      <c r="H64" s="90">
        <f t="shared" si="20"/>
        <v>1</v>
      </c>
      <c r="I64" s="90">
        <f t="shared" si="20"/>
        <v>1</v>
      </c>
      <c r="J64" s="90">
        <f t="shared" si="20"/>
        <v>1</v>
      </c>
      <c r="K64" s="90">
        <f t="shared" si="20"/>
        <v>1</v>
      </c>
      <c r="L64" s="90">
        <f t="shared" si="20"/>
        <v>1</v>
      </c>
      <c r="M64" s="90">
        <f t="shared" si="20"/>
        <v>1</v>
      </c>
      <c r="N64" s="90">
        <f t="shared" si="20"/>
        <v>1</v>
      </c>
      <c r="O64" s="90">
        <f t="shared" si="20"/>
        <v>1</v>
      </c>
    </row>
    <row r="65" spans="2:15" x14ac:dyDescent="0.25">
      <c r="B65" s="5" t="s">
        <v>173</v>
      </c>
      <c r="C65" s="90">
        <f t="shared" ref="C65:D67" si="21">IF(C19=1,1,C19*1.05)</f>
        <v>1</v>
      </c>
      <c r="D65" s="90">
        <f t="shared" si="21"/>
        <v>1</v>
      </c>
      <c r="E65" s="90">
        <v>0.97</v>
      </c>
      <c r="F65" s="90">
        <v>0.97</v>
      </c>
      <c r="G65" s="90">
        <v>0.97</v>
      </c>
      <c r="H65" s="90">
        <v>0.97</v>
      </c>
      <c r="I65" s="90">
        <v>0.97</v>
      </c>
      <c r="J65" s="90">
        <v>0.97</v>
      </c>
      <c r="K65" s="90">
        <v>0.97</v>
      </c>
      <c r="L65" s="90">
        <v>0.97</v>
      </c>
      <c r="M65" s="90">
        <v>0.97</v>
      </c>
      <c r="N65" s="90">
        <v>0.97</v>
      </c>
      <c r="O65" s="90">
        <v>0.97</v>
      </c>
    </row>
    <row r="66" spans="2:15" x14ac:dyDescent="0.25">
      <c r="B66" s="5" t="s">
        <v>174</v>
      </c>
      <c r="C66" s="90">
        <f t="shared" si="21"/>
        <v>1</v>
      </c>
      <c r="D66" s="90">
        <f t="shared" si="21"/>
        <v>1</v>
      </c>
      <c r="E66" s="90">
        <f t="shared" ref="E66:O66" si="22">IF(E20=1,1,E20*1.05)</f>
        <v>1</v>
      </c>
      <c r="F66" s="90">
        <f t="shared" si="22"/>
        <v>1</v>
      </c>
      <c r="G66" s="90">
        <f t="shared" si="22"/>
        <v>1</v>
      </c>
      <c r="H66" s="90">
        <f t="shared" si="22"/>
        <v>1</v>
      </c>
      <c r="I66" s="90">
        <f t="shared" si="22"/>
        <v>1</v>
      </c>
      <c r="J66" s="90">
        <f t="shared" si="22"/>
        <v>1</v>
      </c>
      <c r="K66" s="90">
        <f t="shared" si="22"/>
        <v>1</v>
      </c>
      <c r="L66" s="90">
        <f t="shared" si="22"/>
        <v>1</v>
      </c>
      <c r="M66" s="90">
        <f t="shared" si="22"/>
        <v>1</v>
      </c>
      <c r="N66" s="90">
        <f t="shared" si="22"/>
        <v>1</v>
      </c>
      <c r="O66" s="90">
        <f t="shared" si="22"/>
        <v>1</v>
      </c>
    </row>
    <row r="67" spans="2:15" x14ac:dyDescent="0.25">
      <c r="B67" s="5" t="s">
        <v>182</v>
      </c>
      <c r="C67" s="90">
        <f t="shared" si="21"/>
        <v>1</v>
      </c>
      <c r="D67" s="90">
        <f t="shared" si="21"/>
        <v>1</v>
      </c>
      <c r="E67" s="90">
        <v>0.92</v>
      </c>
      <c r="F67" s="90">
        <v>0.92</v>
      </c>
      <c r="G67" s="90">
        <v>0.92</v>
      </c>
      <c r="H67" s="90">
        <v>0.92</v>
      </c>
      <c r="I67" s="90">
        <v>0.92</v>
      </c>
      <c r="J67" s="90">
        <v>0.92</v>
      </c>
      <c r="K67" s="90">
        <v>0.92</v>
      </c>
      <c r="L67" s="90">
        <v>0.92</v>
      </c>
      <c r="M67" s="90">
        <v>0.92</v>
      </c>
      <c r="N67" s="90">
        <v>0.92</v>
      </c>
      <c r="O67" s="90">
        <f>IF(ISBLANK('Nutritional status distribution'!O$14),0.92,(0.92*'Nutritional status distribution'!O$14/(1-0.92*'Nutritional status distribution'!O$14))
/ ('Nutritional status distribution'!O$14/(1-'Nutritional status distribution'!O$14)))</f>
        <v>0.88602689765215403</v>
      </c>
    </row>
  </sheetData>
  <sheetProtection algorithmName="SHA-512" hashValue="QTNrTNcX0LQnvnw9OcFIuF8iiKsb7nBsadUCrO1kCxqB4CvEkER3v8YCwNBmR8txM/1IAuOQ/zC/vA8HLWjOhA==" saltValue="f5+QlQPEjGE24L/HhPaCM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5" sqref="D5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customHeight="1" x14ac:dyDescent="0.3">
      <c r="A2" s="4" t="s">
        <v>328</v>
      </c>
    </row>
    <row r="3" spans="1:7" x14ac:dyDescent="0.25">
      <c r="B3" s="11" t="s">
        <v>157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329</v>
      </c>
      <c r="B4" s="11"/>
      <c r="C4" s="83"/>
      <c r="D4" s="83"/>
      <c r="E4" s="83"/>
      <c r="F4" s="83"/>
      <c r="G4" s="83"/>
    </row>
    <row r="5" spans="1:7" x14ac:dyDescent="0.25">
      <c r="B5" s="5" t="s">
        <v>158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330</v>
      </c>
    </row>
    <row r="8" spans="1:7" ht="13" customHeight="1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customHeight="1" x14ac:dyDescent="0.3">
      <c r="A9" s="4" t="s">
        <v>331</v>
      </c>
    </row>
    <row r="10" spans="1:7" x14ac:dyDescent="0.25">
      <c r="B10" s="11" t="s">
        <v>157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332</v>
      </c>
      <c r="B11" s="11"/>
      <c r="C11" s="83"/>
      <c r="D11" s="83"/>
      <c r="E11" s="83"/>
      <c r="F11" s="83"/>
      <c r="G11" s="83"/>
    </row>
    <row r="12" spans="1:7" x14ac:dyDescent="0.25">
      <c r="B12" s="5" t="s">
        <v>158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333</v>
      </c>
    </row>
    <row r="15" spans="1:7" ht="13" customHeight="1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customHeight="1" x14ac:dyDescent="0.3">
      <c r="A16" s="4" t="s">
        <v>334</v>
      </c>
    </row>
    <row r="17" spans="1:7" x14ac:dyDescent="0.25">
      <c r="B17" s="11" t="s">
        <v>157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335</v>
      </c>
      <c r="B18" s="11"/>
      <c r="C18" s="83"/>
      <c r="D18" s="83"/>
      <c r="E18" s="83"/>
      <c r="F18" s="83"/>
      <c r="G18" s="83"/>
    </row>
    <row r="19" spans="1:7" x14ac:dyDescent="0.25">
      <c r="B19" s="5" t="s">
        <v>158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ZIjv20oIFeX8hEAP3JXu7+FjYQdIWvRgXIH4IkxRsMm14MAW5JMg2x9QOPJ7rc+IAMFEDvKO0XCydnz4Atw3VA==" saltValue="eIHIWivrA2mRyU/FI0KAAQ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53" zoomScale="80" zoomScaleNormal="80" workbookViewId="0">
      <selection activeCell="D5" sqref="D5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156</v>
      </c>
      <c r="B1" s="4" t="s">
        <v>336</v>
      </c>
      <c r="C1" s="82" t="s">
        <v>337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5" t="s">
        <v>193</v>
      </c>
      <c r="B2" s="5" t="s">
        <v>81</v>
      </c>
      <c r="C2" s="5" t="s">
        <v>338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340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191</v>
      </c>
      <c r="B5" s="5" t="s">
        <v>205</v>
      </c>
      <c r="C5" s="5" t="s">
        <v>338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340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204</v>
      </c>
      <c r="C7" s="5" t="s">
        <v>338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340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184</v>
      </c>
      <c r="B9" s="5" t="s">
        <v>205</v>
      </c>
      <c r="C9" s="5" t="s">
        <v>338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340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204</v>
      </c>
      <c r="C11" s="5" t="s">
        <v>338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340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192</v>
      </c>
      <c r="B13" s="5" t="s">
        <v>205</v>
      </c>
      <c r="C13" s="5" t="s">
        <v>338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340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204</v>
      </c>
      <c r="C15" s="5" t="s">
        <v>338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340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169</v>
      </c>
      <c r="B17" s="5" t="s">
        <v>205</v>
      </c>
      <c r="C17" s="5" t="s">
        <v>338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340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204</v>
      </c>
      <c r="C19" s="5" t="s">
        <v>338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340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174</v>
      </c>
      <c r="B21" s="5" t="s">
        <v>74</v>
      </c>
      <c r="C21" s="5" t="s">
        <v>338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172</v>
      </c>
      <c r="B23" s="5" t="s">
        <v>74</v>
      </c>
      <c r="C23" s="5" t="s">
        <v>338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173</v>
      </c>
      <c r="B25" s="5" t="s">
        <v>74</v>
      </c>
      <c r="C25" s="5" t="s">
        <v>338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197</v>
      </c>
      <c r="B27" s="5" t="s">
        <v>81</v>
      </c>
      <c r="C27" s="5" t="s">
        <v>338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339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340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198</v>
      </c>
      <c r="B30" s="5" t="s">
        <v>81</v>
      </c>
      <c r="C30" s="5" t="s">
        <v>338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340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196</v>
      </c>
      <c r="B33" s="5" t="s">
        <v>81</v>
      </c>
      <c r="C33" s="5" t="s">
        <v>338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340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195</v>
      </c>
      <c r="B36" s="5" t="s">
        <v>81</v>
      </c>
      <c r="C36" s="5" t="s">
        <v>338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340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194</v>
      </c>
      <c r="B39" s="5" t="s">
        <v>81</v>
      </c>
      <c r="C39" s="5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340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200</v>
      </c>
      <c r="B42" s="5" t="s">
        <v>81</v>
      </c>
      <c r="C42" s="5" t="s">
        <v>338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340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82</v>
      </c>
      <c r="C45" s="5" t="s">
        <v>338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340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190</v>
      </c>
      <c r="B48" s="5" t="s">
        <v>81</v>
      </c>
      <c r="C48" s="5" t="s">
        <v>338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81</v>
      </c>
      <c r="C50" s="5" t="s">
        <v>338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183</v>
      </c>
      <c r="B52" s="5" t="s">
        <v>72</v>
      </c>
      <c r="C52" s="5" t="s">
        <v>338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330</v>
      </c>
      <c r="B55" s="97"/>
      <c r="C55" s="97"/>
    </row>
    <row r="56" spans="1:8" ht="13" customHeight="1" x14ac:dyDescent="0.3">
      <c r="A56" s="4" t="s">
        <v>156</v>
      </c>
      <c r="B56" s="4" t="s">
        <v>336</v>
      </c>
      <c r="C56" s="82" t="s">
        <v>337</v>
      </c>
      <c r="D56" s="4" t="s">
        <v>67</v>
      </c>
      <c r="E56" s="4" t="s">
        <v>77</v>
      </c>
      <c r="F56" s="4" t="s">
        <v>78</v>
      </c>
      <c r="G56" s="4" t="s">
        <v>79</v>
      </c>
      <c r="H56" s="4" t="s">
        <v>80</v>
      </c>
    </row>
    <row r="57" spans="1:8" x14ac:dyDescent="0.25">
      <c r="A57" s="5" t="s">
        <v>193</v>
      </c>
      <c r="B57" s="5" t="s">
        <v>81</v>
      </c>
      <c r="C57" s="5" t="s">
        <v>338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340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191</v>
      </c>
      <c r="B60" s="5" t="s">
        <v>205</v>
      </c>
      <c r="C60" s="5" t="s">
        <v>338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340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204</v>
      </c>
      <c r="C62" s="5" t="s">
        <v>338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340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205</v>
      </c>
      <c r="C64" s="5" t="s">
        <v>338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340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204</v>
      </c>
      <c r="C66" s="5" t="s">
        <v>338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340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192</v>
      </c>
      <c r="B68" s="5" t="s">
        <v>205</v>
      </c>
      <c r="C68" s="5" t="s">
        <v>338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340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204</v>
      </c>
      <c r="C70" s="5" t="s">
        <v>338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340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169</v>
      </c>
      <c r="B72" s="5" t="s">
        <v>205</v>
      </c>
      <c r="C72" s="5" t="s">
        <v>338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340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204</v>
      </c>
      <c r="C74" s="5" t="s">
        <v>338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340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174</v>
      </c>
      <c r="B76" s="5" t="s">
        <v>74</v>
      </c>
      <c r="C76" s="5" t="s">
        <v>338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172</v>
      </c>
      <c r="B78" s="5" t="s">
        <v>74</v>
      </c>
      <c r="C78" s="5" t="s">
        <v>338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173</v>
      </c>
      <c r="B80" s="5" t="s">
        <v>74</v>
      </c>
      <c r="C80" s="5" t="s">
        <v>338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81</v>
      </c>
      <c r="C82" s="5" t="s">
        <v>338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340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81</v>
      </c>
      <c r="C85" s="5" t="s">
        <v>338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340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81</v>
      </c>
      <c r="C88" s="5" t="s">
        <v>338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340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81</v>
      </c>
      <c r="C91" s="5" t="s">
        <v>338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340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81</v>
      </c>
      <c r="C94" s="5" t="s">
        <v>338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340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81</v>
      </c>
      <c r="C97" s="5" t="s">
        <v>338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340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82</v>
      </c>
      <c r="C100" s="5" t="s">
        <v>338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340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190</v>
      </c>
      <c r="B103" s="5" t="s">
        <v>81</v>
      </c>
      <c r="C103" s="5" t="s">
        <v>338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81</v>
      </c>
      <c r="C105" s="5" t="s">
        <v>338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183</v>
      </c>
      <c r="B107" s="5" t="s">
        <v>72</v>
      </c>
      <c r="C107" s="5" t="s">
        <v>338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333</v>
      </c>
      <c r="B110" s="97"/>
      <c r="C110" s="97"/>
    </row>
    <row r="111" spans="1:8" ht="13" customHeight="1" x14ac:dyDescent="0.3">
      <c r="A111" s="4" t="s">
        <v>156</v>
      </c>
      <c r="B111" s="4" t="s">
        <v>336</v>
      </c>
      <c r="C111" s="82" t="s">
        <v>337</v>
      </c>
      <c r="D111" s="4" t="s">
        <v>67</v>
      </c>
      <c r="E111" s="4" t="s">
        <v>77</v>
      </c>
      <c r="F111" s="4" t="s">
        <v>78</v>
      </c>
      <c r="G111" s="4" t="s">
        <v>79</v>
      </c>
      <c r="H111" s="4" t="s">
        <v>80</v>
      </c>
    </row>
    <row r="112" spans="1:8" x14ac:dyDescent="0.25">
      <c r="A112" s="5" t="s">
        <v>193</v>
      </c>
      <c r="B112" s="5" t="s">
        <v>81</v>
      </c>
      <c r="C112" s="5" t="s">
        <v>338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340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191</v>
      </c>
      <c r="B115" s="5" t="s">
        <v>205</v>
      </c>
      <c r="C115" s="5" t="s">
        <v>338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340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204</v>
      </c>
      <c r="C117" s="5" t="s">
        <v>338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340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205</v>
      </c>
      <c r="C119" s="5" t="s">
        <v>338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340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204</v>
      </c>
      <c r="C121" s="5" t="s">
        <v>338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340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192</v>
      </c>
      <c r="B123" s="5" t="s">
        <v>205</v>
      </c>
      <c r="C123" s="5" t="s">
        <v>338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340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204</v>
      </c>
      <c r="C125" s="5" t="s">
        <v>338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340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169</v>
      </c>
      <c r="B127" s="5" t="s">
        <v>205</v>
      </c>
      <c r="C127" s="5" t="s">
        <v>338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340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204</v>
      </c>
      <c r="C129" s="5" t="s">
        <v>338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340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174</v>
      </c>
      <c r="B131" s="5" t="s">
        <v>74</v>
      </c>
      <c r="C131" s="5" t="s">
        <v>338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172</v>
      </c>
      <c r="B133" s="5" t="s">
        <v>74</v>
      </c>
      <c r="C133" s="5" t="s">
        <v>338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173</v>
      </c>
      <c r="B135" s="5" t="s">
        <v>74</v>
      </c>
      <c r="C135" s="5" t="s">
        <v>338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81</v>
      </c>
      <c r="C137" s="5" t="s">
        <v>338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340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81</v>
      </c>
      <c r="C140" s="5" t="s">
        <v>338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340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81</v>
      </c>
      <c r="C143" s="5" t="s">
        <v>338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340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81</v>
      </c>
      <c r="C146" s="5" t="s">
        <v>338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340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81</v>
      </c>
      <c r="C149" s="5" t="s">
        <v>338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340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81</v>
      </c>
      <c r="C152" s="5" t="s">
        <v>338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340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82</v>
      </c>
      <c r="C155" s="5" t="s">
        <v>338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340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190</v>
      </c>
      <c r="B158" s="5" t="s">
        <v>81</v>
      </c>
      <c r="C158" s="5" t="s">
        <v>338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81</v>
      </c>
      <c r="C160" s="5" t="s">
        <v>338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183</v>
      </c>
      <c r="B162" s="5" t="s">
        <v>72</v>
      </c>
      <c r="C162" s="5" t="s">
        <v>338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gIF3gzcRwMevsVP9JM+eFJliWIfkjL6RYnVy29HH1zFwKTB/eJc1NVFGROY84dwrfqcI+B8KpOZ1waT1qDgCXQ==" saltValue="0Itsi1W8Rg+oXl6coWpoc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5" sqref="D5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156</v>
      </c>
      <c r="B1" s="1" t="s">
        <v>336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168</v>
      </c>
      <c r="B2" s="8" t="s">
        <v>94</v>
      </c>
      <c r="C2" s="3" t="s">
        <v>338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339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187</v>
      </c>
      <c r="B4" s="8" t="s">
        <v>94</v>
      </c>
      <c r="C4" s="3" t="s">
        <v>338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186</v>
      </c>
      <c r="B6" s="8" t="s">
        <v>94</v>
      </c>
      <c r="C6" s="3" t="s">
        <v>338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330</v>
      </c>
    </row>
    <row r="10" spans="1:8" ht="13" customHeight="1" x14ac:dyDescent="0.3">
      <c r="A10" s="1" t="s">
        <v>156</v>
      </c>
      <c r="B10" s="1" t="s">
        <v>336</v>
      </c>
      <c r="C10" s="1"/>
      <c r="D10" s="4" t="s">
        <v>112</v>
      </c>
      <c r="E10" s="4" t="s">
        <v>113</v>
      </c>
      <c r="F10" s="4" t="s">
        <v>114</v>
      </c>
      <c r="G10" s="4" t="s">
        <v>115</v>
      </c>
    </row>
    <row r="11" spans="1:8" x14ac:dyDescent="0.25">
      <c r="A11" s="3" t="s">
        <v>168</v>
      </c>
      <c r="B11" s="8" t="s">
        <v>94</v>
      </c>
      <c r="C11" s="3" t="s">
        <v>338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187</v>
      </c>
      <c r="B13" s="8" t="s">
        <v>94</v>
      </c>
      <c r="C13" s="3" t="s">
        <v>338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186</v>
      </c>
      <c r="B15" s="8" t="s">
        <v>94</v>
      </c>
      <c r="C15" s="3" t="s">
        <v>338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333</v>
      </c>
    </row>
    <row r="19" spans="1:7" ht="13" customHeight="1" x14ac:dyDescent="0.3">
      <c r="A19" s="1" t="s">
        <v>156</v>
      </c>
      <c r="B19" s="1" t="s">
        <v>336</v>
      </c>
      <c r="C19" s="1"/>
      <c r="D19" s="4" t="s">
        <v>112</v>
      </c>
      <c r="E19" s="4" t="s">
        <v>113</v>
      </c>
      <c r="F19" s="4" t="s">
        <v>114</v>
      </c>
      <c r="G19" s="4" t="s">
        <v>115</v>
      </c>
    </row>
    <row r="20" spans="1:7" x14ac:dyDescent="0.25">
      <c r="A20" s="3" t="s">
        <v>168</v>
      </c>
      <c r="B20" s="8" t="s">
        <v>94</v>
      </c>
      <c r="C20" s="3" t="s">
        <v>338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339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187</v>
      </c>
      <c r="B22" s="8" t="s">
        <v>94</v>
      </c>
      <c r="C22" s="3" t="s">
        <v>338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186</v>
      </c>
      <c r="B24" s="8" t="s">
        <v>94</v>
      </c>
      <c r="C24" s="3" t="s">
        <v>338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SSCu+FR+SN+siPEoAiap+3g3Z0SGqFtJklZqGSbEJvGKfBY2J7BHBpfevFvAYPx8Hf15tBeGKZdJ4ehQEpyLRg==" saltValue="A0PmMaoo+OfazXy7x4UxVw==" spinCount="100000" sheet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loss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Birth outcome risks</vt:lpstr>
      <vt:lpstr>Relative risks</vt:lpstr>
      <vt:lpstr>Odds ratios</vt:lpstr>
      <vt:lpstr>Programs birth outcomes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lastModifiedBy>Tharindu Wickramaarachchi</cp:lastModifiedBy>
  <dcterms:created xsi:type="dcterms:W3CDTF">2017-08-01T10:42:13Z</dcterms:created>
  <dcterms:modified xsi:type="dcterms:W3CDTF">2024-03-28T03:03:55Z</dcterms:modified>
</cp:coreProperties>
</file>