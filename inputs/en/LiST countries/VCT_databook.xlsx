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6D94760-C164-4070-BF70-BFFAD5F10BC1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4" i="2"/>
  <c r="A25" i="2"/>
  <c r="A23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19" i="2"/>
  <c r="A22" i="2"/>
  <c r="I39" i="2"/>
  <c r="A24" i="2"/>
  <c r="A40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<sst xmlns="http://schemas.openxmlformats.org/spreadsheetml/2006/main" count="2169" uniqueCount="373">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</sst>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5967.5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0.90741958618164109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0.13059999999999999</v>
      </c>
    </row>
    <row r="24" spans="1:3" ht="15" customHeight="1" x14ac:dyDescent="0.25">
      <c r="B24" s="15" t="s">
        <v>22</v>
      </c>
      <c r="C24" s="45">
        <v>0.55969999999999998</v>
      </c>
    </row>
    <row r="25" spans="1:3" ht="15" customHeight="1" x14ac:dyDescent="0.25">
      <c r="B25" s="15" t="s">
        <v>23</v>
      </c>
      <c r="C25" s="45">
        <v>0.28770000000000001</v>
      </c>
    </row>
    <row r="26" spans="1:3" ht="15" customHeight="1" x14ac:dyDescent="0.25">
      <c r="B26" s="15" t="s">
        <v>24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8.4706399999999995</v>
      </c>
    </row>
    <row r="38" spans="1:5" ht="15" customHeight="1" x14ac:dyDescent="0.25">
      <c r="B38" s="11" t="s">
        <v>34</v>
      </c>
      <c r="C38" s="43">
        <v>12.56386</v>
      </c>
      <c r="D38" s="12"/>
      <c r="E38" s="13"/>
    </row>
    <row r="39" spans="1:5" ht="15" customHeight="1" x14ac:dyDescent="0.25">
      <c r="B39" s="11" t="s">
        <v>35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98">
        <v>0.62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7.2014999999999996E-3</v>
      </c>
      <c r="D45" s="12"/>
    </row>
    <row r="46" spans="1:5" ht="15.75" customHeight="1" x14ac:dyDescent="0.25">
      <c r="B46" s="11" t="s">
        <v>41</v>
      </c>
      <c r="C46" s="45">
        <v>7.7378600000000006E-2</v>
      </c>
      <c r="D46" s="12"/>
    </row>
    <row r="47" spans="1:5" ht="15.75" customHeight="1" x14ac:dyDescent="0.25">
      <c r="B47" s="11" t="s">
        <v>42</v>
      </c>
      <c r="C47" s="45">
        <v>7.415250000000001E-2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0.55246399999999996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1203</v>
      </c>
      <c r="C2" s="49">
        <v>3568</v>
      </c>
      <c r="D2" s="49">
        <v>6846.9999999999991</v>
      </c>
      <c r="E2" s="49">
        <v>6561.5</v>
      </c>
      <c r="F2" s="49">
        <v>6734</v>
      </c>
      <c r="G2" s="17">
        <f t="shared" ref="G2:G13" si="0">C2+D2+E2+F2</f>
        <v>23710.5</v>
      </c>
      <c r="H2" s="17">
        <f t="shared" ref="H2:H13" si="1">(B2 + stillbirth*B2/(1000-stillbirth))/(1-abortion)</f>
        <v>1383.5298950328956</v>
      </c>
      <c r="I2" s="17">
        <f t="shared" ref="I2:I13" si="2">G2-H2</f>
        <v>22326.970104967106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1179</v>
      </c>
      <c r="C3" s="50">
        <v>3650.5</v>
      </c>
      <c r="D3" s="50">
        <v>6675.5</v>
      </c>
      <c r="E3" s="50">
        <v>6513</v>
      </c>
      <c r="F3" s="50">
        <v>6720</v>
      </c>
      <c r="G3" s="17">
        <f t="shared" si="0"/>
        <v>23559</v>
      </c>
      <c r="H3" s="17">
        <f t="shared" si="1"/>
        <v>1355.9283011170273</v>
      </c>
      <c r="I3" s="17">
        <f t="shared" si="2"/>
        <v>22203.071698882974</v>
      </c>
    </row>
    <row r="4" spans="1:9" ht="15.75" customHeight="1" x14ac:dyDescent="0.25">
      <c r="A4" s="5">
        <f t="shared" si="3"/>
        <v>2026</v>
      </c>
      <c r="B4" s="49">
        <v>1157</v>
      </c>
      <c r="C4" s="50">
        <v>3717</v>
      </c>
      <c r="D4" s="50">
        <v>6545</v>
      </c>
      <c r="E4" s="50">
        <v>6478.5</v>
      </c>
      <c r="F4" s="50">
        <v>6659.4999999999991</v>
      </c>
      <c r="G4" s="17">
        <f t="shared" si="0"/>
        <v>23400</v>
      </c>
      <c r="H4" s="17">
        <f t="shared" si="1"/>
        <v>1330.6268400274816</v>
      </c>
      <c r="I4" s="17">
        <f t="shared" si="2"/>
        <v>22069.373159972518</v>
      </c>
    </row>
    <row r="5" spans="1:9" ht="15.75" customHeight="1" x14ac:dyDescent="0.25">
      <c r="A5" s="5">
        <f t="shared" si="3"/>
        <v>2027</v>
      </c>
      <c r="B5" s="49">
        <v>1141</v>
      </c>
      <c r="C5" s="50">
        <v>3762</v>
      </c>
      <c r="D5" s="50">
        <v>6476</v>
      </c>
      <c r="E5" s="50">
        <v>6438.4999999999991</v>
      </c>
      <c r="F5" s="50">
        <v>6574.9999999999991</v>
      </c>
      <c r="G5" s="17">
        <f t="shared" si="0"/>
        <v>23251.5</v>
      </c>
      <c r="H5" s="17">
        <f t="shared" si="1"/>
        <v>1312.2257774169027</v>
      </c>
      <c r="I5" s="17">
        <f t="shared" si="2"/>
        <v>21939.274222583099</v>
      </c>
    </row>
    <row r="6" spans="1:9" ht="15.75" customHeight="1" x14ac:dyDescent="0.25">
      <c r="A6" s="5">
        <f t="shared" si="3"/>
        <v>2028</v>
      </c>
      <c r="B6" s="49">
        <v>1129</v>
      </c>
      <c r="C6" s="50">
        <v>3787</v>
      </c>
      <c r="D6" s="50">
        <v>6465</v>
      </c>
      <c r="E6" s="50">
        <v>6390</v>
      </c>
      <c r="F6" s="50">
        <v>6489.0000000000009</v>
      </c>
      <c r="G6" s="17">
        <f t="shared" si="0"/>
        <v>23131</v>
      </c>
      <c r="H6" s="17">
        <f t="shared" si="1"/>
        <v>1298.4249804589688</v>
      </c>
      <c r="I6" s="17">
        <f t="shared" si="2"/>
        <v>21832.575019541033</v>
      </c>
    </row>
    <row r="7" spans="1:9" ht="15.75" customHeight="1" x14ac:dyDescent="0.25">
      <c r="A7" s="5">
        <f t="shared" si="3"/>
        <v>2029</v>
      </c>
      <c r="B7" s="49">
        <v>1120</v>
      </c>
      <c r="C7" s="50">
        <v>3798.5</v>
      </c>
      <c r="D7" s="50">
        <v>6478.9999999999991</v>
      </c>
      <c r="E7" s="50">
        <v>6358</v>
      </c>
      <c r="F7" s="50">
        <v>6392.5</v>
      </c>
      <c r="G7" s="17">
        <f t="shared" si="0"/>
        <v>23028</v>
      </c>
      <c r="H7" s="17">
        <f t="shared" si="1"/>
        <v>1288.0743827405181</v>
      </c>
      <c r="I7" s="17">
        <f t="shared" si="2"/>
        <v>21739.925617259483</v>
      </c>
    </row>
    <row r="8" spans="1:9" ht="15.75" customHeight="1" x14ac:dyDescent="0.25">
      <c r="A8" s="5">
        <f t="shared" si="3"/>
        <v>2030</v>
      </c>
      <c r="B8" s="49">
        <v>1113</v>
      </c>
      <c r="C8" s="50">
        <v>3805.5</v>
      </c>
      <c r="D8" s="50">
        <v>6500.9999999999991</v>
      </c>
      <c r="E8" s="50">
        <v>6340</v>
      </c>
      <c r="F8" s="50">
        <v>6282.5</v>
      </c>
      <c r="G8" s="17">
        <f t="shared" si="0"/>
        <v>22929</v>
      </c>
      <c r="H8" s="17">
        <f t="shared" si="1"/>
        <v>1280.0239178483898</v>
      </c>
      <c r="I8" s="17">
        <f t="shared" si="2"/>
        <v>21648.97608215161</v>
      </c>
    </row>
    <row r="9" spans="1:9" ht="15.75" customHeight="1" x14ac:dyDescent="0.25">
      <c r="A9" s="5">
        <f t="shared" si="3"/>
        <v>2031</v>
      </c>
      <c r="B9" s="49">
        <v>1106</v>
      </c>
      <c r="C9" s="50">
        <v>3791.5</v>
      </c>
      <c r="D9" s="50">
        <v>6529</v>
      </c>
      <c r="E9" s="50">
        <v>6305.5</v>
      </c>
      <c r="F9" s="50">
        <v>6185.4999999999991</v>
      </c>
      <c r="G9" s="17">
        <f t="shared" si="0"/>
        <v>22811.5</v>
      </c>
      <c r="H9" s="17">
        <f t="shared" si="1"/>
        <v>1271.9734529562613</v>
      </c>
      <c r="I9" s="17">
        <f t="shared" si="2"/>
        <v>21539.526547043737</v>
      </c>
    </row>
    <row r="10" spans="1:9" ht="15.75" customHeight="1" x14ac:dyDescent="0.25">
      <c r="A10" s="5">
        <f t="shared" si="3"/>
        <v>2032</v>
      </c>
      <c r="B10" s="49">
        <v>1100</v>
      </c>
      <c r="C10" s="50">
        <v>3723.5</v>
      </c>
      <c r="D10" s="50">
        <v>6578.5</v>
      </c>
      <c r="E10" s="50">
        <v>6228</v>
      </c>
      <c r="F10" s="50">
        <v>6120.5</v>
      </c>
      <c r="G10" s="17">
        <f t="shared" si="0"/>
        <v>22650.5</v>
      </c>
      <c r="H10" s="17">
        <f t="shared" si="1"/>
        <v>1265.0730544772944</v>
      </c>
      <c r="I10" s="17">
        <f t="shared" si="2"/>
        <v>21385.426945522704</v>
      </c>
    </row>
    <row r="11" spans="1:9" ht="15.75" customHeight="1" x14ac:dyDescent="0.25">
      <c r="A11" s="5">
        <f t="shared" si="3"/>
        <v>2033</v>
      </c>
      <c r="B11" s="49">
        <v>1094</v>
      </c>
      <c r="C11" s="50">
        <v>3606.5</v>
      </c>
      <c r="D11" s="50">
        <v>6664</v>
      </c>
      <c r="E11" s="50">
        <v>6118</v>
      </c>
      <c r="F11" s="50">
        <v>6080</v>
      </c>
      <c r="G11" s="17">
        <f t="shared" si="0"/>
        <v>22468.5</v>
      </c>
      <c r="H11" s="17">
        <f t="shared" si="1"/>
        <v>1258.1726559983274</v>
      </c>
      <c r="I11" s="17">
        <f t="shared" si="2"/>
        <v>21210.327344001671</v>
      </c>
    </row>
    <row r="12" spans="1:9" ht="15.75" customHeight="1" x14ac:dyDescent="0.25">
      <c r="A12" s="5">
        <f t="shared" si="3"/>
        <v>2034</v>
      </c>
      <c r="B12" s="49">
        <v>1090</v>
      </c>
      <c r="C12" s="50">
        <v>3460.5</v>
      </c>
      <c r="D12" s="50">
        <v>6779.5000000000009</v>
      </c>
      <c r="E12" s="50">
        <v>5996.5</v>
      </c>
      <c r="F12" s="50">
        <v>6053</v>
      </c>
      <c r="G12" s="17">
        <f t="shared" si="0"/>
        <v>22289.5</v>
      </c>
      <c r="H12" s="17">
        <f t="shared" si="1"/>
        <v>1253.5723903456828</v>
      </c>
      <c r="I12" s="17">
        <f t="shared" si="2"/>
        <v>21035.927609654318</v>
      </c>
    </row>
    <row r="13" spans="1:9" ht="15.75" customHeight="1" x14ac:dyDescent="0.25">
      <c r="A13" s="5">
        <f t="shared" si="3"/>
        <v>2035</v>
      </c>
      <c r="B13" s="49">
        <v>1085</v>
      </c>
      <c r="C13" s="50">
        <v>3290</v>
      </c>
      <c r="D13" s="50">
        <v>6907.9999999999991</v>
      </c>
      <c r="E13" s="50">
        <v>5885</v>
      </c>
      <c r="F13" s="50">
        <v>6032.9999999999991</v>
      </c>
      <c r="G13" s="17">
        <f t="shared" si="0"/>
        <v>22116</v>
      </c>
      <c r="H13" s="17">
        <f t="shared" si="1"/>
        <v>1247.8220582798767</v>
      </c>
      <c r="I13" s="17">
        <f t="shared" si="2"/>
        <v>20868.177941720125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0.245679024567902</v>
      </c>
    </row>
    <row r="5" spans="1:8" ht="15.75" customHeight="1" x14ac:dyDescent="0.25">
      <c r="B5" s="19" t="s">
        <v>70</v>
      </c>
      <c r="C5" s="99">
        <v>2.1604902160490141E-2</v>
      </c>
    </row>
    <row r="6" spans="1:8" ht="15.75" customHeight="1" x14ac:dyDescent="0.25">
      <c r="B6" s="19" t="s">
        <v>71</v>
      </c>
      <c r="C6" s="99">
        <v>9.7325109732510948E-2</v>
      </c>
    </row>
    <row r="7" spans="1:8" ht="15.75" customHeight="1" x14ac:dyDescent="0.25">
      <c r="B7" s="19" t="s">
        <v>72</v>
      </c>
      <c r="C7" s="99">
        <v>0.36460903646090392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0.186625518662552</v>
      </c>
    </row>
    <row r="10" spans="1:8" ht="15.75" customHeight="1" x14ac:dyDescent="0.25">
      <c r="B10" s="19" t="s">
        <v>75</v>
      </c>
      <c r="C10" s="99">
        <v>8.4156408415640871E-2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82</v>
      </c>
      <c r="C15" s="99">
        <v>0.44874457216701419</v>
      </c>
      <c r="D15" s="99">
        <v>0.44874457216701419</v>
      </c>
      <c r="E15" s="99">
        <v>0.44874457216701419</v>
      </c>
      <c r="F15" s="99">
        <v>0.44874457216701419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0.26107037820752421</v>
      </c>
      <c r="D21" s="99">
        <v>0.26107037820752421</v>
      </c>
      <c r="E21" s="99">
        <v>0.26107037820752421</v>
      </c>
      <c r="F21" s="99">
        <v>0.26107037820752421</v>
      </c>
    </row>
    <row r="22" spans="1:8" ht="15.75" customHeight="1" x14ac:dyDescent="0.25">
      <c r="B22" s="19" t="s">
        <v>89</v>
      </c>
      <c r="C22" s="99">
        <v>1.135558378025292E-2</v>
      </c>
      <c r="D22" s="99">
        <v>1.135558378025292E-2</v>
      </c>
      <c r="E22" s="99">
        <v>1.135558378025292E-2</v>
      </c>
      <c r="F22" s="99">
        <v>1.135558378025292E-2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5.0091695999999998E-2</v>
      </c>
    </row>
    <row r="27" spans="1:8" ht="15.75" customHeight="1" x14ac:dyDescent="0.25">
      <c r="B27" s="19" t="s">
        <v>92</v>
      </c>
      <c r="C27" s="99">
        <v>4.9500180999999997E-2</v>
      </c>
    </row>
    <row r="28" spans="1:8" ht="15.75" customHeight="1" x14ac:dyDescent="0.25">
      <c r="B28" s="19" t="s">
        <v>93</v>
      </c>
      <c r="C28" s="99">
        <v>0.107511299</v>
      </c>
    </row>
    <row r="29" spans="1:8" ht="15.75" customHeight="1" x14ac:dyDescent="0.25">
      <c r="B29" s="19" t="s">
        <v>94</v>
      </c>
      <c r="C29" s="99">
        <v>0.189587958</v>
      </c>
    </row>
    <row r="30" spans="1:8" ht="15.75" customHeight="1" x14ac:dyDescent="0.25">
      <c r="B30" s="19" t="s">
        <v>95</v>
      </c>
      <c r="C30" s="99">
        <v>5.7170368999999999E-2</v>
      </c>
    </row>
    <row r="31" spans="1:8" ht="15.75" customHeight="1" x14ac:dyDescent="0.25">
      <c r="B31" s="19" t="s">
        <v>96</v>
      </c>
      <c r="C31" s="99">
        <v>0.16519774500000001</v>
      </c>
    </row>
    <row r="32" spans="1:8" ht="15.75" customHeight="1" x14ac:dyDescent="0.25">
      <c r="B32" s="19" t="s">
        <v>97</v>
      </c>
      <c r="C32" s="99">
        <v>4.2521530000000002E-2</v>
      </c>
    </row>
    <row r="33" spans="2:3" ht="15.75" customHeight="1" x14ac:dyDescent="0.25">
      <c r="B33" s="19" t="s">
        <v>98</v>
      </c>
      <c r="C33" s="99">
        <v>0.16630512</v>
      </c>
    </row>
    <row r="34" spans="2:3" ht="15.75" customHeight="1" x14ac:dyDescent="0.25">
      <c r="B34" s="19" t="s">
        <v>99</v>
      </c>
      <c r="C34" s="99">
        <v>0.17211410299999999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0.47491999999999995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0.62270000000000003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1.3402517919652024E-2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98483.010469999994</v>
      </c>
      <c r="C22" s="107">
        <v>98326.213369999998</v>
      </c>
      <c r="D22" s="107">
        <v>98003.960359999997</v>
      </c>
      <c r="E22" s="107">
        <v>97434.783320000002</v>
      </c>
      <c r="F22" s="107">
        <v>96752.861189999996</v>
      </c>
      <c r="G22" s="107">
        <v>95817.159589999996</v>
      </c>
      <c r="H22" s="107">
        <v>94592.800510000001</v>
      </c>
      <c r="I22" s="107">
        <v>93592.204769999997</v>
      </c>
      <c r="J22" s="107">
        <v>91229.059259999995</v>
      </c>
      <c r="K22" s="107">
        <v>88675.431089999998</v>
      </c>
      <c r="L22" s="107">
        <v>85276.945980000004</v>
      </c>
      <c r="M22" s="107">
        <v>80622.462610000002</v>
      </c>
      <c r="N22" s="107">
        <v>74840.41648</v>
      </c>
      <c r="O22" s="107">
        <v>67603.455820000003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13.4216815904578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13.4216815904578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13.4216815904578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13.4216815904578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13.4216815904578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13.4216815904578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0.43425000000000002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16.066557124329801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4.5352765038898664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155.3213010716627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0.93760060000000001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