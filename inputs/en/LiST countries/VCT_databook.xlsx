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C3297D8-D00A-438C-A652-CB1687A04ECD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<sst xmlns="http://schemas.openxmlformats.org/spreadsheetml/2006/main" count="2102" uniqueCount="341">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</sst>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6538.6036987304706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0.90741958618164109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0.13059999999999999</v>
      </c>
    </row>
    <row r="24" spans="1:3" ht="15" customHeight="1" x14ac:dyDescent="0.25">
      <c r="B24" s="15" t="s">
        <v>22</v>
      </c>
      <c r="C24" s="45">
        <v>0.55969999999999998</v>
      </c>
    </row>
    <row r="25" spans="1:3" ht="15" customHeight="1" x14ac:dyDescent="0.25">
      <c r="B25" s="15" t="s">
        <v>23</v>
      </c>
      <c r="C25" s="45">
        <v>0.28770000000000001</v>
      </c>
    </row>
    <row r="26" spans="1:3" ht="15" customHeight="1" x14ac:dyDescent="0.25">
      <c r="B26" s="15" t="s">
        <v>24</v>
      </c>
      <c r="C26" s="45">
        <v>2.1999999999999999E-2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0.38027698235904311</v>
      </c>
    </row>
    <row r="30" spans="1:3" ht="14.25" customHeight="1" x14ac:dyDescent="0.25">
      <c r="B30" s="25" t="s">
        <v>27</v>
      </c>
      <c r="C30" s="99">
        <v>5.4660418264349912E-2</v>
      </c>
    </row>
    <row r="31" spans="1:3" ht="14.25" customHeight="1" x14ac:dyDescent="0.25">
      <c r="B31" s="25" t="s">
        <v>28</v>
      </c>
      <c r="C31" s="99">
        <v>6.1967733026657798E-2</v>
      </c>
    </row>
    <row r="32" spans="1:3" ht="14.25" customHeight="1" x14ac:dyDescent="0.25">
      <c r="B32" s="25" t="s">
        <v>29</v>
      </c>
      <c r="C32" s="99">
        <v>0.50309486634994893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8.4706399999999995</v>
      </c>
    </row>
    <row r="38" spans="1:5" ht="15" customHeight="1" x14ac:dyDescent="0.25">
      <c r="B38" s="11" t="s">
        <v>34</v>
      </c>
      <c r="C38" s="43">
        <v>12.56386</v>
      </c>
      <c r="D38" s="12"/>
      <c r="E38" s="13"/>
    </row>
    <row r="39" spans="1:5" ht="15" customHeight="1" x14ac:dyDescent="0.25">
      <c r="B39" s="11" t="s">
        <v>35</v>
      </c>
      <c r="C39" s="43">
        <v>13.71026</v>
      </c>
      <c r="D39" s="12"/>
      <c r="E39" s="12"/>
    </row>
    <row r="40" spans="1:5" ht="15" customHeight="1" x14ac:dyDescent="0.25">
      <c r="B40" s="11" t="s">
        <v>36</v>
      </c>
      <c r="C40" s="100">
        <v>0.62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11.914770000000001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7.2014999999999996E-3</v>
      </c>
      <c r="D45" s="12"/>
    </row>
    <row r="46" spans="1:5" ht="15.75" customHeight="1" x14ac:dyDescent="0.25">
      <c r="B46" s="11" t="s">
        <v>41</v>
      </c>
      <c r="C46" s="45">
        <v>7.7378600000000006E-2</v>
      </c>
      <c r="D46" s="12"/>
    </row>
    <row r="47" spans="1:5" ht="15.75" customHeight="1" x14ac:dyDescent="0.25">
      <c r="B47" s="11" t="s">
        <v>42</v>
      </c>
      <c r="C47" s="45">
        <v>7.415250000000001E-2</v>
      </c>
      <c r="D47" s="12"/>
      <c r="E47" s="13"/>
    </row>
    <row r="48" spans="1:5" ht="15" customHeight="1" x14ac:dyDescent="0.25">
      <c r="B48" s="11" t="s">
        <v>43</v>
      </c>
      <c r="C48" s="46">
        <v>0.8412674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0.55246399999999996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1296</v>
      </c>
      <c r="C2" s="49">
        <v>4496</v>
      </c>
      <c r="D2" s="49">
        <v>7473</v>
      </c>
      <c r="E2" s="49">
        <v>7152</v>
      </c>
      <c r="F2" s="49">
        <v>6385.5</v>
      </c>
      <c r="G2" s="17">
        <f t="shared" ref="G2:G13" si="0">C2+D2+E2+F2</f>
        <v>25506.5</v>
      </c>
      <c r="H2" s="17">
        <f t="shared" ref="H2:H13" si="1">(B2 + stillbirth*B2/(1000-stillbirth))/(1-abortion)</f>
        <v>1490.4860714568849</v>
      </c>
      <c r="I2" s="17">
        <f t="shared" ref="I2:I13" si="2">G2-H2</f>
        <v>24016.013928543114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1290</v>
      </c>
      <c r="C3" s="50">
        <v>4566.5</v>
      </c>
      <c r="D3" s="50">
        <v>7345</v>
      </c>
      <c r="E3" s="50">
        <v>7191.5</v>
      </c>
      <c r="F3" s="50">
        <v>6430</v>
      </c>
      <c r="G3" s="17">
        <f t="shared" si="0"/>
        <v>25533</v>
      </c>
      <c r="H3" s="17">
        <f t="shared" si="1"/>
        <v>1483.585672977918</v>
      </c>
      <c r="I3" s="17">
        <f t="shared" si="2"/>
        <v>24049.414327022081</v>
      </c>
    </row>
    <row r="4" spans="1:9" ht="15.75" customHeight="1" x14ac:dyDescent="0.25">
      <c r="A4" s="5">
        <f t="shared" si="3"/>
        <v>2026</v>
      </c>
      <c r="B4" s="49">
        <v>1283</v>
      </c>
      <c r="C4" s="50">
        <v>4634.4999999999991</v>
      </c>
      <c r="D4" s="50">
        <v>7240</v>
      </c>
      <c r="E4" s="50">
        <v>7251</v>
      </c>
      <c r="F4" s="50">
        <v>6442</v>
      </c>
      <c r="G4" s="17">
        <f t="shared" si="0"/>
        <v>25567.5</v>
      </c>
      <c r="H4" s="17">
        <f t="shared" si="1"/>
        <v>1475.5352080857899</v>
      </c>
      <c r="I4" s="17">
        <f t="shared" si="2"/>
        <v>24091.964791914212</v>
      </c>
    </row>
    <row r="5" spans="1:9" ht="15.75" customHeight="1" x14ac:dyDescent="0.25">
      <c r="A5" s="5">
        <f t="shared" si="3"/>
        <v>2027</v>
      </c>
      <c r="B5" s="49">
        <v>1278</v>
      </c>
      <c r="C5" s="50">
        <v>4693</v>
      </c>
      <c r="D5" s="50">
        <v>7171.5</v>
      </c>
      <c r="E5" s="50">
        <v>7312</v>
      </c>
      <c r="F5" s="50">
        <v>6416</v>
      </c>
      <c r="G5" s="17">
        <f t="shared" si="0"/>
        <v>25592.5</v>
      </c>
      <c r="H5" s="17">
        <f t="shared" si="1"/>
        <v>1469.784876019984</v>
      </c>
      <c r="I5" s="17">
        <f t="shared" si="2"/>
        <v>24122.715123980015</v>
      </c>
    </row>
    <row r="6" spans="1:9" ht="15.75" customHeight="1" x14ac:dyDescent="0.25">
      <c r="A6" s="5">
        <f t="shared" si="3"/>
        <v>2028</v>
      </c>
      <c r="B6" s="49">
        <v>1273</v>
      </c>
      <c r="C6" s="50">
        <v>4726.5000000000009</v>
      </c>
      <c r="D6" s="50">
        <v>7147</v>
      </c>
      <c r="E6" s="50">
        <v>7367.5</v>
      </c>
      <c r="F6" s="50">
        <v>6364</v>
      </c>
      <c r="G6" s="17">
        <f t="shared" si="0"/>
        <v>25605</v>
      </c>
      <c r="H6" s="17">
        <f t="shared" si="1"/>
        <v>1464.0345439541779</v>
      </c>
      <c r="I6" s="17">
        <f t="shared" si="2"/>
        <v>24140.965456045822</v>
      </c>
    </row>
    <row r="7" spans="1:9" ht="15.75" customHeight="1" x14ac:dyDescent="0.25">
      <c r="A7" s="5">
        <f t="shared" si="3"/>
        <v>2029</v>
      </c>
      <c r="B7" s="49">
        <v>1269</v>
      </c>
      <c r="C7" s="50">
        <v>4733.0000000000009</v>
      </c>
      <c r="D7" s="50">
        <v>7154.5</v>
      </c>
      <c r="E7" s="50">
        <v>7416</v>
      </c>
      <c r="F7" s="50">
        <v>6299</v>
      </c>
      <c r="G7" s="17">
        <f t="shared" si="0"/>
        <v>25602.5</v>
      </c>
      <c r="H7" s="17">
        <f t="shared" si="1"/>
        <v>1459.4342783015334</v>
      </c>
      <c r="I7" s="17">
        <f t="shared" si="2"/>
        <v>24143.065721698465</v>
      </c>
    </row>
    <row r="8" spans="1:9" ht="15.75" customHeight="1" x14ac:dyDescent="0.25">
      <c r="A8" s="5">
        <f t="shared" si="3"/>
        <v>2030</v>
      </c>
      <c r="B8" s="49">
        <v>1264</v>
      </c>
      <c r="C8" s="50">
        <v>4710</v>
      </c>
      <c r="D8" s="50">
        <v>7171.5</v>
      </c>
      <c r="E8" s="50">
        <v>7450.5</v>
      </c>
      <c r="F8" s="50">
        <v>6225.5</v>
      </c>
      <c r="G8" s="17">
        <f t="shared" si="0"/>
        <v>25557.5</v>
      </c>
      <c r="H8" s="17">
        <f t="shared" si="1"/>
        <v>1453.6839462357273</v>
      </c>
      <c r="I8" s="17">
        <f t="shared" si="2"/>
        <v>24103.816053764273</v>
      </c>
    </row>
    <row r="9" spans="1:9" ht="15.75" customHeight="1" x14ac:dyDescent="0.25">
      <c r="A9" s="5">
        <f t="shared" si="3"/>
        <v>2031</v>
      </c>
      <c r="B9" s="49">
        <v>1260</v>
      </c>
      <c r="C9" s="50">
        <v>4652</v>
      </c>
      <c r="D9" s="50">
        <v>7192</v>
      </c>
      <c r="E9" s="50">
        <v>7435</v>
      </c>
      <c r="F9" s="50">
        <v>6143</v>
      </c>
      <c r="G9" s="17">
        <f t="shared" si="0"/>
        <v>25422</v>
      </c>
      <c r="H9" s="17">
        <f t="shared" si="1"/>
        <v>1449.0836805830827</v>
      </c>
      <c r="I9" s="17">
        <f t="shared" si="2"/>
        <v>23972.916319416916</v>
      </c>
    </row>
    <row r="10" spans="1:9" ht="15.75" customHeight="1" x14ac:dyDescent="0.25">
      <c r="A10" s="5">
        <f t="shared" si="3"/>
        <v>2032</v>
      </c>
      <c r="B10" s="49">
        <v>1250</v>
      </c>
      <c r="C10" s="50">
        <v>4558</v>
      </c>
      <c r="D10" s="50">
        <v>7227.5</v>
      </c>
      <c r="E10" s="50">
        <v>7359</v>
      </c>
      <c r="F10" s="50">
        <v>6087</v>
      </c>
      <c r="G10" s="17">
        <f t="shared" si="0"/>
        <v>25231.5</v>
      </c>
      <c r="H10" s="17">
        <f t="shared" si="1"/>
        <v>1437.5830164514709</v>
      </c>
      <c r="I10" s="17">
        <f t="shared" si="2"/>
        <v>23793.91698354853</v>
      </c>
    </row>
    <row r="11" spans="1:9" ht="15.75" customHeight="1" x14ac:dyDescent="0.25">
      <c r="A11" s="5">
        <f t="shared" si="3"/>
        <v>2033</v>
      </c>
      <c r="B11" s="49">
        <v>1246</v>
      </c>
      <c r="C11" s="50">
        <v>4438.4999999999991</v>
      </c>
      <c r="D11" s="50">
        <v>7284.5</v>
      </c>
      <c r="E11" s="50">
        <v>7246.5</v>
      </c>
      <c r="F11" s="50">
        <v>6078.5</v>
      </c>
      <c r="G11" s="17">
        <f t="shared" si="0"/>
        <v>25048</v>
      </c>
      <c r="H11" s="17">
        <f t="shared" si="1"/>
        <v>1432.9827507988264</v>
      </c>
      <c r="I11" s="17">
        <f t="shared" si="2"/>
        <v>23615.017249201173</v>
      </c>
    </row>
    <row r="12" spans="1:9" ht="15.75" customHeight="1" x14ac:dyDescent="0.25">
      <c r="A12" s="5">
        <f t="shared" si="3"/>
        <v>2034</v>
      </c>
      <c r="B12" s="49">
        <v>1244</v>
      </c>
      <c r="C12" s="50">
        <v>4303.5000000000009</v>
      </c>
      <c r="D12" s="50">
        <v>7355.0000000000009</v>
      </c>
      <c r="E12" s="50">
        <v>7116</v>
      </c>
      <c r="F12" s="50">
        <v>6097.5</v>
      </c>
      <c r="G12" s="17">
        <f t="shared" si="0"/>
        <v>24872</v>
      </c>
      <c r="H12" s="17">
        <f t="shared" si="1"/>
        <v>1430.682617972504</v>
      </c>
      <c r="I12" s="17">
        <f t="shared" si="2"/>
        <v>23441.317382027497</v>
      </c>
    </row>
    <row r="13" spans="1:9" ht="15.75" customHeight="1" x14ac:dyDescent="0.25">
      <c r="A13" s="5">
        <f t="shared" si="3"/>
        <v>2035</v>
      </c>
      <c r="B13" s="49">
        <v>1237</v>
      </c>
      <c r="C13" s="50">
        <v>4158</v>
      </c>
      <c r="D13" s="50">
        <v>7426.5</v>
      </c>
      <c r="E13" s="50">
        <v>6989</v>
      </c>
      <c r="F13" s="50">
        <v>6147</v>
      </c>
      <c r="G13" s="17">
        <f t="shared" si="0"/>
        <v>24720.5</v>
      </c>
      <c r="H13" s="17">
        <f t="shared" si="1"/>
        <v>1422.6321530803757</v>
      </c>
      <c r="I13" s="17">
        <f t="shared" si="2"/>
        <v>23297.867846919624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0.245679024567902</v>
      </c>
    </row>
    <row r="5" spans="1:8" ht="15.75" customHeight="1" x14ac:dyDescent="0.25">
      <c r="B5" s="19" t="s">
        <v>70</v>
      </c>
      <c r="C5" s="101">
        <v>2.1604902160490141E-2</v>
      </c>
    </row>
    <row r="6" spans="1:8" ht="15.75" customHeight="1" x14ac:dyDescent="0.25">
      <c r="B6" s="19" t="s">
        <v>71</v>
      </c>
      <c r="C6" s="101">
        <v>9.7325109732510948E-2</v>
      </c>
    </row>
    <row r="7" spans="1:8" ht="15.75" customHeight="1" x14ac:dyDescent="0.25">
      <c r="B7" s="19" t="s">
        <v>72</v>
      </c>
      <c r="C7" s="101">
        <v>0.36460903646090392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0.186625518662552</v>
      </c>
    </row>
    <row r="10" spans="1:8" ht="15.75" customHeight="1" x14ac:dyDescent="0.25">
      <c r="B10" s="19" t="s">
        <v>75</v>
      </c>
      <c r="C10" s="101">
        <v>8.4156408415640871E-2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0.27882946584520879</v>
      </c>
      <c r="D14" s="55">
        <v>0.27882946584520879</v>
      </c>
      <c r="E14" s="55">
        <v>0.27882946584520879</v>
      </c>
      <c r="F14" s="55">
        <v>0.27882946584520879</v>
      </c>
    </row>
    <row r="15" spans="1:8" ht="15.75" customHeight="1" x14ac:dyDescent="0.25">
      <c r="B15" s="19" t="s">
        <v>82</v>
      </c>
      <c r="C15" s="101">
        <v>0.44874457216701419</v>
      </c>
      <c r="D15" s="101">
        <v>0.44874457216701419</v>
      </c>
      <c r="E15" s="101">
        <v>0.44874457216701419</v>
      </c>
      <c r="F15" s="101">
        <v>0.44874457216701419</v>
      </c>
    </row>
    <row r="16" spans="1:8" ht="15.75" customHeight="1" x14ac:dyDescent="0.25">
      <c r="B16" s="19" t="s">
        <v>83</v>
      </c>
      <c r="C16" s="101">
        <v>0</v>
      </c>
      <c r="D16" s="101">
        <v>0</v>
      </c>
      <c r="E16" s="101">
        <v>0</v>
      </c>
      <c r="F16" s="101">
        <v>0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0.26107037820752421</v>
      </c>
      <c r="D21" s="101">
        <v>0.26107037820752421</v>
      </c>
      <c r="E21" s="101">
        <v>0.26107037820752421</v>
      </c>
      <c r="F21" s="101">
        <v>0.26107037820752421</v>
      </c>
    </row>
    <row r="22" spans="1:8" ht="15.75" customHeight="1" x14ac:dyDescent="0.25">
      <c r="B22" s="19" t="s">
        <v>89</v>
      </c>
      <c r="C22" s="101">
        <v>1.135558378025292E-2</v>
      </c>
      <c r="D22" s="101">
        <v>1.135558378025292E-2</v>
      </c>
      <c r="E22" s="101">
        <v>1.135558378025292E-2</v>
      </c>
      <c r="F22" s="101">
        <v>1.135558378025292E-2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5.0091695999999998E-2</v>
      </c>
    </row>
    <row r="27" spans="1:8" ht="15.75" customHeight="1" x14ac:dyDescent="0.25">
      <c r="B27" s="19" t="s">
        <v>92</v>
      </c>
      <c r="C27" s="101">
        <v>4.9500180999999997E-2</v>
      </c>
    </row>
    <row r="28" spans="1:8" ht="15.75" customHeight="1" x14ac:dyDescent="0.25">
      <c r="B28" s="19" t="s">
        <v>93</v>
      </c>
      <c r="C28" s="101">
        <v>0.107511299</v>
      </c>
    </row>
    <row r="29" spans="1:8" ht="15.75" customHeight="1" x14ac:dyDescent="0.25">
      <c r="B29" s="19" t="s">
        <v>94</v>
      </c>
      <c r="C29" s="101">
        <v>0.189587958</v>
      </c>
    </row>
    <row r="30" spans="1:8" ht="15.75" customHeight="1" x14ac:dyDescent="0.25">
      <c r="B30" s="19" t="s">
        <v>95</v>
      </c>
      <c r="C30" s="101">
        <v>5.7170368999999999E-2</v>
      </c>
    </row>
    <row r="31" spans="1:8" ht="15.75" customHeight="1" x14ac:dyDescent="0.25">
      <c r="B31" s="19" t="s">
        <v>96</v>
      </c>
      <c r="C31" s="101">
        <v>0.16519774500000001</v>
      </c>
    </row>
    <row r="32" spans="1:8" ht="15.75" customHeight="1" x14ac:dyDescent="0.25">
      <c r="B32" s="19" t="s">
        <v>97</v>
      </c>
      <c r="C32" s="101">
        <v>4.2521530000000002E-2</v>
      </c>
    </row>
    <row r="33" spans="2:3" ht="15.75" customHeight="1" x14ac:dyDescent="0.25">
      <c r="B33" s="19" t="s">
        <v>98</v>
      </c>
      <c r="C33" s="101">
        <v>0.16630512</v>
      </c>
    </row>
    <row r="34" spans="2:3" ht="15.75" customHeight="1" x14ac:dyDescent="0.25">
      <c r="B34" s="19" t="s">
        <v>99</v>
      </c>
      <c r="C34" s="101">
        <v>0.17211410299999999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104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0.39112227900000002</v>
      </c>
      <c r="D14" s="54">
        <v>0.36316351757300003</v>
      </c>
      <c r="E14" s="54">
        <v>0.36316351757300003</v>
      </c>
      <c r="F14" s="54">
        <v>0.27569453613299999</v>
      </c>
      <c r="G14" s="54">
        <v>0.27569453613299999</v>
      </c>
      <c r="H14" s="45">
        <v>0.28100000000000003</v>
      </c>
      <c r="I14" s="55">
        <v>0.28100000000000003</v>
      </c>
      <c r="J14" s="55">
        <v>0.28100000000000003</v>
      </c>
      <c r="K14" s="55">
        <v>0.28100000000000003</v>
      </c>
      <c r="L14" s="45">
        <v>0.24399999999999999</v>
      </c>
      <c r="M14" s="55">
        <v>0.24399999999999999</v>
      </c>
      <c r="N14" s="55">
        <v>0.24399999999999999</v>
      </c>
      <c r="O14" s="55">
        <v>0.24399999999999999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0.21608097874545598</v>
      </c>
      <c r="D15" s="52">
        <f t="shared" si="0"/>
        <v>0.20063476957244988</v>
      </c>
      <c r="E15" s="52">
        <f t="shared" si="0"/>
        <v>0.20063476957244988</v>
      </c>
      <c r="F15" s="52">
        <f t="shared" si="0"/>
        <v>0.15231130621018169</v>
      </c>
      <c r="G15" s="52">
        <f t="shared" si="0"/>
        <v>0.15231130621018169</v>
      </c>
      <c r="H15" s="52">
        <f t="shared" si="0"/>
        <v>0.15524238400000001</v>
      </c>
      <c r="I15" s="52">
        <f t="shared" si="0"/>
        <v>0.15524238400000001</v>
      </c>
      <c r="J15" s="52">
        <f t="shared" si="0"/>
        <v>0.15524238400000001</v>
      </c>
      <c r="K15" s="52">
        <f t="shared" si="0"/>
        <v>0.15524238400000001</v>
      </c>
      <c r="L15" s="52">
        <f t="shared" si="0"/>
        <v>0.13480121599999997</v>
      </c>
      <c r="M15" s="52">
        <f t="shared" si="0"/>
        <v>0.13480121599999997</v>
      </c>
      <c r="N15" s="52">
        <f t="shared" si="0"/>
        <v>0.13480121599999997</v>
      </c>
      <c r="O15" s="52">
        <f t="shared" si="0"/>
        <v>0.13480121599999997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122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76.288343665672741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40.289382146661893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700.65961955315572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4.0450576957307653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13.4216815904578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13.4216815904578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13.4216815904578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13.4216815904578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13.4216815904578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13.4216815904578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1.1284473903531529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0.43425000000000002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16.066557124329801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0.89701059999999999</v>
      </c>
      <c r="C19" s="98">
        <v>0.95</v>
      </c>
      <c r="D19" s="56">
        <v>16.066557124329801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0.93760060000000001</v>
      </c>
      <c r="C21" s="98">
        <v>0.95</v>
      </c>
      <c r="D21" s="56">
        <v>34.565331454239143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23.37624640899082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4.5352765038898664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18.982349980949131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155.3213010716627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0.81553707763180794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2.465064572305748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2.412570092323977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205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4.5656031074523692E-2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1.9566870460510151E-2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2.7357512283325055E-2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0.90741958618164109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2024-05-09T01:46:50Z</dcterms:modified>
</cp:coreProperties>
</file>