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312EC40-5B8B-4524-9CEB-DF3714F5122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4" i="2"/>
  <c r="A33" i="2"/>
  <c r="A29" i="2"/>
  <c r="A26" i="2"/>
  <c r="A25" i="2"/>
  <c r="A21" i="2"/>
  <c r="A18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2" i="2" s="1"/>
  <c r="C33" i="1"/>
  <c r="C20" i="1"/>
  <c r="A19" i="2" l="1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<sst xmlns="http://schemas.openxmlformats.org/spreadsheetml/2006/main" count="2103" uniqueCount="341">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</sst>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765421.328125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0.59812629699706998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0.12590000000000001</v>
      </c>
    </row>
    <row r="24" spans="1:3" ht="15" customHeight="1" x14ac:dyDescent="0.25">
      <c r="B24" s="15" t="s">
        <v>22</v>
      </c>
      <c r="C24" s="45">
        <v>0.54390000000000005</v>
      </c>
    </row>
    <row r="25" spans="1:3" ht="15" customHeight="1" x14ac:dyDescent="0.25">
      <c r="B25" s="15" t="s">
        <v>23</v>
      </c>
      <c r="C25" s="45">
        <v>0.28079999999999999</v>
      </c>
    </row>
    <row r="26" spans="1:3" ht="15" customHeight="1" x14ac:dyDescent="0.25">
      <c r="B26" s="15" t="s">
        <v>24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0.17313998999999899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46.514149795651832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42.714114955724838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233.86921568365631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0.73934083451614718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2.3195500000000001E-2</v>
      </c>
      <c r="C10" s="98">
        <v>0.95</v>
      </c>
      <c r="D10" s="56">
        <v>13.73182685574543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13.73182685574543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13.73182685574543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13.73182685574543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2.3195500000000001E-2</v>
      </c>
      <c r="C14" s="98">
        <v>0.95</v>
      </c>
      <c r="D14" s="56">
        <v>13.73182685574543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13.73182685574543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0.47098850075500898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0.41442689999999999</v>
      </c>
      <c r="C18" s="98">
        <v>0.95</v>
      </c>
      <c r="D18" s="56">
        <v>5.4458602900381443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0.41442689999999999</v>
      </c>
      <c r="C19" s="98">
        <v>0.95</v>
      </c>
      <c r="D19" s="56">
        <v>5.4458602900381443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7.0380951679412087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23.53711431198905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4.58111376863544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0.71204221746141994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2.3195500000000001E-2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19.73010065732856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0.36409789999999997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0.59765410000000008</v>
      </c>
      <c r="C29" s="98">
        <v>0.95</v>
      </c>
      <c r="D29" s="56">
        <v>87.366174813676366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2.4513909123146012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0.97</v>
      </c>
      <c r="C32" s="98">
        <v>0.95</v>
      </c>
      <c r="D32" s="56">
        <v>0.98014443964829323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0.61718569999999995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7.1143999999999999E-2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0.93661349999999999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0.21817230000000001</v>
      </c>
      <c r="C38" s="98">
        <v>0.95</v>
      </c>
      <c r="D38" s="56">
        <v>3.4726556862575531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205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0.38700000000000001</v>
      </c>
      <c r="M24" s="60">
        <f>famplan_unmet_need</f>
        <v>0.38700000000000001</v>
      </c>
      <c r="N24" s="60">
        <f>famplan_unmet_need</f>
        <v>0.38700000000000001</v>
      </c>
      <c r="O24" s="60">
        <f>famplan_unmet_need</f>
        <v>0.38700000000000001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0.19767765577011123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8.4718995330047675E-2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0.11947705190277109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0.59812629699706998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0.10910165463536647</v>
      </c>
      <c r="G18" s="90">
        <f>MIN(MAX(1-0.89/(1-frac_sam_12_23months+(frac_sam_12_23months*0.89)),0),1)</f>
        <v>0.10908718498433989</v>
      </c>
      <c r="H18" s="90">
        <f>MIN(MAX(1-0.89/(1-frac_sam_24_59months+(frac_sam_24_59months*0.89)),0),1)</f>
        <v>0.10959478370930786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0.10795911839984551</v>
      </c>
      <c r="G20" s="90">
        <f>MIN(MAX(1-0.89/(1-frac_mam_12_23months+(frac_mam_12_23months*0.89)),0),1)</f>
        <v>0.10894820335028643</v>
      </c>
      <c r="H20" s="90">
        <f>MIN(MAX(1-0.89/(1-frac_mam_24_59months+(frac_mam_24_59months*0.89)),0),1)</f>
        <v>0.1090771099056862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9.909239370063827E-3</v>
      </c>
      <c r="G73" s="90">
        <f>MIN(MAX(1-0.99/(1-frac_sam_12_23months+(frac_sam_12_23months*0.99)),0),1)</f>
        <v>9.9077788501531483E-3</v>
      </c>
      <c r="H73" s="90">
        <f>MIN(MAX(1-0.99/(1-frac_sam_24_59months+(frac_sam_24_59months*0.99)),0),1)</f>
        <v>9.9590400254039313E-3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9.7940480542607622E-3</v>
      </c>
      <c r="G75" s="90">
        <f>MIN(MAX(1-0.99/(1-frac_mam_12_23months+(frac_mam_12_23months*0.99)),0),1)</f>
        <v>9.8937526887072913E-3</v>
      </c>
      <c r="H75" s="90">
        <f>MIN(MAX(1-0.99/(1-frac_mam_24_59months+(frac_mam_24_59months*0.99)),0),1)</f>
        <v>9.9067619296777654E-3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0.19853060203515915</v>
      </c>
      <c r="G128" s="90">
        <f>MIN(MAX(1-0.8/(1-frac_sam_12_23months+(frac_sam_12_23months*0.8)),0),1)</f>
        <v>0.19850691456099734</v>
      </c>
      <c r="H128" s="90">
        <f>MIN(MAX(1-0.8/(1-frac_sam_24_59months+(frac_sam_24_59months*0.8)),0),1)</f>
        <v>0.1993374998208518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0.19665827515984446</v>
      </c>
      <c r="G130" s="90">
        <f>MIN(MAX(1-0.8/(1-frac_mam_12_23months+(frac_mam_12_23months*0.8)),0),1)</f>
        <v>0.19827936320372053</v>
      </c>
      <c r="H130" s="90">
        <f>MIN(MAX(1-0.8/(1-frac_mam_24_59months+(frac_mam_24_59months*0.8)),0),1)</f>
        <v>0.19849042082839663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2024-06-18T06:55:52Z</dcterms:modified>
</cp:coreProperties>
</file>