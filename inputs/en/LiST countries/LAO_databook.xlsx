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1737EB4-12B3-4618-BE20-E492CA68D45C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<sst xmlns="http://schemas.openxmlformats.org/spreadsheetml/2006/main" count="2159" uniqueCount="372">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</sst>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787658</v>
      </c>
    </row>
    <row r="8" spans="1:3" ht="15" customHeight="1" x14ac:dyDescent="0.25">
      <c r="B8" s="5" t="s">
        <v>8</v>
      </c>
      <c r="C8" s="44">
        <v>0.183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0.5935568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0.1330297503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0.12590000000000001</v>
      </c>
    </row>
    <row r="24" spans="1:3" ht="15" customHeight="1" x14ac:dyDescent="0.25">
      <c r="B24" s="15" t="s">
        <v>22</v>
      </c>
      <c r="C24" s="45">
        <v>0.54390000000000005</v>
      </c>
    </row>
    <row r="25" spans="1:3" ht="15" customHeight="1" x14ac:dyDescent="0.25">
      <c r="B25" s="15" t="s">
        <v>23</v>
      </c>
      <c r="C25" s="45">
        <v>0.28079999999999999</v>
      </c>
    </row>
    <row r="26" spans="1:3" ht="15" customHeight="1" x14ac:dyDescent="0.25">
      <c r="B26" s="15" t="s">
        <v>24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0.16732315780000001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2054.4307808649601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0.45286000000000004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0.58804000000000001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1.8231930184053856E-2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95514.403850000002</v>
      </c>
      <c r="C22" s="109">
        <v>95181.562569999995</v>
      </c>
      <c r="D22" s="109">
        <v>94744.028479999994</v>
      </c>
      <c r="E22" s="109">
        <v>94298.388489999998</v>
      </c>
      <c r="F22" s="109">
        <v>93666.388959999997</v>
      </c>
      <c r="G22" s="109">
        <v>92966.42353</v>
      </c>
      <c r="H22" s="109">
        <v>92102.515169999999</v>
      </c>
      <c r="I22" s="109">
        <v>90949.745920000001</v>
      </c>
      <c r="J22" s="109">
        <v>89252.106629999995</v>
      </c>
      <c r="K22" s="109">
        <v>86802.733049999995</v>
      </c>
      <c r="L22" s="109">
        <v>83085.947740000003</v>
      </c>
      <c r="M22" s="109">
        <v>77736.847880000001</v>
      </c>
      <c r="N22" s="109">
        <v>69990.703120000006</v>
      </c>
      <c r="O22" s="109">
        <v>59886.300360000001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0.73934083451614718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1.899427422400078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2.3195500000000001E-2</v>
      </c>
      <c r="C10" s="98">
        <v>0.95</v>
      </c>
      <c r="D10" s="56">
        <v>13.73182685574543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13.73182685574543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13.73182685574543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13.73182685574543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2.3195500000000001E-2</v>
      </c>
      <c r="C14" s="98">
        <v>0.95</v>
      </c>
      <c r="D14" s="56">
        <v>13.73182685574543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13.73182685574543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0.41442689999999999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0.41442689999999999</v>
      </c>
      <c r="C19" s="98">
        <v>0.95</v>
      </c>
      <c r="D19" s="56">
        <v>5.4458602900381443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4.58111376863544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0.71204221746141994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0.36409789999999997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0.59765410000000008</v>
      </c>
      <c r="C29" s="98">
        <v>0.95</v>
      </c>
      <c r="D29" s="56">
        <v>33.321934882307978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53.05041964170676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0.97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0.61718569999999995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7.1143999999999999E-2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0.93661349999999999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0.21817230000000001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198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0.183</v>
      </c>
      <c r="F2" s="60">
        <f>food_insecure</f>
        <v>0.183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0.183</v>
      </c>
      <c r="F5" s="60">
        <f>food_insecure</f>
        <v>0.183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0.183</v>
      </c>
      <c r="F8" s="60">
        <f>food_insecure</f>
        <v>0.183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0.183</v>
      </c>
      <c r="F9" s="60">
        <f>food_insecure</f>
        <v>0.183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0.183</v>
      </c>
      <c r="I15" s="60">
        <f t="shared" si="0"/>
        <v>0.183</v>
      </c>
      <c r="J15" s="60">
        <f t="shared" si="0"/>
        <v>0.183</v>
      </c>
      <c r="K15" s="60">
        <f t="shared" si="0"/>
        <v>0.183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0.183</v>
      </c>
      <c r="I16" s="60">
        <f t="shared" si="0"/>
        <v>0.183</v>
      </c>
      <c r="J16" s="60">
        <f t="shared" si="0"/>
        <v>0.183</v>
      </c>
      <c r="K16" s="60">
        <f t="shared" si="0"/>
        <v>0.183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0.1330297503</v>
      </c>
      <c r="M24" s="60">
        <f>famplan_unmet_need</f>
        <v>0.1330297503</v>
      </c>
      <c r="N24" s="60">
        <f>famplan_unmet_need</f>
        <v>0.1330297503</v>
      </c>
      <c r="O24" s="60">
        <f>famplan_unmet_need</f>
        <v>0.1330297503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0.21477678017599997</v>
      </c>
      <c r="M25" s="60">
        <f>(1-food_insecure)*(0.49)+food_insecure*(0.7)</f>
        <v>0.52842999999999996</v>
      </c>
      <c r="N25" s="60">
        <f>(1-food_insecure)*(0.49)+food_insecure*(0.7)</f>
        <v>0.52842999999999996</v>
      </c>
      <c r="O25" s="60">
        <f>(1-food_insecure)*(0.49)+food_insecure*(0.7)</f>
        <v>0.52842999999999996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9.2047191503999995E-2</v>
      </c>
      <c r="M26" s="60">
        <f>(1-food_insecure)*(0.21)+food_insecure*(0.3)</f>
        <v>0.22646999999999998</v>
      </c>
      <c r="N26" s="60">
        <f>(1-food_insecure)*(0.21)+food_insecure*(0.3)</f>
        <v>0.22646999999999998</v>
      </c>
      <c r="O26" s="60">
        <f>(1-food_insecure)*(0.21)+food_insecure*(0.3)</f>
        <v>0.22646999999999998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9.9619228319999989E-2</v>
      </c>
      <c r="M27" s="60">
        <f>(1-food_insecure)*(0.3)</f>
        <v>0.24509999999999998</v>
      </c>
      <c r="N27" s="60">
        <f>(1-food_insecure)*(0.3)</f>
        <v>0.24509999999999998</v>
      </c>
      <c r="O27" s="60">
        <f>(1-food_insecure)*(0.3)</f>
        <v>0.24509999999999998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0.5935568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