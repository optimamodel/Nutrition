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184C188-3834-4151-A580-CEF1A39614A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2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22" i="2"/>
  <c r="A31" i="2"/>
  <c r="A24" i="2"/>
  <c r="A17" i="2"/>
  <c r="A25" i="2"/>
  <c r="A33" i="2"/>
  <c r="A19" i="2"/>
  <c r="A27" i="2"/>
  <c r="A35" i="2"/>
  <c r="A20" i="2"/>
  <c r="A28" i="2"/>
  <c r="A36" i="2"/>
  <c r="A29" i="2"/>
  <c r="A37" i="2"/>
  <c r="A38" i="2"/>
  <c r="A30" i="2"/>
  <c r="A14" i="2"/>
  <c r="A40" i="2"/>
  <c r="A15" i="2"/>
  <c r="A23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<sst xmlns="http://schemas.openxmlformats.org/spreadsheetml/2006/main" count="2103" uniqueCount="341">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</sst>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949613.859375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9">
        <v>0.1507706</v>
      </c>
    </row>
    <row r="31" spans="1:3" ht="14.25" customHeight="1" x14ac:dyDescent="0.25">
      <c r="B31" s="25" t="s">
        <v>28</v>
      </c>
      <c r="C31" s="99">
        <v>0.1398258</v>
      </c>
    </row>
    <row r="32" spans="1:3" ht="14.25" customHeight="1" x14ac:dyDescent="0.25">
      <c r="B32" s="25" t="s">
        <v>29</v>
      </c>
      <c r="C32" s="99">
        <v>0.50279200000000002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101">
        <v>4.6976770839802673E-2</v>
      </c>
    </row>
    <row r="5" spans="1:8" ht="15.75" customHeight="1" x14ac:dyDescent="0.25">
      <c r="B5" s="19" t="s">
        <v>70</v>
      </c>
      <c r="C5" s="101">
        <v>2.6624890601855591E-2</v>
      </c>
    </row>
    <row r="6" spans="1:8" ht="15.75" customHeight="1" x14ac:dyDescent="0.25">
      <c r="B6" s="19" t="s">
        <v>71</v>
      </c>
      <c r="C6" s="101">
        <v>0.18347795240476961</v>
      </c>
    </row>
    <row r="7" spans="1:8" ht="15.75" customHeight="1" x14ac:dyDescent="0.25">
      <c r="B7" s="19" t="s">
        <v>72</v>
      </c>
      <c r="C7" s="101">
        <v>0.43461038759071241</v>
      </c>
    </row>
    <row r="8" spans="1:8" ht="15.75" customHeight="1" x14ac:dyDescent="0.25">
      <c r="B8" s="19" t="s">
        <v>73</v>
      </c>
      <c r="C8" s="101">
        <v>2.0131958839595101E-4</v>
      </c>
    </row>
    <row r="9" spans="1:8" ht="15.75" customHeight="1" x14ac:dyDescent="0.25">
      <c r="B9" s="19" t="s">
        <v>74</v>
      </c>
      <c r="C9" s="101">
        <v>0.23871112659261709</v>
      </c>
    </row>
    <row r="10" spans="1:8" ht="15.75" customHeight="1" x14ac:dyDescent="0.25">
      <c r="B10" s="19" t="s">
        <v>75</v>
      </c>
      <c r="C10" s="101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83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87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89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101">
        <v>3.6968140000000001E-3</v>
      </c>
    </row>
    <row r="28" spans="1:8" ht="15.75" customHeight="1" x14ac:dyDescent="0.25">
      <c r="B28" s="19" t="s">
        <v>93</v>
      </c>
      <c r="C28" s="101">
        <v>0.34672293799999998</v>
      </c>
    </row>
    <row r="29" spans="1:8" ht="15.75" customHeight="1" x14ac:dyDescent="0.25">
      <c r="B29" s="19" t="s">
        <v>94</v>
      </c>
      <c r="C29" s="101">
        <v>0.10583593600000001</v>
      </c>
    </row>
    <row r="30" spans="1:8" ht="15.75" customHeight="1" x14ac:dyDescent="0.25">
      <c r="B30" s="19" t="s">
        <v>95</v>
      </c>
      <c r="C30" s="101">
        <v>4.4921836E-2</v>
      </c>
    </row>
    <row r="31" spans="1:8" ht="15.75" customHeight="1" x14ac:dyDescent="0.25">
      <c r="B31" s="19" t="s">
        <v>96</v>
      </c>
      <c r="C31" s="101">
        <v>3.5084725999999997E-2</v>
      </c>
    </row>
    <row r="32" spans="1:8" ht="15.75" customHeight="1" x14ac:dyDescent="0.25">
      <c r="B32" s="19" t="s">
        <v>97</v>
      </c>
      <c r="C32" s="101">
        <v>8.1190229000000003E-2</v>
      </c>
    </row>
    <row r="33" spans="2:3" ht="15.75" customHeight="1" x14ac:dyDescent="0.25">
      <c r="B33" s="19" t="s">
        <v>98</v>
      </c>
      <c r="C33" s="101">
        <v>9.2724770999999998E-2</v>
      </c>
    </row>
    <row r="34" spans="2:3" ht="15.75" customHeight="1" x14ac:dyDescent="0.25">
      <c r="B34" s="19" t="s">
        <v>99</v>
      </c>
      <c r="C34" s="101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55.12482350799813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39.815027292809162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368.86463746807789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2.1750029685526528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12.947326736605079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12.947326736605079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12.947326736605079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12.947326736605079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12.947326736605079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12.947326736605079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0.65409253650042354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0.1186436</v>
      </c>
      <c r="C18" s="98">
        <v>0.95</v>
      </c>
      <c r="D18" s="56">
        <v>8.5173575549872886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0.1186436</v>
      </c>
      <c r="C19" s="98">
        <v>0.95</v>
      </c>
      <c r="D19" s="56">
        <v>8.5173575549872886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23.330746965205979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4.2388047202319106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0.7126937777643001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18.508269134264211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0.39602369999999998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0.63161319999999999</v>
      </c>
      <c r="C29" s="98">
        <v>0.95</v>
      </c>
      <c r="D29" s="56">
        <v>107.01874447998669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1.8336841254333389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1.3977661511371069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0.84269210000000006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0.1490117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9.7786999999999995E-3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0.93248249999999999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3.8737199999999999E-2</v>
      </c>
      <c r="C38" s="98">
        <v>0.95</v>
      </c>
      <c r="D38" s="56">
        <v>3.5105839673843442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205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0.1084877777420683</v>
      </c>
      <c r="G18" s="90">
        <f>MIN(MAX(1-0.89/(1-frac_sam_12_23months+(frac_sam_12_23months*0.89)),0),1)</f>
        <v>0.10977942559717735</v>
      </c>
      <c r="H18" s="90">
        <f>MIN(MAX(1-0.89/(1-frac_sam_24_59months+(frac_sam_24_59months*0.89)),0),1)</f>
        <v>0.10942602418201131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0.10836030223664384</v>
      </c>
      <c r="G20" s="90">
        <f>MIN(MAX(1-0.89/(1-frac_mam_12_23months+(frac_mam_12_23months*0.89)),0),1)</f>
        <v>0.10931977058587206</v>
      </c>
      <c r="H20" s="90">
        <f>MIN(MAX(1-0.89/(1-frac_mam_24_59months+(frac_mam_24_59months*0.89)),0),1)</f>
        <v>0.10916999408522909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9.8473144952844205E-3</v>
      </c>
      <c r="G73" s="90">
        <f>MIN(MAX(1-0.99/(1-frac_sam_12_23months+(frac_sam_12_23months*0.99)),0),1)</f>
        <v>9.9776997476868079E-3</v>
      </c>
      <c r="H73" s="90">
        <f>MIN(MAX(1-0.99/(1-frac_sam_24_59months+(frac_sam_24_59months*0.99)),0),1)</f>
        <v>9.9419915112245461E-3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9.8344651160436891E-3</v>
      </c>
      <c r="G75" s="90">
        <f>MIN(MAX(1-0.99/(1-frac_mam_12_23months+(frac_mam_12_23months*0.99)),0),1)</f>
        <v>9.9312605174864954E-3</v>
      </c>
      <c r="H75" s="90">
        <f>MIN(MAX(1-0.99/(1-frac_mam_24_59months+(frac_mam_24_59months*0.99)),0),1)</f>
        <v>9.916137916713863E-3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0.19752510322033967</v>
      </c>
      <c r="G128" s="90">
        <f>MIN(MAX(1-0.8/(1-frac_sam_12_23months+(frac_sam_12_23months*0.8)),0),1)</f>
        <v>0.19963943756662372</v>
      </c>
      <c r="H128" s="90">
        <f>MIN(MAX(1-0.8/(1-frac_sam_24_59months+(frac_sam_24_59months*0.8)),0),1)</f>
        <v>0.19906144418152072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0.19731616237419114</v>
      </c>
      <c r="G130" s="90">
        <f>MIN(MAX(1-0.8/(1-frac_mam_12_23months+(frac_mam_12_23months*0.8)),0),1)</f>
        <v>0.19888759133157119</v>
      </c>
      <c r="H130" s="90">
        <f>MIN(MAX(1-0.8/(1-frac_mam_24_59months+(frac_mam_24_59months*0.8)),0),1)</f>
        <v>0.19864246828697685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2024-06-18T06:57:34Z</dcterms:modified>
</cp:coreProperties>
</file>