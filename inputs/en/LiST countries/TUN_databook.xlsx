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765D951-6A8F-4C37-9393-294E006E6CE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33" i="2"/>
  <c r="A29" i="2"/>
  <c r="A27" i="2"/>
  <c r="A25" i="2"/>
  <c r="A21" i="2"/>
  <c r="A19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0" i="2" l="1"/>
  <c r="A28" i="2"/>
  <c r="A36" i="2"/>
  <c r="A22" i="2"/>
  <c r="A30" i="2"/>
  <c r="A38" i="2"/>
  <c r="A40" i="2"/>
  <c r="A14" i="2"/>
  <c r="A15" i="2"/>
  <c r="A23" i="2"/>
  <c r="A31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<sst xmlns="http://schemas.openxmlformats.org/spreadsheetml/2006/main" count="2092" uniqueCount="341">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</sst>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949613.859375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9">
        <v>0.1507706</v>
      </c>
    </row>
    <row r="31" spans="1:3" ht="14.25" customHeight="1" x14ac:dyDescent="0.25">
      <c r="B31" s="25" t="s">
        <v>28</v>
      </c>
      <c r="C31" s="99">
        <v>0.1398258</v>
      </c>
    </row>
    <row r="32" spans="1:3" ht="14.25" customHeight="1" x14ac:dyDescent="0.25">
      <c r="B32" s="25" t="s">
        <v>29</v>
      </c>
      <c r="C32" s="99">
        <v>0.50279200000000002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182155.84319999989</v>
      </c>
      <c r="C2" s="49">
        <v>404000</v>
      </c>
      <c r="D2" s="49">
        <v>790000</v>
      </c>
      <c r="E2" s="49">
        <v>6250000</v>
      </c>
      <c r="F2" s="49">
        <v>6064000</v>
      </c>
      <c r="G2" s="17">
        <f t="shared" ref="G2:G13" si="0">C2+D2+E2+F2</f>
        <v>13508000</v>
      </c>
      <c r="H2" s="17">
        <f t="shared" ref="H2:H13" si="1">(B2 + stillbirth*B2/(1000-stillbirth))/(1-abortion)</f>
        <v>209194.43918136347</v>
      </c>
      <c r="I2" s="17">
        <f t="shared" ref="I2:I13" si="2">G2-H2</f>
        <v>13298805.560818637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178250.016</v>
      </c>
      <c r="C3" s="50">
        <v>416000</v>
      </c>
      <c r="D3" s="50">
        <v>780000</v>
      </c>
      <c r="E3" s="50">
        <v>6227000</v>
      </c>
      <c r="F3" s="50">
        <v>6099000</v>
      </c>
      <c r="G3" s="17">
        <f t="shared" si="0"/>
        <v>13522000</v>
      </c>
      <c r="H3" s="17">
        <f t="shared" si="1"/>
        <v>204708.84422986818</v>
      </c>
      <c r="I3" s="17">
        <f t="shared" si="2"/>
        <v>13317291.155770132</v>
      </c>
    </row>
    <row r="4" spans="1:9" ht="15.75" customHeight="1" x14ac:dyDescent="0.25">
      <c r="A4" s="5">
        <f t="shared" si="3"/>
        <v>2026</v>
      </c>
      <c r="B4" s="49">
        <v>175602.51519999999</v>
      </c>
      <c r="C4" s="50">
        <v>431000</v>
      </c>
      <c r="D4" s="50">
        <v>774000</v>
      </c>
      <c r="E4" s="50">
        <v>6218000</v>
      </c>
      <c r="F4" s="50">
        <v>6125000</v>
      </c>
      <c r="G4" s="17">
        <f t="shared" si="0"/>
        <v>13548000</v>
      </c>
      <c r="H4" s="17">
        <f t="shared" si="1"/>
        <v>201668.35738432617</v>
      </c>
      <c r="I4" s="17">
        <f t="shared" si="2"/>
        <v>13346331.642615674</v>
      </c>
    </row>
    <row r="5" spans="1:9" ht="15.75" customHeight="1" x14ac:dyDescent="0.25">
      <c r="A5" s="5">
        <f t="shared" si="3"/>
        <v>2027</v>
      </c>
      <c r="B5" s="49">
        <v>172829.04120000001</v>
      </c>
      <c r="C5" s="50">
        <v>450000</v>
      </c>
      <c r="D5" s="50">
        <v>772000</v>
      </c>
      <c r="E5" s="50">
        <v>6222000</v>
      </c>
      <c r="F5" s="50">
        <v>6147000</v>
      </c>
      <c r="G5" s="17">
        <f t="shared" si="0"/>
        <v>13591000</v>
      </c>
      <c r="H5" s="17">
        <f t="shared" si="1"/>
        <v>198483.19830393884</v>
      </c>
      <c r="I5" s="17">
        <f t="shared" si="2"/>
        <v>13392516.801696062</v>
      </c>
    </row>
    <row r="6" spans="1:9" ht="15.75" customHeight="1" x14ac:dyDescent="0.25">
      <c r="A6" s="5">
        <f t="shared" si="3"/>
        <v>2028</v>
      </c>
      <c r="B6" s="49">
        <v>169947.71919999999</v>
      </c>
      <c r="C6" s="50">
        <v>470000</v>
      </c>
      <c r="D6" s="50">
        <v>774000</v>
      </c>
      <c r="E6" s="50">
        <v>6238000</v>
      </c>
      <c r="F6" s="50">
        <v>6161000</v>
      </c>
      <c r="G6" s="17">
        <f t="shared" si="0"/>
        <v>13643000</v>
      </c>
      <c r="H6" s="17">
        <f t="shared" si="1"/>
        <v>195174.18263196215</v>
      </c>
      <c r="I6" s="17">
        <f t="shared" si="2"/>
        <v>13447825.817368038</v>
      </c>
    </row>
    <row r="7" spans="1:9" ht="15.75" customHeight="1" x14ac:dyDescent="0.25">
      <c r="A7" s="5">
        <f t="shared" si="3"/>
        <v>2029</v>
      </c>
      <c r="B7" s="49">
        <v>166949.26079999999</v>
      </c>
      <c r="C7" s="50">
        <v>486000</v>
      </c>
      <c r="D7" s="50">
        <v>781000</v>
      </c>
      <c r="E7" s="50">
        <v>6256000</v>
      </c>
      <c r="F7" s="50">
        <v>6166000</v>
      </c>
      <c r="G7" s="17">
        <f t="shared" si="0"/>
        <v>13689000</v>
      </c>
      <c r="H7" s="17">
        <f t="shared" si="1"/>
        <v>191730.64322978145</v>
      </c>
      <c r="I7" s="17">
        <f t="shared" si="2"/>
        <v>13497269.356770219</v>
      </c>
    </row>
    <row r="8" spans="1:9" ht="15.75" customHeight="1" x14ac:dyDescent="0.25">
      <c r="A8" s="5">
        <f t="shared" si="3"/>
        <v>2030</v>
      </c>
      <c r="B8" s="49">
        <v>163863.92000000001</v>
      </c>
      <c r="C8" s="50">
        <v>497000</v>
      </c>
      <c r="D8" s="50">
        <v>793000</v>
      </c>
      <c r="E8" s="50">
        <v>6272000</v>
      </c>
      <c r="F8" s="50">
        <v>6162000</v>
      </c>
      <c r="G8" s="17">
        <f t="shared" si="0"/>
        <v>13724000</v>
      </c>
      <c r="H8" s="17">
        <f t="shared" si="1"/>
        <v>188187.32489861647</v>
      </c>
      <c r="I8" s="17">
        <f t="shared" si="2"/>
        <v>13535812.675101383</v>
      </c>
    </row>
    <row r="9" spans="1:9" ht="15.75" customHeight="1" x14ac:dyDescent="0.25">
      <c r="A9" s="5">
        <f t="shared" si="3"/>
        <v>2031</v>
      </c>
      <c r="B9" s="49">
        <v>161250.78811428571</v>
      </c>
      <c r="C9" s="50">
        <v>510285.71428571432</v>
      </c>
      <c r="D9" s="50">
        <v>793428.57142857148</v>
      </c>
      <c r="E9" s="50">
        <v>6275142.8571428573</v>
      </c>
      <c r="F9" s="50">
        <v>6176000</v>
      </c>
      <c r="G9" s="17">
        <f t="shared" si="0"/>
        <v>13754857.142857144</v>
      </c>
      <c r="H9" s="17">
        <f t="shared" si="1"/>
        <v>185186.3085725097</v>
      </c>
      <c r="I9" s="17">
        <f t="shared" si="2"/>
        <v>13569670.834284633</v>
      </c>
    </row>
    <row r="10" spans="1:9" ht="15.75" customHeight="1" x14ac:dyDescent="0.25">
      <c r="A10" s="5">
        <f t="shared" si="3"/>
        <v>2032</v>
      </c>
      <c r="B10" s="49">
        <v>158822.32698775511</v>
      </c>
      <c r="C10" s="50">
        <v>523755.10204081627</v>
      </c>
      <c r="D10" s="50">
        <v>795346.93877551029</v>
      </c>
      <c r="E10" s="50">
        <v>6282020.4081632653</v>
      </c>
      <c r="F10" s="50">
        <v>6187000</v>
      </c>
      <c r="G10" s="17">
        <f t="shared" si="0"/>
        <v>13788122.448979592</v>
      </c>
      <c r="H10" s="17">
        <f t="shared" si="1"/>
        <v>182397.37490717281</v>
      </c>
      <c r="I10" s="17">
        <f t="shared" si="2"/>
        <v>13605725.074072419</v>
      </c>
    </row>
    <row r="11" spans="1:9" ht="15.75" customHeight="1" x14ac:dyDescent="0.25">
      <c r="A11" s="5">
        <f t="shared" si="3"/>
        <v>2033</v>
      </c>
      <c r="B11" s="49">
        <v>156425.15724314869</v>
      </c>
      <c r="C11" s="50">
        <v>537005.83090379008</v>
      </c>
      <c r="D11" s="50">
        <v>798396.501457726</v>
      </c>
      <c r="E11" s="50">
        <v>6291166.1807580171</v>
      </c>
      <c r="F11" s="50">
        <v>6195857.1428571427</v>
      </c>
      <c r="G11" s="17">
        <f t="shared" si="0"/>
        <v>13822425.655976675</v>
      </c>
      <c r="H11" s="17">
        <f t="shared" si="1"/>
        <v>179644.37741043657</v>
      </c>
      <c r="I11" s="17">
        <f t="shared" si="2"/>
        <v>13642781.278566239</v>
      </c>
    </row>
    <row r="12" spans="1:9" ht="15.75" customHeight="1" x14ac:dyDescent="0.25">
      <c r="A12" s="5">
        <f t="shared" si="3"/>
        <v>2034</v>
      </c>
      <c r="B12" s="49">
        <v>154081.74524931281</v>
      </c>
      <c r="C12" s="50">
        <v>549435.2353186172</v>
      </c>
      <c r="D12" s="50">
        <v>802167.43023740116</v>
      </c>
      <c r="E12" s="50">
        <v>6301047.0637234477</v>
      </c>
      <c r="F12" s="50">
        <v>6202836.7346938774</v>
      </c>
      <c r="G12" s="17">
        <f t="shared" si="0"/>
        <v>13855486.463973343</v>
      </c>
      <c r="H12" s="17">
        <f t="shared" si="1"/>
        <v>176953.11728279342</v>
      </c>
      <c r="I12" s="17">
        <f t="shared" si="2"/>
        <v>13678533.34669055</v>
      </c>
    </row>
    <row r="13" spans="1:9" ht="15.75" customHeight="1" x14ac:dyDescent="0.25">
      <c r="A13" s="5">
        <f t="shared" si="3"/>
        <v>2035</v>
      </c>
      <c r="B13" s="49">
        <v>151815.17754207179</v>
      </c>
      <c r="C13" s="50">
        <v>560783.12607841962</v>
      </c>
      <c r="D13" s="50">
        <v>806191.34884274413</v>
      </c>
      <c r="E13" s="50">
        <v>6310053.7871125117</v>
      </c>
      <c r="F13" s="50">
        <v>6208813.4110787166</v>
      </c>
      <c r="G13" s="17">
        <f t="shared" si="0"/>
        <v>13885841.673112392</v>
      </c>
      <c r="H13" s="17">
        <f t="shared" si="1"/>
        <v>174350.10794719792</v>
      </c>
      <c r="I13" s="17">
        <f t="shared" si="2"/>
        <v>13711491.565165194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101">
        <v>4.6976770839802673E-2</v>
      </c>
    </row>
    <row r="5" spans="1:8" ht="15.75" customHeight="1" x14ac:dyDescent="0.25">
      <c r="B5" s="19" t="s">
        <v>70</v>
      </c>
      <c r="C5" s="101">
        <v>2.6624890601855591E-2</v>
      </c>
    </row>
    <row r="6" spans="1:8" ht="15.75" customHeight="1" x14ac:dyDescent="0.25">
      <c r="B6" s="19" t="s">
        <v>71</v>
      </c>
      <c r="C6" s="101">
        <v>0.18347795240476961</v>
      </c>
    </row>
    <row r="7" spans="1:8" ht="15.75" customHeight="1" x14ac:dyDescent="0.25">
      <c r="B7" s="19" t="s">
        <v>72</v>
      </c>
      <c r="C7" s="101">
        <v>0.43461038759071241</v>
      </c>
    </row>
    <row r="8" spans="1:8" ht="15.75" customHeight="1" x14ac:dyDescent="0.25">
      <c r="B8" s="19" t="s">
        <v>73</v>
      </c>
      <c r="C8" s="101">
        <v>2.0131958839595101E-4</v>
      </c>
    </row>
    <row r="9" spans="1:8" ht="15.75" customHeight="1" x14ac:dyDescent="0.25">
      <c r="B9" s="19" t="s">
        <v>74</v>
      </c>
      <c r="C9" s="101">
        <v>0.23871112659261709</v>
      </c>
    </row>
    <row r="10" spans="1:8" ht="15.75" customHeight="1" x14ac:dyDescent="0.25">
      <c r="B10" s="19" t="s">
        <v>75</v>
      </c>
      <c r="C10" s="101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83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87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89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101">
        <v>3.6968140000000001E-3</v>
      </c>
    </row>
    <row r="28" spans="1:8" ht="15.75" customHeight="1" x14ac:dyDescent="0.25">
      <c r="B28" s="19" t="s">
        <v>93</v>
      </c>
      <c r="C28" s="101">
        <v>0.34672293799999998</v>
      </c>
    </row>
    <row r="29" spans="1:8" ht="15.75" customHeight="1" x14ac:dyDescent="0.25">
      <c r="B29" s="19" t="s">
        <v>94</v>
      </c>
      <c r="C29" s="101">
        <v>0.10583593600000001</v>
      </c>
    </row>
    <row r="30" spans="1:8" ht="15.75" customHeight="1" x14ac:dyDescent="0.25">
      <c r="B30" s="19" t="s">
        <v>95</v>
      </c>
      <c r="C30" s="101">
        <v>4.4921836E-2</v>
      </c>
    </row>
    <row r="31" spans="1:8" ht="15.75" customHeight="1" x14ac:dyDescent="0.25">
      <c r="B31" s="19" t="s">
        <v>96</v>
      </c>
      <c r="C31" s="101">
        <v>3.5084725999999997E-2</v>
      </c>
    </row>
    <row r="32" spans="1:8" ht="15.75" customHeight="1" x14ac:dyDescent="0.25">
      <c r="B32" s="19" t="s">
        <v>97</v>
      </c>
      <c r="C32" s="101">
        <v>8.1190229000000003E-2</v>
      </c>
    </row>
    <row r="33" spans="2:3" ht="15.75" customHeight="1" x14ac:dyDescent="0.25">
      <c r="B33" s="19" t="s">
        <v>98</v>
      </c>
      <c r="C33" s="101">
        <v>9.2724770999999998E-2</v>
      </c>
    </row>
    <row r="34" spans="2:3" ht="15.75" customHeight="1" x14ac:dyDescent="0.25">
      <c r="B34" s="19" t="s">
        <v>99</v>
      </c>
      <c r="C34" s="101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0.15762740655395999</v>
      </c>
      <c r="C2" s="98">
        <v>0.95</v>
      </c>
      <c r="D2" s="56">
        <v>55.12482350799813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39.815027292809162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368.86463746807789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2.0501489005115019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12.947326736605079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12.947326736605079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12.947326736605079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12.947326736605079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12.947326736605079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12.947326736605079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0.23553324854919999</v>
      </c>
      <c r="C16" s="98">
        <v>0.95</v>
      </c>
      <c r="D16" s="56">
        <v>0.65409253650042354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8.5173575549872886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8.5173575549872886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0.1490117</v>
      </c>
      <c r="C21" s="98">
        <v>0.95</v>
      </c>
      <c r="D21" s="56">
        <v>23.330746965205979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9.7786999999999995E-3</v>
      </c>
      <c r="C23" s="98">
        <v>0.95</v>
      </c>
      <c r="D23" s="56">
        <v>4.2388047202319106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0.74584652790945005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0.20210260315056</v>
      </c>
      <c r="C27" s="98">
        <v>0.95</v>
      </c>
      <c r="D27" s="56">
        <v>18.508269134264211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0.39602369999999998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107.01874447998669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1.8336841254333389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0.1186436</v>
      </c>
      <c r="C32" s="98">
        <v>0.95</v>
      </c>
      <c r="D32" s="56">
        <v>1.3977661511371069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0.97437529999999994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3.8737199999999999E-2</v>
      </c>
      <c r="C38" s="98">
        <v>0.95</v>
      </c>
      <c r="D38" s="56">
        <v>3.5105839673843442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0.63161319999999999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205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0.88808058198097373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2024-03-28T03:04:48Z</dcterms:modified>
</cp:coreProperties>
</file>