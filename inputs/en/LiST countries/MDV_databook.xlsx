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9E1F43C-99BD-45D7-A0B8-B92AE2588256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<sst xmlns="http://schemas.openxmlformats.org/spreadsheetml/2006/main" count="2169" uniqueCount="373">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</sst>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28779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0.59512580869999998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4.9799999999999997E-2</v>
      </c>
    </row>
    <row r="24" spans="1:3" ht="15" customHeight="1" x14ac:dyDescent="0.25">
      <c r="B24" s="15" t="s">
        <v>22</v>
      </c>
      <c r="C24" s="45">
        <v>0.55979999999999996</v>
      </c>
    </row>
    <row r="25" spans="1:3" ht="15" customHeight="1" x14ac:dyDescent="0.25">
      <c r="B25" s="15" t="s">
        <v>23</v>
      </c>
      <c r="C25" s="45">
        <v>0.36509999999999998</v>
      </c>
    </row>
    <row r="26" spans="1:3" ht="15" customHeight="1" x14ac:dyDescent="0.25">
      <c r="B26" s="15" t="s">
        <v>24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0.39599847873399902</v>
      </c>
    </row>
    <row r="30" spans="1:3" ht="14.25" customHeight="1" x14ac:dyDescent="0.25">
      <c r="B30" s="25" t="s">
        <v>27</v>
      </c>
      <c r="C30" s="97">
        <v>2.7072411186337599E-2</v>
      </c>
    </row>
    <row r="31" spans="1:3" ht="14.25" customHeight="1" x14ac:dyDescent="0.25">
      <c r="B31" s="25" t="s">
        <v>28</v>
      </c>
      <c r="C31" s="97">
        <v>4.2587227841301499E-2</v>
      </c>
    </row>
    <row r="32" spans="1:3" ht="14.25" customHeight="1" x14ac:dyDescent="0.25">
      <c r="B32" s="25" t="s">
        <v>29</v>
      </c>
      <c r="C32" s="97">
        <v>0.53434188223836199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4.0605599999999997</v>
      </c>
    </row>
    <row r="38" spans="1:5" ht="15" customHeight="1" x14ac:dyDescent="0.25">
      <c r="B38" s="11" t="s">
        <v>34</v>
      </c>
      <c r="C38" s="43">
        <v>5.0968799999999996</v>
      </c>
      <c r="D38" s="12"/>
      <c r="E38" s="13"/>
    </row>
    <row r="39" spans="1:5" ht="15" customHeight="1" x14ac:dyDescent="0.25">
      <c r="B39" s="11" t="s">
        <v>35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98">
        <v>0.56999999999999995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8.3797999999999997E-3</v>
      </c>
      <c r="D45" s="12"/>
    </row>
    <row r="46" spans="1:5" ht="15.75" customHeight="1" x14ac:dyDescent="0.25">
      <c r="B46" s="11" t="s">
        <v>41</v>
      </c>
      <c r="C46" s="45">
        <v>9.0039499999999995E-2</v>
      </c>
      <c r="D46" s="12"/>
    </row>
    <row r="47" spans="1:5" ht="15.75" customHeight="1" x14ac:dyDescent="0.25">
      <c r="B47" s="11" t="s">
        <v>42</v>
      </c>
      <c r="C47" s="45">
        <v>7.3031499999999999E-2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</v>
      </c>
      <c r="D51" s="12"/>
    </row>
    <row r="52" spans="1:4" ht="15" customHeight="1" x14ac:dyDescent="0.25">
      <c r="B52" s="11" t="s">
        <v>46</v>
      </c>
      <c r="C52" s="98">
        <v>2.4</v>
      </c>
    </row>
    <row r="53" spans="1:4" ht="15.75" customHeight="1" x14ac:dyDescent="0.25">
      <c r="B53" s="11" t="s">
        <v>47</v>
      </c>
      <c r="C53" s="98">
        <v>2.4</v>
      </c>
    </row>
    <row r="54" spans="1:4" ht="15.75" customHeight="1" x14ac:dyDescent="0.25">
      <c r="B54" s="11" t="s">
        <v>48</v>
      </c>
      <c r="C54" s="98">
        <v>2.4</v>
      </c>
    </row>
    <row r="55" spans="1:4" ht="15.75" customHeight="1" x14ac:dyDescent="0.25">
      <c r="B55" s="11" t="s">
        <v>49</v>
      </c>
      <c r="C55" s="98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0.55161899999999997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5588</v>
      </c>
      <c r="C2" s="49">
        <v>15051.5</v>
      </c>
      <c r="D2" s="49">
        <v>29702</v>
      </c>
      <c r="E2" s="49">
        <v>41910</v>
      </c>
      <c r="F2" s="49">
        <v>28693.5</v>
      </c>
      <c r="G2" s="17">
        <f t="shared" ref="G2:G13" si="0">C2+D2+E2+F2</f>
        <v>115357</v>
      </c>
      <c r="H2" s="17">
        <f t="shared" ref="H2:H13" si="1">(B2 + stillbirth*B2/(1000-stillbirth))/(1-abortion)</f>
        <v>6380.7549837916758</v>
      </c>
      <c r="I2" s="17">
        <f t="shared" ref="I2:I13" si="2">G2-H2</f>
        <v>108976.24501620833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5403</v>
      </c>
      <c r="C3" s="50">
        <v>16076.5</v>
      </c>
      <c r="D3" s="50">
        <v>28502.499999999996</v>
      </c>
      <c r="E3" s="50">
        <v>41394</v>
      </c>
      <c r="F3" s="50">
        <v>30429.000000000004</v>
      </c>
      <c r="G3" s="17">
        <f t="shared" si="0"/>
        <v>116402</v>
      </c>
      <c r="H3" s="17">
        <f t="shared" si="1"/>
        <v>6169.5095163612077</v>
      </c>
      <c r="I3" s="17">
        <f t="shared" si="2"/>
        <v>110232.49048363879</v>
      </c>
    </row>
    <row r="4" spans="1:9" ht="15.75" customHeight="1" x14ac:dyDescent="0.25">
      <c r="A4" s="5">
        <f t="shared" si="3"/>
        <v>2026</v>
      </c>
      <c r="B4" s="49">
        <v>5224</v>
      </c>
      <c r="C4" s="50">
        <v>16989</v>
      </c>
      <c r="D4" s="50">
        <v>27736.5</v>
      </c>
      <c r="E4" s="50">
        <v>40539</v>
      </c>
      <c r="F4" s="50">
        <v>32232.5</v>
      </c>
      <c r="G4" s="17">
        <f t="shared" si="0"/>
        <v>117497</v>
      </c>
      <c r="H4" s="17">
        <f t="shared" si="1"/>
        <v>5965.1152532798351</v>
      </c>
      <c r="I4" s="17">
        <f t="shared" si="2"/>
        <v>111531.88474672017</v>
      </c>
    </row>
    <row r="5" spans="1:9" ht="15.75" customHeight="1" x14ac:dyDescent="0.25">
      <c r="A5" s="5">
        <f t="shared" si="3"/>
        <v>2027</v>
      </c>
      <c r="B5" s="49">
        <v>5073</v>
      </c>
      <c r="C5" s="50">
        <v>17666.5</v>
      </c>
      <c r="D5" s="50">
        <v>27500.500000000004</v>
      </c>
      <c r="E5" s="50">
        <v>39384.5</v>
      </c>
      <c r="F5" s="50">
        <v>34033</v>
      </c>
      <c r="G5" s="17">
        <f t="shared" si="0"/>
        <v>118584.5</v>
      </c>
      <c r="H5" s="17">
        <f t="shared" si="1"/>
        <v>5792.6932771609117</v>
      </c>
      <c r="I5" s="17">
        <f t="shared" si="2"/>
        <v>112791.80672283909</v>
      </c>
    </row>
    <row r="6" spans="1:9" ht="15.75" customHeight="1" x14ac:dyDescent="0.25">
      <c r="A6" s="5">
        <f t="shared" si="3"/>
        <v>2028</v>
      </c>
      <c r="B6" s="49">
        <v>4950</v>
      </c>
      <c r="C6" s="50">
        <v>18031.5</v>
      </c>
      <c r="D6" s="50">
        <v>27833</v>
      </c>
      <c r="E6" s="50">
        <v>37981</v>
      </c>
      <c r="F6" s="50">
        <v>35761</v>
      </c>
      <c r="G6" s="17">
        <f t="shared" si="0"/>
        <v>119606.5</v>
      </c>
      <c r="H6" s="17">
        <f t="shared" si="1"/>
        <v>5652.2435880044377</v>
      </c>
      <c r="I6" s="17">
        <f t="shared" si="2"/>
        <v>113954.25641199556</v>
      </c>
    </row>
    <row r="7" spans="1:9" ht="15.75" customHeight="1" x14ac:dyDescent="0.25">
      <c r="A7" s="5">
        <f t="shared" si="3"/>
        <v>2029</v>
      </c>
      <c r="B7" s="49">
        <v>4855</v>
      </c>
      <c r="C7" s="50">
        <v>18093</v>
      </c>
      <c r="D7" s="50">
        <v>28652.5</v>
      </c>
      <c r="E7" s="50">
        <v>36381</v>
      </c>
      <c r="F7" s="50">
        <v>37337.5</v>
      </c>
      <c r="G7" s="17">
        <f t="shared" si="0"/>
        <v>120464</v>
      </c>
      <c r="H7" s="17">
        <f t="shared" si="1"/>
        <v>5543.7661858104138</v>
      </c>
      <c r="I7" s="17">
        <f t="shared" si="2"/>
        <v>114920.23381418959</v>
      </c>
    </row>
    <row r="8" spans="1:9" ht="15.75" customHeight="1" x14ac:dyDescent="0.25">
      <c r="A8" s="5">
        <f t="shared" si="3"/>
        <v>2030</v>
      </c>
      <c r="B8" s="49">
        <v>4782</v>
      </c>
      <c r="C8" s="50">
        <v>17927.5</v>
      </c>
      <c r="D8" s="50">
        <v>29828</v>
      </c>
      <c r="E8" s="50">
        <v>34665</v>
      </c>
      <c r="F8" s="50">
        <v>38684.5</v>
      </c>
      <c r="G8" s="17">
        <f t="shared" si="0"/>
        <v>121105</v>
      </c>
      <c r="H8" s="17">
        <f t="shared" si="1"/>
        <v>5460.409866229742</v>
      </c>
      <c r="I8" s="17">
        <f t="shared" si="2"/>
        <v>115644.59013377025</v>
      </c>
    </row>
    <row r="9" spans="1:9" ht="15.75" customHeight="1" x14ac:dyDescent="0.25">
      <c r="A9" s="5">
        <f t="shared" si="3"/>
        <v>2031</v>
      </c>
      <c r="B9" s="49">
        <v>4731</v>
      </c>
      <c r="C9" s="50">
        <v>17612</v>
      </c>
      <c r="D9" s="50">
        <v>31227.5</v>
      </c>
      <c r="E9" s="50">
        <v>32926.500000000007</v>
      </c>
      <c r="F9" s="50">
        <v>39747.5</v>
      </c>
      <c r="G9" s="17">
        <f t="shared" si="0"/>
        <v>121513.5</v>
      </c>
      <c r="H9" s="17">
        <f t="shared" si="1"/>
        <v>5402.174629262423</v>
      </c>
      <c r="I9" s="17">
        <f t="shared" si="2"/>
        <v>116111.32537073758</v>
      </c>
    </row>
    <row r="10" spans="1:9" ht="15.75" customHeight="1" x14ac:dyDescent="0.25">
      <c r="A10" s="5">
        <f t="shared" si="3"/>
        <v>2032</v>
      </c>
      <c r="B10" s="49">
        <v>4709</v>
      </c>
      <c r="C10" s="50">
        <v>17219</v>
      </c>
      <c r="D10" s="50">
        <v>32690.5</v>
      </c>
      <c r="E10" s="50">
        <v>31245.5</v>
      </c>
      <c r="F10" s="50">
        <v>40477.000000000007</v>
      </c>
      <c r="G10" s="17">
        <f t="shared" si="0"/>
        <v>121632</v>
      </c>
      <c r="H10" s="17">
        <f t="shared" si="1"/>
        <v>5377.0535466490701</v>
      </c>
      <c r="I10" s="17">
        <f t="shared" si="2"/>
        <v>116254.94645335093</v>
      </c>
    </row>
    <row r="11" spans="1:9" ht="15.75" customHeight="1" x14ac:dyDescent="0.25">
      <c r="A11" s="5">
        <f t="shared" si="3"/>
        <v>2033</v>
      </c>
      <c r="B11" s="49">
        <v>4711</v>
      </c>
      <c r="C11" s="50">
        <v>16807</v>
      </c>
      <c r="D11" s="50">
        <v>34083.5</v>
      </c>
      <c r="E11" s="50">
        <v>29710</v>
      </c>
      <c r="F11" s="50">
        <v>40824.5</v>
      </c>
      <c r="G11" s="17">
        <f t="shared" si="0"/>
        <v>121425</v>
      </c>
      <c r="H11" s="17">
        <f t="shared" si="1"/>
        <v>5379.3372814321019</v>
      </c>
      <c r="I11" s="17">
        <f t="shared" si="2"/>
        <v>116045.6627185679</v>
      </c>
    </row>
    <row r="12" spans="1:9" ht="15.75" customHeight="1" x14ac:dyDescent="0.25">
      <c r="A12" s="5">
        <f t="shared" si="3"/>
        <v>2034</v>
      </c>
      <c r="B12" s="49">
        <v>4737</v>
      </c>
      <c r="C12" s="50">
        <v>16388.5</v>
      </c>
      <c r="D12" s="50">
        <v>35304</v>
      </c>
      <c r="E12" s="50">
        <v>28406</v>
      </c>
      <c r="F12" s="50">
        <v>40783</v>
      </c>
      <c r="G12" s="17">
        <f t="shared" si="0"/>
        <v>120881.5</v>
      </c>
      <c r="H12" s="17">
        <f t="shared" si="1"/>
        <v>5409.0258336115194</v>
      </c>
      <c r="I12" s="17">
        <f t="shared" si="2"/>
        <v>115472.47416638848</v>
      </c>
    </row>
    <row r="13" spans="1:9" ht="15.75" customHeight="1" x14ac:dyDescent="0.25">
      <c r="A13" s="5">
        <f t="shared" si="3"/>
        <v>2035</v>
      </c>
      <c r="B13" s="49">
        <v>4770</v>
      </c>
      <c r="C13" s="50">
        <v>15949</v>
      </c>
      <c r="D13" s="50">
        <v>36298.500000000007</v>
      </c>
      <c r="E13" s="50">
        <v>27427.500000000004</v>
      </c>
      <c r="F13" s="50">
        <v>40373.5</v>
      </c>
      <c r="G13" s="17">
        <f t="shared" si="0"/>
        <v>120048.50000000001</v>
      </c>
      <c r="H13" s="17">
        <f t="shared" si="1"/>
        <v>5446.7074575315492</v>
      </c>
      <c r="I13" s="17">
        <f t="shared" si="2"/>
        <v>114601.79254246847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6.5867286826542651E-2</v>
      </c>
    </row>
    <row r="5" spans="1:8" ht="15.75" customHeight="1" x14ac:dyDescent="0.25">
      <c r="B5" s="19" t="s">
        <v>70</v>
      </c>
      <c r="C5" s="99">
        <v>2.445029510994097E-2</v>
      </c>
    </row>
    <row r="6" spans="1:8" ht="15.75" customHeight="1" x14ac:dyDescent="0.25">
      <c r="B6" s="19" t="s">
        <v>71</v>
      </c>
      <c r="C6" s="99">
        <v>0.1371583725683255</v>
      </c>
    </row>
    <row r="7" spans="1:8" ht="15.75" customHeight="1" x14ac:dyDescent="0.25">
      <c r="B7" s="19" t="s">
        <v>72</v>
      </c>
      <c r="C7" s="99">
        <v>0.42002271599545637</v>
      </c>
    </row>
    <row r="8" spans="1:8" ht="15.75" customHeight="1" x14ac:dyDescent="0.25">
      <c r="B8" s="19" t="s">
        <v>73</v>
      </c>
      <c r="C8" s="99">
        <v>4.8633990273201973E-3</v>
      </c>
    </row>
    <row r="9" spans="1:8" ht="15.75" customHeight="1" x14ac:dyDescent="0.25">
      <c r="B9" s="19" t="s">
        <v>74</v>
      </c>
      <c r="C9" s="99">
        <v>0.25171934965613052</v>
      </c>
    </row>
    <row r="10" spans="1:8" ht="15.75" customHeight="1" x14ac:dyDescent="0.25">
      <c r="B10" s="19" t="s">
        <v>75</v>
      </c>
      <c r="C10" s="99">
        <v>9.5918580816283766E-2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82</v>
      </c>
      <c r="C15" s="99">
        <v>0.34415592372124182</v>
      </c>
      <c r="D15" s="99">
        <v>0.34415592372124182</v>
      </c>
      <c r="E15" s="99">
        <v>0.34415592372124182</v>
      </c>
      <c r="F15" s="99">
        <v>0.34415592372124182</v>
      </c>
    </row>
    <row r="16" spans="1:8" ht="15.75" customHeight="1" x14ac:dyDescent="0.25">
      <c r="B16" s="19" t="s">
        <v>83</v>
      </c>
      <c r="C16" s="99">
        <v>6.7951622788939819E-2</v>
      </c>
      <c r="D16" s="99">
        <v>6.7951622788939819E-2</v>
      </c>
      <c r="E16" s="99">
        <v>6.7951622788939819E-2</v>
      </c>
      <c r="F16" s="99">
        <v>6.7951622788939819E-2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5.2061214258508001E-2</v>
      </c>
      <c r="D19" s="99">
        <v>5.2061214258508001E-2</v>
      </c>
      <c r="E19" s="99">
        <v>5.2061214258508001E-2</v>
      </c>
      <c r="F19" s="99">
        <v>5.2061214258508001E-2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0.39264628016308611</v>
      </c>
      <c r="D21" s="99">
        <v>0.39264628016308611</v>
      </c>
      <c r="E21" s="99">
        <v>0.39264628016308611</v>
      </c>
      <c r="F21" s="99">
        <v>0.39264628016308611</v>
      </c>
    </row>
    <row r="22" spans="1:8" ht="15.75" customHeight="1" x14ac:dyDescent="0.25">
      <c r="B22" s="19" t="s">
        <v>89</v>
      </c>
      <c r="C22" s="99">
        <v>4.6564017213740219E-2</v>
      </c>
      <c r="D22" s="99">
        <v>4.6564017213740219E-2</v>
      </c>
      <c r="E22" s="99">
        <v>4.6564017213740219E-2</v>
      </c>
      <c r="F22" s="99">
        <v>4.6564017213740219E-2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3.7058319999999999E-2</v>
      </c>
    </row>
    <row r="27" spans="1:8" ht="15.75" customHeight="1" x14ac:dyDescent="0.25">
      <c r="B27" s="19" t="s">
        <v>92</v>
      </c>
      <c r="C27" s="99">
        <v>3.1722030000000002E-3</v>
      </c>
    </row>
    <row r="28" spans="1:8" ht="15.75" customHeight="1" x14ac:dyDescent="0.25">
      <c r="B28" s="19" t="s">
        <v>93</v>
      </c>
      <c r="C28" s="99">
        <v>0.26537214399999998</v>
      </c>
    </row>
    <row r="29" spans="1:8" ht="15.75" customHeight="1" x14ac:dyDescent="0.25">
      <c r="B29" s="19" t="s">
        <v>94</v>
      </c>
      <c r="C29" s="99">
        <v>8.9267518000000004E-2</v>
      </c>
    </row>
    <row r="30" spans="1:8" ht="15.75" customHeight="1" x14ac:dyDescent="0.25">
      <c r="B30" s="19" t="s">
        <v>95</v>
      </c>
      <c r="C30" s="99">
        <v>3.4850704000000003E-2</v>
      </c>
    </row>
    <row r="31" spans="1:8" ht="15.75" customHeight="1" x14ac:dyDescent="0.25">
      <c r="B31" s="19" t="s">
        <v>96</v>
      </c>
      <c r="C31" s="99">
        <v>5.2997323999999998E-2</v>
      </c>
    </row>
    <row r="32" spans="1:8" ht="15.75" customHeight="1" x14ac:dyDescent="0.25">
      <c r="B32" s="19" t="s">
        <v>97</v>
      </c>
      <c r="C32" s="99">
        <v>4.1757296000000013E-2</v>
      </c>
    </row>
    <row r="33" spans="2:3" ht="15.75" customHeight="1" x14ac:dyDescent="0.25">
      <c r="B33" s="19" t="s">
        <v>98</v>
      </c>
      <c r="C33" s="99">
        <v>5.6826768999999999E-2</v>
      </c>
    </row>
    <row r="34" spans="2:3" ht="15.75" customHeight="1" x14ac:dyDescent="0.25">
      <c r="B34" s="19" t="s">
        <v>99</v>
      </c>
      <c r="C34" s="99">
        <v>0.41869772199999999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104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3.4062999999999732E-3</v>
      </c>
      <c r="D5" s="52">
        <f t="shared" si="0"/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11780.8169102421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0.42679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1.2119662952833449E-2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99214.013449999999</v>
      </c>
      <c r="C22" s="107">
        <v>99135.294670000003</v>
      </c>
      <c r="D22" s="107">
        <v>99030.307939999999</v>
      </c>
      <c r="E22" s="107">
        <v>98811.151719999994</v>
      </c>
      <c r="F22" s="107">
        <v>98657.195989999993</v>
      </c>
      <c r="G22" s="107">
        <v>98462.288860000001</v>
      </c>
      <c r="H22" s="107">
        <v>98253.816879999998</v>
      </c>
      <c r="I22" s="107">
        <v>98005.938179999997</v>
      </c>
      <c r="J22" s="107">
        <v>97701.482860000004</v>
      </c>
      <c r="K22" s="107">
        <v>97010.996039999998</v>
      </c>
      <c r="L22" s="107">
        <v>96061.805269999997</v>
      </c>
      <c r="M22" s="107">
        <v>93696.145080000002</v>
      </c>
      <c r="N22" s="107">
        <v>90209.273650000003</v>
      </c>
      <c r="O22" s="107">
        <v>84595.016359999994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17.026484135107474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17.026484135107474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8.0705350947424606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0.24171699078812695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0.46280009999999999</v>
      </c>
      <c r="C10" s="96">
        <v>0.95</v>
      </c>
      <c r="D10" s="56">
        <v>13.83180634055519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13.83180634055519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13.83180634055519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13.83180634055519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0.46280009999999999</v>
      </c>
      <c r="C14" s="96">
        <v>0.95</v>
      </c>
      <c r="D14" s="56">
        <v>13.83180634055519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13.83180634055519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9.7330203637492063E-2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0.58960089999999998</v>
      </c>
      <c r="C18" s="96">
        <v>0.95</v>
      </c>
      <c r="D18" s="56">
        <v>8.0705350947424606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0.58960089999999998</v>
      </c>
      <c r="C19" s="96">
        <v>0.95</v>
      </c>
      <c r="D19" s="56">
        <v>22.59355597690848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8.0705350947424606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4.7916044727007323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0.67559760093265997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0.46280009999999999</v>
      </c>
      <c r="C26" s="96">
        <v>0.95</v>
      </c>
      <c r="D26" s="56">
        <v>4.7229528222409431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0.74756310000000004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0.7137907</v>
      </c>
      <c r="C29" s="96">
        <v>0.95</v>
      </c>
      <c r="D29" s="56">
        <v>197.08344135615161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175.48809161556471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0.69</v>
      </c>
      <c r="C32" s="96">
        <v>0.95</v>
      </c>
      <c r="D32" s="56">
        <v>0.45463218100922231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0.95839099999999999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9.0976199999999993E-2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0.17225019999999999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0.52304919999999999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0.48344549999999997</v>
      </c>
      <c r="C38" s="96">
        <v>0.95</v>
      </c>
      <c r="D38" s="56">
        <v>1.6798709086682517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198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0.19923858953873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8.5387966945169994E-2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0.1202476348161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