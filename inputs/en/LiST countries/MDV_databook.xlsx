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CCEF977-E3FF-47FE-8189-5BF707E7BC9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3" i="2"/>
  <c r="A31" i="2"/>
  <c r="A29" i="2"/>
  <c r="A25" i="2"/>
  <c r="A23" i="2"/>
  <c r="A21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6" i="2" l="1"/>
  <c r="A24" i="2"/>
  <c r="A32" i="2"/>
  <c r="A3" i="2"/>
  <c r="A5" i="2"/>
  <c r="A7" i="2"/>
  <c r="A18" i="2"/>
  <c r="A26" i="2"/>
  <c r="A34" i="2"/>
  <c r="A39" i="2"/>
  <c r="A19" i="2"/>
  <c r="A27" i="2"/>
  <c r="A35" i="2"/>
  <c r="A20" i="2"/>
  <c r="A28" i="2"/>
  <c r="A36" i="2"/>
  <c r="A4" i="2"/>
  <c r="A6" i="2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<sst xmlns="http://schemas.openxmlformats.org/spreadsheetml/2006/main" count="2101" uniqueCount="341">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</sst>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34364.923828125029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94.586213594378066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40.699506896759281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987.5278427956996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7.5286638135477881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0.46280009999999999</v>
      </c>
      <c r="C10" s="98">
        <v>0.95</v>
      </c>
      <c r="D10" s="56">
        <v>13.83180634055519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13.83180634055519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13.83180634055519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13.83180634055519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0.46280009999999999</v>
      </c>
      <c r="C14" s="98">
        <v>0.95</v>
      </c>
      <c r="D14" s="56">
        <v>13.83180634055519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13.83180634055519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1.538572140450539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0.58960089999999998</v>
      </c>
      <c r="C18" s="98">
        <v>0.95</v>
      </c>
      <c r="D18" s="56">
        <v>22.59355597690848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0.58960089999999998</v>
      </c>
      <c r="C19" s="98">
        <v>0.95</v>
      </c>
      <c r="D19" s="56">
        <v>22.59355597690848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89.248141599385079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0.67559760093265997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0.46280009999999999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19.508595698257331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0.74756310000000004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0.7137907</v>
      </c>
      <c r="C29" s="98">
        <v>0.95</v>
      </c>
      <c r="D29" s="56">
        <v>197.08344135615161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2.1314125469028462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0.69</v>
      </c>
      <c r="C32" s="98">
        <v>0.95</v>
      </c>
      <c r="D32" s="56">
        <v>3.387837434899573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0.95839099999999999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9.0976199999999993E-2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0.17225019999999999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0.52304919999999999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0.48344549999999997</v>
      </c>
      <c r="C38" s="98">
        <v>0.95</v>
      </c>
      <c r="D38" s="56">
        <v>2.7208464683869868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205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0.10777127062889835</v>
      </c>
      <c r="G18" s="90">
        <f>MIN(MAX(1-0.89/(1-frac_sam_12_23months+(frac_sam_12_23months*0.89)),0),1)</f>
        <v>0.10935851814461806</v>
      </c>
      <c r="H18" s="90">
        <f>MIN(MAX(1-0.89/(1-frac_sam_24_59months+(frac_sam_24_59months*0.89)),0),1)</f>
        <v>0.1082941479792614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0.10571455822875442</v>
      </c>
      <c r="G20" s="90">
        <f>MIN(MAX(1-0.89/(1-frac_mam_12_23months+(frac_mam_12_23months*0.89)),0),1)</f>
        <v>0.10559820244774842</v>
      </c>
      <c r="H20" s="90">
        <f>MIN(MAX(1-0.89/(1-frac_mam_24_59months+(frac_mam_24_59months*0.89)),0),1)</f>
        <v>0.10130004068030996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9.775134786482953E-3</v>
      </c>
      <c r="G73" s="90">
        <f>MIN(MAX(1-0.99/(1-frac_sam_12_23months+(frac_sam_12_23months*0.99)),0),1)</f>
        <v>9.9351735253568885E-3</v>
      </c>
      <c r="H73" s="90">
        <f>MIN(MAX(1-0.99/(1-frac_sam_24_59months+(frac_sam_24_59months*0.99)),0),1)</f>
        <v>9.8277981622062471E-3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9.5685294245899666E-3</v>
      </c>
      <c r="G75" s="90">
        <f>MIN(MAX(1-0.99/(1-frac_mam_12_23months+(frac_mam_12_23months*0.99)),0),1)</f>
        <v>9.5568668282307589E-3</v>
      </c>
      <c r="H75" s="90">
        <f>MIN(MAX(1-0.99/(1-frac_mam_24_59months+(frac_mam_24_59months*0.99)),0),1)</f>
        <v>9.1279781227868728E-3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0.19635006308149716</v>
      </c>
      <c r="G128" s="90">
        <f>MIN(MAX(1-0.8/(1-frac_sam_12_23months+(frac_sam_12_23months*0.8)),0),1)</f>
        <v>0.19895099428505592</v>
      </c>
      <c r="H128" s="90">
        <f>MIN(MAX(1-0.8/(1-frac_sam_24_59months+(frac_sam_24_59months*0.8)),0),1)</f>
        <v>0.19720771180736263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0.19296851219367073</v>
      </c>
      <c r="G130" s="90">
        <f>MIN(MAX(1-0.8/(1-frac_mam_12_23months+(frac_mam_12_23months*0.8)),0),1)</f>
        <v>0.19277682170040311</v>
      </c>
      <c r="H130" s="90">
        <f>MIN(MAX(1-0.8/(1-frac_mam_24_59months+(frac_mam_24_59months*0.8)),0),1)</f>
        <v>0.18566684062858785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2024-08-06T06:31:51Z</dcterms:modified>
</cp:coreProperties>
</file>