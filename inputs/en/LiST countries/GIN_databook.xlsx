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083517F-346E-484B-AF57-C8C9AA06FAC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4" i="2"/>
  <c r="A26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2" i="2" s="1"/>
  <c r="C33" i="1"/>
  <c r="C20" i="1"/>
  <c r="A8" i="2" l="1"/>
  <c r="A9" i="2" s="1"/>
  <c r="A24" i="2"/>
  <c r="A17" i="2"/>
  <c r="A25" i="2"/>
  <c r="A33" i="2"/>
  <c r="A19" i="2"/>
  <c r="A27" i="2"/>
  <c r="A35" i="2"/>
  <c r="A20" i="2"/>
  <c r="A28" i="2"/>
  <c r="A36" i="2"/>
  <c r="A21" i="2"/>
  <c r="A29" i="2"/>
  <c r="A37" i="2"/>
  <c r="A14" i="2"/>
  <c r="A4" i="2"/>
  <c r="A5" i="2" s="1"/>
  <c r="A10" i="2"/>
  <c r="A11" i="2" s="1"/>
  <c r="A12" i="2" s="1"/>
  <c r="A13" i="2" s="1"/>
  <c r="A22" i="2"/>
  <c r="A38" i="2"/>
  <c r="A15" i="2"/>
  <c r="A23" i="2"/>
  <c r="A31" i="2"/>
  <c r="A6" i="2"/>
  <c r="A7" i="2" s="1"/>
  <c r="A30" i="2"/>
  <c r="A40" i="2"/>
  <c r="A1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<sst xmlns="http://schemas.openxmlformats.org/spreadsheetml/2006/main" count="2103" uniqueCount="341">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</sst>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2150966.40625</v>
      </c>
    </row>
    <row r="8" spans="1:3" ht="15" customHeight="1" x14ac:dyDescent="0.25">
      <c r="B8" s="5" t="s">
        <v>8</v>
      </c>
      <c r="C8" s="44">
        <v>0.35299999999999998</v>
      </c>
    </row>
    <row r="9" spans="1:3" ht="15" customHeight="1" x14ac:dyDescent="0.25">
      <c r="B9" s="5" t="s">
        <v>9</v>
      </c>
      <c r="C9" s="45">
        <v>0.99</v>
      </c>
    </row>
    <row r="10" spans="1:3" ht="15" customHeight="1" x14ac:dyDescent="0.25">
      <c r="B10" s="5" t="s">
        <v>10</v>
      </c>
      <c r="C10" s="45">
        <v>0.262394599914551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0.78500000000000003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0.14269999999999999</v>
      </c>
    </row>
    <row r="24" spans="1:3" ht="15" customHeight="1" x14ac:dyDescent="0.25">
      <c r="B24" s="15" t="s">
        <v>22</v>
      </c>
      <c r="C24" s="45">
        <v>0.42099999999999987</v>
      </c>
    </row>
    <row r="25" spans="1:3" ht="15" customHeight="1" x14ac:dyDescent="0.25">
      <c r="B25" s="15" t="s">
        <v>23</v>
      </c>
      <c r="C25" s="45">
        <v>0.33529999999999999</v>
      </c>
    </row>
    <row r="26" spans="1:3" ht="15" customHeight="1" x14ac:dyDescent="0.25">
      <c r="B26" s="15" t="s">
        <v>24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31.108440000000002</v>
      </c>
    </row>
    <row r="38" spans="1:5" ht="15" customHeight="1" x14ac:dyDescent="0.25">
      <c r="B38" s="11" t="s">
        <v>34</v>
      </c>
      <c r="C38" s="43">
        <v>63.776989999999998</v>
      </c>
      <c r="D38" s="12"/>
      <c r="E38" s="13"/>
    </row>
    <row r="39" spans="1:5" ht="15" customHeight="1" x14ac:dyDescent="0.25">
      <c r="B39" s="11" t="s">
        <v>35</v>
      </c>
      <c r="C39" s="43">
        <v>98.726939999999999</v>
      </c>
      <c r="D39" s="12"/>
      <c r="E39" s="12"/>
    </row>
    <row r="40" spans="1:5" ht="15" customHeight="1" x14ac:dyDescent="0.25">
      <c r="B40" s="11" t="s">
        <v>36</v>
      </c>
      <c r="C40" s="100">
        <v>5.53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23.24541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7.9359000000000009E-3</v>
      </c>
      <c r="D45" s="12"/>
    </row>
    <row r="46" spans="1:5" ht="15.75" customHeight="1" x14ac:dyDescent="0.25">
      <c r="B46" s="11" t="s">
        <v>41</v>
      </c>
      <c r="C46" s="45">
        <v>8.5269600000000001E-2</v>
      </c>
      <c r="D46" s="12"/>
    </row>
    <row r="47" spans="1:5" ht="15.75" customHeight="1" x14ac:dyDescent="0.25">
      <c r="B47" s="11" t="s">
        <v>42</v>
      </c>
      <c r="C47" s="45">
        <v>7.34538E-2</v>
      </c>
      <c r="D47" s="12"/>
      <c r="E47" s="13"/>
    </row>
    <row r="48" spans="1:5" ht="15" customHeight="1" x14ac:dyDescent="0.25">
      <c r="B48" s="11" t="s">
        <v>43</v>
      </c>
      <c r="C48" s="46">
        <v>0.83334069999999993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0.412416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476528</v>
      </c>
      <c r="C2" s="49">
        <v>946881.5</v>
      </c>
      <c r="D2" s="49">
        <v>1294356</v>
      </c>
      <c r="E2" s="49">
        <v>932434.5</v>
      </c>
      <c r="F2" s="49">
        <v>505304</v>
      </c>
      <c r="G2" s="17">
        <f t="shared" ref="G2:G13" si="0">C2+D2+E2+F2</f>
        <v>3678976</v>
      </c>
      <c r="H2" s="17">
        <f t="shared" ref="H2:H13" si="1">(B2 + stillbirth*B2/(1000-stillbirth))/(1-abortion)</f>
        <v>554396.25925800961</v>
      </c>
      <c r="I2" s="17">
        <f t="shared" ref="I2:I13" si="2">G2-H2</f>
        <v>3124579.7407419905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482085</v>
      </c>
      <c r="C3" s="50">
        <v>970180.5</v>
      </c>
      <c r="D3" s="50">
        <v>1320745</v>
      </c>
      <c r="E3" s="50">
        <v>969348.5</v>
      </c>
      <c r="F3" s="50">
        <v>524287</v>
      </c>
      <c r="G3" s="17">
        <f t="shared" si="0"/>
        <v>3784561</v>
      </c>
      <c r="H3" s="17">
        <f t="shared" si="1"/>
        <v>560861.31485326693</v>
      </c>
      <c r="I3" s="17">
        <f t="shared" si="2"/>
        <v>3223699.6851467332</v>
      </c>
    </row>
    <row r="4" spans="1:9" ht="15.75" customHeight="1" x14ac:dyDescent="0.25">
      <c r="A4" s="5">
        <f t="shared" si="3"/>
        <v>2026</v>
      </c>
      <c r="B4" s="49">
        <v>485726</v>
      </c>
      <c r="C4" s="50">
        <v>992424.50000000012</v>
      </c>
      <c r="D4" s="50">
        <v>1347646.5</v>
      </c>
      <c r="E4" s="50">
        <v>1005784.5</v>
      </c>
      <c r="F4" s="50">
        <v>545286</v>
      </c>
      <c r="G4" s="17">
        <f t="shared" si="0"/>
        <v>3891141.5</v>
      </c>
      <c r="H4" s="17">
        <f t="shared" si="1"/>
        <v>565097.28163792263</v>
      </c>
      <c r="I4" s="17">
        <f t="shared" si="2"/>
        <v>3326044.2183620771</v>
      </c>
    </row>
    <row r="5" spans="1:9" ht="15.75" customHeight="1" x14ac:dyDescent="0.25">
      <c r="A5" s="5">
        <f t="shared" si="3"/>
        <v>2027</v>
      </c>
      <c r="B5" s="49">
        <v>487219</v>
      </c>
      <c r="C5" s="50">
        <v>1013880</v>
      </c>
      <c r="D5" s="50">
        <v>1374771.5</v>
      </c>
      <c r="E5" s="50">
        <v>1041836</v>
      </c>
      <c r="F5" s="50">
        <v>568397</v>
      </c>
      <c r="G5" s="17">
        <f t="shared" si="0"/>
        <v>3998884.5</v>
      </c>
      <c r="H5" s="17">
        <f t="shared" si="1"/>
        <v>566834.24906706042</v>
      </c>
      <c r="I5" s="17">
        <f t="shared" si="2"/>
        <v>3432050.2509329394</v>
      </c>
    </row>
    <row r="6" spans="1:9" ht="15.75" customHeight="1" x14ac:dyDescent="0.25">
      <c r="A6" s="5">
        <f t="shared" si="3"/>
        <v>2028</v>
      </c>
      <c r="B6" s="49">
        <v>491518</v>
      </c>
      <c r="C6" s="50">
        <v>1034723.5</v>
      </c>
      <c r="D6" s="50">
        <v>1404233</v>
      </c>
      <c r="E6" s="50">
        <v>1075734</v>
      </c>
      <c r="F6" s="50">
        <v>593662.5</v>
      </c>
      <c r="G6" s="17">
        <f t="shared" si="0"/>
        <v>4108353</v>
      </c>
      <c r="H6" s="17">
        <f t="shared" si="1"/>
        <v>571835.73800065974</v>
      </c>
      <c r="I6" s="17">
        <f t="shared" si="2"/>
        <v>3536517.2619993403</v>
      </c>
    </row>
    <row r="7" spans="1:9" ht="15.75" customHeight="1" x14ac:dyDescent="0.25">
      <c r="A7" s="5">
        <f t="shared" si="3"/>
        <v>2029</v>
      </c>
      <c r="B7" s="49">
        <v>493932</v>
      </c>
      <c r="C7" s="50">
        <v>1055730.5</v>
      </c>
      <c r="D7" s="50">
        <v>1436274</v>
      </c>
      <c r="E7" s="50">
        <v>1107533</v>
      </c>
      <c r="F7" s="50">
        <v>620782</v>
      </c>
      <c r="G7" s="17">
        <f t="shared" si="0"/>
        <v>4220319.5</v>
      </c>
      <c r="H7" s="17">
        <f t="shared" si="1"/>
        <v>574644.20375681436</v>
      </c>
      <c r="I7" s="17">
        <f t="shared" si="2"/>
        <v>3645675.2962431856</v>
      </c>
    </row>
    <row r="8" spans="1:9" ht="15.75" customHeight="1" x14ac:dyDescent="0.25">
      <c r="A8" s="5">
        <f t="shared" si="3"/>
        <v>2030</v>
      </c>
      <c r="B8" s="49">
        <v>497095</v>
      </c>
      <c r="C8" s="50">
        <v>1077036.5</v>
      </c>
      <c r="D8" s="50">
        <v>1469343</v>
      </c>
      <c r="E8" s="50">
        <v>1138326</v>
      </c>
      <c r="F8" s="50">
        <v>649516.50000000012</v>
      </c>
      <c r="G8" s="17">
        <f t="shared" si="0"/>
        <v>4334222</v>
      </c>
      <c r="H8" s="17">
        <f t="shared" si="1"/>
        <v>578324.06174634083</v>
      </c>
      <c r="I8" s="17">
        <f t="shared" si="2"/>
        <v>3755897.9382536593</v>
      </c>
    </row>
    <row r="9" spans="1:9" ht="15.75" customHeight="1" x14ac:dyDescent="0.25">
      <c r="A9" s="5">
        <f t="shared" si="3"/>
        <v>2031</v>
      </c>
      <c r="B9" s="49">
        <v>499598</v>
      </c>
      <c r="C9" s="50">
        <v>1097639.5</v>
      </c>
      <c r="D9" s="50">
        <v>1503150</v>
      </c>
      <c r="E9" s="50">
        <v>1167294.5</v>
      </c>
      <c r="F9" s="50">
        <v>679744</v>
      </c>
      <c r="G9" s="17">
        <f t="shared" si="0"/>
        <v>4447828</v>
      </c>
      <c r="H9" s="17">
        <f t="shared" si="1"/>
        <v>581236.07077188138</v>
      </c>
      <c r="I9" s="17">
        <f t="shared" si="2"/>
        <v>3866591.9292281186</v>
      </c>
    </row>
    <row r="10" spans="1:9" ht="15.75" customHeight="1" x14ac:dyDescent="0.25">
      <c r="A10" s="5">
        <f t="shared" si="3"/>
        <v>2032</v>
      </c>
      <c r="B10" s="49">
        <v>503194</v>
      </c>
      <c r="C10" s="50">
        <v>1117131</v>
      </c>
      <c r="D10" s="50">
        <v>1538034</v>
      </c>
      <c r="E10" s="50">
        <v>1193776.5</v>
      </c>
      <c r="F10" s="50">
        <v>711268.5</v>
      </c>
      <c r="G10" s="17">
        <f t="shared" si="0"/>
        <v>4560210</v>
      </c>
      <c r="H10" s="17">
        <f t="shared" si="1"/>
        <v>585419.68421808351</v>
      </c>
      <c r="I10" s="17">
        <f t="shared" si="2"/>
        <v>3974790.3157819165</v>
      </c>
    </row>
    <row r="11" spans="1:9" ht="15.75" customHeight="1" x14ac:dyDescent="0.25">
      <c r="A11" s="5">
        <f t="shared" si="3"/>
        <v>2033</v>
      </c>
      <c r="B11" s="49">
        <v>506257</v>
      </c>
      <c r="C11" s="50">
        <v>1135761.5</v>
      </c>
      <c r="D11" s="50">
        <v>1573896.5</v>
      </c>
      <c r="E11" s="50">
        <v>1218625.5</v>
      </c>
      <c r="F11" s="50">
        <v>743950.5</v>
      </c>
      <c r="G11" s="17">
        <f t="shared" si="0"/>
        <v>4672234</v>
      </c>
      <c r="H11" s="17">
        <f t="shared" si="1"/>
        <v>588983.2014554909</v>
      </c>
      <c r="I11" s="17">
        <f t="shared" si="2"/>
        <v>4083250.7985445093</v>
      </c>
    </row>
    <row r="12" spans="1:9" ht="15.75" customHeight="1" x14ac:dyDescent="0.25">
      <c r="A12" s="5">
        <f t="shared" si="3"/>
        <v>2034</v>
      </c>
      <c r="B12" s="49">
        <v>508616</v>
      </c>
      <c r="C12" s="50">
        <v>1153420</v>
      </c>
      <c r="D12" s="50">
        <v>1610277</v>
      </c>
      <c r="E12" s="50">
        <v>1243542.5</v>
      </c>
      <c r="F12" s="50">
        <v>777303</v>
      </c>
      <c r="G12" s="17">
        <f t="shared" si="0"/>
        <v>4784542.5</v>
      </c>
      <c r="H12" s="17">
        <f t="shared" si="1"/>
        <v>591727.67979798</v>
      </c>
      <c r="I12" s="17">
        <f t="shared" si="2"/>
        <v>4192814.82020202</v>
      </c>
    </row>
    <row r="13" spans="1:9" ht="15.75" customHeight="1" x14ac:dyDescent="0.25">
      <c r="A13" s="5">
        <f t="shared" si="3"/>
        <v>2035</v>
      </c>
      <c r="B13" s="49">
        <v>510641</v>
      </c>
      <c r="C13" s="50">
        <v>1168961.5</v>
      </c>
      <c r="D13" s="50">
        <v>1647506.5</v>
      </c>
      <c r="E13" s="50">
        <v>1269646.5</v>
      </c>
      <c r="F13" s="50">
        <v>810407</v>
      </c>
      <c r="G13" s="17">
        <f t="shared" si="0"/>
        <v>4896521.5</v>
      </c>
      <c r="H13" s="17">
        <f t="shared" si="1"/>
        <v>594083.58002839144</v>
      </c>
      <c r="I13" s="17">
        <f t="shared" si="2"/>
        <v>4302437.9199716086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2.6736499999999962E-2</v>
      </c>
    </row>
    <row r="4" spans="1:8" ht="15.75" customHeight="1" x14ac:dyDescent="0.25">
      <c r="B4" s="19" t="s">
        <v>69</v>
      </c>
      <c r="C4" s="101">
        <v>6.2096499999999832E-2</v>
      </c>
    </row>
    <row r="5" spans="1:8" ht="15.75" customHeight="1" x14ac:dyDescent="0.25">
      <c r="B5" s="19" t="s">
        <v>70</v>
      </c>
      <c r="C5" s="101">
        <v>9.6906999999999965E-2</v>
      </c>
    </row>
    <row r="6" spans="1:8" ht="15.75" customHeight="1" x14ac:dyDescent="0.25">
      <c r="B6" s="19" t="s">
        <v>71</v>
      </c>
      <c r="C6" s="101">
        <v>0.2477423999999997</v>
      </c>
    </row>
    <row r="7" spans="1:8" ht="15.75" customHeight="1" x14ac:dyDescent="0.25">
      <c r="B7" s="19" t="s">
        <v>72</v>
      </c>
      <c r="C7" s="101">
        <v>0.39012300000000072</v>
      </c>
    </row>
    <row r="8" spans="1:8" ht="15.75" customHeight="1" x14ac:dyDescent="0.25">
      <c r="B8" s="19" t="s">
        <v>73</v>
      </c>
      <c r="C8" s="101">
        <v>1.2472399999999981E-2</v>
      </c>
    </row>
    <row r="9" spans="1:8" ht="15.75" customHeight="1" x14ac:dyDescent="0.25">
      <c r="B9" s="19" t="s">
        <v>74</v>
      </c>
      <c r="C9" s="101">
        <v>5.6193299999999821E-2</v>
      </c>
    </row>
    <row r="10" spans="1:8" ht="15.75" customHeight="1" x14ac:dyDescent="0.25">
      <c r="B10" s="19" t="s">
        <v>75</v>
      </c>
      <c r="C10" s="101">
        <v>0.10772889999999979</v>
      </c>
    </row>
    <row r="11" spans="1:8" ht="15.75" customHeight="1" x14ac:dyDescent="0.25">
      <c r="B11" s="27" t="s">
        <v>30</v>
      </c>
      <c r="C11" s="48">
        <f>SUM(C3:C10)</f>
        <v>0.99999999999999967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0.15413009754034851</v>
      </c>
      <c r="D14" s="55">
        <v>0.15413009754034851</v>
      </c>
      <c r="E14" s="55">
        <v>0.15413009754034851</v>
      </c>
      <c r="F14" s="55">
        <v>0.15413009754034851</v>
      </c>
    </row>
    <row r="15" spans="1:8" ht="15.75" customHeight="1" x14ac:dyDescent="0.25">
      <c r="B15" s="19" t="s">
        <v>82</v>
      </c>
      <c r="C15" s="101">
        <v>0.26960626964040468</v>
      </c>
      <c r="D15" s="101">
        <v>0.26960626964040468</v>
      </c>
      <c r="E15" s="101">
        <v>0.26960626964040468</v>
      </c>
      <c r="F15" s="101">
        <v>0.26960626964040468</v>
      </c>
    </row>
    <row r="16" spans="1:8" ht="15.75" customHeight="1" x14ac:dyDescent="0.25">
      <c r="B16" s="19" t="s">
        <v>83</v>
      </c>
      <c r="C16" s="101">
        <v>4.0112656644452287E-2</v>
      </c>
      <c r="D16" s="101">
        <v>4.0112656644452287E-2</v>
      </c>
      <c r="E16" s="101">
        <v>4.0112656644452287E-2</v>
      </c>
      <c r="F16" s="101">
        <v>4.0112656644452287E-2</v>
      </c>
    </row>
    <row r="17" spans="1:8" ht="15.75" customHeight="1" x14ac:dyDescent="0.25">
      <c r="B17" s="19" t="s">
        <v>84</v>
      </c>
      <c r="C17" s="101">
        <v>0.16760763979547269</v>
      </c>
      <c r="D17" s="101">
        <v>0.16760763979547269</v>
      </c>
      <c r="E17" s="101">
        <v>0.16760763979547269</v>
      </c>
      <c r="F17" s="101">
        <v>0.16760763979547269</v>
      </c>
    </row>
    <row r="18" spans="1:8" ht="15.75" customHeight="1" x14ac:dyDescent="0.25">
      <c r="B18" s="19" t="s">
        <v>85</v>
      </c>
      <c r="C18" s="101">
        <v>0.19823236164519181</v>
      </c>
      <c r="D18" s="101">
        <v>0.19823236164519181</v>
      </c>
      <c r="E18" s="101">
        <v>0.19823236164519181</v>
      </c>
      <c r="F18" s="101">
        <v>0.19823236164519181</v>
      </c>
    </row>
    <row r="19" spans="1:8" ht="15.75" customHeight="1" x14ac:dyDescent="0.25">
      <c r="B19" s="19" t="s">
        <v>86</v>
      </c>
      <c r="C19" s="101">
        <v>1.546365925485443E-2</v>
      </c>
      <c r="D19" s="101">
        <v>1.546365925485443E-2</v>
      </c>
      <c r="E19" s="101">
        <v>1.546365925485443E-2</v>
      </c>
      <c r="F19" s="101">
        <v>1.546365925485443E-2</v>
      </c>
    </row>
    <row r="20" spans="1:8" ht="15.75" customHeight="1" x14ac:dyDescent="0.25">
      <c r="B20" s="19" t="s">
        <v>87</v>
      </c>
      <c r="C20" s="101">
        <v>1.3943537817300299E-2</v>
      </c>
      <c r="D20" s="101">
        <v>1.3943537817300299E-2</v>
      </c>
      <c r="E20" s="101">
        <v>1.3943537817300299E-2</v>
      </c>
      <c r="F20" s="101">
        <v>1.3943537817300299E-2</v>
      </c>
    </row>
    <row r="21" spans="1:8" ht="15.75" customHeight="1" x14ac:dyDescent="0.25">
      <c r="B21" s="19" t="s">
        <v>88</v>
      </c>
      <c r="C21" s="101">
        <v>3.9464722478875093E-2</v>
      </c>
      <c r="D21" s="101">
        <v>3.9464722478875093E-2</v>
      </c>
      <c r="E21" s="101">
        <v>3.9464722478875093E-2</v>
      </c>
      <c r="F21" s="101">
        <v>3.9464722478875093E-2</v>
      </c>
    </row>
    <row r="22" spans="1:8" ht="15.75" customHeight="1" x14ac:dyDescent="0.25">
      <c r="B22" s="19" t="s">
        <v>89</v>
      </c>
      <c r="C22" s="101">
        <v>0.1014390551831001</v>
      </c>
      <c r="D22" s="101">
        <v>0.1014390551831001</v>
      </c>
      <c r="E22" s="101">
        <v>0.1014390551831001</v>
      </c>
      <c r="F22" s="101">
        <v>0.1014390551831001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8.8245948000000005E-2</v>
      </c>
    </row>
    <row r="27" spans="1:8" ht="15.75" customHeight="1" x14ac:dyDescent="0.25">
      <c r="B27" s="19" t="s">
        <v>92</v>
      </c>
      <c r="C27" s="101">
        <v>8.6324339999999996E-3</v>
      </c>
    </row>
    <row r="28" spans="1:8" ht="15.75" customHeight="1" x14ac:dyDescent="0.25">
      <c r="B28" s="19" t="s">
        <v>93</v>
      </c>
      <c r="C28" s="101">
        <v>0.156169268</v>
      </c>
    </row>
    <row r="29" spans="1:8" ht="15.75" customHeight="1" x14ac:dyDescent="0.25">
      <c r="B29" s="19" t="s">
        <v>94</v>
      </c>
      <c r="C29" s="101">
        <v>0.169329655</v>
      </c>
    </row>
    <row r="30" spans="1:8" ht="15.75" customHeight="1" x14ac:dyDescent="0.25">
      <c r="B30" s="19" t="s">
        <v>95</v>
      </c>
      <c r="C30" s="101">
        <v>0.10546003399999999</v>
      </c>
    </row>
    <row r="31" spans="1:8" ht="15.75" customHeight="1" x14ac:dyDescent="0.25">
      <c r="B31" s="19" t="s">
        <v>96</v>
      </c>
      <c r="C31" s="101">
        <v>0.109941625</v>
      </c>
    </row>
    <row r="32" spans="1:8" ht="15.75" customHeight="1" x14ac:dyDescent="0.25">
      <c r="B32" s="19" t="s">
        <v>97</v>
      </c>
      <c r="C32" s="101">
        <v>1.8686595E-2</v>
      </c>
    </row>
    <row r="33" spans="2:3" ht="15.75" customHeight="1" x14ac:dyDescent="0.25">
      <c r="B33" s="19" t="s">
        <v>98</v>
      </c>
      <c r="C33" s="101">
        <v>8.470502299999999E-2</v>
      </c>
    </row>
    <row r="34" spans="2:3" ht="15.75" customHeight="1" x14ac:dyDescent="0.25">
      <c r="B34" s="19" t="s">
        <v>99</v>
      </c>
      <c r="C34" s="101">
        <v>0.25882941799999998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0.4450250848495324</v>
      </c>
      <c r="D2" s="52">
        <f>IFERROR(1-_xlfn.NORM.DIST(_xlfn.NORM.INV(SUM(D4:D5), 0, 1) + 1, 0, 1, TRUE), "")</f>
        <v>0.4450250848495324</v>
      </c>
      <c r="E2" s="52">
        <f>IFERROR(1-_xlfn.NORM.DIST(_xlfn.NORM.INV(SUM(E4:E5), 0, 1) + 1, 0, 1, TRUE), "")</f>
        <v>0.40310369468875096</v>
      </c>
      <c r="F2" s="52">
        <f>IFERROR(1-_xlfn.NORM.DIST(_xlfn.NORM.INV(SUM(F4:F5), 0, 1) + 1, 0, 1, TRUE), "")</f>
        <v>0.27639062353594579</v>
      </c>
      <c r="G2" s="52">
        <f>IFERROR(1-_xlfn.NORM.DIST(_xlfn.NORM.INV(SUM(G4:G5), 0, 1) + 1, 0, 1, TRUE), "")</f>
        <v>0.30018934620714355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0.36056491515046757</v>
      </c>
      <c r="D3" s="52">
        <f>IFERROR(_xlfn.NORM.DIST(_xlfn.NORM.INV(SUM(D4:D5), 0, 1) + 1, 0, 1, TRUE) - SUM(D4:D5), "")</f>
        <v>0.36056491515046757</v>
      </c>
      <c r="E3" s="52">
        <f>IFERROR(_xlfn.NORM.DIST(_xlfn.NORM.INV(SUM(E4:E5), 0, 1) + 1, 0, 1, TRUE) - SUM(E4:E5), "")</f>
        <v>0.37167530531124904</v>
      </c>
      <c r="F3" s="52">
        <f>IFERROR(_xlfn.NORM.DIST(_xlfn.NORM.INV(SUM(F4:F5), 0, 1) + 1, 0, 1, TRUE) - SUM(F4:F5), "")</f>
        <v>0.3813858764640542</v>
      </c>
      <c r="G3" s="52">
        <f>IFERROR(_xlfn.NORM.DIST(_xlfn.NORM.INV(SUM(G4:G5), 0, 1) + 1, 0, 1, TRUE) - SUM(G4:G5), "")</f>
        <v>0.38282475379285641</v>
      </c>
    </row>
    <row r="4" spans="1:15" ht="15.75" customHeight="1" x14ac:dyDescent="0.25">
      <c r="B4" s="5" t="s">
        <v>104</v>
      </c>
      <c r="C4" s="45">
        <v>0.1035065</v>
      </c>
      <c r="D4" s="53">
        <v>0.1035065</v>
      </c>
      <c r="E4" s="53">
        <v>0.1238741</v>
      </c>
      <c r="F4" s="53">
        <v>0.16969590000000001</v>
      </c>
      <c r="G4" s="53">
        <v>0.18429970000000001</v>
      </c>
    </row>
    <row r="5" spans="1:15" ht="15.75" customHeight="1" x14ac:dyDescent="0.25">
      <c r="B5" s="5" t="s">
        <v>105</v>
      </c>
      <c r="C5" s="45">
        <v>9.0903500000000012E-2</v>
      </c>
      <c r="D5" s="53">
        <v>9.0903500000000012E-2</v>
      </c>
      <c r="E5" s="53">
        <v>0.1013469</v>
      </c>
      <c r="F5" s="53">
        <v>0.1725276</v>
      </c>
      <c r="G5" s="53">
        <v>0.1326862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0.54646464710666809</v>
      </c>
      <c r="D8" s="52">
        <f>IFERROR(1-_xlfn.NORM.DIST(_xlfn.NORM.INV(SUM(D10:D11), 0, 1) + 1, 0, 1, TRUE), "")</f>
        <v>0.54646464710666809</v>
      </c>
      <c r="E8" s="52">
        <f>IFERROR(1-_xlfn.NORM.DIST(_xlfn.NORM.INV(SUM(E10:E11), 0, 1) + 1, 0, 1, TRUE), "")</f>
        <v>0.61037484917419682</v>
      </c>
      <c r="F8" s="52">
        <f>IFERROR(1-_xlfn.NORM.DIST(_xlfn.NORM.INV(SUM(F10:F11), 0, 1) + 1, 0, 1, TRUE), "")</f>
        <v>0.61432381281496351</v>
      </c>
      <c r="G8" s="52">
        <f>IFERROR(1-_xlfn.NORM.DIST(_xlfn.NORM.INV(SUM(G10:G11), 0, 1) + 1, 0, 1, TRUE), "")</f>
        <v>0.65081394248521718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0.32148135289333191</v>
      </c>
      <c r="D9" s="52">
        <f>IFERROR(_xlfn.NORM.DIST(_xlfn.NORM.INV(SUM(D10:D11), 0, 1) + 1, 0, 1, TRUE) - SUM(D10:D11), "")</f>
        <v>0.32148135289333191</v>
      </c>
      <c r="E9" s="52">
        <f>IFERROR(_xlfn.NORM.DIST(_xlfn.NORM.INV(SUM(E10:E11), 0, 1) + 1, 0, 1, TRUE) - SUM(E10:E11), "")</f>
        <v>0.28940465082580319</v>
      </c>
      <c r="F9" s="52">
        <f>IFERROR(_xlfn.NORM.DIST(_xlfn.NORM.INV(SUM(F10:F11), 0, 1) + 1, 0, 1, TRUE) - SUM(F10:F11), "")</f>
        <v>0.28725608718503642</v>
      </c>
      <c r="G9" s="52">
        <f>IFERROR(_xlfn.NORM.DIST(_xlfn.NORM.INV(SUM(G10:G11), 0, 1) + 1, 0, 1, TRUE) - SUM(G10:G11), "")</f>
        <v>0.26654425751478283</v>
      </c>
    </row>
    <row r="10" spans="1:15" ht="15.75" customHeight="1" x14ac:dyDescent="0.25">
      <c r="B10" s="5" t="s">
        <v>109</v>
      </c>
      <c r="C10" s="45">
        <v>7.9121499999999997E-2</v>
      </c>
      <c r="D10" s="53">
        <v>7.9121499999999997E-2</v>
      </c>
      <c r="E10" s="53">
        <v>5.7722900000000001E-2</v>
      </c>
      <c r="F10" s="53">
        <v>6.3796600000000009E-2</v>
      </c>
      <c r="G10" s="53">
        <v>4.9700399999999999E-2</v>
      </c>
    </row>
    <row r="11" spans="1:15" ht="15.75" customHeight="1" x14ac:dyDescent="0.25">
      <c r="B11" s="5" t="s">
        <v>110</v>
      </c>
      <c r="C11" s="45">
        <v>5.2932499999999993E-2</v>
      </c>
      <c r="D11" s="53">
        <v>5.2932499999999993E-2</v>
      </c>
      <c r="E11" s="53">
        <v>4.2497600000000003E-2</v>
      </c>
      <c r="F11" s="53">
        <v>3.4623500000000001E-2</v>
      </c>
      <c r="G11" s="53">
        <v>3.2941400000000003E-2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0.80740865400000006</v>
      </c>
      <c r="D14" s="54">
        <v>0.79280759528</v>
      </c>
      <c r="E14" s="54">
        <v>0.79280759528</v>
      </c>
      <c r="F14" s="54">
        <v>0.78136551429400003</v>
      </c>
      <c r="G14" s="54">
        <v>0.78136551429400003</v>
      </c>
      <c r="H14" s="45">
        <v>0.61399999999999999</v>
      </c>
      <c r="I14" s="55">
        <v>0.61399999999999999</v>
      </c>
      <c r="J14" s="55">
        <v>0.61399999999999999</v>
      </c>
      <c r="K14" s="55">
        <v>0.61399999999999999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0.33298824744806405</v>
      </c>
      <c r="D15" s="52">
        <f t="shared" si="0"/>
        <v>0.32696653721499647</v>
      </c>
      <c r="E15" s="52">
        <f t="shared" si="0"/>
        <v>0.32696653721499647</v>
      </c>
      <c r="F15" s="52">
        <f t="shared" si="0"/>
        <v>0.32224763994307432</v>
      </c>
      <c r="G15" s="52">
        <f t="shared" si="0"/>
        <v>0.32224763994307432</v>
      </c>
      <c r="H15" s="52">
        <f t="shared" si="0"/>
        <v>0.25322342399999997</v>
      </c>
      <c r="I15" s="52">
        <f t="shared" si="0"/>
        <v>0.25322342399999997</v>
      </c>
      <c r="J15" s="52">
        <f t="shared" si="0"/>
        <v>0.25322342399999997</v>
      </c>
      <c r="K15" s="52">
        <f t="shared" si="0"/>
        <v>0.25322342399999997</v>
      </c>
      <c r="L15" s="52">
        <f t="shared" si="0"/>
        <v>0.177751296</v>
      </c>
      <c r="M15" s="52">
        <f t="shared" si="0"/>
        <v>0.177751296</v>
      </c>
      <c r="N15" s="52">
        <f t="shared" si="0"/>
        <v>0.177751296</v>
      </c>
      <c r="O15" s="52">
        <f t="shared" si="0"/>
        <v>0.177751296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0.45601320000000001</v>
      </c>
      <c r="D2" s="53">
        <v>0.2905181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0.3316151</v>
      </c>
      <c r="D3" s="53">
        <v>0.38545059999999998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0.1414513</v>
      </c>
      <c r="D4" s="53">
        <v>0.24034440000000001</v>
      </c>
      <c r="E4" s="53">
        <v>0.91538570000000008</v>
      </c>
      <c r="F4" s="53">
        <v>0.77619680000000002</v>
      </c>
      <c r="G4" s="53">
        <v>0</v>
      </c>
    </row>
    <row r="5" spans="1:7" x14ac:dyDescent="0.25">
      <c r="B5" s="3" t="s">
        <v>122</v>
      </c>
      <c r="C5" s="52">
        <v>7.0920399999999995E-2</v>
      </c>
      <c r="D5" s="52">
        <v>8.3686799999999992E-2</v>
      </c>
      <c r="E5" s="52">
        <f>1-SUM(E2:E4)</f>
        <v>8.461429999999992E-2</v>
      </c>
      <c r="F5" s="52">
        <f>1-SUM(F2:F4)</f>
        <v>0.22380319999999998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35.816368288100662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47.385296465699412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66.152777340535977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0.18527997962689621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0.23646220000000001</v>
      </c>
      <c r="C10" s="98">
        <v>0.95</v>
      </c>
      <c r="D10" s="56">
        <v>15.044545796194489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15.044545796194489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15.044545796194489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15.044545796194489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0.23646220000000001</v>
      </c>
      <c r="C14" s="98">
        <v>0.95</v>
      </c>
      <c r="D14" s="56">
        <v>15.044545796194489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15.044545796194489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0.62398120000000001</v>
      </c>
      <c r="C16" s="98">
        <v>0.95</v>
      </c>
      <c r="D16" s="56">
        <v>0.24712311935070541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0.163026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0.2905181</v>
      </c>
      <c r="C18" s="98">
        <v>0.95</v>
      </c>
      <c r="D18" s="56">
        <v>1.6298747192048619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0.2905181</v>
      </c>
      <c r="C19" s="98">
        <v>0.95</v>
      </c>
      <c r="D19" s="56">
        <v>1.6298747192048619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1.5381163607561441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25.637914781807041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0.43885239999999998</v>
      </c>
      <c r="C23" s="98">
        <v>0.95</v>
      </c>
      <c r="D23" s="56">
        <v>4.9284766235485638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0.371562949939933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0.23646220000000001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21.742653433254151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0.54870339999999995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0.13809589999999999</v>
      </c>
      <c r="C29" s="98">
        <v>0.95</v>
      </c>
      <c r="D29" s="56">
        <v>62.950095029969347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0.13059999999999999</v>
      </c>
      <c r="C31" s="98">
        <v>0.95</v>
      </c>
      <c r="D31" s="56">
        <v>1.954333786257108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0.96</v>
      </c>
      <c r="C32" s="98">
        <v>0.95</v>
      </c>
      <c r="D32" s="56">
        <v>0.46704731202839472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0.20636099999999999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0.5478866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2.1925999999999998E-3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0.22891449999999999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0.26043110000000003</v>
      </c>
      <c r="C38" s="98">
        <v>0.95</v>
      </c>
      <c r="D38" s="56">
        <v>5.1292086462125832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0.20571590000000001</v>
      </c>
      <c r="C3" s="21">
        <f>frac_mam_1_5months * 2.6</f>
        <v>0.20571590000000001</v>
      </c>
      <c r="D3" s="21">
        <f>frac_mam_6_11months * 2.6</f>
        <v>0.15007954000000001</v>
      </c>
      <c r="E3" s="21">
        <f>frac_mam_12_23months * 2.6</f>
        <v>0.16587116000000002</v>
      </c>
      <c r="F3" s="21">
        <f>frac_mam_24_59months * 2.6</f>
        <v>0.12922104000000001</v>
      </c>
    </row>
    <row r="4" spans="1:6" ht="15.75" customHeight="1" x14ac:dyDescent="0.25">
      <c r="A4" s="3" t="s">
        <v>205</v>
      </c>
      <c r="B4" s="21">
        <f>frac_sam_1month * 2.6</f>
        <v>0.13762449999999998</v>
      </c>
      <c r="C4" s="21">
        <f>frac_sam_1_5months * 2.6</f>
        <v>0.13762449999999998</v>
      </c>
      <c r="D4" s="21">
        <f>frac_sam_6_11months * 2.6</f>
        <v>0.11049376000000001</v>
      </c>
      <c r="E4" s="21">
        <f>frac_sam_12_23months * 2.6</f>
        <v>9.0021100000000007E-2</v>
      </c>
      <c r="F4" s="21">
        <f>frac_sam_24_59months * 2.6</f>
        <v>8.5647640000000011E-2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0.35299999999999998</v>
      </c>
      <c r="E2" s="60">
        <f>food_insecure</f>
        <v>0.35299999999999998</v>
      </c>
      <c r="F2" s="60">
        <f>food_insecure</f>
        <v>0.35299999999999998</v>
      </c>
      <c r="G2" s="60">
        <f>food_insecure</f>
        <v>0.35299999999999998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0.35299999999999998</v>
      </c>
      <c r="F5" s="60">
        <f>food_insecure</f>
        <v>0.35299999999999998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0.35299999999999998</v>
      </c>
      <c r="F8" s="60">
        <f>food_insecure</f>
        <v>0.35299999999999998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0.35299999999999998</v>
      </c>
      <c r="F9" s="60">
        <f>food_insecure</f>
        <v>0.35299999999999998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0.35299999999999998</v>
      </c>
      <c r="I15" s="60">
        <f>food_insecure</f>
        <v>0.35299999999999998</v>
      </c>
      <c r="J15" s="60">
        <f>food_insecure</f>
        <v>0.35299999999999998</v>
      </c>
      <c r="K15" s="60">
        <f>food_insecure</f>
        <v>0.35299999999999998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</v>
      </c>
      <c r="I19" s="60">
        <f>frac_malaria_risk</f>
        <v>0.99</v>
      </c>
      <c r="J19" s="60">
        <f>frac_malaria_risk</f>
        <v>0.99</v>
      </c>
      <c r="K19" s="60">
        <f>frac_malaria_risk</f>
        <v>0.99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0.78500000000000003</v>
      </c>
      <c r="M24" s="60">
        <f>famplan_unmet_need</f>
        <v>0.78500000000000003</v>
      </c>
      <c r="N24" s="60">
        <f>famplan_unmet_need</f>
        <v>0.78500000000000003</v>
      </c>
      <c r="O24" s="60">
        <f>famplan_unmet_need</f>
        <v>0.78500000000000003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0.41610533435020436</v>
      </c>
      <c r="M25" s="60">
        <f>(1-food_insecure)*(0.49)+food_insecure*(0.7)</f>
        <v>0.56412999999999991</v>
      </c>
      <c r="N25" s="60">
        <f>(1-food_insecure)*(0.49)+food_insecure*(0.7)</f>
        <v>0.56412999999999991</v>
      </c>
      <c r="O25" s="60">
        <f>(1-food_insecure)*(0.49)+food_insecure*(0.7)</f>
        <v>0.56412999999999991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0.17833085757865902</v>
      </c>
      <c r="M26" s="60">
        <f>(1-food_insecure)*(0.21)+food_insecure*(0.3)</f>
        <v>0.24176999999999998</v>
      </c>
      <c r="N26" s="60">
        <f>(1-food_insecure)*(0.21)+food_insecure*(0.3)</f>
        <v>0.24176999999999998</v>
      </c>
      <c r="O26" s="60">
        <f>(1-food_insecure)*(0.21)+food_insecure*(0.3)</f>
        <v>0.24176999999999998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0.14316920815658565</v>
      </c>
      <c r="M27" s="60">
        <f>(1-food_insecure)*(0.3)</f>
        <v>0.19409999999999999</v>
      </c>
      <c r="N27" s="60">
        <f>(1-food_insecure)*(0.3)</f>
        <v>0.19409999999999999</v>
      </c>
      <c r="O27" s="60">
        <f>(1-food_insecure)*(0.3)</f>
        <v>0.19409999999999999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0.262394599914551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</v>
      </c>
      <c r="D34" s="60">
        <f t="shared" si="3"/>
        <v>0.99</v>
      </c>
      <c r="E34" s="60">
        <f t="shared" si="3"/>
        <v>0.99</v>
      </c>
      <c r="F34" s="60">
        <f t="shared" si="3"/>
        <v>0.99</v>
      </c>
      <c r="G34" s="60">
        <f t="shared" si="3"/>
        <v>0.99</v>
      </c>
      <c r="H34" s="60">
        <f t="shared" si="3"/>
        <v>0.99</v>
      </c>
      <c r="I34" s="60">
        <f t="shared" si="3"/>
        <v>0.99</v>
      </c>
      <c r="J34" s="60">
        <f t="shared" si="3"/>
        <v>0.99</v>
      </c>
      <c r="K34" s="60">
        <f t="shared" si="3"/>
        <v>0.99</v>
      </c>
      <c r="L34" s="60">
        <f t="shared" si="3"/>
        <v>0.99</v>
      </c>
      <c r="M34" s="60">
        <f t="shared" si="3"/>
        <v>0.99</v>
      </c>
      <c r="N34" s="60">
        <f t="shared" si="3"/>
        <v>0.99</v>
      </c>
      <c r="O34" s="60">
        <f t="shared" si="3"/>
        <v>0.99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0.10581994430315189</v>
      </c>
      <c r="G18" s="90">
        <f>MIN(MAX(1-0.89/(1-frac_sam_12_23months+(frac_sam_12_23months*0.89)),0),1)</f>
        <v>0.10659740025966791</v>
      </c>
      <c r="H18" s="90">
        <f>MIN(MAX(1-0.89/(1-frac_sam_24_59months+(frac_sam_24_59months*0.89)),0),1)</f>
        <v>0.10676330861398142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0.1043128172148492</v>
      </c>
      <c r="G20" s="90">
        <f>MIN(MAX(1-0.89/(1-frac_mam_12_23months+(frac_mam_12_23months*0.89)),0),1)</f>
        <v>0.10371017320796871</v>
      </c>
      <c r="H20" s="90">
        <f>MIN(MAX(1-0.89/(1-frac_mam_24_59months+(frac_mam_24_59months*0.89)),0),1)</f>
        <v>0.10510758378528784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9.5790948854279634E-3</v>
      </c>
      <c r="G73" s="90">
        <f>MIN(MAX(1-0.99/(1-frac_sam_12_23months+(frac_sam_12_23months*0.99)),0),1)</f>
        <v>9.6571086290060393E-3</v>
      </c>
      <c r="H73" s="90">
        <f>MIN(MAX(1-0.99/(1-frac_sam_24_59months+(frac_sam_24_59months*0.99)),0),1)</f>
        <v>9.6737726761523257E-3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9.4282132380991701E-3</v>
      </c>
      <c r="G75" s="90">
        <f>MIN(MAX(1-0.99/(1-frac_mam_12_23months+(frac_mam_12_23months*0.99)),0),1)</f>
        <v>9.3680104721689528E-3</v>
      </c>
      <c r="H75" s="90">
        <f>MIN(MAX(1-0.99/(1-frac_mam_24_59months+(frac_mam_24_59months*0.99)),0),1)</f>
        <v>9.5077213755545564E-3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0.19314209510014557</v>
      </c>
      <c r="G128" s="90">
        <f>MIN(MAX(1-0.8/(1-frac_sam_12_23months+(frac_sam_12_23months*0.8)),0),1)</f>
        <v>0.19442161133199054</v>
      </c>
      <c r="H128" s="90">
        <f>MIN(MAX(1-0.8/(1-frac_sam_24_59months+(frac_sam_24_59months*0.8)),0),1)</f>
        <v>0.19469442136237325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0.19065646885723986</v>
      </c>
      <c r="G130" s="90">
        <f>MIN(MAX(1-0.8/(1-frac_mam_12_23months+(frac_mam_12_23months*0.8)),0),1)</f>
        <v>0.18966062054898303</v>
      </c>
      <c r="H130" s="90">
        <f>MIN(MAX(1-0.8/(1-frac_mam_24_59months+(frac_mam_24_59months*0.8)),0),1)</f>
        <v>0.19196809825409344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2024-06-18T06:55:24Z</dcterms:modified>
</cp:coreProperties>
</file>