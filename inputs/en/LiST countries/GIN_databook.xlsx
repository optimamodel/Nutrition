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1E7BB20-CD85-4389-95C3-8629EF3756F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<sst xmlns="http://schemas.openxmlformats.org/spreadsheetml/2006/main" count="2169" uniqueCount="373">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</sst>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2220484</v>
      </c>
    </row>
    <row r="8" spans="1:3" ht="15" customHeight="1" x14ac:dyDescent="0.25">
      <c r="B8" s="5" t="s">
        <v>8</v>
      </c>
      <c r="C8" s="44">
        <v>0.35299999999999998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0.2556081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0.14269999999999999</v>
      </c>
    </row>
    <row r="24" spans="1:3" ht="15" customHeight="1" x14ac:dyDescent="0.25">
      <c r="B24" s="15" t="s">
        <v>22</v>
      </c>
      <c r="C24" s="45">
        <v>0.42099999999999987</v>
      </c>
    </row>
    <row r="25" spans="1:3" ht="15" customHeight="1" x14ac:dyDescent="0.25">
      <c r="B25" s="15" t="s">
        <v>23</v>
      </c>
      <c r="C25" s="45">
        <v>0.33529999999999999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7">
        <v>3.7040067899888597E-2</v>
      </c>
    </row>
    <row r="31" spans="1:3" ht="14.25" customHeight="1" x14ac:dyDescent="0.25">
      <c r="B31" s="25" t="s">
        <v>28</v>
      </c>
      <c r="C31" s="97">
        <v>9.42970158051466E-2</v>
      </c>
    </row>
    <row r="32" spans="1:3" ht="14.25" customHeight="1" x14ac:dyDescent="0.25">
      <c r="B32" s="25" t="s">
        <v>29</v>
      </c>
      <c r="C32" s="97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31.108440000000002</v>
      </c>
    </row>
    <row r="38" spans="1:5" ht="15" customHeight="1" x14ac:dyDescent="0.25">
      <c r="B38" s="11" t="s">
        <v>34</v>
      </c>
      <c r="C38" s="43">
        <v>63.776989999999998</v>
      </c>
      <c r="D38" s="12"/>
      <c r="E38" s="13"/>
    </row>
    <row r="39" spans="1:5" ht="15" customHeight="1" x14ac:dyDescent="0.25">
      <c r="B39" s="11" t="s">
        <v>35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98">
        <v>5.53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7.9359000000000009E-3</v>
      </c>
      <c r="D45" s="12"/>
    </row>
    <row r="46" spans="1:5" ht="15.75" customHeight="1" x14ac:dyDescent="0.25">
      <c r="B46" s="11" t="s">
        <v>41</v>
      </c>
      <c r="C46" s="45">
        <v>8.5269600000000001E-2</v>
      </c>
      <c r="D46" s="12"/>
    </row>
    <row r="47" spans="1:5" ht="15.75" customHeight="1" x14ac:dyDescent="0.25">
      <c r="B47" s="11" t="s">
        <v>42</v>
      </c>
      <c r="C47" s="45">
        <v>7.34538E-2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2.4700000000000002</v>
      </c>
      <c r="D51" s="12"/>
    </row>
    <row r="52" spans="1:4" ht="15" customHeight="1" x14ac:dyDescent="0.25">
      <c r="B52" s="11" t="s">
        <v>46</v>
      </c>
      <c r="C52" s="98">
        <v>2.4700000000000002</v>
      </c>
    </row>
    <row r="53" spans="1:4" ht="15.75" customHeight="1" x14ac:dyDescent="0.25">
      <c r="B53" s="11" t="s">
        <v>47</v>
      </c>
      <c r="C53" s="98">
        <v>6.8640000000000008</v>
      </c>
    </row>
    <row r="54" spans="1:4" ht="15.75" customHeight="1" x14ac:dyDescent="0.25">
      <c r="B54" s="11" t="s">
        <v>48</v>
      </c>
      <c r="C54" s="98">
        <v>5.3819999999999997</v>
      </c>
    </row>
    <row r="55" spans="1:4" ht="15.75" customHeight="1" x14ac:dyDescent="0.25">
      <c r="B55" s="11" t="s">
        <v>49</v>
      </c>
      <c r="C55" s="98">
        <v>3.1373333333333342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0.412416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2.6736499999999962E-2</v>
      </c>
    </row>
    <row r="4" spans="1:8" ht="15.75" customHeight="1" x14ac:dyDescent="0.25">
      <c r="B4" s="19" t="s">
        <v>69</v>
      </c>
      <c r="C4" s="99">
        <v>6.2096499999999832E-2</v>
      </c>
    </row>
    <row r="5" spans="1:8" ht="15.75" customHeight="1" x14ac:dyDescent="0.25">
      <c r="B5" s="19" t="s">
        <v>70</v>
      </c>
      <c r="C5" s="99">
        <v>9.6906999999999965E-2</v>
      </c>
    </row>
    <row r="6" spans="1:8" ht="15.75" customHeight="1" x14ac:dyDescent="0.25">
      <c r="B6" s="19" t="s">
        <v>71</v>
      </c>
      <c r="C6" s="99">
        <v>0.2477423999999997</v>
      </c>
    </row>
    <row r="7" spans="1:8" ht="15.75" customHeight="1" x14ac:dyDescent="0.25">
      <c r="B7" s="19" t="s">
        <v>72</v>
      </c>
      <c r="C7" s="99">
        <v>0.39012300000000072</v>
      </c>
    </row>
    <row r="8" spans="1:8" ht="15.75" customHeight="1" x14ac:dyDescent="0.25">
      <c r="B8" s="19" t="s">
        <v>73</v>
      </c>
      <c r="C8" s="99">
        <v>1.2472399999999981E-2</v>
      </c>
    </row>
    <row r="9" spans="1:8" ht="15.75" customHeight="1" x14ac:dyDescent="0.25">
      <c r="B9" s="19" t="s">
        <v>74</v>
      </c>
      <c r="C9" s="99">
        <v>5.6193299999999821E-2</v>
      </c>
    </row>
    <row r="10" spans="1:8" ht="15.75" customHeight="1" x14ac:dyDescent="0.25">
      <c r="B10" s="19" t="s">
        <v>75</v>
      </c>
      <c r="C10" s="99">
        <v>0.10772889999999979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82</v>
      </c>
      <c r="C15" s="99">
        <v>0.26960626964040468</v>
      </c>
      <c r="D15" s="99">
        <v>0.26960626964040468</v>
      </c>
      <c r="E15" s="99">
        <v>0.26960626964040468</v>
      </c>
      <c r="F15" s="99">
        <v>0.26960626964040468</v>
      </c>
    </row>
    <row r="16" spans="1:8" ht="15.75" customHeight="1" x14ac:dyDescent="0.25">
      <c r="B16" s="19" t="s">
        <v>83</v>
      </c>
      <c r="C16" s="99">
        <v>4.0112656644452287E-2</v>
      </c>
      <c r="D16" s="99">
        <v>4.0112656644452287E-2</v>
      </c>
      <c r="E16" s="99">
        <v>4.0112656644452287E-2</v>
      </c>
      <c r="F16" s="99">
        <v>4.0112656644452287E-2</v>
      </c>
    </row>
    <row r="17" spans="1:8" ht="15.75" customHeight="1" x14ac:dyDescent="0.25">
      <c r="B17" s="19" t="s">
        <v>84</v>
      </c>
      <c r="C17" s="99">
        <v>0.16760763979547269</v>
      </c>
      <c r="D17" s="99">
        <v>0.16760763979547269</v>
      </c>
      <c r="E17" s="99">
        <v>0.16760763979547269</v>
      </c>
      <c r="F17" s="99">
        <v>0.16760763979547269</v>
      </c>
    </row>
    <row r="18" spans="1:8" ht="15.75" customHeight="1" x14ac:dyDescent="0.25">
      <c r="B18" s="19" t="s">
        <v>85</v>
      </c>
      <c r="C18" s="99">
        <v>0.19823236164519181</v>
      </c>
      <c r="D18" s="99">
        <v>0.19823236164519181</v>
      </c>
      <c r="E18" s="99">
        <v>0.19823236164519181</v>
      </c>
      <c r="F18" s="99">
        <v>0.19823236164519181</v>
      </c>
    </row>
    <row r="19" spans="1:8" ht="15.75" customHeight="1" x14ac:dyDescent="0.25">
      <c r="B19" s="19" t="s">
        <v>86</v>
      </c>
      <c r="C19" s="99">
        <v>1.546365925485443E-2</v>
      </c>
      <c r="D19" s="99">
        <v>1.546365925485443E-2</v>
      </c>
      <c r="E19" s="99">
        <v>1.546365925485443E-2</v>
      </c>
      <c r="F19" s="99">
        <v>1.546365925485443E-2</v>
      </c>
    </row>
    <row r="20" spans="1:8" ht="15.75" customHeight="1" x14ac:dyDescent="0.25">
      <c r="B20" s="19" t="s">
        <v>87</v>
      </c>
      <c r="C20" s="99">
        <v>1.3943537817300299E-2</v>
      </c>
      <c r="D20" s="99">
        <v>1.3943537817300299E-2</v>
      </c>
      <c r="E20" s="99">
        <v>1.3943537817300299E-2</v>
      </c>
      <c r="F20" s="99">
        <v>1.3943537817300299E-2</v>
      </c>
    </row>
    <row r="21" spans="1:8" ht="15.75" customHeight="1" x14ac:dyDescent="0.25">
      <c r="B21" s="19" t="s">
        <v>88</v>
      </c>
      <c r="C21" s="99">
        <v>3.9464722478875093E-2</v>
      </c>
      <c r="D21" s="99">
        <v>3.9464722478875093E-2</v>
      </c>
      <c r="E21" s="99">
        <v>3.9464722478875093E-2</v>
      </c>
      <c r="F21" s="99">
        <v>3.9464722478875093E-2</v>
      </c>
    </row>
    <row r="22" spans="1:8" ht="15.75" customHeight="1" x14ac:dyDescent="0.25">
      <c r="B22" s="19" t="s">
        <v>89</v>
      </c>
      <c r="C22" s="99">
        <v>0.1014390551831001</v>
      </c>
      <c r="D22" s="99">
        <v>0.1014390551831001</v>
      </c>
      <c r="E22" s="99">
        <v>0.1014390551831001</v>
      </c>
      <c r="F22" s="99">
        <v>0.1014390551831001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8.8245948000000005E-2</v>
      </c>
    </row>
    <row r="27" spans="1:8" ht="15.75" customHeight="1" x14ac:dyDescent="0.25">
      <c r="B27" s="19" t="s">
        <v>92</v>
      </c>
      <c r="C27" s="99">
        <v>8.6324339999999996E-3</v>
      </c>
    </row>
    <row r="28" spans="1:8" ht="15.75" customHeight="1" x14ac:dyDescent="0.25">
      <c r="B28" s="19" t="s">
        <v>93</v>
      </c>
      <c r="C28" s="99">
        <v>0.156169268</v>
      </c>
    </row>
    <row r="29" spans="1:8" ht="15.75" customHeight="1" x14ac:dyDescent="0.25">
      <c r="B29" s="19" t="s">
        <v>94</v>
      </c>
      <c r="C29" s="99">
        <v>0.169329655</v>
      </c>
    </row>
    <row r="30" spans="1:8" ht="15.75" customHeight="1" x14ac:dyDescent="0.25">
      <c r="B30" s="19" t="s">
        <v>95</v>
      </c>
      <c r="C30" s="99">
        <v>0.10546003399999999</v>
      </c>
    </row>
    <row r="31" spans="1:8" ht="15.75" customHeight="1" x14ac:dyDescent="0.25">
      <c r="B31" s="19" t="s">
        <v>96</v>
      </c>
      <c r="C31" s="99">
        <v>0.109941625</v>
      </c>
    </row>
    <row r="32" spans="1:8" ht="15.75" customHeight="1" x14ac:dyDescent="0.25">
      <c r="B32" s="19" t="s">
        <v>97</v>
      </c>
      <c r="C32" s="99">
        <v>1.8686595E-2</v>
      </c>
    </row>
    <row r="33" spans="2:3" ht="15.75" customHeight="1" x14ac:dyDescent="0.25">
      <c r="B33" s="19" t="s">
        <v>98</v>
      </c>
      <c r="C33" s="99">
        <v>8.470502299999999E-2</v>
      </c>
    </row>
    <row r="34" spans="2:3" ht="15.75" customHeight="1" x14ac:dyDescent="0.25">
      <c r="B34" s="19" t="s">
        <v>99</v>
      </c>
      <c r="C34" s="99">
        <v>0.25882941799999998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104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1515.16794777584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0.37432000000000004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0.43612000000000001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1.8285810182065196E-2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90253.929969999997</v>
      </c>
      <c r="C22" s="107">
        <v>89126.380439999994</v>
      </c>
      <c r="D22" s="107">
        <v>88551.283349999998</v>
      </c>
      <c r="E22" s="107">
        <v>87879.151410000006</v>
      </c>
      <c r="F22" s="107">
        <v>86947.660440000007</v>
      </c>
      <c r="G22" s="107">
        <v>85778.042679999999</v>
      </c>
      <c r="H22" s="107">
        <v>84267.900959999999</v>
      </c>
      <c r="I22" s="107">
        <v>82298.965230000002</v>
      </c>
      <c r="J22" s="107">
        <v>79636.110289999997</v>
      </c>
      <c r="K22" s="107">
        <v>76268.576140000005</v>
      </c>
      <c r="L22" s="107">
        <v>71653.351689999996</v>
      </c>
      <c r="M22" s="107">
        <v>65683.188500000004</v>
      </c>
      <c r="N22" s="107">
        <v>57659.873209999998</v>
      </c>
      <c r="O22" s="107">
        <v>47957.426630000002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0.23646220000000001</v>
      </c>
      <c r="C10" s="96">
        <v>0.95</v>
      </c>
      <c r="D10" s="56">
        <v>15.044545796194489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15.044545796194489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15.044545796194489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15.044545796194489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0.23646220000000001</v>
      </c>
      <c r="C14" s="96">
        <v>0.95</v>
      </c>
      <c r="D14" s="56">
        <v>15.044545796194489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15.044545796194489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0.62398120000000001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0.163026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0.187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0.2905181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0.43885239999999998</v>
      </c>
      <c r="C23" s="96">
        <v>0.95</v>
      </c>
      <c r="D23" s="56">
        <v>4.9284766235485638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0.371562949939933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0.23646220000000001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0.54870339999999995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0.13809589999999999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0.13059999999999999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0.97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0.20636095323558901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0.5478866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2.1925999999999998E-3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0.22891449999999999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0.26043110000000003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2.4700000000000002</v>
      </c>
      <c r="C2" s="21">
        <f>'Baseline year population inputs'!C52</f>
        <v>2.4700000000000002</v>
      </c>
      <c r="D2" s="21">
        <f>'Baseline year population inputs'!C53</f>
        <v>6.8640000000000008</v>
      </c>
      <c r="E2" s="21">
        <f>'Baseline year population inputs'!C54</f>
        <v>5.3819999999999997</v>
      </c>
      <c r="F2" s="21">
        <f>'Baseline year population inputs'!C55</f>
        <v>3.1373333333333342</v>
      </c>
    </row>
    <row r="3" spans="1:6" ht="15.75" customHeight="1" x14ac:dyDescent="0.25">
      <c r="A3" s="3" t="s">
        <v>197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198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