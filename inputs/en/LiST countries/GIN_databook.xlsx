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FF114FA1-06B5-4AB3-B7EC-F8FCFCE7C62C}" xr6:coauthVersionLast="47" xr6:coauthVersionMax="47" xr10:uidLastSave="{00000000-0000-0000-0000-000000000000}"/>
  <bookViews>
    <workbookView xWindow="0" yWindow="3670" windowWidth="19200" windowHeight="6530" tabRatio="961" firstSheet="4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state="hidden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F152" i="27"/>
  <c r="D152" i="27"/>
  <c r="H136" i="27"/>
  <c r="G136" i="27"/>
  <c r="F136" i="27"/>
  <c r="E136" i="27"/>
  <c r="H135" i="27"/>
  <c r="G135" i="27"/>
  <c r="F135" i="27"/>
  <c r="E135" i="27"/>
  <c r="D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H129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E112" i="27"/>
  <c r="D112" i="27"/>
  <c r="H97" i="27"/>
  <c r="H152" i="27" s="1"/>
  <c r="G97" i="27"/>
  <c r="G152" i="27" s="1"/>
  <c r="F97" i="27"/>
  <c r="E97" i="27"/>
  <c r="E152" i="27" s="1"/>
  <c r="D97" i="27"/>
  <c r="H81" i="27"/>
  <c r="G81" i="27"/>
  <c r="F81" i="27"/>
  <c r="E81" i="27"/>
  <c r="H80" i="27"/>
  <c r="G80" i="27"/>
  <c r="F80" i="27"/>
  <c r="E80" i="27"/>
  <c r="D80" i="27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H74" i="27"/>
  <c r="G74" i="27"/>
  <c r="G129" i="27" s="1"/>
  <c r="F74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G112" i="27" s="1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O67" i="25"/>
  <c r="D67" i="25"/>
  <c r="C67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9" i="25"/>
  <c r="N19" i="25"/>
  <c r="M19" i="25"/>
  <c r="L19" i="25"/>
  <c r="K19" i="25"/>
  <c r="J19" i="25"/>
  <c r="I19" i="25"/>
  <c r="H19" i="25"/>
  <c r="G19" i="25"/>
  <c r="F19" i="25"/>
  <c r="E19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I40" i="2" s="1"/>
  <c r="G40" i="2"/>
  <c r="H39" i="2"/>
  <c r="G39" i="2"/>
  <c r="I39" i="2" s="1"/>
  <c r="A39" i="2"/>
  <c r="H38" i="2"/>
  <c r="I38" i="2" s="1"/>
  <c r="G38" i="2"/>
  <c r="A37" i="2"/>
  <c r="A35" i="2"/>
  <c r="A34" i="2"/>
  <c r="A33" i="2"/>
  <c r="A32" i="2"/>
  <c r="A29" i="2"/>
  <c r="A27" i="2"/>
  <c r="A26" i="2"/>
  <c r="A25" i="2"/>
  <c r="A24" i="2"/>
  <c r="A21" i="2"/>
  <c r="A19" i="2"/>
  <c r="A18" i="2"/>
  <c r="A17" i="2"/>
  <c r="A16" i="2"/>
  <c r="H13" i="2"/>
  <c r="G13" i="2"/>
  <c r="I13" i="2" s="1"/>
  <c r="H12" i="2"/>
  <c r="I12" i="2" s="1"/>
  <c r="G12" i="2"/>
  <c r="H11" i="2"/>
  <c r="G11" i="2"/>
  <c r="I11" i="2" s="1"/>
  <c r="H10" i="2"/>
  <c r="I10" i="2" s="1"/>
  <c r="G10" i="2"/>
  <c r="H9" i="2"/>
  <c r="G9" i="2"/>
  <c r="I9" i="2" s="1"/>
  <c r="H8" i="2"/>
  <c r="I8" i="2" s="1"/>
  <c r="G8" i="2"/>
  <c r="H7" i="2"/>
  <c r="G7" i="2"/>
  <c r="I7" i="2" s="1"/>
  <c r="H6" i="2"/>
  <c r="I6" i="2" s="1"/>
  <c r="G6" i="2"/>
  <c r="H5" i="2"/>
  <c r="G5" i="2"/>
  <c r="I5" i="2" s="1"/>
  <c r="H4" i="2"/>
  <c r="I4" i="2" s="1"/>
  <c r="G4" i="2"/>
  <c r="H3" i="2"/>
  <c r="G3" i="2"/>
  <c r="I3" i="2" s="1"/>
  <c r="A3" i="2"/>
  <c r="H2" i="2"/>
  <c r="I2" i="2" s="1"/>
  <c r="G2" i="2"/>
  <c r="A2" i="2"/>
  <c r="A31" i="2" s="1"/>
  <c r="C33" i="1"/>
  <c r="C20" i="1"/>
  <c r="A20" i="2" l="1"/>
  <c r="A28" i="2"/>
  <c r="A36" i="2"/>
  <c r="A4" i="2"/>
  <c r="A5" i="2" s="1"/>
  <c r="A14" i="2"/>
  <c r="A22" i="2"/>
  <c r="A30" i="2"/>
  <c r="A38" i="2"/>
  <c r="A6" i="2"/>
  <c r="A7" i="2" s="1"/>
  <c r="A8" i="2" s="1"/>
  <c r="A9" i="2" s="1"/>
  <c r="A10" i="2" s="1"/>
  <c r="A11" i="2" s="1"/>
  <c r="A12" i="2" s="1"/>
  <c r="A13" i="2" s="1"/>
  <c r="A40" i="2"/>
  <c r="A15" i="2"/>
  <c r="A2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29" authorId="1" shapeId="0" xr:uid="{00000000-0006-0000-1600-00000E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29" authorId="1" shapeId="0" xr:uid="{00000000-0006-0000-1600-00000F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30" authorId="0" shapeId="0" xr:uid="{00000000-0006-0000-1600-000010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1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2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4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6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7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52" authorId="1" shapeId="0" xr:uid="{00000000-0006-0000-1600-000018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52" authorId="1" shapeId="0" xr:uid="{00000000-0006-0000-1600-000019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53" authorId="0" shapeId="0" xr:uid="{00000000-0006-0000-1600-00001A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B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C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Peña‐Rosas et al 2019, anemia RR 0.72 (0.54-0.97)
If no data for anaemia prev. the use RR otherwise convert RR to OR using prev.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Larson et al 2021, RR 0.80 (0.70-0.92)
If no data for anaemia prev. the use RR otherwise convert RR to OR using prev.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C49" authorId="0" shapeId="0" xr:uid="{00000000-0006-0000-1800-000052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50" authorId="0" shapeId="0" xr:uid="{00000000-0006-0000-1800-00005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6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<sst xmlns="http://schemas.openxmlformats.org/spreadsheetml/2006/main" count="2092" uniqueCount="341">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</sst>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2150966.40625</v>
      </c>
    </row>
    <row r="8" spans="1:3" ht="15" customHeight="1" x14ac:dyDescent="0.25">
      <c r="B8" s="5" t="s">
        <v>8</v>
      </c>
      <c r="C8" s="44">
        <v>0.35299999999999998</v>
      </c>
    </row>
    <row r="9" spans="1:3" ht="15" customHeight="1" x14ac:dyDescent="0.25">
      <c r="B9" s="5" t="s">
        <v>9</v>
      </c>
      <c r="C9" s="45">
        <v>0.99</v>
      </c>
    </row>
    <row r="10" spans="1:3" ht="15" customHeight="1" x14ac:dyDescent="0.25">
      <c r="B10" s="5" t="s">
        <v>10</v>
      </c>
      <c r="C10" s="45">
        <v>0.262394599914551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0.78500000000000003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0.7</v>
      </c>
    </row>
    <row r="18" spans="1:3" ht="15" customHeight="1" x14ac:dyDescent="0.25">
      <c r="B18" s="5" t="s">
        <v>17</v>
      </c>
      <c r="C18" s="45">
        <v>0.05</v>
      </c>
    </row>
    <row r="19" spans="1:3" ht="15" customHeight="1" x14ac:dyDescent="0.25">
      <c r="B19" s="5" t="s">
        <v>18</v>
      </c>
      <c r="C19" s="45">
        <v>0.05</v>
      </c>
    </row>
    <row r="20" spans="1:3" ht="15" customHeight="1" x14ac:dyDescent="0.25">
      <c r="B20" s="5" t="s">
        <v>19</v>
      </c>
      <c r="C20" s="46">
        <f>1-frac_rice-frac_wheat-frac_maize</f>
        <v>0.20000000000000007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0.14269999999999999</v>
      </c>
    </row>
    <row r="24" spans="1:3" ht="15" customHeight="1" x14ac:dyDescent="0.25">
      <c r="B24" s="15" t="s">
        <v>22</v>
      </c>
      <c r="C24" s="45">
        <v>0.42099999999999987</v>
      </c>
    </row>
    <row r="25" spans="1:3" ht="15" customHeight="1" x14ac:dyDescent="0.25">
      <c r="B25" s="15" t="s">
        <v>23</v>
      </c>
      <c r="C25" s="45">
        <v>0.33529999999999999</v>
      </c>
    </row>
    <row r="26" spans="1:3" ht="15" customHeight="1" x14ac:dyDescent="0.25">
      <c r="B26" s="15" t="s">
        <v>24</v>
      </c>
      <c r="C26" s="45">
        <v>0.10100000000000001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0.20134766316932501</v>
      </c>
    </row>
    <row r="30" spans="1:3" ht="14.25" customHeight="1" x14ac:dyDescent="0.25">
      <c r="B30" s="25" t="s">
        <v>27</v>
      </c>
      <c r="C30" s="99">
        <v>3.7040067899888597E-2</v>
      </c>
    </row>
    <row r="31" spans="1:3" ht="14.25" customHeight="1" x14ac:dyDescent="0.25">
      <c r="B31" s="25" t="s">
        <v>28</v>
      </c>
      <c r="C31" s="99">
        <v>9.42970158051466E-2</v>
      </c>
    </row>
    <row r="32" spans="1:3" ht="14.25" customHeight="1" x14ac:dyDescent="0.25">
      <c r="B32" s="25" t="s">
        <v>29</v>
      </c>
      <c r="C32" s="99">
        <v>0.66731525312564</v>
      </c>
    </row>
    <row r="33" spans="1:5" ht="13" customHeight="1" x14ac:dyDescent="0.25">
      <c r="B33" s="27" t="s">
        <v>30</v>
      </c>
      <c r="C33" s="48">
        <f>SUM(C29:C32)</f>
        <v>1.0000000000000002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31.108440000000002</v>
      </c>
    </row>
    <row r="38" spans="1:5" ht="15" customHeight="1" x14ac:dyDescent="0.25">
      <c r="B38" s="11" t="s">
        <v>34</v>
      </c>
      <c r="C38" s="43">
        <v>63.776989999999998</v>
      </c>
      <c r="D38" s="12"/>
      <c r="E38" s="13"/>
    </row>
    <row r="39" spans="1:5" ht="15" customHeight="1" x14ac:dyDescent="0.25">
      <c r="B39" s="11" t="s">
        <v>35</v>
      </c>
      <c r="C39" s="43">
        <v>98.726939999999999</v>
      </c>
      <c r="D39" s="12"/>
      <c r="E39" s="12"/>
    </row>
    <row r="40" spans="1:5" ht="15" customHeight="1" x14ac:dyDescent="0.25">
      <c r="B40" s="11" t="s">
        <v>36</v>
      </c>
      <c r="C40" s="100">
        <v>5.53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23.24541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7.9359000000000009E-3</v>
      </c>
      <c r="D45" s="12"/>
    </row>
    <row r="46" spans="1:5" ht="15.75" customHeight="1" x14ac:dyDescent="0.25">
      <c r="B46" s="11" t="s">
        <v>41</v>
      </c>
      <c r="C46" s="45">
        <v>8.5269600000000001E-2</v>
      </c>
      <c r="D46" s="12"/>
    </row>
    <row r="47" spans="1:5" ht="15.75" customHeight="1" x14ac:dyDescent="0.25">
      <c r="B47" s="11" t="s">
        <v>42</v>
      </c>
      <c r="C47" s="45">
        <v>7.34538E-2</v>
      </c>
      <c r="D47" s="12"/>
      <c r="E47" s="13"/>
    </row>
    <row r="48" spans="1:5" ht="15" customHeight="1" x14ac:dyDescent="0.25">
      <c r="B48" s="11" t="s">
        <v>43</v>
      </c>
      <c r="C48" s="46">
        <v>0.83334069999999993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3.3</v>
      </c>
      <c r="D51" s="12"/>
    </row>
    <row r="52" spans="1:4" ht="15" customHeight="1" x14ac:dyDescent="0.25">
      <c r="B52" s="11" t="s">
        <v>46</v>
      </c>
      <c r="C52" s="100">
        <v>3.3</v>
      </c>
    </row>
    <row r="53" spans="1:4" ht="15.75" customHeight="1" x14ac:dyDescent="0.25">
      <c r="B53" s="11" t="s">
        <v>47</v>
      </c>
      <c r="C53" s="100">
        <v>3.3</v>
      </c>
    </row>
    <row r="54" spans="1:4" ht="15.75" customHeight="1" x14ac:dyDescent="0.25">
      <c r="B54" s="11" t="s">
        <v>48</v>
      </c>
      <c r="C54" s="100">
        <v>3.3</v>
      </c>
    </row>
    <row r="55" spans="1:4" ht="15.75" customHeight="1" x14ac:dyDescent="0.25">
      <c r="B55" s="11" t="s">
        <v>49</v>
      </c>
      <c r="C55" s="100">
        <v>3.3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2.181818181818182E-2</v>
      </c>
    </row>
    <row r="59" spans="1:4" ht="15.75" customHeight="1" x14ac:dyDescent="0.25">
      <c r="B59" s="11" t="s">
        <v>52</v>
      </c>
      <c r="C59" s="45">
        <v>0.412416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494826.72879999981</v>
      </c>
      <c r="C2" s="49">
        <v>810000</v>
      </c>
      <c r="D2" s="49">
        <v>1298000</v>
      </c>
      <c r="E2" s="49">
        <v>933000</v>
      </c>
      <c r="F2" s="49">
        <v>635000</v>
      </c>
      <c r="G2" s="17">
        <f t="shared" ref="G2:G13" si="0">C2+D2+E2+F2</f>
        <v>3676000</v>
      </c>
      <c r="H2" s="17">
        <f t="shared" ref="H2:H13" si="1">(B2 + stillbirth*B2/(1000-stillbirth))/(1-abortion)</f>
        <v>575685.13797216013</v>
      </c>
      <c r="I2" s="17">
        <f t="shared" ref="I2:I13" si="2">G2-H2</f>
        <v>3100314.8620278398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500864.18400000001</v>
      </c>
      <c r="C3" s="50">
        <v>829000</v>
      </c>
      <c r="D3" s="50">
        <v>1336000</v>
      </c>
      <c r="E3" s="50">
        <v>963000</v>
      </c>
      <c r="F3" s="50">
        <v>659000</v>
      </c>
      <c r="G3" s="17">
        <f t="shared" si="0"/>
        <v>3787000</v>
      </c>
      <c r="H3" s="17">
        <f t="shared" si="1"/>
        <v>582709.15876069281</v>
      </c>
      <c r="I3" s="17">
        <f t="shared" si="2"/>
        <v>3204290.8412393071</v>
      </c>
    </row>
    <row r="4" spans="1:9" ht="15.75" customHeight="1" x14ac:dyDescent="0.25">
      <c r="A4" s="5">
        <f t="shared" si="3"/>
        <v>2026</v>
      </c>
      <c r="B4" s="49">
        <v>507080.33839999989</v>
      </c>
      <c r="C4" s="50">
        <v>848000</v>
      </c>
      <c r="D4" s="50">
        <v>1374000</v>
      </c>
      <c r="E4" s="50">
        <v>994000</v>
      </c>
      <c r="F4" s="50">
        <v>683000</v>
      </c>
      <c r="G4" s="17">
        <f t="shared" si="0"/>
        <v>3899000</v>
      </c>
      <c r="H4" s="17">
        <f t="shared" si="1"/>
        <v>589941.07954253594</v>
      </c>
      <c r="I4" s="17">
        <f t="shared" si="2"/>
        <v>3309058.9204574642</v>
      </c>
    </row>
    <row r="5" spans="1:9" ht="15.75" customHeight="1" x14ac:dyDescent="0.25">
      <c r="A5" s="5">
        <f t="shared" si="3"/>
        <v>2027</v>
      </c>
      <c r="B5" s="49">
        <v>513172.6544</v>
      </c>
      <c r="C5" s="50">
        <v>867000</v>
      </c>
      <c r="D5" s="50">
        <v>1412000</v>
      </c>
      <c r="E5" s="50">
        <v>1025000</v>
      </c>
      <c r="F5" s="50">
        <v>707000</v>
      </c>
      <c r="G5" s="17">
        <f t="shared" si="0"/>
        <v>4011000</v>
      </c>
      <c r="H5" s="17">
        <f t="shared" si="1"/>
        <v>597028.92579840717</v>
      </c>
      <c r="I5" s="17">
        <f t="shared" si="2"/>
        <v>3413971.0742015927</v>
      </c>
    </row>
    <row r="6" spans="1:9" ht="15.75" customHeight="1" x14ac:dyDescent="0.25">
      <c r="A6" s="5">
        <f t="shared" si="3"/>
        <v>2028</v>
      </c>
      <c r="B6" s="49">
        <v>519133.97879999992</v>
      </c>
      <c r="C6" s="50">
        <v>886000</v>
      </c>
      <c r="D6" s="50">
        <v>1451000</v>
      </c>
      <c r="E6" s="50">
        <v>1056000</v>
      </c>
      <c r="F6" s="50">
        <v>732000</v>
      </c>
      <c r="G6" s="17">
        <f t="shared" si="0"/>
        <v>4125000</v>
      </c>
      <c r="H6" s="17">
        <f t="shared" si="1"/>
        <v>603964.37544162537</v>
      </c>
      <c r="I6" s="17">
        <f t="shared" si="2"/>
        <v>3521035.6245583748</v>
      </c>
    </row>
    <row r="7" spans="1:9" ht="15.75" customHeight="1" x14ac:dyDescent="0.25">
      <c r="A7" s="5">
        <f t="shared" si="3"/>
        <v>2029</v>
      </c>
      <c r="B7" s="49">
        <v>524957.15839999996</v>
      </c>
      <c r="C7" s="50">
        <v>905000</v>
      </c>
      <c r="D7" s="50">
        <v>1492000</v>
      </c>
      <c r="E7" s="50">
        <v>1089000</v>
      </c>
      <c r="F7" s="50">
        <v>758000</v>
      </c>
      <c r="G7" s="17">
        <f t="shared" si="0"/>
        <v>4244000</v>
      </c>
      <c r="H7" s="17">
        <f t="shared" si="1"/>
        <v>610739.10638551018</v>
      </c>
      <c r="I7" s="17">
        <f t="shared" si="2"/>
        <v>3633260.8936144896</v>
      </c>
    </row>
    <row r="8" spans="1:9" ht="15.75" customHeight="1" x14ac:dyDescent="0.25">
      <c r="A8" s="5">
        <f t="shared" si="3"/>
        <v>2030</v>
      </c>
      <c r="B8" s="49">
        <v>530604.94499999995</v>
      </c>
      <c r="C8" s="50">
        <v>924000</v>
      </c>
      <c r="D8" s="50">
        <v>1532000</v>
      </c>
      <c r="E8" s="50">
        <v>1123000</v>
      </c>
      <c r="F8" s="50">
        <v>786000</v>
      </c>
      <c r="G8" s="17">
        <f t="shared" si="0"/>
        <v>4365000</v>
      </c>
      <c r="H8" s="17">
        <f t="shared" si="1"/>
        <v>617309.78379403078</v>
      </c>
      <c r="I8" s="17">
        <f t="shared" si="2"/>
        <v>3747690.2162059695</v>
      </c>
    </row>
    <row r="9" spans="1:9" ht="15.75" customHeight="1" x14ac:dyDescent="0.25">
      <c r="A9" s="5">
        <f t="shared" si="3"/>
        <v>2031</v>
      </c>
      <c r="B9" s="49">
        <v>535716.11874285713</v>
      </c>
      <c r="C9" s="50">
        <v>940285.71428571432</v>
      </c>
      <c r="D9" s="50">
        <v>1565428.5714285709</v>
      </c>
      <c r="E9" s="50">
        <v>1150142.857142857</v>
      </c>
      <c r="F9" s="50">
        <v>807571.42857142852</v>
      </c>
      <c r="G9" s="17">
        <f t="shared" si="0"/>
        <v>4463428.5714285709</v>
      </c>
      <c r="H9" s="17">
        <f t="shared" si="1"/>
        <v>623256.16176858381</v>
      </c>
      <c r="I9" s="17">
        <f t="shared" si="2"/>
        <v>3840172.4096599873</v>
      </c>
    </row>
    <row r="10" spans="1:9" ht="15.75" customHeight="1" x14ac:dyDescent="0.25">
      <c r="A10" s="5">
        <f t="shared" si="3"/>
        <v>2032</v>
      </c>
      <c r="B10" s="49">
        <v>540694.96656326531</v>
      </c>
      <c r="C10" s="50">
        <v>956183.67346938781</v>
      </c>
      <c r="D10" s="50">
        <v>1598204.081632653</v>
      </c>
      <c r="E10" s="50">
        <v>1176877.551020408</v>
      </c>
      <c r="F10" s="50">
        <v>828795.91836734687</v>
      </c>
      <c r="G10" s="17">
        <f t="shared" si="0"/>
        <v>4560061.224489796</v>
      </c>
      <c r="H10" s="17">
        <f t="shared" si="1"/>
        <v>629048.59076971107</v>
      </c>
      <c r="I10" s="17">
        <f t="shared" si="2"/>
        <v>3931012.633720085</v>
      </c>
    </row>
    <row r="11" spans="1:9" ht="15.75" customHeight="1" x14ac:dyDescent="0.25">
      <c r="A11" s="5">
        <f t="shared" si="3"/>
        <v>2033</v>
      </c>
      <c r="B11" s="49">
        <v>545497.05630087468</v>
      </c>
      <c r="C11" s="50">
        <v>971638.48396501469</v>
      </c>
      <c r="D11" s="50">
        <v>1630233.236151604</v>
      </c>
      <c r="E11" s="50">
        <v>1203002.915451895</v>
      </c>
      <c r="F11" s="50">
        <v>849623.90670553932</v>
      </c>
      <c r="G11" s="17">
        <f t="shared" si="0"/>
        <v>4654498.5422740532</v>
      </c>
      <c r="H11" s="17">
        <f t="shared" si="1"/>
        <v>634635.37808787893</v>
      </c>
      <c r="I11" s="17">
        <f t="shared" si="2"/>
        <v>4019863.164186174</v>
      </c>
    </row>
    <row r="12" spans="1:9" ht="15.75" customHeight="1" x14ac:dyDescent="0.25">
      <c r="A12" s="5">
        <f t="shared" si="3"/>
        <v>2034</v>
      </c>
      <c r="B12" s="49">
        <v>550114.82800099964</v>
      </c>
      <c r="C12" s="50">
        <v>986586.83881715965</v>
      </c>
      <c r="D12" s="50">
        <v>1661409.41274469</v>
      </c>
      <c r="E12" s="50">
        <v>1228431.9033735939</v>
      </c>
      <c r="F12" s="50">
        <v>869998.75052061642</v>
      </c>
      <c r="G12" s="17">
        <f t="shared" si="0"/>
        <v>4746426.9054560596</v>
      </c>
      <c r="H12" s="17">
        <f t="shared" si="1"/>
        <v>640007.72841494647</v>
      </c>
      <c r="I12" s="17">
        <f t="shared" si="2"/>
        <v>4106419.1770411134</v>
      </c>
    </row>
    <row r="13" spans="1:9" ht="15.75" customHeight="1" x14ac:dyDescent="0.25">
      <c r="A13" s="5">
        <f t="shared" si="3"/>
        <v>2035</v>
      </c>
      <c r="B13" s="49">
        <v>554540.66360114247</v>
      </c>
      <c r="C13" s="50">
        <v>1000956.387219611</v>
      </c>
      <c r="D13" s="50">
        <v>1691467.9002796451</v>
      </c>
      <c r="E13" s="50">
        <v>1253065.032426965</v>
      </c>
      <c r="F13" s="50">
        <v>889712.85773784737</v>
      </c>
      <c r="G13" s="17">
        <f t="shared" si="0"/>
        <v>4835202.1776640685</v>
      </c>
      <c r="H13" s="17">
        <f t="shared" si="1"/>
        <v>645156.77883970656</v>
      </c>
      <c r="I13" s="17">
        <f t="shared" si="2"/>
        <v>4190045.3988243621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2.6736499999999962E-2</v>
      </c>
    </row>
    <row r="4" spans="1:8" ht="15.75" customHeight="1" x14ac:dyDescent="0.25">
      <c r="B4" s="19" t="s">
        <v>69</v>
      </c>
      <c r="C4" s="101">
        <v>6.2096499999999832E-2</v>
      </c>
    </row>
    <row r="5" spans="1:8" ht="15.75" customHeight="1" x14ac:dyDescent="0.25">
      <c r="B5" s="19" t="s">
        <v>70</v>
      </c>
      <c r="C5" s="101">
        <v>9.6906999999999965E-2</v>
      </c>
    </row>
    <row r="6" spans="1:8" ht="15.75" customHeight="1" x14ac:dyDescent="0.25">
      <c r="B6" s="19" t="s">
        <v>71</v>
      </c>
      <c r="C6" s="101">
        <v>0.2477423999999997</v>
      </c>
    </row>
    <row r="7" spans="1:8" ht="15.75" customHeight="1" x14ac:dyDescent="0.25">
      <c r="B7" s="19" t="s">
        <v>72</v>
      </c>
      <c r="C7" s="101">
        <v>0.39012300000000072</v>
      </c>
    </row>
    <row r="8" spans="1:8" ht="15.75" customHeight="1" x14ac:dyDescent="0.25">
      <c r="B8" s="19" t="s">
        <v>73</v>
      </c>
      <c r="C8" s="101">
        <v>1.2472399999999981E-2</v>
      </c>
    </row>
    <row r="9" spans="1:8" ht="15.75" customHeight="1" x14ac:dyDescent="0.25">
      <c r="B9" s="19" t="s">
        <v>74</v>
      </c>
      <c r="C9" s="101">
        <v>5.6193299999999821E-2</v>
      </c>
    </row>
    <row r="10" spans="1:8" ht="15.75" customHeight="1" x14ac:dyDescent="0.25">
      <c r="B10" s="19" t="s">
        <v>75</v>
      </c>
      <c r="C10" s="101">
        <v>0.10772889999999979</v>
      </c>
    </row>
    <row r="11" spans="1:8" ht="15.75" customHeight="1" x14ac:dyDescent="0.25">
      <c r="B11" s="27" t="s">
        <v>30</v>
      </c>
      <c r="C11" s="48">
        <f>SUM(C3:C10)</f>
        <v>0.99999999999999967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0.15413009754034851</v>
      </c>
      <c r="D14" s="55">
        <v>0.15413009754034851</v>
      </c>
      <c r="E14" s="55">
        <v>0.15413009754034851</v>
      </c>
      <c r="F14" s="55">
        <v>0.15413009754034851</v>
      </c>
    </row>
    <row r="15" spans="1:8" ht="15.75" customHeight="1" x14ac:dyDescent="0.25">
      <c r="B15" s="19" t="s">
        <v>82</v>
      </c>
      <c r="C15" s="101">
        <v>0.26960626964040468</v>
      </c>
      <c r="D15" s="101">
        <v>0.26960626964040468</v>
      </c>
      <c r="E15" s="101">
        <v>0.26960626964040468</v>
      </c>
      <c r="F15" s="101">
        <v>0.26960626964040468</v>
      </c>
    </row>
    <row r="16" spans="1:8" ht="15.75" customHeight="1" x14ac:dyDescent="0.25">
      <c r="B16" s="19" t="s">
        <v>83</v>
      </c>
      <c r="C16" s="101">
        <v>4.0112656644452287E-2</v>
      </c>
      <c r="D16" s="101">
        <v>4.0112656644452287E-2</v>
      </c>
      <c r="E16" s="101">
        <v>4.0112656644452287E-2</v>
      </c>
      <c r="F16" s="101">
        <v>4.0112656644452287E-2</v>
      </c>
    </row>
    <row r="17" spans="1:8" ht="15.75" customHeight="1" x14ac:dyDescent="0.25">
      <c r="B17" s="19" t="s">
        <v>84</v>
      </c>
      <c r="C17" s="101">
        <v>0.16760763979547269</v>
      </c>
      <c r="D17" s="101">
        <v>0.16760763979547269</v>
      </c>
      <c r="E17" s="101">
        <v>0.16760763979547269</v>
      </c>
      <c r="F17" s="101">
        <v>0.16760763979547269</v>
      </c>
    </row>
    <row r="18" spans="1:8" ht="15.75" customHeight="1" x14ac:dyDescent="0.25">
      <c r="B18" s="19" t="s">
        <v>85</v>
      </c>
      <c r="C18" s="101">
        <v>0.19823236164519181</v>
      </c>
      <c r="D18" s="101">
        <v>0.19823236164519181</v>
      </c>
      <c r="E18" s="101">
        <v>0.19823236164519181</v>
      </c>
      <c r="F18" s="101">
        <v>0.19823236164519181</v>
      </c>
    </row>
    <row r="19" spans="1:8" ht="15.75" customHeight="1" x14ac:dyDescent="0.25">
      <c r="B19" s="19" t="s">
        <v>86</v>
      </c>
      <c r="C19" s="101">
        <v>1.546365925485443E-2</v>
      </c>
      <c r="D19" s="101">
        <v>1.546365925485443E-2</v>
      </c>
      <c r="E19" s="101">
        <v>1.546365925485443E-2</v>
      </c>
      <c r="F19" s="101">
        <v>1.546365925485443E-2</v>
      </c>
    </row>
    <row r="20" spans="1:8" ht="15.75" customHeight="1" x14ac:dyDescent="0.25">
      <c r="B20" s="19" t="s">
        <v>87</v>
      </c>
      <c r="C20" s="101">
        <v>1.3943537817300299E-2</v>
      </c>
      <c r="D20" s="101">
        <v>1.3943537817300299E-2</v>
      </c>
      <c r="E20" s="101">
        <v>1.3943537817300299E-2</v>
      </c>
      <c r="F20" s="101">
        <v>1.3943537817300299E-2</v>
      </c>
    </row>
    <row r="21" spans="1:8" ht="15.75" customHeight="1" x14ac:dyDescent="0.25">
      <c r="B21" s="19" t="s">
        <v>88</v>
      </c>
      <c r="C21" s="101">
        <v>3.9464722478875093E-2</v>
      </c>
      <c r="D21" s="101">
        <v>3.9464722478875093E-2</v>
      </c>
      <c r="E21" s="101">
        <v>3.9464722478875093E-2</v>
      </c>
      <c r="F21" s="101">
        <v>3.9464722478875093E-2</v>
      </c>
    </row>
    <row r="22" spans="1:8" ht="15.75" customHeight="1" x14ac:dyDescent="0.25">
      <c r="B22" s="19" t="s">
        <v>89</v>
      </c>
      <c r="C22" s="101">
        <v>0.1014390551831001</v>
      </c>
      <c r="D22" s="101">
        <v>0.1014390551831001</v>
      </c>
      <c r="E22" s="101">
        <v>0.1014390551831001</v>
      </c>
      <c r="F22" s="101">
        <v>0.1014390551831001</v>
      </c>
    </row>
    <row r="23" spans="1:8" ht="15.75" customHeight="1" x14ac:dyDescent="0.25">
      <c r="B23" s="27" t="s">
        <v>30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8.8245948000000005E-2</v>
      </c>
    </row>
    <row r="27" spans="1:8" ht="15.75" customHeight="1" x14ac:dyDescent="0.25">
      <c r="B27" s="19" t="s">
        <v>92</v>
      </c>
      <c r="C27" s="101">
        <v>8.6324339999999996E-3</v>
      </c>
    </row>
    <row r="28" spans="1:8" ht="15.75" customHeight="1" x14ac:dyDescent="0.25">
      <c r="B28" s="19" t="s">
        <v>93</v>
      </c>
      <c r="C28" s="101">
        <v>0.156169268</v>
      </c>
    </row>
    <row r="29" spans="1:8" ht="15.75" customHeight="1" x14ac:dyDescent="0.25">
      <c r="B29" s="19" t="s">
        <v>94</v>
      </c>
      <c r="C29" s="101">
        <v>0.169329655</v>
      </c>
    </row>
    <row r="30" spans="1:8" ht="15.75" customHeight="1" x14ac:dyDescent="0.25">
      <c r="B30" s="19" t="s">
        <v>95</v>
      </c>
      <c r="C30" s="101">
        <v>0.10546003399999999</v>
      </c>
    </row>
    <row r="31" spans="1:8" ht="15.75" customHeight="1" x14ac:dyDescent="0.25">
      <c r="B31" s="19" t="s">
        <v>96</v>
      </c>
      <c r="C31" s="101">
        <v>0.109941625</v>
      </c>
    </row>
    <row r="32" spans="1:8" ht="15.75" customHeight="1" x14ac:dyDescent="0.25">
      <c r="B32" s="19" t="s">
        <v>97</v>
      </c>
      <c r="C32" s="101">
        <v>1.8686595E-2</v>
      </c>
    </row>
    <row r="33" spans="2:3" ht="15.75" customHeight="1" x14ac:dyDescent="0.25">
      <c r="B33" s="19" t="s">
        <v>98</v>
      </c>
      <c r="C33" s="101">
        <v>8.470502299999999E-2</v>
      </c>
    </row>
    <row r="34" spans="2:3" ht="15.75" customHeight="1" x14ac:dyDescent="0.25">
      <c r="B34" s="19" t="s">
        <v>99</v>
      </c>
      <c r="C34" s="101">
        <v>0.25882941799999998</v>
      </c>
    </row>
    <row r="35" spans="2:3" ht="15.75" customHeight="1" x14ac:dyDescent="0.25">
      <c r="B35" s="27" t="s">
        <v>30</v>
      </c>
      <c r="C35" s="48">
        <f>SUM(C26:C34)</f>
        <v>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0.4450250848495324</v>
      </c>
      <c r="D2" s="52">
        <f>IFERROR(1-_xlfn.NORM.DIST(_xlfn.NORM.INV(SUM(D4:D5), 0, 1) + 1, 0, 1, TRUE), "")</f>
        <v>0.4450250848495324</v>
      </c>
      <c r="E2" s="52">
        <f>IFERROR(1-_xlfn.NORM.DIST(_xlfn.NORM.INV(SUM(E4:E5), 0, 1) + 1, 0, 1, TRUE), "")</f>
        <v>0.40310369468875096</v>
      </c>
      <c r="F2" s="52">
        <f>IFERROR(1-_xlfn.NORM.DIST(_xlfn.NORM.INV(SUM(F4:F5), 0, 1) + 1, 0, 1, TRUE), "")</f>
        <v>0.27639062353594579</v>
      </c>
      <c r="G2" s="52">
        <f>IFERROR(1-_xlfn.NORM.DIST(_xlfn.NORM.INV(SUM(G4:G5), 0, 1) + 1, 0, 1, TRUE), "")</f>
        <v>0.30018934620714355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0.36056491515046757</v>
      </c>
      <c r="D3" s="52">
        <f>IFERROR(_xlfn.NORM.DIST(_xlfn.NORM.INV(SUM(D4:D5), 0, 1) + 1, 0, 1, TRUE) - SUM(D4:D5), "")</f>
        <v>0.36056491515046757</v>
      </c>
      <c r="E3" s="52">
        <f>IFERROR(_xlfn.NORM.DIST(_xlfn.NORM.INV(SUM(E4:E5), 0, 1) + 1, 0, 1, TRUE) - SUM(E4:E5), "")</f>
        <v>0.37167530531124904</v>
      </c>
      <c r="F3" s="52">
        <f>IFERROR(_xlfn.NORM.DIST(_xlfn.NORM.INV(SUM(F4:F5), 0, 1) + 1, 0, 1, TRUE) - SUM(F4:F5), "")</f>
        <v>0.3813858764640542</v>
      </c>
      <c r="G3" s="52">
        <f>IFERROR(_xlfn.NORM.DIST(_xlfn.NORM.INV(SUM(G4:G5), 0, 1) + 1, 0, 1, TRUE) - SUM(G4:G5), "")</f>
        <v>0.38282475379285641</v>
      </c>
    </row>
    <row r="4" spans="1:15" ht="15.75" customHeight="1" x14ac:dyDescent="0.25">
      <c r="B4" s="5" t="s">
        <v>104</v>
      </c>
      <c r="C4" s="45">
        <v>0.1035065</v>
      </c>
      <c r="D4" s="53">
        <v>0.1035065</v>
      </c>
      <c r="E4" s="53">
        <v>0.1238741</v>
      </c>
      <c r="F4" s="53">
        <v>0.16969590000000001</v>
      </c>
      <c r="G4" s="53">
        <v>0.18429970000000001</v>
      </c>
    </row>
    <row r="5" spans="1:15" ht="15.75" customHeight="1" x14ac:dyDescent="0.25">
      <c r="B5" s="5" t="s">
        <v>105</v>
      </c>
      <c r="C5" s="45">
        <v>9.0903500000000012E-2</v>
      </c>
      <c r="D5" s="53">
        <v>9.0903500000000012E-2</v>
      </c>
      <c r="E5" s="53">
        <v>0.1013469</v>
      </c>
      <c r="F5" s="53">
        <v>0.1725276</v>
      </c>
      <c r="G5" s="53">
        <v>0.1326862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0.54646464710666809</v>
      </c>
      <c r="D8" s="52">
        <f>IFERROR(1-_xlfn.NORM.DIST(_xlfn.NORM.INV(SUM(D10:D11), 0, 1) + 1, 0, 1, TRUE), "")</f>
        <v>0.54646464710666809</v>
      </c>
      <c r="E8" s="52">
        <f>IFERROR(1-_xlfn.NORM.DIST(_xlfn.NORM.INV(SUM(E10:E11), 0, 1) + 1, 0, 1, TRUE), "")</f>
        <v>0.61037484917419682</v>
      </c>
      <c r="F8" s="52">
        <f>IFERROR(1-_xlfn.NORM.DIST(_xlfn.NORM.INV(SUM(F10:F11), 0, 1) + 1, 0, 1, TRUE), "")</f>
        <v>0.61432381281496351</v>
      </c>
      <c r="G8" s="52">
        <f>IFERROR(1-_xlfn.NORM.DIST(_xlfn.NORM.INV(SUM(G10:G11), 0, 1) + 1, 0, 1, TRUE), "")</f>
        <v>0.65081394248521718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0.32148135289333191</v>
      </c>
      <c r="D9" s="52">
        <f>IFERROR(_xlfn.NORM.DIST(_xlfn.NORM.INV(SUM(D10:D11), 0, 1) + 1, 0, 1, TRUE) - SUM(D10:D11), "")</f>
        <v>0.32148135289333191</v>
      </c>
      <c r="E9" s="52">
        <f>IFERROR(_xlfn.NORM.DIST(_xlfn.NORM.INV(SUM(E10:E11), 0, 1) + 1, 0, 1, TRUE) - SUM(E10:E11), "")</f>
        <v>0.28940465082580319</v>
      </c>
      <c r="F9" s="52">
        <f>IFERROR(_xlfn.NORM.DIST(_xlfn.NORM.INV(SUM(F10:F11), 0, 1) + 1, 0, 1, TRUE) - SUM(F10:F11), "")</f>
        <v>0.28725608718503642</v>
      </c>
      <c r="G9" s="52">
        <f>IFERROR(_xlfn.NORM.DIST(_xlfn.NORM.INV(SUM(G10:G11), 0, 1) + 1, 0, 1, TRUE) - SUM(G10:G11), "")</f>
        <v>0.26654425751478283</v>
      </c>
    </row>
    <row r="10" spans="1:15" ht="15.75" customHeight="1" x14ac:dyDescent="0.25">
      <c r="B10" s="5" t="s">
        <v>109</v>
      </c>
      <c r="C10" s="45">
        <v>7.9121499999999997E-2</v>
      </c>
      <c r="D10" s="53">
        <v>7.9121499999999997E-2</v>
      </c>
      <c r="E10" s="53">
        <v>5.7722900000000001E-2</v>
      </c>
      <c r="F10" s="53">
        <v>6.3796600000000009E-2</v>
      </c>
      <c r="G10" s="53">
        <v>4.9700399999999999E-2</v>
      </c>
    </row>
    <row r="11" spans="1:15" ht="15.75" customHeight="1" x14ac:dyDescent="0.25">
      <c r="B11" s="5" t="s">
        <v>110</v>
      </c>
      <c r="C11" s="45">
        <v>5.2932499999999993E-2</v>
      </c>
      <c r="D11" s="53">
        <v>5.2932499999999993E-2</v>
      </c>
      <c r="E11" s="53">
        <v>4.2497600000000003E-2</v>
      </c>
      <c r="F11" s="53">
        <v>3.4623500000000001E-2</v>
      </c>
      <c r="G11" s="53">
        <v>3.2941400000000003E-2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0.80740865400000006</v>
      </c>
      <c r="D14" s="54">
        <v>0.79280759528</v>
      </c>
      <c r="E14" s="54">
        <v>0.79280759528</v>
      </c>
      <c r="F14" s="54">
        <v>0.78136551429400003</v>
      </c>
      <c r="G14" s="54">
        <v>0.78136551429400003</v>
      </c>
      <c r="H14" s="45">
        <v>0.61399999999999999</v>
      </c>
      <c r="I14" s="55">
        <v>0.61399999999999999</v>
      </c>
      <c r="J14" s="55">
        <v>0.61399999999999999</v>
      </c>
      <c r="K14" s="55">
        <v>0.61399999999999999</v>
      </c>
      <c r="L14" s="45">
        <v>0.43099999999999999</v>
      </c>
      <c r="M14" s="55">
        <v>0.43099999999999999</v>
      </c>
      <c r="N14" s="55">
        <v>0.43099999999999999</v>
      </c>
      <c r="O14" s="55">
        <v>0.43099999999999999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0.33298824744806405</v>
      </c>
      <c r="D15" s="52">
        <f t="shared" si="0"/>
        <v>0.32696653721499647</v>
      </c>
      <c r="E15" s="52">
        <f t="shared" si="0"/>
        <v>0.32696653721499647</v>
      </c>
      <c r="F15" s="52">
        <f t="shared" si="0"/>
        <v>0.32224763994307432</v>
      </c>
      <c r="G15" s="52">
        <f t="shared" si="0"/>
        <v>0.32224763994307432</v>
      </c>
      <c r="H15" s="52">
        <f t="shared" si="0"/>
        <v>0.25322342399999997</v>
      </c>
      <c r="I15" s="52">
        <f t="shared" si="0"/>
        <v>0.25322342399999997</v>
      </c>
      <c r="J15" s="52">
        <f t="shared" si="0"/>
        <v>0.25322342399999997</v>
      </c>
      <c r="K15" s="52">
        <f t="shared" si="0"/>
        <v>0.25322342399999997</v>
      </c>
      <c r="L15" s="52">
        <f t="shared" si="0"/>
        <v>0.177751296</v>
      </c>
      <c r="M15" s="52">
        <f t="shared" si="0"/>
        <v>0.177751296</v>
      </c>
      <c r="N15" s="52">
        <f t="shared" si="0"/>
        <v>0.177751296</v>
      </c>
      <c r="O15" s="52">
        <f t="shared" si="0"/>
        <v>0.177751296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0.45601320000000001</v>
      </c>
      <c r="D2" s="53">
        <v>0.2905181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0.3316151</v>
      </c>
      <c r="D3" s="53">
        <v>0.38545059999999998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0.1414513</v>
      </c>
      <c r="D4" s="53">
        <v>0.24034440000000001</v>
      </c>
      <c r="E4" s="53">
        <v>0.91538570000000008</v>
      </c>
      <c r="F4" s="53">
        <v>0.77619680000000002</v>
      </c>
      <c r="G4" s="53">
        <v>0</v>
      </c>
    </row>
    <row r="5" spans="1:7" x14ac:dyDescent="0.25">
      <c r="B5" s="3" t="s">
        <v>122</v>
      </c>
      <c r="C5" s="52">
        <v>7.0920399999999995E-2</v>
      </c>
      <c r="D5" s="52">
        <v>8.3686799999999992E-2</v>
      </c>
      <c r="E5" s="52">
        <f>1-SUM(E2:E4)</f>
        <v>8.461429999999992E-2</v>
      </c>
      <c r="F5" s="52">
        <f>1-SUM(F2:F4)</f>
        <v>0.22380319999999998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x14ac:dyDescent="0.25">
      <c r="A2" s="8" t="s">
        <v>137</v>
      </c>
      <c r="B2" s="41">
        <v>10</v>
      </c>
    </row>
    <row r="3" spans="1:2" x14ac:dyDescent="0.25">
      <c r="A3" s="8" t="s">
        <v>138</v>
      </c>
      <c r="B3" s="41">
        <v>10</v>
      </c>
    </row>
    <row r="4" spans="1:2" x14ac:dyDescent="0.25">
      <c r="A4" s="8" t="s">
        <v>139</v>
      </c>
      <c r="B4" s="41">
        <v>10</v>
      </c>
    </row>
    <row r="5" spans="1:2" x14ac:dyDescent="0.25">
      <c r="A5" s="8" t="s">
        <v>140</v>
      </c>
      <c r="B5" s="41">
        <v>10</v>
      </c>
    </row>
    <row r="6" spans="1:2" x14ac:dyDescent="0.25">
      <c r="A6" s="8" t="s">
        <v>141</v>
      </c>
      <c r="B6" s="41">
        <v>10</v>
      </c>
    </row>
    <row r="7" spans="1:2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topLeftCell="A3" zoomScale="115" zoomScaleNormal="115" workbookViewId="0">
      <selection activeCell="D12" sqref="D12:D13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x14ac:dyDescent="0.25">
      <c r="B5" s="32" t="s">
        <v>78</v>
      </c>
      <c r="C5" s="47"/>
      <c r="D5" s="47"/>
      <c r="E5" s="38" t="str">
        <f>IF(E$7="","",E$7)</f>
        <v/>
      </c>
    </row>
    <row r="6" spans="1:5" x14ac:dyDescent="0.25">
      <c r="B6" s="32" t="s">
        <v>79</v>
      </c>
      <c r="C6" s="47"/>
      <c r="D6" s="47"/>
      <c r="E6" s="38" t="str">
        <f>IF(E$7="","",E$7)</f>
        <v/>
      </c>
    </row>
    <row r="7" spans="1:5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0.22641317476643599</v>
      </c>
      <c r="C2" s="98">
        <v>0.95</v>
      </c>
      <c r="D2" s="56">
        <v>35.816368288100662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</v>
      </c>
      <c r="C3" s="98">
        <v>0.95</v>
      </c>
      <c r="D3" s="56">
        <v>47.385296465699412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66.152777340535977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0.17464415084069779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</v>
      </c>
      <c r="C10" s="98">
        <v>0.95</v>
      </c>
      <c r="D10" s="56">
        <v>15.044545796194489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</v>
      </c>
      <c r="C11" s="98">
        <v>0.95</v>
      </c>
      <c r="D11" s="56">
        <v>15.044545796194489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</v>
      </c>
      <c r="C12" s="98">
        <v>0.95</v>
      </c>
      <c r="D12" s="56">
        <v>15.044545796194489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</v>
      </c>
      <c r="C13" s="98">
        <v>0.95</v>
      </c>
      <c r="D13" s="56">
        <v>15.044545796194489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</v>
      </c>
      <c r="C14" s="98">
        <v>0.95</v>
      </c>
      <c r="D14" s="56">
        <v>15.044545796194489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</v>
      </c>
      <c r="C15" s="98">
        <v>0.95</v>
      </c>
      <c r="D15" s="56">
        <v>15.044545796194489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0.52157555280302004</v>
      </c>
      <c r="C16" s="98">
        <v>0.95</v>
      </c>
      <c r="D16" s="56">
        <v>0.24712311935070541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0.8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</v>
      </c>
      <c r="C18" s="98">
        <v>0.95</v>
      </c>
      <c r="D18" s="56">
        <v>1.6298747192048619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</v>
      </c>
      <c r="C19" s="98">
        <v>0.95</v>
      </c>
      <c r="D19" s="56">
        <v>1.6298747192048619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0.5478866</v>
      </c>
      <c r="C21" s="98">
        <v>0.95</v>
      </c>
      <c r="D21" s="56">
        <v>1.5381163607561441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25.637914781807041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2.1925999999999998E-3</v>
      </c>
      <c r="C23" s="98">
        <v>0.95</v>
      </c>
      <c r="D23" s="56">
        <v>4.9284766235485638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0.36432909692833199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0.22866352202823501</v>
      </c>
      <c r="C27" s="98">
        <v>0.95</v>
      </c>
      <c r="D27" s="56">
        <v>21.742653433254151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0.54870339999999995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</v>
      </c>
      <c r="C29" s="98">
        <v>0.95</v>
      </c>
      <c r="D29" s="56">
        <v>62.950095029969347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0.13059999999999999</v>
      </c>
      <c r="C31" s="98">
        <v>0.95</v>
      </c>
      <c r="D31" s="56">
        <v>1.954333786257108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0.2905181</v>
      </c>
      <c r="C32" s="98">
        <v>0.95</v>
      </c>
      <c r="D32" s="56">
        <v>0.46704731202839472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0.31270740000000002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0.96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0.26043110000000003</v>
      </c>
      <c r="C38" s="98">
        <v>0.95</v>
      </c>
      <c r="D38" s="56">
        <v>5.1292086462125832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0.13809589999999999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tabSelected="1" workbookViewId="0">
      <selection activeCell="C13" sqref="C13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x14ac:dyDescent="0.25">
      <c r="A2" s="57" t="s">
        <v>179</v>
      </c>
      <c r="B2" s="47" t="s">
        <v>189</v>
      </c>
      <c r="C2" s="47"/>
    </row>
    <row r="3" spans="1:3" x14ac:dyDescent="0.25">
      <c r="A3" s="57" t="s">
        <v>180</v>
      </c>
      <c r="B3" s="47" t="s">
        <v>189</v>
      </c>
      <c r="C3" s="47"/>
    </row>
    <row r="4" spans="1:3" x14ac:dyDescent="0.25">
      <c r="A4" s="57" t="s">
        <v>191</v>
      </c>
      <c r="B4" s="47" t="s">
        <v>184</v>
      </c>
      <c r="C4" s="47"/>
    </row>
    <row r="5" spans="1:3" x14ac:dyDescent="0.25">
      <c r="A5" s="57" t="s">
        <v>188</v>
      </c>
      <c r="B5" s="47" t="s">
        <v>184</v>
      </c>
      <c r="C5" s="47"/>
    </row>
    <row r="6" spans="1:3" x14ac:dyDescent="0.25">
      <c r="A6" s="57"/>
      <c r="B6" s="58"/>
      <c r="C6" s="58"/>
    </row>
    <row r="7" spans="1:3" x14ac:dyDescent="0.25">
      <c r="A7" s="57"/>
      <c r="B7" s="58"/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x14ac:dyDescent="0.25">
      <c r="A2" s="33" t="s">
        <v>171</v>
      </c>
    </row>
    <row r="3" spans="1:1" x14ac:dyDescent="0.25">
      <c r="A3" s="33" t="s">
        <v>181</v>
      </c>
    </row>
    <row r="4" spans="1:1" x14ac:dyDescent="0.25">
      <c r="A4" s="33" t="s">
        <v>185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3.3</v>
      </c>
      <c r="C2" s="21">
        <f>'Baseline year population inputs'!C52</f>
        <v>3.3</v>
      </c>
      <c r="D2" s="21">
        <f>'Baseline year population inputs'!C53</f>
        <v>3.3</v>
      </c>
      <c r="E2" s="21">
        <f>'Baseline year population inputs'!C54</f>
        <v>3.3</v>
      </c>
      <c r="F2" s="21">
        <f>'Baseline year population inputs'!C55</f>
        <v>3.3</v>
      </c>
    </row>
    <row r="3" spans="1:6" ht="15.75" customHeight="1" x14ac:dyDescent="0.25">
      <c r="A3" s="3" t="s">
        <v>204</v>
      </c>
      <c r="B3" s="21">
        <f>frac_mam_1month * 2.6</f>
        <v>0.20571590000000001</v>
      </c>
      <c r="C3" s="21">
        <f>frac_mam_1_5months * 2.6</f>
        <v>0.20571590000000001</v>
      </c>
      <c r="D3" s="21">
        <f>frac_mam_6_11months * 2.6</f>
        <v>0.15007954000000001</v>
      </c>
      <c r="E3" s="21">
        <f>frac_mam_12_23months * 2.6</f>
        <v>0.16587116000000002</v>
      </c>
      <c r="F3" s="21">
        <f>frac_mam_24_59months * 2.6</f>
        <v>0.12922104000000001</v>
      </c>
    </row>
    <row r="4" spans="1:6" ht="15.75" customHeight="1" x14ac:dyDescent="0.25">
      <c r="A4" s="3" t="s">
        <v>205</v>
      </c>
      <c r="B4" s="21">
        <f>frac_sam_1month * 2.6</f>
        <v>0.13762449999999998</v>
      </c>
      <c r="C4" s="21">
        <f>frac_sam_1_5months * 2.6</f>
        <v>0.13762449999999998</v>
      </c>
      <c r="D4" s="21">
        <f>frac_sam_6_11months * 2.6</f>
        <v>0.11049376000000001</v>
      </c>
      <c r="E4" s="21">
        <f>frac_sam_12_23months * 2.6</f>
        <v>9.0021100000000007E-2</v>
      </c>
      <c r="F4" s="21">
        <f>frac_sam_24_59months * 2.6</f>
        <v>8.5647640000000011E-2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0.35299999999999998</v>
      </c>
      <c r="E2" s="60">
        <f>food_insecure</f>
        <v>0.35299999999999998</v>
      </c>
      <c r="F2" s="60">
        <f>food_insecure</f>
        <v>0.35299999999999998</v>
      </c>
      <c r="G2" s="60">
        <f>food_insecure</f>
        <v>0.35299999999999998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0.35299999999999998</v>
      </c>
      <c r="F5" s="60">
        <f>food_insecure</f>
        <v>0.35299999999999998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0.35299999999999998</v>
      </c>
      <c r="F8" s="60">
        <f>food_insecure</f>
        <v>0.35299999999999998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0.35299999999999998</v>
      </c>
      <c r="F9" s="60">
        <f>food_insecure</f>
        <v>0.35299999999999998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0.35299999999999998</v>
      </c>
      <c r="I15" s="60">
        <f>food_insecure</f>
        <v>0.35299999999999998</v>
      </c>
      <c r="J15" s="60">
        <f>food_insecure</f>
        <v>0.35299999999999998</v>
      </c>
      <c r="K15" s="60">
        <f>food_insecure</f>
        <v>0.35299999999999998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0.99</v>
      </c>
      <c r="I19" s="60">
        <f>frac_malaria_risk</f>
        <v>0.99</v>
      </c>
      <c r="J19" s="60">
        <f>frac_malaria_risk</f>
        <v>0.99</v>
      </c>
      <c r="K19" s="60">
        <f>frac_malaria_risk</f>
        <v>0.99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0.78500000000000003</v>
      </c>
      <c r="M24" s="60">
        <f>famplan_unmet_need</f>
        <v>0.78500000000000003</v>
      </c>
      <c r="N24" s="60">
        <f>famplan_unmet_need</f>
        <v>0.78500000000000003</v>
      </c>
      <c r="O24" s="60">
        <f>famplan_unmet_need</f>
        <v>0.78500000000000003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0.41610533435020436</v>
      </c>
      <c r="M25" s="60">
        <f>(1-food_insecure)*(0.49)+food_insecure*(0.7)</f>
        <v>0.56412999999999991</v>
      </c>
      <c r="N25" s="60">
        <f>(1-food_insecure)*(0.49)+food_insecure*(0.7)</f>
        <v>0.56412999999999991</v>
      </c>
      <c r="O25" s="60">
        <f>(1-food_insecure)*(0.49)+food_insecure*(0.7)</f>
        <v>0.56412999999999991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0.17833085757865902</v>
      </c>
      <c r="M26" s="60">
        <f>(1-food_insecure)*(0.21)+food_insecure*(0.3)</f>
        <v>0.24176999999999998</v>
      </c>
      <c r="N26" s="60">
        <f>(1-food_insecure)*(0.21)+food_insecure*(0.3)</f>
        <v>0.24176999999999998</v>
      </c>
      <c r="O26" s="60">
        <f>(1-food_insecure)*(0.21)+food_insecure*(0.3)</f>
        <v>0.24176999999999998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0.14316920815658565</v>
      </c>
      <c r="M27" s="60">
        <f>(1-food_insecure)*(0.3)</f>
        <v>0.19409999999999999</v>
      </c>
      <c r="N27" s="60">
        <f>(1-food_insecure)*(0.3)</f>
        <v>0.19409999999999999</v>
      </c>
      <c r="O27" s="60">
        <f>(1-food_insecure)*(0.3)</f>
        <v>0.19409999999999999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0.262394599914551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0.05</v>
      </c>
      <c r="F30" s="60">
        <f t="shared" si="0"/>
        <v>0.05</v>
      </c>
      <c r="G30" s="60">
        <f t="shared" si="0"/>
        <v>0.05</v>
      </c>
      <c r="H30" s="60">
        <f t="shared" si="0"/>
        <v>0.05</v>
      </c>
      <c r="I30" s="60">
        <f t="shared" si="0"/>
        <v>0.05</v>
      </c>
      <c r="J30" s="60">
        <f t="shared" si="0"/>
        <v>0.05</v>
      </c>
      <c r="K30" s="60">
        <f t="shared" si="0"/>
        <v>0.05</v>
      </c>
      <c r="L30" s="60">
        <f t="shared" si="0"/>
        <v>0.05</v>
      </c>
      <c r="M30" s="60">
        <f t="shared" si="0"/>
        <v>0.05</v>
      </c>
      <c r="N30" s="60">
        <f t="shared" si="0"/>
        <v>0.05</v>
      </c>
      <c r="O30" s="60">
        <f t="shared" si="0"/>
        <v>0.05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0.7</v>
      </c>
      <c r="F31" s="60">
        <f t="shared" si="1"/>
        <v>0.7</v>
      </c>
      <c r="G31" s="60">
        <f t="shared" si="1"/>
        <v>0.7</v>
      </c>
      <c r="H31" s="60">
        <f t="shared" si="1"/>
        <v>0.7</v>
      </c>
      <c r="I31" s="60">
        <f t="shared" si="1"/>
        <v>0.7</v>
      </c>
      <c r="J31" s="60">
        <f t="shared" si="1"/>
        <v>0.7</v>
      </c>
      <c r="K31" s="60">
        <f t="shared" si="1"/>
        <v>0.7</v>
      </c>
      <c r="L31" s="60">
        <f t="shared" si="1"/>
        <v>0.7</v>
      </c>
      <c r="M31" s="60">
        <f t="shared" si="1"/>
        <v>0.7</v>
      </c>
      <c r="N31" s="60">
        <f t="shared" si="1"/>
        <v>0.7</v>
      </c>
      <c r="O31" s="60">
        <f t="shared" si="1"/>
        <v>0.7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0.05</v>
      </c>
      <c r="F32" s="60">
        <f t="shared" si="2"/>
        <v>0.05</v>
      </c>
      <c r="G32" s="60">
        <f t="shared" si="2"/>
        <v>0.05</v>
      </c>
      <c r="H32" s="60">
        <f t="shared" si="2"/>
        <v>0.05</v>
      </c>
      <c r="I32" s="60">
        <f t="shared" si="2"/>
        <v>0.05</v>
      </c>
      <c r="J32" s="60">
        <f t="shared" si="2"/>
        <v>0.05</v>
      </c>
      <c r="K32" s="60">
        <f t="shared" si="2"/>
        <v>0.05</v>
      </c>
      <c r="L32" s="60">
        <f t="shared" si="2"/>
        <v>0.05</v>
      </c>
      <c r="M32" s="60">
        <f t="shared" si="2"/>
        <v>0.05</v>
      </c>
      <c r="N32" s="60">
        <f t="shared" si="2"/>
        <v>0.05</v>
      </c>
      <c r="O32" s="60">
        <f t="shared" si="2"/>
        <v>0.05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0.99</v>
      </c>
      <c r="D34" s="60">
        <f t="shared" si="3"/>
        <v>0.99</v>
      </c>
      <c r="E34" s="60">
        <f t="shared" si="3"/>
        <v>0.99</v>
      </c>
      <c r="F34" s="60">
        <f t="shared" si="3"/>
        <v>0.99</v>
      </c>
      <c r="G34" s="60">
        <f t="shared" si="3"/>
        <v>0.99</v>
      </c>
      <c r="H34" s="60">
        <f t="shared" si="3"/>
        <v>0.99</v>
      </c>
      <c r="I34" s="60">
        <f t="shared" si="3"/>
        <v>0.99</v>
      </c>
      <c r="J34" s="60">
        <f t="shared" si="3"/>
        <v>0.99</v>
      </c>
      <c r="K34" s="60">
        <f t="shared" si="3"/>
        <v>0.99</v>
      </c>
      <c r="L34" s="60">
        <f t="shared" si="3"/>
        <v>0.99</v>
      </c>
      <c r="M34" s="60">
        <f t="shared" si="3"/>
        <v>0.99</v>
      </c>
      <c r="N34" s="60">
        <f t="shared" si="3"/>
        <v>0.99</v>
      </c>
      <c r="O34" s="60">
        <f t="shared" si="3"/>
        <v>0.99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67</v>
      </c>
      <c r="C5" s="8" t="s">
        <v>145</v>
      </c>
      <c r="D5" s="88">
        <v>1.56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146</v>
      </c>
      <c r="D6" s="88">
        <v>1.56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77</v>
      </c>
      <c r="C8" s="8" t="s">
        <v>145</v>
      </c>
      <c r="D8" s="88">
        <v>1</v>
      </c>
      <c r="E8" s="88">
        <v>1.56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146</v>
      </c>
      <c r="D9" s="88">
        <v>1</v>
      </c>
      <c r="E9" s="88">
        <v>1.56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1.37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1.37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1.37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1.37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1.77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1.77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1.77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1.77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riIqDHxQDNIc95k8WEEMlpv2yK5yRhEl3GZr9d21PG7QnhNwxgtjaWmZN+9widROwyhXiwQ4XZiTM/cZ2Cl95g==" saltValue="b1Xx0XPjIcbtdUQJGdoNkQ==" spinCount="100000" sheet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31" zoomScale="85" zoomScaleNormal="85" workbookViewId="0">
      <selection activeCell="D5" sqref="D5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OEa5xq8Dht0iRzVx1fQ1EOJdDm09uSIzQRujIfp/VJ8GNGNECqE8Uut2U6j1omy5Y9ajcKxMUHwzsTWrCb+nAw==" saltValue="Poj67khbkyqhF7WVYd6Cs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topLeftCell="A54" zoomScaleNormal="100" workbookViewId="0">
      <selection activeCell="D5" sqref="D5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rzjjr+eUY+zLxtgvRuigrXBCYk8ZjZeKkvy/Wu7lqFGhk7GKsrVngS9i2Jt2gxX9Fn0pC2b9tyB7+BxRGGivEA==" saltValue="vsQDJsypwJz22iUc18xJ6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6"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0.64</v>
      </c>
      <c r="F6" s="90">
        <v>0.64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289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v>0.44</v>
      </c>
      <c r="F29" s="90">
        <v>0.44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302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111</v>
      </c>
      <c r="B40" s="11" t="s">
        <v>303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307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3">IF(C6=1,1,C6*1.1)</f>
        <v>1</v>
      </c>
      <c r="D52" s="90">
        <f t="shared" si="3"/>
        <v>1</v>
      </c>
      <c r="E52" s="90">
        <v>0.92</v>
      </c>
      <c r="F52" s="90">
        <v>0.92</v>
      </c>
      <c r="G52" s="90">
        <f>IF(G6=1,1,G6*1.1)</f>
        <v>1</v>
      </c>
    </row>
    <row r="53" spans="1:7" x14ac:dyDescent="0.25">
      <c r="B53" s="5" t="s">
        <v>310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316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111</v>
      </c>
      <c r="B63" s="11" t="s">
        <v>317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uxH3qxfpHv3MxEVFpMF959vuuHVMbjUY0YDJlIXIgHOAA25UaRTm/IIjRx7RzEUfWaTP3eP7cZpYIm+m6J8PbA==" saltValue="wm1A0TwV/0DyOIoqtNvf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topLeftCell="A10" zoomScale="70" zoomScaleNormal="70" workbookViewId="0">
      <selection activeCell="D5" sqref="D5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Evf/7Nn9p0s2t120JFgJzNA1BIMAO9h8EmTziKGX5ZA7K3Y+rQ77oXfzNqKwsdbYQwCY96ujjsdxuDmqt1luA==" saltValue="pZcegXbvW/wKpwHEQP8pc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D5" sqref="D5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0.53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v>0.51</v>
      </c>
      <c r="M14" s="90">
        <v>0.51</v>
      </c>
      <c r="N14" s="90">
        <v>0.51</v>
      </c>
      <c r="O14" s="90"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f t="shared" ref="E19:O19" si="0">0.72</f>
        <v>0.72</v>
      </c>
      <c r="F19" s="90">
        <f t="shared" si="0"/>
        <v>0.72</v>
      </c>
      <c r="G19" s="90">
        <f t="shared" si="0"/>
        <v>0.72</v>
      </c>
      <c r="H19" s="90">
        <f t="shared" si="0"/>
        <v>0.72</v>
      </c>
      <c r="I19" s="90">
        <f t="shared" si="0"/>
        <v>0.72</v>
      </c>
      <c r="J19" s="90">
        <f t="shared" si="0"/>
        <v>0.72</v>
      </c>
      <c r="K19" s="90">
        <f t="shared" si="0"/>
        <v>0.72</v>
      </c>
      <c r="L19" s="90">
        <f t="shared" si="0"/>
        <v>0.72</v>
      </c>
      <c r="M19" s="90">
        <f t="shared" si="0"/>
        <v>0.72</v>
      </c>
      <c r="N19" s="90">
        <f t="shared" si="0"/>
        <v>0.72</v>
      </c>
      <c r="O19" s="90">
        <f t="shared" si="0"/>
        <v>0.72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90">
        <v>1</v>
      </c>
      <c r="J20" s="90">
        <v>1</v>
      </c>
      <c r="K20" s="90">
        <v>1</v>
      </c>
      <c r="L20" s="90">
        <v>1</v>
      </c>
      <c r="M20" s="90">
        <v>1</v>
      </c>
      <c r="N20" s="90">
        <v>1</v>
      </c>
      <c r="O20" s="90">
        <v>1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0.8</v>
      </c>
      <c r="F21" s="90">
        <v>0.8</v>
      </c>
      <c r="G21" s="90">
        <v>0.8</v>
      </c>
      <c r="H21" s="90">
        <v>0.8</v>
      </c>
      <c r="I21" s="90">
        <v>0.8</v>
      </c>
      <c r="J21" s="90">
        <v>0.8</v>
      </c>
      <c r="K21" s="90">
        <v>0.8</v>
      </c>
      <c r="L21" s="90">
        <v>0.8</v>
      </c>
      <c r="M21" s="90">
        <v>0.8</v>
      </c>
      <c r="N21" s="90">
        <v>0.8</v>
      </c>
      <c r="O21" s="90">
        <v>0.8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0.4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175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176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177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178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179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189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f>L32</f>
        <v>0.38</v>
      </c>
      <c r="M37" s="90">
        <f>M32</f>
        <v>0.38</v>
      </c>
      <c r="N37" s="90">
        <f>N32</f>
        <v>0.38</v>
      </c>
      <c r="O37" s="90">
        <f>O32</f>
        <v>0.38</v>
      </c>
    </row>
    <row r="38" spans="1:15" x14ac:dyDescent="0.25">
      <c r="B38" s="5" t="s">
        <v>192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173</v>
      </c>
      <c r="C42" s="90">
        <f t="shared" ref="C42:D44" si="10">IF(C19=1,1,C19*0.9)</f>
        <v>1</v>
      </c>
      <c r="D42" s="90">
        <f t="shared" si="10"/>
        <v>1</v>
      </c>
      <c r="E42" s="90">
        <v>0.54</v>
      </c>
      <c r="F42" s="90">
        <v>0.54</v>
      </c>
      <c r="G42" s="90">
        <v>0.54</v>
      </c>
      <c r="H42" s="90">
        <v>0.54</v>
      </c>
      <c r="I42" s="90">
        <v>0.54</v>
      </c>
      <c r="J42" s="90">
        <v>0.54</v>
      </c>
      <c r="K42" s="90">
        <v>0.54</v>
      </c>
      <c r="L42" s="90">
        <v>0.54</v>
      </c>
      <c r="M42" s="90">
        <v>0.54</v>
      </c>
      <c r="N42" s="90">
        <v>0.54</v>
      </c>
      <c r="O42" s="90">
        <v>0.54</v>
      </c>
    </row>
    <row r="43" spans="1:15" x14ac:dyDescent="0.25">
      <c r="B43" s="5" t="s">
        <v>174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1</v>
      </c>
      <c r="F43" s="90">
        <f t="shared" si="11"/>
        <v>1</v>
      </c>
      <c r="G43" s="90">
        <f t="shared" si="11"/>
        <v>1</v>
      </c>
      <c r="H43" s="90">
        <f t="shared" si="11"/>
        <v>1</v>
      </c>
      <c r="I43" s="90">
        <f t="shared" si="11"/>
        <v>1</v>
      </c>
      <c r="J43" s="90">
        <f t="shared" si="11"/>
        <v>1</v>
      </c>
      <c r="K43" s="90">
        <f t="shared" si="11"/>
        <v>1</v>
      </c>
      <c r="L43" s="90">
        <f t="shared" si="11"/>
        <v>1</v>
      </c>
      <c r="M43" s="90">
        <f t="shared" si="11"/>
        <v>1</v>
      </c>
      <c r="N43" s="90">
        <f t="shared" si="11"/>
        <v>1</v>
      </c>
      <c r="O43" s="90">
        <f t="shared" si="11"/>
        <v>1</v>
      </c>
    </row>
    <row r="44" spans="1:15" x14ac:dyDescent="0.25">
      <c r="B44" s="5" t="s">
        <v>182</v>
      </c>
      <c r="C44" s="90">
        <f t="shared" si="10"/>
        <v>1</v>
      </c>
      <c r="D44" s="90">
        <f t="shared" si="10"/>
        <v>1</v>
      </c>
      <c r="E44" s="90">
        <v>0.7</v>
      </c>
      <c r="F44" s="90">
        <v>0.7</v>
      </c>
      <c r="G44" s="90">
        <v>0.7</v>
      </c>
      <c r="H44" s="90">
        <v>0.7</v>
      </c>
      <c r="I44" s="90">
        <v>0.7</v>
      </c>
      <c r="J44" s="90">
        <v>0.7</v>
      </c>
      <c r="K44" s="90">
        <v>0.7</v>
      </c>
      <c r="L44" s="90">
        <v>0.7</v>
      </c>
      <c r="M44" s="90">
        <v>0.7</v>
      </c>
      <c r="N44" s="90">
        <v>0.7</v>
      </c>
      <c r="O44" s="90">
        <v>0.7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0.7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175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176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177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178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179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189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f>L54</f>
        <v>0.7</v>
      </c>
      <c r="M60" s="90">
        <f>M54</f>
        <v>0.7</v>
      </c>
      <c r="N60" s="90">
        <f>N54</f>
        <v>0.7</v>
      </c>
      <c r="O60" s="90">
        <f>O54</f>
        <v>0.7</v>
      </c>
    </row>
    <row r="61" spans="1:15" x14ac:dyDescent="0.25">
      <c r="B61" s="5" t="s">
        <v>192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173</v>
      </c>
      <c r="C65" s="90">
        <f t="shared" ref="C65:D67" si="21">IF(C19=1,1,C19*1.05)</f>
        <v>1</v>
      </c>
      <c r="D65" s="90">
        <f t="shared" si="21"/>
        <v>1</v>
      </c>
      <c r="E65" s="90">
        <v>0.97</v>
      </c>
      <c r="F65" s="90">
        <v>0.97</v>
      </c>
      <c r="G65" s="90">
        <v>0.97</v>
      </c>
      <c r="H65" s="90">
        <v>0.97</v>
      </c>
      <c r="I65" s="90">
        <v>0.97</v>
      </c>
      <c r="J65" s="90">
        <v>0.97</v>
      </c>
      <c r="K65" s="90">
        <v>0.97</v>
      </c>
      <c r="L65" s="90">
        <v>0.97</v>
      </c>
      <c r="M65" s="90">
        <v>0.97</v>
      </c>
      <c r="N65" s="90">
        <v>0.97</v>
      </c>
      <c r="O65" s="90">
        <v>0.97</v>
      </c>
    </row>
    <row r="66" spans="2:15" x14ac:dyDescent="0.25">
      <c r="B66" s="5" t="s">
        <v>174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</v>
      </c>
      <c r="F66" s="90">
        <f t="shared" si="22"/>
        <v>1</v>
      </c>
      <c r="G66" s="90">
        <f t="shared" si="22"/>
        <v>1</v>
      </c>
      <c r="H66" s="90">
        <f t="shared" si="22"/>
        <v>1</v>
      </c>
      <c r="I66" s="90">
        <f t="shared" si="22"/>
        <v>1</v>
      </c>
      <c r="J66" s="90">
        <f t="shared" si="22"/>
        <v>1</v>
      </c>
      <c r="K66" s="90">
        <f t="shared" si="22"/>
        <v>1</v>
      </c>
      <c r="L66" s="90">
        <f t="shared" si="22"/>
        <v>1</v>
      </c>
      <c r="M66" s="90">
        <f t="shared" si="22"/>
        <v>1</v>
      </c>
      <c r="N66" s="90">
        <f t="shared" si="22"/>
        <v>1</v>
      </c>
      <c r="O66" s="90">
        <f t="shared" si="22"/>
        <v>1</v>
      </c>
    </row>
    <row r="67" spans="2:15" x14ac:dyDescent="0.25">
      <c r="B67" s="5" t="s">
        <v>182</v>
      </c>
      <c r="C67" s="90">
        <f t="shared" si="21"/>
        <v>1</v>
      </c>
      <c r="D67" s="90">
        <f t="shared" si="21"/>
        <v>1</v>
      </c>
      <c r="E67" s="90">
        <v>0.92</v>
      </c>
      <c r="F67" s="90">
        <v>0.92</v>
      </c>
      <c r="G67" s="90">
        <v>0.92</v>
      </c>
      <c r="H67" s="90">
        <v>0.92</v>
      </c>
      <c r="I67" s="90">
        <v>0.92</v>
      </c>
      <c r="J67" s="90">
        <v>0.92</v>
      </c>
      <c r="K67" s="90">
        <v>0.92</v>
      </c>
      <c r="L67" s="90">
        <v>0.92</v>
      </c>
      <c r="M67" s="90">
        <v>0.92</v>
      </c>
      <c r="N67" s="90">
        <v>0.92</v>
      </c>
      <c r="O67" s="90">
        <f>IF(ISBLANK('Nutritional status distribution'!O$14),0.92,(0.92*'Nutritional status distribution'!O$14/(1-0.92*'Nutritional status distribution'!O$14))
/ ('Nutritional status distribution'!O$14/(1-'Nutritional status distribution'!O$14)))</f>
        <v>0.86743554053158345</v>
      </c>
    </row>
  </sheetData>
  <sheetProtection algorithmName="SHA-512" hashValue="QTNrTNcX0LQnvnw9OcFIuF8iiKsb7nBsadUCrO1kCxqB4CvEkER3v8YCwNBmR8txM/1IAuOQ/zC/vA8HLWjOhA==" saltValue="f5+QlQPEjGE24L/HhPaCM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ZIjv20oIFeX8hEAP3JXu7+FjYQdIWvRgXIH4IkxRsMm14MAW5JMg2x9QOPJ7rc+IAMFEDvKO0XCydnz4Atw3VA==" saltValue="eIHIWivrA2mRyU/FI0KAAQ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53" zoomScale="80" zoomScaleNormal="80" workbookViewId="0">
      <selection activeCell="D5" sqref="D5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340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340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gIF3gzcRwMevsVP9JM+eFJliWIfkjL6RYnVy29HH1zFwKTB/eJc1NVFGROY84dwrfqcI+B8KpOZ1waT1qDgCXQ==" saltValue="0Itsi1W8Rg+oXl6coWpoc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SSCu+FR+SN+siPEoAiap+3g3Z0SGqFtJklZqGSbEJvGKfBY2J7BHBpfevFvAYPx8Hf15tBeGKZdJ4ehQEpyLRg==" saltValue="A0PmMaoo+OfazXy7x4UxV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2024-03-28T03:04:05Z</dcterms:modified>
</cp:coreProperties>
</file>