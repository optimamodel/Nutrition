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741D641-A645-40D5-81D4-A3055B44246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<sst xmlns="http://schemas.openxmlformats.org/spreadsheetml/2006/main" count="2102" uniqueCount="341">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</sst>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2.3800000000000002E-2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0.49280000000000002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2400</v>
      </c>
      <c r="C2" s="49">
        <v>7032</v>
      </c>
      <c r="D2" s="49">
        <v>10716</v>
      </c>
      <c r="E2" s="49">
        <v>7463</v>
      </c>
      <c r="F2" s="49">
        <v>4951.5</v>
      </c>
      <c r="G2" s="17">
        <f t="shared" ref="G2:G13" si="0">C2+D2+E2+F2</f>
        <v>30162.5</v>
      </c>
      <c r="H2" s="17">
        <f t="shared" ref="H2:H13" si="1">(B2 + stillbirth*B2/(1000-stillbirth))/(1-abortion)</f>
        <v>2784.5364407225425</v>
      </c>
      <c r="I2" s="17">
        <f t="shared" ref="I2:I13" si="2">G2-H2</f>
        <v>27377.963559277458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2415</v>
      </c>
      <c r="C3" s="50">
        <v>6952.5000000000009</v>
      </c>
      <c r="D3" s="50">
        <v>10797</v>
      </c>
      <c r="E3" s="50">
        <v>7757.5000000000009</v>
      </c>
      <c r="F3" s="50">
        <v>4968</v>
      </c>
      <c r="G3" s="17">
        <f t="shared" si="0"/>
        <v>30475</v>
      </c>
      <c r="H3" s="17">
        <f t="shared" si="1"/>
        <v>2801.9397934770582</v>
      </c>
      <c r="I3" s="17">
        <f t="shared" si="2"/>
        <v>27673.060206522943</v>
      </c>
    </row>
    <row r="4" spans="1:9" ht="15.75" customHeight="1" x14ac:dyDescent="0.25">
      <c r="A4" s="5">
        <f t="shared" si="3"/>
        <v>2026</v>
      </c>
      <c r="B4" s="49">
        <v>2426</v>
      </c>
      <c r="C4" s="50">
        <v>6849.5</v>
      </c>
      <c r="D4" s="50">
        <v>10881.5</v>
      </c>
      <c r="E4" s="50">
        <v>8059</v>
      </c>
      <c r="F4" s="50">
        <v>5011.5</v>
      </c>
      <c r="G4" s="17">
        <f t="shared" si="0"/>
        <v>30801.5</v>
      </c>
      <c r="H4" s="17">
        <f t="shared" si="1"/>
        <v>2814.7022521637032</v>
      </c>
      <c r="I4" s="17">
        <f t="shared" si="2"/>
        <v>27986.797747836295</v>
      </c>
    </row>
    <row r="5" spans="1:9" ht="15.75" customHeight="1" x14ac:dyDescent="0.25">
      <c r="A5" s="5">
        <f t="shared" si="3"/>
        <v>2027</v>
      </c>
      <c r="B5" s="49">
        <v>2439</v>
      </c>
      <c r="C5" s="50">
        <v>6777</v>
      </c>
      <c r="D5" s="50">
        <v>10882</v>
      </c>
      <c r="E5" s="50">
        <v>8399.5</v>
      </c>
      <c r="F5" s="50">
        <v>5082.5</v>
      </c>
      <c r="G5" s="17">
        <f t="shared" si="0"/>
        <v>31141</v>
      </c>
      <c r="H5" s="17">
        <f t="shared" si="1"/>
        <v>2829.7851578842833</v>
      </c>
      <c r="I5" s="17">
        <f t="shared" si="2"/>
        <v>28311.214842115718</v>
      </c>
    </row>
    <row r="6" spans="1:9" ht="15.75" customHeight="1" x14ac:dyDescent="0.25">
      <c r="A6" s="5">
        <f t="shared" si="3"/>
        <v>2028</v>
      </c>
      <c r="B6" s="49">
        <v>2448</v>
      </c>
      <c r="C6" s="50">
        <v>6705.5000000000009</v>
      </c>
      <c r="D6" s="50">
        <v>10802.5</v>
      </c>
      <c r="E6" s="50">
        <v>8789</v>
      </c>
      <c r="F6" s="50">
        <v>5155</v>
      </c>
      <c r="G6" s="17">
        <f t="shared" si="0"/>
        <v>31452</v>
      </c>
      <c r="H6" s="17">
        <f t="shared" si="1"/>
        <v>2840.2271695369932</v>
      </c>
      <c r="I6" s="17">
        <f t="shared" si="2"/>
        <v>28611.772830463007</v>
      </c>
    </row>
    <row r="7" spans="1:9" ht="15.75" customHeight="1" x14ac:dyDescent="0.25">
      <c r="A7" s="5">
        <f t="shared" si="3"/>
        <v>2029</v>
      </c>
      <c r="B7" s="49">
        <v>2442</v>
      </c>
      <c r="C7" s="50">
        <v>6600</v>
      </c>
      <c r="D7" s="50">
        <v>10763.5</v>
      </c>
      <c r="E7" s="50">
        <v>9110.5</v>
      </c>
      <c r="F7" s="50">
        <v>5215.5</v>
      </c>
      <c r="G7" s="17">
        <f t="shared" si="0"/>
        <v>31689.5</v>
      </c>
      <c r="H7" s="17">
        <f t="shared" si="1"/>
        <v>2833.2658284351864</v>
      </c>
      <c r="I7" s="17">
        <f t="shared" si="2"/>
        <v>28856.234171564814</v>
      </c>
    </row>
    <row r="8" spans="1:9" ht="15.75" customHeight="1" x14ac:dyDescent="0.25">
      <c r="A8" s="5">
        <f t="shared" si="3"/>
        <v>2030</v>
      </c>
      <c r="B8" s="49">
        <v>2433</v>
      </c>
      <c r="C8" s="50">
        <v>6507.0000000000009</v>
      </c>
      <c r="D8" s="50">
        <v>10740.5</v>
      </c>
      <c r="E8" s="50">
        <v>9350.5</v>
      </c>
      <c r="F8" s="50">
        <v>5295.5</v>
      </c>
      <c r="G8" s="17">
        <f t="shared" si="0"/>
        <v>31893.5</v>
      </c>
      <c r="H8" s="17">
        <f t="shared" si="1"/>
        <v>2822.823816782477</v>
      </c>
      <c r="I8" s="17">
        <f t="shared" si="2"/>
        <v>29070.676183217522</v>
      </c>
    </row>
    <row r="9" spans="1:9" ht="15.75" customHeight="1" x14ac:dyDescent="0.25">
      <c r="A9" s="5">
        <f t="shared" si="3"/>
        <v>2031</v>
      </c>
      <c r="B9" s="49">
        <v>2411</v>
      </c>
      <c r="C9" s="50">
        <v>6452.5</v>
      </c>
      <c r="D9" s="50">
        <v>10717</v>
      </c>
      <c r="E9" s="50">
        <v>9508.5</v>
      </c>
      <c r="F9" s="50">
        <v>5412</v>
      </c>
      <c r="G9" s="17">
        <f t="shared" si="0"/>
        <v>32090</v>
      </c>
      <c r="H9" s="17">
        <f t="shared" si="1"/>
        <v>2797.298899409187</v>
      </c>
      <c r="I9" s="17">
        <f t="shared" si="2"/>
        <v>29292.701100590813</v>
      </c>
    </row>
    <row r="10" spans="1:9" ht="15.75" customHeight="1" x14ac:dyDescent="0.25">
      <c r="A10" s="5">
        <f t="shared" si="3"/>
        <v>2032</v>
      </c>
      <c r="B10" s="49">
        <v>2391</v>
      </c>
      <c r="C10" s="50">
        <v>6410.5000000000009</v>
      </c>
      <c r="D10" s="50">
        <v>10698</v>
      </c>
      <c r="E10" s="50">
        <v>9571</v>
      </c>
      <c r="F10" s="50">
        <v>5564.5</v>
      </c>
      <c r="G10" s="17">
        <f t="shared" si="0"/>
        <v>32244</v>
      </c>
      <c r="H10" s="17">
        <f t="shared" si="1"/>
        <v>2774.0944290698326</v>
      </c>
      <c r="I10" s="17">
        <f t="shared" si="2"/>
        <v>29469.905570930168</v>
      </c>
    </row>
    <row r="11" spans="1:9" ht="15.75" customHeight="1" x14ac:dyDescent="0.25">
      <c r="A11" s="5">
        <f t="shared" si="3"/>
        <v>2033</v>
      </c>
      <c r="B11" s="49">
        <v>2366</v>
      </c>
      <c r="C11" s="50">
        <v>6379.5</v>
      </c>
      <c r="D11" s="50">
        <v>10625.5</v>
      </c>
      <c r="E11" s="50">
        <v>9637.5</v>
      </c>
      <c r="F11" s="50">
        <v>5789</v>
      </c>
      <c r="G11" s="17">
        <f t="shared" si="0"/>
        <v>32431.5</v>
      </c>
      <c r="H11" s="17">
        <f t="shared" si="1"/>
        <v>2745.0888411456394</v>
      </c>
      <c r="I11" s="17">
        <f t="shared" si="2"/>
        <v>29686.41115885436</v>
      </c>
    </row>
    <row r="12" spans="1:9" ht="15.75" customHeight="1" x14ac:dyDescent="0.25">
      <c r="A12" s="5">
        <f t="shared" si="3"/>
        <v>2034</v>
      </c>
      <c r="B12" s="49">
        <v>2347</v>
      </c>
      <c r="C12" s="50">
        <v>6359.0000000000009</v>
      </c>
      <c r="D12" s="50">
        <v>10529.5</v>
      </c>
      <c r="E12" s="50">
        <v>9718.5</v>
      </c>
      <c r="F12" s="50">
        <v>6055</v>
      </c>
      <c r="G12" s="17">
        <f t="shared" si="0"/>
        <v>32662</v>
      </c>
      <c r="H12" s="17">
        <f t="shared" si="1"/>
        <v>2723.0445943232526</v>
      </c>
      <c r="I12" s="17">
        <f t="shared" si="2"/>
        <v>29938.955405676748</v>
      </c>
    </row>
    <row r="13" spans="1:9" ht="15.75" customHeight="1" x14ac:dyDescent="0.25">
      <c r="A13" s="5">
        <f t="shared" si="3"/>
        <v>2035</v>
      </c>
      <c r="B13" s="49">
        <v>2335</v>
      </c>
      <c r="C13" s="50">
        <v>6352</v>
      </c>
      <c r="D13" s="50">
        <v>10402.5</v>
      </c>
      <c r="E13" s="50">
        <v>9800</v>
      </c>
      <c r="F13" s="50">
        <v>6329</v>
      </c>
      <c r="G13" s="17">
        <f t="shared" si="0"/>
        <v>32883.5</v>
      </c>
      <c r="H13" s="17">
        <f t="shared" si="1"/>
        <v>2709.12191211964</v>
      </c>
      <c r="I13" s="17">
        <f t="shared" si="2"/>
        <v>30174.378087880359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0.411891336</v>
      </c>
      <c r="D14" s="54">
        <v>0.43827971236899999</v>
      </c>
      <c r="E14" s="54">
        <v>0.43827971236899999</v>
      </c>
      <c r="F14" s="54">
        <v>0.28490576191099998</v>
      </c>
      <c r="G14" s="54">
        <v>0.28490576191099998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0.23078601069148796</v>
      </c>
      <c r="D15" s="52">
        <f t="shared" si="0"/>
        <v>0.24557162907804961</v>
      </c>
      <c r="E15" s="52">
        <f t="shared" si="0"/>
        <v>0.24557162907804961</v>
      </c>
      <c r="F15" s="52">
        <f t="shared" si="0"/>
        <v>0.15963497764482856</v>
      </c>
      <c r="G15" s="52">
        <f t="shared" si="0"/>
        <v>0.15963497764482856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51.649200023798471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0.36139310657109602</v>
      </c>
      <c r="C3" s="98">
        <v>0.95</v>
      </c>
      <c r="D3" s="56">
        <v>39.737125372069528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314.37491066068219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2.1334184980332371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12.86942481586545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0.1060524</v>
      </c>
      <c r="C11" s="98">
        <v>0.95</v>
      </c>
      <c r="D11" s="56">
        <v>12.86942481586545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0.1060524</v>
      </c>
      <c r="C12" s="98">
        <v>0.95</v>
      </c>
      <c r="D12" s="56">
        <v>12.86942481586545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0.1060524</v>
      </c>
      <c r="C13" s="98">
        <v>0.95</v>
      </c>
      <c r="D13" s="56">
        <v>12.86942481586545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12.86942481586545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0.1060524</v>
      </c>
      <c r="C15" s="98">
        <v>0.95</v>
      </c>
      <c r="D15" s="56">
        <v>12.86942481586545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0.57619061576079733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0.215186095025478</v>
      </c>
      <c r="C18" s="98">
        <v>0.95</v>
      </c>
      <c r="D18" s="56">
        <v>7.2775744227562367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9.3362200000000006E-2</v>
      </c>
      <c r="C19" s="98">
        <v>0.95</v>
      </c>
      <c r="D19" s="56">
        <v>7.2775744227562367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0.44068459999999998</v>
      </c>
      <c r="C21" s="98">
        <v>0.95</v>
      </c>
      <c r="D21" s="56">
        <v>19.847496939662769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22.13366866615802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4.1901160197696434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0.44131542101310012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18.21712104199856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0.340060866443958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99.086155818641913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0.73</v>
      </c>
      <c r="C31" s="98">
        <v>0.95</v>
      </c>
      <c r="D31" s="56">
        <v>4.0703992775726512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1.222368528253525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0.13494429999999999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0.29529529999999998</v>
      </c>
      <c r="C38" s="98">
        <v>0.95</v>
      </c>
      <c r="D38" s="56">
        <v>4.9708811231948573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0.103122228164928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4.4195240642111999E-2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3.8595540792960001E-2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2024-05-09T01:46:13Z</dcterms:modified>
</cp:coreProperties>
</file>