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0B49203-A01C-461B-9B1D-1FB5C467926A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<sst xmlns="http://schemas.openxmlformats.org/spreadsheetml/2006/main" count="2092" uniqueCount="341">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</sst>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18886935.875</v>
      </c>
    </row>
    <row r="8" spans="1:3" ht="15" customHeight="1" x14ac:dyDescent="0.25">
      <c r="B8" s="5" t="s">
        <v>8</v>
      </c>
      <c r="C8" s="44">
        <v>0.308</v>
      </c>
    </row>
    <row r="9" spans="1:3" ht="15" customHeight="1" x14ac:dyDescent="0.25">
      <c r="B9" s="5" t="s">
        <v>9</v>
      </c>
      <c r="C9" s="45">
        <v>0.14000000000000001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2.3800000000000002E-2</v>
      </c>
    </row>
    <row r="24" spans="1:3" ht="15" customHeight="1" x14ac:dyDescent="0.25">
      <c r="B24" s="15" t="s">
        <v>22</v>
      </c>
      <c r="C24" s="45">
        <v>0.4365</v>
      </c>
    </row>
    <row r="25" spans="1:3" ht="15" customHeight="1" x14ac:dyDescent="0.25">
      <c r="B25" s="15" t="s">
        <v>23</v>
      </c>
      <c r="C25" s="45">
        <v>0.49280000000000002</v>
      </c>
    </row>
    <row r="26" spans="1:3" ht="15" customHeight="1" x14ac:dyDescent="0.25">
      <c r="B26" s="15" t="s">
        <v>24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26.188870000000001</v>
      </c>
    </row>
    <row r="38" spans="1:5" ht="15" customHeight="1" x14ac:dyDescent="0.25">
      <c r="B38" s="11" t="s">
        <v>34</v>
      </c>
      <c r="C38" s="43">
        <v>34.274819999999998</v>
      </c>
      <c r="D38" s="12"/>
      <c r="E38" s="13"/>
    </row>
    <row r="39" spans="1:5" ht="15" customHeight="1" x14ac:dyDescent="0.25">
      <c r="B39" s="11" t="s">
        <v>35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1.10796E-2</v>
      </c>
      <c r="D45" s="12"/>
    </row>
    <row r="46" spans="1:5" ht="15.75" customHeight="1" x14ac:dyDescent="0.25">
      <c r="B46" s="11" t="s">
        <v>41</v>
      </c>
      <c r="C46" s="45">
        <v>0.1180031</v>
      </c>
      <c r="D46" s="12"/>
    </row>
    <row r="47" spans="1:5" ht="15.75" customHeight="1" x14ac:dyDescent="0.25">
      <c r="B47" s="11" t="s">
        <v>42</v>
      </c>
      <c r="C47" s="45">
        <v>0.15551380000000001</v>
      </c>
      <c r="D47" s="12"/>
      <c r="E47" s="13"/>
    </row>
    <row r="48" spans="1:5" ht="15" customHeight="1" x14ac:dyDescent="0.25">
      <c r="B48" s="11" t="s">
        <v>43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0.56030799999999992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2587.7874000000002</v>
      </c>
      <c r="C2" s="49">
        <v>5400</v>
      </c>
      <c r="D2" s="49">
        <v>10900</v>
      </c>
      <c r="E2" s="49">
        <v>8100</v>
      </c>
      <c r="F2" s="49">
        <v>4400</v>
      </c>
      <c r="G2" s="17">
        <f t="shared" ref="G2:G13" si="0">C2+D2+E2+F2</f>
        <v>28800</v>
      </c>
      <c r="H2" s="17">
        <f t="shared" ref="H2:H13" si="1">(B2 + stillbirth*B2/(1000-stillbirth))/(1-abortion)</f>
        <v>3002.4117983927677</v>
      </c>
      <c r="I2" s="17">
        <f t="shared" ref="I2:I13" si="2">G2-H2</f>
        <v>25797.588201607232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2596.384</v>
      </c>
      <c r="C3" s="50">
        <v>5300</v>
      </c>
      <c r="D3" s="50">
        <v>10700</v>
      </c>
      <c r="E3" s="50">
        <v>8300</v>
      </c>
      <c r="F3" s="50">
        <v>4700</v>
      </c>
      <c r="G3" s="17">
        <f t="shared" si="0"/>
        <v>29000</v>
      </c>
      <c r="H3" s="17">
        <f t="shared" si="1"/>
        <v>3012.3857758787321</v>
      </c>
      <c r="I3" s="17">
        <f t="shared" si="2"/>
        <v>25987.614224121269</v>
      </c>
    </row>
    <row r="4" spans="1:9" ht="15.75" customHeight="1" x14ac:dyDescent="0.25">
      <c r="A4" s="5">
        <f t="shared" si="3"/>
        <v>2026</v>
      </c>
      <c r="B4" s="49">
        <v>2581.2363999999998</v>
      </c>
      <c r="C4" s="50">
        <v>5200</v>
      </c>
      <c r="D4" s="50">
        <v>10600</v>
      </c>
      <c r="E4" s="50">
        <v>8500</v>
      </c>
      <c r="F4" s="50">
        <v>5000</v>
      </c>
      <c r="G4" s="17">
        <f t="shared" si="0"/>
        <v>29300</v>
      </c>
      <c r="H4" s="17">
        <f t="shared" si="1"/>
        <v>2994.8111741331113</v>
      </c>
      <c r="I4" s="17">
        <f t="shared" si="2"/>
        <v>26305.188825866888</v>
      </c>
    </row>
    <row r="5" spans="1:9" ht="15.75" customHeight="1" x14ac:dyDescent="0.25">
      <c r="A5" s="5">
        <f t="shared" si="3"/>
        <v>2027</v>
      </c>
      <c r="B5" s="49">
        <v>2565.4104000000002</v>
      </c>
      <c r="C5" s="50">
        <v>5200</v>
      </c>
      <c r="D5" s="50">
        <v>10500</v>
      </c>
      <c r="E5" s="50">
        <v>8800</v>
      </c>
      <c r="F5" s="50">
        <v>5400</v>
      </c>
      <c r="G5" s="17">
        <f t="shared" si="0"/>
        <v>29900</v>
      </c>
      <c r="H5" s="17">
        <f t="shared" si="1"/>
        <v>2976.4494767535812</v>
      </c>
      <c r="I5" s="17">
        <f t="shared" si="2"/>
        <v>26923.55052324642</v>
      </c>
    </row>
    <row r="6" spans="1:9" ht="15.75" customHeight="1" x14ac:dyDescent="0.25">
      <c r="A6" s="5">
        <f t="shared" si="3"/>
        <v>2028</v>
      </c>
      <c r="B6" s="49">
        <v>2548.9059999999999</v>
      </c>
      <c r="C6" s="50">
        <v>5200</v>
      </c>
      <c r="D6" s="50">
        <v>10300</v>
      </c>
      <c r="E6" s="50">
        <v>9100</v>
      </c>
      <c r="F6" s="50">
        <v>5700</v>
      </c>
      <c r="G6" s="17">
        <f t="shared" si="0"/>
        <v>30300</v>
      </c>
      <c r="H6" s="17">
        <f t="shared" si="1"/>
        <v>2957.3006837401381</v>
      </c>
      <c r="I6" s="17">
        <f t="shared" si="2"/>
        <v>27342.699316259863</v>
      </c>
    </row>
    <row r="7" spans="1:9" ht="15.75" customHeight="1" x14ac:dyDescent="0.25">
      <c r="A7" s="5">
        <f t="shared" si="3"/>
        <v>2029</v>
      </c>
      <c r="B7" s="49">
        <v>2531.7232000000008</v>
      </c>
      <c r="C7" s="50">
        <v>5200</v>
      </c>
      <c r="D7" s="50">
        <v>10200</v>
      </c>
      <c r="E7" s="50">
        <v>9300</v>
      </c>
      <c r="F7" s="50">
        <v>6000</v>
      </c>
      <c r="G7" s="17">
        <f t="shared" si="0"/>
        <v>30700</v>
      </c>
      <c r="H7" s="17">
        <f t="shared" si="1"/>
        <v>2937.3647950927866</v>
      </c>
      <c r="I7" s="17">
        <f t="shared" si="2"/>
        <v>27762.635204907212</v>
      </c>
    </row>
    <row r="8" spans="1:9" ht="15.75" customHeight="1" x14ac:dyDescent="0.25">
      <c r="A8" s="5">
        <f t="shared" si="3"/>
        <v>2030</v>
      </c>
      <c r="B8" s="49">
        <v>2513.8620000000001</v>
      </c>
      <c r="C8" s="50">
        <v>5200</v>
      </c>
      <c r="D8" s="50">
        <v>10000</v>
      </c>
      <c r="E8" s="50">
        <v>9400</v>
      </c>
      <c r="F8" s="50">
        <v>6300</v>
      </c>
      <c r="G8" s="17">
        <f t="shared" si="0"/>
        <v>30900</v>
      </c>
      <c r="H8" s="17">
        <f t="shared" si="1"/>
        <v>2916.6418108115217</v>
      </c>
      <c r="I8" s="17">
        <f t="shared" si="2"/>
        <v>27983.358189188479</v>
      </c>
    </row>
    <row r="9" spans="1:9" ht="15.75" customHeight="1" x14ac:dyDescent="0.25">
      <c r="A9" s="5">
        <f t="shared" si="3"/>
        <v>2031</v>
      </c>
      <c r="B9" s="49">
        <v>2503.301228571429</v>
      </c>
      <c r="C9" s="50">
        <v>5171.4285714285716</v>
      </c>
      <c r="D9" s="50">
        <v>9871.4285714285706</v>
      </c>
      <c r="E9" s="50">
        <v>9585.7142857142862</v>
      </c>
      <c r="F9" s="50">
        <v>6571.4285714285716</v>
      </c>
      <c r="G9" s="17">
        <f t="shared" si="0"/>
        <v>31200</v>
      </c>
      <c r="H9" s="17">
        <f t="shared" si="1"/>
        <v>2904.3889554427728</v>
      </c>
      <c r="I9" s="17">
        <f t="shared" si="2"/>
        <v>28295.611044557227</v>
      </c>
    </row>
    <row r="10" spans="1:9" ht="15.75" customHeight="1" x14ac:dyDescent="0.25">
      <c r="A10" s="5">
        <f t="shared" si="3"/>
        <v>2032</v>
      </c>
      <c r="B10" s="49">
        <v>2490.003689795918</v>
      </c>
      <c r="C10" s="50">
        <v>5153.0612244897957</v>
      </c>
      <c r="D10" s="50">
        <v>9753.0612244897948</v>
      </c>
      <c r="E10" s="50">
        <v>9769.3877551020414</v>
      </c>
      <c r="F10" s="50">
        <v>6838.7755102040819</v>
      </c>
      <c r="G10" s="17">
        <f t="shared" si="0"/>
        <v>31514.285714285714</v>
      </c>
      <c r="H10" s="17">
        <f t="shared" si="1"/>
        <v>2888.9608382376346</v>
      </c>
      <c r="I10" s="17">
        <f t="shared" si="2"/>
        <v>28625.324876048078</v>
      </c>
    </row>
    <row r="11" spans="1:9" ht="15.75" customHeight="1" x14ac:dyDescent="0.25">
      <c r="A11" s="5">
        <f t="shared" si="3"/>
        <v>2033</v>
      </c>
      <c r="B11" s="49">
        <v>2476.9704454810499</v>
      </c>
      <c r="C11" s="50">
        <v>5146.3556851311951</v>
      </c>
      <c r="D11" s="50">
        <v>9632.0699708454795</v>
      </c>
      <c r="E11" s="50">
        <v>9950.7288629737614</v>
      </c>
      <c r="F11" s="50">
        <v>7101.4577259475218</v>
      </c>
      <c r="G11" s="17">
        <f t="shared" si="0"/>
        <v>31830.612244897959</v>
      </c>
      <c r="H11" s="17">
        <f t="shared" si="1"/>
        <v>2873.8393616811386</v>
      </c>
      <c r="I11" s="17">
        <f t="shared" si="2"/>
        <v>28956.772883216821</v>
      </c>
    </row>
    <row r="12" spans="1:9" ht="15.75" customHeight="1" x14ac:dyDescent="0.25">
      <c r="A12" s="5">
        <f t="shared" si="3"/>
        <v>2034</v>
      </c>
      <c r="B12" s="49">
        <v>2464.3361662640568</v>
      </c>
      <c r="C12" s="50">
        <v>5138.6922115785082</v>
      </c>
      <c r="D12" s="50">
        <v>9508.0799666805488</v>
      </c>
      <c r="E12" s="50">
        <v>10115.118700541439</v>
      </c>
      <c r="F12" s="50">
        <v>7344.5231153685963</v>
      </c>
      <c r="G12" s="17">
        <f t="shared" si="0"/>
        <v>32106.413994169092</v>
      </c>
      <c r="H12" s="17">
        <f t="shared" si="1"/>
        <v>2859.1807738136467</v>
      </c>
      <c r="I12" s="17">
        <f t="shared" si="2"/>
        <v>29247.233220355447</v>
      </c>
    </row>
    <row r="13" spans="1:9" ht="15.75" customHeight="1" x14ac:dyDescent="0.25">
      <c r="A13" s="5">
        <f t="shared" si="3"/>
        <v>2035</v>
      </c>
      <c r="B13" s="49">
        <v>2452.2547614446362</v>
      </c>
      <c r="C13" s="50">
        <v>5129.9339560897233</v>
      </c>
      <c r="D13" s="50">
        <v>9394.9485333491994</v>
      </c>
      <c r="E13" s="50">
        <v>10260.13565776165</v>
      </c>
      <c r="F13" s="50">
        <v>7579.4549889926811</v>
      </c>
      <c r="G13" s="17">
        <f t="shared" si="0"/>
        <v>32364.473136193254</v>
      </c>
      <c r="H13" s="17">
        <f t="shared" si="1"/>
        <v>2845.1636438241476</v>
      </c>
      <c r="I13" s="17">
        <f t="shared" si="2"/>
        <v>29519.309492369106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1.9891899999999921E-2</v>
      </c>
    </row>
    <row r="4" spans="1:8" ht="15.75" customHeight="1" x14ac:dyDescent="0.25">
      <c r="B4" s="19" t="s">
        <v>69</v>
      </c>
      <c r="C4" s="101">
        <v>7.4515400000000037E-2</v>
      </c>
    </row>
    <row r="5" spans="1:8" ht="15.75" customHeight="1" x14ac:dyDescent="0.25">
      <c r="B5" s="19" t="s">
        <v>70</v>
      </c>
      <c r="C5" s="101">
        <v>0.11823790000000001</v>
      </c>
    </row>
    <row r="6" spans="1:8" ht="15.75" customHeight="1" x14ac:dyDescent="0.25">
      <c r="B6" s="19" t="s">
        <v>71</v>
      </c>
      <c r="C6" s="101">
        <v>0.25948660000000018</v>
      </c>
    </row>
    <row r="7" spans="1:8" ht="15.75" customHeight="1" x14ac:dyDescent="0.25">
      <c r="B7" s="19" t="s">
        <v>72</v>
      </c>
      <c r="C7" s="101">
        <v>0.36006529999999981</v>
      </c>
    </row>
    <row r="8" spans="1:8" ht="15.75" customHeight="1" x14ac:dyDescent="0.25">
      <c r="B8" s="19" t="s">
        <v>73</v>
      </c>
      <c r="C8" s="101">
        <v>4.5411999999999961E-3</v>
      </c>
    </row>
    <row r="9" spans="1:8" ht="15.75" customHeight="1" x14ac:dyDescent="0.25">
      <c r="B9" s="19" t="s">
        <v>74</v>
      </c>
      <c r="C9" s="101">
        <v>4.8583099999999983E-2</v>
      </c>
    </row>
    <row r="10" spans="1:8" ht="15.75" customHeight="1" x14ac:dyDescent="0.25">
      <c r="B10" s="19" t="s">
        <v>75</v>
      </c>
      <c r="C10" s="101">
        <v>0.11467859999999989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83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84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85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86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87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89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8.7529259999999998E-2</v>
      </c>
    </row>
    <row r="27" spans="1:8" ht="15.75" customHeight="1" x14ac:dyDescent="0.25">
      <c r="B27" s="19" t="s">
        <v>92</v>
      </c>
      <c r="C27" s="101">
        <v>8.5087389999999995E-3</v>
      </c>
    </row>
    <row r="28" spans="1:8" ht="15.75" customHeight="1" x14ac:dyDescent="0.25">
      <c r="B28" s="19" t="s">
        <v>93</v>
      </c>
      <c r="C28" s="101">
        <v>0.15587014399999999</v>
      </c>
    </row>
    <row r="29" spans="1:8" ht="15.75" customHeight="1" x14ac:dyDescent="0.25">
      <c r="B29" s="19" t="s">
        <v>94</v>
      </c>
      <c r="C29" s="101">
        <v>0.16769983199999999</v>
      </c>
    </row>
    <row r="30" spans="1:8" ht="15.75" customHeight="1" x14ac:dyDescent="0.25">
      <c r="B30" s="19" t="s">
        <v>95</v>
      </c>
      <c r="C30" s="101">
        <v>0.106388358</v>
      </c>
    </row>
    <row r="31" spans="1:8" ht="15.75" customHeight="1" x14ac:dyDescent="0.25">
      <c r="B31" s="19" t="s">
        <v>96</v>
      </c>
      <c r="C31" s="101">
        <v>0.108993619</v>
      </c>
    </row>
    <row r="32" spans="1:8" ht="15.75" customHeight="1" x14ac:dyDescent="0.25">
      <c r="B32" s="19" t="s">
        <v>97</v>
      </c>
      <c r="C32" s="101">
        <v>1.8349142999999998E-2</v>
      </c>
    </row>
    <row r="33" spans="2:3" ht="15.75" customHeight="1" x14ac:dyDescent="0.25">
      <c r="B33" s="19" t="s">
        <v>98</v>
      </c>
      <c r="C33" s="101">
        <v>8.4419259999999982E-2</v>
      </c>
    </row>
    <row r="34" spans="2:3" ht="15.75" customHeight="1" x14ac:dyDescent="0.25">
      <c r="B34" s="19" t="s">
        <v>99</v>
      </c>
      <c r="C34" s="101">
        <v>0.26224164300000002</v>
      </c>
    </row>
    <row r="35" spans="2:3" ht="15.75" customHeight="1" x14ac:dyDescent="0.25">
      <c r="B35" s="27" t="s">
        <v>30</v>
      </c>
      <c r="C35" s="48">
        <f>SUM(C26:C34)</f>
        <v>0.99999999800000006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104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0.411891336</v>
      </c>
      <c r="D14" s="54">
        <v>0.43827971236899999</v>
      </c>
      <c r="E14" s="54">
        <v>0.43827971236899999</v>
      </c>
      <c r="F14" s="54">
        <v>0.28490576191099998</v>
      </c>
      <c r="G14" s="54">
        <v>0.28490576191099998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0.23078601069148796</v>
      </c>
      <c r="D15" s="52">
        <f t="shared" si="0"/>
        <v>0.24557162907804961</v>
      </c>
      <c r="E15" s="52">
        <f t="shared" si="0"/>
        <v>0.24557162907804961</v>
      </c>
      <c r="F15" s="52">
        <f t="shared" si="0"/>
        <v>0.15963497764482856</v>
      </c>
      <c r="G15" s="52">
        <f t="shared" si="0"/>
        <v>0.15963497764482856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122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0.20787759317648</v>
      </c>
      <c r="C2" s="98">
        <v>0.95</v>
      </c>
      <c r="D2" s="56">
        <v>51.649200023798471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39.737125372069528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314.37491066068219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2.0109515487164078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12.86942481586545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12.86942481586545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12.86942481586545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12.86942481586545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12.86942481586545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12.86942481586545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0.36139310657109602</v>
      </c>
      <c r="C16" s="98">
        <v>0.95</v>
      </c>
      <c r="D16" s="56">
        <v>0.57619061576079733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7.2775744227562367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7.2775744227562367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0.36904579999999998</v>
      </c>
      <c r="C21" s="98">
        <v>0.95</v>
      </c>
      <c r="D21" s="56">
        <v>19.847496939662769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22.13366866615802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1.1650499999999999E-2</v>
      </c>
      <c r="C23" s="98">
        <v>0.95</v>
      </c>
      <c r="D23" s="56">
        <v>4.1901160197696434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0.340060866443958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0.21164658696156699</v>
      </c>
      <c r="C27" s="98">
        <v>0.95</v>
      </c>
      <c r="D27" s="56">
        <v>18.21712104199856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0.29529529999999998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99.086155818641913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0.1201</v>
      </c>
      <c r="C31" s="98">
        <v>0.95</v>
      </c>
      <c r="D31" s="56">
        <v>4.0703992775726512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0.56024590000000007</v>
      </c>
      <c r="C32" s="98">
        <v>0.95</v>
      </c>
      <c r="D32" s="56">
        <v>1.222368528253525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9.3362200000000006E-2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0.33287060000000002</v>
      </c>
      <c r="C38" s="98">
        <v>0.95</v>
      </c>
      <c r="D38" s="56">
        <v>4.9708811231948573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0.13494429999999999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205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0.103122228164928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4.4195240642111999E-2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3.8595540792960001E-2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0.89817219082531452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2024-03-28T03:04:01Z</dcterms:modified>
</cp:coreProperties>
</file>