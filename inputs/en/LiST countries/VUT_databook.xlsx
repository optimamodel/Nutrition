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D150412-D2D9-43F9-A758-2F642E4DC26E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33" i="2"/>
  <c r="A32" i="2"/>
  <c r="A31" i="2"/>
  <c r="A28" i="2"/>
  <c r="A27" i="2"/>
  <c r="A26" i="2"/>
  <c r="A25" i="2"/>
  <c r="A24" i="2"/>
  <c r="A23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21" i="2" l="1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<sst xmlns="http://schemas.openxmlformats.org/spreadsheetml/2006/main" count="2094" uniqueCount="341">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</sst>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46493.67431640625</v>
      </c>
    </row>
    <row r="8" spans="1:3" ht="15" customHeight="1" x14ac:dyDescent="0.25">
      <c r="B8" s="5" t="s">
        <v>8</v>
      </c>
      <c r="C8" s="44">
        <v>0.13200000000000001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0.51168388366699202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7.7300000000000008E-2</v>
      </c>
    </row>
    <row r="24" spans="1:3" ht="15" customHeight="1" x14ac:dyDescent="0.25">
      <c r="B24" s="15" t="s">
        <v>22</v>
      </c>
      <c r="C24" s="45">
        <v>0.50680000000000003</v>
      </c>
    </row>
    <row r="25" spans="1:3" ht="15" customHeight="1" x14ac:dyDescent="0.25">
      <c r="B25" s="15" t="s">
        <v>23</v>
      </c>
      <c r="C25" s="45">
        <v>0.33629999999999988</v>
      </c>
    </row>
    <row r="26" spans="1:3" ht="15" customHeight="1" x14ac:dyDescent="0.25">
      <c r="B26" s="15" t="s">
        <v>24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9.8678000000000008</v>
      </c>
    </row>
    <row r="38" spans="1:5" ht="15" customHeight="1" x14ac:dyDescent="0.25">
      <c r="B38" s="11" t="s">
        <v>34</v>
      </c>
      <c r="C38" s="43">
        <v>19.7136</v>
      </c>
      <c r="D38" s="12"/>
      <c r="E38" s="13"/>
    </row>
    <row r="39" spans="1:5" ht="15" customHeight="1" x14ac:dyDescent="0.25">
      <c r="B39" s="11" t="s">
        <v>35</v>
      </c>
      <c r="C39" s="43">
        <v>23.214130000000001</v>
      </c>
      <c r="D39" s="12"/>
      <c r="E39" s="12"/>
    </row>
    <row r="40" spans="1:5" ht="15" customHeight="1" x14ac:dyDescent="0.25">
      <c r="B40" s="11" t="s">
        <v>36</v>
      </c>
      <c r="C40" s="100">
        <v>0.94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6.1368999999999998E-3</v>
      </c>
      <c r="D45" s="12"/>
    </row>
    <row r="46" spans="1:5" ht="15.75" customHeight="1" x14ac:dyDescent="0.25">
      <c r="B46" s="11" t="s">
        <v>41</v>
      </c>
      <c r="C46" s="45">
        <v>6.5939800000000007E-2</v>
      </c>
      <c r="D46" s="12"/>
    </row>
    <row r="47" spans="1:5" ht="15.75" customHeight="1" x14ac:dyDescent="0.25">
      <c r="B47" s="11" t="s">
        <v>42</v>
      </c>
      <c r="C47" s="45">
        <v>7.5165300000000004E-2</v>
      </c>
      <c r="D47" s="12"/>
      <c r="E47" s="13"/>
    </row>
    <row r="48" spans="1:5" ht="15" customHeight="1" x14ac:dyDescent="0.25">
      <c r="B48" s="11" t="s">
        <v>43</v>
      </c>
      <c r="C48" s="46">
        <v>0.85275800000000002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0.63705900000000004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0.109101909999999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1.1815998818400109E-3</v>
      </c>
    </row>
    <row r="4" spans="1:8" ht="15.75" customHeight="1" x14ac:dyDescent="0.25">
      <c r="B4" s="19" t="s">
        <v>69</v>
      </c>
      <c r="C4" s="101">
        <v>4.9927795007220499E-2</v>
      </c>
    </row>
    <row r="5" spans="1:8" ht="15.75" customHeight="1" x14ac:dyDescent="0.25">
      <c r="B5" s="19" t="s">
        <v>70</v>
      </c>
      <c r="C5" s="101">
        <v>3.8299596170040348E-2</v>
      </c>
    </row>
    <row r="6" spans="1:8" ht="15.75" customHeight="1" x14ac:dyDescent="0.25">
      <c r="B6" s="19" t="s">
        <v>71</v>
      </c>
      <c r="C6" s="101">
        <v>0.1696583830341615</v>
      </c>
    </row>
    <row r="7" spans="1:8" ht="15.75" customHeight="1" x14ac:dyDescent="0.25">
      <c r="B7" s="19" t="s">
        <v>72</v>
      </c>
      <c r="C7" s="101">
        <v>0.51123814887618546</v>
      </c>
    </row>
    <row r="8" spans="1:8" ht="15.75" customHeight="1" x14ac:dyDescent="0.25">
      <c r="B8" s="19" t="s">
        <v>73</v>
      </c>
      <c r="C8" s="101">
        <v>2.0689997931000191E-4</v>
      </c>
    </row>
    <row r="9" spans="1:8" ht="15.75" customHeight="1" x14ac:dyDescent="0.25">
      <c r="B9" s="19" t="s">
        <v>74</v>
      </c>
      <c r="C9" s="101">
        <v>0.16598378340162159</v>
      </c>
    </row>
    <row r="10" spans="1:8" ht="15.75" customHeight="1" x14ac:dyDescent="0.25">
      <c r="B10" s="19" t="s">
        <v>75</v>
      </c>
      <c r="C10" s="101">
        <v>6.3503793649620596E-2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82</v>
      </c>
      <c r="C15" s="101">
        <v>0.53997917606680679</v>
      </c>
      <c r="D15" s="101">
        <v>0.53997917606680679</v>
      </c>
      <c r="E15" s="101">
        <v>0.53997917606680679</v>
      </c>
      <c r="F15" s="101">
        <v>0.53997917606680679</v>
      </c>
    </row>
    <row r="16" spans="1:8" ht="15.75" customHeight="1" x14ac:dyDescent="0.25">
      <c r="B16" s="19" t="s">
        <v>83</v>
      </c>
      <c r="C16" s="101">
        <v>1.727508570668718E-2</v>
      </c>
      <c r="D16" s="101">
        <v>1.727508570668718E-2</v>
      </c>
      <c r="E16" s="101">
        <v>1.727508570668718E-2</v>
      </c>
      <c r="F16" s="101">
        <v>1.727508570668718E-2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2.561666534338515E-2</v>
      </c>
      <c r="D19" s="101">
        <v>2.561666534338515E-2</v>
      </c>
      <c r="E19" s="101">
        <v>2.561666534338515E-2</v>
      </c>
      <c r="F19" s="101">
        <v>2.561666534338515E-2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0.1329903129334955</v>
      </c>
      <c r="D21" s="101">
        <v>0.1329903129334955</v>
      </c>
      <c r="E21" s="101">
        <v>0.1329903129334955</v>
      </c>
      <c r="F21" s="101">
        <v>0.1329903129334955</v>
      </c>
    </row>
    <row r="22" spans="1:8" ht="15.75" customHeight="1" x14ac:dyDescent="0.25">
      <c r="B22" s="19" t="s">
        <v>89</v>
      </c>
      <c r="C22" s="101">
        <v>4.6358619630139521E-2</v>
      </c>
      <c r="D22" s="101">
        <v>4.6358619630139521E-2</v>
      </c>
      <c r="E22" s="101">
        <v>4.6358619630139521E-2</v>
      </c>
      <c r="F22" s="101">
        <v>4.6358619630139521E-2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4.7782605999999991E-2</v>
      </c>
    </row>
    <row r="27" spans="1:8" ht="15.75" customHeight="1" x14ac:dyDescent="0.25">
      <c r="B27" s="19" t="s">
        <v>92</v>
      </c>
      <c r="C27" s="101">
        <v>1.8912625999999998E-2</v>
      </c>
    </row>
    <row r="28" spans="1:8" ht="15.75" customHeight="1" x14ac:dyDescent="0.25">
      <c r="B28" s="19" t="s">
        <v>93</v>
      </c>
      <c r="C28" s="101">
        <v>0.22751453199999999</v>
      </c>
    </row>
    <row r="29" spans="1:8" ht="15.75" customHeight="1" x14ac:dyDescent="0.25">
      <c r="B29" s="19" t="s">
        <v>94</v>
      </c>
      <c r="C29" s="101">
        <v>0.13826291700000001</v>
      </c>
    </row>
    <row r="30" spans="1:8" ht="15.75" customHeight="1" x14ac:dyDescent="0.25">
      <c r="B30" s="19" t="s">
        <v>95</v>
      </c>
      <c r="C30" s="101">
        <v>4.9672004000000013E-2</v>
      </c>
    </row>
    <row r="31" spans="1:8" ht="15.75" customHeight="1" x14ac:dyDescent="0.25">
      <c r="B31" s="19" t="s">
        <v>96</v>
      </c>
      <c r="C31" s="101">
        <v>7.0532584999999995E-2</v>
      </c>
    </row>
    <row r="32" spans="1:8" ht="15.75" customHeight="1" x14ac:dyDescent="0.25">
      <c r="B32" s="19" t="s">
        <v>97</v>
      </c>
      <c r="C32" s="101">
        <v>0.15034908699999999</v>
      </c>
    </row>
    <row r="33" spans="2:3" ht="15.75" customHeight="1" x14ac:dyDescent="0.25">
      <c r="B33" s="19" t="s">
        <v>98</v>
      </c>
      <c r="C33" s="101">
        <v>0.12275455</v>
      </c>
    </row>
    <row r="34" spans="2:3" ht="15.75" customHeight="1" x14ac:dyDescent="0.25">
      <c r="B34" s="19" t="s">
        <v>99</v>
      </c>
      <c r="C34" s="101">
        <v>0.17421909099999999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104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105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109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110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122</v>
      </c>
      <c r="C5" s="52">
        <v>0.1095459</v>
      </c>
      <c r="D5" s="52">
        <v>5.7633799999999999E-2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49.842921550808533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0.190858472</v>
      </c>
      <c r="C3" s="98">
        <v>0.95</v>
      </c>
      <c r="D3" s="56">
        <v>39.696639812262433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286.05664748322943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1.3892843507597601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12.828939256058341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12.828939256058341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12.828939256058341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12.828939256058341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12.828939256058341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12.828939256058341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</v>
      </c>
      <c r="C16" s="98">
        <v>0.95</v>
      </c>
      <c r="D16" s="56">
        <v>0.53570505595368945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0.1114472535</v>
      </c>
      <c r="C18" s="98">
        <v>0.95</v>
      </c>
      <c r="D18" s="56">
        <v>6.6332602175192878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0.46714929999999999</v>
      </c>
      <c r="C19" s="98">
        <v>0.95</v>
      </c>
      <c r="D19" s="56">
        <v>6.6332602175192878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0.49547920000000001</v>
      </c>
      <c r="C21" s="98">
        <v>0.95</v>
      </c>
      <c r="D21" s="56">
        <v>11.2499272526323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22.04257615659202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4.1648125448902009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0.84451054199999998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18.385480298425989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0.66226328850000005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94.963596456498976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1.4494319011864589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1.1313943199069549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0.47599999999999998</v>
      </c>
      <c r="C38" s="98">
        <v>0.95</v>
      </c>
      <c r="D38" s="56">
        <v>4.7753309402954516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205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0.13200000000000001</v>
      </c>
      <c r="E2" s="60">
        <f>food_insecure</f>
        <v>0.13200000000000001</v>
      </c>
      <c r="F2" s="60">
        <f>food_insecure</f>
        <v>0.13200000000000001</v>
      </c>
      <c r="G2" s="60">
        <f>food_insecure</f>
        <v>0.13200000000000001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0.13200000000000001</v>
      </c>
      <c r="F5" s="60">
        <f>food_insecure</f>
        <v>0.13200000000000001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0.13200000000000001</v>
      </c>
      <c r="F8" s="60">
        <f>food_insecure</f>
        <v>0.13200000000000001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0.13200000000000001</v>
      </c>
      <c r="F9" s="60">
        <f>food_insecure</f>
        <v>0.13200000000000001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0.13200000000000001</v>
      </c>
      <c r="I15" s="60">
        <f>food_insecure</f>
        <v>0.13200000000000001</v>
      </c>
      <c r="J15" s="60">
        <f>food_insecure</f>
        <v>0.13200000000000001</v>
      </c>
      <c r="K15" s="60">
        <f>food_insecure</f>
        <v>0.13200000000000001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0.25281101974792486</v>
      </c>
      <c r="M25" s="60">
        <f>(1-food_insecure)*(0.49)+food_insecure*(0.7)</f>
        <v>0.51771999999999996</v>
      </c>
      <c r="N25" s="60">
        <f>(1-food_insecure)*(0.49)+food_insecure*(0.7)</f>
        <v>0.51771999999999996</v>
      </c>
      <c r="O25" s="60">
        <f>(1-food_insecure)*(0.49)+food_insecure*(0.7)</f>
        <v>0.51771999999999996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0.10834757989196782</v>
      </c>
      <c r="M26" s="60">
        <f>(1-food_insecure)*(0.21)+food_insecure*(0.3)</f>
        <v>0.22187999999999999</v>
      </c>
      <c r="N26" s="60">
        <f>(1-food_insecure)*(0.21)+food_insecure*(0.3)</f>
        <v>0.22187999999999999</v>
      </c>
      <c r="O26" s="60">
        <f>(1-food_insecure)*(0.21)+food_insecure*(0.3)</f>
        <v>0.22187999999999999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0.12715751669311526</v>
      </c>
      <c r="M27" s="60">
        <f>(1-food_insecure)*(0.3)</f>
        <v>0.26039999999999996</v>
      </c>
      <c r="N27" s="60">
        <f>(1-food_insecure)*(0.3)</f>
        <v>0.26039999999999996</v>
      </c>
      <c r="O27" s="60">
        <f>(1-food_insecure)*(0.3)</f>
        <v>0.26039999999999996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0.51168388366699202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2FFCD08-0D05-422A-BC6D-8914CEFCC26D}"/>
</file>

<file path=customXml/itemProps2.xml><?xml version="1.0" encoding="utf-8"?>
<ds:datastoreItem xmlns:ds="http://schemas.openxmlformats.org/officeDocument/2006/customXml" ds:itemID="{EC23DFD4-101C-4977-B220-3C092A46AD7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2024-04-11T00:42:24Z</dcterms:modified>
</cp:coreProperties>
</file>