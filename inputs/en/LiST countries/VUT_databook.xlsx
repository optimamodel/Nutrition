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464E9A18-BD15-43FE-8A52-A3C8DE441B78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G152" i="27"/>
  <c r="F152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G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F97" i="27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I38" i="2"/>
  <c r="H38" i="2"/>
  <c r="G38" i="2"/>
  <c r="A37" i="2"/>
  <c r="A36" i="2"/>
  <c r="A35" i="2"/>
  <c r="A33" i="2"/>
  <c r="A29" i="2"/>
  <c r="A28" i="2"/>
  <c r="A27" i="2"/>
  <c r="A25" i="2"/>
  <c r="A21" i="2"/>
  <c r="A20" i="2"/>
  <c r="A19" i="2"/>
  <c r="A17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I2" i="2"/>
  <c r="H2" i="2"/>
  <c r="G2" i="2"/>
  <c r="A2" i="2"/>
  <c r="A39" i="2" s="1"/>
  <c r="C33" i="1"/>
  <c r="C20" i="1"/>
  <c r="A14" i="2" l="1"/>
  <c r="A30" i="2"/>
  <c r="A40" i="2"/>
  <c r="A15" i="2"/>
  <c r="A23" i="2"/>
  <c r="A31" i="2"/>
  <c r="A22" i="2"/>
  <c r="A38" i="2"/>
  <c r="A16" i="2"/>
  <c r="A24" i="2"/>
  <c r="A3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<sst xmlns="http://schemas.openxmlformats.org/spreadsheetml/2006/main" count="2092" uniqueCount="341">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</sst>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46493.67431640625</v>
      </c>
    </row>
    <row r="8" spans="1:3" ht="15" customHeight="1" x14ac:dyDescent="0.25">
      <c r="B8" s="5" t="s">
        <v>8</v>
      </c>
      <c r="C8" s="44">
        <v>0.13200000000000001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0.51168388366699202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0.49299999999999999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7.7300000000000008E-2</v>
      </c>
    </row>
    <row r="24" spans="1:3" ht="15" customHeight="1" x14ac:dyDescent="0.25">
      <c r="B24" s="15" t="s">
        <v>22</v>
      </c>
      <c r="C24" s="45">
        <v>0.50680000000000003</v>
      </c>
    </row>
    <row r="25" spans="1:3" ht="15" customHeight="1" x14ac:dyDescent="0.25">
      <c r="B25" s="15" t="s">
        <v>23</v>
      </c>
      <c r="C25" s="45">
        <v>0.33629999999999988</v>
      </c>
    </row>
    <row r="26" spans="1:3" ht="15" customHeight="1" x14ac:dyDescent="0.25">
      <c r="B26" s="15" t="s">
        <v>24</v>
      </c>
      <c r="C26" s="45">
        <v>7.9600000000000004E-2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0.35185775257007201</v>
      </c>
    </row>
    <row r="30" spans="1:3" ht="14.25" customHeight="1" x14ac:dyDescent="0.25">
      <c r="B30" s="25" t="s">
        <v>27</v>
      </c>
      <c r="C30" s="99">
        <v>2.3858720907234902E-2</v>
      </c>
    </row>
    <row r="31" spans="1:3" ht="14.25" customHeight="1" x14ac:dyDescent="0.25">
      <c r="B31" s="25" t="s">
        <v>28</v>
      </c>
      <c r="C31" s="99">
        <v>3.4342930038455802E-2</v>
      </c>
    </row>
    <row r="32" spans="1:3" ht="14.25" customHeight="1" x14ac:dyDescent="0.25">
      <c r="B32" s="25" t="s">
        <v>29</v>
      </c>
      <c r="C32" s="99">
        <v>0.58994059648423802</v>
      </c>
    </row>
    <row r="33" spans="1:5" ht="13" customHeight="1" x14ac:dyDescent="0.25">
      <c r="B33" s="27" t="s">
        <v>30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9.8678000000000008</v>
      </c>
    </row>
    <row r="38" spans="1:5" ht="15" customHeight="1" x14ac:dyDescent="0.25">
      <c r="B38" s="11" t="s">
        <v>34</v>
      </c>
      <c r="C38" s="43">
        <v>19.7136</v>
      </c>
      <c r="D38" s="12"/>
      <c r="E38" s="13"/>
    </row>
    <row r="39" spans="1:5" ht="15" customHeight="1" x14ac:dyDescent="0.25">
      <c r="B39" s="11" t="s">
        <v>35</v>
      </c>
      <c r="C39" s="43">
        <v>23.214130000000001</v>
      </c>
      <c r="D39" s="12"/>
      <c r="E39" s="12"/>
    </row>
    <row r="40" spans="1:5" ht="15" customHeight="1" x14ac:dyDescent="0.25">
      <c r="B40" s="11" t="s">
        <v>36</v>
      </c>
      <c r="C40" s="100">
        <v>0.94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10.599349999999999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6.1368999999999998E-3</v>
      </c>
      <c r="D45" s="12"/>
    </row>
    <row r="46" spans="1:5" ht="15.75" customHeight="1" x14ac:dyDescent="0.25">
      <c r="B46" s="11" t="s">
        <v>41</v>
      </c>
      <c r="C46" s="45">
        <v>6.5939800000000007E-2</v>
      </c>
      <c r="D46" s="12"/>
    </row>
    <row r="47" spans="1:5" ht="15.75" customHeight="1" x14ac:dyDescent="0.25">
      <c r="B47" s="11" t="s">
        <v>42</v>
      </c>
      <c r="C47" s="45">
        <v>7.5165300000000004E-2</v>
      </c>
      <c r="D47" s="12"/>
      <c r="E47" s="13"/>
    </row>
    <row r="48" spans="1:5" ht="15" customHeight="1" x14ac:dyDescent="0.25">
      <c r="B48" s="11" t="s">
        <v>43</v>
      </c>
      <c r="C48" s="46">
        <v>0.85275800000000002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2.2000000000000002</v>
      </c>
      <c r="D51" s="12"/>
    </row>
    <row r="52" spans="1:4" ht="15" customHeight="1" x14ac:dyDescent="0.25">
      <c r="B52" s="11" t="s">
        <v>46</v>
      </c>
      <c r="C52" s="100">
        <v>2.2000000000000002</v>
      </c>
    </row>
    <row r="53" spans="1:4" ht="15.75" customHeight="1" x14ac:dyDescent="0.25">
      <c r="B53" s="11" t="s">
        <v>47</v>
      </c>
      <c r="C53" s="100">
        <v>2.2000000000000002</v>
      </c>
    </row>
    <row r="54" spans="1:4" ht="15.75" customHeight="1" x14ac:dyDescent="0.25">
      <c r="B54" s="11" t="s">
        <v>48</v>
      </c>
      <c r="C54" s="100">
        <v>2.2000000000000002</v>
      </c>
    </row>
    <row r="55" spans="1:4" ht="15.75" customHeight="1" x14ac:dyDescent="0.25">
      <c r="B55" s="11" t="s">
        <v>49</v>
      </c>
      <c r="C55" s="100">
        <v>2.2000000000000002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2.1363636363636359E-2</v>
      </c>
    </row>
    <row r="59" spans="1:4" ht="15.75" customHeight="1" x14ac:dyDescent="0.25">
      <c r="B59" s="11" t="s">
        <v>52</v>
      </c>
      <c r="C59" s="45">
        <v>0.63705900000000004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0.109101909999999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7417.9860000000017</v>
      </c>
      <c r="C2" s="49">
        <v>15000</v>
      </c>
      <c r="D2" s="49">
        <v>26000</v>
      </c>
      <c r="E2" s="49">
        <v>2627000</v>
      </c>
      <c r="F2" s="49">
        <v>2198000</v>
      </c>
      <c r="G2" s="17">
        <f t="shared" ref="G2:G13" si="0">C2+D2+E2+F2</f>
        <v>4866000</v>
      </c>
      <c r="H2" s="17">
        <f t="shared" ref="H2:H13" si="1">(B2 + stillbirth*B2/(1000-stillbirth))/(1-abortion)</f>
        <v>8519.8342506188437</v>
      </c>
      <c r="I2" s="17">
        <f t="shared" ref="I2:I13" si="2">G2-H2</f>
        <v>4857480.1657493813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7460.424</v>
      </c>
      <c r="C3" s="50">
        <v>15000</v>
      </c>
      <c r="D3" s="50">
        <v>26000</v>
      </c>
      <c r="E3" s="50">
        <v>2643000</v>
      </c>
      <c r="F3" s="50">
        <v>2244000</v>
      </c>
      <c r="G3" s="17">
        <f t="shared" si="0"/>
        <v>4928000</v>
      </c>
      <c r="H3" s="17">
        <f t="shared" si="1"/>
        <v>8568.5758802104538</v>
      </c>
      <c r="I3" s="17">
        <f t="shared" si="2"/>
        <v>4919431.4241197892</v>
      </c>
    </row>
    <row r="4" spans="1:9" ht="15.75" customHeight="1" x14ac:dyDescent="0.25">
      <c r="A4" s="5">
        <f t="shared" si="3"/>
        <v>2026</v>
      </c>
      <c r="B4" s="49">
        <v>7517.4660000000003</v>
      </c>
      <c r="C4" s="50">
        <v>16000</v>
      </c>
      <c r="D4" s="50">
        <v>27000</v>
      </c>
      <c r="E4" s="50">
        <v>2656000</v>
      </c>
      <c r="F4" s="50">
        <v>2292000</v>
      </c>
      <c r="G4" s="17">
        <f t="shared" si="0"/>
        <v>4991000</v>
      </c>
      <c r="H4" s="17">
        <f t="shared" si="1"/>
        <v>8634.0907497887747</v>
      </c>
      <c r="I4" s="17">
        <f t="shared" si="2"/>
        <v>4982365.909250211</v>
      </c>
    </row>
    <row r="5" spans="1:9" ht="15.75" customHeight="1" x14ac:dyDescent="0.25">
      <c r="A5" s="5">
        <f t="shared" si="3"/>
        <v>2027</v>
      </c>
      <c r="B5" s="49">
        <v>7571.5584000000008</v>
      </c>
      <c r="C5" s="50">
        <v>16000</v>
      </c>
      <c r="D5" s="50">
        <v>27000</v>
      </c>
      <c r="E5" s="50">
        <v>2664000</v>
      </c>
      <c r="F5" s="50">
        <v>2340000</v>
      </c>
      <c r="G5" s="17">
        <f t="shared" si="0"/>
        <v>5047000</v>
      </c>
      <c r="H5" s="17">
        <f t="shared" si="1"/>
        <v>8696.2178934930325</v>
      </c>
      <c r="I5" s="17">
        <f t="shared" si="2"/>
        <v>5038303.7821065066</v>
      </c>
    </row>
    <row r="6" spans="1:9" ht="15.75" customHeight="1" x14ac:dyDescent="0.25">
      <c r="A6" s="5">
        <f t="shared" si="3"/>
        <v>2028</v>
      </c>
      <c r="B6" s="49">
        <v>7622.7012000000013</v>
      </c>
      <c r="C6" s="50">
        <v>16000</v>
      </c>
      <c r="D6" s="50">
        <v>28000</v>
      </c>
      <c r="E6" s="50">
        <v>2667000</v>
      </c>
      <c r="F6" s="50">
        <v>2386000</v>
      </c>
      <c r="G6" s="17">
        <f t="shared" si="0"/>
        <v>5097000</v>
      </c>
      <c r="H6" s="17">
        <f t="shared" si="1"/>
        <v>8754.9573113232291</v>
      </c>
      <c r="I6" s="17">
        <f t="shared" si="2"/>
        <v>5088245.0426886771</v>
      </c>
    </row>
    <row r="7" spans="1:9" ht="15.75" customHeight="1" x14ac:dyDescent="0.25">
      <c r="A7" s="5">
        <f t="shared" si="3"/>
        <v>2029</v>
      </c>
      <c r="B7" s="49">
        <v>7670.894400000001</v>
      </c>
      <c r="C7" s="50">
        <v>16000</v>
      </c>
      <c r="D7" s="50">
        <v>28000</v>
      </c>
      <c r="E7" s="50">
        <v>2669000</v>
      </c>
      <c r="F7" s="50">
        <v>2430000</v>
      </c>
      <c r="G7" s="17">
        <f t="shared" si="0"/>
        <v>5143000</v>
      </c>
      <c r="H7" s="17">
        <f t="shared" si="1"/>
        <v>8810.3090032793643</v>
      </c>
      <c r="I7" s="17">
        <f t="shared" si="2"/>
        <v>5134189.6909967205</v>
      </c>
    </row>
    <row r="8" spans="1:9" ht="15.75" customHeight="1" x14ac:dyDescent="0.25">
      <c r="A8" s="5">
        <f t="shared" si="3"/>
        <v>2030</v>
      </c>
      <c r="B8" s="49">
        <v>7716.1379999999999</v>
      </c>
      <c r="C8" s="50">
        <v>16000</v>
      </c>
      <c r="D8" s="50">
        <v>29000</v>
      </c>
      <c r="E8" s="50">
        <v>2672000</v>
      </c>
      <c r="F8" s="50">
        <v>2468000</v>
      </c>
      <c r="G8" s="17">
        <f t="shared" si="0"/>
        <v>5185000</v>
      </c>
      <c r="H8" s="17">
        <f t="shared" si="1"/>
        <v>8862.2729693614365</v>
      </c>
      <c r="I8" s="17">
        <f t="shared" si="2"/>
        <v>5176137.7270306386</v>
      </c>
    </row>
    <row r="9" spans="1:9" ht="15.75" customHeight="1" x14ac:dyDescent="0.25">
      <c r="A9" s="5">
        <f t="shared" si="3"/>
        <v>2031</v>
      </c>
      <c r="B9" s="49">
        <v>7758.7311428571429</v>
      </c>
      <c r="C9" s="50">
        <v>16142.857142857139</v>
      </c>
      <c r="D9" s="50">
        <v>29428.571428571431</v>
      </c>
      <c r="E9" s="50">
        <v>2678428.5714285709</v>
      </c>
      <c r="F9" s="50">
        <v>2506571.4285714291</v>
      </c>
      <c r="G9" s="17">
        <f t="shared" si="0"/>
        <v>5230571.4285714291</v>
      </c>
      <c r="H9" s="17">
        <f t="shared" si="1"/>
        <v>8911.1927863246656</v>
      </c>
      <c r="I9" s="17">
        <f t="shared" si="2"/>
        <v>5221660.2357851043</v>
      </c>
    </row>
    <row r="10" spans="1:9" ht="15.75" customHeight="1" x14ac:dyDescent="0.25">
      <c r="A10" s="5">
        <f t="shared" si="3"/>
        <v>2032</v>
      </c>
      <c r="B10" s="49">
        <v>7801.3464489795924</v>
      </c>
      <c r="C10" s="50">
        <v>16306.12244897959</v>
      </c>
      <c r="D10" s="50">
        <v>29918.36734693878</v>
      </c>
      <c r="E10" s="50">
        <v>2683489.7959183669</v>
      </c>
      <c r="F10" s="50">
        <v>2544081.6326530608</v>
      </c>
      <c r="G10" s="17">
        <f t="shared" si="0"/>
        <v>5273795.9183673467</v>
      </c>
      <c r="H10" s="17">
        <f t="shared" si="1"/>
        <v>8960.1380586266969</v>
      </c>
      <c r="I10" s="17">
        <f t="shared" si="2"/>
        <v>5264835.7803087197</v>
      </c>
    </row>
    <row r="11" spans="1:9" ht="15.75" customHeight="1" x14ac:dyDescent="0.25">
      <c r="A11" s="5">
        <f t="shared" si="3"/>
        <v>2033</v>
      </c>
      <c r="B11" s="49">
        <v>7841.900798833819</v>
      </c>
      <c r="C11" s="50">
        <v>16349.854227405251</v>
      </c>
      <c r="D11" s="50">
        <v>30335.276967930029</v>
      </c>
      <c r="E11" s="50">
        <v>2687416.909620991</v>
      </c>
      <c r="F11" s="50">
        <v>2580093.2944606422</v>
      </c>
      <c r="G11" s="17">
        <f t="shared" si="0"/>
        <v>5314195.3352769688</v>
      </c>
      <c r="H11" s="17">
        <f t="shared" si="1"/>
        <v>9006.7162456035421</v>
      </c>
      <c r="I11" s="17">
        <f t="shared" si="2"/>
        <v>5305188.619031365</v>
      </c>
    </row>
    <row r="12" spans="1:9" ht="15.75" customHeight="1" x14ac:dyDescent="0.25">
      <c r="A12" s="5">
        <f t="shared" si="3"/>
        <v>2034</v>
      </c>
      <c r="B12" s="49">
        <v>7880.5211415243648</v>
      </c>
      <c r="C12" s="50">
        <v>16399.833402748849</v>
      </c>
      <c r="D12" s="50">
        <v>30811.745106205752</v>
      </c>
      <c r="E12" s="50">
        <v>2690762.1824239902</v>
      </c>
      <c r="F12" s="50">
        <v>2614392.336526447</v>
      </c>
      <c r="G12" s="17">
        <f t="shared" si="0"/>
        <v>5352366.0974593917</v>
      </c>
      <c r="H12" s="17">
        <f t="shared" si="1"/>
        <v>9051.0731530478988</v>
      </c>
      <c r="I12" s="17">
        <f t="shared" si="2"/>
        <v>5343315.0243063439</v>
      </c>
    </row>
    <row r="13" spans="1:9" ht="15.75" customHeight="1" x14ac:dyDescent="0.25">
      <c r="A13" s="5">
        <f t="shared" si="3"/>
        <v>2035</v>
      </c>
      <c r="B13" s="49">
        <v>7917.352561742131</v>
      </c>
      <c r="C13" s="50">
        <v>16456.952460284399</v>
      </c>
      <c r="D13" s="50">
        <v>31213.422978520859</v>
      </c>
      <c r="E13" s="50">
        <v>2694156.7799131321</v>
      </c>
      <c r="F13" s="50">
        <v>2647019.8131730831</v>
      </c>
      <c r="G13" s="17">
        <f t="shared" si="0"/>
        <v>5388846.9685250204</v>
      </c>
      <c r="H13" s="17">
        <f t="shared" si="1"/>
        <v>9093.3754161514244</v>
      </c>
      <c r="I13" s="17">
        <f t="shared" si="2"/>
        <v>5379753.5931088692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1.1815998818400109E-3</v>
      </c>
    </row>
    <row r="4" spans="1:8" ht="15.75" customHeight="1" x14ac:dyDescent="0.25">
      <c r="B4" s="19" t="s">
        <v>69</v>
      </c>
      <c r="C4" s="101">
        <v>4.9927795007220499E-2</v>
      </c>
    </row>
    <row r="5" spans="1:8" ht="15.75" customHeight="1" x14ac:dyDescent="0.25">
      <c r="B5" s="19" t="s">
        <v>70</v>
      </c>
      <c r="C5" s="101">
        <v>3.8299596170040348E-2</v>
      </c>
    </row>
    <row r="6" spans="1:8" ht="15.75" customHeight="1" x14ac:dyDescent="0.25">
      <c r="B6" s="19" t="s">
        <v>71</v>
      </c>
      <c r="C6" s="101">
        <v>0.1696583830341615</v>
      </c>
    </row>
    <row r="7" spans="1:8" ht="15.75" customHeight="1" x14ac:dyDescent="0.25">
      <c r="B7" s="19" t="s">
        <v>72</v>
      </c>
      <c r="C7" s="101">
        <v>0.51123814887618546</v>
      </c>
    </row>
    <row r="8" spans="1:8" ht="15.75" customHeight="1" x14ac:dyDescent="0.25">
      <c r="B8" s="19" t="s">
        <v>73</v>
      </c>
      <c r="C8" s="101">
        <v>2.0689997931000191E-4</v>
      </c>
    </row>
    <row r="9" spans="1:8" ht="15.75" customHeight="1" x14ac:dyDescent="0.25">
      <c r="B9" s="19" t="s">
        <v>74</v>
      </c>
      <c r="C9" s="101">
        <v>0.16598378340162159</v>
      </c>
    </row>
    <row r="10" spans="1:8" ht="15.75" customHeight="1" x14ac:dyDescent="0.25">
      <c r="B10" s="19" t="s">
        <v>75</v>
      </c>
      <c r="C10" s="101">
        <v>6.3503793649620596E-2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0.23778014031948599</v>
      </c>
      <c r="D14" s="55">
        <v>0.23778014031948599</v>
      </c>
      <c r="E14" s="55">
        <v>0.23778014031948599</v>
      </c>
      <c r="F14" s="55">
        <v>0.23778014031948599</v>
      </c>
    </row>
    <row r="15" spans="1:8" ht="15.75" customHeight="1" x14ac:dyDescent="0.25">
      <c r="B15" s="19" t="s">
        <v>82</v>
      </c>
      <c r="C15" s="101">
        <v>0.53997917606680679</v>
      </c>
      <c r="D15" s="101">
        <v>0.53997917606680679</v>
      </c>
      <c r="E15" s="101">
        <v>0.53997917606680679</v>
      </c>
      <c r="F15" s="101">
        <v>0.53997917606680679</v>
      </c>
    </row>
    <row r="16" spans="1:8" ht="15.75" customHeight="1" x14ac:dyDescent="0.25">
      <c r="B16" s="19" t="s">
        <v>83</v>
      </c>
      <c r="C16" s="101">
        <v>1.727508570668718E-2</v>
      </c>
      <c r="D16" s="101">
        <v>1.727508570668718E-2</v>
      </c>
      <c r="E16" s="101">
        <v>1.727508570668718E-2</v>
      </c>
      <c r="F16" s="101">
        <v>1.727508570668718E-2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2.561666534338515E-2</v>
      </c>
      <c r="D19" s="101">
        <v>2.561666534338515E-2</v>
      </c>
      <c r="E19" s="101">
        <v>2.561666534338515E-2</v>
      </c>
      <c r="F19" s="101">
        <v>2.561666534338515E-2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0.1329903129334955</v>
      </c>
      <c r="D21" s="101">
        <v>0.1329903129334955</v>
      </c>
      <c r="E21" s="101">
        <v>0.1329903129334955</v>
      </c>
      <c r="F21" s="101">
        <v>0.1329903129334955</v>
      </c>
    </row>
    <row r="22" spans="1:8" ht="15.75" customHeight="1" x14ac:dyDescent="0.25">
      <c r="B22" s="19" t="s">
        <v>89</v>
      </c>
      <c r="C22" s="101">
        <v>4.6358619630139521E-2</v>
      </c>
      <c r="D22" s="101">
        <v>4.6358619630139521E-2</v>
      </c>
      <c r="E22" s="101">
        <v>4.6358619630139521E-2</v>
      </c>
      <c r="F22" s="101">
        <v>4.6358619630139521E-2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4.7782605999999991E-2</v>
      </c>
    </row>
    <row r="27" spans="1:8" ht="15.75" customHeight="1" x14ac:dyDescent="0.25">
      <c r="B27" s="19" t="s">
        <v>92</v>
      </c>
      <c r="C27" s="101">
        <v>1.8912625999999998E-2</v>
      </c>
    </row>
    <row r="28" spans="1:8" ht="15.75" customHeight="1" x14ac:dyDescent="0.25">
      <c r="B28" s="19" t="s">
        <v>93</v>
      </c>
      <c r="C28" s="101">
        <v>0.22751453199999999</v>
      </c>
    </row>
    <row r="29" spans="1:8" ht="15.75" customHeight="1" x14ac:dyDescent="0.25">
      <c r="B29" s="19" t="s">
        <v>94</v>
      </c>
      <c r="C29" s="101">
        <v>0.13826291700000001</v>
      </c>
    </row>
    <row r="30" spans="1:8" ht="15.75" customHeight="1" x14ac:dyDescent="0.25">
      <c r="B30" s="19" t="s">
        <v>95</v>
      </c>
      <c r="C30" s="101">
        <v>4.9672004000000013E-2</v>
      </c>
    </row>
    <row r="31" spans="1:8" ht="15.75" customHeight="1" x14ac:dyDescent="0.25">
      <c r="B31" s="19" t="s">
        <v>96</v>
      </c>
      <c r="C31" s="101">
        <v>7.0532584999999995E-2</v>
      </c>
    </row>
    <row r="32" spans="1:8" ht="15.75" customHeight="1" x14ac:dyDescent="0.25">
      <c r="B32" s="19" t="s">
        <v>97</v>
      </c>
      <c r="C32" s="101">
        <v>0.15034908699999999</v>
      </c>
    </row>
    <row r="33" spans="2:3" ht="15.75" customHeight="1" x14ac:dyDescent="0.25">
      <c r="B33" s="19" t="s">
        <v>98</v>
      </c>
      <c r="C33" s="101">
        <v>0.12275455</v>
      </c>
    </row>
    <row r="34" spans="2:3" ht="15.75" customHeight="1" x14ac:dyDescent="0.25">
      <c r="B34" s="19" t="s">
        <v>99</v>
      </c>
      <c r="C34" s="101">
        <v>0.17421909099999999</v>
      </c>
    </row>
    <row r="35" spans="2:3" ht="15.75" customHeight="1" x14ac:dyDescent="0.25">
      <c r="B35" s="27" t="s">
        <v>30</v>
      </c>
      <c r="C35" s="48">
        <f>SUM(C26:C34)</f>
        <v>0.99999999799999995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0.69891161722169604</v>
      </c>
      <c r="D2" s="52">
        <f>IFERROR(1-_xlfn.NORM.DIST(_xlfn.NORM.INV(SUM(D4:D5), 0, 1) + 1, 0, 1, TRUE), "")</f>
        <v>0.69891161722169604</v>
      </c>
      <c r="E2" s="52">
        <f>IFERROR(1-_xlfn.NORM.DIST(_xlfn.NORM.INV(SUM(E4:E5), 0, 1) + 1, 0, 1, TRUE), "")</f>
        <v>0.68239944236525596</v>
      </c>
      <c r="F2" s="52">
        <f>IFERROR(1-_xlfn.NORM.DIST(_xlfn.NORM.INV(SUM(F4:F5), 0, 1) + 1, 0, 1, TRUE), "")</f>
        <v>0.32335532043550219</v>
      </c>
      <c r="G2" s="52">
        <f>IFERROR(1-_xlfn.NORM.DIST(_xlfn.NORM.INV(SUM(G4:G5), 0, 1) + 1, 0, 1, TRUE), "")</f>
        <v>0.31115184804710971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0.2369926827783039</v>
      </c>
      <c r="D3" s="52">
        <f>IFERROR(_xlfn.NORM.DIST(_xlfn.NORM.INV(SUM(D4:D5), 0, 1) + 1, 0, 1, TRUE) - SUM(D4:D5), "")</f>
        <v>0.2369926827783039</v>
      </c>
      <c r="E3" s="52">
        <f>IFERROR(_xlfn.NORM.DIST(_xlfn.NORM.INV(SUM(E4:E5), 0, 1) + 1, 0, 1, TRUE) - SUM(E4:E5), "")</f>
        <v>0.24741615763474406</v>
      </c>
      <c r="F3" s="52">
        <f>IFERROR(_xlfn.NORM.DIST(_xlfn.NORM.INV(SUM(F4:F5), 0, 1) + 1, 0, 1, TRUE) - SUM(F4:F5), "")</f>
        <v>0.38261947956449782</v>
      </c>
      <c r="G3" s="52">
        <f>IFERROR(_xlfn.NORM.DIST(_xlfn.NORM.INV(SUM(G4:G5), 0, 1) + 1, 0, 1, TRUE) - SUM(G4:G5), "")</f>
        <v>0.38291525195289028</v>
      </c>
    </row>
    <row r="4" spans="1:15" ht="15.75" customHeight="1" x14ac:dyDescent="0.25">
      <c r="B4" s="5" t="s">
        <v>104</v>
      </c>
      <c r="C4" s="45">
        <v>4.2213100000000003E-2</v>
      </c>
      <c r="D4" s="53">
        <v>4.2213100000000003E-2</v>
      </c>
      <c r="E4" s="53">
        <v>3.7033999999999997E-2</v>
      </c>
      <c r="F4" s="53">
        <v>0.20522009999999999</v>
      </c>
      <c r="G4" s="53">
        <v>0.214479</v>
      </c>
    </row>
    <row r="5" spans="1:15" ht="15.75" customHeight="1" x14ac:dyDescent="0.25">
      <c r="B5" s="5" t="s">
        <v>105</v>
      </c>
      <c r="C5" s="45">
        <v>2.1882599999999999E-2</v>
      </c>
      <c r="D5" s="53">
        <v>2.1882599999999999E-2</v>
      </c>
      <c r="E5" s="53">
        <v>3.3150399999999997E-2</v>
      </c>
      <c r="F5" s="53">
        <v>8.8805099999999998E-2</v>
      </c>
      <c r="G5" s="53">
        <v>9.1453900000000005E-2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0.71197419033079556</v>
      </c>
      <c r="D8" s="52">
        <f>IFERROR(1-_xlfn.NORM.DIST(_xlfn.NORM.INV(SUM(D10:D11), 0, 1) + 1, 0, 1, TRUE), "")</f>
        <v>0.71197419033079556</v>
      </c>
      <c r="E8" s="52">
        <f>IFERROR(1-_xlfn.NORM.DIST(_xlfn.NORM.INV(SUM(E10:E11), 0, 1) + 1, 0, 1, TRUE), "")</f>
        <v>0.70627108362301483</v>
      </c>
      <c r="F8" s="52">
        <f>IFERROR(1-_xlfn.NORM.DIST(_xlfn.NORM.INV(SUM(F10:F11), 0, 1) + 1, 0, 1, TRUE), "")</f>
        <v>0.62482398437663966</v>
      </c>
      <c r="G8" s="52">
        <f>IFERROR(1-_xlfn.NORM.DIST(_xlfn.NORM.INV(SUM(G10:G11), 0, 1) + 1, 0, 1, TRUE), "")</f>
        <v>0.7606822697528548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0.22854670966920443</v>
      </c>
      <c r="D9" s="52">
        <f>IFERROR(_xlfn.NORM.DIST(_xlfn.NORM.INV(SUM(D10:D11), 0, 1) + 1, 0, 1, TRUE) - SUM(D10:D11), "")</f>
        <v>0.22854670966920443</v>
      </c>
      <c r="E9" s="52">
        <f>IFERROR(_xlfn.NORM.DIST(_xlfn.NORM.INV(SUM(E10:E11), 0, 1) + 1, 0, 1, TRUE) - SUM(E10:E11), "")</f>
        <v>0.23225571637698517</v>
      </c>
      <c r="F9" s="52">
        <f>IFERROR(_xlfn.NORM.DIST(_xlfn.NORM.INV(SUM(F10:F11), 0, 1) + 1, 0, 1, TRUE) - SUM(F10:F11), "")</f>
        <v>0.2814535156233603</v>
      </c>
      <c r="G9" s="52">
        <f>IFERROR(_xlfn.NORM.DIST(_xlfn.NORM.INV(SUM(G10:G11), 0, 1) + 1, 0, 1, TRUE) - SUM(G10:G11), "")</f>
        <v>0.19554583024714525</v>
      </c>
    </row>
    <row r="10" spans="1:15" ht="15.75" customHeight="1" x14ac:dyDescent="0.25">
      <c r="B10" s="5" t="s">
        <v>109</v>
      </c>
      <c r="C10" s="45">
        <v>5.5731700000000002E-2</v>
      </c>
      <c r="D10" s="53">
        <v>5.5731700000000002E-2</v>
      </c>
      <c r="E10" s="53">
        <v>3.1870099999999998E-2</v>
      </c>
      <c r="F10" s="53">
        <v>7.0596400000000004E-2</v>
      </c>
      <c r="G10" s="53">
        <v>2.6420599999999999E-2</v>
      </c>
    </row>
    <row r="11" spans="1:15" ht="15.75" customHeight="1" x14ac:dyDescent="0.25">
      <c r="B11" s="5" t="s">
        <v>110</v>
      </c>
      <c r="C11" s="45">
        <v>3.7474000000000001E-3</v>
      </c>
      <c r="D11" s="53">
        <v>3.7474000000000001E-3</v>
      </c>
      <c r="E11" s="53">
        <v>2.96031E-2</v>
      </c>
      <c r="F11" s="53">
        <v>2.31261E-2</v>
      </c>
      <c r="G11" s="53">
        <v>1.73513E-2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0.53215260274999998</v>
      </c>
      <c r="D14" s="54">
        <v>0.528708013373</v>
      </c>
      <c r="E14" s="54">
        <v>0.528708013373</v>
      </c>
      <c r="F14" s="54">
        <v>0.40532314977799999</v>
      </c>
      <c r="G14" s="54">
        <v>0.40532314977799999</v>
      </c>
      <c r="H14" s="45">
        <v>0.27800000000000002</v>
      </c>
      <c r="I14" s="55">
        <v>0.27800000000000002</v>
      </c>
      <c r="J14" s="55">
        <v>0.27800000000000002</v>
      </c>
      <c r="K14" s="55">
        <v>0.27800000000000002</v>
      </c>
      <c r="L14" s="45">
        <v>0.23699999999999999</v>
      </c>
      <c r="M14" s="55">
        <v>0.23699999999999999</v>
      </c>
      <c r="N14" s="55">
        <v>0.23699999999999999</v>
      </c>
      <c r="O14" s="55">
        <v>0.23699999999999999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0.33901260495531227</v>
      </c>
      <c r="D15" s="52">
        <f t="shared" si="0"/>
        <v>0.33681819829139004</v>
      </c>
      <c r="E15" s="52">
        <f t="shared" si="0"/>
        <v>0.33681819829139004</v>
      </c>
      <c r="F15" s="52">
        <f t="shared" si="0"/>
        <v>0.25821476047442293</v>
      </c>
      <c r="G15" s="52">
        <f t="shared" si="0"/>
        <v>0.25821476047442293</v>
      </c>
      <c r="H15" s="52">
        <f t="shared" si="0"/>
        <v>0.17710240200000002</v>
      </c>
      <c r="I15" s="52">
        <f t="shared" si="0"/>
        <v>0.17710240200000002</v>
      </c>
      <c r="J15" s="52">
        <f t="shared" si="0"/>
        <v>0.17710240200000002</v>
      </c>
      <c r="K15" s="52">
        <f t="shared" si="0"/>
        <v>0.17710240200000002</v>
      </c>
      <c r="L15" s="52">
        <f t="shared" si="0"/>
        <v>0.15098298300000002</v>
      </c>
      <c r="M15" s="52">
        <f t="shared" si="0"/>
        <v>0.15098298300000002</v>
      </c>
      <c r="N15" s="52">
        <f t="shared" si="0"/>
        <v>0.15098298300000002</v>
      </c>
      <c r="O15" s="52">
        <f t="shared" si="0"/>
        <v>0.15098298300000002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0.5343445</v>
      </c>
      <c r="D2" s="53">
        <v>0.4011613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3.7408799999999999E-2</v>
      </c>
      <c r="D3" s="53">
        <v>0.11699619999999999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0.3187007</v>
      </c>
      <c r="D4" s="53">
        <v>0.42420869999999999</v>
      </c>
      <c r="E4" s="53">
        <v>0.89030050000000005</v>
      </c>
      <c r="F4" s="53">
        <v>0.57105020000000006</v>
      </c>
      <c r="G4" s="53">
        <v>0</v>
      </c>
    </row>
    <row r="5" spans="1:7" x14ac:dyDescent="0.25">
      <c r="B5" s="3" t="s">
        <v>122</v>
      </c>
      <c r="C5" s="52">
        <v>0.1095459</v>
      </c>
      <c r="D5" s="52">
        <v>5.7633799999999999E-2</v>
      </c>
      <c r="E5" s="52">
        <f>1-SUM(E2:E4)</f>
        <v>0.10969949999999995</v>
      </c>
      <c r="F5" s="52">
        <f>1-SUM(F2:F4)</f>
        <v>0.42894979999999994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9.704538339999999E-2</v>
      </c>
      <c r="C2" s="98">
        <v>0.95</v>
      </c>
      <c r="D2" s="56">
        <v>49.842921550808533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39.696639812262433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286.05664748322943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1.309533745649694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12.828939256058341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12.828939256058341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12.828939256058341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12.828939256058341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12.828939256058341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12.828939256058341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0.190858472</v>
      </c>
      <c r="C16" s="98">
        <v>0.95</v>
      </c>
      <c r="D16" s="56">
        <v>0.53570505595368945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0.8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6.6332602175192878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6.6332602175192878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0.627</v>
      </c>
      <c r="C21" s="98">
        <v>0.95</v>
      </c>
      <c r="D21" s="56">
        <v>11.2499272526323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22.04257615659202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3.6438999999999998E-3</v>
      </c>
      <c r="C23" s="98">
        <v>0.95</v>
      </c>
      <c r="D23" s="56">
        <v>4.1648125448902009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0.66226328850000005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0.12442712240000001</v>
      </c>
      <c r="C27" s="98">
        <v>0.95</v>
      </c>
      <c r="D27" s="56">
        <v>18.385480298425989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0.47599999999999998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94.963596456498976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1.4494319011864589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0.4011613</v>
      </c>
      <c r="C32" s="98">
        <v>0.95</v>
      </c>
      <c r="D32" s="56">
        <v>1.1313943199069549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0.46714929999999999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0.01</v>
      </c>
      <c r="C38" s="98">
        <v>0.95</v>
      </c>
      <c r="D38" s="56">
        <v>4.7753309402954516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2.2000000000000002</v>
      </c>
      <c r="C2" s="21">
        <f>'Baseline year population inputs'!C52</f>
        <v>2.2000000000000002</v>
      </c>
      <c r="D2" s="21">
        <f>'Baseline year population inputs'!C53</f>
        <v>2.2000000000000002</v>
      </c>
      <c r="E2" s="21">
        <f>'Baseline year population inputs'!C54</f>
        <v>2.2000000000000002</v>
      </c>
      <c r="F2" s="21">
        <f>'Baseline year population inputs'!C55</f>
        <v>2.2000000000000002</v>
      </c>
    </row>
    <row r="3" spans="1:6" ht="15.75" customHeight="1" x14ac:dyDescent="0.25">
      <c r="A3" s="3" t="s">
        <v>204</v>
      </c>
      <c r="B3" s="21">
        <f>frac_mam_1month * 2.6</f>
        <v>0.14490242</v>
      </c>
      <c r="C3" s="21">
        <f>frac_mam_1_5months * 2.6</f>
        <v>0.14490242</v>
      </c>
      <c r="D3" s="21">
        <f>frac_mam_6_11months * 2.6</f>
        <v>8.2862259999999993E-2</v>
      </c>
      <c r="E3" s="21">
        <f>frac_mam_12_23months * 2.6</f>
        <v>0.18355064000000001</v>
      </c>
      <c r="F3" s="21">
        <f>frac_mam_24_59months * 2.6</f>
        <v>6.8693560000000001E-2</v>
      </c>
    </row>
    <row r="4" spans="1:6" ht="15.75" customHeight="1" x14ac:dyDescent="0.25">
      <c r="A4" s="3" t="s">
        <v>205</v>
      </c>
      <c r="B4" s="21">
        <f>frac_sam_1month * 2.6</f>
        <v>9.7432400000000002E-3</v>
      </c>
      <c r="C4" s="21">
        <f>frac_sam_1_5months * 2.6</f>
        <v>9.7432400000000002E-3</v>
      </c>
      <c r="D4" s="21">
        <f>frac_sam_6_11months * 2.6</f>
        <v>7.6968060000000005E-2</v>
      </c>
      <c r="E4" s="21">
        <f>frac_sam_12_23months * 2.6</f>
        <v>6.0127860000000005E-2</v>
      </c>
      <c r="F4" s="21">
        <f>frac_sam_24_59months * 2.6</f>
        <v>4.5113380000000002E-2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0.13200000000000001</v>
      </c>
      <c r="E2" s="60">
        <f>food_insecure</f>
        <v>0.13200000000000001</v>
      </c>
      <c r="F2" s="60">
        <f>food_insecure</f>
        <v>0.13200000000000001</v>
      </c>
      <c r="G2" s="60">
        <f>food_insecure</f>
        <v>0.13200000000000001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0.13200000000000001</v>
      </c>
      <c r="F5" s="60">
        <f>food_insecure</f>
        <v>0.13200000000000001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4.6999999999999993E-2</v>
      </c>
      <c r="D7" s="60">
        <f>diarrhoea_1_5mo*frac_diarrhea_severe</f>
        <v>4.6999999999999993E-2</v>
      </c>
      <c r="E7" s="60">
        <f>diarrhoea_6_11mo*frac_diarrhea_severe</f>
        <v>4.6999999999999993E-2</v>
      </c>
      <c r="F7" s="60">
        <f>diarrhoea_12_23mo*frac_diarrhea_severe</f>
        <v>4.6999999999999993E-2</v>
      </c>
      <c r="G7" s="60">
        <f>diarrhoea_24_59mo*frac_diarrhea_severe</f>
        <v>4.6999999999999993E-2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0.13200000000000001</v>
      </c>
      <c r="F8" s="60">
        <f>food_insecure</f>
        <v>0.13200000000000001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0.13200000000000001</v>
      </c>
      <c r="F9" s="60">
        <f>food_insecure</f>
        <v>0.13200000000000001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4.6999999999999993E-2</v>
      </c>
      <c r="D12" s="60">
        <f>diarrhoea_1_5mo*frac_diarrhea_severe</f>
        <v>4.6999999999999993E-2</v>
      </c>
      <c r="E12" s="60">
        <f>diarrhoea_6_11mo*frac_diarrhea_severe</f>
        <v>4.6999999999999993E-2</v>
      </c>
      <c r="F12" s="60">
        <f>diarrhoea_12_23mo*frac_diarrhea_severe</f>
        <v>4.6999999999999993E-2</v>
      </c>
      <c r="G12" s="60">
        <f>diarrhoea_24_59mo*frac_diarrhea_severe</f>
        <v>4.6999999999999993E-2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0.13200000000000001</v>
      </c>
      <c r="I15" s="60">
        <f>food_insecure</f>
        <v>0.13200000000000001</v>
      </c>
      <c r="J15" s="60">
        <f>food_insecure</f>
        <v>0.13200000000000001</v>
      </c>
      <c r="K15" s="60">
        <f>food_insecure</f>
        <v>0.13200000000000001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0.49299999999999999</v>
      </c>
      <c r="M24" s="60">
        <f>famplan_unmet_need</f>
        <v>0.49299999999999999</v>
      </c>
      <c r="N24" s="60">
        <f>famplan_unmet_need</f>
        <v>0.49299999999999999</v>
      </c>
      <c r="O24" s="60">
        <f>famplan_unmet_need</f>
        <v>0.49299999999999999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0.25281101974792486</v>
      </c>
      <c r="M25" s="60">
        <f>(1-food_insecure)*(0.49)+food_insecure*(0.7)</f>
        <v>0.51771999999999996</v>
      </c>
      <c r="N25" s="60">
        <f>(1-food_insecure)*(0.49)+food_insecure*(0.7)</f>
        <v>0.51771999999999996</v>
      </c>
      <c r="O25" s="60">
        <f>(1-food_insecure)*(0.49)+food_insecure*(0.7)</f>
        <v>0.51771999999999996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0.10834757989196782</v>
      </c>
      <c r="M26" s="60">
        <f>(1-food_insecure)*(0.21)+food_insecure*(0.3)</f>
        <v>0.22187999999999999</v>
      </c>
      <c r="N26" s="60">
        <f>(1-food_insecure)*(0.21)+food_insecure*(0.3)</f>
        <v>0.22187999999999999</v>
      </c>
      <c r="O26" s="60">
        <f>(1-food_insecure)*(0.21)+food_insecure*(0.3)</f>
        <v>0.22187999999999999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0.12715751669311526</v>
      </c>
      <c r="M27" s="60">
        <f>(1-food_insecure)*(0.3)</f>
        <v>0.26039999999999996</v>
      </c>
      <c r="N27" s="60">
        <f>(1-food_insecure)*(0.3)</f>
        <v>0.26039999999999996</v>
      </c>
      <c r="O27" s="60">
        <f>(1-food_insecure)*(0.3)</f>
        <v>0.26039999999999996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0.51168388366699202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0.89769297662284531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2024-03-28T03:04:52Z</dcterms:modified>
</cp:coreProperties>
</file>