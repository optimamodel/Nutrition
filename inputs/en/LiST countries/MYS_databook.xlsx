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7400CB5A-77C1-465D-AD05-70DF16F5211E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A40" i="2"/>
  <c r="H39" i="2"/>
  <c r="G39" i="2"/>
  <c r="H38" i="2"/>
  <c r="G38" i="2"/>
  <c r="I38" i="2" s="1"/>
  <c r="A37" i="2"/>
  <c r="A36" i="2"/>
  <c r="A34" i="2"/>
  <c r="A31" i="2"/>
  <c r="A25" i="2"/>
  <c r="A24" i="2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H2" i="2"/>
  <c r="G2" i="2"/>
  <c r="I2" i="2" s="1"/>
  <c r="A2" i="2"/>
  <c r="A39" i="2" s="1"/>
  <c r="C33" i="1"/>
  <c r="C20" i="1"/>
  <c r="I6" i="2" l="1"/>
  <c r="I12" i="2"/>
  <c r="A35" i="2"/>
  <c r="I13" i="2"/>
  <c r="A19" i="2"/>
  <c r="A22" i="2"/>
  <c r="I39" i="2"/>
  <c r="I3" i="2"/>
  <c r="I9" i="2"/>
  <c r="A23" i="2"/>
  <c r="A2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<sst xmlns="http://schemas.openxmlformats.org/spreadsheetml/2006/main" count="2169" uniqueCount="373">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</sst>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2208542</v>
      </c>
    </row>
    <row r="8" spans="1:3" ht="15" customHeight="1" x14ac:dyDescent="0.25">
      <c r="B8" s="5" t="s">
        <v>8</v>
      </c>
      <c r="C8" s="44">
        <v>0.01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0.77999130249023396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0.10299999999999999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3.3099999999999997E-2</v>
      </c>
    </row>
    <row r="24" spans="1:3" ht="15" customHeight="1" x14ac:dyDescent="0.25">
      <c r="B24" s="15" t="s">
        <v>22</v>
      </c>
      <c r="C24" s="45">
        <v>0.41270000000000001</v>
      </c>
    </row>
    <row r="25" spans="1:3" ht="15" customHeight="1" x14ac:dyDescent="0.25">
      <c r="B25" s="15" t="s">
        <v>23</v>
      </c>
      <c r="C25" s="45">
        <v>0.50419999999999998</v>
      </c>
    </row>
    <row r="26" spans="1:3" ht="15" customHeight="1" x14ac:dyDescent="0.25">
      <c r="B26" s="15" t="s">
        <v>24</v>
      </c>
      <c r="C26" s="45">
        <v>0.05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0.29181610000000002</v>
      </c>
    </row>
    <row r="30" spans="1:3" ht="14.25" customHeight="1" x14ac:dyDescent="0.25">
      <c r="B30" s="25" t="s">
        <v>27</v>
      </c>
      <c r="C30" s="97">
        <v>5.8372300000000002E-2</v>
      </c>
    </row>
    <row r="31" spans="1:3" ht="14.25" customHeight="1" x14ac:dyDescent="0.25">
      <c r="B31" s="25" t="s">
        <v>28</v>
      </c>
      <c r="C31" s="97">
        <v>0.11982329999999999</v>
      </c>
    </row>
    <row r="32" spans="1:3" ht="14.25" customHeight="1" x14ac:dyDescent="0.25">
      <c r="B32" s="25" t="s">
        <v>29</v>
      </c>
      <c r="C32" s="97">
        <v>0.52998829999999997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4.2106300000000001</v>
      </c>
    </row>
    <row r="38" spans="1:5" ht="15" customHeight="1" x14ac:dyDescent="0.25">
      <c r="B38" s="11" t="s">
        <v>34</v>
      </c>
      <c r="C38" s="43">
        <v>6.4629700000000003</v>
      </c>
      <c r="D38" s="12"/>
      <c r="E38" s="13"/>
    </row>
    <row r="39" spans="1:5" ht="15" customHeight="1" x14ac:dyDescent="0.25">
      <c r="B39" s="11" t="s">
        <v>35</v>
      </c>
      <c r="C39" s="43">
        <v>7.5561299999999996</v>
      </c>
      <c r="D39" s="12"/>
      <c r="E39" s="12"/>
    </row>
    <row r="40" spans="1:5" ht="15" customHeight="1" x14ac:dyDescent="0.25">
      <c r="B40" s="11" t="s">
        <v>36</v>
      </c>
      <c r="C40" s="98">
        <v>0.21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5.0392599999999996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6.3741000000000006E-3</v>
      </c>
      <c r="D45" s="12"/>
    </row>
    <row r="46" spans="1:5" ht="15.75" customHeight="1" x14ac:dyDescent="0.25">
      <c r="B46" s="11" t="s">
        <v>41</v>
      </c>
      <c r="C46" s="45">
        <v>6.565E-2</v>
      </c>
      <c r="D46" s="12"/>
    </row>
    <row r="47" spans="1:5" ht="15.75" customHeight="1" x14ac:dyDescent="0.25">
      <c r="B47" s="11" t="s">
        <v>42</v>
      </c>
      <c r="C47" s="45">
        <v>0.1470931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2.2000000000000002</v>
      </c>
      <c r="D51" s="12"/>
    </row>
    <row r="52" spans="1:4" ht="15" customHeight="1" x14ac:dyDescent="0.25">
      <c r="B52" s="11" t="s">
        <v>46</v>
      </c>
      <c r="C52" s="98">
        <v>2.2000000000000002</v>
      </c>
    </row>
    <row r="53" spans="1:4" ht="15.75" customHeight="1" x14ac:dyDescent="0.25">
      <c r="B53" s="11" t="s">
        <v>47</v>
      </c>
      <c r="C53" s="98">
        <v>2.2000000000000002</v>
      </c>
    </row>
    <row r="54" spans="1:4" ht="15.75" customHeight="1" x14ac:dyDescent="0.25">
      <c r="B54" s="11" t="s">
        <v>48</v>
      </c>
      <c r="C54" s="98">
        <v>2.2000000000000002</v>
      </c>
    </row>
    <row r="55" spans="1:4" ht="15.75" customHeight="1" x14ac:dyDescent="0.25">
      <c r="B55" s="11" t="s">
        <v>49</v>
      </c>
      <c r="C55" s="98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0.59568500000000002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0.11349301000000001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439568</v>
      </c>
      <c r="C2" s="49">
        <v>1347858</v>
      </c>
      <c r="D2" s="49">
        <v>2913647</v>
      </c>
      <c r="E2" s="49">
        <v>2851406</v>
      </c>
      <c r="F2" s="49">
        <v>2302955.5</v>
      </c>
      <c r="G2" s="17">
        <f t="shared" ref="G2:G13" si="0">C2+D2+E2+F2</f>
        <v>9415866.5</v>
      </c>
      <c r="H2" s="17">
        <f t="shared" ref="H2:H13" si="1">(B2 + stillbirth*B2/(1000-stillbirth))/(1-abortion)</f>
        <v>502038.99593977031</v>
      </c>
      <c r="I2" s="17">
        <f t="shared" ref="I2:I13" si="2">G2-H2</f>
        <v>8913827.5040602293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439747</v>
      </c>
      <c r="C3" s="50">
        <v>1339394.5</v>
      </c>
      <c r="D3" s="50">
        <v>2948467.4999999995</v>
      </c>
      <c r="E3" s="50">
        <v>2863488</v>
      </c>
      <c r="F3" s="50">
        <v>2386975.9999999995</v>
      </c>
      <c r="G3" s="17">
        <f t="shared" si="0"/>
        <v>9538326</v>
      </c>
      <c r="H3" s="17">
        <f t="shared" si="1"/>
        <v>502243.43525353575</v>
      </c>
      <c r="I3" s="17">
        <f t="shared" si="2"/>
        <v>9036082.5647464637</v>
      </c>
    </row>
    <row r="4" spans="1:9" ht="15.75" customHeight="1" x14ac:dyDescent="0.25">
      <c r="A4" s="5">
        <f t="shared" si="3"/>
        <v>2026</v>
      </c>
      <c r="B4" s="49">
        <v>440401</v>
      </c>
      <c r="C4" s="50">
        <v>1339707</v>
      </c>
      <c r="D4" s="50">
        <v>2970747.0000000005</v>
      </c>
      <c r="E4" s="50">
        <v>2872770</v>
      </c>
      <c r="F4" s="50">
        <v>2469263</v>
      </c>
      <c r="G4" s="17">
        <f t="shared" si="0"/>
        <v>9652487</v>
      </c>
      <c r="H4" s="17">
        <f t="shared" si="1"/>
        <v>502990.38112617569</v>
      </c>
      <c r="I4" s="17">
        <f t="shared" si="2"/>
        <v>9149496.6188738234</v>
      </c>
    </row>
    <row r="5" spans="1:9" ht="15.75" customHeight="1" x14ac:dyDescent="0.25">
      <c r="A5" s="5">
        <f t="shared" si="3"/>
        <v>2027</v>
      </c>
      <c r="B5" s="49">
        <v>441945</v>
      </c>
      <c r="C5" s="50">
        <v>1345950</v>
      </c>
      <c r="D5" s="50">
        <v>2985898</v>
      </c>
      <c r="E5" s="50">
        <v>2881961.0000000005</v>
      </c>
      <c r="F5" s="50">
        <v>2547587.9999999995</v>
      </c>
      <c r="G5" s="17">
        <f t="shared" si="0"/>
        <v>9761397</v>
      </c>
      <c r="H5" s="17">
        <f t="shared" si="1"/>
        <v>504753.81297228602</v>
      </c>
      <c r="I5" s="17">
        <f t="shared" si="2"/>
        <v>9256643.1870277133</v>
      </c>
    </row>
    <row r="6" spans="1:9" ht="15.75" customHeight="1" x14ac:dyDescent="0.25">
      <c r="A6" s="5">
        <f t="shared" si="3"/>
        <v>2028</v>
      </c>
      <c r="B6" s="49">
        <v>444015</v>
      </c>
      <c r="C6" s="50">
        <v>1357261.5</v>
      </c>
      <c r="D6" s="50">
        <v>2997408.0000000005</v>
      </c>
      <c r="E6" s="50">
        <v>2893319.5</v>
      </c>
      <c r="F6" s="50">
        <v>2619649.5</v>
      </c>
      <c r="G6" s="17">
        <f t="shared" si="0"/>
        <v>9867638.5</v>
      </c>
      <c r="H6" s="17">
        <f t="shared" si="1"/>
        <v>507117.99944990792</v>
      </c>
      <c r="I6" s="17">
        <f t="shared" si="2"/>
        <v>9360520.5005500913</v>
      </c>
    </row>
    <row r="7" spans="1:9" ht="15.75" customHeight="1" x14ac:dyDescent="0.25">
      <c r="A7" s="5">
        <f t="shared" si="3"/>
        <v>2029</v>
      </c>
      <c r="B7" s="49">
        <v>446274</v>
      </c>
      <c r="C7" s="50">
        <v>1370392</v>
      </c>
      <c r="D7" s="50">
        <v>3005497.5000000005</v>
      </c>
      <c r="E7" s="50">
        <v>2907468</v>
      </c>
      <c r="F7" s="50">
        <v>2683633.5</v>
      </c>
      <c r="G7" s="17">
        <f t="shared" si="0"/>
        <v>9966991</v>
      </c>
      <c r="H7" s="17">
        <f t="shared" si="1"/>
        <v>509698.04643200838</v>
      </c>
      <c r="I7" s="17">
        <f t="shared" si="2"/>
        <v>9457292.953567991</v>
      </c>
    </row>
    <row r="8" spans="1:9" ht="15.75" customHeight="1" x14ac:dyDescent="0.25">
      <c r="A8" s="5">
        <f t="shared" si="3"/>
        <v>2030</v>
      </c>
      <c r="B8" s="49">
        <v>448898</v>
      </c>
      <c r="C8" s="50">
        <v>1385946</v>
      </c>
      <c r="D8" s="50">
        <v>3012658.5</v>
      </c>
      <c r="E8" s="50">
        <v>2925171.5000000005</v>
      </c>
      <c r="F8" s="50">
        <v>2738820.5</v>
      </c>
      <c r="G8" s="17">
        <f t="shared" si="0"/>
        <v>10062596.5</v>
      </c>
      <c r="H8" s="17">
        <f t="shared" si="1"/>
        <v>512694.96687513887</v>
      </c>
      <c r="I8" s="17">
        <f t="shared" si="2"/>
        <v>9549901.5331248604</v>
      </c>
    </row>
    <row r="9" spans="1:9" ht="15.75" customHeight="1" x14ac:dyDescent="0.25">
      <c r="A9" s="5">
        <f t="shared" si="3"/>
        <v>2031</v>
      </c>
      <c r="B9" s="49">
        <v>450625</v>
      </c>
      <c r="C9" s="50">
        <v>1403164.5</v>
      </c>
      <c r="D9" s="50">
        <v>3015768.5</v>
      </c>
      <c r="E9" s="50">
        <v>2946481.5</v>
      </c>
      <c r="F9" s="50">
        <v>2783841.5</v>
      </c>
      <c r="G9" s="17">
        <f t="shared" si="0"/>
        <v>10149256</v>
      </c>
      <c r="H9" s="17">
        <f t="shared" si="1"/>
        <v>514667.40651129978</v>
      </c>
      <c r="I9" s="17">
        <f t="shared" si="2"/>
        <v>9634588.5934887007</v>
      </c>
    </row>
    <row r="10" spans="1:9" ht="15.75" customHeight="1" x14ac:dyDescent="0.25">
      <c r="A10" s="5">
        <f t="shared" si="3"/>
        <v>2032</v>
      </c>
      <c r="B10" s="49">
        <v>452440</v>
      </c>
      <c r="C10" s="50">
        <v>1411682</v>
      </c>
      <c r="D10" s="50">
        <v>3018312.5</v>
      </c>
      <c r="E10" s="50">
        <v>2970743.0000000005</v>
      </c>
      <c r="F10" s="50">
        <v>2817124</v>
      </c>
      <c r="G10" s="17">
        <f t="shared" si="0"/>
        <v>10217861.5</v>
      </c>
      <c r="H10" s="17">
        <f t="shared" si="1"/>
        <v>516740.35262573638</v>
      </c>
      <c r="I10" s="17">
        <f t="shared" si="2"/>
        <v>9701121.147374263</v>
      </c>
    </row>
    <row r="11" spans="1:9" ht="15.75" customHeight="1" x14ac:dyDescent="0.25">
      <c r="A11" s="5">
        <f t="shared" si="3"/>
        <v>2033</v>
      </c>
      <c r="B11" s="49">
        <v>454398</v>
      </c>
      <c r="C11" s="50">
        <v>1406388.5</v>
      </c>
      <c r="D11" s="50">
        <v>3019644.5000000005</v>
      </c>
      <c r="E11" s="50">
        <v>2999945.5</v>
      </c>
      <c r="F11" s="50">
        <v>2839767.5</v>
      </c>
      <c r="G11" s="17">
        <f t="shared" si="0"/>
        <v>10265746</v>
      </c>
      <c r="H11" s="17">
        <f t="shared" si="1"/>
        <v>518976.62176737108</v>
      </c>
      <c r="I11" s="17">
        <f t="shared" si="2"/>
        <v>9746769.3782326281</v>
      </c>
    </row>
    <row r="12" spans="1:9" ht="15.75" customHeight="1" x14ac:dyDescent="0.25">
      <c r="A12" s="5">
        <f t="shared" si="3"/>
        <v>2034</v>
      </c>
      <c r="B12" s="49">
        <v>455905</v>
      </c>
      <c r="C12" s="50">
        <v>1382820.5</v>
      </c>
      <c r="D12" s="50">
        <v>3017442.5</v>
      </c>
      <c r="E12" s="50">
        <v>3034362.5</v>
      </c>
      <c r="F12" s="50">
        <v>2854766.4999999995</v>
      </c>
      <c r="G12" s="17">
        <f t="shared" si="0"/>
        <v>10289392</v>
      </c>
      <c r="H12" s="17">
        <f t="shared" si="1"/>
        <v>520697.79520784272</v>
      </c>
      <c r="I12" s="17">
        <f t="shared" si="2"/>
        <v>9768694.2047921568</v>
      </c>
    </row>
    <row r="13" spans="1:9" ht="15.75" customHeight="1" x14ac:dyDescent="0.25">
      <c r="A13" s="5">
        <f t="shared" si="3"/>
        <v>2035</v>
      </c>
      <c r="B13" s="49">
        <v>457884</v>
      </c>
      <c r="C13" s="50">
        <v>1338683.5</v>
      </c>
      <c r="D13" s="50">
        <v>3024481</v>
      </c>
      <c r="E13" s="50">
        <v>3065491</v>
      </c>
      <c r="F13" s="50">
        <v>2864993</v>
      </c>
      <c r="G13" s="17">
        <f t="shared" si="0"/>
        <v>10293648.5</v>
      </c>
      <c r="H13" s="17">
        <f t="shared" si="1"/>
        <v>522958.04884997499</v>
      </c>
      <c r="I13" s="17">
        <f t="shared" si="2"/>
        <v>9770690.4511500243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99">
        <v>4.99320049932006E-2</v>
      </c>
    </row>
    <row r="5" spans="1:8" ht="15.75" customHeight="1" x14ac:dyDescent="0.25">
      <c r="B5" s="19" t="s">
        <v>70</v>
      </c>
      <c r="C5" s="99">
        <v>1.027610102761011E-2</v>
      </c>
    </row>
    <row r="6" spans="1:8" ht="15.75" customHeight="1" x14ac:dyDescent="0.25">
      <c r="B6" s="19" t="s">
        <v>71</v>
      </c>
      <c r="C6" s="99">
        <v>0.1337043133704314</v>
      </c>
    </row>
    <row r="7" spans="1:8" ht="15.75" customHeight="1" x14ac:dyDescent="0.25">
      <c r="B7" s="19" t="s">
        <v>72</v>
      </c>
      <c r="C7" s="99">
        <v>0.43351454335145478</v>
      </c>
    </row>
    <row r="8" spans="1:8" ht="15.75" customHeight="1" x14ac:dyDescent="0.25">
      <c r="B8" s="19" t="s">
        <v>73</v>
      </c>
      <c r="C8" s="99">
        <v>0</v>
      </c>
    </row>
    <row r="9" spans="1:8" ht="15.75" customHeight="1" x14ac:dyDescent="0.25">
      <c r="B9" s="19" t="s">
        <v>74</v>
      </c>
      <c r="C9" s="99">
        <v>0.26159222615922201</v>
      </c>
    </row>
    <row r="10" spans="1:8" ht="15.75" customHeight="1" x14ac:dyDescent="0.25">
      <c r="B10" s="19" t="s">
        <v>75</v>
      </c>
      <c r="C10" s="99">
        <v>0.11098081109808119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8.995098065672287E-2</v>
      </c>
      <c r="D14" s="55">
        <v>8.995098065672287E-2</v>
      </c>
      <c r="E14" s="55">
        <v>8.995098065672287E-2</v>
      </c>
      <c r="F14" s="55">
        <v>8.995098065672287E-2</v>
      </c>
    </row>
    <row r="15" spans="1:8" ht="15.75" customHeight="1" x14ac:dyDescent="0.25">
      <c r="B15" s="19" t="s">
        <v>82</v>
      </c>
      <c r="C15" s="99">
        <v>0.20077711774403409</v>
      </c>
      <c r="D15" s="99">
        <v>0.20077711774403409</v>
      </c>
      <c r="E15" s="99">
        <v>0.20077711774403409</v>
      </c>
      <c r="F15" s="99">
        <v>0.20077711774403409</v>
      </c>
    </row>
    <row r="16" spans="1:8" ht="15.75" customHeight="1" x14ac:dyDescent="0.25">
      <c r="B16" s="19" t="s">
        <v>83</v>
      </c>
      <c r="C16" s="99">
        <v>2.5934051996959591E-2</v>
      </c>
      <c r="D16" s="99">
        <v>2.5934051996959591E-2</v>
      </c>
      <c r="E16" s="99">
        <v>2.5934051996959591E-2</v>
      </c>
      <c r="F16" s="99">
        <v>2.5934051996959591E-2</v>
      </c>
    </row>
    <row r="17" spans="1:8" ht="15.75" customHeight="1" x14ac:dyDescent="0.25">
      <c r="B17" s="19" t="s">
        <v>84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85</v>
      </c>
      <c r="C18" s="99">
        <v>1.937420903731499E-3</v>
      </c>
      <c r="D18" s="99">
        <v>1.937420903731499E-3</v>
      </c>
      <c r="E18" s="99">
        <v>1.937420903731499E-3</v>
      </c>
      <c r="F18" s="99">
        <v>1.937420903731499E-3</v>
      </c>
    </row>
    <row r="19" spans="1:8" ht="15.75" customHeight="1" x14ac:dyDescent="0.25">
      <c r="B19" s="19" t="s">
        <v>86</v>
      </c>
      <c r="C19" s="99">
        <v>8.1870754878343929E-2</v>
      </c>
      <c r="D19" s="99">
        <v>8.1870754878343929E-2</v>
      </c>
      <c r="E19" s="99">
        <v>8.1870754878343929E-2</v>
      </c>
      <c r="F19" s="99">
        <v>8.1870754878343929E-2</v>
      </c>
    </row>
    <row r="20" spans="1:8" ht="15.75" customHeight="1" x14ac:dyDescent="0.25">
      <c r="B20" s="19" t="s">
        <v>87</v>
      </c>
      <c r="C20" s="99">
        <v>2.5916379957937968E-2</v>
      </c>
      <c r="D20" s="99">
        <v>2.5916379957937968E-2</v>
      </c>
      <c r="E20" s="99">
        <v>2.5916379957937968E-2</v>
      </c>
      <c r="F20" s="99">
        <v>2.5916379957937968E-2</v>
      </c>
    </row>
    <row r="21" spans="1:8" ht="15.75" customHeight="1" x14ac:dyDescent="0.25">
      <c r="B21" s="19" t="s">
        <v>88</v>
      </c>
      <c r="C21" s="99">
        <v>0.56612183919474668</v>
      </c>
      <c r="D21" s="99">
        <v>0.56612183919474668</v>
      </c>
      <c r="E21" s="99">
        <v>0.56612183919474668</v>
      </c>
      <c r="F21" s="99">
        <v>0.56612183919474668</v>
      </c>
    </row>
    <row r="22" spans="1:8" ht="15.75" customHeight="1" x14ac:dyDescent="0.25">
      <c r="B22" s="19" t="s">
        <v>89</v>
      </c>
      <c r="C22" s="99">
        <v>7.4914546675234487E-3</v>
      </c>
      <c r="D22" s="99">
        <v>7.4914546675234487E-3</v>
      </c>
      <c r="E22" s="99">
        <v>7.4914546675234487E-3</v>
      </c>
      <c r="F22" s="99">
        <v>7.4914546675234487E-3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2.386251E-2</v>
      </c>
    </row>
    <row r="27" spans="1:8" ht="15.75" customHeight="1" x14ac:dyDescent="0.25">
      <c r="B27" s="19" t="s">
        <v>92</v>
      </c>
      <c r="C27" s="99">
        <v>5.5546280000000007E-3</v>
      </c>
    </row>
    <row r="28" spans="1:8" ht="15.75" customHeight="1" x14ac:dyDescent="0.25">
      <c r="B28" s="19" t="s">
        <v>93</v>
      </c>
      <c r="C28" s="99">
        <v>0.152936821</v>
      </c>
    </row>
    <row r="29" spans="1:8" ht="15.75" customHeight="1" x14ac:dyDescent="0.25">
      <c r="B29" s="19" t="s">
        <v>94</v>
      </c>
      <c r="C29" s="99">
        <v>0.11069707199999999</v>
      </c>
    </row>
    <row r="30" spans="1:8" ht="15.75" customHeight="1" x14ac:dyDescent="0.25">
      <c r="B30" s="19" t="s">
        <v>95</v>
      </c>
      <c r="C30" s="99">
        <v>5.7770492999999999E-2</v>
      </c>
    </row>
    <row r="31" spans="1:8" ht="15.75" customHeight="1" x14ac:dyDescent="0.25">
      <c r="B31" s="19" t="s">
        <v>96</v>
      </c>
      <c r="C31" s="99">
        <v>9.4773582999999995E-2</v>
      </c>
    </row>
    <row r="32" spans="1:8" ht="15.75" customHeight="1" x14ac:dyDescent="0.25">
      <c r="B32" s="19" t="s">
        <v>97</v>
      </c>
      <c r="C32" s="99">
        <v>0.20791595299999999</v>
      </c>
    </row>
    <row r="33" spans="2:3" ht="15.75" customHeight="1" x14ac:dyDescent="0.25">
      <c r="B33" s="19" t="s">
        <v>98</v>
      </c>
      <c r="C33" s="99">
        <v>0.13742104999999999</v>
      </c>
    </row>
    <row r="34" spans="2:3" ht="15.75" customHeight="1" x14ac:dyDescent="0.25">
      <c r="B34" s="19" t="s">
        <v>99</v>
      </c>
      <c r="C34" s="99">
        <v>0.20906789100000001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104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105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109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110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0.20510380375000001</v>
      </c>
      <c r="D14" s="54">
        <v>0.18616108902699999</v>
      </c>
      <c r="E14" s="54">
        <v>0.18616108902699999</v>
      </c>
      <c r="F14" s="54">
        <v>0.111192412666</v>
      </c>
      <c r="G14" s="54">
        <v>0.111192412666</v>
      </c>
      <c r="H14" s="45">
        <v>0.371</v>
      </c>
      <c r="I14" s="55">
        <v>0.371</v>
      </c>
      <c r="J14" s="55">
        <v>0.371</v>
      </c>
      <c r="K14" s="55">
        <v>0.371</v>
      </c>
      <c r="L14" s="45">
        <v>0.24399999999999999</v>
      </c>
      <c r="M14" s="55">
        <v>0.24399999999999999</v>
      </c>
      <c r="N14" s="55">
        <v>0.24399999999999999</v>
      </c>
      <c r="O14" s="55">
        <v>0.24399999999999999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0.12217725933681876</v>
      </c>
      <c r="D15" s="52">
        <f t="shared" si="0"/>
        <v>0.11089336831704849</v>
      </c>
      <c r="E15" s="52">
        <f t="shared" si="0"/>
        <v>0.11089336831704849</v>
      </c>
      <c r="F15" s="52">
        <f t="shared" si="0"/>
        <v>6.623565233894621E-2</v>
      </c>
      <c r="G15" s="52">
        <f t="shared" si="0"/>
        <v>6.623565233894621E-2</v>
      </c>
      <c r="H15" s="52">
        <f t="shared" si="0"/>
        <v>0.22099913500000001</v>
      </c>
      <c r="I15" s="52">
        <f t="shared" si="0"/>
        <v>0.22099913500000001</v>
      </c>
      <c r="J15" s="52">
        <f t="shared" si="0"/>
        <v>0.22099913500000001</v>
      </c>
      <c r="K15" s="52">
        <f t="shared" si="0"/>
        <v>0.22099913500000001</v>
      </c>
      <c r="L15" s="52">
        <f t="shared" si="0"/>
        <v>0.14534714000000001</v>
      </c>
      <c r="M15" s="52">
        <f t="shared" si="0"/>
        <v>0.14534714000000001</v>
      </c>
      <c r="N15" s="52">
        <f t="shared" si="0"/>
        <v>0.14534714000000001</v>
      </c>
      <c r="O15" s="52">
        <f t="shared" si="0"/>
        <v>0.14534714000000001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0.63046120140845097</v>
      </c>
      <c r="D2" s="53">
        <v>0.43695124225352111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0.13987543571428601</v>
      </c>
      <c r="D3" s="53">
        <v>0.172720771830986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0.18968471549295801</v>
      </c>
      <c r="D4" s="53">
        <v>0.32114636056337997</v>
      </c>
      <c r="E4" s="53">
        <v>0.86012135342465701</v>
      </c>
      <c r="F4" s="53">
        <v>0.68589079999999991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3.9978647384305122E-2</v>
      </c>
      <c r="D5" s="52">
        <f t="shared" si="0"/>
        <v>6.9181625352112919E-2</v>
      </c>
      <c r="E5" s="52">
        <f>1-SUM(E2:E4)</f>
        <v>0.13987864657534299</v>
      </c>
      <c r="F5" s="52">
        <f>1-SUM(F2:F4)</f>
        <v>0.31410920000000009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11993.1876132994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0.42581999999999998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0.56333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1.3266565061189728E-2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99157.239629999996</v>
      </c>
      <c r="C22" s="107">
        <v>99041.553899999999</v>
      </c>
      <c r="D22" s="107">
        <v>98897.579129999998</v>
      </c>
      <c r="E22" s="107">
        <v>98579.826260000002</v>
      </c>
      <c r="F22" s="107">
        <v>98153.878639999995</v>
      </c>
      <c r="G22" s="107">
        <v>97692.132329999993</v>
      </c>
      <c r="H22" s="107">
        <v>97083.592040000003</v>
      </c>
      <c r="I22" s="107">
        <v>96267.56611</v>
      </c>
      <c r="J22" s="107">
        <v>95124.250580000007</v>
      </c>
      <c r="K22" s="107">
        <v>93386.116460000005</v>
      </c>
      <c r="L22" s="107">
        <v>90706.755770000003</v>
      </c>
      <c r="M22" s="107">
        <v>86491.326620000007</v>
      </c>
      <c r="N22" s="107">
        <v>80236.675940000001</v>
      </c>
      <c r="O22" s="107">
        <v>71110.76281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23.266651740020471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23.266651740020471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0.80999999999999994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3.8723334833414911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</v>
      </c>
      <c r="C9" s="96">
        <v>0.95</v>
      </c>
      <c r="D9" s="56">
        <v>0.33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</v>
      </c>
      <c r="C10" s="96">
        <v>0.95</v>
      </c>
      <c r="D10" s="56">
        <v>13.77933191004225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13.77933191004225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13.77933191004225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13.77933191004225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</v>
      </c>
      <c r="C14" s="96">
        <v>0.95</v>
      </c>
      <c r="D14" s="56">
        <v>13.77933191004225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13.77933191004225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1.57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0.1369044839662158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</v>
      </c>
      <c r="C18" s="96">
        <v>0.95</v>
      </c>
      <c r="D18" s="56">
        <v>8.0823886898669404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</v>
      </c>
      <c r="C19" s="96">
        <v>0.95</v>
      </c>
      <c r="D19" s="56">
        <v>21.758442885912821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8.32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0.80999999999999994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</v>
      </c>
      <c r="C23" s="96">
        <v>0.95</v>
      </c>
      <c r="D23" s="56">
        <v>4.7588079536301482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0.70576165380000011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8.469314227226203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14.964151740020471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</v>
      </c>
      <c r="C29" s="96">
        <v>0.95</v>
      </c>
      <c r="D29" s="56">
        <v>191.74008051799319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118.83755373592631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</v>
      </c>
      <c r="C32" s="96">
        <v>0.95</v>
      </c>
      <c r="D32" s="56">
        <v>0.69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0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0.95509479999999991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</v>
      </c>
      <c r="C38" s="96">
        <v>0.95</v>
      </c>
      <c r="D38" s="56">
        <v>3.45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3.07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197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198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0.10299999999999999</v>
      </c>
      <c r="M24" s="60">
        <f>famplan_unmet_need</f>
        <v>0.10299999999999999</v>
      </c>
      <c r="N24" s="60">
        <f>famplan_unmet_need</f>
        <v>0.10299999999999999</v>
      </c>
      <c r="O24" s="60">
        <f>famplan_unmet_need</f>
        <v>0.10299999999999999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0.10826628004455587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4.6399834304809658E-2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6.5342583160400508E-2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0.77999130249023396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