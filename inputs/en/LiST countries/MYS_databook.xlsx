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23AED60-DD95-4E76-9ABB-4EC43A501753}" xr6:coauthVersionLast="47" xr6:coauthVersionMax="47" xr10:uidLastSave="{00000000-0000-0000-0000-000000000000}"/>
  <bookViews>
    <workbookView xWindow="20" yWindow="20" windowWidth="19180" windowHeight="10180" tabRatio="961" firstSheet="6" activeTab="9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E97" i="27"/>
  <c r="E152" i="27" s="1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H39" i="2"/>
  <c r="I39" i="2" s="1"/>
  <c r="G39" i="2"/>
  <c r="A39" i="2"/>
  <c r="H38" i="2"/>
  <c r="G38" i="2"/>
  <c r="I38" i="2" s="1"/>
  <c r="A37" i="2"/>
  <c r="A36" i="2"/>
  <c r="A34" i="2"/>
  <c r="A31" i="2"/>
  <c r="A29" i="2"/>
  <c r="A28" i="2"/>
  <c r="A26" i="2"/>
  <c r="A23" i="2"/>
  <c r="A21" i="2"/>
  <c r="A20" i="2"/>
  <c r="A18" i="2"/>
  <c r="A17" i="2"/>
  <c r="A15" i="2"/>
  <c r="H13" i="2"/>
  <c r="I13" i="2" s="1"/>
  <c r="G13" i="2"/>
  <c r="H12" i="2"/>
  <c r="G12" i="2"/>
  <c r="I12" i="2" s="1"/>
  <c r="H11" i="2"/>
  <c r="I11" i="2" s="1"/>
  <c r="G11" i="2"/>
  <c r="H10" i="2"/>
  <c r="G10" i="2"/>
  <c r="I10" i="2" s="1"/>
  <c r="H9" i="2"/>
  <c r="I9" i="2" s="1"/>
  <c r="G9" i="2"/>
  <c r="H8" i="2"/>
  <c r="G8" i="2"/>
  <c r="I8" i="2" s="1"/>
  <c r="H7" i="2"/>
  <c r="I7" i="2" s="1"/>
  <c r="G7" i="2"/>
  <c r="H6" i="2"/>
  <c r="G6" i="2"/>
  <c r="I6" i="2" s="1"/>
  <c r="H5" i="2"/>
  <c r="I5" i="2" s="1"/>
  <c r="G5" i="2"/>
  <c r="H4" i="2"/>
  <c r="G4" i="2"/>
  <c r="I4" i="2" s="1"/>
  <c r="H3" i="2"/>
  <c r="I3" i="2" s="1"/>
  <c r="G3" i="2"/>
  <c r="A3" i="2"/>
  <c r="H2" i="2"/>
  <c r="G2" i="2"/>
  <c r="I2" i="2" s="1"/>
  <c r="A2" i="2"/>
  <c r="A40" i="2" s="1"/>
  <c r="C33" i="1"/>
  <c r="C20" i="1"/>
  <c r="A16" i="2" l="1"/>
  <c r="A24" i="2"/>
  <c r="A32" i="2"/>
  <c r="A25" i="2"/>
  <c r="A33" i="2"/>
  <c r="A19" i="2"/>
  <c r="A27" i="2"/>
  <c r="A35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<sst xmlns="http://schemas.openxmlformats.org/spreadsheetml/2006/main" count="2101" uniqueCount="341">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</sst>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2530276.859375</v>
      </c>
    </row>
    <row r="8" spans="1:3" ht="15" customHeight="1" x14ac:dyDescent="0.25">
      <c r="B8" s="5" t="s">
        <v>8</v>
      </c>
      <c r="C8" s="44">
        <v>0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0.77999130249023396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0.10299999999999999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3.3099999999999997E-2</v>
      </c>
    </row>
    <row r="24" spans="1:3" ht="15" customHeight="1" x14ac:dyDescent="0.25">
      <c r="B24" s="15" t="s">
        <v>22</v>
      </c>
      <c r="C24" s="45">
        <v>0.41270000000000001</v>
      </c>
    </row>
    <row r="25" spans="1:3" ht="15" customHeight="1" x14ac:dyDescent="0.25">
      <c r="B25" s="15" t="s">
        <v>23</v>
      </c>
      <c r="C25" s="45">
        <v>0.50419999999999998</v>
      </c>
    </row>
    <row r="26" spans="1:3" ht="15" customHeight="1" x14ac:dyDescent="0.25">
      <c r="B26" s="15" t="s">
        <v>24</v>
      </c>
      <c r="C26" s="45">
        <v>0.05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0.29181610000000002</v>
      </c>
    </row>
    <row r="30" spans="1:3" ht="14.25" customHeight="1" x14ac:dyDescent="0.25">
      <c r="B30" s="25" t="s">
        <v>27</v>
      </c>
      <c r="C30" s="99">
        <v>5.8372300000000002E-2</v>
      </c>
    </row>
    <row r="31" spans="1:3" ht="14.25" customHeight="1" x14ac:dyDescent="0.25">
      <c r="B31" s="25" t="s">
        <v>28</v>
      </c>
      <c r="C31" s="99">
        <v>0.11982329999999999</v>
      </c>
    </row>
    <row r="32" spans="1:3" ht="14.25" customHeight="1" x14ac:dyDescent="0.25">
      <c r="B32" s="25" t="s">
        <v>29</v>
      </c>
      <c r="C32" s="99">
        <v>0.52998829999999997</v>
      </c>
    </row>
    <row r="33" spans="1:5" ht="13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4.2106300000000001</v>
      </c>
    </row>
    <row r="38" spans="1:5" ht="15" customHeight="1" x14ac:dyDescent="0.25">
      <c r="B38" s="11" t="s">
        <v>34</v>
      </c>
      <c r="C38" s="43">
        <v>6.4629700000000003</v>
      </c>
      <c r="D38" s="12"/>
      <c r="E38" s="13"/>
    </row>
    <row r="39" spans="1:5" ht="15" customHeight="1" x14ac:dyDescent="0.25">
      <c r="B39" s="11" t="s">
        <v>35</v>
      </c>
      <c r="C39" s="43">
        <v>7.5561299999999996</v>
      </c>
      <c r="D39" s="12"/>
      <c r="E39" s="12"/>
    </row>
    <row r="40" spans="1:5" ht="15" customHeight="1" x14ac:dyDescent="0.25">
      <c r="B40" s="11" t="s">
        <v>36</v>
      </c>
      <c r="C40" s="100">
        <v>0.21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5.0392599999999996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6.3741000000000006E-3</v>
      </c>
      <c r="D45" s="12"/>
    </row>
    <row r="46" spans="1:5" ht="15.75" customHeight="1" x14ac:dyDescent="0.25">
      <c r="B46" s="11" t="s">
        <v>41</v>
      </c>
      <c r="C46" s="45">
        <v>6.565E-2</v>
      </c>
      <c r="D46" s="12"/>
    </row>
    <row r="47" spans="1:5" ht="15.75" customHeight="1" x14ac:dyDescent="0.25">
      <c r="B47" s="11" t="s">
        <v>42</v>
      </c>
      <c r="C47" s="45">
        <v>0.1470931</v>
      </c>
      <c r="D47" s="12"/>
      <c r="E47" s="13"/>
    </row>
    <row r="48" spans="1:5" ht="15" customHeight="1" x14ac:dyDescent="0.25">
      <c r="B48" s="11" t="s">
        <v>43</v>
      </c>
      <c r="C48" s="46">
        <v>0.78088279999999999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0.59568500000000002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0.11349301000000001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504947</v>
      </c>
      <c r="C2" s="49">
        <v>1510474.5</v>
      </c>
      <c r="D2" s="49">
        <v>2772634.5</v>
      </c>
      <c r="E2" s="49">
        <v>2952031</v>
      </c>
      <c r="F2" s="49">
        <v>2030147.5</v>
      </c>
      <c r="G2" s="17">
        <f t="shared" ref="G2:G13" si="0">C2+D2+E2+F2</f>
        <v>9265287.5</v>
      </c>
      <c r="H2" s="17">
        <f t="shared" ref="H2:H13" si="1">(B2 + stillbirth*B2/(1000-stillbirth))/(1-abortion)</f>
        <v>576709.59870327055</v>
      </c>
      <c r="I2" s="17">
        <f t="shared" ref="I2:I13" si="2">G2-H2</f>
        <v>8688577.9012967292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502550</v>
      </c>
      <c r="C3" s="50">
        <v>1493289.5</v>
      </c>
      <c r="D3" s="50">
        <v>2749649.5</v>
      </c>
      <c r="E3" s="50">
        <v>2967256.5</v>
      </c>
      <c r="F3" s="50">
        <v>2107528</v>
      </c>
      <c r="G3" s="17">
        <f t="shared" si="0"/>
        <v>9317723.5</v>
      </c>
      <c r="H3" s="17">
        <f t="shared" si="1"/>
        <v>573971.93928932864</v>
      </c>
      <c r="I3" s="17">
        <f t="shared" si="2"/>
        <v>8743751.5607106723</v>
      </c>
    </row>
    <row r="4" spans="1:9" ht="15.75" customHeight="1" x14ac:dyDescent="0.25">
      <c r="A4" s="5">
        <f t="shared" si="3"/>
        <v>2026</v>
      </c>
      <c r="B4" s="49">
        <v>500475</v>
      </c>
      <c r="C4" s="50">
        <v>1481691</v>
      </c>
      <c r="D4" s="50">
        <v>2731665.5</v>
      </c>
      <c r="E4" s="50">
        <v>2971484.5</v>
      </c>
      <c r="F4" s="50">
        <v>2187893</v>
      </c>
      <c r="G4" s="17">
        <f t="shared" si="0"/>
        <v>9372734</v>
      </c>
      <c r="H4" s="17">
        <f t="shared" si="1"/>
        <v>571602.04221635009</v>
      </c>
      <c r="I4" s="17">
        <f t="shared" si="2"/>
        <v>8801131.9577836506</v>
      </c>
    </row>
    <row r="5" spans="1:9" ht="15.75" customHeight="1" x14ac:dyDescent="0.25">
      <c r="A5" s="5">
        <f t="shared" si="3"/>
        <v>2027</v>
      </c>
      <c r="B5" s="49">
        <v>497557</v>
      </c>
      <c r="C5" s="50">
        <v>1476245.5</v>
      </c>
      <c r="D5" s="50">
        <v>2715550</v>
      </c>
      <c r="E5" s="50">
        <v>2965997</v>
      </c>
      <c r="F5" s="50">
        <v>2268214</v>
      </c>
      <c r="G5" s="17">
        <f t="shared" si="0"/>
        <v>9426006.5</v>
      </c>
      <c r="H5" s="17">
        <f t="shared" si="1"/>
        <v>568269.33876625297</v>
      </c>
      <c r="I5" s="17">
        <f t="shared" si="2"/>
        <v>8857737.1612337474</v>
      </c>
    </row>
    <row r="6" spans="1:9" ht="15.75" customHeight="1" x14ac:dyDescent="0.25">
      <c r="A6" s="5">
        <f t="shared" si="3"/>
        <v>2028</v>
      </c>
      <c r="B6" s="49">
        <v>493770</v>
      </c>
      <c r="C6" s="50">
        <v>1481529</v>
      </c>
      <c r="D6" s="50">
        <v>2694652</v>
      </c>
      <c r="E6" s="50">
        <v>2954031</v>
      </c>
      <c r="F6" s="50">
        <v>2347103.5</v>
      </c>
      <c r="G6" s="17">
        <f t="shared" si="0"/>
        <v>9477315.5</v>
      </c>
      <c r="H6" s="17">
        <f t="shared" si="1"/>
        <v>563944.1338431834</v>
      </c>
      <c r="I6" s="17">
        <f t="shared" si="2"/>
        <v>8913371.3661568165</v>
      </c>
    </row>
    <row r="7" spans="1:9" ht="15.75" customHeight="1" x14ac:dyDescent="0.25">
      <c r="A7" s="5">
        <f t="shared" si="3"/>
        <v>2029</v>
      </c>
      <c r="B7" s="49">
        <v>489921</v>
      </c>
      <c r="C7" s="50">
        <v>1497510.5</v>
      </c>
      <c r="D7" s="50">
        <v>2665472.5</v>
      </c>
      <c r="E7" s="50">
        <v>2938753</v>
      </c>
      <c r="F7" s="50">
        <v>2423076</v>
      </c>
      <c r="G7" s="17">
        <f t="shared" si="0"/>
        <v>9524812</v>
      </c>
      <c r="H7" s="17">
        <f t="shared" si="1"/>
        <v>559548.11753769207</v>
      </c>
      <c r="I7" s="17">
        <f t="shared" si="2"/>
        <v>8965263.8824623078</v>
      </c>
    </row>
    <row r="8" spans="1:9" ht="15.75" customHeight="1" x14ac:dyDescent="0.25">
      <c r="A8" s="5">
        <f t="shared" si="3"/>
        <v>2030</v>
      </c>
      <c r="B8" s="49">
        <v>485987</v>
      </c>
      <c r="C8" s="50">
        <v>1515800</v>
      </c>
      <c r="D8" s="50">
        <v>2633645</v>
      </c>
      <c r="E8" s="50">
        <v>2921858</v>
      </c>
      <c r="F8" s="50">
        <v>2492635.5</v>
      </c>
      <c r="G8" s="17">
        <f t="shared" si="0"/>
        <v>9563938.5</v>
      </c>
      <c r="H8" s="17">
        <f t="shared" si="1"/>
        <v>555055.0211111391</v>
      </c>
      <c r="I8" s="17">
        <f t="shared" si="2"/>
        <v>9008883.4788888618</v>
      </c>
    </row>
    <row r="9" spans="1:9" ht="15.75" customHeight="1" x14ac:dyDescent="0.25">
      <c r="A9" s="5">
        <f t="shared" si="3"/>
        <v>2031</v>
      </c>
      <c r="B9" s="49">
        <v>483995</v>
      </c>
      <c r="C9" s="50">
        <v>1528021</v>
      </c>
      <c r="D9" s="50">
        <v>2607608.5</v>
      </c>
      <c r="E9" s="50">
        <v>2904175.5</v>
      </c>
      <c r="F9" s="50">
        <v>2551531.5</v>
      </c>
      <c r="G9" s="17">
        <f t="shared" si="0"/>
        <v>9591336.5</v>
      </c>
      <c r="H9" s="17">
        <f t="shared" si="1"/>
        <v>552779.91992107965</v>
      </c>
      <c r="I9" s="17">
        <f t="shared" si="2"/>
        <v>9038556.5800789203</v>
      </c>
    </row>
    <row r="10" spans="1:9" ht="15.75" customHeight="1" x14ac:dyDescent="0.25">
      <c r="A10" s="5">
        <f t="shared" si="3"/>
        <v>2032</v>
      </c>
      <c r="B10" s="49">
        <v>478771</v>
      </c>
      <c r="C10" s="50">
        <v>1533052</v>
      </c>
      <c r="D10" s="50">
        <v>2589179</v>
      </c>
      <c r="E10" s="50">
        <v>2885013.5</v>
      </c>
      <c r="F10" s="50">
        <v>2598110.5</v>
      </c>
      <c r="G10" s="17">
        <f t="shared" si="0"/>
        <v>9605355</v>
      </c>
      <c r="H10" s="17">
        <f t="shared" si="1"/>
        <v>546813.48989253037</v>
      </c>
      <c r="I10" s="17">
        <f t="shared" si="2"/>
        <v>9058541.5101074688</v>
      </c>
    </row>
    <row r="11" spans="1:9" ht="15.75" customHeight="1" x14ac:dyDescent="0.25">
      <c r="A11" s="5">
        <f t="shared" si="3"/>
        <v>2033</v>
      </c>
      <c r="B11" s="49">
        <v>473565</v>
      </c>
      <c r="C11" s="50">
        <v>1531799</v>
      </c>
      <c r="D11" s="50">
        <v>2578102.5</v>
      </c>
      <c r="E11" s="50">
        <v>2861800</v>
      </c>
      <c r="F11" s="50">
        <v>2633033.5</v>
      </c>
      <c r="G11" s="17">
        <f t="shared" si="0"/>
        <v>9604735</v>
      </c>
      <c r="H11" s="17">
        <f t="shared" si="1"/>
        <v>540867.61800726468</v>
      </c>
      <c r="I11" s="17">
        <f t="shared" si="2"/>
        <v>9063867.381992735</v>
      </c>
    </row>
    <row r="12" spans="1:9" ht="15.75" customHeight="1" x14ac:dyDescent="0.25">
      <c r="A12" s="5">
        <f t="shared" si="3"/>
        <v>2034</v>
      </c>
      <c r="B12" s="49">
        <v>467896</v>
      </c>
      <c r="C12" s="50">
        <v>1524737</v>
      </c>
      <c r="D12" s="50">
        <v>2573906.5</v>
      </c>
      <c r="E12" s="50">
        <v>2836089.5</v>
      </c>
      <c r="F12" s="50">
        <v>2658494.5</v>
      </c>
      <c r="G12" s="17">
        <f t="shared" si="0"/>
        <v>9593227.5</v>
      </c>
      <c r="H12" s="17">
        <f t="shared" si="1"/>
        <v>534392.94499198033</v>
      </c>
      <c r="I12" s="17">
        <f t="shared" si="2"/>
        <v>9058834.5550080203</v>
      </c>
    </row>
    <row r="13" spans="1:9" ht="15.75" customHeight="1" x14ac:dyDescent="0.25">
      <c r="A13" s="5">
        <f t="shared" si="3"/>
        <v>2035</v>
      </c>
      <c r="B13" s="49">
        <v>463805</v>
      </c>
      <c r="C13" s="50">
        <v>1515152</v>
      </c>
      <c r="D13" s="50">
        <v>2572379</v>
      </c>
      <c r="E13" s="50">
        <v>2813377.5</v>
      </c>
      <c r="F13" s="50">
        <v>2676792</v>
      </c>
      <c r="G13" s="17">
        <f t="shared" si="0"/>
        <v>9577700.5</v>
      </c>
      <c r="H13" s="17">
        <f t="shared" si="1"/>
        <v>529720.53587123076</v>
      </c>
      <c r="I13" s="17">
        <f t="shared" si="2"/>
        <v>9047979.9641287699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4.99320049932006E-2</v>
      </c>
    </row>
    <row r="5" spans="1:8" ht="15.75" customHeight="1" x14ac:dyDescent="0.25">
      <c r="B5" s="19" t="s">
        <v>70</v>
      </c>
      <c r="C5" s="101">
        <v>1.027610102761011E-2</v>
      </c>
    </row>
    <row r="6" spans="1:8" ht="15.75" customHeight="1" x14ac:dyDescent="0.25">
      <c r="B6" s="19" t="s">
        <v>71</v>
      </c>
      <c r="C6" s="101">
        <v>0.1337043133704314</v>
      </c>
    </row>
    <row r="7" spans="1:8" ht="15.75" customHeight="1" x14ac:dyDescent="0.25">
      <c r="B7" s="19" t="s">
        <v>72</v>
      </c>
      <c r="C7" s="101">
        <v>0.43351454335145478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0.26159222615922201</v>
      </c>
    </row>
    <row r="10" spans="1:8" ht="15.75" customHeight="1" x14ac:dyDescent="0.25">
      <c r="B10" s="19" t="s">
        <v>75</v>
      </c>
      <c r="C10" s="101">
        <v>0.11098081109808119</v>
      </c>
    </row>
    <row r="11" spans="1:8" ht="15.75" customHeight="1" x14ac:dyDescent="0.25">
      <c r="B11" s="27" t="s">
        <v>30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8.995098065672287E-2</v>
      </c>
      <c r="D14" s="55">
        <v>8.995098065672287E-2</v>
      </c>
      <c r="E14" s="55">
        <v>8.995098065672287E-2</v>
      </c>
      <c r="F14" s="55">
        <v>8.995098065672287E-2</v>
      </c>
    </row>
    <row r="15" spans="1:8" ht="15.75" customHeight="1" x14ac:dyDescent="0.25">
      <c r="B15" s="19" t="s">
        <v>82</v>
      </c>
      <c r="C15" s="101">
        <v>0.20077711774403409</v>
      </c>
      <c r="D15" s="101">
        <v>0.20077711774403409</v>
      </c>
      <c r="E15" s="101">
        <v>0.20077711774403409</v>
      </c>
      <c r="F15" s="101">
        <v>0.20077711774403409</v>
      </c>
    </row>
    <row r="16" spans="1:8" ht="15.75" customHeight="1" x14ac:dyDescent="0.25">
      <c r="B16" s="19" t="s">
        <v>83</v>
      </c>
      <c r="C16" s="101">
        <v>2.5934051996959591E-2</v>
      </c>
      <c r="D16" s="101">
        <v>2.5934051996959591E-2</v>
      </c>
      <c r="E16" s="101">
        <v>2.5934051996959591E-2</v>
      </c>
      <c r="F16" s="101">
        <v>2.5934051996959591E-2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1.937420903731499E-3</v>
      </c>
      <c r="D18" s="101">
        <v>1.937420903731499E-3</v>
      </c>
      <c r="E18" s="101">
        <v>1.937420903731499E-3</v>
      </c>
      <c r="F18" s="101">
        <v>1.937420903731499E-3</v>
      </c>
    </row>
    <row r="19" spans="1:8" ht="15.75" customHeight="1" x14ac:dyDescent="0.25">
      <c r="B19" s="19" t="s">
        <v>86</v>
      </c>
      <c r="C19" s="101">
        <v>8.1870754878343929E-2</v>
      </c>
      <c r="D19" s="101">
        <v>8.1870754878343929E-2</v>
      </c>
      <c r="E19" s="101">
        <v>8.1870754878343929E-2</v>
      </c>
      <c r="F19" s="101">
        <v>8.1870754878343929E-2</v>
      </c>
    </row>
    <row r="20" spans="1:8" ht="15.75" customHeight="1" x14ac:dyDescent="0.25">
      <c r="B20" s="19" t="s">
        <v>87</v>
      </c>
      <c r="C20" s="101">
        <v>2.5916379957937968E-2</v>
      </c>
      <c r="D20" s="101">
        <v>2.5916379957937968E-2</v>
      </c>
      <c r="E20" s="101">
        <v>2.5916379957937968E-2</v>
      </c>
      <c r="F20" s="101">
        <v>2.5916379957937968E-2</v>
      </c>
    </row>
    <row r="21" spans="1:8" ht="15.75" customHeight="1" x14ac:dyDescent="0.25">
      <c r="B21" s="19" t="s">
        <v>88</v>
      </c>
      <c r="C21" s="101">
        <v>0.56612183919474668</v>
      </c>
      <c r="D21" s="101">
        <v>0.56612183919474668</v>
      </c>
      <c r="E21" s="101">
        <v>0.56612183919474668</v>
      </c>
      <c r="F21" s="101">
        <v>0.56612183919474668</v>
      </c>
    </row>
    <row r="22" spans="1:8" ht="15.75" customHeight="1" x14ac:dyDescent="0.25">
      <c r="B22" s="19" t="s">
        <v>89</v>
      </c>
      <c r="C22" s="101">
        <v>7.4914546675234487E-3</v>
      </c>
      <c r="D22" s="101">
        <v>7.4914546675234487E-3</v>
      </c>
      <c r="E22" s="101">
        <v>7.4914546675234487E-3</v>
      </c>
      <c r="F22" s="101">
        <v>7.4914546675234487E-3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2.386251E-2</v>
      </c>
    </row>
    <row r="27" spans="1:8" ht="15.75" customHeight="1" x14ac:dyDescent="0.25">
      <c r="B27" s="19" t="s">
        <v>92</v>
      </c>
      <c r="C27" s="101">
        <v>5.5546280000000007E-3</v>
      </c>
    </row>
    <row r="28" spans="1:8" ht="15.75" customHeight="1" x14ac:dyDescent="0.25">
      <c r="B28" s="19" t="s">
        <v>93</v>
      </c>
      <c r="C28" s="101">
        <v>0.152936821</v>
      </c>
    </row>
    <row r="29" spans="1:8" ht="15.75" customHeight="1" x14ac:dyDescent="0.25">
      <c r="B29" s="19" t="s">
        <v>94</v>
      </c>
      <c r="C29" s="101">
        <v>0.11069707199999999</v>
      </c>
    </row>
    <row r="30" spans="1:8" ht="15.75" customHeight="1" x14ac:dyDescent="0.25">
      <c r="B30" s="19" t="s">
        <v>95</v>
      </c>
      <c r="C30" s="101">
        <v>5.7770492999999999E-2</v>
      </c>
    </row>
    <row r="31" spans="1:8" ht="15.75" customHeight="1" x14ac:dyDescent="0.25">
      <c r="B31" s="19" t="s">
        <v>96</v>
      </c>
      <c r="C31" s="101">
        <v>9.4773582999999995E-2</v>
      </c>
    </row>
    <row r="32" spans="1:8" ht="15.75" customHeight="1" x14ac:dyDescent="0.25">
      <c r="B32" s="19" t="s">
        <v>97</v>
      </c>
      <c r="C32" s="101">
        <v>0.20791595299999999</v>
      </c>
    </row>
    <row r="33" spans="2:3" ht="15.75" customHeight="1" x14ac:dyDescent="0.25">
      <c r="B33" s="19" t="s">
        <v>98</v>
      </c>
      <c r="C33" s="101">
        <v>0.13742104999999999</v>
      </c>
    </row>
    <row r="34" spans="2:3" ht="15.75" customHeight="1" x14ac:dyDescent="0.25">
      <c r="B34" s="19" t="s">
        <v>99</v>
      </c>
      <c r="C34" s="101">
        <v>0.20906789100000001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0.47748951465880585</v>
      </c>
      <c r="D2" s="52">
        <f>IFERROR(1-_xlfn.NORM.DIST(_xlfn.NORM.INV(SUM(D4:D5), 0, 1) + 1, 0, 1, TRUE), "")</f>
        <v>0.47748951465880585</v>
      </c>
      <c r="E2" s="52">
        <f>IFERROR(1-_xlfn.NORM.DIST(_xlfn.NORM.INV(SUM(E4:E5), 0, 1) + 1, 0, 1, TRUE), "")</f>
        <v>0.44427387128346996</v>
      </c>
      <c r="F2" s="52">
        <f>IFERROR(1-_xlfn.NORM.DIST(_xlfn.NORM.INV(SUM(F4:F5), 0, 1) + 1, 0, 1, TRUE), "")</f>
        <v>0.26835129037057226</v>
      </c>
      <c r="G2" s="52">
        <f>IFERROR(1-_xlfn.NORM.DIST(_xlfn.NORM.INV(SUM(G4:G5), 0, 1) + 1, 0, 1, TRUE), "")</f>
        <v>0.24059967202811738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0.34980927998405176</v>
      </c>
      <c r="D3" s="52">
        <f>IFERROR(_xlfn.NORM.DIST(_xlfn.NORM.INV(SUM(D4:D5), 0, 1) + 1, 0, 1, TRUE) - SUM(D4:D5), "")</f>
        <v>0.34980927998405176</v>
      </c>
      <c r="E3" s="52">
        <f>IFERROR(_xlfn.NORM.DIST(_xlfn.NORM.INV(SUM(E4:E5), 0, 1) + 1, 0, 1, TRUE) - SUM(E4:E5), "")</f>
        <v>0.36079244835938734</v>
      </c>
      <c r="F3" s="52">
        <f>IFERROR(_xlfn.NORM.DIST(_xlfn.NORM.INV(SUM(F4:F5), 0, 1) + 1, 0, 1, TRUE) - SUM(F4:F5), "")</f>
        <v>0.38048960962942774</v>
      </c>
      <c r="G3" s="52">
        <f>IFERROR(_xlfn.NORM.DIST(_xlfn.NORM.INV(SUM(G4:G5), 0, 1) + 1, 0, 1, TRUE) - SUM(G4:G5), "")</f>
        <v>0.37564213332902563</v>
      </c>
    </row>
    <row r="4" spans="1:15" ht="15.75" customHeight="1" x14ac:dyDescent="0.25">
      <c r="B4" s="5" t="s">
        <v>104</v>
      </c>
      <c r="C4" s="45">
        <v>0.100377583928571</v>
      </c>
      <c r="D4" s="53">
        <v>0.100377583928571</v>
      </c>
      <c r="E4" s="53">
        <v>0.120720032142857</v>
      </c>
      <c r="F4" s="53">
        <v>0.206891667857143</v>
      </c>
      <c r="G4" s="53">
        <v>0.224426075</v>
      </c>
    </row>
    <row r="5" spans="1:15" ht="15.75" customHeight="1" x14ac:dyDescent="0.25">
      <c r="B5" s="5" t="s">
        <v>105</v>
      </c>
      <c r="C5" s="45">
        <v>7.2323621428571391E-2</v>
      </c>
      <c r="D5" s="53">
        <v>7.2323621428571391E-2</v>
      </c>
      <c r="E5" s="53">
        <v>7.4213648214285707E-2</v>
      </c>
      <c r="F5" s="53">
        <v>0.14426743214285701</v>
      </c>
      <c r="G5" s="53">
        <v>0.15933211964285701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0.53812653814268863</v>
      </c>
      <c r="D8" s="52">
        <f>IFERROR(1-_xlfn.NORM.DIST(_xlfn.NORM.INV(SUM(D10:D11), 0, 1) + 1, 0, 1, TRUE), "")</f>
        <v>0.53812653814268863</v>
      </c>
      <c r="E8" s="52">
        <f>IFERROR(1-_xlfn.NORM.DIST(_xlfn.NORM.INV(SUM(E10:E11), 0, 1) + 1, 0, 1, TRUE), "")</f>
        <v>0.56035242159650323</v>
      </c>
      <c r="F8" s="52">
        <f>IFERROR(1-_xlfn.NORM.DIST(_xlfn.NORM.INV(SUM(F10:F11), 0, 1) + 1, 0, 1, TRUE), "")</f>
        <v>0.57922762492923829</v>
      </c>
      <c r="G8" s="52">
        <f>IFERROR(1-_xlfn.NORM.DIST(_xlfn.NORM.INV(SUM(G10:G11), 0, 1) + 1, 0, 1, TRUE), "")</f>
        <v>0.65018032637863876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0.32527170471445427</v>
      </c>
      <c r="D9" s="52">
        <f>IFERROR(_xlfn.NORM.DIST(_xlfn.NORM.INV(SUM(D10:D11), 0, 1) + 1, 0, 1, TRUE) - SUM(D10:D11), "")</f>
        <v>0.32527170471445427</v>
      </c>
      <c r="E9" s="52">
        <f>IFERROR(_xlfn.NORM.DIST(_xlfn.NORM.INV(SUM(E10:E11), 0, 1) + 1, 0, 1, TRUE) - SUM(E10:E11), "")</f>
        <v>0.31495884804635388</v>
      </c>
      <c r="F9" s="52">
        <f>IFERROR(_xlfn.NORM.DIST(_xlfn.NORM.INV(SUM(F10:F11), 0, 1) + 1, 0, 1, TRUE) - SUM(F10:F11), "")</f>
        <v>0.3056867714993331</v>
      </c>
      <c r="G9" s="52">
        <f>IFERROR(_xlfn.NORM.DIST(_xlfn.NORM.INV(SUM(G10:G11), 0, 1) + 1, 0, 1, TRUE) - SUM(G10:G11), "")</f>
        <v>0.26691680576421839</v>
      </c>
    </row>
    <row r="10" spans="1:15" ht="15.75" customHeight="1" x14ac:dyDescent="0.25">
      <c r="B10" s="5" t="s">
        <v>109</v>
      </c>
      <c r="C10" s="45">
        <v>8.2879166071428506E-2</v>
      </c>
      <c r="D10" s="53">
        <v>8.2879166071428506E-2</v>
      </c>
      <c r="E10" s="53">
        <v>8.5069555357142904E-2</v>
      </c>
      <c r="F10" s="53">
        <v>8.1781450000000006E-2</v>
      </c>
      <c r="G10" s="53">
        <v>6.1769744642857102E-2</v>
      </c>
    </row>
    <row r="11" spans="1:15" ht="15.75" customHeight="1" x14ac:dyDescent="0.25">
      <c r="B11" s="5" t="s">
        <v>110</v>
      </c>
      <c r="C11" s="45">
        <v>5.3722591071428599E-2</v>
      </c>
      <c r="D11" s="53">
        <v>5.3722591071428599E-2</v>
      </c>
      <c r="E11" s="53">
        <v>3.9619175E-2</v>
      </c>
      <c r="F11" s="53">
        <v>3.3304153571428602E-2</v>
      </c>
      <c r="G11" s="53">
        <v>2.11331232142857E-2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0.20510380375000001</v>
      </c>
      <c r="D14" s="54">
        <v>0.18616108902699999</v>
      </c>
      <c r="E14" s="54">
        <v>0.18616108902699999</v>
      </c>
      <c r="F14" s="54">
        <v>0.111192412666</v>
      </c>
      <c r="G14" s="54">
        <v>0.111192412666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0.24399999999999999</v>
      </c>
      <c r="M14" s="55">
        <v>0.24399999999999999</v>
      </c>
      <c r="N14" s="55">
        <v>0.24399999999999999</v>
      </c>
      <c r="O14" s="55">
        <v>0.24399999999999999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0.12217725933681876</v>
      </c>
      <c r="D15" s="52">
        <f t="shared" si="0"/>
        <v>0.11089336831704849</v>
      </c>
      <c r="E15" s="52">
        <f t="shared" si="0"/>
        <v>0.11089336831704849</v>
      </c>
      <c r="F15" s="52">
        <f t="shared" si="0"/>
        <v>6.623565233894621E-2</v>
      </c>
      <c r="G15" s="52">
        <f t="shared" si="0"/>
        <v>6.623565233894621E-2</v>
      </c>
      <c r="H15" s="52">
        <f t="shared" si="0"/>
        <v>0.22099913500000001</v>
      </c>
      <c r="I15" s="52">
        <f t="shared" si="0"/>
        <v>0.22099913500000001</v>
      </c>
      <c r="J15" s="52">
        <f t="shared" si="0"/>
        <v>0.22099913500000001</v>
      </c>
      <c r="K15" s="52">
        <f t="shared" si="0"/>
        <v>0.22099913500000001</v>
      </c>
      <c r="L15" s="52">
        <f t="shared" si="0"/>
        <v>0.14534714000000001</v>
      </c>
      <c r="M15" s="52">
        <f t="shared" si="0"/>
        <v>0.14534714000000001</v>
      </c>
      <c r="N15" s="52">
        <f t="shared" si="0"/>
        <v>0.14534714000000001</v>
      </c>
      <c r="O15" s="52">
        <f t="shared" si="0"/>
        <v>0.14534714000000001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0.63046120140845097</v>
      </c>
      <c r="D2" s="53">
        <v>0.43695124225352111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0.13987543571428601</v>
      </c>
      <c r="D3" s="53">
        <v>0.172720771830986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0.18968471549295801</v>
      </c>
      <c r="D4" s="53">
        <v>0.32114636056337997</v>
      </c>
      <c r="E4" s="53">
        <v>0.86012135342465701</v>
      </c>
      <c r="F4" s="53">
        <v>0.68589079999999991</v>
      </c>
      <c r="G4" s="53">
        <v>0</v>
      </c>
    </row>
    <row r="5" spans="1:7" x14ac:dyDescent="0.25">
      <c r="B5" s="3" t="s">
        <v>122</v>
      </c>
      <c r="C5" s="52">
        <v>4.2547995714285698E-2</v>
      </c>
      <c r="D5" s="52">
        <v>6.9181616901408394E-2</v>
      </c>
      <c r="E5" s="52">
        <f>1-SUM(E2:E4)</f>
        <v>0.13987864657534299</v>
      </c>
      <c r="F5" s="52">
        <f>1-SUM(F2:F4)</f>
        <v>0.31410920000000009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ht="13.25" customHeight="1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ht="13.25" customHeight="1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abSelected="1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92.245047147143225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40.647032466246337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950.82377496430036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3.8723334833414911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13.77933191004225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13.77933191004225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13.77933191004225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13.77933191004225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13.77933191004225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13.77933191004225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1.4860977099376029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21.758442885912821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21.758442885912821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32.963044266470973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24.180959628055831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4.7588079536301482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0.70576165380000011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19.340697663417359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191.74008051799319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4.3398717631557826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3.2697777913707609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0.95509479999999991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5.2784465228258819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0.21548583178571412</v>
      </c>
      <c r="C3" s="21">
        <f>frac_mam_1_5months * 2.6</f>
        <v>0.21548583178571412</v>
      </c>
      <c r="D3" s="21">
        <f>frac_mam_6_11months * 2.6</f>
        <v>0.22118084392857157</v>
      </c>
      <c r="E3" s="21">
        <f>frac_mam_12_23months * 2.6</f>
        <v>0.21263177000000003</v>
      </c>
      <c r="F3" s="21">
        <f>frac_mam_24_59months * 2.6</f>
        <v>0.16060133607142846</v>
      </c>
    </row>
    <row r="4" spans="1:6" ht="15.75" customHeight="1" x14ac:dyDescent="0.25">
      <c r="A4" s="3" t="s">
        <v>205</v>
      </c>
      <c r="B4" s="21">
        <f>frac_sam_1month * 2.6</f>
        <v>0.13967873678571435</v>
      </c>
      <c r="C4" s="21">
        <f>frac_sam_1_5months * 2.6</f>
        <v>0.13967873678571435</v>
      </c>
      <c r="D4" s="21">
        <f>frac_sam_6_11months * 2.6</f>
        <v>0.103009855</v>
      </c>
      <c r="E4" s="21">
        <f>frac_sam_12_23months * 2.6</f>
        <v>8.6590799285714365E-2</v>
      </c>
      <c r="F4" s="21">
        <f>frac_sam_24_59months * 2.6</f>
        <v>5.4946120357142823E-2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</v>
      </c>
      <c r="E2" s="60">
        <f>food_insecure</f>
        <v>0</v>
      </c>
      <c r="F2" s="60">
        <f>food_insecure</f>
        <v>0</v>
      </c>
      <c r="G2" s="60">
        <f>food_insecure</f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</v>
      </c>
      <c r="F5" s="60">
        <f>food_insecure</f>
        <v>0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</v>
      </c>
      <c r="F8" s="60">
        <f>food_insecure</f>
        <v>0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</v>
      </c>
      <c r="F9" s="60">
        <f>food_insecure</f>
        <v>0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</v>
      </c>
      <c r="I15" s="60">
        <f>food_insecure</f>
        <v>0</v>
      </c>
      <c r="J15" s="60">
        <f>food_insecure</f>
        <v>0</v>
      </c>
      <c r="K15" s="60">
        <f>food_insecure</f>
        <v>0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0.10299999999999999</v>
      </c>
      <c r="M24" s="60">
        <f>famplan_unmet_need</f>
        <v>0.10299999999999999</v>
      </c>
      <c r="N24" s="60">
        <f>famplan_unmet_need</f>
        <v>0.10299999999999999</v>
      </c>
      <c r="O24" s="60">
        <f>famplan_unmet_need</f>
        <v>0.10299999999999999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0.10780426177978536</v>
      </c>
      <c r="M25" s="60">
        <f>(1-food_insecure)*(0.49)+food_insecure*(0.7)</f>
        <v>0.49</v>
      </c>
      <c r="N25" s="60">
        <f>(1-food_insecure)*(0.49)+food_insecure*(0.7)</f>
        <v>0.49</v>
      </c>
      <c r="O25" s="60">
        <f>(1-food_insecure)*(0.49)+food_insecure*(0.7)</f>
        <v>0.49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4.6201826477050865E-2</v>
      </c>
      <c r="M26" s="60">
        <f>(1-food_insecure)*(0.21)+food_insecure*(0.3)</f>
        <v>0.21</v>
      </c>
      <c r="N26" s="60">
        <f>(1-food_insecure)*(0.21)+food_insecure*(0.3)</f>
        <v>0.21</v>
      </c>
      <c r="O26" s="60">
        <f>(1-food_insecure)*(0.21)+food_insecure*(0.3)</f>
        <v>0.21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6.6002609252929806E-2</v>
      </c>
      <c r="M27" s="60">
        <f>(1-food_insecure)*(0.3)</f>
        <v>0.3</v>
      </c>
      <c r="N27" s="60">
        <f>(1-food_insecure)*(0.3)</f>
        <v>0.3</v>
      </c>
      <c r="O27" s="60">
        <f>(1-food_insecure)*(0.3)</f>
        <v>0.3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0.77999130249023396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ht="13.25" customHeight="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A8" sqref="A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67</v>
      </c>
      <c r="C58" s="8" t="s">
        <v>145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146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77</v>
      </c>
      <c r="C61" s="8" t="s">
        <v>145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146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67</v>
      </c>
      <c r="C111" s="8" t="s">
        <v>145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146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147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77</v>
      </c>
      <c r="C114" s="8" t="s">
        <v>145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146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147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78</v>
      </c>
      <c r="C117" s="8" t="s">
        <v>145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146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147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79</v>
      </c>
      <c r="C120" s="8" t="s">
        <v>145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146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147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146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147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67</v>
      </c>
      <c r="C128" s="8" t="s">
        <v>145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146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147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77</v>
      </c>
      <c r="C131" s="8" t="s">
        <v>145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146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147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78</v>
      </c>
      <c r="C134" s="8" t="s">
        <v>145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146</v>
      </c>
      <c r="D135" s="88">
        <f t="shared" ref="D135:H144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147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79</v>
      </c>
      <c r="C137" s="8" t="s">
        <v>145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146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147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146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147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67</v>
      </c>
      <c r="C145" s="8" t="s">
        <v>145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146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147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77</v>
      </c>
      <c r="C148" s="8" t="s">
        <v>145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146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147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78</v>
      </c>
      <c r="C151" s="8" t="s">
        <v>145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146</v>
      </c>
      <c r="D152" s="88">
        <f t="shared" ref="D152:H161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147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79</v>
      </c>
      <c r="C154" s="8" t="s">
        <v>145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146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147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A8" sqref="A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A8" sqref="A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A8" sqref="A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A8" sqref="A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A8" sqref="A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A8" sqref="A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0.1061043049026611</v>
      </c>
      <c r="G18" s="90">
        <f>MIN(MAX(1-0.89/(1-frac_sam_12_23months+(frac_sam_12_23months*0.89)),0),1)</f>
        <v>0.10672753483027453</v>
      </c>
      <c r="H18" s="90">
        <f>MIN(MAX(1-0.89/(1-frac_sam_24_59months+(frac_sam_24_59months*0.89)),0),1)</f>
        <v>0.10792624649961502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0.10159302095390743</v>
      </c>
      <c r="G20" s="90">
        <f>MIN(MAX(1-0.89/(1-frac_mam_12_23months+(frac_mam_12_23months*0.89)),0),1)</f>
        <v>0.10192091694100414</v>
      </c>
      <c r="H20" s="90">
        <f>MIN(MAX(1-0.89/(1-frac_mam_24_59months+(frac_mam_24_59months*0.89)),0),1)</f>
        <v>0.10391137176824317</v>
      </c>
    </row>
    <row r="21" spans="1:8" ht="13.25" customHeight="1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9.6076147076843421E-3</v>
      </c>
      <c r="G73" s="90">
        <f>MIN(MAX(1-0.99/(1-frac_sam_12_23months+(frac_sam_12_23months*0.99)),0),1)</f>
        <v>9.6701790355624428E-3</v>
      </c>
      <c r="H73" s="90">
        <f>MIN(MAX(1-0.99/(1-frac_sam_24_59months+(frac_sam_24_59months*0.99)),0),1)</f>
        <v>9.7907378565519343E-3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9.1570943458723075E-3</v>
      </c>
      <c r="G75" s="90">
        <f>MIN(MAX(1-0.99/(1-frac_mam_12_23months+(frac_mam_12_23months*0.99)),0),1)</f>
        <v>9.1897009707044841E-3</v>
      </c>
      <c r="H75" s="90">
        <f>MIN(MAX(1-0.99/(1-frac_mam_24_59months+(frac_mam_24_59months*0.99)),0),1)</f>
        <v>9.3881015599317497E-3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0.19361030108005861</v>
      </c>
      <c r="G128" s="90">
        <f>MIN(MAX(1-0.8/(1-frac_sam_12_23months+(frac_sam_12_23months*0.8)),0),1)</f>
        <v>0.19463560409556757</v>
      </c>
      <c r="H128" s="90">
        <f>MIN(MAX(1-0.8/(1-frac_sam_24_59months+(frac_sam_24_59months*0.8)),0),1)</f>
        <v>0.1966043481398837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0.18615328435422862</v>
      </c>
      <c r="G130" s="90">
        <f>MIN(MAX(1-0.8/(1-frac_mam_12_23months+(frac_mam_12_23months*0.8)),0),1)</f>
        <v>0.18669738659742963</v>
      </c>
      <c r="H130" s="90">
        <f>MIN(MAX(1-0.8/(1-frac_mam_24_59months+(frac_mam_24_59months*0.8)),0),1)</f>
        <v>0.18999321757816412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A8" sqref="A8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ht="13.25" customHeight="1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2024-08-06T06:31:50Z</dcterms:modified>
</cp:coreProperties>
</file>