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2389572-1A0C-4CAF-8DE5-B84D7C2B9BE8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29" i="2"/>
  <c r="A27" i="2"/>
  <c r="A26" i="2"/>
  <c r="A25" i="2"/>
  <c r="A21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4" i="2"/>
  <c r="A5" i="2" s="1"/>
  <c r="A40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<sst xmlns="http://schemas.openxmlformats.org/spreadsheetml/2006/main" count="2094" uniqueCount="341">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</sst>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2530276.859375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0.77999130249023396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3.3099999999999997E-2</v>
      </c>
    </row>
    <row r="24" spans="1:3" ht="15" customHeight="1" x14ac:dyDescent="0.25">
      <c r="B24" s="15" t="s">
        <v>22</v>
      </c>
      <c r="C24" s="45">
        <v>0.41270000000000001</v>
      </c>
    </row>
    <row r="25" spans="1:3" ht="15" customHeight="1" x14ac:dyDescent="0.25">
      <c r="B25" s="15" t="s">
        <v>23</v>
      </c>
      <c r="C25" s="45">
        <v>0.50419999999999998</v>
      </c>
    </row>
    <row r="26" spans="1:3" ht="15" customHeight="1" x14ac:dyDescent="0.25">
      <c r="B26" s="15" t="s">
        <v>24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0.29181610000000002</v>
      </c>
    </row>
    <row r="30" spans="1:3" ht="14.25" customHeight="1" x14ac:dyDescent="0.25">
      <c r="B30" s="25" t="s">
        <v>27</v>
      </c>
      <c r="C30" s="99">
        <v>5.8372300000000002E-2</v>
      </c>
    </row>
    <row r="31" spans="1:3" ht="14.25" customHeight="1" x14ac:dyDescent="0.25">
      <c r="B31" s="25" t="s">
        <v>28</v>
      </c>
      <c r="C31" s="99">
        <v>0.11982329999999999</v>
      </c>
    </row>
    <row r="32" spans="1:3" ht="14.25" customHeight="1" x14ac:dyDescent="0.25">
      <c r="B32" s="25" t="s">
        <v>29</v>
      </c>
      <c r="C32" s="99">
        <v>0.52998829999999997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4.2106300000000001</v>
      </c>
    </row>
    <row r="38" spans="1:5" ht="15" customHeight="1" x14ac:dyDescent="0.25">
      <c r="B38" s="11" t="s">
        <v>34</v>
      </c>
      <c r="C38" s="43">
        <v>6.4629700000000003</v>
      </c>
      <c r="D38" s="12"/>
      <c r="E38" s="13"/>
    </row>
    <row r="39" spans="1:5" ht="15" customHeight="1" x14ac:dyDescent="0.25">
      <c r="B39" s="11" t="s">
        <v>35</v>
      </c>
      <c r="C39" s="43">
        <v>7.5561299999999996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6.3741000000000006E-3</v>
      </c>
      <c r="D45" s="12"/>
    </row>
    <row r="46" spans="1:5" ht="15.75" customHeight="1" x14ac:dyDescent="0.25">
      <c r="B46" s="11" t="s">
        <v>41</v>
      </c>
      <c r="C46" s="45">
        <v>6.565E-2</v>
      </c>
      <c r="D46" s="12"/>
    </row>
    <row r="47" spans="1:5" ht="15.75" customHeight="1" x14ac:dyDescent="0.25">
      <c r="B47" s="11" t="s">
        <v>42</v>
      </c>
      <c r="C47" s="45">
        <v>0.1470931</v>
      </c>
      <c r="D47" s="12"/>
      <c r="E47" s="13"/>
    </row>
    <row r="48" spans="1:5" ht="15" customHeight="1" x14ac:dyDescent="0.25">
      <c r="B48" s="11" t="s">
        <v>43</v>
      </c>
      <c r="C48" s="46">
        <v>0.78088279999999999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0.59568500000000002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504947</v>
      </c>
      <c r="C2" s="49">
        <v>1510474.5</v>
      </c>
      <c r="D2" s="49">
        <v>2772634.5</v>
      </c>
      <c r="E2" s="49">
        <v>2952031</v>
      </c>
      <c r="F2" s="49">
        <v>2030147.5</v>
      </c>
      <c r="G2" s="17">
        <f t="shared" ref="G2:G13" si="0">C2+D2+E2+F2</f>
        <v>9265287.5</v>
      </c>
      <c r="H2" s="17">
        <f t="shared" ref="H2:H13" si="1">(B2 + stillbirth*B2/(1000-stillbirth))/(1-abortion)</f>
        <v>576709.59870327055</v>
      </c>
      <c r="I2" s="17">
        <f t="shared" ref="I2:I13" si="2">G2-H2</f>
        <v>8688577.9012967292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502550</v>
      </c>
      <c r="C3" s="50">
        <v>1493289.5</v>
      </c>
      <c r="D3" s="50">
        <v>2749649.5</v>
      </c>
      <c r="E3" s="50">
        <v>2967256.5</v>
      </c>
      <c r="F3" s="50">
        <v>2107528</v>
      </c>
      <c r="G3" s="17">
        <f t="shared" si="0"/>
        <v>9317723.5</v>
      </c>
      <c r="H3" s="17">
        <f t="shared" si="1"/>
        <v>573971.93928932864</v>
      </c>
      <c r="I3" s="17">
        <f t="shared" si="2"/>
        <v>8743751.5607106723</v>
      </c>
    </row>
    <row r="4" spans="1:9" ht="15.75" customHeight="1" x14ac:dyDescent="0.25">
      <c r="A4" s="5">
        <f t="shared" si="3"/>
        <v>2026</v>
      </c>
      <c r="B4" s="49">
        <v>500475</v>
      </c>
      <c r="C4" s="50">
        <v>1481691</v>
      </c>
      <c r="D4" s="50">
        <v>2731665.5</v>
      </c>
      <c r="E4" s="50">
        <v>2971484.5</v>
      </c>
      <c r="F4" s="50">
        <v>2187893</v>
      </c>
      <c r="G4" s="17">
        <f t="shared" si="0"/>
        <v>9372734</v>
      </c>
      <c r="H4" s="17">
        <f t="shared" si="1"/>
        <v>571602.04221635009</v>
      </c>
      <c r="I4" s="17">
        <f t="shared" si="2"/>
        <v>8801131.9577836506</v>
      </c>
    </row>
    <row r="5" spans="1:9" ht="15.75" customHeight="1" x14ac:dyDescent="0.25">
      <c r="A5" s="5">
        <f t="shared" si="3"/>
        <v>2027</v>
      </c>
      <c r="B5" s="49">
        <v>497557</v>
      </c>
      <c r="C5" s="50">
        <v>1476245.5</v>
      </c>
      <c r="D5" s="50">
        <v>2715550</v>
      </c>
      <c r="E5" s="50">
        <v>2965997</v>
      </c>
      <c r="F5" s="50">
        <v>2268214</v>
      </c>
      <c r="G5" s="17">
        <f t="shared" si="0"/>
        <v>9426006.5</v>
      </c>
      <c r="H5" s="17">
        <f t="shared" si="1"/>
        <v>568269.33876625297</v>
      </c>
      <c r="I5" s="17">
        <f t="shared" si="2"/>
        <v>8857737.1612337474</v>
      </c>
    </row>
    <row r="6" spans="1:9" ht="15.75" customHeight="1" x14ac:dyDescent="0.25">
      <c r="A6" s="5">
        <f t="shared" si="3"/>
        <v>2028</v>
      </c>
      <c r="B6" s="49">
        <v>493770</v>
      </c>
      <c r="C6" s="50">
        <v>1481529</v>
      </c>
      <c r="D6" s="50">
        <v>2694652</v>
      </c>
      <c r="E6" s="50">
        <v>2954031</v>
      </c>
      <c r="F6" s="50">
        <v>2347103.5</v>
      </c>
      <c r="G6" s="17">
        <f t="shared" si="0"/>
        <v>9477315.5</v>
      </c>
      <c r="H6" s="17">
        <f t="shared" si="1"/>
        <v>563944.1338431834</v>
      </c>
      <c r="I6" s="17">
        <f t="shared" si="2"/>
        <v>8913371.3661568165</v>
      </c>
    </row>
    <row r="7" spans="1:9" ht="15.75" customHeight="1" x14ac:dyDescent="0.25">
      <c r="A7" s="5">
        <f t="shared" si="3"/>
        <v>2029</v>
      </c>
      <c r="B7" s="49">
        <v>489921</v>
      </c>
      <c r="C7" s="50">
        <v>1497510.5</v>
      </c>
      <c r="D7" s="50">
        <v>2665472.5</v>
      </c>
      <c r="E7" s="50">
        <v>2938753</v>
      </c>
      <c r="F7" s="50">
        <v>2423076</v>
      </c>
      <c r="G7" s="17">
        <f t="shared" si="0"/>
        <v>9524812</v>
      </c>
      <c r="H7" s="17">
        <f t="shared" si="1"/>
        <v>559548.11753769207</v>
      </c>
      <c r="I7" s="17">
        <f t="shared" si="2"/>
        <v>8965263.8824623078</v>
      </c>
    </row>
    <row r="8" spans="1:9" ht="15.75" customHeight="1" x14ac:dyDescent="0.25">
      <c r="A8" s="5">
        <f t="shared" si="3"/>
        <v>2030</v>
      </c>
      <c r="B8" s="49">
        <v>485987</v>
      </c>
      <c r="C8" s="50">
        <v>1515800</v>
      </c>
      <c r="D8" s="50">
        <v>2633645</v>
      </c>
      <c r="E8" s="50">
        <v>2921858</v>
      </c>
      <c r="F8" s="50">
        <v>2492635.5</v>
      </c>
      <c r="G8" s="17">
        <f t="shared" si="0"/>
        <v>9563938.5</v>
      </c>
      <c r="H8" s="17">
        <f t="shared" si="1"/>
        <v>555055.0211111391</v>
      </c>
      <c r="I8" s="17">
        <f t="shared" si="2"/>
        <v>9008883.4788888618</v>
      </c>
    </row>
    <row r="9" spans="1:9" ht="15.75" customHeight="1" x14ac:dyDescent="0.25">
      <c r="A9" s="5">
        <f t="shared" si="3"/>
        <v>2031</v>
      </c>
      <c r="B9" s="49">
        <v>483995</v>
      </c>
      <c r="C9" s="50">
        <v>1528021</v>
      </c>
      <c r="D9" s="50">
        <v>2607608.5</v>
      </c>
      <c r="E9" s="50">
        <v>2904175.5</v>
      </c>
      <c r="F9" s="50">
        <v>2551531.5</v>
      </c>
      <c r="G9" s="17">
        <f t="shared" si="0"/>
        <v>9591336.5</v>
      </c>
      <c r="H9" s="17">
        <f t="shared" si="1"/>
        <v>552779.91992107965</v>
      </c>
      <c r="I9" s="17">
        <f t="shared" si="2"/>
        <v>9038556.5800789203</v>
      </c>
    </row>
    <row r="10" spans="1:9" ht="15.75" customHeight="1" x14ac:dyDescent="0.25">
      <c r="A10" s="5">
        <f t="shared" si="3"/>
        <v>2032</v>
      </c>
      <c r="B10" s="49">
        <v>478771</v>
      </c>
      <c r="C10" s="50">
        <v>1533052</v>
      </c>
      <c r="D10" s="50">
        <v>2589179</v>
      </c>
      <c r="E10" s="50">
        <v>2885013.5</v>
      </c>
      <c r="F10" s="50">
        <v>2598110.5</v>
      </c>
      <c r="G10" s="17">
        <f t="shared" si="0"/>
        <v>9605355</v>
      </c>
      <c r="H10" s="17">
        <f t="shared" si="1"/>
        <v>546813.48989253037</v>
      </c>
      <c r="I10" s="17">
        <f t="shared" si="2"/>
        <v>9058541.5101074688</v>
      </c>
    </row>
    <row r="11" spans="1:9" ht="15.75" customHeight="1" x14ac:dyDescent="0.25">
      <c r="A11" s="5">
        <f t="shared" si="3"/>
        <v>2033</v>
      </c>
      <c r="B11" s="49">
        <v>473565</v>
      </c>
      <c r="C11" s="50">
        <v>1531799</v>
      </c>
      <c r="D11" s="50">
        <v>2578102.5</v>
      </c>
      <c r="E11" s="50">
        <v>2861800</v>
      </c>
      <c r="F11" s="50">
        <v>2633033.5</v>
      </c>
      <c r="G11" s="17">
        <f t="shared" si="0"/>
        <v>9604735</v>
      </c>
      <c r="H11" s="17">
        <f t="shared" si="1"/>
        <v>540867.61800726468</v>
      </c>
      <c r="I11" s="17">
        <f t="shared" si="2"/>
        <v>9063867.381992735</v>
      </c>
    </row>
    <row r="12" spans="1:9" ht="15.75" customHeight="1" x14ac:dyDescent="0.25">
      <c r="A12" s="5">
        <f t="shared" si="3"/>
        <v>2034</v>
      </c>
      <c r="B12" s="49">
        <v>467896</v>
      </c>
      <c r="C12" s="50">
        <v>1524737</v>
      </c>
      <c r="D12" s="50">
        <v>2573906.5</v>
      </c>
      <c r="E12" s="50">
        <v>2836089.5</v>
      </c>
      <c r="F12" s="50">
        <v>2658494.5</v>
      </c>
      <c r="G12" s="17">
        <f t="shared" si="0"/>
        <v>9593227.5</v>
      </c>
      <c r="H12" s="17">
        <f t="shared" si="1"/>
        <v>534392.94499198033</v>
      </c>
      <c r="I12" s="17">
        <f t="shared" si="2"/>
        <v>9058834.5550080203</v>
      </c>
    </row>
    <row r="13" spans="1:9" ht="15.75" customHeight="1" x14ac:dyDescent="0.25">
      <c r="A13" s="5">
        <f t="shared" si="3"/>
        <v>2035</v>
      </c>
      <c r="B13" s="49">
        <v>463805</v>
      </c>
      <c r="C13" s="50">
        <v>1515152</v>
      </c>
      <c r="D13" s="50">
        <v>2572379</v>
      </c>
      <c r="E13" s="50">
        <v>2813377.5</v>
      </c>
      <c r="F13" s="50">
        <v>2676792</v>
      </c>
      <c r="G13" s="17">
        <f t="shared" si="0"/>
        <v>9577700.5</v>
      </c>
      <c r="H13" s="17">
        <f t="shared" si="1"/>
        <v>529720.53587123076</v>
      </c>
      <c r="I13" s="17">
        <f t="shared" si="2"/>
        <v>9047979.9641287699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4.99320049932006E-2</v>
      </c>
    </row>
    <row r="5" spans="1:8" ht="15.75" customHeight="1" x14ac:dyDescent="0.25">
      <c r="B5" s="19" t="s">
        <v>70</v>
      </c>
      <c r="C5" s="101">
        <v>1.027610102761011E-2</v>
      </c>
    </row>
    <row r="6" spans="1:8" ht="15.75" customHeight="1" x14ac:dyDescent="0.25">
      <c r="B6" s="19" t="s">
        <v>71</v>
      </c>
      <c r="C6" s="101">
        <v>0.1337043133704314</v>
      </c>
    </row>
    <row r="7" spans="1:8" ht="15.75" customHeight="1" x14ac:dyDescent="0.25">
      <c r="B7" s="19" t="s">
        <v>72</v>
      </c>
      <c r="C7" s="101">
        <v>0.43351454335145478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0.26159222615922201</v>
      </c>
    </row>
    <row r="10" spans="1:8" ht="15.75" customHeight="1" x14ac:dyDescent="0.25">
      <c r="B10" s="19" t="s">
        <v>75</v>
      </c>
      <c r="C10" s="101">
        <v>0.11098081109808119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82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83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86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87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88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89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2.386251E-2</v>
      </c>
    </row>
    <row r="27" spans="1:8" ht="15.75" customHeight="1" x14ac:dyDescent="0.25">
      <c r="B27" s="19" t="s">
        <v>92</v>
      </c>
      <c r="C27" s="101">
        <v>5.5546280000000007E-3</v>
      </c>
    </row>
    <row r="28" spans="1:8" ht="15.75" customHeight="1" x14ac:dyDescent="0.25">
      <c r="B28" s="19" t="s">
        <v>93</v>
      </c>
      <c r="C28" s="101">
        <v>0.152936821</v>
      </c>
    </row>
    <row r="29" spans="1:8" ht="15.75" customHeight="1" x14ac:dyDescent="0.25">
      <c r="B29" s="19" t="s">
        <v>94</v>
      </c>
      <c r="C29" s="101">
        <v>0.11069707199999999</v>
      </c>
    </row>
    <row r="30" spans="1:8" ht="15.75" customHeight="1" x14ac:dyDescent="0.25">
      <c r="B30" s="19" t="s">
        <v>95</v>
      </c>
      <c r="C30" s="101">
        <v>5.7770492999999999E-2</v>
      </c>
    </row>
    <row r="31" spans="1:8" ht="15.75" customHeight="1" x14ac:dyDescent="0.25">
      <c r="B31" s="19" t="s">
        <v>96</v>
      </c>
      <c r="C31" s="101">
        <v>9.4773582999999995E-2</v>
      </c>
    </row>
    <row r="32" spans="1:8" ht="15.75" customHeight="1" x14ac:dyDescent="0.25">
      <c r="B32" s="19" t="s">
        <v>97</v>
      </c>
      <c r="C32" s="101">
        <v>0.20791595299999999</v>
      </c>
    </row>
    <row r="33" spans="2:3" ht="15.75" customHeight="1" x14ac:dyDescent="0.25">
      <c r="B33" s="19" t="s">
        <v>98</v>
      </c>
      <c r="C33" s="101">
        <v>0.13742104999999999</v>
      </c>
    </row>
    <row r="34" spans="2:3" ht="15.75" customHeight="1" x14ac:dyDescent="0.25">
      <c r="B34" s="19" t="s">
        <v>99</v>
      </c>
      <c r="C34" s="101">
        <v>0.20906789100000001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92.245047147143225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40.647032466246337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950.82377496430036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3.8723334833414911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13.77933191004225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13.77933191004225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13.77933191004225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13.77933191004225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13.77933191004225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13.77933191004225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1.4860977099376029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0.1242920217</v>
      </c>
      <c r="C18" s="98">
        <v>0.95</v>
      </c>
      <c r="D18" s="56">
        <v>21.758442885912821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0.95996129999999991</v>
      </c>
      <c r="C19" s="98">
        <v>0.95</v>
      </c>
      <c r="D19" s="56">
        <v>21.758442885912821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0.95509479999999991</v>
      </c>
      <c r="C21" s="98">
        <v>0.95</v>
      </c>
      <c r="D21" s="56">
        <v>32.963044266470973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24.180959628055831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4.7588079536301482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0.94184396039999996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19.340697663417359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0.73859193869999995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191.74008051799319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4.3398717631557826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3.2697777913707609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5.2784465228258819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0.10780426177978536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4.6201826477050865E-2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6.6002609252929806E-2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3A715E-1B60-4E8A-8D8B-0AA07C6CF02D}"/>
</file>

<file path=customXml/itemProps2.xml><?xml version="1.0" encoding="utf-8"?>
<ds:datastoreItem xmlns:ds="http://schemas.openxmlformats.org/officeDocument/2006/customXml" ds:itemID="{8E9F181B-1BF8-4466-9EC8-93239CEAF9D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2024-04-11T00:41:11Z</dcterms:modified>
</cp:coreProperties>
</file>