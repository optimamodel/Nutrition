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03DA848-4E1E-43EE-B9C3-1975B3A94ED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I38" i="2"/>
  <c r="H38" i="2"/>
  <c r="G38" i="2"/>
  <c r="A37" i="2"/>
  <c r="A36" i="2"/>
  <c r="A33" i="2"/>
  <c r="A29" i="2"/>
  <c r="A28" i="2"/>
  <c r="A25" i="2"/>
  <c r="A21" i="2"/>
  <c r="A20" i="2"/>
  <c r="A17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I2" i="2"/>
  <c r="H2" i="2"/>
  <c r="G2" i="2"/>
  <c r="A2" i="2"/>
  <c r="A32" i="2" s="1"/>
  <c r="C33" i="1"/>
  <c r="C20" i="1"/>
  <c r="A3" i="2" l="1"/>
  <c r="A18" i="2"/>
  <c r="A26" i="2"/>
  <c r="A34" i="2"/>
  <c r="A39" i="2"/>
  <c r="A19" i="2"/>
  <c r="A27" i="2"/>
  <c r="A35" i="2"/>
  <c r="A38" i="2"/>
  <c r="A15" i="2"/>
  <c r="A23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<sst xmlns="http://schemas.openxmlformats.org/spreadsheetml/2006/main" count="2103" uniqueCount="341">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</sst>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9281396.6875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0.82499999999999996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0.1923</v>
      </c>
    </row>
    <row r="24" spans="1:3" ht="15" customHeight="1" x14ac:dyDescent="0.25">
      <c r="B24" s="15" t="s">
        <v>22</v>
      </c>
      <c r="C24" s="45">
        <v>0.54949999999999999</v>
      </c>
    </row>
    <row r="25" spans="1:3" ht="15" customHeight="1" x14ac:dyDescent="0.25">
      <c r="B25" s="15" t="s">
        <v>23</v>
      </c>
      <c r="C25" s="45">
        <v>0.2422</v>
      </c>
    </row>
    <row r="26" spans="1:3" ht="15" customHeight="1" x14ac:dyDescent="0.25">
      <c r="B26" s="15" t="s">
        <v>24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0.23843800000000001</v>
      </c>
    </row>
    <row r="30" spans="1:3" ht="14.25" customHeight="1" x14ac:dyDescent="0.25">
      <c r="B30" s="25" t="s">
        <v>27</v>
      </c>
      <c r="C30" s="99">
        <v>0.13178809999999999</v>
      </c>
    </row>
    <row r="31" spans="1:3" ht="14.25" customHeight="1" x14ac:dyDescent="0.25">
      <c r="B31" s="25" t="s">
        <v>28</v>
      </c>
      <c r="C31" s="99">
        <v>0.1250917</v>
      </c>
    </row>
    <row r="32" spans="1:3" ht="14.25" customHeight="1" x14ac:dyDescent="0.25">
      <c r="B32" s="25" t="s">
        <v>29</v>
      </c>
      <c r="C32" s="99">
        <v>0.50468219999999997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0.13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1848943</v>
      </c>
      <c r="C2" s="49">
        <v>6406334</v>
      </c>
      <c r="D2" s="49">
        <v>10532919.5</v>
      </c>
      <c r="E2" s="49">
        <v>9974723.5</v>
      </c>
      <c r="F2" s="49">
        <v>7989763.5</v>
      </c>
      <c r="G2" s="17">
        <f t="shared" ref="G2:G13" si="0">C2+D2+E2+F2</f>
        <v>34903740.5</v>
      </c>
      <c r="H2" s="17">
        <f t="shared" ref="H2:H13" si="1">(B2 + stillbirth*B2/(1000-stillbirth))/(1-abortion)</f>
        <v>2139369.2956896187</v>
      </c>
      <c r="I2" s="17">
        <f t="shared" ref="I2:I13" si="2">G2-H2</f>
        <v>32764371.20431038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1840144</v>
      </c>
      <c r="C3" s="50">
        <v>6396514.5</v>
      </c>
      <c r="D3" s="50">
        <v>10524298.5</v>
      </c>
      <c r="E3" s="50">
        <v>10049699.5</v>
      </c>
      <c r="F3" s="50">
        <v>8076217</v>
      </c>
      <c r="G3" s="17">
        <f t="shared" si="0"/>
        <v>35046729.5</v>
      </c>
      <c r="H3" s="17">
        <f t="shared" si="1"/>
        <v>2129188.1757563525</v>
      </c>
      <c r="I3" s="17">
        <f t="shared" si="2"/>
        <v>32917541.324243646</v>
      </c>
    </row>
    <row r="4" spans="1:9" ht="15.75" customHeight="1" x14ac:dyDescent="0.25">
      <c r="A4" s="5">
        <f t="shared" si="3"/>
        <v>2026</v>
      </c>
      <c r="B4" s="49">
        <v>1832692</v>
      </c>
      <c r="C4" s="50">
        <v>6385771.0000000009</v>
      </c>
      <c r="D4" s="50">
        <v>10516047.5</v>
      </c>
      <c r="E4" s="50">
        <v>10112481.5</v>
      </c>
      <c r="F4" s="50">
        <v>8158850</v>
      </c>
      <c r="G4" s="17">
        <f t="shared" si="0"/>
        <v>35173150</v>
      </c>
      <c r="H4" s="17">
        <f t="shared" si="1"/>
        <v>2120565.6384518067</v>
      </c>
      <c r="I4" s="17">
        <f t="shared" si="2"/>
        <v>33052584.361548193</v>
      </c>
    </row>
    <row r="5" spans="1:9" ht="15.75" customHeight="1" x14ac:dyDescent="0.25">
      <c r="A5" s="5">
        <f t="shared" si="3"/>
        <v>2027</v>
      </c>
      <c r="B5" s="49">
        <v>1818358</v>
      </c>
      <c r="C5" s="50">
        <v>6369573.5</v>
      </c>
      <c r="D5" s="50">
        <v>10506889.5</v>
      </c>
      <c r="E5" s="50">
        <v>10166462.5</v>
      </c>
      <c r="F5" s="50">
        <v>8237962.4999999991</v>
      </c>
      <c r="G5" s="17">
        <f t="shared" si="0"/>
        <v>35280888</v>
      </c>
      <c r="H5" s="17">
        <f t="shared" si="1"/>
        <v>2103980.0976945115</v>
      </c>
      <c r="I5" s="17">
        <f t="shared" si="2"/>
        <v>33176907.902305488</v>
      </c>
    </row>
    <row r="6" spans="1:9" ht="15.75" customHeight="1" x14ac:dyDescent="0.25">
      <c r="A6" s="5">
        <f t="shared" si="3"/>
        <v>2028</v>
      </c>
      <c r="B6" s="49">
        <v>1812708</v>
      </c>
      <c r="C6" s="50">
        <v>6346192.4999999991</v>
      </c>
      <c r="D6" s="50">
        <v>10495080.5</v>
      </c>
      <c r="E6" s="50">
        <v>10213648.5</v>
      </c>
      <c r="F6" s="50">
        <v>8314903.9999999991</v>
      </c>
      <c r="G6" s="17">
        <f t="shared" si="0"/>
        <v>35369825.5</v>
      </c>
      <c r="H6" s="17">
        <f t="shared" si="1"/>
        <v>2097442.6130231908</v>
      </c>
      <c r="I6" s="17">
        <f t="shared" si="2"/>
        <v>33272382.886976808</v>
      </c>
    </row>
    <row r="7" spans="1:9" ht="15.75" customHeight="1" x14ac:dyDescent="0.25">
      <c r="A7" s="5">
        <f t="shared" si="3"/>
        <v>2029</v>
      </c>
      <c r="B7" s="49">
        <v>1813165</v>
      </c>
      <c r="C7" s="50">
        <v>6313673.5</v>
      </c>
      <c r="D7" s="50">
        <v>10481206.5</v>
      </c>
      <c r="E7" s="50">
        <v>10252386.5</v>
      </c>
      <c r="F7" s="50">
        <v>8390876</v>
      </c>
      <c r="G7" s="17">
        <f t="shared" si="0"/>
        <v>35438142.5</v>
      </c>
      <c r="H7" s="17">
        <f t="shared" si="1"/>
        <v>2097971.3971815612</v>
      </c>
      <c r="I7" s="17">
        <f t="shared" si="2"/>
        <v>33340171.102818437</v>
      </c>
    </row>
    <row r="8" spans="1:9" ht="15.75" customHeight="1" x14ac:dyDescent="0.25">
      <c r="A8" s="5">
        <f t="shared" si="3"/>
        <v>2030</v>
      </c>
      <c r="B8" s="49">
        <v>1805220</v>
      </c>
      <c r="C8" s="50">
        <v>6266980</v>
      </c>
      <c r="D8" s="50">
        <v>10463393.5</v>
      </c>
      <c r="E8" s="50">
        <v>10282891.5</v>
      </c>
      <c r="F8" s="50">
        <v>8471285.0000000019</v>
      </c>
      <c r="G8" s="17">
        <f t="shared" si="0"/>
        <v>35484550</v>
      </c>
      <c r="H8" s="17">
        <f t="shared" si="1"/>
        <v>2088778.4209490574</v>
      </c>
      <c r="I8" s="17">
        <f t="shared" si="2"/>
        <v>33395771.579050943</v>
      </c>
    </row>
    <row r="9" spans="1:9" ht="15.75" customHeight="1" x14ac:dyDescent="0.25">
      <c r="A9" s="5">
        <f t="shared" si="3"/>
        <v>2031</v>
      </c>
      <c r="B9" s="49">
        <v>1803490</v>
      </c>
      <c r="C9" s="50">
        <v>6201088.5</v>
      </c>
      <c r="D9" s="50">
        <v>10442584.5</v>
      </c>
      <c r="E9" s="50">
        <v>10305623</v>
      </c>
      <c r="F9" s="50">
        <v>8554518</v>
      </c>
      <c r="G9" s="17">
        <f t="shared" si="0"/>
        <v>35503814</v>
      </c>
      <c r="H9" s="17">
        <f t="shared" si="1"/>
        <v>2086776.6778550071</v>
      </c>
      <c r="I9" s="17">
        <f t="shared" si="2"/>
        <v>33417037.322144993</v>
      </c>
    </row>
    <row r="10" spans="1:9" ht="15.75" customHeight="1" x14ac:dyDescent="0.25">
      <c r="A10" s="5">
        <f t="shared" si="3"/>
        <v>2032</v>
      </c>
      <c r="B10" s="49">
        <v>1795017</v>
      </c>
      <c r="C10" s="50">
        <v>6112438</v>
      </c>
      <c r="D10" s="50">
        <v>10418577.5</v>
      </c>
      <c r="E10" s="50">
        <v>10319816.5</v>
      </c>
      <c r="F10" s="50">
        <v>8637023</v>
      </c>
      <c r="G10" s="17">
        <f t="shared" si="0"/>
        <v>35487855</v>
      </c>
      <c r="H10" s="17">
        <f t="shared" si="1"/>
        <v>2076972.7650018914</v>
      </c>
      <c r="I10" s="17">
        <f t="shared" si="2"/>
        <v>33410882.234998107</v>
      </c>
    </row>
    <row r="11" spans="1:9" ht="15.75" customHeight="1" x14ac:dyDescent="0.25">
      <c r="A11" s="5">
        <f t="shared" si="3"/>
        <v>2033</v>
      </c>
      <c r="B11" s="49">
        <v>1781322</v>
      </c>
      <c r="C11" s="50">
        <v>5999874.5000000009</v>
      </c>
      <c r="D11" s="50">
        <v>10389407</v>
      </c>
      <c r="E11" s="50">
        <v>10327018</v>
      </c>
      <c r="F11" s="50">
        <v>8720309</v>
      </c>
      <c r="G11" s="17">
        <f t="shared" si="0"/>
        <v>35436608.5</v>
      </c>
      <c r="H11" s="17">
        <f t="shared" si="1"/>
        <v>2061126.596404769</v>
      </c>
      <c r="I11" s="17">
        <f t="shared" si="2"/>
        <v>33375481.903595231</v>
      </c>
    </row>
    <row r="12" spans="1:9" ht="15.75" customHeight="1" x14ac:dyDescent="0.25">
      <c r="A12" s="5">
        <f t="shared" si="3"/>
        <v>2034</v>
      </c>
      <c r="B12" s="49">
        <v>1778006</v>
      </c>
      <c r="C12" s="50">
        <v>5880405.9999999991</v>
      </c>
      <c r="D12" s="50">
        <v>10355793.5</v>
      </c>
      <c r="E12" s="50">
        <v>10325782.5</v>
      </c>
      <c r="F12" s="50">
        <v>8801479</v>
      </c>
      <c r="G12" s="17">
        <f t="shared" si="0"/>
        <v>35363461</v>
      </c>
      <c r="H12" s="17">
        <f t="shared" si="1"/>
        <v>2057289.7292950167</v>
      </c>
      <c r="I12" s="17">
        <f t="shared" si="2"/>
        <v>33306171.270704985</v>
      </c>
    </row>
    <row r="13" spans="1:9" ht="15.75" customHeight="1" x14ac:dyDescent="0.25">
      <c r="A13" s="5">
        <f t="shared" si="3"/>
        <v>2035</v>
      </c>
      <c r="B13" s="49">
        <v>1760234</v>
      </c>
      <c r="C13" s="50">
        <v>5750240.5</v>
      </c>
      <c r="D13" s="50">
        <v>10317944</v>
      </c>
      <c r="E13" s="50">
        <v>10318555</v>
      </c>
      <c r="F13" s="50">
        <v>8877242</v>
      </c>
      <c r="G13" s="17">
        <f t="shared" si="0"/>
        <v>35263981.5</v>
      </c>
      <c r="H13" s="17">
        <f t="shared" si="1"/>
        <v>2036726.1580421464</v>
      </c>
      <c r="I13" s="17">
        <f t="shared" si="2"/>
        <v>33227255.341957852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0.1540929999999999</v>
      </c>
    </row>
    <row r="5" spans="1:8" ht="15.75" customHeight="1" x14ac:dyDescent="0.25">
      <c r="B5" s="19" t="s">
        <v>70</v>
      </c>
      <c r="C5" s="101">
        <v>4.3544600000000051E-2</v>
      </c>
    </row>
    <row r="6" spans="1:8" ht="15.75" customHeight="1" x14ac:dyDescent="0.25">
      <c r="B6" s="19" t="s">
        <v>71</v>
      </c>
      <c r="C6" s="101">
        <v>0.13350659999999989</v>
      </c>
    </row>
    <row r="7" spans="1:8" ht="15.75" customHeight="1" x14ac:dyDescent="0.25">
      <c r="B7" s="19" t="s">
        <v>72</v>
      </c>
      <c r="C7" s="101">
        <v>0.34353199999999989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0.24229560000000019</v>
      </c>
    </row>
    <row r="10" spans="1:8" ht="15.75" customHeight="1" x14ac:dyDescent="0.25">
      <c r="B10" s="19" t="s">
        <v>75</v>
      </c>
      <c r="C10" s="101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83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87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89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101">
        <v>2.8541006000000001E-2</v>
      </c>
    </row>
    <row r="28" spans="1:8" ht="15.75" customHeight="1" x14ac:dyDescent="0.25">
      <c r="B28" s="19" t="s">
        <v>93</v>
      </c>
      <c r="C28" s="101">
        <v>0.187630466</v>
      </c>
    </row>
    <row r="29" spans="1:8" ht="15.75" customHeight="1" x14ac:dyDescent="0.25">
      <c r="B29" s="19" t="s">
        <v>94</v>
      </c>
      <c r="C29" s="101">
        <v>0.27936675700000002</v>
      </c>
    </row>
    <row r="30" spans="1:8" ht="15.75" customHeight="1" x14ac:dyDescent="0.25">
      <c r="B30" s="19" t="s">
        <v>95</v>
      </c>
      <c r="C30" s="101">
        <v>9.2226500000000002E-4</v>
      </c>
    </row>
    <row r="31" spans="1:8" ht="15.75" customHeight="1" x14ac:dyDescent="0.25">
      <c r="B31" s="19" t="s">
        <v>96</v>
      </c>
      <c r="C31" s="101">
        <v>7.2676198999999997E-2</v>
      </c>
    </row>
    <row r="32" spans="1:8" ht="15.75" customHeight="1" x14ac:dyDescent="0.25">
      <c r="B32" s="19" t="s">
        <v>97</v>
      </c>
      <c r="C32" s="101">
        <v>4.4662927999999998E-2</v>
      </c>
    </row>
    <row r="33" spans="2:3" ht="15.75" customHeight="1" x14ac:dyDescent="0.25">
      <c r="B33" s="19" t="s">
        <v>98</v>
      </c>
      <c r="C33" s="101">
        <v>0.14648158999999999</v>
      </c>
    </row>
    <row r="34" spans="2:3" ht="15.75" customHeight="1" x14ac:dyDescent="0.25">
      <c r="B34" s="19" t="s">
        <v>99</v>
      </c>
      <c r="C34" s="101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154.18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30.79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296.41185647425903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1.7292670000000001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12.76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12.76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12.76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12.76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12.76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12.76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5.88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2.3937511111111101E-2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0.23591980000000001</v>
      </c>
      <c r="C18" s="98">
        <v>0.95</v>
      </c>
      <c r="D18" s="56">
        <v>36.54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0.23591980000000001</v>
      </c>
      <c r="C19" s="98">
        <v>0.95</v>
      </c>
      <c r="D19" s="56">
        <v>36.54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0.69322219271638008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5.52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0.52424380000000004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0.5944374</v>
      </c>
      <c r="C29" s="98">
        <v>0.95</v>
      </c>
      <c r="D29" s="56">
        <v>206.81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65.180000000000007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0.93940820000000003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0.13994980000000001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2.1327200000000001E-2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0.97755639999999999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8.7485800000000002E-2</v>
      </c>
      <c r="C38" s="98">
        <v>0.95</v>
      </c>
      <c r="D38" s="56">
        <v>5.75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205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8.6374750000000014E-2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3.7017750000000009E-2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5.1607500000000014E-2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0.82499999999999984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0.10806018073899692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0.10970287223658026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0.10895181457602832</v>
      </c>
      <c r="G20" s="90">
        <f>MIN(MAX(1-0.89/(1-frac_mam_12_23months+(frac_mam_12_23months*0.89)),0),1)</f>
        <v>0.10927067439110871</v>
      </c>
      <c r="H20" s="90">
        <f>MIN(MAX(1-0.89/(1-frac_mam_24_59months+(frac_mam_24_59months*0.89)),0),1)</f>
        <v>0.1092979932133511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9.8042264132126578E-3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9.9699624886618876E-3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9.8941170867753447E-3</v>
      </c>
      <c r="G75" s="90">
        <f>MIN(MAX(1-0.99/(1-frac_mam_12_23months+(frac_mam_12_23months*0.99)),0),1)</f>
        <v>9.9263028742807569E-3</v>
      </c>
      <c r="H75" s="90">
        <f>MIN(MAX(1-0.99/(1-frac_mam_24_59months+(frac_mam_24_59months*0.99)),0),1)</f>
        <v>9.9290614172505842E-3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0.19682404952961197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0.19951426525615734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0.19828527651511607</v>
      </c>
      <c r="G130" s="90">
        <f>MIN(MAX(1-0.8/(1-frac_mam_12_23months+(frac_mam_12_23months*0.8)),0),1)</f>
        <v>0.19880724832672891</v>
      </c>
      <c r="H130" s="90">
        <f>MIN(MAX(1-0.8/(1-frac_mam_24_59months+(frac_mam_24_59months*0.8)),0),1)</f>
        <v>0.1988519548513018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2024-06-18T06:56:17Z</dcterms:modified>
</cp:coreProperties>
</file>