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F63F4F62-2CFD-46A6-96B1-4B4A6FDAF292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5" i="2" l="1"/>
  <c r="A26" i="2"/>
  <c r="I39" i="2"/>
  <c r="I9" i="2"/>
  <c r="A31" i="2"/>
  <c r="A40" i="2"/>
  <c r="A34" i="2"/>
  <c r="I2" i="2"/>
  <c r="I6" i="2"/>
  <c r="A19" i="2"/>
  <c r="A35" i="2"/>
  <c r="A22" i="2"/>
  <c r="A36" i="2"/>
  <c r="I3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<sst xmlns="http://schemas.openxmlformats.org/spreadsheetml/2006/main" count="2159" uniqueCount="372">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</sst>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10122410.5</v>
      </c>
    </row>
    <row r="8" spans="1:3" ht="15" customHeight="1" x14ac:dyDescent="0.25">
      <c r="B8" s="5" t="s">
        <v>8</v>
      </c>
      <c r="C8" s="44">
        <v>0.20699999999999999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0.82501170000000001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0.108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0.1923</v>
      </c>
    </row>
    <row r="24" spans="1:3" ht="15" customHeight="1" x14ac:dyDescent="0.25">
      <c r="B24" s="15" t="s">
        <v>22</v>
      </c>
      <c r="C24" s="45">
        <v>0.54949999999999999</v>
      </c>
    </row>
    <row r="25" spans="1:3" ht="15" customHeight="1" x14ac:dyDescent="0.25">
      <c r="B25" s="15" t="s">
        <v>23</v>
      </c>
      <c r="C25" s="45">
        <v>0.2422</v>
      </c>
    </row>
    <row r="26" spans="1:3" ht="15" customHeight="1" x14ac:dyDescent="0.25">
      <c r="B26" s="15" t="s">
        <v>24</v>
      </c>
      <c r="C26" s="45">
        <v>1.6E-2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0.23843800000000001</v>
      </c>
    </row>
    <row r="30" spans="1:3" ht="14.25" customHeight="1" x14ac:dyDescent="0.25">
      <c r="B30" s="25" t="s">
        <v>27</v>
      </c>
      <c r="C30" s="99">
        <v>0.13178809999999999</v>
      </c>
    </row>
    <row r="31" spans="1:3" ht="14.25" customHeight="1" x14ac:dyDescent="0.25">
      <c r="B31" s="25" t="s">
        <v>28</v>
      </c>
      <c r="C31" s="99">
        <v>0.1250917</v>
      </c>
    </row>
    <row r="32" spans="1:3" ht="14.25" customHeight="1" x14ac:dyDescent="0.25">
      <c r="B32" s="25" t="s">
        <v>29</v>
      </c>
      <c r="C32" s="99">
        <v>0.50468219999999997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8.1054700000000004</v>
      </c>
    </row>
    <row r="38" spans="1:5" ht="15" customHeight="1" x14ac:dyDescent="0.25">
      <c r="B38" s="11" t="s">
        <v>34</v>
      </c>
      <c r="C38" s="43">
        <v>11.39776</v>
      </c>
      <c r="D38" s="12"/>
      <c r="E38" s="13"/>
    </row>
    <row r="39" spans="1:5" ht="15" customHeight="1" x14ac:dyDescent="0.25">
      <c r="B39" s="11" t="s">
        <v>35</v>
      </c>
      <c r="C39" s="43">
        <v>13.240740000000001</v>
      </c>
      <c r="D39" s="12"/>
      <c r="E39" s="12"/>
    </row>
    <row r="40" spans="1:5" ht="15" customHeight="1" x14ac:dyDescent="0.25">
      <c r="B40" s="11" t="s">
        <v>36</v>
      </c>
      <c r="C40" s="100">
        <v>0.59</v>
      </c>
    </row>
    <row r="41" spans="1:5" ht="15" customHeight="1" x14ac:dyDescent="0.25">
      <c r="B41" s="11" t="s">
        <v>37</v>
      </c>
      <c r="C41" s="45">
        <v>0.13</v>
      </c>
    </row>
    <row r="42" spans="1:5" ht="15" customHeight="1" x14ac:dyDescent="0.25">
      <c r="B42" s="11" t="s">
        <v>38</v>
      </c>
      <c r="C42" s="43">
        <v>6.6129100000000003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6.1101999999999997E-3</v>
      </c>
      <c r="D45" s="12"/>
    </row>
    <row r="46" spans="1:5" ht="15.75" customHeight="1" x14ac:dyDescent="0.25">
      <c r="B46" s="11" t="s">
        <v>41</v>
      </c>
      <c r="C46" s="45">
        <v>6.4331199999999991E-2</v>
      </c>
      <c r="D46" s="12"/>
    </row>
    <row r="47" spans="1:5" ht="15.75" customHeight="1" x14ac:dyDescent="0.25">
      <c r="B47" s="11" t="s">
        <v>42</v>
      </c>
      <c r="C47" s="45">
        <v>6.5170800000000001E-2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0.61096899999999998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0.10150000000000001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2023623</v>
      </c>
      <c r="C2" s="49">
        <v>5490066</v>
      </c>
      <c r="D2" s="49">
        <v>10831664</v>
      </c>
      <c r="E2" s="49">
        <v>10243384.5</v>
      </c>
      <c r="F2" s="49">
        <v>8955226</v>
      </c>
      <c r="G2" s="17">
        <f t="shared" ref="G2:G13" si="0">C2+D2+E2+F2</f>
        <v>35520340.5</v>
      </c>
      <c r="H2" s="17">
        <f t="shared" ref="H2:H13" si="1">(B2 + stillbirth*B2/(1000-stillbirth))/(1-abortion)</f>
        <v>2341487.4943420715</v>
      </c>
      <c r="I2" s="17">
        <f t="shared" ref="I2:I13" si="2">G2-H2</f>
        <v>33178853.00565793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2003673</v>
      </c>
      <c r="C3" s="50">
        <v>5487934</v>
      </c>
      <c r="D3" s="50">
        <v>10835254</v>
      </c>
      <c r="E3" s="50">
        <v>10328717</v>
      </c>
      <c r="F3" s="50">
        <v>9059491</v>
      </c>
      <c r="G3" s="17">
        <f t="shared" si="0"/>
        <v>35711396</v>
      </c>
      <c r="H3" s="17">
        <f t="shared" si="1"/>
        <v>2318403.8095291769</v>
      </c>
      <c r="I3" s="17">
        <f t="shared" si="2"/>
        <v>33392992.190470822</v>
      </c>
    </row>
    <row r="4" spans="1:9" ht="15.75" customHeight="1" x14ac:dyDescent="0.25">
      <c r="A4" s="5">
        <f t="shared" si="3"/>
        <v>2026</v>
      </c>
      <c r="B4" s="49">
        <v>1989217</v>
      </c>
      <c r="C4" s="50">
        <v>5493063.5</v>
      </c>
      <c r="D4" s="50">
        <v>10841518</v>
      </c>
      <c r="E4" s="50">
        <v>10395328</v>
      </c>
      <c r="F4" s="50">
        <v>9167418.5</v>
      </c>
      <c r="G4" s="17">
        <f t="shared" si="0"/>
        <v>35897328</v>
      </c>
      <c r="H4" s="17">
        <f t="shared" si="1"/>
        <v>2301677.1053860593</v>
      </c>
      <c r="I4" s="17">
        <f t="shared" si="2"/>
        <v>33595650.894613944</v>
      </c>
    </row>
    <row r="5" spans="1:9" ht="15.75" customHeight="1" x14ac:dyDescent="0.25">
      <c r="A5" s="5">
        <f t="shared" si="3"/>
        <v>2027</v>
      </c>
      <c r="B5" s="49">
        <v>1972890</v>
      </c>
      <c r="C5" s="50">
        <v>5503195.5</v>
      </c>
      <c r="D5" s="50">
        <v>10854778.5</v>
      </c>
      <c r="E5" s="50">
        <v>10444399.5</v>
      </c>
      <c r="F5" s="50">
        <v>9271564</v>
      </c>
      <c r="G5" s="17">
        <f t="shared" si="0"/>
        <v>36073937.5</v>
      </c>
      <c r="H5" s="17">
        <f t="shared" si="1"/>
        <v>2282785.5103013404</v>
      </c>
      <c r="I5" s="17">
        <f t="shared" si="2"/>
        <v>33791151.989698663</v>
      </c>
    </row>
    <row r="6" spans="1:9" ht="15.75" customHeight="1" x14ac:dyDescent="0.25">
      <c r="A6" s="5">
        <f t="shared" si="3"/>
        <v>2028</v>
      </c>
      <c r="B6" s="49">
        <v>1959052</v>
      </c>
      <c r="C6" s="50">
        <v>5512773.5</v>
      </c>
      <c r="D6" s="50">
        <v>10869898.000000002</v>
      </c>
      <c r="E6" s="50">
        <v>10486410</v>
      </c>
      <c r="F6" s="50">
        <v>9369741</v>
      </c>
      <c r="G6" s="17">
        <f t="shared" si="0"/>
        <v>36238822.5</v>
      </c>
      <c r="H6" s="17">
        <f t="shared" si="1"/>
        <v>2266773.8797028023</v>
      </c>
      <c r="I6" s="17">
        <f t="shared" si="2"/>
        <v>33972048.620297201</v>
      </c>
    </row>
    <row r="7" spans="1:9" ht="15.75" customHeight="1" x14ac:dyDescent="0.25">
      <c r="A7" s="5">
        <f t="shared" si="3"/>
        <v>2029</v>
      </c>
      <c r="B7" s="49">
        <v>1947167</v>
      </c>
      <c r="C7" s="50">
        <v>5508035</v>
      </c>
      <c r="D7" s="50">
        <v>10881894.5</v>
      </c>
      <c r="E7" s="50">
        <v>10518152</v>
      </c>
      <c r="F7" s="50">
        <v>9474154.5</v>
      </c>
      <c r="G7" s="17">
        <f t="shared" si="0"/>
        <v>36382236</v>
      </c>
      <c r="H7" s="17">
        <f t="shared" si="1"/>
        <v>2253022.0203543687</v>
      </c>
      <c r="I7" s="17">
        <f t="shared" si="2"/>
        <v>34129213.979645632</v>
      </c>
    </row>
    <row r="8" spans="1:9" ht="15.75" customHeight="1" x14ac:dyDescent="0.25">
      <c r="A8" s="5">
        <f t="shared" si="3"/>
        <v>2030</v>
      </c>
      <c r="B8" s="49">
        <v>1934285</v>
      </c>
      <c r="C8" s="50">
        <v>5474412</v>
      </c>
      <c r="D8" s="50">
        <v>10882544</v>
      </c>
      <c r="E8" s="50">
        <v>10540235</v>
      </c>
      <c r="F8" s="50">
        <v>9595316.5</v>
      </c>
      <c r="G8" s="17">
        <f t="shared" si="0"/>
        <v>36492507.5</v>
      </c>
      <c r="H8" s="17">
        <f t="shared" si="1"/>
        <v>2238116.5553037566</v>
      </c>
      <c r="I8" s="17">
        <f t="shared" si="2"/>
        <v>34254390.94469624</v>
      </c>
    </row>
    <row r="9" spans="1:9" ht="15.75" customHeight="1" x14ac:dyDescent="0.25">
      <c r="A9" s="5">
        <f t="shared" si="3"/>
        <v>2031</v>
      </c>
      <c r="B9" s="49">
        <v>1923775</v>
      </c>
      <c r="C9" s="50">
        <v>5412676</v>
      </c>
      <c r="D9" s="50">
        <v>10874378</v>
      </c>
      <c r="E9" s="50">
        <v>10559290.5</v>
      </c>
      <c r="F9" s="50">
        <v>9719997</v>
      </c>
      <c r="G9" s="17">
        <f t="shared" si="0"/>
        <v>36566341.5</v>
      </c>
      <c r="H9" s="17">
        <f t="shared" si="1"/>
        <v>2225955.6767381667</v>
      </c>
      <c r="I9" s="17">
        <f t="shared" si="2"/>
        <v>34340385.823261835</v>
      </c>
    </row>
    <row r="10" spans="1:9" ht="15.75" customHeight="1" x14ac:dyDescent="0.25">
      <c r="A10" s="5">
        <f t="shared" si="3"/>
        <v>2032</v>
      </c>
      <c r="B10" s="49">
        <v>1912400</v>
      </c>
      <c r="C10" s="50">
        <v>5330048.5</v>
      </c>
      <c r="D10" s="50">
        <v>10866432.499999998</v>
      </c>
      <c r="E10" s="50">
        <v>10577962</v>
      </c>
      <c r="F10" s="50">
        <v>9831725.5</v>
      </c>
      <c r="G10" s="17">
        <f t="shared" si="0"/>
        <v>36606168.5</v>
      </c>
      <c r="H10" s="17">
        <f t="shared" si="1"/>
        <v>2212793.9266255512</v>
      </c>
      <c r="I10" s="17">
        <f t="shared" si="2"/>
        <v>34393374.57337445</v>
      </c>
    </row>
    <row r="11" spans="1:9" ht="15.75" customHeight="1" x14ac:dyDescent="0.25">
      <c r="A11" s="5">
        <f t="shared" si="3"/>
        <v>2033</v>
      </c>
      <c r="B11" s="49">
        <v>1900085</v>
      </c>
      <c r="C11" s="50">
        <v>5238995.5</v>
      </c>
      <c r="D11" s="50">
        <v>10860532</v>
      </c>
      <c r="E11" s="50">
        <v>10595898.000000002</v>
      </c>
      <c r="F11" s="50">
        <v>9934332.5</v>
      </c>
      <c r="G11" s="17">
        <f t="shared" si="0"/>
        <v>36629758</v>
      </c>
      <c r="H11" s="17">
        <f t="shared" si="1"/>
        <v>2198544.5241959374</v>
      </c>
      <c r="I11" s="17">
        <f t="shared" si="2"/>
        <v>34431213.475804061</v>
      </c>
    </row>
    <row r="12" spans="1:9" ht="15.75" customHeight="1" x14ac:dyDescent="0.25">
      <c r="A12" s="5">
        <f t="shared" si="3"/>
        <v>2034</v>
      </c>
      <c r="B12" s="49">
        <v>1888154</v>
      </c>
      <c r="C12" s="50">
        <v>5159702</v>
      </c>
      <c r="D12" s="50">
        <v>10847447</v>
      </c>
      <c r="E12" s="50">
        <v>10606483.5</v>
      </c>
      <c r="F12" s="50">
        <v>10031547.5</v>
      </c>
      <c r="G12" s="17">
        <f t="shared" si="0"/>
        <v>36645180</v>
      </c>
      <c r="H12" s="17">
        <f t="shared" si="1"/>
        <v>2184739.4393085865</v>
      </c>
      <c r="I12" s="17">
        <f t="shared" si="2"/>
        <v>34460440.560691416</v>
      </c>
    </row>
    <row r="13" spans="1:9" ht="15.75" customHeight="1" x14ac:dyDescent="0.25">
      <c r="A13" s="5">
        <f t="shared" si="3"/>
        <v>2035</v>
      </c>
      <c r="B13" s="49">
        <v>1876088</v>
      </c>
      <c r="C13" s="50">
        <v>5101111.5</v>
      </c>
      <c r="D13" s="50">
        <v>10812602.5</v>
      </c>
      <c r="E13" s="50">
        <v>10611331.999999998</v>
      </c>
      <c r="F13" s="50">
        <v>10117774.000000002</v>
      </c>
      <c r="G13" s="17">
        <f t="shared" si="0"/>
        <v>36642820</v>
      </c>
      <c r="H13" s="17">
        <f t="shared" si="1"/>
        <v>2170778.1490352838</v>
      </c>
      <c r="I13" s="17">
        <f t="shared" si="2"/>
        <v>34472041.850964718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0.1540929999999999</v>
      </c>
    </row>
    <row r="5" spans="1:8" ht="15.75" customHeight="1" x14ac:dyDescent="0.25">
      <c r="B5" s="19" t="s">
        <v>70</v>
      </c>
      <c r="C5" s="101">
        <v>4.3544600000000051E-2</v>
      </c>
    </row>
    <row r="6" spans="1:8" ht="15.75" customHeight="1" x14ac:dyDescent="0.25">
      <c r="B6" s="19" t="s">
        <v>71</v>
      </c>
      <c r="C6" s="101">
        <v>0.13350659999999989</v>
      </c>
    </row>
    <row r="7" spans="1:8" ht="15.75" customHeight="1" x14ac:dyDescent="0.25">
      <c r="B7" s="19" t="s">
        <v>72</v>
      </c>
      <c r="C7" s="101">
        <v>0.34353199999999989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0.24229560000000019</v>
      </c>
    </row>
    <row r="10" spans="1:8" ht="15.75" customHeight="1" x14ac:dyDescent="0.25">
      <c r="B10" s="19" t="s">
        <v>75</v>
      </c>
      <c r="C10" s="101">
        <v>8.3028199999999941E-2</v>
      </c>
    </row>
    <row r="11" spans="1:8" ht="15.75" customHeight="1" x14ac:dyDescent="0.25">
      <c r="B11" s="27" t="s">
        <v>30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0.1310706655975018</v>
      </c>
      <c r="D14" s="55">
        <v>0.1310706655975018</v>
      </c>
      <c r="E14" s="55">
        <v>0.1310706655975018</v>
      </c>
      <c r="F14" s="55">
        <v>0.1310706655975018</v>
      </c>
    </row>
    <row r="15" spans="1:8" ht="15.75" customHeight="1" x14ac:dyDescent="0.25">
      <c r="B15" s="19" t="s">
        <v>82</v>
      </c>
      <c r="C15" s="101">
        <v>0.32579698637507032</v>
      </c>
      <c r="D15" s="101">
        <v>0.32579698637507032</v>
      </c>
      <c r="E15" s="101">
        <v>0.32579698637507032</v>
      </c>
      <c r="F15" s="101">
        <v>0.32579698637507032</v>
      </c>
    </row>
    <row r="16" spans="1:8" ht="15.75" customHeight="1" x14ac:dyDescent="0.25">
      <c r="B16" s="19" t="s">
        <v>83</v>
      </c>
      <c r="C16" s="101">
        <v>3.0352653282682381E-2</v>
      </c>
      <c r="D16" s="101">
        <v>3.0352653282682381E-2</v>
      </c>
      <c r="E16" s="101">
        <v>3.0352653282682381E-2</v>
      </c>
      <c r="F16" s="101">
        <v>3.0352653282682381E-2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7.463023990219639E-3</v>
      </c>
      <c r="D19" s="101">
        <v>7.463023990219639E-3</v>
      </c>
      <c r="E19" s="101">
        <v>7.463023990219639E-3</v>
      </c>
      <c r="F19" s="101">
        <v>7.463023990219639E-3</v>
      </c>
    </row>
    <row r="20" spans="1:8" ht="15.75" customHeight="1" x14ac:dyDescent="0.25">
      <c r="B20" s="19" t="s">
        <v>87</v>
      </c>
      <c r="C20" s="101">
        <v>2.4205317759995671E-2</v>
      </c>
      <c r="D20" s="101">
        <v>2.4205317759995671E-2</v>
      </c>
      <c r="E20" s="101">
        <v>2.4205317759995671E-2</v>
      </c>
      <c r="F20" s="101">
        <v>2.4205317759995671E-2</v>
      </c>
    </row>
    <row r="21" spans="1:8" ht="15.75" customHeight="1" x14ac:dyDescent="0.25">
      <c r="B21" s="19" t="s">
        <v>88</v>
      </c>
      <c r="C21" s="101">
        <v>0.33452651561541241</v>
      </c>
      <c r="D21" s="101">
        <v>0.33452651561541241</v>
      </c>
      <c r="E21" s="101">
        <v>0.33452651561541241</v>
      </c>
      <c r="F21" s="101">
        <v>0.33452651561541241</v>
      </c>
    </row>
    <row r="22" spans="1:8" ht="15.75" customHeight="1" x14ac:dyDescent="0.25">
      <c r="B22" s="19" t="s">
        <v>89</v>
      </c>
      <c r="C22" s="101">
        <v>0.14658483737911779</v>
      </c>
      <c r="D22" s="101">
        <v>0.14658483737911779</v>
      </c>
      <c r="E22" s="101">
        <v>0.14658483737911779</v>
      </c>
      <c r="F22" s="101">
        <v>0.14658483737911779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5.3514945000000001E-2</v>
      </c>
    </row>
    <row r="27" spans="1:8" ht="15.75" customHeight="1" x14ac:dyDescent="0.25">
      <c r="B27" s="19" t="s">
        <v>92</v>
      </c>
      <c r="C27" s="101">
        <v>2.8541006000000001E-2</v>
      </c>
    </row>
    <row r="28" spans="1:8" ht="15.75" customHeight="1" x14ac:dyDescent="0.25">
      <c r="B28" s="19" t="s">
        <v>93</v>
      </c>
      <c r="C28" s="101">
        <v>0.187630466</v>
      </c>
    </row>
    <row r="29" spans="1:8" ht="15.75" customHeight="1" x14ac:dyDescent="0.25">
      <c r="B29" s="19" t="s">
        <v>94</v>
      </c>
      <c r="C29" s="101">
        <v>0.27936675700000002</v>
      </c>
    </row>
    <row r="30" spans="1:8" ht="15.75" customHeight="1" x14ac:dyDescent="0.25">
      <c r="B30" s="19" t="s">
        <v>95</v>
      </c>
      <c r="C30" s="101">
        <v>9.2226500000000002E-4</v>
      </c>
    </row>
    <row r="31" spans="1:8" ht="15.75" customHeight="1" x14ac:dyDescent="0.25">
      <c r="B31" s="19" t="s">
        <v>96</v>
      </c>
      <c r="C31" s="101">
        <v>7.2676198999999997E-2</v>
      </c>
    </row>
    <row r="32" spans="1:8" ht="15.75" customHeight="1" x14ac:dyDescent="0.25">
      <c r="B32" s="19" t="s">
        <v>97</v>
      </c>
      <c r="C32" s="101">
        <v>4.4662927999999998E-2</v>
      </c>
    </row>
    <row r="33" spans="2:3" ht="15.75" customHeight="1" x14ac:dyDescent="0.25">
      <c r="B33" s="19" t="s">
        <v>98</v>
      </c>
      <c r="C33" s="101">
        <v>0.14648158999999999</v>
      </c>
    </row>
    <row r="34" spans="2:3" ht="15.75" customHeight="1" x14ac:dyDescent="0.25">
      <c r="B34" s="19" t="s">
        <v>99</v>
      </c>
      <c r="C34" s="101">
        <v>0.18620384500000001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0.58386943192158447</v>
      </c>
      <c r="D2" s="52">
        <f>IFERROR(1-_xlfn.NORM.DIST(_xlfn.NORM.INV(SUM(D4:D5), 0, 1) + 1, 0, 1, TRUE), "")</f>
        <v>0.58386943192158447</v>
      </c>
      <c r="E2" s="52">
        <f>IFERROR(1-_xlfn.NORM.DIST(_xlfn.NORM.INV(SUM(E4:E5), 0, 1) + 1, 0, 1, TRUE), "")</f>
        <v>0.59904026500765561</v>
      </c>
      <c r="F2" s="52">
        <f>IFERROR(1-_xlfn.NORM.DIST(_xlfn.NORM.INV(SUM(F4:F5), 0, 1) + 1, 0, 1, TRUE), "")</f>
        <v>0.4178738712092348</v>
      </c>
      <c r="G2" s="52">
        <f>IFERROR(1-_xlfn.NORM.DIST(_xlfn.NORM.INV(SUM(G4:G5), 0, 1) + 1, 0, 1, TRUE), "")</f>
        <v>0.55338444676169551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0.30333656807841547</v>
      </c>
      <c r="D3" s="52">
        <f>IFERROR(_xlfn.NORM.DIST(_xlfn.NORM.INV(SUM(D4:D5), 0, 1) + 1, 0, 1, TRUE) - SUM(D4:D5), "")</f>
        <v>0.30333656807841547</v>
      </c>
      <c r="E3" s="52">
        <f>IFERROR(_xlfn.NORM.DIST(_xlfn.NORM.INV(SUM(E4:E5), 0, 1) + 1, 0, 1, TRUE) - SUM(E4:E5), "")</f>
        <v>0.29546763499234441</v>
      </c>
      <c r="F3" s="52">
        <f>IFERROR(_xlfn.NORM.DIST(_xlfn.NORM.INV(SUM(F4:F5), 0, 1) + 1, 0, 1, TRUE) - SUM(F4:F5), "")</f>
        <v>0.36813942879076522</v>
      </c>
      <c r="G3" s="52">
        <f>IFERROR(_xlfn.NORM.DIST(_xlfn.NORM.INV(SUM(G4:G5), 0, 1) + 1, 0, 1, TRUE) - SUM(G4:G5), "")</f>
        <v>0.31826375323830458</v>
      </c>
    </row>
    <row r="4" spans="1:15" ht="15.75" customHeight="1" x14ac:dyDescent="0.25">
      <c r="B4" s="5" t="s">
        <v>104</v>
      </c>
      <c r="C4" s="45">
        <v>9.6012400000000012E-2</v>
      </c>
      <c r="D4" s="53">
        <v>9.6012400000000012E-2</v>
      </c>
      <c r="E4" s="53">
        <v>8.0807699999999996E-2</v>
      </c>
      <c r="F4" s="53">
        <v>0.15705279999999999</v>
      </c>
      <c r="G4" s="53">
        <v>0.1019114</v>
      </c>
    </row>
    <row r="5" spans="1:15" ht="15.75" customHeight="1" x14ac:dyDescent="0.25">
      <c r="B5" s="5" t="s">
        <v>105</v>
      </c>
      <c r="C5" s="45">
        <v>1.6781600000000001E-2</v>
      </c>
      <c r="D5" s="53">
        <v>1.6781600000000001E-2</v>
      </c>
      <c r="E5" s="53">
        <v>2.4684399999999999E-2</v>
      </c>
      <c r="F5" s="53">
        <v>5.6933900000000003E-2</v>
      </c>
      <c r="G5" s="53">
        <v>2.6440399999999999E-2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0.77685468030084026</v>
      </c>
      <c r="D8" s="52">
        <f>IFERROR(1-_xlfn.NORM.DIST(_xlfn.NORM.INV(SUM(D10:D11), 0, 1) + 1, 0, 1, TRUE), "")</f>
        <v>0.77685468030084026</v>
      </c>
      <c r="E8" s="52">
        <f>IFERROR(1-_xlfn.NORM.DIST(_xlfn.NORM.INV(SUM(E10:E11), 0, 1) + 1, 0, 1, TRUE), "")</f>
        <v>0.80894052763806945</v>
      </c>
      <c r="F8" s="52">
        <f>IFERROR(1-_xlfn.NORM.DIST(_xlfn.NORM.INV(SUM(F10:F11), 0, 1) + 1, 0, 1, TRUE), "")</f>
        <v>0.92437234173385519</v>
      </c>
      <c r="G8" s="52">
        <f>IFERROR(1-_xlfn.NORM.DIST(_xlfn.NORM.INV(SUM(G10:G11), 0, 1) + 1, 0, 1, TRUE), "")</f>
        <v>0.90640630747336237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0.18407801969915977</v>
      </c>
      <c r="D9" s="52">
        <f>IFERROR(_xlfn.NORM.DIST(_xlfn.NORM.INV(SUM(D10:D11), 0, 1) + 1, 0, 1, TRUE) - SUM(D10:D11), "")</f>
        <v>0.18407801969915977</v>
      </c>
      <c r="E9" s="52">
        <f>IFERROR(_xlfn.NORM.DIST(_xlfn.NORM.INV(SUM(E10:E11), 0, 1) + 1, 0, 1, TRUE) - SUM(E10:E11), "")</f>
        <v>0.16059417236193055</v>
      </c>
      <c r="F9" s="52">
        <f>IFERROR(_xlfn.NORM.DIST(_xlfn.NORM.INV(SUM(F10:F11), 0, 1) + 1, 0, 1, TRUE) - SUM(F10:F11), "")</f>
        <v>6.8184058266144792E-2</v>
      </c>
      <c r="G9" s="52">
        <f>IFERROR(_xlfn.NORM.DIST(_xlfn.NORM.INV(SUM(G10:G11), 0, 1) + 1, 0, 1, TRUE) - SUM(G10:G11), "")</f>
        <v>8.3394692526637629E-2</v>
      </c>
    </row>
    <row r="10" spans="1:15" ht="15.75" customHeight="1" x14ac:dyDescent="0.25">
      <c r="B10" s="5" t="s">
        <v>109</v>
      </c>
      <c r="C10" s="45">
        <v>3.3972000000000002E-2</v>
      </c>
      <c r="D10" s="53">
        <v>3.3972000000000002E-2</v>
      </c>
      <c r="E10" s="53">
        <v>1.06941E-2</v>
      </c>
      <c r="F10" s="53">
        <v>7.4435999999999999E-3</v>
      </c>
      <c r="G10" s="53">
        <v>7.1650000000000004E-3</v>
      </c>
    </row>
    <row r="11" spans="1:15" ht="15.75" customHeight="1" x14ac:dyDescent="0.25">
      <c r="B11" s="5" t="s">
        <v>110</v>
      </c>
      <c r="C11" s="45">
        <v>5.0953000000000014E-3</v>
      </c>
      <c r="D11" s="53">
        <v>5.0953000000000014E-3</v>
      </c>
      <c r="E11" s="53">
        <v>1.9771199999999999E-2</v>
      </c>
      <c r="F11" s="53">
        <v>0</v>
      </c>
      <c r="G11" s="53">
        <v>3.0339999999999998E-3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0.39200000000000002</v>
      </c>
      <c r="D14" s="54">
        <v>0.39200000000000002</v>
      </c>
      <c r="E14" s="54">
        <v>0.39200000000000002</v>
      </c>
      <c r="F14" s="54">
        <v>0.37509999999999999</v>
      </c>
      <c r="G14" s="54">
        <v>0.24879999999999999</v>
      </c>
      <c r="H14" s="45">
        <v>0.19600000000000001</v>
      </c>
      <c r="I14" s="55">
        <v>0.19600000000000001</v>
      </c>
      <c r="J14" s="55">
        <v>0.19600000000000001</v>
      </c>
      <c r="K14" s="55">
        <v>0.19600000000000001</v>
      </c>
      <c r="L14" s="45">
        <v>0.14399999999999999</v>
      </c>
      <c r="M14" s="55">
        <v>0.14399999999999999</v>
      </c>
      <c r="N14" s="55">
        <v>0.14399999999999999</v>
      </c>
      <c r="O14" s="55">
        <v>0.14399999999999999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0.23949984800000002</v>
      </c>
      <c r="D15" s="52">
        <f t="shared" si="0"/>
        <v>0.23949984800000002</v>
      </c>
      <c r="E15" s="52">
        <f t="shared" si="0"/>
        <v>0.23949984800000002</v>
      </c>
      <c r="F15" s="52">
        <f t="shared" si="0"/>
        <v>0.22917447189999998</v>
      </c>
      <c r="G15" s="52">
        <f t="shared" si="0"/>
        <v>0.1520090872</v>
      </c>
      <c r="H15" s="52">
        <f t="shared" si="0"/>
        <v>0.11974992400000001</v>
      </c>
      <c r="I15" s="52">
        <f t="shared" si="0"/>
        <v>0.11974992400000001</v>
      </c>
      <c r="J15" s="52">
        <f t="shared" si="0"/>
        <v>0.11974992400000001</v>
      </c>
      <c r="K15" s="52">
        <f t="shared" si="0"/>
        <v>0.11974992400000001</v>
      </c>
      <c r="L15" s="52">
        <f t="shared" si="0"/>
        <v>8.7979535999999997E-2</v>
      </c>
      <c r="M15" s="52">
        <f t="shared" si="0"/>
        <v>8.7979535999999997E-2</v>
      </c>
      <c r="N15" s="52">
        <f t="shared" si="0"/>
        <v>8.7979535999999997E-2</v>
      </c>
      <c r="O15" s="52">
        <f t="shared" si="0"/>
        <v>8.7979535999999997E-2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0.37103969999999997</v>
      </c>
      <c r="D2" s="53">
        <v>0.23591980000000001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0.18044669999999999</v>
      </c>
      <c r="D3" s="53">
        <v>9.0277700000000002E-2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0.28596440000000001</v>
      </c>
      <c r="D4" s="53">
        <v>0.42006130000000003</v>
      </c>
      <c r="E4" s="53">
        <v>0.56871260000000001</v>
      </c>
      <c r="F4" s="53">
        <v>0.35001369999999998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0.16254920000000006</v>
      </c>
      <c r="D5" s="52">
        <f t="shared" si="0"/>
        <v>0.25374119999999989</v>
      </c>
      <c r="E5" s="52">
        <f>1-SUM(E2:E4)</f>
        <v>0.43128739999999999</v>
      </c>
      <c r="F5" s="52">
        <f>1-SUM(F2:F4)</f>
        <v>0.64998630000000002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11496.522871604901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0.35458000000000001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0.49984000000000001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9.8512837300426224E-3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98574.806190000003</v>
      </c>
      <c r="C22" s="109">
        <v>98467.046789999993</v>
      </c>
      <c r="D22" s="109">
        <v>98325.069560000004</v>
      </c>
      <c r="E22" s="109">
        <v>97976.977360000004</v>
      </c>
      <c r="F22" s="109">
        <v>97420.948260000005</v>
      </c>
      <c r="G22" s="109">
        <v>96744.895050000006</v>
      </c>
      <c r="H22" s="109">
        <v>95981.164189999996</v>
      </c>
      <c r="I22" s="109">
        <v>95006.865909999993</v>
      </c>
      <c r="J22" s="109">
        <v>93675.762740000006</v>
      </c>
      <c r="K22" s="109">
        <v>91938.764039999995</v>
      </c>
      <c r="L22" s="109">
        <v>89387.439480000001</v>
      </c>
      <c r="M22" s="109">
        <v>85734.940530000007</v>
      </c>
      <c r="N22" s="109">
        <v>80683.667300000001</v>
      </c>
      <c r="O22" s="109">
        <v>73332.879620000007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19.75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19.75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35.1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0.48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0.44994896638918952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1.516970800969268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0.5</v>
      </c>
      <c r="C9" s="98">
        <v>0.95</v>
      </c>
      <c r="D9" s="56">
        <v>0.25711131554737809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</v>
      </c>
      <c r="C10" s="98">
        <v>0.95</v>
      </c>
      <c r="D10" s="56">
        <v>12.76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12.76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12.76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12.76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</v>
      </c>
      <c r="C14" s="98">
        <v>0.95</v>
      </c>
      <c r="D14" s="56">
        <v>12.76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12.76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</v>
      </c>
      <c r="C16" s="98">
        <v>0.95</v>
      </c>
      <c r="D16" s="56">
        <v>5.8835597567123799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2.3937511111111101E-2</v>
      </c>
      <c r="C17" s="98">
        <v>0.95</v>
      </c>
      <c r="D17" s="56">
        <v>0.14000000000000001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0.23591980000000001</v>
      </c>
      <c r="C18" s="98">
        <v>0.95</v>
      </c>
      <c r="D18" s="56">
        <v>35.1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0.23591980000000001</v>
      </c>
      <c r="C19" s="98">
        <v>0.95</v>
      </c>
      <c r="D19" s="56">
        <v>36.54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7.48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35.1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</v>
      </c>
      <c r="C23" s="98">
        <v>0.95</v>
      </c>
      <c r="D23" s="56">
        <v>4.21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0.69322219271638008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</v>
      </c>
      <c r="C26" s="98">
        <v>0.95</v>
      </c>
      <c r="D26" s="56">
        <v>5.4142612323969894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5.5183816407123158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0.52424380000000004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0.5944374</v>
      </c>
      <c r="C29" s="98">
        <v>0.95</v>
      </c>
      <c r="D29" s="56">
        <v>206.81375092158379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124.66848615801089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65.179375605394526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</v>
      </c>
      <c r="C32" s="98">
        <v>0.95</v>
      </c>
      <c r="D32" s="56">
        <v>1.1973846956262573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0.93940820000000003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0.13994980000000001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2.1327200000000001E-2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0.97755639999999999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8.7485800000000002E-2</v>
      </c>
      <c r="C38" s="98">
        <v>0.95</v>
      </c>
      <c r="D38" s="56">
        <v>2.4500000000000002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3.43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197</v>
      </c>
      <c r="B3" s="21">
        <f>frac_mam_1month * 2.6</f>
        <v>8.8327200000000008E-2</v>
      </c>
      <c r="C3" s="21">
        <f>frac_mam_1_5months * 2.6</f>
        <v>8.8327200000000008E-2</v>
      </c>
      <c r="D3" s="21">
        <f>frac_mam_6_11months * 2.6</f>
        <v>2.7804660000000002E-2</v>
      </c>
      <c r="E3" s="21">
        <f>frac_mam_12_23months * 2.6</f>
        <v>1.935336E-2</v>
      </c>
      <c r="F3" s="21">
        <f>frac_mam_24_59months * 2.6</f>
        <v>1.8629000000000003E-2</v>
      </c>
    </row>
    <row r="4" spans="1:6" ht="15.75" customHeight="1" x14ac:dyDescent="0.25">
      <c r="A4" s="3" t="s">
        <v>198</v>
      </c>
      <c r="B4" s="21">
        <f>frac_sam_1month * 2.6</f>
        <v>1.3247780000000004E-2</v>
      </c>
      <c r="C4" s="21">
        <f>frac_sam_1_5months * 2.6</f>
        <v>1.3247780000000004E-2</v>
      </c>
      <c r="D4" s="21">
        <f>frac_sam_6_11months * 2.6</f>
        <v>5.1405119999999999E-2</v>
      </c>
      <c r="E4" s="21">
        <f>frac_sam_12_23months * 2.6</f>
        <v>0</v>
      </c>
      <c r="F4" s="21">
        <f>frac_sam_24_59months * 2.6</f>
        <v>7.8884000000000003E-3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0.20699999999999999</v>
      </c>
      <c r="F2" s="60">
        <f>food_insecure</f>
        <v>0.20699999999999999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0.20699999999999999</v>
      </c>
      <c r="F5" s="60">
        <f>food_insecure</f>
        <v>0.20699999999999999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0.20699999999999999</v>
      </c>
      <c r="F8" s="60">
        <f>food_insecure</f>
        <v>0.20699999999999999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0.20699999999999999</v>
      </c>
      <c r="F9" s="60">
        <f>food_insecure</f>
        <v>0.20699999999999999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0.20699999999999999</v>
      </c>
      <c r="I15" s="60">
        <f t="shared" si="0"/>
        <v>0.20699999999999999</v>
      </c>
      <c r="J15" s="60">
        <f t="shared" si="0"/>
        <v>0.20699999999999999</v>
      </c>
      <c r="K15" s="60">
        <f t="shared" si="0"/>
        <v>0.20699999999999999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0.20699999999999999</v>
      </c>
      <c r="I16" s="60">
        <f t="shared" si="0"/>
        <v>0.20699999999999999</v>
      </c>
      <c r="J16" s="60">
        <f t="shared" si="0"/>
        <v>0.20699999999999999</v>
      </c>
      <c r="K16" s="60">
        <f t="shared" si="0"/>
        <v>0.20699999999999999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0.108</v>
      </c>
      <c r="M24" s="60">
        <f>famplan_unmet_need</f>
        <v>0.108</v>
      </c>
      <c r="N24" s="60">
        <f>famplan_unmet_need</f>
        <v>0.108</v>
      </c>
      <c r="O24" s="60">
        <f>famplan_unmet_need</f>
        <v>0.108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9.3351008400999996E-2</v>
      </c>
      <c r="M25" s="60">
        <f>(1-food_insecure)*(0.49)+food_insecure*(0.7)</f>
        <v>0.53347</v>
      </c>
      <c r="N25" s="60">
        <f>(1-food_insecure)*(0.49)+food_insecure*(0.7)</f>
        <v>0.53347</v>
      </c>
      <c r="O25" s="60">
        <f>(1-food_insecure)*(0.49)+food_insecure*(0.7)</f>
        <v>0.53347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4.0007575029E-2</v>
      </c>
      <c r="M26" s="60">
        <f>(1-food_insecure)*(0.21)+food_insecure*(0.3)</f>
        <v>0.22863</v>
      </c>
      <c r="N26" s="60">
        <f>(1-food_insecure)*(0.21)+food_insecure*(0.3)</f>
        <v>0.22863</v>
      </c>
      <c r="O26" s="60">
        <f>(1-food_insecure)*(0.21)+food_insecure*(0.3)</f>
        <v>0.22863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4.1629716569999996E-2</v>
      </c>
      <c r="M27" s="60">
        <f>(1-food_insecure)*(0.3)</f>
        <v>0.2379</v>
      </c>
      <c r="N27" s="60">
        <f>(1-food_insecure)*(0.3)</f>
        <v>0.2379</v>
      </c>
      <c r="O27" s="60">
        <f>(1-food_insecure)*(0.3)</f>
        <v>0.2379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0.82501170000000001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2025-06-25T23:21:08Z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