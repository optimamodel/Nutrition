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EA5B666-7EB9-47F8-A99F-3C856DC42E56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<sst xmlns="http://schemas.openxmlformats.org/spreadsheetml/2006/main" count="2159" uniqueCount="372">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</sst>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16210</v>
      </c>
    </row>
    <row r="8" spans="1:3" ht="15" customHeight="1" x14ac:dyDescent="0.25">
      <c r="B8" s="5" t="s">
        <v>8</v>
      </c>
      <c r="C8" s="44">
        <v>0.129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2.3699999999999999E-2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0.4929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20.781860000000002</v>
      </c>
    </row>
    <row r="38" spans="1:5" ht="15" customHeight="1" x14ac:dyDescent="0.25">
      <c r="B38" s="11" t="s">
        <v>34</v>
      </c>
      <c r="C38" s="43">
        <v>38.256639999999997</v>
      </c>
      <c r="D38" s="12"/>
      <c r="E38" s="13"/>
    </row>
    <row r="39" spans="1:5" ht="15" customHeight="1" x14ac:dyDescent="0.25">
      <c r="B39" s="11" t="s">
        <v>35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6.1607999999999993E-3</v>
      </c>
      <c r="D45" s="12"/>
    </row>
    <row r="46" spans="1:5" ht="15.75" customHeight="1" x14ac:dyDescent="0.25">
      <c r="B46" s="11" t="s">
        <v>41</v>
      </c>
      <c r="C46" s="45">
        <v>6.6196500000000005E-2</v>
      </c>
      <c r="D46" s="12"/>
    </row>
    <row r="47" spans="1:5" ht="15.75" customHeight="1" x14ac:dyDescent="0.25">
      <c r="B47" s="11" t="s">
        <v>42</v>
      </c>
      <c r="C47" s="45">
        <v>7.5142600000000004E-2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0.56834600000000002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3405</v>
      </c>
      <c r="C2" s="49">
        <v>6281</v>
      </c>
      <c r="D2" s="49">
        <v>11286.999999999998</v>
      </c>
      <c r="E2" s="49">
        <v>10271.5</v>
      </c>
      <c r="F2" s="49">
        <v>7147</v>
      </c>
      <c r="G2" s="17">
        <f t="shared" ref="G2:G13" si="0">C2+D2+E2+F2</f>
        <v>34986.5</v>
      </c>
      <c r="H2" s="17">
        <f t="shared" ref="H2:H13" si="1">(B2 + stillbirth*B2/(1000-stillbirth))/(1-abortion)</f>
        <v>3924.7235433265582</v>
      </c>
      <c r="I2" s="17">
        <f t="shared" ref="I2:I13" si="2">G2-H2</f>
        <v>31061.77645667344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3385</v>
      </c>
      <c r="C3" s="50">
        <v>6600.5</v>
      </c>
      <c r="D3" s="50">
        <v>11146.5</v>
      </c>
      <c r="E3" s="50">
        <v>10441</v>
      </c>
      <c r="F3" s="50">
        <v>7457</v>
      </c>
      <c r="G3" s="17">
        <f t="shared" si="0"/>
        <v>35645</v>
      </c>
      <c r="H3" s="17">
        <f t="shared" si="1"/>
        <v>3901.6708352893979</v>
      </c>
      <c r="I3" s="17">
        <f t="shared" si="2"/>
        <v>31743.329164710602</v>
      </c>
    </row>
    <row r="4" spans="1:9" ht="15.75" customHeight="1" x14ac:dyDescent="0.25">
      <c r="A4" s="5">
        <f t="shared" si="3"/>
        <v>2026</v>
      </c>
      <c r="B4" s="49">
        <v>3370</v>
      </c>
      <c r="C4" s="50">
        <v>6901.5</v>
      </c>
      <c r="D4" s="50">
        <v>11056.999999999998</v>
      </c>
      <c r="E4" s="50">
        <v>10610</v>
      </c>
      <c r="F4" s="50">
        <v>7771</v>
      </c>
      <c r="G4" s="17">
        <f t="shared" si="0"/>
        <v>36339.5</v>
      </c>
      <c r="H4" s="17">
        <f t="shared" si="1"/>
        <v>3884.3813042615275</v>
      </c>
      <c r="I4" s="17">
        <f t="shared" si="2"/>
        <v>32455.118695738471</v>
      </c>
    </row>
    <row r="5" spans="1:9" ht="15.75" customHeight="1" x14ac:dyDescent="0.25">
      <c r="A5" s="5">
        <f t="shared" si="3"/>
        <v>2027</v>
      </c>
      <c r="B5" s="49">
        <v>3363</v>
      </c>
      <c r="C5" s="50">
        <v>7141.5</v>
      </c>
      <c r="D5" s="50">
        <v>11045</v>
      </c>
      <c r="E5" s="50">
        <v>10765.5</v>
      </c>
      <c r="F5" s="50">
        <v>8081.5</v>
      </c>
      <c r="G5" s="17">
        <f t="shared" si="0"/>
        <v>37033.5</v>
      </c>
      <c r="H5" s="17">
        <f t="shared" si="1"/>
        <v>3876.3128564485214</v>
      </c>
      <c r="I5" s="17">
        <f t="shared" si="2"/>
        <v>33157.187143551477</v>
      </c>
    </row>
    <row r="6" spans="1:9" ht="15.75" customHeight="1" x14ac:dyDescent="0.25">
      <c r="A6" s="5">
        <f t="shared" si="3"/>
        <v>2028</v>
      </c>
      <c r="B6" s="49">
        <v>3363</v>
      </c>
      <c r="C6" s="50">
        <v>7299</v>
      </c>
      <c r="D6" s="50">
        <v>11119.499999999998</v>
      </c>
      <c r="E6" s="50">
        <v>10893.999999999998</v>
      </c>
      <c r="F6" s="50">
        <v>8374.5000000000018</v>
      </c>
      <c r="G6" s="17">
        <f t="shared" si="0"/>
        <v>37687</v>
      </c>
      <c r="H6" s="17">
        <f t="shared" si="1"/>
        <v>3876.3128564485214</v>
      </c>
      <c r="I6" s="17">
        <f t="shared" si="2"/>
        <v>33810.687143551477</v>
      </c>
    </row>
    <row r="7" spans="1:9" ht="15.75" customHeight="1" x14ac:dyDescent="0.25">
      <c r="A7" s="5">
        <f t="shared" si="3"/>
        <v>2029</v>
      </c>
      <c r="B7" s="49">
        <v>3368</v>
      </c>
      <c r="C7" s="50">
        <v>7388.5</v>
      </c>
      <c r="D7" s="50">
        <v>11273.5</v>
      </c>
      <c r="E7" s="50">
        <v>10984.5</v>
      </c>
      <c r="F7" s="50">
        <v>8634.5</v>
      </c>
      <c r="G7" s="17">
        <f t="shared" si="0"/>
        <v>38281</v>
      </c>
      <c r="H7" s="17">
        <f t="shared" si="1"/>
        <v>3882.0760334578117</v>
      </c>
      <c r="I7" s="17">
        <f t="shared" si="2"/>
        <v>34398.923966542192</v>
      </c>
    </row>
    <row r="8" spans="1:9" ht="15.75" customHeight="1" x14ac:dyDescent="0.25">
      <c r="A8" s="5">
        <f t="shared" si="3"/>
        <v>2030</v>
      </c>
      <c r="B8" s="49">
        <v>3376</v>
      </c>
      <c r="C8" s="50">
        <v>7424</v>
      </c>
      <c r="D8" s="50">
        <v>11517.5</v>
      </c>
      <c r="E8" s="50">
        <v>11012</v>
      </c>
      <c r="F8" s="50">
        <v>8880.5</v>
      </c>
      <c r="G8" s="17">
        <f t="shared" si="0"/>
        <v>38834</v>
      </c>
      <c r="H8" s="17">
        <f t="shared" si="1"/>
        <v>3891.2971166726757</v>
      </c>
      <c r="I8" s="17">
        <f t="shared" si="2"/>
        <v>34942.702883327322</v>
      </c>
    </row>
    <row r="9" spans="1:9" ht="15.75" customHeight="1" x14ac:dyDescent="0.25">
      <c r="A9" s="5">
        <f t="shared" si="3"/>
        <v>2031</v>
      </c>
      <c r="B9" s="49">
        <v>3389</v>
      </c>
      <c r="C9" s="50">
        <v>7418</v>
      </c>
      <c r="D9" s="50">
        <v>11854.500000000002</v>
      </c>
      <c r="E9" s="50">
        <v>10965.499999999998</v>
      </c>
      <c r="F9" s="50">
        <v>9128</v>
      </c>
      <c r="G9" s="17">
        <f t="shared" si="0"/>
        <v>39366</v>
      </c>
      <c r="H9" s="17">
        <f t="shared" si="1"/>
        <v>3906.2813768968299</v>
      </c>
      <c r="I9" s="17">
        <f t="shared" si="2"/>
        <v>35459.718623103166</v>
      </c>
    </row>
    <row r="10" spans="1:9" ht="15.75" customHeight="1" x14ac:dyDescent="0.25">
      <c r="A10" s="5">
        <f t="shared" si="3"/>
        <v>2032</v>
      </c>
      <c r="B10" s="49">
        <v>3406</v>
      </c>
      <c r="C10" s="50">
        <v>7403</v>
      </c>
      <c r="D10" s="50">
        <v>12251.000000000002</v>
      </c>
      <c r="E10" s="50">
        <v>10856.5</v>
      </c>
      <c r="F10" s="50">
        <v>9354.5</v>
      </c>
      <c r="G10" s="17">
        <f t="shared" si="0"/>
        <v>39865</v>
      </c>
      <c r="H10" s="17">
        <f t="shared" si="1"/>
        <v>3925.8761787284166</v>
      </c>
      <c r="I10" s="17">
        <f t="shared" si="2"/>
        <v>35939.123821271583</v>
      </c>
    </row>
    <row r="11" spans="1:9" ht="15.75" customHeight="1" x14ac:dyDescent="0.25">
      <c r="A11" s="5">
        <f t="shared" si="3"/>
        <v>2033</v>
      </c>
      <c r="B11" s="49">
        <v>3422</v>
      </c>
      <c r="C11" s="50">
        <v>7409</v>
      </c>
      <c r="D11" s="50">
        <v>12670.5</v>
      </c>
      <c r="E11" s="50">
        <v>10703.5</v>
      </c>
      <c r="F11" s="50">
        <v>9550.5</v>
      </c>
      <c r="G11" s="17">
        <f t="shared" si="0"/>
        <v>40333.5</v>
      </c>
      <c r="H11" s="17">
        <f t="shared" si="1"/>
        <v>3944.3183451581449</v>
      </c>
      <c r="I11" s="17">
        <f t="shared" si="2"/>
        <v>36389.181654841857</v>
      </c>
    </row>
    <row r="12" spans="1:9" ht="15.75" customHeight="1" x14ac:dyDescent="0.25">
      <c r="A12" s="5">
        <f t="shared" si="3"/>
        <v>2034</v>
      </c>
      <c r="B12" s="49">
        <v>3436</v>
      </c>
      <c r="C12" s="50">
        <v>7444.5</v>
      </c>
      <c r="D12" s="50">
        <v>13068.999999999998</v>
      </c>
      <c r="E12" s="50">
        <v>10544</v>
      </c>
      <c r="F12" s="50">
        <v>9726</v>
      </c>
      <c r="G12" s="17">
        <f t="shared" si="0"/>
        <v>40783.5</v>
      </c>
      <c r="H12" s="17">
        <f t="shared" si="1"/>
        <v>3960.455240784157</v>
      </c>
      <c r="I12" s="17">
        <f t="shared" si="2"/>
        <v>36823.044759215845</v>
      </c>
    </row>
    <row r="13" spans="1:9" ht="15.75" customHeight="1" x14ac:dyDescent="0.25">
      <c r="A13" s="5">
        <f t="shared" si="3"/>
        <v>2035</v>
      </c>
      <c r="B13" s="49">
        <v>3449</v>
      </c>
      <c r="C13" s="50">
        <v>7494</v>
      </c>
      <c r="D13" s="50">
        <v>13418</v>
      </c>
      <c r="E13" s="50">
        <v>10413</v>
      </c>
      <c r="F13" s="50">
        <v>9897.5</v>
      </c>
      <c r="G13" s="17">
        <f t="shared" si="0"/>
        <v>41222.5</v>
      </c>
      <c r="H13" s="17">
        <f t="shared" si="1"/>
        <v>3975.4395010083113</v>
      </c>
      <c r="I13" s="17">
        <f t="shared" si="2"/>
        <v>37247.06049899169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7.2434000000000057E-3</v>
      </c>
    </row>
    <row r="4" spans="1:8" ht="15.75" customHeight="1" x14ac:dyDescent="0.25">
      <c r="B4" s="19" t="s">
        <v>69</v>
      </c>
      <c r="C4" s="101">
        <v>4.3596400000000077E-2</v>
      </c>
    </row>
    <row r="5" spans="1:8" ht="15.75" customHeight="1" x14ac:dyDescent="0.25">
      <c r="B5" s="19" t="s">
        <v>70</v>
      </c>
      <c r="C5" s="101">
        <v>6.4211200000000065E-2</v>
      </c>
    </row>
    <row r="6" spans="1:8" ht="15.75" customHeight="1" x14ac:dyDescent="0.25">
      <c r="B6" s="19" t="s">
        <v>71</v>
      </c>
      <c r="C6" s="101">
        <v>0.23054500000000039</v>
      </c>
    </row>
    <row r="7" spans="1:8" ht="15.75" customHeight="1" x14ac:dyDescent="0.25">
      <c r="B7" s="19" t="s">
        <v>72</v>
      </c>
      <c r="C7" s="101">
        <v>0.41386899999999921</v>
      </c>
    </row>
    <row r="8" spans="1:8" ht="15.75" customHeight="1" x14ac:dyDescent="0.25">
      <c r="B8" s="19" t="s">
        <v>73</v>
      </c>
      <c r="C8" s="101">
        <v>1.0072000000000011E-3</v>
      </c>
    </row>
    <row r="9" spans="1:8" ht="15.75" customHeight="1" x14ac:dyDescent="0.25">
      <c r="B9" s="19" t="s">
        <v>74</v>
      </c>
      <c r="C9" s="101">
        <v>0.1080942</v>
      </c>
    </row>
    <row r="10" spans="1:8" ht="15.75" customHeight="1" x14ac:dyDescent="0.25">
      <c r="B10" s="19" t="s">
        <v>75</v>
      </c>
      <c r="C10" s="101">
        <v>0.13143360000000009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82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83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89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104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4.3992699999999885E-2</v>
      </c>
      <c r="D5" s="52">
        <f t="shared" si="0"/>
        <v>0.10466839999999999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1701.9706648880799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1.9653477213582189E-2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94773.202749999997</v>
      </c>
      <c r="C22" s="109">
        <v>94252.389890000006</v>
      </c>
      <c r="D22" s="109">
        <v>93886.773430000001</v>
      </c>
      <c r="E22" s="109">
        <v>93081.456699999995</v>
      </c>
      <c r="F22" s="109">
        <v>91671.541849999994</v>
      </c>
      <c r="G22" s="109">
        <v>89898.854250000004</v>
      </c>
      <c r="H22" s="109">
        <v>87657.911559999993</v>
      </c>
      <c r="I22" s="109">
        <v>84619.157200000001</v>
      </c>
      <c r="J22" s="109">
        <v>80361.275609999997</v>
      </c>
      <c r="K22" s="109">
        <v>74598.932979999998</v>
      </c>
      <c r="L22" s="109">
        <v>67251.099560000002</v>
      </c>
      <c r="M22" s="109">
        <v>58082.532160000002</v>
      </c>
      <c r="N22" s="109">
        <v>47553.40797</v>
      </c>
      <c r="O22" s="109">
        <v>36338.407200000001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2.172624196694712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0.195379</v>
      </c>
      <c r="C10" s="98">
        <v>0.95</v>
      </c>
      <c r="D10" s="56">
        <v>14.31436711706729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14.31436711706729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14.31436711706729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14.31436711706729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0.195379</v>
      </c>
      <c r="C14" s="98">
        <v>0.95</v>
      </c>
      <c r="D14" s="56">
        <v>14.31436711706729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14.31436711706729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0.62829849999999998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0.62829849999999998</v>
      </c>
      <c r="C19" s="98">
        <v>0.95</v>
      </c>
      <c r="D19" s="56">
        <v>3.7356966196012209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4.7368458458873084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0.61590661134138003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0.195379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0.6128325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9.3018500000000004E-2</v>
      </c>
      <c r="C29" s="98">
        <v>0.95</v>
      </c>
      <c r="D29" s="56">
        <v>76.423918391184941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0.37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0.55683169999999993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5.30184E-2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2.0643499999999999E-2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0.41100759999999997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0.1351242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198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0.129</v>
      </c>
      <c r="F2" s="60">
        <f>food_insecure</f>
        <v>0.129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0.129</v>
      </c>
      <c r="I15" s="60">
        <f t="shared" si="0"/>
        <v>0.129</v>
      </c>
      <c r="J15" s="60">
        <f t="shared" si="0"/>
        <v>0.129</v>
      </c>
      <c r="K15" s="60">
        <f t="shared" si="0"/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0.129</v>
      </c>
      <c r="I16" s="60">
        <f t="shared" si="0"/>
        <v>0.129</v>
      </c>
      <c r="J16" s="60">
        <f t="shared" si="0"/>
        <v>0.129</v>
      </c>
      <c r="K16" s="60">
        <f t="shared" si="0"/>
        <v>0.129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