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LiST Optima bridge\App\en\"/>
    </mc:Choice>
  </mc:AlternateContent>
  <xr:revisionPtr revIDLastSave="0" documentId="8_{BB7024D2-8FB0-47DC-9713-EB3551065AF4}" xr6:coauthVersionLast="47" xr6:coauthVersionMax="47" xr10:uidLastSave="{00000000-0000-0000-0000-000000000000}"/>
  <bookViews>
    <workbookView xWindow="-110" yWindow="-110" windowWidth="19420" windowHeight="10420" tabRatio="961" xr2:uid="{00000000-000D-0000-FFFF-FFFF00000000}"/>
  </bookViews>
  <sheets>
    <sheet name="Baseline year population inputs" sheetId="1" r:id="rId1"/>
    <sheet name="Demographic projections" sheetId="2" r:id="rId2"/>
    <sheet name="Causes of death" sheetId="3" r:id="rId3"/>
    <sheet name="Nutritional status distribution" sheetId="4" r:id="rId4"/>
    <sheet name="Breastfeeding distribution" sheetId="5" r:id="rId5"/>
    <sheet name="Time trends" sheetId="6" r:id="rId6"/>
    <sheet name="Economic loss" sheetId="7" r:id="rId7"/>
    <sheet name="IYCF packages" sheetId="8" r:id="rId8"/>
    <sheet name="Treatment of SAM" sheetId="9" r:id="rId9"/>
    <sheet name="Programs cost and coverage" sheetId="10" r:id="rId10"/>
    <sheet name="Program dependencies" sheetId="11" r:id="rId11"/>
    <sheet name="Reference programs" sheetId="12" state="hidden" r:id="rId12"/>
    <sheet name="Incidence of conditions" sheetId="13" state="hidden" r:id="rId13"/>
    <sheet name="Programs target population" sheetId="14" state="hidden" r:id="rId14"/>
    <sheet name="Cost curve options" sheetId="15" state="hidden" r:id="rId15"/>
    <sheet name="Programs family planning" sheetId="16" state="hidden" r:id="rId16"/>
    <sheet name="Programs impacted population" sheetId="17" state="hidden" r:id="rId17"/>
    <sheet name="Program risk areas" sheetId="18" state="hidden" r:id="rId18"/>
    <sheet name="Population risk areas" sheetId="19" state="hidden" r:id="rId19"/>
    <sheet name="IYCF odds ratios" sheetId="20" state="hidden" r:id="rId20"/>
    <sheet name="Birth outcome risks" sheetId="21" state="hidden" r:id="rId21"/>
    <sheet name="Relative risks" sheetId="22" state="hidden" r:id="rId22"/>
    <sheet name="Odds ratios" sheetId="23" state="hidden" r:id="rId23"/>
    <sheet name="Programs birth outcomes" sheetId="24" state="hidden" r:id="rId24"/>
    <sheet name="Programs anaemia" sheetId="25" state="hidden" r:id="rId25"/>
    <sheet name="Programs wasting" sheetId="26" state="hidden" r:id="rId26"/>
    <sheet name="Programs for children" sheetId="27" state="hidden" r:id="rId27"/>
    <sheet name="Programs for PW" sheetId="28" state="hidden" r:id="rId28"/>
  </sheets>
  <definedNames>
    <definedName name="abortion" localSheetId="7">'Baseline year population inputs'!$C$38</definedName>
    <definedName name="abortion">'Baseline year population inputs'!$C$41</definedName>
    <definedName name="comm_deliv">'Treatment of SAM'!$D$3</definedName>
    <definedName name="diarrhoea_1_5mo">'Baseline year population inputs'!$C$52</definedName>
    <definedName name="diarrhoea_12_23mo">'Baseline year population inputs'!$C$54</definedName>
    <definedName name="diarrhoea_1mo">'Baseline year population inputs'!$C$51</definedName>
    <definedName name="diarrhoea_24_59mo">'Baseline year population inputs'!$C$55</definedName>
    <definedName name="diarrhoea_6_11mo">'Baseline year population inputs'!$C$53</definedName>
    <definedName name="end_year">'Baseline year population inputs'!$C$4</definedName>
    <definedName name="famplan_unmet_need">'Baseline year population inputs'!$C$13</definedName>
    <definedName name="food_insecure">'Baseline year population inputs'!$C$8</definedName>
    <definedName name="frac_children_health_facility">'Baseline year population inputs'!$C$12</definedName>
    <definedName name="frac_diarrhea_severe">'Baseline year population inputs'!$C$58</definedName>
    <definedName name="frac_maize">'Baseline year population inputs'!$C$19</definedName>
    <definedName name="frac_malaria_risk">'Baseline year population inputs'!$C$9</definedName>
    <definedName name="frac_mam_1_5months">'Nutritional status distribution'!$D$10</definedName>
    <definedName name="frac_mam_12_23months">'Nutritional status distribution'!$F$10</definedName>
    <definedName name="frac_mam_1month">'Nutritional status distribution'!$C$10</definedName>
    <definedName name="frac_mam_24_59months">'Nutritional status distribution'!$G$10</definedName>
    <definedName name="frac_mam_6_11months">'Nutritional status distribution'!$E$10</definedName>
    <definedName name="frac_MAMtoSAM">'Baseline year population inputs'!#REF!</definedName>
    <definedName name="frac_other_staples">'Baseline year population inputs'!$C$20</definedName>
    <definedName name="frac_PW_health_facility">'Baseline year population inputs'!$C$11</definedName>
    <definedName name="frac_rice">'Baseline year population inputs'!$C$17</definedName>
    <definedName name="frac_sam_1_5months">'Nutritional status distribution'!$D$11</definedName>
    <definedName name="frac_sam_12_23months">'Nutritional status distribution'!$F$11</definedName>
    <definedName name="frac_sam_1month">'Nutritional status distribution'!$C$11</definedName>
    <definedName name="frac_sam_24_59months">'Nutritional status distribution'!$G$11</definedName>
    <definedName name="frac_sam_6_11months">'Nutritional status distribution'!$E$11</definedName>
    <definedName name="frac_SAMtoMAM">'Baseline year population inputs'!#REF!</definedName>
    <definedName name="frac_subsistence_farming">'Baseline year population inputs'!$C$16</definedName>
    <definedName name="frac_wheat">'Baseline year population inputs'!$C$18</definedName>
    <definedName name="infant_mortality">'Baseline year population inputs'!$C$38</definedName>
    <definedName name="iron_deficiency_anaemia">'Baseline year population inputs'!$C$59</definedName>
    <definedName name="manage_mam">'Treatment of SAM'!$D$2</definedName>
    <definedName name="maternal_mortality">'Baseline year population inputs'!$C$40</definedName>
    <definedName name="neonatal_mortality">'Baseline year population inputs'!$C$37</definedName>
    <definedName name="Percentage_of_pregnant_women_attending_health_facility">'Baseline year population inputs'!$C$11</definedName>
    <definedName name="preterm_AGA">'Baseline year population inputs'!$C$46</definedName>
    <definedName name="preterm_SGA">'Baseline year population inputs'!$C$45</definedName>
    <definedName name="school_attendance">'Baseline year population inputs'!$C$10</definedName>
    <definedName name="start_year">'Baseline year population inputs'!$C$3</definedName>
    <definedName name="stillbirth" localSheetId="7">'Baseline year population inputs'!$C$39</definedName>
    <definedName name="stillbirth">'Baseline year population inputs'!$C$42</definedName>
    <definedName name="term_AGA">'Baseline year population inputs'!$C$48</definedName>
    <definedName name="term_SGA">'Baseline year population inputs'!$C$47</definedName>
    <definedName name="U5_mortality">'Baseline year population inputs'!$C$39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28" l="1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G152" i="27"/>
  <c r="F152" i="27"/>
  <c r="E152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H130" i="27"/>
  <c r="G130" i="27"/>
  <c r="F130" i="27"/>
  <c r="E130" i="27"/>
  <c r="D130" i="27"/>
  <c r="E129" i="27"/>
  <c r="D129" i="27"/>
  <c r="H128" i="27"/>
  <c r="G128" i="27"/>
  <c r="F128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G112" i="27"/>
  <c r="F112" i="27"/>
  <c r="E112" i="27"/>
  <c r="D112" i="27"/>
  <c r="H97" i="27"/>
  <c r="H152" i="27" s="1"/>
  <c r="G97" i="27"/>
  <c r="F97" i="27"/>
  <c r="E97" i="27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D133" i="27" s="1"/>
  <c r="H77" i="27"/>
  <c r="G77" i="27"/>
  <c r="F77" i="27"/>
  <c r="E77" i="27"/>
  <c r="H76" i="27"/>
  <c r="G76" i="27"/>
  <c r="F76" i="27"/>
  <c r="E76" i="27"/>
  <c r="D76" i="27"/>
  <c r="D131" i="27" s="1"/>
  <c r="H75" i="27"/>
  <c r="G75" i="27"/>
  <c r="F75" i="27"/>
  <c r="E75" i="27"/>
  <c r="D75" i="27"/>
  <c r="E74" i="27"/>
  <c r="D74" i="27"/>
  <c r="H73" i="27"/>
  <c r="G73" i="27"/>
  <c r="F73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H112" i="27" s="1"/>
  <c r="G57" i="27"/>
  <c r="F57" i="27"/>
  <c r="E57" i="27"/>
  <c r="D57" i="27"/>
  <c r="H20" i="27"/>
  <c r="G20" i="27"/>
  <c r="F20" i="27"/>
  <c r="H18" i="27"/>
  <c r="G18" i="27"/>
  <c r="F18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E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E26" i="25"/>
  <c r="O14" i="25"/>
  <c r="N14" i="25"/>
  <c r="M14" i="25"/>
  <c r="L14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49" i="23"/>
  <c r="F49" i="23"/>
  <c r="E49" i="23"/>
  <c r="D49" i="23"/>
  <c r="C44" i="23"/>
  <c r="G40" i="23"/>
  <c r="F40" i="23"/>
  <c r="E40" i="23"/>
  <c r="D40" i="23"/>
  <c r="C40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F121" i="20"/>
  <c r="E121" i="20"/>
  <c r="D121" i="20"/>
  <c r="H120" i="20"/>
  <c r="F120" i="20"/>
  <c r="E120" i="20"/>
  <c r="D120" i="20"/>
  <c r="H119" i="20"/>
  <c r="G119" i="20"/>
  <c r="F119" i="20"/>
  <c r="E119" i="20"/>
  <c r="D119" i="20"/>
  <c r="H118" i="20"/>
  <c r="G118" i="20"/>
  <c r="E118" i="20"/>
  <c r="D118" i="20"/>
  <c r="H117" i="20"/>
  <c r="G117" i="20"/>
  <c r="E117" i="20"/>
  <c r="D117" i="20"/>
  <c r="H116" i="20"/>
  <c r="G116" i="20"/>
  <c r="F116" i="20"/>
  <c r="E116" i="20"/>
  <c r="D116" i="20"/>
  <c r="H115" i="20"/>
  <c r="G115" i="20"/>
  <c r="F115" i="20"/>
  <c r="D115" i="20"/>
  <c r="H114" i="20"/>
  <c r="G114" i="20"/>
  <c r="F114" i="20"/>
  <c r="D114" i="20"/>
  <c r="H113" i="20"/>
  <c r="G113" i="20"/>
  <c r="F113" i="20"/>
  <c r="E113" i="20"/>
  <c r="D113" i="20"/>
  <c r="H112" i="20"/>
  <c r="G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E68" i="20"/>
  <c r="D68" i="20"/>
  <c r="H67" i="20"/>
  <c r="F67" i="20"/>
  <c r="E67" i="20"/>
  <c r="D67" i="20"/>
  <c r="H66" i="20"/>
  <c r="G66" i="20"/>
  <c r="F66" i="20"/>
  <c r="E66" i="20"/>
  <c r="D66" i="20"/>
  <c r="H65" i="20"/>
  <c r="G65" i="20"/>
  <c r="E65" i="20"/>
  <c r="D65" i="20"/>
  <c r="H64" i="20"/>
  <c r="G64" i="20"/>
  <c r="E64" i="20"/>
  <c r="D64" i="20"/>
  <c r="H63" i="20"/>
  <c r="G63" i="20"/>
  <c r="F63" i="20"/>
  <c r="E63" i="20"/>
  <c r="D63" i="20"/>
  <c r="H62" i="20"/>
  <c r="G62" i="20"/>
  <c r="F62" i="20"/>
  <c r="D62" i="20"/>
  <c r="H61" i="20"/>
  <c r="G61" i="20"/>
  <c r="F61" i="20"/>
  <c r="D61" i="20"/>
  <c r="H60" i="20"/>
  <c r="G60" i="20"/>
  <c r="F60" i="20"/>
  <c r="E60" i="20"/>
  <c r="D60" i="20"/>
  <c r="H59" i="20"/>
  <c r="G59" i="20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B1" i="10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A1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A1" i="4"/>
  <c r="C35" i="3"/>
  <c r="F23" i="3"/>
  <c r="E23" i="3"/>
  <c r="D23" i="3"/>
  <c r="C23" i="3"/>
  <c r="C11" i="3"/>
  <c r="A1" i="3"/>
  <c r="I40" i="2"/>
  <c r="H40" i="2"/>
  <c r="G40" i="2"/>
  <c r="I39" i="2"/>
  <c r="H39" i="2"/>
  <c r="G39" i="2"/>
  <c r="A39" i="2"/>
  <c r="I38" i="2"/>
  <c r="H38" i="2"/>
  <c r="G38" i="2"/>
  <c r="A37" i="2"/>
  <c r="A36" i="2"/>
  <c r="A34" i="2"/>
  <c r="A33" i="2"/>
  <c r="A32" i="2"/>
  <c r="A31" i="2"/>
  <c r="A29" i="2"/>
  <c r="A28" i="2"/>
  <c r="A26" i="2"/>
  <c r="A25" i="2"/>
  <c r="A24" i="2"/>
  <c r="A23" i="2"/>
  <c r="A21" i="2"/>
  <c r="A20" i="2"/>
  <c r="A18" i="2"/>
  <c r="A17" i="2"/>
  <c r="A16" i="2"/>
  <c r="A15" i="2"/>
  <c r="I13" i="2"/>
  <c r="H13" i="2"/>
  <c r="G13" i="2"/>
  <c r="I12" i="2"/>
  <c r="H12" i="2"/>
  <c r="G12" i="2"/>
  <c r="I11" i="2"/>
  <c r="H11" i="2"/>
  <c r="G11" i="2"/>
  <c r="I10" i="2"/>
  <c r="H10" i="2"/>
  <c r="G10" i="2"/>
  <c r="H9" i="2"/>
  <c r="I9" i="2" s="1"/>
  <c r="G9" i="2"/>
  <c r="I8" i="2"/>
  <c r="H8" i="2"/>
  <c r="G8" i="2"/>
  <c r="H7" i="2"/>
  <c r="I7" i="2" s="1"/>
  <c r="G7" i="2"/>
  <c r="I6" i="2"/>
  <c r="H6" i="2"/>
  <c r="G6" i="2"/>
  <c r="H5" i="2"/>
  <c r="I5" i="2" s="1"/>
  <c r="G5" i="2"/>
  <c r="I4" i="2"/>
  <c r="H4" i="2"/>
  <c r="G4" i="2"/>
  <c r="H3" i="2"/>
  <c r="I3" i="2" s="1"/>
  <c r="G3" i="2"/>
  <c r="A3" i="2"/>
  <c r="I2" i="2"/>
  <c r="H2" i="2"/>
  <c r="G2" i="2"/>
  <c r="A2" i="2"/>
  <c r="A40" i="2" s="1"/>
  <c r="C33" i="1"/>
  <c r="C20" i="1"/>
  <c r="A19" i="2" l="1"/>
  <c r="A27" i="2"/>
  <c r="A35" i="2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/>
  <c r="A22" i="2"/>
  <c r="A30" i="2"/>
  <c r="A3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28" authorId="0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0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0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0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1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89" authorId="1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125" authorId="0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1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00000000-0006-0000-1600-000001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B6" authorId="0" shapeId="0" xr:uid="{00000000-0006-0000-1600-000002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4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5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6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9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A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1" shapeId="0" xr:uid="{00000000-0006-0000-1600-00000B000000}">
      <text>
        <r>
          <rPr>
            <sz val="10"/>
            <color rgb="FF000000"/>
            <rFont val="Arial"/>
          </rPr>
          <t>Tharindu Wickramaarachchi:
OR = 1.50 (1.26-1.78) for exclusive breastfeeding in children &lt; 1 month.</t>
        </r>
      </text>
    </comment>
    <comment ref="D12" authorId="1" shapeId="0" xr:uid="{00000000-0006-0000-1600-00000C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C15" authorId="0" shapeId="0" xr:uid="{00000000-0006-0000-1600-00000D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16" authorId="0" shapeId="0" xr:uid="{00000000-0006-0000-1600-00000E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27" authorId="0" shapeId="0" xr:uid="{00000000-0006-0000-1600-00000F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A28" authorId="1" shapeId="0" xr:uid="{00000000-0006-0000-1600-000010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1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12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13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4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5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37" authorId="1" shapeId="0" xr:uid="{00000000-0006-0000-1600-000016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38" authorId="0" shapeId="0" xr:uid="{00000000-0006-0000-1600-000017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39" authorId="0" shapeId="0" xr:uid="{00000000-0006-0000-1600-000018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B44" authorId="1" shapeId="0" xr:uid="{00000000-0006-0000-1600-000019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50" authorId="0" shapeId="0" xr:uid="{00000000-0006-0000-1600-00001A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A51" authorId="1" shapeId="0" xr:uid="{00000000-0006-0000-1600-00001B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C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D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E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1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C61" authorId="0" shapeId="0" xr:uid="{00000000-0006-0000-1600-000020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62" authorId="0" shapeId="0" xr:uid="{00000000-0006-0000-1600-000021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4" authorId="0" shapeId="0" xr:uid="{00000000-0006-0000-1800-00000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3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4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0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0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2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3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1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2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4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5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F18" authorId="0" shapeId="0" xr:uid="{00000000-0006-0000-1800-00002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G18" authorId="0" shapeId="0" xr:uid="{00000000-0006-0000-1800-00002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H18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I18" authorId="0" shapeId="0" xr:uid="{00000000-0006-0000-1800-00002E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J18" authorId="0" shapeId="0" xr:uid="{00000000-0006-0000-1800-00002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K18" authorId="0" shapeId="0" xr:uid="{00000000-0006-0000-1800-00003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L18" authorId="0" shapeId="0" xr:uid="{00000000-0006-0000-1800-00003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M18" authorId="0" shapeId="0" xr:uid="{00000000-0006-0000-1800-00003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N18" authorId="0" shapeId="0" xr:uid="{00000000-0006-0000-1800-00003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O18" authorId="0" shapeId="0" xr:uid="{00000000-0006-0000-1800-00003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19" authorId="0" shapeId="0" xr:uid="{00000000-0006-0000-1800-000035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36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F20" authorId="0" shapeId="0" xr:uid="{00000000-0006-0000-1800-000037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G20" authorId="0" shapeId="0" xr:uid="{00000000-0006-0000-1800-000038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H20" authorId="0" shapeId="0" xr:uid="{00000000-0006-0000-1800-000039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I20" authorId="0" shapeId="0" xr:uid="{00000000-0006-0000-1800-00003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J20" authorId="0" shapeId="0" xr:uid="{00000000-0006-0000-1800-00003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K20" authorId="0" shapeId="0" xr:uid="{00000000-0006-0000-1800-00003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L20" authorId="0" shapeId="0" xr:uid="{00000000-0006-0000-1800-00003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M20" authorId="0" shapeId="0" xr:uid="{00000000-0006-0000-1800-00003E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N20" authorId="0" shapeId="0" xr:uid="{00000000-0006-0000-1800-00003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O20" authorId="0" shapeId="0" xr:uid="{00000000-0006-0000-1800-00004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1" authorId="0" shapeId="0" xr:uid="{00000000-0006-0000-1800-00004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42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3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27" authorId="0" shapeId="0" xr:uid="{00000000-0006-0000-1800-00004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4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4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4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4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4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4E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4F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5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5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52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53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5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5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5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5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1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62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6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64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5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6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2" authorId="0" shapeId="0" xr:uid="{00000000-0006-0000-1800-000067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3" authorId="0" shapeId="0" xr:uid="{00000000-0006-0000-1800-000068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69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6A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50" authorId="0" shapeId="0" xr:uid="{00000000-0006-0000-1800-00006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6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6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6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6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7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7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7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7E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7F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80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81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82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83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84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85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86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8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8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8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8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8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8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4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95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96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97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9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5" authorId="0" shapeId="0" xr:uid="{00000000-0006-0000-1800-00009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6" authorId="0" shapeId="0" xr:uid="{00000000-0006-0000-1800-00009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9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1" shapeId="0" xr:uid="{00000000-0006-0000-1A00-000013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20" authorId="1" shapeId="0" xr:uid="{00000000-0006-0000-1A00-000014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22" authorId="0" shapeId="0" xr:uid="{00000000-0006-0000-1A00-000015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6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7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43" authorId="0" shapeId="0" xr:uid="{00000000-0006-0000-1A00-000018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9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A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1B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1C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1D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1E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1F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0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2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3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4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5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7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8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9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A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2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2C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2D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2E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2F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1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4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3B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3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3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3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3F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1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3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1" shapeId="0" xr:uid="{00000000-0006-0000-1A00-000044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5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6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7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8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99" authorId="0" shapeId="0" xr:uid="{00000000-0006-0000-1A00-000049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4A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4B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4C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4D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4E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4F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0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1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2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3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4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5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56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57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58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59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5A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5B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5C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5D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5E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5F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0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1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2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3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4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5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66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6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68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69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6A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6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6C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6D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6E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6F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1" shapeId="0" xr:uid="{00000000-0006-0000-1A00-000070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1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2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3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74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54" authorId="0" shapeId="0" xr:uid="{00000000-0006-0000-1A00-00007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7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77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78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79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7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7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7C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7D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7E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7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81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82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83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8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8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86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87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88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89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0" shapeId="0" xr:uid="{00000000-0006-0000-1B00-00000D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0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0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0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0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0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0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0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<sst xmlns="http://schemas.openxmlformats.org/spreadsheetml/2006/main" count="2103" uniqueCount="341">
  <si>
    <t>Baseline year data</t>
  </si>
  <si>
    <t>Field</t>
  </si>
  <si>
    <t>Data</t>
  </si>
  <si>
    <t>Projection years</t>
  </si>
  <si>
    <t>Baseline year (projection start year)</t>
  </si>
  <si>
    <t>End year</t>
  </si>
  <si>
    <t>Population data</t>
  </si>
  <si>
    <t>Children under 5 population</t>
  </si>
  <si>
    <t>Percentage of population food insecure (default poor)</t>
  </si>
  <si>
    <t>Percentage of population at risk of malaria</t>
  </si>
  <si>
    <t>School attendance (percentage of 15-19 year women)</t>
  </si>
  <si>
    <t>Percentage of pregnant women attending health facility</t>
  </si>
  <si>
    <t>Percentage of children attending health facility</t>
  </si>
  <si>
    <t>Unmet need for family planning</t>
  </si>
  <si>
    <t>Food</t>
  </si>
  <si>
    <t>Fraction of subsistence farming</t>
  </si>
  <si>
    <t>Fraction eating rice as main staple food</t>
  </si>
  <si>
    <t>Fraction eating wheat as main staple food</t>
  </si>
  <si>
    <t>Fraction eating maize as main staple food</t>
  </si>
  <si>
    <t>Fraction on other staples as main staple food</t>
  </si>
  <si>
    <t>Age distribution of pregnant women</t>
  </si>
  <si>
    <t>Percentage of pregnant women 15-19 years</t>
  </si>
  <si>
    <t>Percentage of pregnant women 20-29 years</t>
  </si>
  <si>
    <t>Percentage of pregnant women 30-39 years</t>
  </si>
  <si>
    <t>Percentage of pregnant women 40-49 years</t>
  </si>
  <si>
    <t>Birth spacing</t>
  </si>
  <si>
    <t>First birth</t>
  </si>
  <si>
    <t>less than 18 months</t>
  </si>
  <si>
    <t>18-23 months</t>
  </si>
  <si>
    <t>24 months or greater</t>
  </si>
  <si>
    <t>Total (must be 100%)</t>
  </si>
  <si>
    <t>Baseline year mortality and risk factors</t>
  </si>
  <si>
    <t>Mortality</t>
  </si>
  <si>
    <t>Neonatal mortality (per 1,000 live births)</t>
  </si>
  <si>
    <t>Infant mortality (per 1,000 live births)</t>
  </si>
  <si>
    <t>Under 5 mortality (per 1,000 live births)</t>
  </si>
  <si>
    <t>Maternal mortality (per 1,000 live births)</t>
  </si>
  <si>
    <t>Fraction of pregnancies ending in spontaneous abortion</t>
  </si>
  <si>
    <t>Stillbirths (per 1,000 total births)</t>
  </si>
  <si>
    <t>Birth outcome distribution</t>
  </si>
  <si>
    <t>Pre-term SGA</t>
  </si>
  <si>
    <t>Pre-term AGA</t>
  </si>
  <si>
    <t>Term SGA</t>
  </si>
  <si>
    <t>Term AGA</t>
  </si>
  <si>
    <t>Diarrhoea incidence</t>
  </si>
  <si>
    <t>Average episodes per year: &lt;1 month</t>
  </si>
  <si>
    <t>Average episodes per year: 1-5 months</t>
  </si>
  <si>
    <t>Average episodes per year: 6-11 months</t>
  </si>
  <si>
    <t>Average episodes per year: 12-23 months</t>
  </si>
  <si>
    <t>Average episodes per year: 24-59 months</t>
  </si>
  <si>
    <t>Other risks</t>
  </si>
  <si>
    <t>Percentage of diarrhea that is severe</t>
  </si>
  <si>
    <t>Percentage of anaemia that is iron deficient</t>
  </si>
  <si>
    <t>Prevalence of pre-eclampsia</t>
  </si>
  <si>
    <t>Prevalence of eclampsia</t>
  </si>
  <si>
    <t>Low birth weight</t>
  </si>
  <si>
    <t>year</t>
  </si>
  <si>
    <t>Number of births</t>
  </si>
  <si>
    <t>WRA: 15-19 years</t>
  </si>
  <si>
    <t>WRA: 20-29 years</t>
  </si>
  <si>
    <t>WRA: 30-39 years</t>
  </si>
  <si>
    <t>WRA: 40-49 years</t>
  </si>
  <si>
    <t>Total WRA</t>
  </si>
  <si>
    <t>Estimated pregnant women</t>
  </si>
  <si>
    <t>non-pregnant WRA</t>
  </si>
  <si>
    <t>Neonatal</t>
  </si>
  <si>
    <t>Causes</t>
  </si>
  <si>
    <t>&lt;1 month</t>
  </si>
  <si>
    <t>Neonatal diarrhoea</t>
  </si>
  <si>
    <t>Neonatal sepsis</t>
  </si>
  <si>
    <t>Neonatal pneumonia</t>
  </si>
  <si>
    <t>Neonatal asphyxia</t>
  </si>
  <si>
    <t>Neonatal prematurity</t>
  </si>
  <si>
    <t>Neonatal tetanus</t>
  </si>
  <si>
    <t>Neonatal congenital anomalies</t>
  </si>
  <si>
    <t>Neonatal other</t>
  </si>
  <si>
    <t>Children</t>
  </si>
  <si>
    <t>1-5 months</t>
  </si>
  <si>
    <t>6-11 months</t>
  </si>
  <si>
    <t>12-23 months</t>
  </si>
  <si>
    <t>24-59 months</t>
  </si>
  <si>
    <t>Diarrhoea</t>
  </si>
  <si>
    <t>Pneumonia</t>
  </si>
  <si>
    <t>Meningitis</t>
  </si>
  <si>
    <t>Measles</t>
  </si>
  <si>
    <t>Malaria</t>
  </si>
  <si>
    <t>Pertussis</t>
  </si>
  <si>
    <t>AIDS</t>
  </si>
  <si>
    <t>Injury</t>
  </si>
  <si>
    <t>Other</t>
  </si>
  <si>
    <t>Pregnant women</t>
  </si>
  <si>
    <t>Antepartum haemorrhage</t>
  </si>
  <si>
    <t>Intrapartum haemorrhage</t>
  </si>
  <si>
    <t>Postpartum haemorrhage</t>
  </si>
  <si>
    <t>Hypertensive disorders</t>
  </si>
  <si>
    <t>Sepsis</t>
  </si>
  <si>
    <t>Abortion</t>
  </si>
  <si>
    <t>Embolism</t>
  </si>
  <si>
    <t>Other direct causes</t>
  </si>
  <si>
    <t>Indirect causes</t>
  </si>
  <si>
    <t>Status</t>
  </si>
  <si>
    <t>Stunting (height-for-age)</t>
  </si>
  <si>
    <t>Normal (HAZ-score &gt; -1)</t>
  </si>
  <si>
    <t>Mild (HAZ-score between -2 and -1)</t>
  </si>
  <si>
    <t>Moderate (HAZ-score between -3 and -2)</t>
  </si>
  <si>
    <t>High (HAZ-score &lt; -3)</t>
  </si>
  <si>
    <t>Wasting (weight-for-height)</t>
  </si>
  <si>
    <t>Normal (WHZ-score &gt; -1)</t>
  </si>
  <si>
    <t>Mild (WHZ-score between -2 and -1)</t>
  </si>
  <si>
    <t>MAM (WHZ-score between -3 and -2)</t>
  </si>
  <si>
    <t>SAM (WHZ-score &lt; -3)</t>
  </si>
  <si>
    <t>Anaemia</t>
  </si>
  <si>
    <t>PW: 15-19 years</t>
  </si>
  <si>
    <t>PW: 20-29 years</t>
  </si>
  <si>
    <t>PW: 30-39 years</t>
  </si>
  <si>
    <t>PW: 40-49 years</t>
  </si>
  <si>
    <t>Prevalence of anaemia</t>
  </si>
  <si>
    <t>Prevalence of iron deficiency anaemia</t>
  </si>
  <si>
    <t>Breastfeeding</t>
  </si>
  <si>
    <t>Exclusive</t>
  </si>
  <si>
    <t>Predominant</t>
  </si>
  <si>
    <t>Partial</t>
  </si>
  <si>
    <t>None</t>
  </si>
  <si>
    <t>Risk</t>
  </si>
  <si>
    <t>Population</t>
  </si>
  <si>
    <t>Stunting prevalence (%)</t>
  </si>
  <si>
    <t>Children 0-59 months</t>
  </si>
  <si>
    <t>Wasting prevalence (%)</t>
  </si>
  <si>
    <t>Anaemia prevalence (%)</t>
  </si>
  <si>
    <t>Women of reproductive age</t>
  </si>
  <si>
    <t>Prevalence of age-appropriate breastfeeding</t>
  </si>
  <si>
    <t>Children 0-5 months</t>
  </si>
  <si>
    <t>Children 6-23 months</t>
  </si>
  <si>
    <t>Under five (deaths per 1,000 births)</t>
  </si>
  <si>
    <t>Maternal (deaths per 1,000 births)</t>
  </si>
  <si>
    <t>Type</t>
  </si>
  <si>
    <t>Cost</t>
  </si>
  <si>
    <t>Child wasting episode</t>
  </si>
  <si>
    <t>Child turning age 5 stunted (over lifetime)</t>
  </si>
  <si>
    <t>Child death</t>
  </si>
  <si>
    <t>Maternal death</t>
  </si>
  <si>
    <t>Anaemic child (per year)</t>
  </si>
  <si>
    <t>Anaemic pregnant woman (per pregnancy)</t>
  </si>
  <si>
    <t>IYCF package</t>
  </si>
  <si>
    <t>Target population</t>
  </si>
  <si>
    <t>Health facility</t>
  </si>
  <si>
    <t>Community</t>
  </si>
  <si>
    <t>Mass media</t>
  </si>
  <si>
    <t>IYCF 1</t>
  </si>
  <si>
    <t>x</t>
  </si>
  <si>
    <t>All</t>
  </si>
  <si>
    <t>IYCF 2</t>
  </si>
  <si>
    <t>IYCF 3</t>
  </si>
  <si>
    <t>Default</t>
  </si>
  <si>
    <t>Extension</t>
  </si>
  <si>
    <t>Add extension</t>
  </si>
  <si>
    <t>Program</t>
  </si>
  <si>
    <t>Treatment of SAM</t>
  </si>
  <si>
    <t>Management of MAM</t>
  </si>
  <si>
    <t>Delivery mode</t>
  </si>
  <si>
    <t>Community-based</t>
  </si>
  <si>
    <t>Saturation coverage of target population</t>
  </si>
  <si>
    <t>Unit cost (US$)</t>
  </si>
  <si>
    <t>Cost-coverage relationship</t>
  </si>
  <si>
    <t>Max-increase per annum</t>
  </si>
  <si>
    <t>Max-decrease per annum</t>
  </si>
  <si>
    <t>Balanced energy-protein supplementation</t>
  </si>
  <si>
    <t>Linear (constant marginal cost) [default]</t>
  </si>
  <si>
    <t>Calcium supplementation</t>
  </si>
  <si>
    <t>Cash transfers</t>
  </si>
  <si>
    <t>Delayed cord clamping</t>
  </si>
  <si>
    <t>Family planning</t>
  </si>
  <si>
    <t>IFA fortification of maize</t>
  </si>
  <si>
    <t>IFA fortification of rice</t>
  </si>
  <si>
    <t>IFA fortification of wheat flour</t>
  </si>
  <si>
    <t>IFAS (community)</t>
  </si>
  <si>
    <t>IFAS (health facility)</t>
  </si>
  <si>
    <t>IFAS (retailer)</t>
  </si>
  <si>
    <t>IFAS (school)</t>
  </si>
  <si>
    <t>IFAS for pregnant women (community)</t>
  </si>
  <si>
    <t>IFAS for pregnant women (health facility)</t>
  </si>
  <si>
    <t>IPTp</t>
  </si>
  <si>
    <t>Iron and iodine fortification of salt</t>
  </si>
  <si>
    <t>Kangaroo mother care</t>
  </si>
  <si>
    <t>Lipid-based nutrition supplements</t>
  </si>
  <si>
    <t>Long-lasting insecticide-treated bednets</t>
  </si>
  <si>
    <t>Mg for eclampsia</t>
  </si>
  <si>
    <t>Mg for pre-eclampsia</t>
  </si>
  <si>
    <t>Micronutrient powders</t>
  </si>
  <si>
    <t>Multiple micronutrient supplementation</t>
  </si>
  <si>
    <t>Oral rehydration salts</t>
  </si>
  <si>
    <t>Public provision of complementary foods</t>
  </si>
  <si>
    <t>Small quantity lipid-based nutrition supplements</t>
  </si>
  <si>
    <t>Vitamin A supplementation</t>
  </si>
  <si>
    <t>WASH: Handwashing</t>
  </si>
  <si>
    <t>WASH: Hygenic disposal</t>
  </si>
  <si>
    <t>WASH: Improved sanitation</t>
  </si>
  <si>
    <t>WASH: Improved water source</t>
  </si>
  <si>
    <t>WASH: Piped water</t>
  </si>
  <si>
    <t>Zinc for treatment + ORS</t>
  </si>
  <si>
    <t>Zinc supplementation</t>
  </si>
  <si>
    <t>Exclusion dependency</t>
  </si>
  <si>
    <t>Threshold dependency</t>
  </si>
  <si>
    <t>Condition</t>
  </si>
  <si>
    <t>MAM</t>
  </si>
  <si>
    <t>SAM</t>
  </si>
  <si>
    <t>Broad population group</t>
  </si>
  <si>
    <t>Non-pregnant WRA</t>
  </si>
  <si>
    <t>General population</t>
  </si>
  <si>
    <t>Curved with increasing marginal cost</t>
  </si>
  <si>
    <t>Curved with decreasing marginal cost</t>
  </si>
  <si>
    <t>S-shaped (decreasing then increasing marginal cost)</t>
  </si>
  <si>
    <t>Method</t>
  </si>
  <si>
    <t>Effectiveness</t>
  </si>
  <si>
    <t>Distribution</t>
  </si>
  <si>
    <t>Proportional Cost</t>
  </si>
  <si>
    <t>Condom</t>
  </si>
  <si>
    <t>Male sterilization</t>
  </si>
  <si>
    <t>Female sterilization</t>
  </si>
  <si>
    <t>Injectable</t>
  </si>
  <si>
    <t>Implant</t>
  </si>
  <si>
    <t>Pill</t>
  </si>
  <si>
    <t>Withdrawal</t>
  </si>
  <si>
    <t>Fertility awareness</t>
  </si>
  <si>
    <t>IUD</t>
  </si>
  <si>
    <t>Stunting</t>
  </si>
  <si>
    <t>Wasting prevention</t>
  </si>
  <si>
    <t>Wasting treatment</t>
  </si>
  <si>
    <t>Birth outcomes</t>
  </si>
  <si>
    <t>Birth number</t>
  </si>
  <si>
    <t>Age group</t>
  </si>
  <si>
    <t>Behaviour</t>
  </si>
  <si>
    <t>Odds ratio for correct breastfeeding</t>
  </si>
  <si>
    <t>Odds ratio for stunting</t>
  </si>
  <si>
    <t>Odds ratio for correct complementary feeding</t>
  </si>
  <si>
    <t>Lower bounds</t>
  </si>
  <si>
    <t>Odds ratio for correct breastfeeding - lower</t>
  </si>
  <si>
    <t>Odds ratio for stunting - lower</t>
  </si>
  <si>
    <t>Odds ratio for correct complementary feeding - lower</t>
  </si>
  <si>
    <t>Upper bounds</t>
  </si>
  <si>
    <t>Odds ratio for correct breastfeeding - upper</t>
  </si>
  <si>
    <t>Odds ratio for stunting - upper</t>
  </si>
  <si>
    <t>Odds ratio for correct complementary feeding - upper</t>
  </si>
  <si>
    <t>Maternal risk factors leading to birth outcomes</t>
  </si>
  <si>
    <t>Relative risk by birth spacing</t>
  </si>
  <si>
    <t>Odds ratios for women with maternal anaemia</t>
  </si>
  <si>
    <t>Risks for children who experience birth outcomes</t>
  </si>
  <si>
    <t>Odds ratios for conditions</t>
  </si>
  <si>
    <t>Stunting (HAZ-score &lt; -2)</t>
  </si>
  <si>
    <t>Relative risks of neonatal causes of death</t>
  </si>
  <si>
    <t>Relative risk by birth spacing - lower</t>
  </si>
  <si>
    <t>Odds ratios for women with maternal anaemia - lower</t>
  </si>
  <si>
    <t>Odds ratios for conditions - lower</t>
  </si>
  <si>
    <t>Stunting (HAZ-score &lt; -2)-l</t>
  </si>
  <si>
    <t>MAM (WHZ-score between -3 and -2)-l</t>
  </si>
  <si>
    <t>SAM (WHZ-score &lt; -3)-l</t>
  </si>
  <si>
    <t>Relative risks of neonatal causes of death - lower</t>
  </si>
  <si>
    <t>Relative risk by birth spacing - upper</t>
  </si>
  <si>
    <t>Odds ratios for women with maternal anaemia - upper</t>
  </si>
  <si>
    <t>Odds ratios for conditions - upper</t>
  </si>
  <si>
    <t>Stunting (HAZ-score &lt; -2)-u</t>
  </si>
  <si>
    <t>MAM (WHZ-score between -3 and -2)-u</t>
  </si>
  <si>
    <t>SAM (WHZ-score &lt; -3)-u</t>
  </si>
  <si>
    <t>Relative risks of neonatal causes of death - upper</t>
  </si>
  <si>
    <t>Relative risk of causes of death by height-for-age (stunting) distribution</t>
  </si>
  <si>
    <t>Cause of death</t>
  </si>
  <si>
    <t>HAZ status</t>
  </si>
  <si>
    <t>Normal</t>
  </si>
  <si>
    <t>Mild</t>
  </si>
  <si>
    <t>Moderate</t>
  </si>
  <si>
    <t>High</t>
  </si>
  <si>
    <t>Relative risk of causes of death by weight-for-height (wasting) distribution</t>
  </si>
  <si>
    <t>Wasting</t>
  </si>
  <si>
    <t>WHZ status</t>
  </si>
  <si>
    <t>Relative risk of causes of death by anaemia status</t>
  </si>
  <si>
    <t>Anaemia status</t>
  </si>
  <si>
    <t>Not anaemic</t>
  </si>
  <si>
    <t>Anaemic</t>
  </si>
  <si>
    <t>Relative risk of causes of death by breastfeeding status</t>
  </si>
  <si>
    <t>Breastfeeding status</t>
  </si>
  <si>
    <t>Relative risks of experiencing diarrhoea by breastfeeding status</t>
  </si>
  <si>
    <t>Odds ratios for stunting</t>
  </si>
  <si>
    <t>Given previous stunting (HAZ &lt; -2 in previous age band)</t>
  </si>
  <si>
    <t>N/A</t>
  </si>
  <si>
    <t>Diarrhoea (per additional episode)</t>
  </si>
  <si>
    <t>By program</t>
  </si>
  <si>
    <t>Odds ratios for correct breastfeeding by program</t>
  </si>
  <si>
    <t>Other odds ratios</t>
  </si>
  <si>
    <t>For SAM per additional episode of diarrhoea</t>
  </si>
  <si>
    <t>For MAM per additional episode of diarrhoea</t>
  </si>
  <si>
    <t>For anaemia per additional episode of severe diarrhoea</t>
  </si>
  <si>
    <t>Odds ratios for optimal birth spacing by program</t>
  </si>
  <si>
    <t>Given previous stunting (HAZ &lt; -2 in previous age band) - lower</t>
  </si>
  <si>
    <t>Diarrhoea (per additional episode) - lower</t>
  </si>
  <si>
    <t>By program - lower</t>
  </si>
  <si>
    <t>Public provision of complementary foods - lower</t>
  </si>
  <si>
    <t>Lipid-based nutrition supplements - lower</t>
  </si>
  <si>
    <t>Small quantity lipid-based nutrition supplements - lower</t>
  </si>
  <si>
    <t>Zinc supplementation - lower</t>
  </si>
  <si>
    <t>Odds ratios for correct breastfeeding by program - lower</t>
  </si>
  <si>
    <t>Kangaroo mother care - lower</t>
  </si>
  <si>
    <t>For SAM per additional episode of diarrhoea - lower</t>
  </si>
  <si>
    <t>For MAM per additional episode of diarrhoea - lower</t>
  </si>
  <si>
    <t>For anaemia per additional episode of severe diarrhoea - lower</t>
  </si>
  <si>
    <t>Odds ratios for optimal birth spacing by program - lower</t>
  </si>
  <si>
    <t>Family planning - lower</t>
  </si>
  <si>
    <t>Given previous stunting (HAZ &lt; -2 in previous age band) - upper</t>
  </si>
  <si>
    <t>Diarrhoea (per additional episode) - upper</t>
  </si>
  <si>
    <t>By program - upper</t>
  </si>
  <si>
    <t>Public provision of complementary foods - upper</t>
  </si>
  <si>
    <t>Lipid-based nutrition supplements - upper</t>
  </si>
  <si>
    <t>Small quantity lipid-based nutrition supplements - upper</t>
  </si>
  <si>
    <t>Zinc supplementation - upper</t>
  </si>
  <si>
    <t>Odds ratios for correct breastfeeding by program - upper</t>
  </si>
  <si>
    <t>Kangaroo mother care - upper</t>
  </si>
  <si>
    <t>For SAM per additional episode of diarrhoea - upper</t>
  </si>
  <si>
    <t>For MAM per additional episode of diarrhoea - upper</t>
  </si>
  <si>
    <t>For anaemia per additional episode of severe diarrhoea - upper</t>
  </si>
  <si>
    <t>Odds ratios for optimal birth spacing by program - upper</t>
  </si>
  <si>
    <t>Family planning - upper</t>
  </si>
  <si>
    <t>effectiveness</t>
  </si>
  <si>
    <t>affected fraction</t>
  </si>
  <si>
    <t>Relative risks of anaemia when receiving intervention</t>
  </si>
  <si>
    <t>Odds ratios of being anaemic when covered by intervention</t>
  </si>
  <si>
    <t>Relative risks of anaemia when receiving intervention - lower</t>
  </si>
  <si>
    <t>Odds ratios of being anaemic when covered by intervention - lower</t>
  </si>
  <si>
    <t>Relative risks of anaemia when receiving intervention - upper</t>
  </si>
  <si>
    <t>Odds ratios of being anaemic when covered by intervention - upper</t>
  </si>
  <si>
    <t>Odds ratio of SAM when covered by program</t>
  </si>
  <si>
    <t>Odds ratio of MAM when covered by program</t>
  </si>
  <si>
    <t>Lower bound</t>
  </si>
  <si>
    <t>Odds ratio of SAM when covered by program - lower</t>
  </si>
  <si>
    <t>Odds ratio of MAM when covered by program - lower</t>
  </si>
  <si>
    <t>Upper bound</t>
  </si>
  <si>
    <t>Odds ratio of SAM when covered by program - upper</t>
  </si>
  <si>
    <t>Odds ratio of MAM when covered by program - upper</t>
  </si>
  <si>
    <t>Targetted condition</t>
  </si>
  <si>
    <t>Outcome</t>
  </si>
  <si>
    <t>Affected fraction</t>
  </si>
  <si>
    <t>Effectiveness mortality</t>
  </si>
  <si>
    <t>Effectiveness incidence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</si>
</sst>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tabSelected="1"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0</v>
      </c>
      <c r="B1" s="29" t="s">
        <v>1</v>
      </c>
      <c r="C1" s="29" t="s">
        <v>2</v>
      </c>
    </row>
    <row r="2" spans="1:3" ht="15.9" customHeight="1" x14ac:dyDescent="0.3">
      <c r="A2" s="8" t="s">
        <v>3</v>
      </c>
      <c r="B2" s="29"/>
      <c r="C2" s="29"/>
    </row>
    <row r="3" spans="1:3" ht="15.9" customHeight="1" x14ac:dyDescent="0.3">
      <c r="A3" s="1"/>
      <c r="B3" s="5" t="s">
        <v>4</v>
      </c>
      <c r="C3" s="41">
        <v>2024</v>
      </c>
    </row>
    <row r="4" spans="1:3" ht="15.9" customHeight="1" x14ac:dyDescent="0.3">
      <c r="A4" s="1"/>
      <c r="B4" s="5" t="s">
        <v>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</v>
      </c>
    </row>
    <row r="7" spans="1:3" ht="15" customHeight="1" x14ac:dyDescent="0.25">
      <c r="B7" s="11" t="s">
        <v>7</v>
      </c>
      <c r="C7" s="43">
        <v>16735.925537109379</v>
      </c>
    </row>
    <row r="8" spans="1:3" ht="15" customHeight="1" x14ac:dyDescent="0.25">
      <c r="B8" s="5" t="s">
        <v>8</v>
      </c>
      <c r="C8" s="44">
        <v>0.129</v>
      </c>
    </row>
    <row r="9" spans="1:3" ht="15" customHeight="1" x14ac:dyDescent="0.25">
      <c r="B9" s="5" t="s">
        <v>9</v>
      </c>
      <c r="C9" s="45">
        <v>0.01</v>
      </c>
    </row>
    <row r="10" spans="1:3" ht="15" customHeight="1" x14ac:dyDescent="0.25">
      <c r="B10" s="5" t="s">
        <v>10</v>
      </c>
      <c r="C10" s="45">
        <v>0.81408699039999999</v>
      </c>
    </row>
    <row r="11" spans="1:3" ht="15" customHeight="1" x14ac:dyDescent="0.25">
      <c r="B11" s="5" t="s">
        <v>11</v>
      </c>
      <c r="C11" s="45">
        <v>1</v>
      </c>
    </row>
    <row r="12" spans="1:3" ht="15" customHeight="1" x14ac:dyDescent="0.25">
      <c r="B12" s="5" t="s">
        <v>12</v>
      </c>
      <c r="C12" s="45">
        <v>1</v>
      </c>
    </row>
    <row r="13" spans="1:3" ht="15" customHeight="1" x14ac:dyDescent="0.25">
      <c r="B13" s="5" t="s">
        <v>13</v>
      </c>
      <c r="C13" s="45">
        <v>0.64200000000000002</v>
      </c>
    </row>
    <row r="14" spans="1:3" ht="15" customHeight="1" x14ac:dyDescent="0.25">
      <c r="B14" s="8"/>
    </row>
    <row r="15" spans="1:3" ht="15" customHeight="1" x14ac:dyDescent="0.3">
      <c r="A15" s="8" t="s">
        <v>14</v>
      </c>
      <c r="B15" s="14"/>
      <c r="C15" s="3"/>
    </row>
    <row r="16" spans="1:3" ht="15" customHeight="1" x14ac:dyDescent="0.25">
      <c r="B16" s="5" t="s">
        <v>15</v>
      </c>
      <c r="C16" s="45">
        <v>0.1</v>
      </c>
    </row>
    <row r="17" spans="1:3" ht="15" customHeight="1" x14ac:dyDescent="0.25">
      <c r="B17" s="5" t="s">
        <v>16</v>
      </c>
      <c r="C17" s="45">
        <v>0.01</v>
      </c>
    </row>
    <row r="18" spans="1:3" ht="15" customHeight="1" x14ac:dyDescent="0.25">
      <c r="B18" s="5" t="s">
        <v>17</v>
      </c>
      <c r="C18" s="45">
        <v>0.98</v>
      </c>
    </row>
    <row r="19" spans="1:3" ht="15" customHeight="1" x14ac:dyDescent="0.25">
      <c r="B19" s="5" t="s">
        <v>18</v>
      </c>
      <c r="C19" s="45">
        <v>0.01</v>
      </c>
    </row>
    <row r="20" spans="1:3" ht="15" customHeight="1" x14ac:dyDescent="0.25">
      <c r="B20" s="5" t="s">
        <v>19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20</v>
      </c>
    </row>
    <row r="23" spans="1:3" ht="15" customHeight="1" x14ac:dyDescent="0.25">
      <c r="B23" s="15" t="s">
        <v>21</v>
      </c>
      <c r="C23" s="45">
        <v>2.3699999999999999E-2</v>
      </c>
    </row>
    <row r="24" spans="1:3" ht="15" customHeight="1" x14ac:dyDescent="0.25">
      <c r="B24" s="15" t="s">
        <v>22</v>
      </c>
      <c r="C24" s="45">
        <v>0.4365</v>
      </c>
    </row>
    <row r="25" spans="1:3" ht="15" customHeight="1" x14ac:dyDescent="0.25">
      <c r="B25" s="15" t="s">
        <v>23</v>
      </c>
      <c r="C25" s="45">
        <v>0.4929</v>
      </c>
    </row>
    <row r="26" spans="1:3" ht="15" customHeight="1" x14ac:dyDescent="0.25">
      <c r="B26" s="15" t="s">
        <v>24</v>
      </c>
      <c r="C26" s="45">
        <v>4.6899999999999997E-2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25</v>
      </c>
      <c r="B28" s="15"/>
      <c r="C28" s="15"/>
    </row>
    <row r="29" spans="1:3" ht="14.25" customHeight="1" x14ac:dyDescent="0.25">
      <c r="B29" s="25" t="s">
        <v>26</v>
      </c>
      <c r="C29" s="45">
        <v>0.35185775257007201</v>
      </c>
    </row>
    <row r="30" spans="1:3" ht="14.25" customHeight="1" x14ac:dyDescent="0.25">
      <c r="B30" s="25" t="s">
        <v>27</v>
      </c>
      <c r="C30" s="99">
        <v>2.3858720907234902E-2</v>
      </c>
    </row>
    <row r="31" spans="1:3" ht="14.25" customHeight="1" x14ac:dyDescent="0.25">
      <c r="B31" s="25" t="s">
        <v>28</v>
      </c>
      <c r="C31" s="99">
        <v>3.4342930038455802E-2</v>
      </c>
    </row>
    <row r="32" spans="1:3" ht="14.25" customHeight="1" x14ac:dyDescent="0.25">
      <c r="B32" s="25" t="s">
        <v>29</v>
      </c>
      <c r="C32" s="99">
        <v>0.58994059648423802</v>
      </c>
    </row>
    <row r="33" spans="1:5" ht="13" customHeight="1" x14ac:dyDescent="0.25">
      <c r="B33" s="27" t="s">
        <v>30</v>
      </c>
      <c r="C33" s="48">
        <f>SUM(C29:C32)</f>
        <v>1.0000000000000007</v>
      </c>
    </row>
    <row r="34" spans="1:5" ht="15" customHeight="1" x14ac:dyDescent="0.25"/>
    <row r="35" spans="1:5" ht="15" customHeight="1" x14ac:dyDescent="0.3">
      <c r="A35" s="4" t="s">
        <v>31</v>
      </c>
    </row>
    <row r="36" spans="1:5" ht="15" customHeight="1" x14ac:dyDescent="0.25">
      <c r="A36" s="8" t="s">
        <v>32</v>
      </c>
      <c r="B36" s="5"/>
    </row>
    <row r="37" spans="1:5" ht="15" customHeight="1" x14ac:dyDescent="0.25">
      <c r="B37" s="11" t="s">
        <v>33</v>
      </c>
      <c r="C37" s="43">
        <v>20.781860000000002</v>
      </c>
    </row>
    <row r="38" spans="1:5" ht="15" customHeight="1" x14ac:dyDescent="0.25">
      <c r="B38" s="11" t="s">
        <v>34</v>
      </c>
      <c r="C38" s="43">
        <v>38.256639999999997</v>
      </c>
      <c r="D38" s="12"/>
      <c r="E38" s="13"/>
    </row>
    <row r="39" spans="1:5" ht="15" customHeight="1" x14ac:dyDescent="0.25">
      <c r="B39" s="11" t="s">
        <v>35</v>
      </c>
      <c r="C39" s="43">
        <v>48.229109999999999</v>
      </c>
      <c r="D39" s="12"/>
      <c r="E39" s="12"/>
    </row>
    <row r="40" spans="1:5" ht="15" customHeight="1" x14ac:dyDescent="0.25">
      <c r="B40" s="11" t="s">
        <v>36</v>
      </c>
      <c r="C40" s="100">
        <v>0.76</v>
      </c>
    </row>
    <row r="41" spans="1:5" ht="15" customHeight="1" x14ac:dyDescent="0.25">
      <c r="B41" s="11" t="s">
        <v>37</v>
      </c>
      <c r="C41" s="45">
        <v>0.12</v>
      </c>
    </row>
    <row r="42" spans="1:5" ht="15" customHeight="1" x14ac:dyDescent="0.25">
      <c r="B42" s="11" t="s">
        <v>38</v>
      </c>
      <c r="C42" s="43">
        <v>14.117010000000001</v>
      </c>
    </row>
    <row r="43" spans="1:5" ht="15.75" customHeight="1" x14ac:dyDescent="0.25">
      <c r="D43" s="12"/>
    </row>
    <row r="44" spans="1:5" ht="15.75" customHeight="1" x14ac:dyDescent="0.25">
      <c r="A44" s="8" t="s">
        <v>39</v>
      </c>
      <c r="D44" s="12"/>
    </row>
    <row r="45" spans="1:5" ht="15.75" customHeight="1" x14ac:dyDescent="0.25">
      <c r="B45" s="11" t="s">
        <v>40</v>
      </c>
      <c r="C45" s="45">
        <v>6.1607999999999993E-3</v>
      </c>
      <c r="D45" s="12"/>
    </row>
    <row r="46" spans="1:5" ht="15.75" customHeight="1" x14ac:dyDescent="0.25">
      <c r="B46" s="11" t="s">
        <v>41</v>
      </c>
      <c r="C46" s="45">
        <v>6.6196500000000005E-2</v>
      </c>
      <c r="D46" s="12"/>
    </row>
    <row r="47" spans="1:5" ht="15.75" customHeight="1" x14ac:dyDescent="0.25">
      <c r="B47" s="11" t="s">
        <v>42</v>
      </c>
      <c r="C47" s="45">
        <v>7.5142600000000004E-2</v>
      </c>
      <c r="D47" s="12"/>
      <c r="E47" s="13"/>
    </row>
    <row r="48" spans="1:5" ht="15" customHeight="1" x14ac:dyDescent="0.25">
      <c r="B48" s="11" t="s">
        <v>43</v>
      </c>
      <c r="C48" s="46">
        <v>0.85250009999999998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45</v>
      </c>
      <c r="C51" s="100">
        <v>2.2000000000000002</v>
      </c>
      <c r="D51" s="12"/>
    </row>
    <row r="52" spans="1:4" ht="15" customHeight="1" x14ac:dyDescent="0.25">
      <c r="B52" s="11" t="s">
        <v>46</v>
      </c>
      <c r="C52" s="100">
        <v>2.2000000000000002</v>
      </c>
    </row>
    <row r="53" spans="1:4" ht="15.75" customHeight="1" x14ac:dyDescent="0.25">
      <c r="B53" s="11" t="s">
        <v>47</v>
      </c>
      <c r="C53" s="100">
        <v>2.2000000000000002</v>
      </c>
    </row>
    <row r="54" spans="1:4" ht="15.75" customHeight="1" x14ac:dyDescent="0.25">
      <c r="B54" s="11" t="s">
        <v>48</v>
      </c>
      <c r="C54" s="100">
        <v>2.2000000000000002</v>
      </c>
    </row>
    <row r="55" spans="1:4" ht="15.75" customHeight="1" x14ac:dyDescent="0.25">
      <c r="B55" s="11" t="s">
        <v>49</v>
      </c>
      <c r="C55" s="100">
        <v>2.2000000000000002</v>
      </c>
    </row>
    <row r="57" spans="1:4" ht="15.75" customHeight="1" x14ac:dyDescent="0.25">
      <c r="A57" s="8" t="s">
        <v>50</v>
      </c>
    </row>
    <row r="58" spans="1:4" ht="15.75" customHeight="1" x14ac:dyDescent="0.25">
      <c r="B58" s="5" t="s">
        <v>51</v>
      </c>
      <c r="C58" s="45">
        <v>2.1363636363636359E-2</v>
      </c>
    </row>
    <row r="59" spans="1:4" ht="15.75" customHeight="1" x14ac:dyDescent="0.25">
      <c r="B59" s="11" t="s">
        <v>52</v>
      </c>
      <c r="C59" s="45">
        <v>0.56834600000000002</v>
      </c>
    </row>
    <row r="60" spans="1:4" ht="15.75" customHeight="1" x14ac:dyDescent="0.25">
      <c r="B60" s="11" t="s">
        <v>53</v>
      </c>
      <c r="C60" s="45">
        <v>4.5999999999999999E-2</v>
      </c>
    </row>
    <row r="61" spans="1:4" ht="15.75" customHeight="1" x14ac:dyDescent="0.25">
      <c r="B61" s="11" t="s">
        <v>54</v>
      </c>
      <c r="C61" s="45">
        <v>1.4E-2</v>
      </c>
    </row>
    <row r="62" spans="1:4" ht="15.75" customHeight="1" x14ac:dyDescent="0.25">
      <c r="B62" s="11" t="s">
        <v>55</v>
      </c>
      <c r="C62" s="44">
        <v>0.14599999999999999</v>
      </c>
    </row>
    <row r="63" spans="1:4" ht="15.75" customHeight="1" x14ac:dyDescent="0.3">
      <c r="A63" s="4"/>
    </row>
  </sheetData>
  <sheetProtection algorithmName="SHA-512" hashValue="yhO3A/7ogScQKKv7lXUGC9CoVyICjceFFRjTsMohTK8bhTOO/yn0Gnugo/XyoVDeI5ka0GSLXjJ6Q2MNf7pyqg==" saltValue="fYAoZXD7m2jFSdfe+sbAm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56</v>
      </c>
      <c r="B1" s="20" t="s">
        <v>57</v>
      </c>
      <c r="C1" s="18" t="s">
        <v>58</v>
      </c>
      <c r="D1" s="18" t="s">
        <v>59</v>
      </c>
      <c r="E1" s="18" t="s">
        <v>60</v>
      </c>
      <c r="F1" s="18" t="s">
        <v>61</v>
      </c>
      <c r="G1" s="18" t="s">
        <v>62</v>
      </c>
      <c r="H1" s="18" t="s">
        <v>63</v>
      </c>
      <c r="I1" s="18" t="s">
        <v>64</v>
      </c>
    </row>
    <row r="2" spans="1:9" ht="15.75" customHeight="1" x14ac:dyDescent="0.25">
      <c r="A2" s="5">
        <f>start_year</f>
        <v>2024</v>
      </c>
      <c r="B2" s="49">
        <v>3480</v>
      </c>
      <c r="C2" s="49">
        <v>7778.0000000000009</v>
      </c>
      <c r="D2" s="49">
        <v>11279.5</v>
      </c>
      <c r="E2" s="49">
        <v>10297</v>
      </c>
      <c r="F2" s="49">
        <v>6283.5</v>
      </c>
      <c r="G2" s="17">
        <f t="shared" ref="G2:G13" si="0">C2+D2+E2+F2</f>
        <v>35638</v>
      </c>
      <c r="H2" s="17">
        <f t="shared" ref="H2:H13" si="1">(B2 + stillbirth*B2/(1000-stillbirth))/(1-abortion)</f>
        <v>4011.17119846591</v>
      </c>
      <c r="I2" s="17">
        <f t="shared" ref="I2:I13" si="2">G2-H2</f>
        <v>31626.828801534091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3466</v>
      </c>
      <c r="C3" s="50">
        <v>8105.4999999999991</v>
      </c>
      <c r="D3" s="50">
        <v>11191.5</v>
      </c>
      <c r="E3" s="50">
        <v>10430</v>
      </c>
      <c r="F3" s="50">
        <v>6564.5</v>
      </c>
      <c r="G3" s="17">
        <f t="shared" si="0"/>
        <v>36291.5</v>
      </c>
      <c r="H3" s="17">
        <f t="shared" si="1"/>
        <v>3995.0343028398975</v>
      </c>
      <c r="I3" s="17">
        <f t="shared" si="2"/>
        <v>32296.465697160103</v>
      </c>
    </row>
    <row r="4" spans="1:9" ht="15.75" customHeight="1" x14ac:dyDescent="0.25">
      <c r="A4" s="5">
        <f t="shared" si="3"/>
        <v>2026</v>
      </c>
      <c r="B4" s="49">
        <v>3462</v>
      </c>
      <c r="C4" s="50">
        <v>8410.0000000000018</v>
      </c>
      <c r="D4" s="50">
        <v>11135.5</v>
      </c>
      <c r="E4" s="50">
        <v>10554.5</v>
      </c>
      <c r="F4" s="50">
        <v>6855</v>
      </c>
      <c r="G4" s="17">
        <f t="shared" si="0"/>
        <v>36955</v>
      </c>
      <c r="H4" s="17">
        <f t="shared" si="1"/>
        <v>3990.4237612324655</v>
      </c>
      <c r="I4" s="17">
        <f t="shared" si="2"/>
        <v>32964.576238767535</v>
      </c>
    </row>
    <row r="5" spans="1:9" ht="15.75" customHeight="1" x14ac:dyDescent="0.25">
      <c r="A5" s="5">
        <f t="shared" si="3"/>
        <v>2027</v>
      </c>
      <c r="B5" s="49">
        <v>3458</v>
      </c>
      <c r="C5" s="50">
        <v>8659.9999999999982</v>
      </c>
      <c r="D5" s="50">
        <v>11134</v>
      </c>
      <c r="E5" s="50">
        <v>10671</v>
      </c>
      <c r="F5" s="50">
        <v>7150.5000000000009</v>
      </c>
      <c r="G5" s="17">
        <f t="shared" si="0"/>
        <v>37615.5</v>
      </c>
      <c r="H5" s="17">
        <f t="shared" si="1"/>
        <v>3985.8132196250335</v>
      </c>
      <c r="I5" s="17">
        <f t="shared" si="2"/>
        <v>33629.686780374963</v>
      </c>
    </row>
    <row r="6" spans="1:9" ht="15.75" customHeight="1" x14ac:dyDescent="0.25">
      <c r="A6" s="5">
        <f t="shared" si="3"/>
        <v>2028</v>
      </c>
      <c r="B6" s="49">
        <v>3444</v>
      </c>
      <c r="C6" s="50">
        <v>8850.5</v>
      </c>
      <c r="D6" s="50">
        <v>11205.5</v>
      </c>
      <c r="E6" s="50">
        <v>10767</v>
      </c>
      <c r="F6" s="50">
        <v>7443.5</v>
      </c>
      <c r="G6" s="17">
        <f t="shared" si="0"/>
        <v>38266.5</v>
      </c>
      <c r="H6" s="17">
        <f t="shared" si="1"/>
        <v>3969.676323999021</v>
      </c>
      <c r="I6" s="17">
        <f t="shared" si="2"/>
        <v>34296.823676000982</v>
      </c>
    </row>
    <row r="7" spans="1:9" ht="15.75" customHeight="1" x14ac:dyDescent="0.25">
      <c r="A7" s="5">
        <f t="shared" si="3"/>
        <v>2029</v>
      </c>
      <c r="B7" s="49">
        <v>3444</v>
      </c>
      <c r="C7" s="50">
        <v>8994</v>
      </c>
      <c r="D7" s="50">
        <v>11356</v>
      </c>
      <c r="E7" s="50">
        <v>10827.5</v>
      </c>
      <c r="F7" s="50">
        <v>7707</v>
      </c>
      <c r="G7" s="17">
        <f t="shared" si="0"/>
        <v>38884.5</v>
      </c>
      <c r="H7" s="17">
        <f t="shared" si="1"/>
        <v>3969.676323999021</v>
      </c>
      <c r="I7" s="17">
        <f t="shared" si="2"/>
        <v>34914.823676000982</v>
      </c>
    </row>
    <row r="8" spans="1:9" ht="15.75" customHeight="1" x14ac:dyDescent="0.25">
      <c r="A8" s="5">
        <f t="shared" si="3"/>
        <v>2030</v>
      </c>
      <c r="B8" s="49">
        <v>3429</v>
      </c>
      <c r="C8" s="50">
        <v>9103.5</v>
      </c>
      <c r="D8" s="50">
        <v>11588.5</v>
      </c>
      <c r="E8" s="50">
        <v>10841</v>
      </c>
      <c r="F8" s="50">
        <v>7946.5</v>
      </c>
      <c r="G8" s="17">
        <f t="shared" si="0"/>
        <v>39479.5</v>
      </c>
      <c r="H8" s="17">
        <f t="shared" si="1"/>
        <v>3952.386792971151</v>
      </c>
      <c r="I8" s="17">
        <f t="shared" si="2"/>
        <v>35527.113207028851</v>
      </c>
    </row>
    <row r="9" spans="1:9" ht="15.75" customHeight="1" x14ac:dyDescent="0.25">
      <c r="A9" s="5">
        <f t="shared" si="3"/>
        <v>2031</v>
      </c>
      <c r="B9" s="49">
        <v>3420</v>
      </c>
      <c r="C9" s="50">
        <v>9179.5</v>
      </c>
      <c r="D9" s="50">
        <v>11907</v>
      </c>
      <c r="E9" s="50">
        <v>10801.5</v>
      </c>
      <c r="F9" s="50">
        <v>8173</v>
      </c>
      <c r="G9" s="17">
        <f t="shared" si="0"/>
        <v>40061</v>
      </c>
      <c r="H9" s="17">
        <f t="shared" si="1"/>
        <v>3942.0130743544287</v>
      </c>
      <c r="I9" s="17">
        <f t="shared" si="2"/>
        <v>36118.986925645571</v>
      </c>
    </row>
    <row r="10" spans="1:9" ht="15.75" customHeight="1" x14ac:dyDescent="0.25">
      <c r="A10" s="5">
        <f t="shared" si="3"/>
        <v>2032</v>
      </c>
      <c r="B10" s="49">
        <v>3405</v>
      </c>
      <c r="C10" s="50">
        <v>9240</v>
      </c>
      <c r="D10" s="50">
        <v>12294</v>
      </c>
      <c r="E10" s="50">
        <v>10713.5</v>
      </c>
      <c r="F10" s="50">
        <v>8372.5</v>
      </c>
      <c r="G10" s="17">
        <f t="shared" si="0"/>
        <v>40620</v>
      </c>
      <c r="H10" s="17">
        <f t="shared" si="1"/>
        <v>3924.7235433265582</v>
      </c>
      <c r="I10" s="17">
        <f t="shared" si="2"/>
        <v>36695.27645667344</v>
      </c>
    </row>
    <row r="11" spans="1:9" ht="15.75" customHeight="1" x14ac:dyDescent="0.25">
      <c r="A11" s="5">
        <f t="shared" si="3"/>
        <v>2033</v>
      </c>
      <c r="B11" s="49">
        <v>3405</v>
      </c>
      <c r="C11" s="50">
        <v>9297.5</v>
      </c>
      <c r="D11" s="50">
        <v>12716</v>
      </c>
      <c r="E11" s="50">
        <v>10597</v>
      </c>
      <c r="F11" s="50">
        <v>8546</v>
      </c>
      <c r="G11" s="17">
        <f t="shared" si="0"/>
        <v>41156.5</v>
      </c>
      <c r="H11" s="17">
        <f t="shared" si="1"/>
        <v>3924.7235433265582</v>
      </c>
      <c r="I11" s="17">
        <f t="shared" si="2"/>
        <v>37231.77645667344</v>
      </c>
    </row>
    <row r="12" spans="1:9" ht="15.75" customHeight="1" x14ac:dyDescent="0.25">
      <c r="A12" s="5">
        <f t="shared" si="3"/>
        <v>2034</v>
      </c>
      <c r="B12" s="49">
        <v>3402</v>
      </c>
      <c r="C12" s="50">
        <v>9350</v>
      </c>
      <c r="D12" s="50">
        <v>13133</v>
      </c>
      <c r="E12" s="50">
        <v>10485</v>
      </c>
      <c r="F12" s="50">
        <v>8691.5</v>
      </c>
      <c r="G12" s="17">
        <f t="shared" si="0"/>
        <v>41659.5</v>
      </c>
      <c r="H12" s="17">
        <f t="shared" si="1"/>
        <v>3921.2656371209841</v>
      </c>
      <c r="I12" s="17">
        <f t="shared" si="2"/>
        <v>37738.234362879019</v>
      </c>
    </row>
    <row r="13" spans="1:9" ht="15.75" customHeight="1" x14ac:dyDescent="0.25">
      <c r="A13" s="5">
        <f t="shared" si="3"/>
        <v>2035</v>
      </c>
      <c r="B13" s="49">
        <v>3424</v>
      </c>
      <c r="C13" s="50">
        <v>9398</v>
      </c>
      <c r="D13" s="50">
        <v>13513.5</v>
      </c>
      <c r="E13" s="50">
        <v>10401.5</v>
      </c>
      <c r="F13" s="50">
        <v>8810</v>
      </c>
      <c r="G13" s="17">
        <f t="shared" si="0"/>
        <v>42123</v>
      </c>
      <c r="H13" s="17">
        <f t="shared" si="1"/>
        <v>3946.6236159618607</v>
      </c>
      <c r="I13" s="17">
        <f t="shared" si="2"/>
        <v>38176.376384038136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wKxEoWv7nnHIidhOP9O7yQQ4/tikEcXr6gTA2GrtyLYFAb1ix6Ln3irIlHONZ8I1dXNIh1a5t0Hcu3pPb5ZHrw==" saltValue="PZemEz5qyqkMYDJdSEC/KA==" spinCount="100000" sheet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"Percentage of deaths in baseline year ("&amp;start_year&amp;") attributable to cause"</f>
        <v>Percentage of deaths in baseline year (2024) attributable to cause</v>
      </c>
      <c r="B1" s="29"/>
      <c r="C1" s="29"/>
      <c r="D1" s="29"/>
      <c r="E1" s="29"/>
      <c r="F1" s="29"/>
    </row>
    <row r="2" spans="1:8" ht="27.75" customHeight="1" x14ac:dyDescent="0.3">
      <c r="A2" t="s">
        <v>65</v>
      </c>
      <c r="B2" s="29" t="s">
        <v>66</v>
      </c>
      <c r="C2" s="29" t="s">
        <v>67</v>
      </c>
      <c r="D2" s="29"/>
      <c r="E2" s="29"/>
      <c r="F2" s="29"/>
      <c r="G2" s="29"/>
    </row>
    <row r="3" spans="1:8" ht="15.75" customHeight="1" x14ac:dyDescent="0.25">
      <c r="B3" s="19" t="s">
        <v>68</v>
      </c>
      <c r="C3" s="55">
        <v>7.2434000000000057E-3</v>
      </c>
    </row>
    <row r="4" spans="1:8" ht="15.75" customHeight="1" x14ac:dyDescent="0.25">
      <c r="B4" s="19" t="s">
        <v>69</v>
      </c>
      <c r="C4" s="101">
        <v>4.3596400000000077E-2</v>
      </c>
    </row>
    <row r="5" spans="1:8" ht="15.75" customHeight="1" x14ac:dyDescent="0.25">
      <c r="B5" s="19" t="s">
        <v>70</v>
      </c>
      <c r="C5" s="101">
        <v>6.4211200000000065E-2</v>
      </c>
    </row>
    <row r="6" spans="1:8" ht="15.75" customHeight="1" x14ac:dyDescent="0.25">
      <c r="B6" s="19" t="s">
        <v>71</v>
      </c>
      <c r="C6" s="101">
        <v>0.23054500000000039</v>
      </c>
    </row>
    <row r="7" spans="1:8" ht="15.75" customHeight="1" x14ac:dyDescent="0.25">
      <c r="B7" s="19" t="s">
        <v>72</v>
      </c>
      <c r="C7" s="101">
        <v>0.41386899999999921</v>
      </c>
    </row>
    <row r="8" spans="1:8" ht="15.75" customHeight="1" x14ac:dyDescent="0.25">
      <c r="B8" s="19" t="s">
        <v>73</v>
      </c>
      <c r="C8" s="101">
        <v>1.0072000000000011E-3</v>
      </c>
    </row>
    <row r="9" spans="1:8" ht="15.75" customHeight="1" x14ac:dyDescent="0.25">
      <c r="B9" s="19" t="s">
        <v>74</v>
      </c>
      <c r="C9" s="101">
        <v>0.1080942</v>
      </c>
    </row>
    <row r="10" spans="1:8" ht="15.75" customHeight="1" x14ac:dyDescent="0.25">
      <c r="B10" s="19" t="s">
        <v>75</v>
      </c>
      <c r="C10" s="101">
        <v>0.13143360000000009</v>
      </c>
    </row>
    <row r="11" spans="1:8" ht="15.75" customHeight="1" x14ac:dyDescent="0.25">
      <c r="B11" s="27" t="s">
        <v>30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76</v>
      </c>
      <c r="B13" s="29" t="s">
        <v>66</v>
      </c>
      <c r="C13" s="102" t="s">
        <v>77</v>
      </c>
      <c r="D13" s="102" t="s">
        <v>78</v>
      </c>
      <c r="E13" s="102" t="s">
        <v>79</v>
      </c>
      <c r="F13" s="102" t="s">
        <v>80</v>
      </c>
      <c r="G13" s="19"/>
    </row>
    <row r="14" spans="1:8" ht="15.75" customHeight="1" x14ac:dyDescent="0.25">
      <c r="B14" s="19" t="s">
        <v>81</v>
      </c>
      <c r="C14" s="55">
        <v>0.22235742576796599</v>
      </c>
      <c r="D14" s="55">
        <v>0.22235742576796599</v>
      </c>
      <c r="E14" s="55">
        <v>0.22235742576796599</v>
      </c>
      <c r="F14" s="55">
        <v>0.22235742576796599</v>
      </c>
    </row>
    <row r="15" spans="1:8" ht="15.75" customHeight="1" x14ac:dyDescent="0.25">
      <c r="B15" s="19" t="s">
        <v>82</v>
      </c>
      <c r="C15" s="101">
        <v>0.27767046684836882</v>
      </c>
      <c r="D15" s="101">
        <v>0.27767046684836882</v>
      </c>
      <c r="E15" s="101">
        <v>0.27767046684836882</v>
      </c>
      <c r="F15" s="101">
        <v>0.27767046684836882</v>
      </c>
    </row>
    <row r="16" spans="1:8" ht="15.75" customHeight="1" x14ac:dyDescent="0.25">
      <c r="B16" s="19" t="s">
        <v>83</v>
      </c>
      <c r="C16" s="101">
        <v>1.9460982459906701E-2</v>
      </c>
      <c r="D16" s="101">
        <v>1.9460982459906701E-2</v>
      </c>
      <c r="E16" s="101">
        <v>1.9460982459906701E-2</v>
      </c>
      <c r="F16" s="101">
        <v>1.9460982459906701E-2</v>
      </c>
    </row>
    <row r="17" spans="1:8" ht="15.75" customHeight="1" x14ac:dyDescent="0.25">
      <c r="B17" s="19" t="s">
        <v>84</v>
      </c>
      <c r="C17" s="101">
        <v>0</v>
      </c>
      <c r="D17" s="101">
        <v>0</v>
      </c>
      <c r="E17" s="101">
        <v>0</v>
      </c>
      <c r="F17" s="101">
        <v>0</v>
      </c>
    </row>
    <row r="18" spans="1:8" ht="15.75" customHeight="1" x14ac:dyDescent="0.25">
      <c r="B18" s="19" t="s">
        <v>85</v>
      </c>
      <c r="C18" s="101">
        <v>0</v>
      </c>
      <c r="D18" s="101">
        <v>0</v>
      </c>
      <c r="E18" s="101">
        <v>0</v>
      </c>
      <c r="F18" s="101">
        <v>0</v>
      </c>
    </row>
    <row r="19" spans="1:8" ht="15.75" customHeight="1" x14ac:dyDescent="0.25">
      <c r="B19" s="19" t="s">
        <v>86</v>
      </c>
      <c r="C19" s="101">
        <v>0</v>
      </c>
      <c r="D19" s="101">
        <v>0</v>
      </c>
      <c r="E19" s="101">
        <v>0</v>
      </c>
      <c r="F19" s="101">
        <v>0</v>
      </c>
    </row>
    <row r="20" spans="1:8" ht="15.75" customHeight="1" x14ac:dyDescent="0.25">
      <c r="B20" s="19" t="s">
        <v>87</v>
      </c>
      <c r="C20" s="101">
        <v>0</v>
      </c>
      <c r="D20" s="101">
        <v>0</v>
      </c>
      <c r="E20" s="101">
        <v>0</v>
      </c>
      <c r="F20" s="101">
        <v>0</v>
      </c>
    </row>
    <row r="21" spans="1:8" ht="15.75" customHeight="1" x14ac:dyDescent="0.25">
      <c r="B21" s="19" t="s">
        <v>88</v>
      </c>
      <c r="C21" s="101">
        <v>0.16417924456219579</v>
      </c>
      <c r="D21" s="101">
        <v>0.16417924456219579</v>
      </c>
      <c r="E21" s="101">
        <v>0.16417924456219579</v>
      </c>
      <c r="F21" s="101">
        <v>0.16417924456219579</v>
      </c>
    </row>
    <row r="22" spans="1:8" ht="15.75" customHeight="1" x14ac:dyDescent="0.25">
      <c r="B22" s="19" t="s">
        <v>89</v>
      </c>
      <c r="C22" s="101">
        <v>0.3163318803615629</v>
      </c>
      <c r="D22" s="101">
        <v>0.3163318803615629</v>
      </c>
      <c r="E22" s="101">
        <v>0.3163318803615629</v>
      </c>
      <c r="F22" s="101">
        <v>0.3163318803615629</v>
      </c>
    </row>
    <row r="23" spans="1:8" ht="15.75" customHeight="1" x14ac:dyDescent="0.25">
      <c r="B23" s="27" t="s">
        <v>30</v>
      </c>
      <c r="C23" s="48">
        <f>SUM(C14:C22)</f>
        <v>1.0000000000000002</v>
      </c>
      <c r="D23" s="48">
        <f>SUM(D14:D22)</f>
        <v>1.0000000000000002</v>
      </c>
      <c r="E23" s="48">
        <f>SUM(E14:E22)</f>
        <v>1.0000000000000002</v>
      </c>
      <c r="F23" s="48">
        <f>SUM(F14:F22)</f>
        <v>1.0000000000000002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90</v>
      </c>
      <c r="B25" s="29" t="s">
        <v>66</v>
      </c>
      <c r="C25" s="29" t="s">
        <v>90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91</v>
      </c>
      <c r="C26" s="55">
        <v>3.8186174000000003E-2</v>
      </c>
    </row>
    <row r="27" spans="1:8" ht="15.75" customHeight="1" x14ac:dyDescent="0.25">
      <c r="B27" s="19" t="s">
        <v>92</v>
      </c>
      <c r="C27" s="101">
        <v>3.5979345000000003E-2</v>
      </c>
    </row>
    <row r="28" spans="1:8" ht="15.75" customHeight="1" x14ac:dyDescent="0.25">
      <c r="B28" s="19" t="s">
        <v>93</v>
      </c>
      <c r="C28" s="101">
        <v>0.17918920699999999</v>
      </c>
    </row>
    <row r="29" spans="1:8" ht="15.75" customHeight="1" x14ac:dyDescent="0.25">
      <c r="B29" s="19" t="s">
        <v>94</v>
      </c>
      <c r="C29" s="101">
        <v>9.3383905000000003E-2</v>
      </c>
    </row>
    <row r="30" spans="1:8" ht="15.75" customHeight="1" x14ac:dyDescent="0.25">
      <c r="B30" s="19" t="s">
        <v>95</v>
      </c>
      <c r="C30" s="101">
        <v>4.2695289999999983E-2</v>
      </c>
    </row>
    <row r="31" spans="1:8" ht="15.75" customHeight="1" x14ac:dyDescent="0.25">
      <c r="B31" s="19" t="s">
        <v>96</v>
      </c>
      <c r="C31" s="101">
        <v>0.135273369</v>
      </c>
    </row>
    <row r="32" spans="1:8" ht="15.75" customHeight="1" x14ac:dyDescent="0.25">
      <c r="B32" s="19" t="s">
        <v>97</v>
      </c>
      <c r="C32" s="101">
        <v>0.18705686599999999</v>
      </c>
    </row>
    <row r="33" spans="2:3" ht="15.75" customHeight="1" x14ac:dyDescent="0.25">
      <c r="B33" s="19" t="s">
        <v>98</v>
      </c>
      <c r="C33" s="101">
        <v>0.13805392899999999</v>
      </c>
    </row>
    <row r="34" spans="2:3" ht="15.75" customHeight="1" x14ac:dyDescent="0.25">
      <c r="B34" s="19" t="s">
        <v>99</v>
      </c>
      <c r="C34" s="101">
        <v>0.150181916</v>
      </c>
    </row>
    <row r="35" spans="2:3" ht="15.75" customHeight="1" x14ac:dyDescent="0.25">
      <c r="B35" s="27" t="s">
        <v>30</v>
      </c>
      <c r="C35" s="48">
        <f>SUM(C26:C34)</f>
        <v>1.0000000009999999</v>
      </c>
    </row>
  </sheetData>
  <sheetProtection algorithmName="SHA-512" hashValue="sadLWueMPDmmVn6pA3hrJfCDmcHMjth0IA+NA9TpB2oknhku+/645RXJMb8ll6atkV5VLDi27zVULFpTC00pqw==" saltValue="rtY/nqRgyaBwNxtbxiN70A==" spinCount="100000" sheet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"Percentage of population in each category in baseline year ("&amp;start_year&amp;")"</f>
        <v>Percentage of population in each category in baseline year (2024)</v>
      </c>
      <c r="B1" s="1" t="s">
        <v>100</v>
      </c>
      <c r="C1" s="11" t="s">
        <v>67</v>
      </c>
      <c r="D1" s="11" t="s">
        <v>77</v>
      </c>
      <c r="E1" s="11" t="s">
        <v>78</v>
      </c>
      <c r="F1" s="11" t="s">
        <v>79</v>
      </c>
      <c r="G1" s="11" t="s">
        <v>80</v>
      </c>
    </row>
    <row r="2" spans="1:15" ht="15.75" customHeight="1" x14ac:dyDescent="0.25">
      <c r="A2" s="3" t="s">
        <v>101</v>
      </c>
      <c r="B2" s="5" t="s">
        <v>102</v>
      </c>
      <c r="C2" s="52">
        <f>IFERROR(1-_xlfn.NORM.DIST(_xlfn.NORM.INV(SUM(C4:C5), 0, 1) + 1, 0, 1, TRUE), "")</f>
        <v>0.68530893122159209</v>
      </c>
      <c r="D2" s="52">
        <f>IFERROR(1-_xlfn.NORM.DIST(_xlfn.NORM.INV(SUM(D4:D5), 0, 1) + 1, 0, 1, TRUE), "")</f>
        <v>0.68530893122159209</v>
      </c>
      <c r="E2" s="52">
        <f>IFERROR(1-_xlfn.NORM.DIST(_xlfn.NORM.INV(SUM(E4:E5), 0, 1) + 1, 0, 1, TRUE), "")</f>
        <v>0.71403464461608135</v>
      </c>
      <c r="F2" s="52">
        <f>IFERROR(1-_xlfn.NORM.DIST(_xlfn.NORM.INV(SUM(F4:F5), 0, 1) + 1, 0, 1, TRUE), "")</f>
        <v>0.53686912809634602</v>
      </c>
      <c r="G2" s="52">
        <f>IFERROR(1-_xlfn.NORM.DIST(_xlfn.NORM.INV(SUM(G4:G5), 0, 1) + 1, 0, 1, TRUE), "")</f>
        <v>0.45067441162678157</v>
      </c>
    </row>
    <row r="3" spans="1:15" ht="15.75" customHeight="1" x14ac:dyDescent="0.25">
      <c r="B3" s="5" t="s">
        <v>103</v>
      </c>
      <c r="C3" s="52">
        <f>IFERROR(_xlfn.NORM.DIST(_xlfn.NORM.INV(SUM(C4:C5), 0, 1) + 1, 0, 1, TRUE) - SUM(C4:C5), "")</f>
        <v>0.24560026877840796</v>
      </c>
      <c r="D3" s="52">
        <f>IFERROR(_xlfn.NORM.DIST(_xlfn.NORM.INV(SUM(D4:D5), 0, 1) + 1, 0, 1, TRUE) - SUM(D4:D5), "")</f>
        <v>0.24560026877840796</v>
      </c>
      <c r="E3" s="52">
        <f>IFERROR(_xlfn.NORM.DIST(_xlfn.NORM.INV(SUM(E4:E5), 0, 1) + 1, 0, 1, TRUE) - SUM(E4:E5), "")</f>
        <v>0.22719855538391864</v>
      </c>
      <c r="F3" s="52">
        <f>IFERROR(_xlfn.NORM.DIST(_xlfn.NORM.INV(SUM(F4:F5), 0, 1) + 1, 0, 1, TRUE) - SUM(F4:F5), "")</f>
        <v>0.32583497190365407</v>
      </c>
      <c r="G3" s="52">
        <f>IFERROR(_xlfn.NORM.DIST(_xlfn.NORM.INV(SUM(G4:G5), 0, 1) + 1, 0, 1, TRUE) - SUM(G4:G5), "")</f>
        <v>0.35882208837321844</v>
      </c>
    </row>
    <row r="4" spans="1:15" ht="15.75" customHeight="1" x14ac:dyDescent="0.25">
      <c r="B4" s="5" t="s">
        <v>104</v>
      </c>
      <c r="C4" s="45">
        <v>5.7732699999999998E-2</v>
      </c>
      <c r="D4" s="53">
        <v>5.7732699999999998E-2</v>
      </c>
      <c r="E4" s="53">
        <v>3.7514100000000002E-2</v>
      </c>
      <c r="F4" s="53">
        <v>8.4266199999999999E-2</v>
      </c>
      <c r="G4" s="53">
        <v>0.14328250000000001</v>
      </c>
    </row>
    <row r="5" spans="1:15" ht="15.75" customHeight="1" x14ac:dyDescent="0.25">
      <c r="B5" s="5" t="s">
        <v>105</v>
      </c>
      <c r="C5" s="45">
        <v>1.1358099999999999E-2</v>
      </c>
      <c r="D5" s="53">
        <v>1.1358099999999999E-2</v>
      </c>
      <c r="E5" s="53">
        <v>2.1252699999999999E-2</v>
      </c>
      <c r="F5" s="53">
        <v>5.3029699999999999E-2</v>
      </c>
      <c r="G5" s="53">
        <v>4.7220999999999999E-2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106</v>
      </c>
      <c r="B8" s="5" t="s">
        <v>107</v>
      </c>
      <c r="C8" s="52">
        <f>IFERROR(1-_xlfn.NORM.DIST(_xlfn.NORM.INV(SUM(C10:C11), 0, 1) + 1, 0, 1, TRUE), "")</f>
        <v>0.59564306203041173</v>
      </c>
      <c r="D8" s="52">
        <f>IFERROR(1-_xlfn.NORM.DIST(_xlfn.NORM.INV(SUM(D10:D11), 0, 1) + 1, 0, 1, TRUE), "")</f>
        <v>0.59564306203041173</v>
      </c>
      <c r="E8" s="52">
        <f>IFERROR(1-_xlfn.NORM.DIST(_xlfn.NORM.INV(SUM(E10:E11), 0, 1) + 1, 0, 1, TRUE), "")</f>
        <v>0.70919815778332507</v>
      </c>
      <c r="F8" s="52">
        <f>IFERROR(1-_xlfn.NORM.DIST(_xlfn.NORM.INV(SUM(F10:F11), 0, 1) + 1, 0, 1, TRUE), "")</f>
        <v>0.77746088192221219</v>
      </c>
      <c r="G8" s="52">
        <f>IFERROR(1-_xlfn.NORM.DIST(_xlfn.NORM.INV(SUM(G10:G11), 0, 1) + 1, 0, 1, TRUE), "")</f>
        <v>0.87476102653628784</v>
      </c>
    </row>
    <row r="9" spans="1:15" ht="15.75" customHeight="1" x14ac:dyDescent="0.25">
      <c r="B9" s="5" t="s">
        <v>108</v>
      </c>
      <c r="C9" s="52">
        <f>IFERROR(_xlfn.NORM.DIST(_xlfn.NORM.INV(SUM(C10:C11), 0, 1) + 1, 0, 1, TRUE) - SUM(C10:C11), "")</f>
        <v>0.29725443796958828</v>
      </c>
      <c r="D9" s="52">
        <f>IFERROR(_xlfn.NORM.DIST(_xlfn.NORM.INV(SUM(D10:D11), 0, 1) + 1, 0, 1, TRUE) - SUM(D10:D11), "")</f>
        <v>0.29725443796958828</v>
      </c>
      <c r="E9" s="52">
        <f>IFERROR(_xlfn.NORM.DIST(_xlfn.NORM.INV(SUM(E10:E11), 0, 1) + 1, 0, 1, TRUE) - SUM(E10:E11), "")</f>
        <v>0.23035624221667494</v>
      </c>
      <c r="F9" s="52">
        <f>IFERROR(_xlfn.NORM.DIST(_xlfn.NORM.INV(SUM(F10:F11), 0, 1) + 1, 0, 1, TRUE) - SUM(F10:F11), "")</f>
        <v>0.18364331807778783</v>
      </c>
      <c r="G9" s="52">
        <f>IFERROR(_xlfn.NORM.DIST(_xlfn.NORM.INV(SUM(G10:G11), 0, 1) + 1, 0, 1, TRUE) - SUM(G10:G11), "")</f>
        <v>0.10942927346371215</v>
      </c>
    </row>
    <row r="10" spans="1:15" ht="15.75" customHeight="1" x14ac:dyDescent="0.25">
      <c r="B10" s="5" t="s">
        <v>109</v>
      </c>
      <c r="C10" s="45">
        <v>7.4211700000000005E-2</v>
      </c>
      <c r="D10" s="53">
        <v>7.4211700000000005E-2</v>
      </c>
      <c r="E10" s="53">
        <v>4.0096399999999997E-2</v>
      </c>
      <c r="F10" s="53">
        <v>2.40913E-2</v>
      </c>
      <c r="G10" s="53">
        <v>8.5543000000000008E-3</v>
      </c>
    </row>
    <row r="11" spans="1:15" ht="15.75" customHeight="1" x14ac:dyDescent="0.25">
      <c r="B11" s="5" t="s">
        <v>110</v>
      </c>
      <c r="C11" s="45">
        <v>3.2890799999999998E-2</v>
      </c>
      <c r="D11" s="53">
        <v>3.2890799999999998E-2</v>
      </c>
      <c r="E11" s="53">
        <v>2.0349200000000001E-2</v>
      </c>
      <c r="F11" s="53">
        <v>1.48045E-2</v>
      </c>
      <c r="G11" s="53">
        <v>7.2554000000000004E-3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111</v>
      </c>
      <c r="C13" s="11" t="s">
        <v>67</v>
      </c>
      <c r="D13" s="11" t="s">
        <v>77</v>
      </c>
      <c r="E13" s="11" t="s">
        <v>78</v>
      </c>
      <c r="F13" s="11" t="s">
        <v>79</v>
      </c>
      <c r="G13" s="11" t="s">
        <v>80</v>
      </c>
      <c r="H13" s="18" t="s">
        <v>112</v>
      </c>
      <c r="I13" s="18" t="s">
        <v>113</v>
      </c>
      <c r="J13" s="18" t="s">
        <v>114</v>
      </c>
      <c r="K13" s="18" t="s">
        <v>115</v>
      </c>
      <c r="L13" s="18" t="s">
        <v>58</v>
      </c>
      <c r="M13" s="18" t="s">
        <v>59</v>
      </c>
      <c r="N13" s="18" t="s">
        <v>60</v>
      </c>
      <c r="O13" s="18" t="s">
        <v>61</v>
      </c>
    </row>
    <row r="14" spans="1:15" ht="15.75" customHeight="1" x14ac:dyDescent="0.25">
      <c r="B14" s="11" t="s">
        <v>116</v>
      </c>
      <c r="C14" s="51">
        <v>0.51340841550000005</v>
      </c>
      <c r="D14" s="54">
        <v>0.51488794754</v>
      </c>
      <c r="E14" s="54">
        <v>0.51488794754</v>
      </c>
      <c r="F14" s="54">
        <v>0.30718176750999998</v>
      </c>
      <c r="G14" s="54">
        <v>0.30718176750999998</v>
      </c>
      <c r="H14" s="45">
        <v>0.36</v>
      </c>
      <c r="I14" s="55">
        <v>0.36</v>
      </c>
      <c r="J14" s="55">
        <v>0.36</v>
      </c>
      <c r="K14" s="55">
        <v>0.36</v>
      </c>
      <c r="L14" s="45">
        <v>0.253</v>
      </c>
      <c r="M14" s="55">
        <v>0.253</v>
      </c>
      <c r="N14" s="55">
        <v>0.253</v>
      </c>
      <c r="O14" s="55">
        <v>0.253</v>
      </c>
    </row>
    <row r="15" spans="1:15" ht="15.75" customHeight="1" x14ac:dyDescent="0.25">
      <c r="B15" s="11" t="s">
        <v>117</v>
      </c>
      <c r="C15" s="52">
        <f t="shared" ref="C15:O15" si="0">iron_deficiency_anaemia*C14</f>
        <v>0.29179361931576303</v>
      </c>
      <c r="D15" s="52">
        <f t="shared" si="0"/>
        <v>0.29263450543256886</v>
      </c>
      <c r="E15" s="52">
        <f t="shared" si="0"/>
        <v>0.29263450543256886</v>
      </c>
      <c r="F15" s="52">
        <f t="shared" si="0"/>
        <v>0.17458552883723846</v>
      </c>
      <c r="G15" s="52">
        <f t="shared" si="0"/>
        <v>0.17458552883723846</v>
      </c>
      <c r="H15" s="52">
        <f t="shared" si="0"/>
        <v>0.20460455999999999</v>
      </c>
      <c r="I15" s="52">
        <f t="shared" si="0"/>
        <v>0.20460455999999999</v>
      </c>
      <c r="J15" s="52">
        <f t="shared" si="0"/>
        <v>0.20460455999999999</v>
      </c>
      <c r="K15" s="52">
        <f t="shared" si="0"/>
        <v>0.20460455999999999</v>
      </c>
      <c r="L15" s="52">
        <f t="shared" si="0"/>
        <v>0.143791538</v>
      </c>
      <c r="M15" s="52">
        <f t="shared" si="0"/>
        <v>0.143791538</v>
      </c>
      <c r="N15" s="52">
        <f t="shared" si="0"/>
        <v>0.143791538</v>
      </c>
      <c r="O15" s="52">
        <f t="shared" si="0"/>
        <v>0.143791538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3xqyzchqVxS9zXO7znTyrqmG4eussISLX/4mg7LlMD/t3IsNh7m6SG4MjR9+VAYcXzElaKb7tc77YYjF5+e59A==" saltValue="FUkBI++HWGg/TA0T1/fuQ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"Percentage of children in each category in baseline year ("&amp;start_year&amp;")"</f>
        <v>Percentage of children in each category in baseline year (2024)</v>
      </c>
      <c r="B1" s="1" t="s">
        <v>100</v>
      </c>
      <c r="C1" s="8" t="s">
        <v>67</v>
      </c>
      <c r="D1" s="8" t="s">
        <v>77</v>
      </c>
      <c r="E1" s="8" t="s">
        <v>78</v>
      </c>
      <c r="F1" s="8" t="s">
        <v>79</v>
      </c>
      <c r="G1" s="8" t="s">
        <v>80</v>
      </c>
    </row>
    <row r="2" spans="1:7" x14ac:dyDescent="0.25">
      <c r="A2" s="3" t="s">
        <v>118</v>
      </c>
      <c r="B2" s="3" t="s">
        <v>119</v>
      </c>
      <c r="C2" s="45">
        <v>0.75947090000000006</v>
      </c>
      <c r="D2" s="53">
        <v>0.62829849999999998</v>
      </c>
      <c r="E2" s="53">
        <v>0</v>
      </c>
      <c r="F2" s="53">
        <v>0</v>
      </c>
      <c r="G2" s="53">
        <v>0</v>
      </c>
    </row>
    <row r="3" spans="1:7" x14ac:dyDescent="0.25">
      <c r="B3" s="3" t="s">
        <v>120</v>
      </c>
      <c r="C3" s="53">
        <v>9.82682E-2</v>
      </c>
      <c r="D3" s="53">
        <v>0.1174654</v>
      </c>
      <c r="E3" s="53">
        <v>0</v>
      </c>
      <c r="F3" s="53">
        <v>0</v>
      </c>
      <c r="G3" s="53">
        <v>0</v>
      </c>
    </row>
    <row r="4" spans="1:7" x14ac:dyDescent="0.25">
      <c r="B4" s="3" t="s">
        <v>121</v>
      </c>
      <c r="C4" s="53">
        <v>9.82682E-2</v>
      </c>
      <c r="D4" s="53">
        <v>0.1495677</v>
      </c>
      <c r="E4" s="53">
        <v>0.77113910000000008</v>
      </c>
      <c r="F4" s="53">
        <v>0.61218490000000003</v>
      </c>
      <c r="G4" s="53">
        <v>0</v>
      </c>
    </row>
    <row r="5" spans="1:7" x14ac:dyDescent="0.25">
      <c r="B5" s="3" t="s">
        <v>122</v>
      </c>
      <c r="C5" s="52">
        <v>4.3992700000000003E-2</v>
      </c>
      <c r="D5" s="52">
        <v>0.10466830000000001</v>
      </c>
      <c r="E5" s="52">
        <f>1-SUM(E2:E4)</f>
        <v>0.22886089999999992</v>
      </c>
      <c r="F5" s="52">
        <f>1-SUM(F2:F4)</f>
        <v>0.38781509999999997</v>
      </c>
      <c r="G5" s="52">
        <f>1-SUM(G2:G4)</f>
        <v>1</v>
      </c>
    </row>
  </sheetData>
  <sheetProtection algorithmName="SHA-512" hashValue="IB7MiHBWLHOD3n7SGNliWu2mGupPPVbe8KE+glKDhHOozsWhuk+He47LNdLk+tDUQGoZE97I8w1Jq70fVdZv9A==" saltValue="YOkiaLUiL7Hr3xSbyfJV+g==" spinCount="100000" sheet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123</v>
      </c>
      <c r="B1" s="4" t="s">
        <v>124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ht="13.25" customHeight="1" x14ac:dyDescent="0.25">
      <c r="A2" t="s">
        <v>125</v>
      </c>
      <c r="B2" s="9" t="s">
        <v>126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ht="13.25" customHeight="1" x14ac:dyDescent="0.25">
      <c r="B3" s="9"/>
    </row>
    <row r="4" spans="1:11" ht="13.25" customHeight="1" x14ac:dyDescent="0.25">
      <c r="A4" t="s">
        <v>127</v>
      </c>
      <c r="B4" s="9" t="s">
        <v>126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ht="13.25" customHeight="1" x14ac:dyDescent="0.25">
      <c r="B5" s="9"/>
    </row>
    <row r="6" spans="1:11" ht="13.25" customHeight="1" x14ac:dyDescent="0.25">
      <c r="A6" t="s">
        <v>128</v>
      </c>
      <c r="B6" s="9" t="s">
        <v>126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ht="13.25" customHeight="1" x14ac:dyDescent="0.25">
      <c r="B7" s="9" t="s">
        <v>90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ht="13.25" customHeight="1" x14ac:dyDescent="0.25">
      <c r="B8" s="9" t="s">
        <v>129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ht="13.25" customHeight="1" x14ac:dyDescent="0.25">
      <c r="A10" t="s">
        <v>130</v>
      </c>
      <c r="B10" s="11" t="s">
        <v>131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3.25" customHeight="1" x14ac:dyDescent="0.25">
      <c r="B11" s="11" t="s">
        <v>132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ht="13.25" customHeight="1" x14ac:dyDescent="0.25">
      <c r="A13" s="8" t="s">
        <v>32</v>
      </c>
      <c r="B13" s="11" t="s">
        <v>133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3.25" customHeight="1" x14ac:dyDescent="0.25">
      <c r="B14" s="11" t="s">
        <v>134</v>
      </c>
      <c r="C14" s="23"/>
      <c r="D14" s="23"/>
      <c r="E14" s="23"/>
      <c r="F14" s="23"/>
      <c r="G14" s="23"/>
      <c r="H14" s="23"/>
      <c r="I14" s="23"/>
      <c r="J14" s="23"/>
      <c r="K14" s="23"/>
    </row>
  </sheetData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135</v>
      </c>
      <c r="B1" s="4" t="s">
        <v>136</v>
      </c>
    </row>
    <row r="2" spans="1:2" ht="13.25" customHeight="1" x14ac:dyDescent="0.25">
      <c r="A2" s="8" t="s">
        <v>137</v>
      </c>
      <c r="B2" s="41">
        <v>10</v>
      </c>
    </row>
    <row r="3" spans="1:2" ht="13.25" customHeight="1" x14ac:dyDescent="0.25">
      <c r="A3" s="8" t="s">
        <v>138</v>
      </c>
      <c r="B3" s="41">
        <v>10</v>
      </c>
    </row>
    <row r="4" spans="1:2" ht="13.25" customHeight="1" x14ac:dyDescent="0.25">
      <c r="A4" s="8" t="s">
        <v>139</v>
      </c>
      <c r="B4" s="41">
        <v>10</v>
      </c>
    </row>
    <row r="5" spans="1:2" ht="13.25" customHeight="1" x14ac:dyDescent="0.25">
      <c r="A5" s="8" t="s">
        <v>140</v>
      </c>
      <c r="B5" s="41">
        <v>10</v>
      </c>
    </row>
    <row r="6" spans="1:2" ht="13.25" customHeight="1" x14ac:dyDescent="0.25">
      <c r="A6" s="8" t="s">
        <v>141</v>
      </c>
      <c r="B6" s="41">
        <v>10</v>
      </c>
    </row>
    <row r="7" spans="1:2" ht="13.25" customHeight="1" x14ac:dyDescent="0.25">
      <c r="A7" s="8" t="s">
        <v>142</v>
      </c>
      <c r="B7" s="41">
        <v>10</v>
      </c>
    </row>
  </sheetData>
  <sheetProtection algorithmName="SHA-512" hashValue="YTrXHsnirT/bsP+7+uMgpWAhdccKC9Qo1FzXrh2XswY271EWOG0bFZHop7LfSCGKI/uyxD63LS8xZgES2J7SsQ==" saltValue="F9kdn6b4UaX+yMB6vvKJXg==" spinCount="100000" sheet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143</v>
      </c>
      <c r="B1" s="36" t="s">
        <v>144</v>
      </c>
      <c r="C1" s="36" t="s">
        <v>145</v>
      </c>
      <c r="D1" s="36" t="s">
        <v>146</v>
      </c>
      <c r="E1" s="36" t="s">
        <v>147</v>
      </c>
    </row>
    <row r="2" spans="1:5" ht="13" customHeight="1" x14ac:dyDescent="0.3">
      <c r="A2" s="34" t="s">
        <v>148</v>
      </c>
      <c r="B2" s="32" t="s">
        <v>90</v>
      </c>
      <c r="C2" s="47"/>
      <c r="D2" s="47"/>
      <c r="E2" s="38" t="str">
        <f>IF(E$7="","",E$7)</f>
        <v/>
      </c>
    </row>
    <row r="3" spans="1:5" ht="13.25" customHeight="1" x14ac:dyDescent="0.25">
      <c r="B3" s="32" t="s">
        <v>67</v>
      </c>
      <c r="C3" s="47"/>
      <c r="D3" s="47" t="s">
        <v>149</v>
      </c>
      <c r="E3" s="38" t="str">
        <f>IF(E$7="","",E$7)</f>
        <v/>
      </c>
    </row>
    <row r="4" spans="1:5" ht="13.25" customHeight="1" x14ac:dyDescent="0.25">
      <c r="B4" s="32" t="s">
        <v>77</v>
      </c>
      <c r="C4" s="47"/>
      <c r="D4" s="47" t="s">
        <v>149</v>
      </c>
      <c r="E4" s="38" t="str">
        <f>IF(E$7="","",E$7)</f>
        <v/>
      </c>
    </row>
    <row r="5" spans="1:5" ht="13.25" customHeight="1" x14ac:dyDescent="0.25">
      <c r="B5" s="32" t="s">
        <v>78</v>
      </c>
      <c r="C5" s="47"/>
      <c r="D5" s="47" t="s">
        <v>149</v>
      </c>
      <c r="E5" s="38" t="str">
        <f>IF(E$7="","",E$7)</f>
        <v/>
      </c>
    </row>
    <row r="6" spans="1:5" ht="13.25" customHeight="1" x14ac:dyDescent="0.25">
      <c r="B6" s="32" t="s">
        <v>79</v>
      </c>
      <c r="C6" s="47"/>
      <c r="D6" s="47" t="s">
        <v>149</v>
      </c>
      <c r="E6" s="38" t="str">
        <f>IF(E$7="","",E$7)</f>
        <v/>
      </c>
    </row>
    <row r="7" spans="1:5" ht="13.25" customHeight="1" x14ac:dyDescent="0.25">
      <c r="B7" s="32" t="s">
        <v>150</v>
      </c>
      <c r="C7" s="31"/>
      <c r="D7" s="30"/>
      <c r="E7" s="47"/>
    </row>
    <row r="9" spans="1:5" ht="13" customHeight="1" x14ac:dyDescent="0.3">
      <c r="A9" s="34" t="s">
        <v>151</v>
      </c>
      <c r="B9" s="32" t="s">
        <v>90</v>
      </c>
      <c r="C9" s="47"/>
      <c r="D9" s="47"/>
      <c r="E9" s="38" t="str">
        <f>IF(E$7="","",E$7)</f>
        <v/>
      </c>
    </row>
    <row r="10" spans="1:5" ht="13.25" customHeight="1" x14ac:dyDescent="0.25">
      <c r="B10" s="32" t="s">
        <v>67</v>
      </c>
      <c r="C10" s="47"/>
      <c r="D10" s="47"/>
      <c r="E10" s="38" t="str">
        <f>IF(E$7="","",E$7)</f>
        <v/>
      </c>
    </row>
    <row r="11" spans="1:5" ht="13.25" customHeight="1" x14ac:dyDescent="0.25">
      <c r="B11" s="32" t="s">
        <v>77</v>
      </c>
      <c r="C11" s="47"/>
      <c r="D11" s="47"/>
      <c r="E11" s="38" t="str">
        <f>IF(E$7="","",E$7)</f>
        <v/>
      </c>
    </row>
    <row r="12" spans="1:5" ht="13.25" customHeight="1" x14ac:dyDescent="0.25">
      <c r="B12" s="32" t="s">
        <v>78</v>
      </c>
      <c r="C12" s="47"/>
      <c r="D12" s="47" t="s">
        <v>149</v>
      </c>
      <c r="E12" s="38" t="str">
        <f>IF(E$7="","",E$7)</f>
        <v/>
      </c>
    </row>
    <row r="13" spans="1:5" ht="13.25" customHeight="1" x14ac:dyDescent="0.25">
      <c r="B13" s="32" t="s">
        <v>79</v>
      </c>
      <c r="C13" s="47"/>
      <c r="D13" s="47" t="s">
        <v>149</v>
      </c>
      <c r="E13" s="38" t="str">
        <f>IF(E$7="","",E$7)</f>
        <v/>
      </c>
    </row>
    <row r="14" spans="1:5" ht="13.25" customHeight="1" x14ac:dyDescent="0.25">
      <c r="B14" s="32" t="s">
        <v>150</v>
      </c>
      <c r="C14" s="31"/>
      <c r="D14" s="30"/>
      <c r="E14" s="47"/>
    </row>
    <row r="16" spans="1:5" ht="13" customHeight="1" x14ac:dyDescent="0.3">
      <c r="A16" s="34" t="s">
        <v>152</v>
      </c>
      <c r="B16" s="32" t="s">
        <v>90</v>
      </c>
      <c r="C16" s="47"/>
      <c r="D16" s="47" t="s">
        <v>149</v>
      </c>
      <c r="E16" s="38" t="str">
        <f>IF(E$7="","",E$7)</f>
        <v/>
      </c>
    </row>
    <row r="17" spans="2:5" x14ac:dyDescent="0.25">
      <c r="B17" s="32" t="s">
        <v>67</v>
      </c>
      <c r="C17" s="47"/>
      <c r="D17" s="47" t="s">
        <v>149</v>
      </c>
      <c r="E17" s="38" t="str">
        <f>IF(E$7="","",E$7)</f>
        <v/>
      </c>
    </row>
    <row r="18" spans="2:5" x14ac:dyDescent="0.25">
      <c r="B18" s="32" t="s">
        <v>77</v>
      </c>
      <c r="C18" s="47"/>
      <c r="D18" s="47" t="s">
        <v>149</v>
      </c>
      <c r="E18" s="38" t="str">
        <f>IF(E$7="","",E$7)</f>
        <v/>
      </c>
    </row>
    <row r="19" spans="2:5" x14ac:dyDescent="0.25">
      <c r="B19" s="32" t="s">
        <v>78</v>
      </c>
      <c r="C19" s="47"/>
      <c r="D19" s="47" t="s">
        <v>149</v>
      </c>
      <c r="E19" s="38" t="str">
        <f>IF(E$7="","",E$7)</f>
        <v/>
      </c>
    </row>
    <row r="20" spans="2:5" x14ac:dyDescent="0.25">
      <c r="B20" s="32" t="s">
        <v>79</v>
      </c>
      <c r="C20" s="47"/>
      <c r="D20" s="47" t="s">
        <v>149</v>
      </c>
      <c r="E20" s="38" t="str">
        <f>IF(E$7="","",E$7)</f>
        <v/>
      </c>
    </row>
    <row r="21" spans="2:5" x14ac:dyDescent="0.25">
      <c r="B21" s="32" t="s">
        <v>150</v>
      </c>
      <c r="C21" s="31"/>
      <c r="D21" s="30"/>
      <c r="E21" s="47"/>
    </row>
  </sheetData>
  <sheetProtection algorithmName="SHA-512" hashValue="9wsRtmiVNJB0UeV33D4Iu3yiIwegEB7YesrZkCblhc6wUV+2PK18HRXoB0nl0+0IenWTDgkV+kV0Xi5B6erGpg==" saltValue="FiZTxqAqHli9KHTCkjPnDg==" spinCount="100000" sheet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1</v>
      </c>
      <c r="B1" s="36" t="s">
        <v>153</v>
      </c>
      <c r="C1" s="40" t="s">
        <v>154</v>
      </c>
      <c r="D1" s="40" t="s">
        <v>155</v>
      </c>
    </row>
    <row r="2" spans="1:4" ht="13" customHeight="1" x14ac:dyDescent="0.3">
      <c r="A2" s="40" t="s">
        <v>156</v>
      </c>
      <c r="B2" s="32" t="s">
        <v>157</v>
      </c>
      <c r="C2" s="32" t="s">
        <v>158</v>
      </c>
      <c r="D2" s="47"/>
    </row>
    <row r="3" spans="1:4" ht="13" customHeight="1" x14ac:dyDescent="0.3">
      <c r="A3" s="40" t="s">
        <v>159</v>
      </c>
      <c r="B3" s="32" t="s">
        <v>145</v>
      </c>
      <c r="C3" s="32" t="s">
        <v>160</v>
      </c>
      <c r="D3" s="47"/>
    </row>
  </sheetData>
  <sheetProtection algorithmName="SHA-512" hashValue="tS5A5il384gB8zsJjwidwZIpdVsJo/ah59cRAmnHpig36ZssdSIeiIXxiNqdW+7yhHG743nXUgYflxFLjdX6Kg==" saltValue="H9BMcvjdiLgSEjFGZvTrQw==" spinCount="100000" sheet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topLeftCell="A6" zoomScale="70" zoomScaleNormal="70" workbookViewId="0">
      <selection activeCell="E32" sqref="E32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156</v>
      </c>
      <c r="B1" s="22" t="str">
        <f>"Baseline ("&amp;start_year&amp;") coverage"</f>
        <v>Baseline (2024) coverage</v>
      </c>
      <c r="C1" s="22" t="s">
        <v>161</v>
      </c>
      <c r="D1" s="22" t="s">
        <v>162</v>
      </c>
      <c r="E1" s="22" t="s">
        <v>163</v>
      </c>
      <c r="F1" s="22" t="s">
        <v>164</v>
      </c>
      <c r="G1" s="22" t="s">
        <v>165</v>
      </c>
    </row>
    <row r="2" spans="1:7" ht="15.75" customHeight="1" x14ac:dyDescent="0.25">
      <c r="A2" s="5" t="s">
        <v>166</v>
      </c>
      <c r="B2" s="45">
        <v>0</v>
      </c>
      <c r="C2" s="98">
        <v>0.95</v>
      </c>
      <c r="D2" s="56">
        <v>41.719855648336448</v>
      </c>
      <c r="E2" s="56" t="s">
        <v>167</v>
      </c>
      <c r="F2" s="98">
        <v>1</v>
      </c>
      <c r="G2" s="98">
        <v>1</v>
      </c>
    </row>
    <row r="3" spans="1:7" ht="15.75" customHeight="1" x14ac:dyDescent="0.25">
      <c r="A3" s="5" t="s">
        <v>168</v>
      </c>
      <c r="B3" s="45">
        <v>0</v>
      </c>
      <c r="C3" s="98">
        <v>0.95</v>
      </c>
      <c r="D3" s="56">
        <v>44.789305247946928</v>
      </c>
      <c r="E3" s="56" t="s">
        <v>167</v>
      </c>
      <c r="F3" s="98">
        <v>1</v>
      </c>
      <c r="G3" s="98">
        <v>1</v>
      </c>
    </row>
    <row r="4" spans="1:7" ht="15.75" customHeight="1" x14ac:dyDescent="0.25">
      <c r="A4" s="5" t="s">
        <v>169</v>
      </c>
      <c r="B4" s="98">
        <v>0</v>
      </c>
      <c r="C4" s="98">
        <v>0.95</v>
      </c>
      <c r="D4" s="56">
        <v>158.70578687466161</v>
      </c>
      <c r="E4" s="56" t="s">
        <v>167</v>
      </c>
      <c r="F4" s="98">
        <v>1</v>
      </c>
      <c r="G4" s="98">
        <v>1</v>
      </c>
    </row>
    <row r="5" spans="1:7" ht="15.75" customHeight="1" x14ac:dyDescent="0.25">
      <c r="A5" s="5" t="s">
        <v>170</v>
      </c>
      <c r="B5" s="98">
        <v>0</v>
      </c>
      <c r="C5" s="98">
        <v>0.95</v>
      </c>
      <c r="D5" s="56">
        <v>2.172624196694712</v>
      </c>
      <c r="E5" s="56" t="s">
        <v>167</v>
      </c>
      <c r="F5" s="98">
        <v>1</v>
      </c>
      <c r="G5" s="98">
        <v>1</v>
      </c>
    </row>
    <row r="6" spans="1:7" ht="15.75" customHeight="1" x14ac:dyDescent="0.25">
      <c r="A6" s="5" t="s">
        <v>171</v>
      </c>
      <c r="B6" s="98">
        <v>0</v>
      </c>
      <c r="C6" s="98">
        <v>0.95</v>
      </c>
      <c r="D6" s="56">
        <v>99.99</v>
      </c>
      <c r="E6" s="56" t="s">
        <v>167</v>
      </c>
      <c r="F6" s="98">
        <v>1</v>
      </c>
      <c r="G6" s="98">
        <v>1</v>
      </c>
    </row>
    <row r="7" spans="1:7" ht="15.75" customHeight="1" x14ac:dyDescent="0.25">
      <c r="A7" s="5" t="s">
        <v>172</v>
      </c>
      <c r="B7" s="98">
        <v>0</v>
      </c>
      <c r="C7" s="98">
        <v>0.95</v>
      </c>
      <c r="D7" s="56">
        <v>99.99</v>
      </c>
      <c r="E7" s="56" t="s">
        <v>167</v>
      </c>
      <c r="F7" s="98">
        <v>1</v>
      </c>
      <c r="G7" s="98">
        <v>1</v>
      </c>
    </row>
    <row r="8" spans="1:7" ht="15.75" customHeight="1" x14ac:dyDescent="0.25">
      <c r="A8" s="5" t="s">
        <v>173</v>
      </c>
      <c r="B8" s="98">
        <v>0</v>
      </c>
      <c r="C8" s="98">
        <v>0.95</v>
      </c>
      <c r="D8" s="56">
        <v>99.99</v>
      </c>
      <c r="E8" s="56" t="s">
        <v>167</v>
      </c>
      <c r="F8" s="98">
        <v>1</v>
      </c>
      <c r="G8" s="98">
        <v>1</v>
      </c>
    </row>
    <row r="9" spans="1:7" ht="15.75" customHeight="1" x14ac:dyDescent="0.25">
      <c r="A9" s="5" t="s">
        <v>174</v>
      </c>
      <c r="B9" s="98">
        <v>0</v>
      </c>
      <c r="C9" s="98">
        <v>0.95</v>
      </c>
      <c r="D9" s="56">
        <v>99.99</v>
      </c>
      <c r="E9" s="56" t="s">
        <v>167</v>
      </c>
      <c r="F9" s="98">
        <v>1</v>
      </c>
      <c r="G9" s="98">
        <v>1</v>
      </c>
    </row>
    <row r="10" spans="1:7" ht="15.75" customHeight="1" x14ac:dyDescent="0.25">
      <c r="A10" s="11" t="s">
        <v>175</v>
      </c>
      <c r="B10" s="45">
        <v>0.195379</v>
      </c>
      <c r="C10" s="98">
        <v>0.95</v>
      </c>
      <c r="D10" s="56">
        <v>14.31436711706729</v>
      </c>
      <c r="E10" s="56" t="s">
        <v>167</v>
      </c>
      <c r="F10" s="98">
        <v>1</v>
      </c>
      <c r="G10" s="98">
        <v>1</v>
      </c>
    </row>
    <row r="11" spans="1:7" ht="15.75" customHeight="1" x14ac:dyDescent="0.25">
      <c r="A11" s="11" t="s">
        <v>176</v>
      </c>
      <c r="B11" s="98">
        <v>0</v>
      </c>
      <c r="C11" s="98">
        <v>0.95</v>
      </c>
      <c r="D11" s="56">
        <v>14.31436711706729</v>
      </c>
      <c r="E11" s="56" t="s">
        <v>167</v>
      </c>
      <c r="F11" s="98">
        <v>1</v>
      </c>
      <c r="G11" s="98">
        <v>1</v>
      </c>
    </row>
    <row r="12" spans="1:7" ht="15.75" customHeight="1" x14ac:dyDescent="0.25">
      <c r="A12" s="11" t="s">
        <v>177</v>
      </c>
      <c r="B12" s="98">
        <v>0</v>
      </c>
      <c r="C12" s="98">
        <v>0.95</v>
      </c>
      <c r="D12" s="56">
        <v>14.31436711706729</v>
      </c>
      <c r="E12" s="56" t="s">
        <v>167</v>
      </c>
      <c r="F12" s="98">
        <v>1</v>
      </c>
      <c r="G12" s="98">
        <v>1</v>
      </c>
    </row>
    <row r="13" spans="1:7" ht="15.75" customHeight="1" x14ac:dyDescent="0.25">
      <c r="A13" s="11" t="s">
        <v>178</v>
      </c>
      <c r="B13" s="98">
        <v>0</v>
      </c>
      <c r="C13" s="98">
        <v>0.95</v>
      </c>
      <c r="D13" s="56">
        <v>14.31436711706729</v>
      </c>
      <c r="E13" s="56" t="s">
        <v>167</v>
      </c>
      <c r="F13" s="98">
        <v>1</v>
      </c>
      <c r="G13" s="98">
        <v>1</v>
      </c>
    </row>
    <row r="14" spans="1:7" ht="15.75" customHeight="1" x14ac:dyDescent="0.25">
      <c r="A14" s="5" t="s">
        <v>179</v>
      </c>
      <c r="B14" s="45">
        <v>0.195379</v>
      </c>
      <c r="C14" s="98">
        <v>0.95</v>
      </c>
      <c r="D14" s="56">
        <v>14.31436711706729</v>
      </c>
      <c r="E14" s="56" t="s">
        <v>167</v>
      </c>
      <c r="F14" s="98">
        <v>1</v>
      </c>
      <c r="G14" s="98">
        <v>1</v>
      </c>
    </row>
    <row r="15" spans="1:7" ht="15.75" customHeight="1" x14ac:dyDescent="0.25">
      <c r="A15" s="5" t="s">
        <v>180</v>
      </c>
      <c r="B15" s="98">
        <v>0</v>
      </c>
      <c r="C15" s="98">
        <v>0.95</v>
      </c>
      <c r="D15" s="56">
        <v>14.31436711706729</v>
      </c>
      <c r="E15" s="56" t="s">
        <v>167</v>
      </c>
      <c r="F15" s="98">
        <v>1</v>
      </c>
      <c r="G15" s="98">
        <v>1</v>
      </c>
    </row>
    <row r="16" spans="1:7" ht="15.75" customHeight="1" x14ac:dyDescent="0.25">
      <c r="A16" s="5" t="s">
        <v>181</v>
      </c>
      <c r="B16" s="45">
        <v>0</v>
      </c>
      <c r="C16" s="98">
        <v>0.95</v>
      </c>
      <c r="D16" s="56">
        <v>0.37065239935599892</v>
      </c>
      <c r="E16" s="56" t="s">
        <v>167</v>
      </c>
      <c r="F16" s="98">
        <v>1</v>
      </c>
      <c r="G16" s="98">
        <v>1</v>
      </c>
    </row>
    <row r="17" spans="1:7" ht="15.75" customHeight="1" x14ac:dyDescent="0.25">
      <c r="A17" s="5" t="s">
        <v>182</v>
      </c>
      <c r="B17" s="98">
        <v>0</v>
      </c>
      <c r="C17" s="98">
        <v>0.95</v>
      </c>
      <c r="D17" s="56">
        <v>0.1369044839662158</v>
      </c>
      <c r="E17" s="56" t="s">
        <v>167</v>
      </c>
      <c r="F17" s="98">
        <v>1</v>
      </c>
      <c r="G17" s="98">
        <v>1</v>
      </c>
    </row>
    <row r="18" spans="1:7" ht="15.9" customHeight="1" x14ac:dyDescent="0.25">
      <c r="A18" s="5" t="s">
        <v>148</v>
      </c>
      <c r="B18" s="98">
        <v>0.62829849999999998</v>
      </c>
      <c r="C18" s="98">
        <v>0.95</v>
      </c>
      <c r="D18" s="56">
        <v>3.7356966196012209</v>
      </c>
      <c r="E18" s="56" t="s">
        <v>167</v>
      </c>
      <c r="F18" s="98">
        <v>1</v>
      </c>
      <c r="G18" s="98">
        <v>1</v>
      </c>
    </row>
    <row r="19" spans="1:7" ht="15.75" customHeight="1" x14ac:dyDescent="0.25">
      <c r="A19" s="5" t="s">
        <v>151</v>
      </c>
      <c r="B19" s="98">
        <v>0.62829849999999998</v>
      </c>
      <c r="C19" s="98">
        <v>0.95</v>
      </c>
      <c r="D19" s="56">
        <v>3.7356966196012209</v>
      </c>
      <c r="E19" s="56" t="s">
        <v>167</v>
      </c>
      <c r="F19" s="98">
        <v>1</v>
      </c>
      <c r="G19" s="98">
        <v>1</v>
      </c>
    </row>
    <row r="20" spans="1:7" ht="15.75" customHeight="1" x14ac:dyDescent="0.25">
      <c r="A20" s="5" t="s">
        <v>152</v>
      </c>
      <c r="B20" s="98">
        <v>0</v>
      </c>
      <c r="C20" s="98">
        <v>0.95</v>
      </c>
      <c r="D20" s="56">
        <v>99.99</v>
      </c>
      <c r="E20" s="56" t="s">
        <v>167</v>
      </c>
      <c r="F20" s="98">
        <v>1</v>
      </c>
      <c r="G20" s="98">
        <v>1</v>
      </c>
    </row>
    <row r="21" spans="1:7" ht="15.75" customHeight="1" x14ac:dyDescent="0.25">
      <c r="A21" s="5" t="s">
        <v>183</v>
      </c>
      <c r="B21" s="45">
        <v>0</v>
      </c>
      <c r="C21" s="98">
        <v>0.95</v>
      </c>
      <c r="D21" s="56">
        <v>21.53623251599171</v>
      </c>
      <c r="E21" s="56" t="s">
        <v>167</v>
      </c>
      <c r="F21" s="98">
        <v>1</v>
      </c>
      <c r="G21" s="98">
        <v>1</v>
      </c>
    </row>
    <row r="22" spans="1:7" ht="15.75" customHeight="1" x14ac:dyDescent="0.25">
      <c r="A22" s="5" t="s">
        <v>184</v>
      </c>
      <c r="B22" s="98">
        <v>0</v>
      </c>
      <c r="C22" s="98">
        <v>0.95</v>
      </c>
      <c r="D22" s="56">
        <v>24.468800057211059</v>
      </c>
      <c r="E22" s="56" t="s">
        <v>167</v>
      </c>
      <c r="F22" s="98">
        <v>1</v>
      </c>
      <c r="G22" s="98">
        <v>1</v>
      </c>
    </row>
    <row r="23" spans="1:7" ht="15.75" customHeight="1" x14ac:dyDescent="0.25">
      <c r="A23" s="5" t="s">
        <v>185</v>
      </c>
      <c r="B23" s="98">
        <v>0</v>
      </c>
      <c r="C23" s="98">
        <v>0.95</v>
      </c>
      <c r="D23" s="56">
        <v>4.7368458458873084</v>
      </c>
      <c r="E23" s="56" t="s">
        <v>167</v>
      </c>
      <c r="F23" s="98">
        <v>1</v>
      </c>
      <c r="G23" s="98">
        <v>1</v>
      </c>
    </row>
    <row r="24" spans="1:7" ht="15.75" customHeight="1" x14ac:dyDescent="0.25">
      <c r="A24" s="5" t="s">
        <v>186</v>
      </c>
      <c r="B24" s="45">
        <v>0.61590661134138003</v>
      </c>
      <c r="C24" s="98">
        <v>0.95</v>
      </c>
      <c r="D24" s="56">
        <v>99.99</v>
      </c>
      <c r="E24" s="56" t="s">
        <v>167</v>
      </c>
      <c r="F24" s="98">
        <v>1</v>
      </c>
      <c r="G24" s="98">
        <v>1</v>
      </c>
    </row>
    <row r="25" spans="1:7" ht="15.75" customHeight="1" x14ac:dyDescent="0.25">
      <c r="A25" s="5" t="s">
        <v>187</v>
      </c>
      <c r="B25" s="98">
        <v>0</v>
      </c>
      <c r="C25" s="98">
        <v>0.95</v>
      </c>
      <c r="D25" s="56">
        <v>99.99</v>
      </c>
      <c r="E25" s="56" t="s">
        <v>167</v>
      </c>
      <c r="F25" s="98">
        <v>1</v>
      </c>
      <c r="G25" s="98">
        <v>1</v>
      </c>
    </row>
    <row r="26" spans="1:7" ht="15.75" customHeight="1" x14ac:dyDescent="0.25">
      <c r="A26" s="5" t="s">
        <v>188</v>
      </c>
      <c r="B26" s="45">
        <v>0.195379</v>
      </c>
      <c r="C26" s="98">
        <v>0.95</v>
      </c>
      <c r="D26" s="56">
        <v>99.99</v>
      </c>
      <c r="E26" s="56" t="s">
        <v>167</v>
      </c>
      <c r="F26" s="98">
        <v>1</v>
      </c>
      <c r="G26" s="98">
        <v>1</v>
      </c>
    </row>
    <row r="27" spans="1:7" ht="15.75" customHeight="1" x14ac:dyDescent="0.25">
      <c r="A27" s="5" t="s">
        <v>189</v>
      </c>
      <c r="B27" s="45">
        <v>0</v>
      </c>
      <c r="C27" s="98">
        <v>0.95</v>
      </c>
      <c r="D27" s="56">
        <v>20.098178904392949</v>
      </c>
      <c r="E27" s="56" t="s">
        <v>167</v>
      </c>
      <c r="F27" s="98">
        <v>1</v>
      </c>
      <c r="G27" s="98">
        <v>1</v>
      </c>
    </row>
    <row r="28" spans="1:7" ht="15.75" customHeight="1" x14ac:dyDescent="0.25">
      <c r="A28" s="5" t="s">
        <v>190</v>
      </c>
      <c r="B28" s="45">
        <v>0.6128325</v>
      </c>
      <c r="C28" s="98">
        <v>0.95</v>
      </c>
      <c r="D28" s="56">
        <v>99.99</v>
      </c>
      <c r="E28" s="56" t="s">
        <v>167</v>
      </c>
      <c r="F28" s="98">
        <v>1</v>
      </c>
      <c r="G28" s="98">
        <v>1</v>
      </c>
    </row>
    <row r="29" spans="1:7" ht="15.75" customHeight="1" x14ac:dyDescent="0.25">
      <c r="A29" s="5" t="s">
        <v>191</v>
      </c>
      <c r="B29" s="45">
        <v>9.3018500000000004E-2</v>
      </c>
      <c r="C29" s="98">
        <v>0.95</v>
      </c>
      <c r="D29" s="56">
        <v>76.423918391184941</v>
      </c>
      <c r="E29" s="56" t="s">
        <v>167</v>
      </c>
      <c r="F29" s="98">
        <v>1</v>
      </c>
      <c r="G29" s="98">
        <v>1</v>
      </c>
    </row>
    <row r="30" spans="1:7" ht="15.75" customHeight="1" x14ac:dyDescent="0.25">
      <c r="A30" s="5" t="s">
        <v>192</v>
      </c>
      <c r="B30" s="98">
        <v>0</v>
      </c>
      <c r="C30" s="98">
        <v>0.95</v>
      </c>
      <c r="D30" s="56">
        <v>99</v>
      </c>
      <c r="E30" s="56" t="s">
        <v>167</v>
      </c>
      <c r="F30" s="98">
        <v>1</v>
      </c>
      <c r="G30" s="98">
        <v>1</v>
      </c>
    </row>
    <row r="31" spans="1:7" ht="15.75" customHeight="1" x14ac:dyDescent="0.25">
      <c r="A31" s="5" t="s">
        <v>157</v>
      </c>
      <c r="B31" s="45">
        <v>0</v>
      </c>
      <c r="C31" s="98">
        <v>0.95</v>
      </c>
      <c r="D31" s="56">
        <v>4.0044889616495247</v>
      </c>
      <c r="E31" s="56" t="s">
        <v>167</v>
      </c>
      <c r="F31" s="98">
        <v>1</v>
      </c>
      <c r="G31" s="98">
        <v>1</v>
      </c>
    </row>
    <row r="32" spans="1:7" ht="15.75" customHeight="1" x14ac:dyDescent="0.25">
      <c r="A32" s="5" t="s">
        <v>193</v>
      </c>
      <c r="B32" s="45">
        <v>0.37</v>
      </c>
      <c r="C32" s="98">
        <v>0.95</v>
      </c>
      <c r="D32" s="56">
        <v>0.75019485502059058</v>
      </c>
      <c r="E32" s="56" t="s">
        <v>167</v>
      </c>
      <c r="F32" s="98">
        <v>1</v>
      </c>
      <c r="G32" s="98">
        <v>1</v>
      </c>
    </row>
    <row r="33" spans="1:7" ht="15.75" customHeight="1" x14ac:dyDescent="0.25">
      <c r="A33" s="5" t="s">
        <v>194</v>
      </c>
      <c r="B33" s="45">
        <v>0.55683169999999993</v>
      </c>
      <c r="C33" s="98">
        <v>0.95</v>
      </c>
      <c r="D33" s="56">
        <v>99.99</v>
      </c>
      <c r="E33" s="56" t="s">
        <v>167</v>
      </c>
      <c r="F33" s="98">
        <v>1</v>
      </c>
      <c r="G33" s="98">
        <v>1</v>
      </c>
    </row>
    <row r="34" spans="1:7" ht="15.75" customHeight="1" x14ac:dyDescent="0.25">
      <c r="A34" s="5" t="s">
        <v>195</v>
      </c>
      <c r="B34" s="45">
        <v>5.30184E-2</v>
      </c>
      <c r="C34" s="98">
        <v>0.95</v>
      </c>
      <c r="D34" s="56">
        <v>99.99</v>
      </c>
      <c r="E34" s="56" t="s">
        <v>167</v>
      </c>
      <c r="F34" s="98">
        <v>1</v>
      </c>
      <c r="G34" s="98">
        <v>1</v>
      </c>
    </row>
    <row r="35" spans="1:7" ht="15.75" customHeight="1" x14ac:dyDescent="0.25">
      <c r="A35" s="5" t="s">
        <v>196</v>
      </c>
      <c r="B35" s="98">
        <v>0</v>
      </c>
      <c r="C35" s="98">
        <v>0.95</v>
      </c>
      <c r="D35" s="56">
        <v>99.99</v>
      </c>
      <c r="E35" s="56" t="s">
        <v>167</v>
      </c>
      <c r="F35" s="98">
        <v>1</v>
      </c>
      <c r="G35" s="98">
        <v>1</v>
      </c>
    </row>
    <row r="36" spans="1:7" ht="15.75" customHeight="1" x14ac:dyDescent="0.25">
      <c r="A36" s="5" t="s">
        <v>197</v>
      </c>
      <c r="B36" s="45">
        <v>2.0643499999999999E-2</v>
      </c>
      <c r="C36" s="98">
        <v>0.95</v>
      </c>
      <c r="D36" s="56">
        <v>99.99</v>
      </c>
      <c r="E36" s="56" t="s">
        <v>167</v>
      </c>
      <c r="F36" s="98">
        <v>1</v>
      </c>
      <c r="G36" s="98">
        <v>1</v>
      </c>
    </row>
    <row r="37" spans="1:7" ht="15.75" customHeight="1" x14ac:dyDescent="0.25">
      <c r="A37" s="5" t="s">
        <v>198</v>
      </c>
      <c r="B37" s="45">
        <v>0.41100759999999997</v>
      </c>
      <c r="C37" s="98">
        <v>0.95</v>
      </c>
      <c r="D37" s="56">
        <v>99.99</v>
      </c>
      <c r="E37" s="56" t="s">
        <v>167</v>
      </c>
      <c r="F37" s="98">
        <v>1</v>
      </c>
      <c r="G37" s="98">
        <v>1</v>
      </c>
    </row>
    <row r="38" spans="1:7" ht="15.75" customHeight="1" x14ac:dyDescent="0.25">
      <c r="A38" s="5" t="s">
        <v>199</v>
      </c>
      <c r="B38" s="45">
        <v>0.1351242</v>
      </c>
      <c r="C38" s="98">
        <v>0.95</v>
      </c>
      <c r="D38" s="56">
        <v>5.8546499383283868</v>
      </c>
      <c r="E38" s="56" t="s">
        <v>167</v>
      </c>
      <c r="F38" s="98">
        <v>1</v>
      </c>
      <c r="G38" s="98">
        <v>1</v>
      </c>
    </row>
    <row r="39" spans="1:7" ht="15.75" customHeight="1" x14ac:dyDescent="0.25">
      <c r="A39" s="5" t="s">
        <v>200</v>
      </c>
      <c r="B39" s="45">
        <v>0</v>
      </c>
      <c r="C39" s="98">
        <v>0.95</v>
      </c>
      <c r="D39" s="56">
        <v>99.99</v>
      </c>
      <c r="E39" s="56" t="s">
        <v>167</v>
      </c>
      <c r="F39" s="98">
        <v>1</v>
      </c>
      <c r="G39" s="98">
        <v>1</v>
      </c>
    </row>
  </sheetData>
  <sheetProtection algorithmName="SHA-512" hashValue="7vflRb+A4U2pEdxn7m/v0lFZNI78qfZXbnYBjV1V9XLM+tHWxQCvL8xYVSz8kIygwB6Bp0chVfPhUDXzL0eOkw==" saltValue="BwzbjGZ5GxwK0BvfdhnvS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workbookViewId="0">
      <selection activeCell="C8" sqref="C8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156</v>
      </c>
      <c r="B1" s="4" t="s">
        <v>201</v>
      </c>
      <c r="C1" s="4" t="s">
        <v>202</v>
      </c>
    </row>
    <row r="2" spans="1:3" ht="13.25" customHeight="1" x14ac:dyDescent="0.25">
      <c r="A2" s="57" t="s">
        <v>179</v>
      </c>
      <c r="B2" s="47" t="s">
        <v>189</v>
      </c>
      <c r="C2" s="47"/>
    </row>
    <row r="3" spans="1:3" ht="13.25" customHeight="1" x14ac:dyDescent="0.25">
      <c r="A3" s="57" t="s">
        <v>180</v>
      </c>
      <c r="B3" s="47" t="s">
        <v>189</v>
      </c>
      <c r="C3" s="47"/>
    </row>
    <row r="4" spans="1:3" ht="13.25" customHeight="1" x14ac:dyDescent="0.25">
      <c r="A4" s="57" t="s">
        <v>191</v>
      </c>
      <c r="B4" s="47" t="s">
        <v>184</v>
      </c>
      <c r="C4" s="47"/>
    </row>
    <row r="5" spans="1:3" ht="13.25" customHeight="1" x14ac:dyDescent="0.25">
      <c r="A5" s="57" t="s">
        <v>188</v>
      </c>
      <c r="B5" s="47" t="s">
        <v>184</v>
      </c>
      <c r="C5" s="47"/>
    </row>
    <row r="6" spans="1:3" ht="13.25" customHeight="1" x14ac:dyDescent="0.25">
      <c r="A6" s="57" t="s">
        <v>191</v>
      </c>
      <c r="B6" s="58" t="s">
        <v>192</v>
      </c>
      <c r="C6" s="58"/>
    </row>
    <row r="7" spans="1:3" ht="13.25" customHeight="1" x14ac:dyDescent="0.25">
      <c r="A7" s="57" t="s">
        <v>188</v>
      </c>
      <c r="B7" s="58" t="s">
        <v>192</v>
      </c>
      <c r="C7" s="58"/>
    </row>
    <row r="8" spans="1:3" ht="13.25" customHeight="1" x14ac:dyDescent="0.25">
      <c r="A8" s="57" t="s">
        <v>200</v>
      </c>
      <c r="B8" s="58" t="s">
        <v>192</v>
      </c>
      <c r="C8" s="58"/>
    </row>
    <row r="9" spans="1:3" ht="13.25" customHeight="1" x14ac:dyDescent="0.25">
      <c r="A9" s="57" t="s">
        <v>193</v>
      </c>
      <c r="B9" s="58" t="s">
        <v>192</v>
      </c>
      <c r="C9" s="58"/>
    </row>
    <row r="10" spans="1:3" ht="13.25" customHeight="1" x14ac:dyDescent="0.25">
      <c r="A10" s="57"/>
      <c r="B10" s="58"/>
      <c r="C10" s="58"/>
    </row>
    <row r="11" spans="1:3" ht="13.25" customHeight="1" x14ac:dyDescent="0.25">
      <c r="A11" s="59"/>
      <c r="B11" s="58"/>
      <c r="C11" s="58"/>
    </row>
    <row r="12" spans="1:3" ht="13.25" customHeight="1" x14ac:dyDescent="0.25">
      <c r="A12" s="59"/>
      <c r="B12" s="58"/>
      <c r="C12" s="58"/>
    </row>
    <row r="13" spans="1:3" ht="13.25" customHeight="1" x14ac:dyDescent="0.25">
      <c r="A13" s="59"/>
      <c r="B13" s="58"/>
      <c r="C13" s="58"/>
    </row>
    <row r="14" spans="1:3" ht="13.25" customHeight="1" x14ac:dyDescent="0.25">
      <c r="A14" s="59"/>
      <c r="B14" s="58"/>
      <c r="C14" s="58"/>
    </row>
    <row r="15" spans="1:3" ht="13.25" customHeight="1" x14ac:dyDescent="0.25">
      <c r="A15" s="59"/>
      <c r="B15" s="58"/>
      <c r="C15" s="58"/>
    </row>
    <row r="16" spans="1:3" ht="13.25" customHeight="1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mJIhFbJiXwMDYdaTQpBnnIuyYOuT68NH0zRKA9hB05n6uZvdwWxrgEXuFwGJ+96DUDA/ASxdRlcLT7WZRHSmMg==" saltValue="bb4cIfhca5ee56tuIEArcQ==" spinCount="100000" sheet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8" sqref="A8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156</v>
      </c>
    </row>
    <row r="2" spans="1:1" ht="13.25" customHeight="1" x14ac:dyDescent="0.25">
      <c r="A2" s="33" t="s">
        <v>171</v>
      </c>
    </row>
    <row r="3" spans="1:1" ht="13.25" customHeight="1" x14ac:dyDescent="0.25">
      <c r="A3" s="33" t="s">
        <v>181</v>
      </c>
    </row>
    <row r="4" spans="1:1" ht="13.25" customHeight="1" x14ac:dyDescent="0.25">
      <c r="A4" s="33" t="s">
        <v>185</v>
      </c>
    </row>
    <row r="5" spans="1:1" ht="13.25" customHeight="1" x14ac:dyDescent="0.25">
      <c r="A5" s="33" t="s">
        <v>194</v>
      </c>
    </row>
    <row r="6" spans="1:1" ht="13.25" customHeight="1" x14ac:dyDescent="0.25">
      <c r="A6" s="33" t="s">
        <v>195</v>
      </c>
    </row>
    <row r="7" spans="1:1" ht="13.25" customHeight="1" x14ac:dyDescent="0.25">
      <c r="A7" s="33" t="s">
        <v>196</v>
      </c>
    </row>
    <row r="8" spans="1:1" ht="13.25" customHeight="1" x14ac:dyDescent="0.25">
      <c r="A8" s="33" t="s">
        <v>197</v>
      </c>
    </row>
    <row r="9" spans="1:1" ht="13.25" customHeight="1" x14ac:dyDescent="0.25">
      <c r="A9" s="33" t="s">
        <v>198</v>
      </c>
    </row>
    <row r="10" spans="1:1" ht="13.25" customHeight="1" x14ac:dyDescent="0.25">
      <c r="A10" s="33" t="s">
        <v>157</v>
      </c>
    </row>
    <row r="11" spans="1:1" ht="13.25" customHeight="1" x14ac:dyDescent="0.25">
      <c r="A11" s="33"/>
    </row>
    <row r="12" spans="1:1" ht="13.25" customHeight="1" x14ac:dyDescent="0.25">
      <c r="A12" s="33"/>
    </row>
    <row r="13" spans="1:1" ht="13.25" customHeight="1" x14ac:dyDescent="0.25">
      <c r="A13" s="33"/>
    </row>
    <row r="14" spans="1:1" ht="13.25" customHeight="1" x14ac:dyDescent="0.25">
      <c r="A14" s="33"/>
    </row>
    <row r="15" spans="1:1" ht="13.25" customHeight="1" x14ac:dyDescent="0.25">
      <c r="A15" s="33"/>
    </row>
    <row r="16" spans="1:1" ht="13.25" customHeight="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203</v>
      </c>
      <c r="B1" t="s">
        <v>67</v>
      </c>
      <c r="C1" t="s">
        <v>77</v>
      </c>
      <c r="D1" t="s">
        <v>78</v>
      </c>
      <c r="E1" t="s">
        <v>79</v>
      </c>
      <c r="F1" t="s">
        <v>80</v>
      </c>
    </row>
    <row r="2" spans="1:6" ht="15.75" customHeight="1" x14ac:dyDescent="0.25">
      <c r="A2" s="3" t="s">
        <v>81</v>
      </c>
      <c r="B2" s="21">
        <f>'Baseline year population inputs'!C51</f>
        <v>2.2000000000000002</v>
      </c>
      <c r="C2" s="21">
        <f>'Baseline year population inputs'!C52</f>
        <v>2.2000000000000002</v>
      </c>
      <c r="D2" s="21">
        <f>'Baseline year population inputs'!C53</f>
        <v>2.2000000000000002</v>
      </c>
      <c r="E2" s="21">
        <f>'Baseline year population inputs'!C54</f>
        <v>2.2000000000000002</v>
      </c>
      <c r="F2" s="21">
        <f>'Baseline year population inputs'!C55</f>
        <v>2.2000000000000002</v>
      </c>
    </row>
    <row r="3" spans="1:6" ht="15.75" customHeight="1" x14ac:dyDescent="0.25">
      <c r="A3" s="3" t="s">
        <v>204</v>
      </c>
      <c r="B3" s="21">
        <f>frac_mam_1month * 2.6</f>
        <v>0.19295042000000001</v>
      </c>
      <c r="C3" s="21">
        <f>frac_mam_1_5months * 2.6</f>
        <v>0.19295042000000001</v>
      </c>
      <c r="D3" s="21">
        <f>frac_mam_6_11months * 2.6</f>
        <v>0.10425063999999999</v>
      </c>
      <c r="E3" s="21">
        <f>frac_mam_12_23months * 2.6</f>
        <v>6.2637380000000006E-2</v>
      </c>
      <c r="F3" s="21">
        <f>frac_mam_24_59months * 2.6</f>
        <v>2.2241180000000003E-2</v>
      </c>
    </row>
    <row r="4" spans="1:6" ht="15.75" customHeight="1" x14ac:dyDescent="0.25">
      <c r="A4" s="3" t="s">
        <v>205</v>
      </c>
      <c r="B4" s="21">
        <f>frac_sam_1month * 2.6</f>
        <v>8.5516079999999994E-2</v>
      </c>
      <c r="C4" s="21">
        <f>frac_sam_1_5months * 2.6</f>
        <v>8.5516079999999994E-2</v>
      </c>
      <c r="D4" s="21">
        <f>frac_sam_6_11months * 2.6</f>
        <v>5.2907920000000004E-2</v>
      </c>
      <c r="E4" s="21">
        <f>frac_sam_12_23months * 2.6</f>
        <v>3.8491700000000004E-2</v>
      </c>
      <c r="F4" s="21">
        <f>frac_sam_24_59months * 2.6</f>
        <v>1.8864040000000002E-2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">
      <c r="A2" s="4" t="s">
        <v>76</v>
      </c>
      <c r="B2" s="5" t="s">
        <v>169</v>
      </c>
      <c r="C2" s="60">
        <v>0</v>
      </c>
      <c r="D2" s="60">
        <f>food_insecure</f>
        <v>0.129</v>
      </c>
      <c r="E2" s="60">
        <f>food_insecure</f>
        <v>0.129</v>
      </c>
      <c r="F2" s="60">
        <f>food_insecure</f>
        <v>0.129</v>
      </c>
      <c r="G2" s="60">
        <f>food_insecure</f>
        <v>0.129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170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184</v>
      </c>
      <c r="C5" s="60">
        <v>0</v>
      </c>
      <c r="D5" s="60">
        <v>0</v>
      </c>
      <c r="E5" s="60">
        <f>food_insecure</f>
        <v>0.129</v>
      </c>
      <c r="F5" s="60">
        <f>food_insecure</f>
        <v>0.129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190</v>
      </c>
      <c r="C7" s="60">
        <f>diarrhoea_1mo*frac_diarrhea_severe</f>
        <v>4.6999999999999993E-2</v>
      </c>
      <c r="D7" s="60">
        <f>diarrhoea_1_5mo*frac_diarrhea_severe</f>
        <v>4.6999999999999993E-2</v>
      </c>
      <c r="E7" s="60">
        <f>diarrhoea_6_11mo*frac_diarrhea_severe</f>
        <v>4.6999999999999993E-2</v>
      </c>
      <c r="F7" s="60">
        <f>diarrhoea_12_23mo*frac_diarrhea_severe</f>
        <v>4.6999999999999993E-2</v>
      </c>
      <c r="G7" s="60">
        <f>diarrhoea_24_59mo*frac_diarrhea_severe</f>
        <v>4.6999999999999993E-2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191</v>
      </c>
      <c r="C8" s="60">
        <v>0</v>
      </c>
      <c r="D8" s="60">
        <v>0</v>
      </c>
      <c r="E8" s="60">
        <f>food_insecure</f>
        <v>0.129</v>
      </c>
      <c r="F8" s="60">
        <f>food_insecure</f>
        <v>0.129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192</v>
      </c>
      <c r="C9" s="60">
        <v>0</v>
      </c>
      <c r="D9" s="60">
        <v>0</v>
      </c>
      <c r="E9" s="60">
        <f>food_insecure</f>
        <v>0.129</v>
      </c>
      <c r="F9" s="60">
        <f>food_insecure</f>
        <v>0.129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157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193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199</v>
      </c>
      <c r="C12" s="60">
        <f>diarrhoea_1mo*frac_diarrhea_severe</f>
        <v>4.6999999999999993E-2</v>
      </c>
      <c r="D12" s="60">
        <f>diarrhoea_1_5mo*frac_diarrhea_severe</f>
        <v>4.6999999999999993E-2</v>
      </c>
      <c r="E12" s="60">
        <f>diarrhoea_6_11mo*frac_diarrhea_severe</f>
        <v>4.6999999999999993E-2</v>
      </c>
      <c r="F12" s="60">
        <f>diarrhoea_12_23mo*frac_diarrhea_severe</f>
        <v>4.6999999999999993E-2</v>
      </c>
      <c r="G12" s="60">
        <f>diarrhoea_24_59mo*frac_diarrhea_severe</f>
        <v>4.6999999999999993E-2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200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90</v>
      </c>
      <c r="B15" s="9" t="s">
        <v>166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0.129</v>
      </c>
      <c r="I15" s="60">
        <f>food_insecure</f>
        <v>0.129</v>
      </c>
      <c r="J15" s="60">
        <f>food_insecure</f>
        <v>0.129</v>
      </c>
      <c r="K15" s="60">
        <f>food_insecure</f>
        <v>0.129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180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189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207</v>
      </c>
      <c r="B24" s="11" t="s">
        <v>171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0.64200000000000002</v>
      </c>
      <c r="M24" s="60">
        <f>famplan_unmet_need</f>
        <v>0.64200000000000002</v>
      </c>
      <c r="N24" s="60">
        <f>famplan_unmet_need</f>
        <v>0.64200000000000002</v>
      </c>
      <c r="O24" s="60">
        <f>famplan_unmet_need</f>
        <v>0.64200000000000002</v>
      </c>
    </row>
    <row r="25" spans="1:15" ht="15.75" customHeight="1" x14ac:dyDescent="0.25">
      <c r="B25" s="11" t="s">
        <v>175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9.613375813406401E-2</v>
      </c>
      <c r="M25" s="60">
        <f>(1-food_insecure)*(0.49)+food_insecure*(0.7)</f>
        <v>0.51709000000000005</v>
      </c>
      <c r="N25" s="60">
        <f>(1-food_insecure)*(0.49)+food_insecure*(0.7)</f>
        <v>0.51709000000000005</v>
      </c>
      <c r="O25" s="60">
        <f>(1-food_insecure)*(0.49)+food_insecure*(0.7)</f>
        <v>0.51709000000000005</v>
      </c>
    </row>
    <row r="26" spans="1:15" ht="15.75" customHeight="1" x14ac:dyDescent="0.25">
      <c r="B26" s="11" t="s">
        <v>176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4.1200182057456E-2</v>
      </c>
      <c r="M26" s="60">
        <f>(1-food_insecure)*(0.21)+food_insecure*(0.3)</f>
        <v>0.22160999999999997</v>
      </c>
      <c r="N26" s="60">
        <f>(1-food_insecure)*(0.21)+food_insecure*(0.3)</f>
        <v>0.22160999999999997</v>
      </c>
      <c r="O26" s="60">
        <f>(1-food_insecure)*(0.21)+food_insecure*(0.3)</f>
        <v>0.22160999999999997</v>
      </c>
    </row>
    <row r="27" spans="1:15" ht="15.75" customHeight="1" x14ac:dyDescent="0.25">
      <c r="B27" s="11" t="s">
        <v>177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4.8579069408479995E-2</v>
      </c>
      <c r="M27" s="60">
        <f>(1-food_insecure)*(0.3)</f>
        <v>0.26129999999999998</v>
      </c>
      <c r="N27" s="60">
        <f>(1-food_insecure)*(0.3)</f>
        <v>0.26129999999999998</v>
      </c>
      <c r="O27" s="60">
        <f>(1-food_insecure)*(0.3)</f>
        <v>0.26129999999999998</v>
      </c>
    </row>
    <row r="28" spans="1:15" ht="15.75" customHeight="1" x14ac:dyDescent="0.25">
      <c r="B28" s="11" t="s">
        <v>178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0.81408699039999999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208</v>
      </c>
      <c r="B30" s="5" t="s">
        <v>172</v>
      </c>
      <c r="C30" s="60">
        <v>0</v>
      </c>
      <c r="D30" s="60">
        <v>0</v>
      </c>
      <c r="E30" s="60">
        <f t="shared" ref="E30:O30" si="0">frac_maize</f>
        <v>0.01</v>
      </c>
      <c r="F30" s="60">
        <f t="shared" si="0"/>
        <v>0.01</v>
      </c>
      <c r="G30" s="60">
        <f t="shared" si="0"/>
        <v>0.01</v>
      </c>
      <c r="H30" s="60">
        <f t="shared" si="0"/>
        <v>0.01</v>
      </c>
      <c r="I30" s="60">
        <f t="shared" si="0"/>
        <v>0.01</v>
      </c>
      <c r="J30" s="60">
        <f t="shared" si="0"/>
        <v>0.01</v>
      </c>
      <c r="K30" s="60">
        <f t="shared" si="0"/>
        <v>0.01</v>
      </c>
      <c r="L30" s="60">
        <f t="shared" si="0"/>
        <v>0.01</v>
      </c>
      <c r="M30" s="60">
        <f t="shared" si="0"/>
        <v>0.01</v>
      </c>
      <c r="N30" s="60">
        <f t="shared" si="0"/>
        <v>0.01</v>
      </c>
      <c r="O30" s="60">
        <f t="shared" si="0"/>
        <v>0.01</v>
      </c>
    </row>
    <row r="31" spans="1:15" ht="15.75" customHeight="1" x14ac:dyDescent="0.25">
      <c r="B31" s="5" t="s">
        <v>173</v>
      </c>
      <c r="C31" s="60">
        <v>0</v>
      </c>
      <c r="D31" s="60">
        <v>0</v>
      </c>
      <c r="E31" s="60">
        <f t="shared" ref="E31:O31" si="1">frac_rice</f>
        <v>0.01</v>
      </c>
      <c r="F31" s="60">
        <f t="shared" si="1"/>
        <v>0.01</v>
      </c>
      <c r="G31" s="60">
        <f t="shared" si="1"/>
        <v>0.01</v>
      </c>
      <c r="H31" s="60">
        <f t="shared" si="1"/>
        <v>0.01</v>
      </c>
      <c r="I31" s="60">
        <f t="shared" si="1"/>
        <v>0.01</v>
      </c>
      <c r="J31" s="60">
        <f t="shared" si="1"/>
        <v>0.01</v>
      </c>
      <c r="K31" s="60">
        <f t="shared" si="1"/>
        <v>0.01</v>
      </c>
      <c r="L31" s="60">
        <f t="shared" si="1"/>
        <v>0.01</v>
      </c>
      <c r="M31" s="60">
        <f t="shared" si="1"/>
        <v>0.01</v>
      </c>
      <c r="N31" s="60">
        <f t="shared" si="1"/>
        <v>0.01</v>
      </c>
      <c r="O31" s="60">
        <f t="shared" si="1"/>
        <v>0.01</v>
      </c>
    </row>
    <row r="32" spans="1:15" ht="15.75" customHeight="1" x14ac:dyDescent="0.25">
      <c r="B32" s="5" t="s">
        <v>174</v>
      </c>
      <c r="C32" s="60">
        <v>0</v>
      </c>
      <c r="D32" s="60">
        <v>0</v>
      </c>
      <c r="E32" s="60">
        <f t="shared" ref="E32:O32" si="2">frac_wheat</f>
        <v>0.98</v>
      </c>
      <c r="F32" s="60">
        <f t="shared" si="2"/>
        <v>0.98</v>
      </c>
      <c r="G32" s="60">
        <f t="shared" si="2"/>
        <v>0.98</v>
      </c>
      <c r="H32" s="60">
        <f t="shared" si="2"/>
        <v>0.98</v>
      </c>
      <c r="I32" s="60">
        <f t="shared" si="2"/>
        <v>0.98</v>
      </c>
      <c r="J32" s="60">
        <f t="shared" si="2"/>
        <v>0.98</v>
      </c>
      <c r="K32" s="60">
        <f t="shared" si="2"/>
        <v>0.98</v>
      </c>
      <c r="L32" s="60">
        <f t="shared" si="2"/>
        <v>0.98</v>
      </c>
      <c r="M32" s="60">
        <f t="shared" si="2"/>
        <v>0.98</v>
      </c>
      <c r="N32" s="60">
        <f t="shared" si="2"/>
        <v>0.98</v>
      </c>
      <c r="O32" s="60">
        <f t="shared" si="2"/>
        <v>0.98</v>
      </c>
    </row>
    <row r="33" spans="2:15" ht="15.75" customHeight="1" x14ac:dyDescent="0.25">
      <c r="B33" s="5" t="s">
        <v>182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185</v>
      </c>
      <c r="C34" s="60">
        <f t="shared" ref="C34:O34" si="3">frac_malaria_risk</f>
        <v>0.01</v>
      </c>
      <c r="D34" s="60">
        <f t="shared" si="3"/>
        <v>0.01</v>
      </c>
      <c r="E34" s="60">
        <f t="shared" si="3"/>
        <v>0.01</v>
      </c>
      <c r="F34" s="60">
        <f t="shared" si="3"/>
        <v>0.01</v>
      </c>
      <c r="G34" s="60">
        <f t="shared" si="3"/>
        <v>0.01</v>
      </c>
      <c r="H34" s="60">
        <f t="shared" si="3"/>
        <v>0.01</v>
      </c>
      <c r="I34" s="60">
        <f t="shared" si="3"/>
        <v>0.01</v>
      </c>
      <c r="J34" s="60">
        <f t="shared" si="3"/>
        <v>0.01</v>
      </c>
      <c r="K34" s="60">
        <f t="shared" si="3"/>
        <v>0.01</v>
      </c>
      <c r="L34" s="60">
        <f t="shared" si="3"/>
        <v>0.01</v>
      </c>
      <c r="M34" s="60">
        <f t="shared" si="3"/>
        <v>0.01</v>
      </c>
      <c r="N34" s="60">
        <f t="shared" si="3"/>
        <v>0.01</v>
      </c>
      <c r="O34" s="60">
        <f t="shared" si="3"/>
        <v>0.01</v>
      </c>
    </row>
    <row r="35" spans="2:15" ht="15.75" customHeight="1" x14ac:dyDescent="0.25">
      <c r="B35" s="9" t="s">
        <v>194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195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196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197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198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c/rGyVZgGkhUAqOYeQhEdKJohJnZwMlPtVcOZvPWAG/LEg5Gne9k7nZtnui0huHfripADE6dYtqDmtQbZr0eCA==" saltValue="B8YmPLaFBUBxrPCcmxl/Fg==" spinCount="100000" sheet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167</v>
      </c>
    </row>
    <row r="2" spans="1:1" x14ac:dyDescent="0.25">
      <c r="A2" s="8" t="s">
        <v>209</v>
      </c>
    </row>
    <row r="3" spans="1:1" x14ac:dyDescent="0.25">
      <c r="A3" s="8" t="s">
        <v>210</v>
      </c>
    </row>
    <row r="4" spans="1:1" x14ac:dyDescent="0.25">
      <c r="A4" s="8" t="s">
        <v>211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212</v>
      </c>
      <c r="B1" s="4" t="s">
        <v>213</v>
      </c>
      <c r="C1" s="4" t="s">
        <v>214</v>
      </c>
      <c r="D1" s="4" t="s">
        <v>136</v>
      </c>
      <c r="E1" s="4" t="s">
        <v>215</v>
      </c>
    </row>
    <row r="2" spans="1:5" ht="14" customHeight="1" x14ac:dyDescent="0.3">
      <c r="A2" s="28" t="s">
        <v>216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219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220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221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222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223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224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A12" sqref="A12:XFD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5">
      <c r="A2" s="4" t="s">
        <v>76</v>
      </c>
      <c r="B2" s="5" t="s">
        <v>169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170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148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192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157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193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199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200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90</v>
      </c>
      <c r="B18" s="5" t="s">
        <v>166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180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189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207</v>
      </c>
      <c r="B27" s="5" t="s">
        <v>171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208</v>
      </c>
      <c r="B33" s="5" t="s">
        <v>172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194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195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196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197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198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/iNx8XhXnh7Xx3uVehiCurwu84DzhXX8Awjv5OnRpydvMo//nxQizpEy+BvB5S3dYPWZ66+QPd4XSBmiXvnjlw==" saltValue="ZzUL++HyQF3FaTSDA9XqUQ==" spinCount="100000" sheet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156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ht="13.25" customHeight="1" x14ac:dyDescent="0.25">
      <c r="A2" s="5" t="s">
        <v>166</v>
      </c>
      <c r="B2" s="87"/>
      <c r="C2" s="87"/>
      <c r="D2" s="87"/>
      <c r="E2" s="87"/>
      <c r="F2" s="87"/>
      <c r="G2" s="87"/>
      <c r="H2" s="87"/>
      <c r="I2" s="87" t="s">
        <v>149</v>
      </c>
      <c r="J2" s="87"/>
      <c r="K2" s="87"/>
    </row>
    <row r="3" spans="1:11" ht="13.25" customHeight="1" x14ac:dyDescent="0.25">
      <c r="A3" s="5" t="s">
        <v>168</v>
      </c>
      <c r="B3" s="87"/>
      <c r="C3" s="87"/>
      <c r="D3" s="87"/>
      <c r="E3" s="87"/>
      <c r="F3" s="87"/>
      <c r="G3" s="87"/>
      <c r="H3" s="87" t="s">
        <v>149</v>
      </c>
      <c r="I3" s="87"/>
      <c r="J3" s="87"/>
      <c r="K3" s="87"/>
    </row>
    <row r="4" spans="1:11" ht="13.25" customHeight="1" x14ac:dyDescent="0.25">
      <c r="A4" s="5" t="s">
        <v>169</v>
      </c>
      <c r="B4" s="87"/>
      <c r="C4" s="87"/>
      <c r="D4" s="87" t="s">
        <v>149</v>
      </c>
      <c r="E4" s="87"/>
      <c r="F4" s="87"/>
      <c r="G4" s="87"/>
      <c r="H4" s="87"/>
      <c r="I4" s="87"/>
      <c r="J4" s="87"/>
      <c r="K4" s="87"/>
    </row>
    <row r="5" spans="1:11" ht="13.25" customHeight="1" x14ac:dyDescent="0.25">
      <c r="A5" s="5" t="s">
        <v>170</v>
      </c>
      <c r="B5" s="87"/>
      <c r="C5" s="87" t="s">
        <v>149</v>
      </c>
      <c r="D5" s="87"/>
      <c r="E5" s="87"/>
      <c r="F5" s="87"/>
      <c r="G5" s="87"/>
      <c r="H5" s="87"/>
      <c r="I5" s="87"/>
      <c r="J5" s="87"/>
      <c r="K5" s="87"/>
    </row>
    <row r="6" spans="1:11" ht="13.25" customHeight="1" x14ac:dyDescent="0.25">
      <c r="A6" s="5" t="s">
        <v>171</v>
      </c>
      <c r="B6" s="87"/>
      <c r="C6" s="87"/>
      <c r="D6" s="87"/>
      <c r="E6" s="87"/>
      <c r="F6" s="87"/>
      <c r="G6" s="87"/>
      <c r="H6" s="87"/>
      <c r="I6" s="87"/>
      <c r="J6" s="87" t="s">
        <v>149</v>
      </c>
      <c r="K6" s="87" t="s">
        <v>149</v>
      </c>
    </row>
    <row r="7" spans="1:11" ht="13.25" customHeight="1" x14ac:dyDescent="0.25">
      <c r="A7" s="5" t="s">
        <v>172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/>
      <c r="J7" s="87"/>
      <c r="K7" s="87"/>
    </row>
    <row r="8" spans="1:11" ht="13.25" customHeight="1" x14ac:dyDescent="0.25">
      <c r="A8" s="5" t="s">
        <v>173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/>
      <c r="J8" s="87"/>
      <c r="K8" s="87"/>
    </row>
    <row r="9" spans="1:11" ht="13.25" customHeight="1" x14ac:dyDescent="0.25">
      <c r="A9" s="5" t="s">
        <v>174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/>
      <c r="J9" s="87"/>
      <c r="K9" s="87"/>
    </row>
    <row r="10" spans="1:11" ht="13.25" customHeight="1" x14ac:dyDescent="0.25">
      <c r="A10" s="11" t="s">
        <v>175</v>
      </c>
      <c r="B10" s="87"/>
      <c r="C10" s="87" t="s">
        <v>149</v>
      </c>
      <c r="D10" s="87"/>
      <c r="E10" s="87"/>
      <c r="F10" s="87"/>
      <c r="G10" s="87"/>
      <c r="H10" s="87"/>
      <c r="I10" s="87"/>
      <c r="J10" s="87"/>
      <c r="K10" s="87"/>
    </row>
    <row r="11" spans="1:11" ht="13.25" customHeight="1" x14ac:dyDescent="0.25">
      <c r="A11" s="11" t="s">
        <v>176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/>
      <c r="K11" s="87"/>
    </row>
    <row r="12" spans="1:11" ht="13.25" customHeight="1" x14ac:dyDescent="0.25">
      <c r="A12" s="11" t="s">
        <v>177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/>
    </row>
    <row r="13" spans="1:11" ht="13.25" customHeight="1" x14ac:dyDescent="0.25">
      <c r="A13" s="11" t="s">
        <v>178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/>
    </row>
    <row r="14" spans="1:11" ht="13.25" customHeight="1" x14ac:dyDescent="0.25">
      <c r="A14" s="5" t="s">
        <v>179</v>
      </c>
      <c r="B14" s="87"/>
      <c r="C14" s="87" t="s">
        <v>149</v>
      </c>
      <c r="D14" s="87"/>
      <c r="E14" s="87"/>
      <c r="F14" s="87"/>
      <c r="G14" s="87"/>
      <c r="H14" s="87"/>
      <c r="I14" s="87" t="s">
        <v>149</v>
      </c>
      <c r="J14" s="87"/>
      <c r="K14" s="87"/>
    </row>
    <row r="15" spans="1:11" ht="13.25" customHeight="1" x14ac:dyDescent="0.25">
      <c r="A15" s="5" t="s">
        <v>180</v>
      </c>
      <c r="B15" s="87"/>
      <c r="C15" s="87" t="s">
        <v>149</v>
      </c>
      <c r="D15" s="87"/>
      <c r="E15" s="87"/>
      <c r="F15" s="87"/>
      <c r="G15" s="87"/>
      <c r="H15" s="87"/>
      <c r="I15" s="87" t="s">
        <v>149</v>
      </c>
      <c r="J15" s="87"/>
      <c r="K15" s="87"/>
    </row>
    <row r="16" spans="1:11" ht="13.25" customHeight="1" x14ac:dyDescent="0.25">
      <c r="A16" s="5" t="s">
        <v>181</v>
      </c>
      <c r="B16" s="87"/>
      <c r="C16" s="87" t="s">
        <v>149</v>
      </c>
      <c r="D16" s="87"/>
      <c r="E16" s="87"/>
      <c r="F16" s="87"/>
      <c r="G16" s="87"/>
      <c r="H16" s="87" t="s">
        <v>149</v>
      </c>
      <c r="I16" s="87" t="s">
        <v>149</v>
      </c>
      <c r="J16" s="87"/>
      <c r="K16" s="87"/>
    </row>
    <row r="17" spans="1:11" x14ac:dyDescent="0.25">
      <c r="A17" s="5" t="s">
        <v>182</v>
      </c>
      <c r="B17" s="87"/>
      <c r="C17" s="87" t="s">
        <v>149</v>
      </c>
      <c r="D17" s="87"/>
      <c r="E17" s="87"/>
      <c r="F17" s="87"/>
      <c r="G17" s="87"/>
      <c r="H17" s="87"/>
      <c r="I17" s="87"/>
      <c r="J17" s="87"/>
      <c r="K17" s="87"/>
    </row>
    <row r="18" spans="1:11" x14ac:dyDescent="0.25">
      <c r="A18" s="5" t="s">
        <v>148</v>
      </c>
      <c r="B18" s="87" t="s">
        <v>149</v>
      </c>
      <c r="C18" s="87"/>
      <c r="D18" s="87"/>
      <c r="E18" s="87"/>
      <c r="F18" s="87" t="s">
        <v>149</v>
      </c>
      <c r="G18" s="87"/>
      <c r="H18" s="87"/>
      <c r="I18" s="87"/>
      <c r="J18" s="87"/>
      <c r="K18" s="87"/>
    </row>
    <row r="19" spans="1:11" x14ac:dyDescent="0.25">
      <c r="A19" s="5" t="s">
        <v>151</v>
      </c>
      <c r="B19" s="87" t="s">
        <v>149</v>
      </c>
      <c r="C19" s="87"/>
      <c r="D19" s="87"/>
      <c r="E19" s="87"/>
      <c r="F19" s="87" t="s">
        <v>149</v>
      </c>
      <c r="G19" s="87"/>
      <c r="H19" s="87"/>
      <c r="I19" s="87"/>
      <c r="J19" s="87"/>
      <c r="K19" s="87"/>
    </row>
    <row r="20" spans="1:11" x14ac:dyDescent="0.25">
      <c r="A20" s="5" t="s">
        <v>152</v>
      </c>
      <c r="B20" s="87" t="s">
        <v>149</v>
      </c>
      <c r="C20" s="87"/>
      <c r="D20" s="87"/>
      <c r="E20" s="87"/>
      <c r="F20" s="87" t="s">
        <v>149</v>
      </c>
      <c r="G20" s="87"/>
      <c r="H20" s="87"/>
      <c r="I20" s="87"/>
      <c r="J20" s="87"/>
      <c r="K20" s="87"/>
    </row>
    <row r="21" spans="1:11" x14ac:dyDescent="0.25">
      <c r="A21" s="5" t="s">
        <v>183</v>
      </c>
      <c r="B21" s="87"/>
      <c r="C21" s="87"/>
      <c r="D21" s="87"/>
      <c r="E21" s="87"/>
      <c r="F21" s="87"/>
      <c r="G21" s="87"/>
      <c r="H21" s="87" t="s">
        <v>149</v>
      </c>
      <c r="I21" s="87" t="s">
        <v>149</v>
      </c>
      <c r="J21" s="87"/>
      <c r="K21" s="87"/>
    </row>
    <row r="22" spans="1:11" x14ac:dyDescent="0.25">
      <c r="A22" s="5" t="s">
        <v>184</v>
      </c>
      <c r="B22" s="87" t="s">
        <v>149</v>
      </c>
      <c r="C22" s="87" t="s">
        <v>149</v>
      </c>
      <c r="D22" s="87" t="s">
        <v>149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185</v>
      </c>
      <c r="B23" s="87"/>
      <c r="C23" s="87" t="s">
        <v>149</v>
      </c>
      <c r="D23" s="87"/>
      <c r="E23" s="87"/>
      <c r="F23" s="87"/>
      <c r="G23" s="87"/>
      <c r="H23" s="87"/>
      <c r="I23" s="87" t="s">
        <v>149</v>
      </c>
      <c r="J23" s="87"/>
      <c r="K23" s="87"/>
    </row>
    <row r="24" spans="1:11" x14ac:dyDescent="0.25">
      <c r="A24" s="5" t="s">
        <v>186</v>
      </c>
      <c r="B24" s="87"/>
      <c r="C24" s="87"/>
      <c r="D24" s="87"/>
      <c r="E24" s="87"/>
      <c r="F24" s="87"/>
      <c r="G24" s="87"/>
      <c r="H24" s="87" t="s">
        <v>149</v>
      </c>
      <c r="I24" s="87"/>
      <c r="J24" s="87"/>
      <c r="K24" s="87"/>
    </row>
    <row r="25" spans="1:11" x14ac:dyDescent="0.25">
      <c r="A25" s="5" t="s">
        <v>187</v>
      </c>
      <c r="B25" s="87"/>
      <c r="C25" s="87"/>
      <c r="D25" s="87"/>
      <c r="E25" s="87"/>
      <c r="F25" s="87"/>
      <c r="G25" s="87"/>
      <c r="H25" s="87" t="s">
        <v>149</v>
      </c>
      <c r="I25" s="87"/>
      <c r="J25" s="87"/>
      <c r="K25" s="87"/>
    </row>
    <row r="26" spans="1:11" x14ac:dyDescent="0.25">
      <c r="A26" s="5" t="s">
        <v>188</v>
      </c>
      <c r="B26" s="87"/>
      <c r="C26" s="87" t="s">
        <v>149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189</v>
      </c>
      <c r="B27" s="87"/>
      <c r="C27" s="87" t="s">
        <v>149</v>
      </c>
      <c r="D27" s="87"/>
      <c r="E27" s="87"/>
      <c r="F27" s="87"/>
      <c r="G27" s="87"/>
      <c r="H27" s="87"/>
      <c r="I27" s="87" t="s">
        <v>149</v>
      </c>
      <c r="J27" s="87"/>
      <c r="K27" s="87"/>
    </row>
    <row r="28" spans="1:11" x14ac:dyDescent="0.25">
      <c r="A28" s="5" t="s">
        <v>190</v>
      </c>
      <c r="B28" s="87"/>
      <c r="C28" s="87"/>
      <c r="D28" s="87"/>
      <c r="E28" s="87"/>
      <c r="F28" s="87"/>
      <c r="G28" s="87"/>
      <c r="H28" s="87" t="s">
        <v>149</v>
      </c>
      <c r="I28" s="87"/>
      <c r="J28" s="87"/>
      <c r="K28" s="87"/>
    </row>
    <row r="29" spans="1:11" x14ac:dyDescent="0.25">
      <c r="A29" s="5" t="s">
        <v>191</v>
      </c>
      <c r="B29" s="87" t="s">
        <v>149</v>
      </c>
      <c r="C29" s="87"/>
      <c r="D29" s="87" t="s">
        <v>149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192</v>
      </c>
      <c r="B30" s="87" t="s">
        <v>149</v>
      </c>
      <c r="C30" s="87" t="s">
        <v>149</v>
      </c>
      <c r="D30" s="87" t="s">
        <v>149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157</v>
      </c>
      <c r="B31" s="87"/>
      <c r="C31" s="87"/>
      <c r="D31" s="87"/>
      <c r="E31" s="87" t="s">
        <v>149</v>
      </c>
      <c r="F31" s="87"/>
      <c r="G31" s="87"/>
      <c r="H31" s="87"/>
      <c r="I31" s="87"/>
      <c r="J31" s="87"/>
      <c r="K31" s="87"/>
    </row>
    <row r="32" spans="1:11" x14ac:dyDescent="0.25">
      <c r="A32" s="5" t="s">
        <v>193</v>
      </c>
      <c r="B32" s="87"/>
      <c r="C32" s="87"/>
      <c r="D32" s="87"/>
      <c r="E32" s="87"/>
      <c r="F32" s="87"/>
      <c r="G32" s="87" t="s">
        <v>149</v>
      </c>
      <c r="H32" s="87" t="s">
        <v>149</v>
      </c>
      <c r="I32" s="87"/>
      <c r="J32" s="87"/>
      <c r="K32" s="87"/>
    </row>
    <row r="33" spans="1:11" x14ac:dyDescent="0.25">
      <c r="A33" s="5" t="s">
        <v>194</v>
      </c>
      <c r="B33" s="87"/>
      <c r="C33" s="87"/>
      <c r="D33" s="87"/>
      <c r="E33" s="87"/>
      <c r="F33" s="87"/>
      <c r="G33" s="87" t="s">
        <v>149</v>
      </c>
      <c r="H33" s="87" t="s">
        <v>149</v>
      </c>
      <c r="I33" s="87"/>
      <c r="J33" s="87"/>
      <c r="K33" s="87"/>
    </row>
    <row r="34" spans="1:11" x14ac:dyDescent="0.25">
      <c r="A34" s="5" t="s">
        <v>195</v>
      </c>
      <c r="B34" s="87"/>
      <c r="C34" s="87"/>
      <c r="D34" s="87"/>
      <c r="E34" s="87"/>
      <c r="F34" s="87"/>
      <c r="G34" s="87" t="s">
        <v>149</v>
      </c>
      <c r="H34" s="87" t="s">
        <v>149</v>
      </c>
      <c r="I34" s="87"/>
      <c r="J34" s="87"/>
      <c r="K34" s="87"/>
    </row>
    <row r="35" spans="1:11" x14ac:dyDescent="0.25">
      <c r="A35" s="5" t="s">
        <v>196</v>
      </c>
      <c r="B35" s="87"/>
      <c r="C35" s="87"/>
      <c r="D35" s="87"/>
      <c r="E35" s="87"/>
      <c r="F35" s="87"/>
      <c r="G35" s="87" t="s">
        <v>149</v>
      </c>
      <c r="H35" s="87" t="s">
        <v>149</v>
      </c>
      <c r="I35" s="87"/>
      <c r="J35" s="87"/>
      <c r="K35" s="87"/>
    </row>
    <row r="36" spans="1:11" x14ac:dyDescent="0.25">
      <c r="A36" s="5" t="s">
        <v>197</v>
      </c>
      <c r="B36" s="87"/>
      <c r="C36" s="87"/>
      <c r="D36" s="87"/>
      <c r="E36" s="87"/>
      <c r="F36" s="87"/>
      <c r="G36" s="87" t="s">
        <v>149</v>
      </c>
      <c r="H36" s="87" t="s">
        <v>149</v>
      </c>
      <c r="I36" s="87"/>
      <c r="J36" s="87"/>
      <c r="K36" s="87"/>
    </row>
    <row r="37" spans="1:11" x14ac:dyDescent="0.25">
      <c r="A37" s="5" t="s">
        <v>198</v>
      </c>
      <c r="B37" s="87"/>
      <c r="C37" s="87"/>
      <c r="D37" s="87"/>
      <c r="E37" s="87"/>
      <c r="F37" s="87"/>
      <c r="G37" s="87" t="s">
        <v>149</v>
      </c>
      <c r="H37" s="87" t="s">
        <v>149</v>
      </c>
      <c r="I37" s="87"/>
      <c r="J37" s="87"/>
      <c r="K37" s="87"/>
    </row>
    <row r="38" spans="1:11" x14ac:dyDescent="0.25">
      <c r="A38" s="5" t="s">
        <v>199</v>
      </c>
      <c r="B38" s="87"/>
      <c r="C38" s="87"/>
      <c r="D38" s="87"/>
      <c r="E38" s="87"/>
      <c r="F38" s="87"/>
      <c r="G38" s="87"/>
      <c r="H38" s="87" t="s">
        <v>149</v>
      </c>
      <c r="I38" s="87"/>
      <c r="J38" s="87"/>
      <c r="K38" s="87"/>
    </row>
    <row r="39" spans="1:11" x14ac:dyDescent="0.25">
      <c r="A39" s="5" t="s">
        <v>200</v>
      </c>
      <c r="B39" s="87" t="s">
        <v>149</v>
      </c>
      <c r="C39" s="87"/>
      <c r="D39" s="87"/>
      <c r="E39" s="87"/>
      <c r="F39" s="87"/>
      <c r="G39" s="87" t="s">
        <v>149</v>
      </c>
      <c r="H39" s="87" t="s">
        <v>149</v>
      </c>
      <c r="I39" s="87"/>
      <c r="J39" s="87"/>
      <c r="K39" s="87"/>
    </row>
  </sheetData>
  <sheetProtection algorithmName="SHA-512" hashValue="IvQDIxW99fzq1Zy0EhkbKUzL+Oo6JppYFJRusT7f1RK58axANCQbQrXBA4I5Zda1hiQSlfJ6FnKfxlkgJRWRpg==" saltValue="tOfPnYqP3Wy6+yrctBxWkQ==" spinCount="100000" sheet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230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ht="13.25" customHeight="1" x14ac:dyDescent="0.25">
      <c r="A2" s="8" t="s">
        <v>67</v>
      </c>
      <c r="B2" s="87" t="s">
        <v>149</v>
      </c>
      <c r="C2" s="87" t="s">
        <v>149</v>
      </c>
      <c r="D2" s="87" t="s">
        <v>149</v>
      </c>
      <c r="E2" s="87" t="s">
        <v>149</v>
      </c>
      <c r="F2" s="87" t="s">
        <v>149</v>
      </c>
      <c r="G2" s="87" t="s">
        <v>149</v>
      </c>
      <c r="H2" s="87" t="s">
        <v>149</v>
      </c>
      <c r="I2" s="87"/>
      <c r="J2" s="87"/>
      <c r="K2" s="87"/>
    </row>
    <row r="3" spans="1:11" ht="13.25" customHeight="1" x14ac:dyDescent="0.25">
      <c r="A3" s="8" t="s">
        <v>77</v>
      </c>
      <c r="B3" s="87" t="s">
        <v>149</v>
      </c>
      <c r="C3" s="87" t="s">
        <v>149</v>
      </c>
      <c r="D3" s="87" t="s">
        <v>149</v>
      </c>
      <c r="E3" s="87" t="s">
        <v>149</v>
      </c>
      <c r="F3" s="87" t="s">
        <v>149</v>
      </c>
      <c r="G3" s="87" t="s">
        <v>149</v>
      </c>
      <c r="H3" s="87" t="s">
        <v>149</v>
      </c>
      <c r="I3" s="87"/>
      <c r="J3" s="87"/>
      <c r="K3" s="87"/>
    </row>
    <row r="4" spans="1:11" ht="13.25" customHeight="1" x14ac:dyDescent="0.25">
      <c r="A4" s="8" t="s">
        <v>78</v>
      </c>
      <c r="B4" s="87" t="s">
        <v>149</v>
      </c>
      <c r="C4" s="87" t="s">
        <v>149</v>
      </c>
      <c r="D4" s="87" t="s">
        <v>149</v>
      </c>
      <c r="E4" s="87" t="s">
        <v>149</v>
      </c>
      <c r="F4" s="87" t="s">
        <v>149</v>
      </c>
      <c r="G4" s="87" t="s">
        <v>149</v>
      </c>
      <c r="H4" s="87" t="s">
        <v>149</v>
      </c>
      <c r="I4" s="87"/>
      <c r="J4" s="87"/>
      <c r="K4" s="87"/>
    </row>
    <row r="5" spans="1:11" ht="13.25" customHeight="1" x14ac:dyDescent="0.25">
      <c r="A5" s="8" t="s">
        <v>79</v>
      </c>
      <c r="B5" s="87" t="s">
        <v>149</v>
      </c>
      <c r="C5" s="87" t="s">
        <v>149</v>
      </c>
      <c r="D5" s="87" t="s">
        <v>149</v>
      </c>
      <c r="E5" s="87" t="s">
        <v>149</v>
      </c>
      <c r="F5" s="87" t="s">
        <v>149</v>
      </c>
      <c r="G5" s="87" t="s">
        <v>149</v>
      </c>
      <c r="H5" s="87" t="s">
        <v>149</v>
      </c>
      <c r="I5" s="87"/>
      <c r="J5" s="87"/>
      <c r="K5" s="87"/>
    </row>
    <row r="6" spans="1:11" ht="13.25" customHeight="1" x14ac:dyDescent="0.25">
      <c r="A6" s="8" t="s">
        <v>80</v>
      </c>
      <c r="B6" s="87" t="s">
        <v>149</v>
      </c>
      <c r="C6" s="87" t="s">
        <v>149</v>
      </c>
      <c r="D6" s="87" t="s">
        <v>149</v>
      </c>
      <c r="E6" s="87" t="s">
        <v>149</v>
      </c>
      <c r="F6" s="87" t="s">
        <v>149</v>
      </c>
      <c r="G6" s="87" t="s">
        <v>149</v>
      </c>
      <c r="H6" s="87" t="s">
        <v>149</v>
      </c>
      <c r="I6" s="87"/>
      <c r="J6" s="87"/>
      <c r="K6" s="87"/>
    </row>
    <row r="7" spans="1:11" ht="13.25" customHeight="1" x14ac:dyDescent="0.25">
      <c r="A7" s="8" t="s">
        <v>112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 t="s">
        <v>149</v>
      </c>
      <c r="J7" s="87"/>
      <c r="K7" s="87"/>
    </row>
    <row r="8" spans="1:11" ht="13.25" customHeight="1" x14ac:dyDescent="0.25">
      <c r="A8" s="8" t="s">
        <v>113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 t="s">
        <v>149</v>
      </c>
      <c r="J8" s="87"/>
      <c r="K8" s="87"/>
    </row>
    <row r="9" spans="1:11" ht="13.25" customHeight="1" x14ac:dyDescent="0.25">
      <c r="A9" s="8" t="s">
        <v>114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 t="s">
        <v>149</v>
      </c>
      <c r="J9" s="87"/>
      <c r="K9" s="87"/>
    </row>
    <row r="10" spans="1:11" ht="13.25" customHeight="1" x14ac:dyDescent="0.25">
      <c r="A10" s="8" t="s">
        <v>115</v>
      </c>
      <c r="B10" s="87"/>
      <c r="C10" s="87" t="s">
        <v>149</v>
      </c>
      <c r="D10" s="87"/>
      <c r="E10" s="87"/>
      <c r="F10" s="87"/>
      <c r="G10" s="87"/>
      <c r="H10" s="87" t="s">
        <v>149</v>
      </c>
      <c r="I10" s="87" t="s">
        <v>149</v>
      </c>
      <c r="J10" s="87"/>
      <c r="K10" s="87"/>
    </row>
    <row r="11" spans="1:11" ht="13.25" customHeight="1" x14ac:dyDescent="0.25">
      <c r="A11" s="8" t="s">
        <v>58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 t="s">
        <v>149</v>
      </c>
      <c r="K11" s="87" t="s">
        <v>149</v>
      </c>
    </row>
    <row r="12" spans="1:11" ht="13.25" customHeight="1" x14ac:dyDescent="0.25">
      <c r="A12" s="8" t="s">
        <v>59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 t="s">
        <v>149</v>
      </c>
    </row>
    <row r="13" spans="1:11" ht="13.25" customHeight="1" x14ac:dyDescent="0.25">
      <c r="A13" s="8" t="s">
        <v>60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 t="s">
        <v>149</v>
      </c>
    </row>
    <row r="14" spans="1:11" ht="13.25" customHeight="1" x14ac:dyDescent="0.25">
      <c r="A14" s="8" t="s">
        <v>61</v>
      </c>
      <c r="B14" s="87"/>
      <c r="C14" s="87" t="s">
        <v>149</v>
      </c>
      <c r="D14" s="87"/>
      <c r="E14" s="87"/>
      <c r="F14" s="87"/>
      <c r="G14" s="87"/>
      <c r="H14" s="87"/>
      <c r="I14" s="87"/>
      <c r="J14" s="87"/>
      <c r="K14" s="87" t="s">
        <v>149</v>
      </c>
    </row>
  </sheetData>
  <sheetProtection algorithmName="SHA-512" hashValue="9wIG9Gim71KVsT3md4UjHKWLN/dmVTAHDAhRa4jGvwy4VGKHj7mGyWZMKQgGvDCmZmlmSsHFRHQVC+GKpvnATg==" saltValue="lgc1Xvk31gXE9M1YSAdFWQ==" spinCount="100000" sheet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topLeftCell="A15" zoomScale="85" zoomScaleNormal="85" workbookViewId="0">
      <selection activeCell="C61" sqref="C61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231</v>
      </c>
      <c r="B1" s="4" t="s">
        <v>144</v>
      </c>
      <c r="C1" s="4" t="s">
        <v>159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10" ht="13" customHeight="1" x14ac:dyDescent="0.3">
      <c r="A2" s="4" t="s">
        <v>232</v>
      </c>
      <c r="B2" s="103" t="s">
        <v>90</v>
      </c>
      <c r="C2" s="8" t="s">
        <v>145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ht="13.25" customHeight="1" x14ac:dyDescent="0.25">
      <c r="B3" s="104"/>
      <c r="C3" s="8" t="s">
        <v>146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ht="13.25" customHeight="1" x14ac:dyDescent="0.25">
      <c r="B4" s="104"/>
      <c r="C4" s="8" t="s">
        <v>147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ht="13.25" customHeight="1" x14ac:dyDescent="0.25">
      <c r="B5" s="103" t="s">
        <v>67</v>
      </c>
      <c r="C5" s="8" t="s">
        <v>145</v>
      </c>
      <c r="D5" s="88">
        <v>1.73</v>
      </c>
      <c r="E5" s="88">
        <v>1</v>
      </c>
      <c r="F5" s="88">
        <v>1</v>
      </c>
      <c r="G5" s="88">
        <v>1</v>
      </c>
      <c r="H5" s="88">
        <v>1</v>
      </c>
    </row>
    <row r="6" spans="1:10" ht="13.25" customHeight="1" x14ac:dyDescent="0.25">
      <c r="B6" s="104"/>
      <c r="C6" s="8" t="s">
        <v>146</v>
      </c>
      <c r="D6" s="88">
        <v>1.73</v>
      </c>
      <c r="E6" s="88">
        <v>1</v>
      </c>
      <c r="F6" s="88">
        <v>1</v>
      </c>
      <c r="G6" s="88">
        <v>1</v>
      </c>
      <c r="H6" s="88">
        <v>1</v>
      </c>
    </row>
    <row r="7" spans="1:10" ht="13.25" customHeight="1" x14ac:dyDescent="0.25">
      <c r="B7" s="104"/>
      <c r="C7" s="8" t="s">
        <v>147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ht="13.25" customHeight="1" x14ac:dyDescent="0.25">
      <c r="B8" s="103" t="s">
        <v>77</v>
      </c>
      <c r="C8" s="8" t="s">
        <v>145</v>
      </c>
      <c r="D8" s="88">
        <v>1</v>
      </c>
      <c r="E8" s="88">
        <v>1.73</v>
      </c>
      <c r="F8" s="88">
        <v>1</v>
      </c>
      <c r="G8" s="88">
        <v>1</v>
      </c>
      <c r="H8" s="88">
        <v>1</v>
      </c>
    </row>
    <row r="9" spans="1:10" ht="13.25" customHeight="1" x14ac:dyDescent="0.25">
      <c r="B9" s="104"/>
      <c r="C9" s="8" t="s">
        <v>146</v>
      </c>
      <c r="D9" s="88">
        <v>1</v>
      </c>
      <c r="E9" s="88">
        <v>1.73</v>
      </c>
      <c r="F9" s="88">
        <v>1</v>
      </c>
      <c r="G9" s="88">
        <v>1</v>
      </c>
      <c r="H9" s="88">
        <v>1</v>
      </c>
    </row>
    <row r="10" spans="1:10" ht="13.25" customHeight="1" x14ac:dyDescent="0.25">
      <c r="B10" s="104"/>
      <c r="C10" s="8" t="s">
        <v>147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ht="13.25" customHeight="1" x14ac:dyDescent="0.25">
      <c r="B11" s="103" t="s">
        <v>78</v>
      </c>
      <c r="C11" s="8" t="s">
        <v>145</v>
      </c>
      <c r="D11" s="88">
        <v>1</v>
      </c>
      <c r="E11" s="88">
        <v>1</v>
      </c>
      <c r="F11" s="88">
        <v>1.73</v>
      </c>
      <c r="G11" s="88">
        <v>1</v>
      </c>
      <c r="H11" s="88">
        <v>1</v>
      </c>
    </row>
    <row r="12" spans="1:10" ht="13.25" customHeight="1" x14ac:dyDescent="0.25">
      <c r="B12" s="104"/>
      <c r="C12" s="8" t="s">
        <v>146</v>
      </c>
      <c r="D12" s="88">
        <v>1</v>
      </c>
      <c r="E12" s="88">
        <v>1</v>
      </c>
      <c r="F12" s="88">
        <v>1.73</v>
      </c>
      <c r="G12" s="88">
        <v>1</v>
      </c>
      <c r="H12" s="88">
        <v>1</v>
      </c>
    </row>
    <row r="13" spans="1:10" ht="13.25" customHeight="1" x14ac:dyDescent="0.25">
      <c r="B13" s="104"/>
      <c r="C13" s="8" t="s">
        <v>147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ht="13.25" customHeight="1" x14ac:dyDescent="0.25">
      <c r="B14" s="103" t="s">
        <v>79</v>
      </c>
      <c r="C14" s="8" t="s">
        <v>145</v>
      </c>
      <c r="D14" s="88">
        <v>1</v>
      </c>
      <c r="E14" s="88">
        <v>1</v>
      </c>
      <c r="F14" s="88">
        <v>1</v>
      </c>
      <c r="G14" s="88">
        <v>1.73</v>
      </c>
      <c r="H14" s="88">
        <v>1</v>
      </c>
    </row>
    <row r="15" spans="1:10" ht="13.25" customHeight="1" x14ac:dyDescent="0.25">
      <c r="B15" s="104"/>
      <c r="C15" s="8" t="s">
        <v>146</v>
      </c>
      <c r="D15" s="88">
        <v>1</v>
      </c>
      <c r="E15" s="88">
        <v>1</v>
      </c>
      <c r="F15" s="88">
        <v>1</v>
      </c>
      <c r="G15" s="88">
        <v>1.73</v>
      </c>
      <c r="H15" s="88">
        <v>1</v>
      </c>
    </row>
    <row r="16" spans="1:10" ht="13.25" customHeight="1" x14ac:dyDescent="0.25">
      <c r="B16" s="104"/>
      <c r="C16" s="8" t="s">
        <v>147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150</v>
      </c>
      <c r="C17" s="8" t="s">
        <v>147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ht="13.25" customHeight="1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233</v>
      </c>
      <c r="B19" s="103" t="s">
        <v>90</v>
      </c>
      <c r="C19" s="8" t="s">
        <v>145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04"/>
      <c r="C20" s="8" t="s">
        <v>146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04"/>
      <c r="C21" s="8" t="s">
        <v>147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03" t="s">
        <v>67</v>
      </c>
      <c r="C22" s="8" t="s">
        <v>145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04"/>
      <c r="C23" s="8" t="s">
        <v>146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04"/>
      <c r="C24" s="8" t="s">
        <v>147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03" t="s">
        <v>77</v>
      </c>
      <c r="C25" s="8" t="s">
        <v>145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04"/>
      <c r="C26" s="8" t="s">
        <v>146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04"/>
      <c r="C27" s="8" t="s">
        <v>147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03" t="s">
        <v>78</v>
      </c>
      <c r="C28" s="8" t="s">
        <v>145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04"/>
      <c r="C29" s="8" t="s">
        <v>146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04"/>
      <c r="C30" s="8" t="s">
        <v>147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03" t="s">
        <v>79</v>
      </c>
      <c r="C31" s="8" t="s">
        <v>145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04"/>
      <c r="C32" s="8" t="s">
        <v>146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04"/>
      <c r="C33" s="8" t="s">
        <v>147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150</v>
      </c>
      <c r="C34" s="8" t="s">
        <v>147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234</v>
      </c>
      <c r="B36" s="103" t="s">
        <v>90</v>
      </c>
      <c r="C36" s="8" t="s">
        <v>145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04"/>
      <c r="C37" s="8" t="s">
        <v>146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04"/>
      <c r="C38" s="8" t="s">
        <v>147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03" t="s">
        <v>67</v>
      </c>
      <c r="C39" s="8" t="s">
        <v>145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04"/>
      <c r="C40" s="8" t="s">
        <v>146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04"/>
      <c r="C41" s="8" t="s">
        <v>147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03" t="s">
        <v>77</v>
      </c>
      <c r="C42" s="8" t="s">
        <v>145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04"/>
      <c r="C43" s="8" t="s">
        <v>146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04"/>
      <c r="C44" s="8" t="s">
        <v>147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03" t="s">
        <v>78</v>
      </c>
      <c r="C45" s="8" t="s">
        <v>145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04"/>
      <c r="C46" s="8" t="s">
        <v>146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04"/>
      <c r="C47" s="8" t="s">
        <v>147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03" t="s">
        <v>79</v>
      </c>
      <c r="C48" s="8" t="s">
        <v>145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04"/>
      <c r="C49" s="8" t="s">
        <v>146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04"/>
      <c r="C50" s="8" t="s">
        <v>147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150</v>
      </c>
      <c r="C51" s="8" t="s">
        <v>147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231</v>
      </c>
      <c r="B54" s="4" t="s">
        <v>144</v>
      </c>
      <c r="C54" s="4" t="s">
        <v>159</v>
      </c>
      <c r="D54" s="4" t="s">
        <v>67</v>
      </c>
      <c r="E54" s="4" t="s">
        <v>77</v>
      </c>
      <c r="F54" s="4" t="s">
        <v>78</v>
      </c>
      <c r="G54" s="4" t="s">
        <v>79</v>
      </c>
      <c r="H54" s="4" t="s">
        <v>80</v>
      </c>
    </row>
    <row r="55" spans="1:8" ht="13" customHeight="1" x14ac:dyDescent="0.3">
      <c r="A55" s="4" t="s">
        <v>236</v>
      </c>
      <c r="B55" s="103" t="s">
        <v>90</v>
      </c>
      <c r="C55" s="8" t="s">
        <v>145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04"/>
      <c r="C56" s="8" t="s">
        <v>146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04"/>
      <c r="C57" s="8" t="s">
        <v>147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03" t="s">
        <v>67</v>
      </c>
      <c r="C58" s="8" t="s">
        <v>145</v>
      </c>
      <c r="D58" s="88">
        <v>1.35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04"/>
      <c r="C59" s="8" t="s">
        <v>146</v>
      </c>
      <c r="D59" s="88">
        <v>1.35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04"/>
      <c r="C60" s="8" t="s">
        <v>147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03" t="s">
        <v>77</v>
      </c>
      <c r="C61" s="8" t="s">
        <v>145</v>
      </c>
      <c r="D61" s="88">
        <f t="shared" si="2"/>
        <v>1</v>
      </c>
      <c r="E61" s="88">
        <v>1.35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04"/>
      <c r="C62" s="8" t="s">
        <v>146</v>
      </c>
      <c r="D62" s="88">
        <f t="shared" si="2"/>
        <v>1</v>
      </c>
      <c r="E62" s="88">
        <v>1.35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04"/>
      <c r="C63" s="8" t="s">
        <v>147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03" t="s">
        <v>78</v>
      </c>
      <c r="C64" s="8" t="s">
        <v>145</v>
      </c>
      <c r="D64" s="88">
        <f t="shared" si="2"/>
        <v>1</v>
      </c>
      <c r="E64" s="88">
        <f t="shared" si="4"/>
        <v>1</v>
      </c>
      <c r="F64" s="88">
        <v>1.35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04"/>
      <c r="C65" s="8" t="s">
        <v>146</v>
      </c>
      <c r="D65" s="88">
        <f t="shared" si="2"/>
        <v>1</v>
      </c>
      <c r="E65" s="88">
        <f t="shared" si="4"/>
        <v>1</v>
      </c>
      <c r="F65" s="88">
        <v>1.35</v>
      </c>
      <c r="G65" s="88">
        <f t="shared" si="5"/>
        <v>1</v>
      </c>
      <c r="H65" s="88">
        <f t="shared" si="5"/>
        <v>1</v>
      </c>
    </row>
    <row r="66" spans="1:8" x14ac:dyDescent="0.25">
      <c r="B66" s="104"/>
      <c r="C66" s="8" t="s">
        <v>147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03" t="s">
        <v>79</v>
      </c>
      <c r="C67" s="8" t="s">
        <v>145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1.35</v>
      </c>
      <c r="H67" s="88">
        <f>IF(H14=1,1,H14*0.9)</f>
        <v>1</v>
      </c>
    </row>
    <row r="68" spans="1:8" x14ac:dyDescent="0.25">
      <c r="B68" s="104"/>
      <c r="C68" s="8" t="s">
        <v>146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1.35</v>
      </c>
      <c r="H68" s="88">
        <f>IF(H15=1,1,H15*0.9)</f>
        <v>1</v>
      </c>
    </row>
    <row r="69" spans="1:8" x14ac:dyDescent="0.25">
      <c r="B69" s="104"/>
      <c r="C69" s="8" t="s">
        <v>147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150</v>
      </c>
      <c r="C70" s="8" t="s">
        <v>147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237</v>
      </c>
      <c r="B72" s="103" t="s">
        <v>90</v>
      </c>
      <c r="C72" s="8" t="s">
        <v>145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04"/>
      <c r="C73" s="8" t="s">
        <v>146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04"/>
      <c r="C74" s="8" t="s">
        <v>147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03" t="s">
        <v>67</v>
      </c>
      <c r="C75" s="8" t="s">
        <v>145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04"/>
      <c r="C76" s="8" t="s">
        <v>146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04"/>
      <c r="C77" s="8" t="s">
        <v>147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03" t="s">
        <v>77</v>
      </c>
      <c r="C78" s="8" t="s">
        <v>145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04"/>
      <c r="C79" s="8" t="s">
        <v>146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04"/>
      <c r="C80" s="8" t="s">
        <v>147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03" t="s">
        <v>78</v>
      </c>
      <c r="C81" s="8" t="s">
        <v>145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04"/>
      <c r="C82" s="8" t="s">
        <v>146</v>
      </c>
      <c r="D82" s="88">
        <f t="shared" ref="D82:H91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04"/>
      <c r="C83" s="8" t="s">
        <v>147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03" t="s">
        <v>79</v>
      </c>
      <c r="C84" s="8" t="s">
        <v>145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04"/>
      <c r="C85" s="8" t="s">
        <v>146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04"/>
      <c r="C86" s="8" t="s">
        <v>147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150</v>
      </c>
      <c r="C87" s="8" t="s">
        <v>147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238</v>
      </c>
      <c r="B89" s="103" t="s">
        <v>90</v>
      </c>
      <c r="C89" s="8" t="s">
        <v>145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04"/>
      <c r="C90" s="8" t="s">
        <v>146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04"/>
      <c r="C91" s="8" t="s">
        <v>147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03" t="s">
        <v>67</v>
      </c>
      <c r="C92" s="8" t="s">
        <v>145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04"/>
      <c r="C93" s="8" t="s">
        <v>146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04"/>
      <c r="C94" s="8" t="s">
        <v>147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03" t="s">
        <v>77</v>
      </c>
      <c r="C95" s="8" t="s">
        <v>145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04"/>
      <c r="C96" s="8" t="s">
        <v>146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04"/>
      <c r="C97" s="8" t="s">
        <v>147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03" t="s">
        <v>78</v>
      </c>
      <c r="C98" s="8" t="s">
        <v>145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04"/>
      <c r="C99" s="8" t="s">
        <v>146</v>
      </c>
      <c r="D99" s="88">
        <f t="shared" ref="D99:H108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04"/>
      <c r="C100" s="8" t="s">
        <v>147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03" t="s">
        <v>79</v>
      </c>
      <c r="C101" s="8" t="s">
        <v>145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04"/>
      <c r="C102" s="8" t="s">
        <v>146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04"/>
      <c r="C103" s="8" t="s">
        <v>147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150</v>
      </c>
      <c r="C104" s="8" t="s">
        <v>147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239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231</v>
      </c>
      <c r="B107" s="4" t="s">
        <v>144</v>
      </c>
      <c r="C107" s="4" t="s">
        <v>159</v>
      </c>
      <c r="D107" s="4" t="s">
        <v>67</v>
      </c>
      <c r="E107" s="4" t="s">
        <v>77</v>
      </c>
      <c r="F107" s="4" t="s">
        <v>78</v>
      </c>
      <c r="G107" s="4" t="s">
        <v>79</v>
      </c>
      <c r="H107" s="4" t="s">
        <v>80</v>
      </c>
    </row>
    <row r="108" spans="1:8" ht="13" customHeight="1" x14ac:dyDescent="0.3">
      <c r="A108" s="4" t="s">
        <v>240</v>
      </c>
      <c r="B108" s="103" t="s">
        <v>90</v>
      </c>
      <c r="C108" s="8" t="s">
        <v>145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04"/>
      <c r="C109" s="8" t="s">
        <v>146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04"/>
      <c r="C110" s="8" t="s">
        <v>147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03" t="s">
        <v>67</v>
      </c>
      <c r="C111" s="8" t="s">
        <v>145</v>
      </c>
      <c r="D111" s="88">
        <v>2.11</v>
      </c>
      <c r="E111" s="88">
        <f t="shared" ref="E111:H113" si="11">IF(E5=1,1,E5*1.05)</f>
        <v>1</v>
      </c>
      <c r="F111" s="88">
        <f t="shared" si="11"/>
        <v>1</v>
      </c>
      <c r="G111" s="88">
        <f t="shared" si="11"/>
        <v>1</v>
      </c>
      <c r="H111" s="88">
        <f t="shared" si="11"/>
        <v>1</v>
      </c>
    </row>
    <row r="112" spans="1:8" x14ac:dyDescent="0.25">
      <c r="B112" s="104"/>
      <c r="C112" s="8" t="s">
        <v>146</v>
      </c>
      <c r="D112" s="88">
        <v>2.11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1"/>
        <v>1</v>
      </c>
    </row>
    <row r="113" spans="1:8" x14ac:dyDescent="0.25">
      <c r="B113" s="104"/>
      <c r="C113" s="8" t="s">
        <v>147</v>
      </c>
      <c r="D113" s="88">
        <f t="shared" ref="D113:D123" si="12">IF(D7=1,1,D7*1.05)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1"/>
        <v>1</v>
      </c>
    </row>
    <row r="114" spans="1:8" x14ac:dyDescent="0.25">
      <c r="B114" s="103" t="s">
        <v>77</v>
      </c>
      <c r="C114" s="8" t="s">
        <v>145</v>
      </c>
      <c r="D114" s="88">
        <f t="shared" si="12"/>
        <v>1</v>
      </c>
      <c r="E114" s="88">
        <v>2.11</v>
      </c>
      <c r="F114" s="88">
        <f t="shared" ref="F114:H116" si="13">IF(F8=1,1,F8*1.05)</f>
        <v>1</v>
      </c>
      <c r="G114" s="88">
        <f t="shared" si="13"/>
        <v>1</v>
      </c>
      <c r="H114" s="88">
        <f t="shared" si="13"/>
        <v>1</v>
      </c>
    </row>
    <row r="115" spans="1:8" x14ac:dyDescent="0.25">
      <c r="B115" s="104"/>
      <c r="C115" s="8" t="s">
        <v>146</v>
      </c>
      <c r="D115" s="88">
        <f t="shared" si="12"/>
        <v>1</v>
      </c>
      <c r="E115" s="88">
        <v>2.11</v>
      </c>
      <c r="F115" s="88">
        <f t="shared" si="13"/>
        <v>1</v>
      </c>
      <c r="G115" s="88">
        <f t="shared" si="13"/>
        <v>1</v>
      </c>
      <c r="H115" s="88">
        <f t="shared" si="13"/>
        <v>1</v>
      </c>
    </row>
    <row r="116" spans="1:8" x14ac:dyDescent="0.25">
      <c r="B116" s="104"/>
      <c r="C116" s="8" t="s">
        <v>147</v>
      </c>
      <c r="D116" s="88">
        <f t="shared" si="12"/>
        <v>1</v>
      </c>
      <c r="E116" s="88">
        <f t="shared" ref="E116:E123" si="14">IF(E10=1,1,E10*1.05)</f>
        <v>1</v>
      </c>
      <c r="F116" s="88">
        <f t="shared" si="13"/>
        <v>1</v>
      </c>
      <c r="G116" s="88">
        <f t="shared" si="13"/>
        <v>1</v>
      </c>
      <c r="H116" s="88">
        <f t="shared" si="13"/>
        <v>1</v>
      </c>
    </row>
    <row r="117" spans="1:8" x14ac:dyDescent="0.25">
      <c r="B117" s="103" t="s">
        <v>78</v>
      </c>
      <c r="C117" s="8" t="s">
        <v>145</v>
      </c>
      <c r="D117" s="88">
        <f t="shared" si="12"/>
        <v>1</v>
      </c>
      <c r="E117" s="88">
        <f t="shared" si="14"/>
        <v>1</v>
      </c>
      <c r="F117" s="88">
        <v>2.11</v>
      </c>
      <c r="G117" s="88">
        <f t="shared" ref="G117:H119" si="15">IF(G11=1,1,G11*1.05)</f>
        <v>1</v>
      </c>
      <c r="H117" s="88">
        <f t="shared" si="15"/>
        <v>1</v>
      </c>
    </row>
    <row r="118" spans="1:8" x14ac:dyDescent="0.25">
      <c r="B118" s="104"/>
      <c r="C118" s="8" t="s">
        <v>146</v>
      </c>
      <c r="D118" s="88">
        <f t="shared" si="12"/>
        <v>1</v>
      </c>
      <c r="E118" s="88">
        <f t="shared" si="14"/>
        <v>1</v>
      </c>
      <c r="F118" s="88">
        <v>2.11</v>
      </c>
      <c r="G118" s="88">
        <f t="shared" si="15"/>
        <v>1</v>
      </c>
      <c r="H118" s="88">
        <f t="shared" si="15"/>
        <v>1</v>
      </c>
    </row>
    <row r="119" spans="1:8" x14ac:dyDescent="0.25">
      <c r="B119" s="104"/>
      <c r="C119" s="8" t="s">
        <v>147</v>
      </c>
      <c r="D119" s="88">
        <f t="shared" si="12"/>
        <v>1</v>
      </c>
      <c r="E119" s="88">
        <f t="shared" si="14"/>
        <v>1</v>
      </c>
      <c r="F119" s="88">
        <f>IF(F13=1,1,F13*1.05)</f>
        <v>1</v>
      </c>
      <c r="G119" s="88">
        <f t="shared" si="15"/>
        <v>1</v>
      </c>
      <c r="H119" s="88">
        <f t="shared" si="15"/>
        <v>1</v>
      </c>
    </row>
    <row r="120" spans="1:8" x14ac:dyDescent="0.25">
      <c r="B120" s="103" t="s">
        <v>79</v>
      </c>
      <c r="C120" s="8" t="s">
        <v>145</v>
      </c>
      <c r="D120" s="88">
        <f t="shared" si="12"/>
        <v>1</v>
      </c>
      <c r="E120" s="88">
        <f t="shared" si="14"/>
        <v>1</v>
      </c>
      <c r="F120" s="88">
        <f>IF(F14=1,1,F14*1.05)</f>
        <v>1</v>
      </c>
      <c r="G120" s="88">
        <v>2.11</v>
      </c>
      <c r="H120" s="88">
        <f>IF(H14=1,1,H14*1.05)</f>
        <v>1</v>
      </c>
    </row>
    <row r="121" spans="1:8" x14ac:dyDescent="0.25">
      <c r="B121" s="104"/>
      <c r="C121" s="8" t="s">
        <v>146</v>
      </c>
      <c r="D121" s="88">
        <f t="shared" si="12"/>
        <v>1</v>
      </c>
      <c r="E121" s="88">
        <f t="shared" si="14"/>
        <v>1</v>
      </c>
      <c r="F121" s="88">
        <f>IF(F15=1,1,F15*1.05)</f>
        <v>1</v>
      </c>
      <c r="G121" s="88">
        <v>2.11</v>
      </c>
      <c r="H121" s="88">
        <f>IF(H15=1,1,H15*1.05)</f>
        <v>1</v>
      </c>
    </row>
    <row r="122" spans="1:8" x14ac:dyDescent="0.25">
      <c r="B122" s="104"/>
      <c r="C122" s="8" t="s">
        <v>147</v>
      </c>
      <c r="D122" s="88">
        <f t="shared" si="12"/>
        <v>1</v>
      </c>
      <c r="E122" s="88">
        <f t="shared" si="14"/>
        <v>1</v>
      </c>
      <c r="F122" s="88">
        <f>IF(F16=1,1,F16*1.05)</f>
        <v>1</v>
      </c>
      <c r="G122" s="88">
        <f>IF(G16=1,1,G16*1.05)</f>
        <v>1</v>
      </c>
      <c r="H122" s="88">
        <f>IF(H16=1,1,H16*1.05)</f>
        <v>1</v>
      </c>
    </row>
    <row r="123" spans="1:8" ht="13" customHeight="1" x14ac:dyDescent="0.25">
      <c r="B123" s="65" t="s">
        <v>150</v>
      </c>
      <c r="C123" s="8" t="s">
        <v>147</v>
      </c>
      <c r="D123" s="88">
        <f t="shared" si="12"/>
        <v>1.1025</v>
      </c>
      <c r="E123" s="88">
        <f t="shared" si="14"/>
        <v>1.1025</v>
      </c>
      <c r="F123" s="88">
        <f>IF(F17=1,1,F17*1.05)</f>
        <v>1.1025</v>
      </c>
      <c r="G123" s="88">
        <f>IF(G17=1,1,G17*1.05)</f>
        <v>1.1025</v>
      </c>
      <c r="H123" s="88">
        <f>IF(H17=1,1,H17*1.05)</f>
        <v>1</v>
      </c>
    </row>
    <row r="124" spans="1:8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241</v>
      </c>
      <c r="B125" s="103" t="s">
        <v>90</v>
      </c>
      <c r="C125" s="8" t="s">
        <v>145</v>
      </c>
      <c r="D125" s="88">
        <f t="shared" ref="D125:H134" si="16">IF(D19=1,1,D19*1.05)</f>
        <v>1</v>
      </c>
      <c r="E125" s="88">
        <f t="shared" si="16"/>
        <v>1</v>
      </c>
      <c r="F125" s="88">
        <f t="shared" si="16"/>
        <v>1</v>
      </c>
      <c r="G125" s="88">
        <f t="shared" si="16"/>
        <v>1</v>
      </c>
      <c r="H125" s="88">
        <f t="shared" si="16"/>
        <v>1</v>
      </c>
    </row>
    <row r="126" spans="1:8" x14ac:dyDescent="0.25">
      <c r="B126" s="104"/>
      <c r="C126" s="8" t="s">
        <v>146</v>
      </c>
      <c r="D126" s="88">
        <f t="shared" si="16"/>
        <v>1</v>
      </c>
      <c r="E126" s="88">
        <f t="shared" si="16"/>
        <v>1</v>
      </c>
      <c r="F126" s="88">
        <f t="shared" si="16"/>
        <v>1</v>
      </c>
      <c r="G126" s="88">
        <f t="shared" si="16"/>
        <v>1</v>
      </c>
      <c r="H126" s="88">
        <f t="shared" si="16"/>
        <v>1</v>
      </c>
    </row>
    <row r="127" spans="1:8" x14ac:dyDescent="0.25">
      <c r="B127" s="104"/>
      <c r="C127" s="8" t="s">
        <v>147</v>
      </c>
      <c r="D127" s="88">
        <f t="shared" si="16"/>
        <v>1</v>
      </c>
      <c r="E127" s="88">
        <f t="shared" si="16"/>
        <v>1</v>
      </c>
      <c r="F127" s="88">
        <f t="shared" si="16"/>
        <v>1</v>
      </c>
      <c r="G127" s="88">
        <f t="shared" si="16"/>
        <v>1</v>
      </c>
      <c r="H127" s="88">
        <f t="shared" si="16"/>
        <v>1</v>
      </c>
    </row>
    <row r="128" spans="1:8" x14ac:dyDescent="0.25">
      <c r="B128" s="103" t="s">
        <v>67</v>
      </c>
      <c r="C128" s="8" t="s">
        <v>145</v>
      </c>
      <c r="D128" s="88">
        <f t="shared" si="16"/>
        <v>1</v>
      </c>
      <c r="E128" s="88">
        <f t="shared" si="16"/>
        <v>1</v>
      </c>
      <c r="F128" s="88">
        <f t="shared" si="16"/>
        <v>1</v>
      </c>
      <c r="G128" s="88">
        <f t="shared" si="16"/>
        <v>1</v>
      </c>
      <c r="H128" s="88">
        <f t="shared" si="16"/>
        <v>1</v>
      </c>
    </row>
    <row r="129" spans="1:8" x14ac:dyDescent="0.25">
      <c r="B129" s="104"/>
      <c r="C129" s="8" t="s">
        <v>146</v>
      </c>
      <c r="D129" s="88">
        <f t="shared" si="16"/>
        <v>1</v>
      </c>
      <c r="E129" s="88">
        <f t="shared" si="16"/>
        <v>1</v>
      </c>
      <c r="F129" s="88">
        <f t="shared" si="16"/>
        <v>1</v>
      </c>
      <c r="G129" s="88">
        <f t="shared" si="16"/>
        <v>1</v>
      </c>
      <c r="H129" s="88">
        <f t="shared" si="16"/>
        <v>1</v>
      </c>
    </row>
    <row r="130" spans="1:8" x14ac:dyDescent="0.25">
      <c r="B130" s="104"/>
      <c r="C130" s="8" t="s">
        <v>147</v>
      </c>
      <c r="D130" s="88">
        <f t="shared" si="16"/>
        <v>1</v>
      </c>
      <c r="E130" s="88">
        <f t="shared" si="16"/>
        <v>1</v>
      </c>
      <c r="F130" s="88">
        <f t="shared" si="16"/>
        <v>1</v>
      </c>
      <c r="G130" s="88">
        <f t="shared" si="16"/>
        <v>1</v>
      </c>
      <c r="H130" s="88">
        <f t="shared" si="16"/>
        <v>1</v>
      </c>
    </row>
    <row r="131" spans="1:8" x14ac:dyDescent="0.25">
      <c r="B131" s="103" t="s">
        <v>77</v>
      </c>
      <c r="C131" s="8" t="s">
        <v>145</v>
      </c>
      <c r="D131" s="88">
        <f t="shared" si="16"/>
        <v>1</v>
      </c>
      <c r="E131" s="88">
        <f t="shared" si="16"/>
        <v>1</v>
      </c>
      <c r="F131" s="88">
        <f t="shared" si="16"/>
        <v>1</v>
      </c>
      <c r="G131" s="88">
        <f t="shared" si="16"/>
        <v>1</v>
      </c>
      <c r="H131" s="88">
        <f t="shared" si="16"/>
        <v>1</v>
      </c>
    </row>
    <row r="132" spans="1:8" x14ac:dyDescent="0.25">
      <c r="B132" s="104"/>
      <c r="C132" s="8" t="s">
        <v>146</v>
      </c>
      <c r="D132" s="88">
        <f t="shared" si="16"/>
        <v>1</v>
      </c>
      <c r="E132" s="88">
        <f t="shared" si="16"/>
        <v>1</v>
      </c>
      <c r="F132" s="88">
        <f t="shared" si="16"/>
        <v>1</v>
      </c>
      <c r="G132" s="88">
        <f t="shared" si="16"/>
        <v>1</v>
      </c>
      <c r="H132" s="88">
        <f t="shared" si="16"/>
        <v>1</v>
      </c>
    </row>
    <row r="133" spans="1:8" x14ac:dyDescent="0.25">
      <c r="B133" s="104"/>
      <c r="C133" s="8" t="s">
        <v>147</v>
      </c>
      <c r="D133" s="88">
        <f t="shared" si="16"/>
        <v>1</v>
      </c>
      <c r="E133" s="88">
        <f t="shared" si="16"/>
        <v>1</v>
      </c>
      <c r="F133" s="88">
        <f t="shared" si="16"/>
        <v>1</v>
      </c>
      <c r="G133" s="88">
        <f t="shared" si="16"/>
        <v>1</v>
      </c>
      <c r="H133" s="88">
        <f t="shared" si="16"/>
        <v>1</v>
      </c>
    </row>
    <row r="134" spans="1:8" x14ac:dyDescent="0.25">
      <c r="B134" s="103" t="s">
        <v>78</v>
      </c>
      <c r="C134" s="8" t="s">
        <v>145</v>
      </c>
      <c r="D134" s="88">
        <f t="shared" si="16"/>
        <v>1</v>
      </c>
      <c r="E134" s="88">
        <f t="shared" si="16"/>
        <v>1</v>
      </c>
      <c r="F134" s="88">
        <f t="shared" si="16"/>
        <v>1</v>
      </c>
      <c r="G134" s="88">
        <f t="shared" si="16"/>
        <v>1</v>
      </c>
      <c r="H134" s="88">
        <f t="shared" si="16"/>
        <v>1</v>
      </c>
    </row>
    <row r="135" spans="1:8" x14ac:dyDescent="0.25">
      <c r="B135" s="104"/>
      <c r="C135" s="8" t="s">
        <v>146</v>
      </c>
      <c r="D135" s="88">
        <f t="shared" ref="D135:H144" si="17">IF(D29=1,1,D29*1.05)</f>
        <v>1</v>
      </c>
      <c r="E135" s="88">
        <f t="shared" si="17"/>
        <v>1</v>
      </c>
      <c r="F135" s="88">
        <f t="shared" si="17"/>
        <v>1</v>
      </c>
      <c r="G135" s="88">
        <f t="shared" si="17"/>
        <v>1</v>
      </c>
      <c r="H135" s="88">
        <f t="shared" si="17"/>
        <v>1</v>
      </c>
    </row>
    <row r="136" spans="1:8" x14ac:dyDescent="0.25">
      <c r="B136" s="104"/>
      <c r="C136" s="8" t="s">
        <v>147</v>
      </c>
      <c r="D136" s="88">
        <f t="shared" si="17"/>
        <v>1</v>
      </c>
      <c r="E136" s="88">
        <f t="shared" si="17"/>
        <v>1</v>
      </c>
      <c r="F136" s="88">
        <f t="shared" si="17"/>
        <v>1</v>
      </c>
      <c r="G136" s="88">
        <f t="shared" si="17"/>
        <v>1</v>
      </c>
      <c r="H136" s="88">
        <f t="shared" si="17"/>
        <v>1</v>
      </c>
    </row>
    <row r="137" spans="1:8" x14ac:dyDescent="0.25">
      <c r="B137" s="103" t="s">
        <v>79</v>
      </c>
      <c r="C137" s="8" t="s">
        <v>145</v>
      </c>
      <c r="D137" s="88">
        <f t="shared" si="17"/>
        <v>1</v>
      </c>
      <c r="E137" s="88">
        <f t="shared" si="17"/>
        <v>1</v>
      </c>
      <c r="F137" s="88">
        <f t="shared" si="17"/>
        <v>1</v>
      </c>
      <c r="G137" s="88">
        <f t="shared" si="17"/>
        <v>1</v>
      </c>
      <c r="H137" s="88">
        <f t="shared" si="17"/>
        <v>1</v>
      </c>
    </row>
    <row r="138" spans="1:8" x14ac:dyDescent="0.25">
      <c r="B138" s="104"/>
      <c r="C138" s="8" t="s">
        <v>146</v>
      </c>
      <c r="D138" s="88">
        <f t="shared" si="17"/>
        <v>1</v>
      </c>
      <c r="E138" s="88">
        <f t="shared" si="17"/>
        <v>1</v>
      </c>
      <c r="F138" s="88">
        <f t="shared" si="17"/>
        <v>1</v>
      </c>
      <c r="G138" s="88">
        <f t="shared" si="17"/>
        <v>1</v>
      </c>
      <c r="H138" s="88">
        <f t="shared" si="17"/>
        <v>1</v>
      </c>
    </row>
    <row r="139" spans="1:8" x14ac:dyDescent="0.25">
      <c r="B139" s="104"/>
      <c r="C139" s="8" t="s">
        <v>147</v>
      </c>
      <c r="D139" s="88">
        <f t="shared" si="17"/>
        <v>1</v>
      </c>
      <c r="E139" s="88">
        <f t="shared" si="17"/>
        <v>1</v>
      </c>
      <c r="F139" s="88">
        <f t="shared" si="17"/>
        <v>1</v>
      </c>
      <c r="G139" s="88">
        <f t="shared" si="17"/>
        <v>1</v>
      </c>
      <c r="H139" s="88">
        <f t="shared" si="17"/>
        <v>1</v>
      </c>
    </row>
    <row r="140" spans="1:8" ht="13" customHeight="1" x14ac:dyDescent="0.25">
      <c r="B140" s="65" t="s">
        <v>150</v>
      </c>
      <c r="C140" s="8" t="s">
        <v>147</v>
      </c>
      <c r="D140" s="88">
        <f t="shared" si="17"/>
        <v>1</v>
      </c>
      <c r="E140" s="88">
        <f t="shared" si="17"/>
        <v>1</v>
      </c>
      <c r="F140" s="88">
        <f t="shared" si="17"/>
        <v>1</v>
      </c>
      <c r="G140" s="88">
        <f t="shared" si="17"/>
        <v>1</v>
      </c>
      <c r="H140" s="88">
        <f t="shared" si="17"/>
        <v>1</v>
      </c>
    </row>
    <row r="141" spans="1:8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242</v>
      </c>
      <c r="B142" s="103" t="s">
        <v>90</v>
      </c>
      <c r="C142" s="8" t="s">
        <v>145</v>
      </c>
      <c r="D142" s="88">
        <f t="shared" ref="D142:H151" si="18">IF(D36=1,1,D36*1.05)</f>
        <v>1</v>
      </c>
      <c r="E142" s="88">
        <f t="shared" si="18"/>
        <v>1</v>
      </c>
      <c r="F142" s="88">
        <f t="shared" si="18"/>
        <v>1</v>
      </c>
      <c r="G142" s="88">
        <f t="shared" si="18"/>
        <v>1</v>
      </c>
      <c r="H142" s="88">
        <f t="shared" si="18"/>
        <v>1</v>
      </c>
    </row>
    <row r="143" spans="1:8" x14ac:dyDescent="0.25">
      <c r="B143" s="104"/>
      <c r="C143" s="8" t="s">
        <v>146</v>
      </c>
      <c r="D143" s="88">
        <f t="shared" si="18"/>
        <v>1</v>
      </c>
      <c r="E143" s="88">
        <f t="shared" si="18"/>
        <v>1</v>
      </c>
      <c r="F143" s="88">
        <f t="shared" si="18"/>
        <v>1</v>
      </c>
      <c r="G143" s="88">
        <f t="shared" si="18"/>
        <v>1</v>
      </c>
      <c r="H143" s="88">
        <f t="shared" si="18"/>
        <v>1</v>
      </c>
    </row>
    <row r="144" spans="1:8" x14ac:dyDescent="0.25">
      <c r="B144" s="104"/>
      <c r="C144" s="8" t="s">
        <v>147</v>
      </c>
      <c r="D144" s="88">
        <f t="shared" si="18"/>
        <v>1</v>
      </c>
      <c r="E144" s="88">
        <f t="shared" si="18"/>
        <v>1</v>
      </c>
      <c r="F144" s="88">
        <f t="shared" si="18"/>
        <v>1</v>
      </c>
      <c r="G144" s="88">
        <f t="shared" si="18"/>
        <v>1</v>
      </c>
      <c r="H144" s="88">
        <f t="shared" si="18"/>
        <v>1</v>
      </c>
    </row>
    <row r="145" spans="2:8" x14ac:dyDescent="0.25">
      <c r="B145" s="103" t="s">
        <v>67</v>
      </c>
      <c r="C145" s="8" t="s">
        <v>145</v>
      </c>
      <c r="D145" s="88">
        <f t="shared" si="18"/>
        <v>1</v>
      </c>
      <c r="E145" s="88">
        <f t="shared" si="18"/>
        <v>1</v>
      </c>
      <c r="F145" s="88">
        <f t="shared" si="18"/>
        <v>1</v>
      </c>
      <c r="G145" s="88">
        <f t="shared" si="18"/>
        <v>1</v>
      </c>
      <c r="H145" s="88">
        <f t="shared" si="18"/>
        <v>1</v>
      </c>
    </row>
    <row r="146" spans="2:8" x14ac:dyDescent="0.25">
      <c r="B146" s="104"/>
      <c r="C146" s="8" t="s">
        <v>146</v>
      </c>
      <c r="D146" s="88">
        <f t="shared" si="18"/>
        <v>1</v>
      </c>
      <c r="E146" s="88">
        <f t="shared" si="18"/>
        <v>1</v>
      </c>
      <c r="F146" s="88">
        <f t="shared" si="18"/>
        <v>1</v>
      </c>
      <c r="G146" s="88">
        <f t="shared" si="18"/>
        <v>1</v>
      </c>
      <c r="H146" s="88">
        <f t="shared" si="18"/>
        <v>1</v>
      </c>
    </row>
    <row r="147" spans="2:8" x14ac:dyDescent="0.25">
      <c r="B147" s="104"/>
      <c r="C147" s="8" t="s">
        <v>147</v>
      </c>
      <c r="D147" s="88">
        <f t="shared" si="18"/>
        <v>1</v>
      </c>
      <c r="E147" s="88">
        <f t="shared" si="18"/>
        <v>1</v>
      </c>
      <c r="F147" s="88">
        <f t="shared" si="18"/>
        <v>1</v>
      </c>
      <c r="G147" s="88">
        <f t="shared" si="18"/>
        <v>1</v>
      </c>
      <c r="H147" s="88">
        <f t="shared" si="18"/>
        <v>1</v>
      </c>
    </row>
    <row r="148" spans="2:8" x14ac:dyDescent="0.25">
      <c r="B148" s="103" t="s">
        <v>77</v>
      </c>
      <c r="C148" s="8" t="s">
        <v>145</v>
      </c>
      <c r="D148" s="88">
        <f t="shared" si="18"/>
        <v>1</v>
      </c>
      <c r="E148" s="88">
        <f t="shared" si="18"/>
        <v>1</v>
      </c>
      <c r="F148" s="88">
        <f t="shared" si="18"/>
        <v>1</v>
      </c>
      <c r="G148" s="88">
        <f t="shared" si="18"/>
        <v>1</v>
      </c>
      <c r="H148" s="88">
        <f t="shared" si="18"/>
        <v>1</v>
      </c>
    </row>
    <row r="149" spans="2:8" x14ac:dyDescent="0.25">
      <c r="B149" s="104"/>
      <c r="C149" s="8" t="s">
        <v>146</v>
      </c>
      <c r="D149" s="88">
        <f t="shared" si="18"/>
        <v>1</v>
      </c>
      <c r="E149" s="88">
        <f t="shared" si="18"/>
        <v>1</v>
      </c>
      <c r="F149" s="88">
        <f t="shared" si="18"/>
        <v>1</v>
      </c>
      <c r="G149" s="88">
        <f t="shared" si="18"/>
        <v>1</v>
      </c>
      <c r="H149" s="88">
        <f t="shared" si="18"/>
        <v>1</v>
      </c>
    </row>
    <row r="150" spans="2:8" x14ac:dyDescent="0.25">
      <c r="B150" s="104"/>
      <c r="C150" s="8" t="s">
        <v>147</v>
      </c>
      <c r="D150" s="88">
        <f t="shared" si="18"/>
        <v>1</v>
      </c>
      <c r="E150" s="88">
        <f t="shared" si="18"/>
        <v>1</v>
      </c>
      <c r="F150" s="88">
        <f t="shared" si="18"/>
        <v>1</v>
      </c>
      <c r="G150" s="88">
        <f t="shared" si="18"/>
        <v>1</v>
      </c>
      <c r="H150" s="88">
        <f t="shared" si="18"/>
        <v>1</v>
      </c>
    </row>
    <row r="151" spans="2:8" x14ac:dyDescent="0.25">
      <c r="B151" s="103" t="s">
        <v>78</v>
      </c>
      <c r="C151" s="8" t="s">
        <v>145</v>
      </c>
      <c r="D151" s="88">
        <f t="shared" si="18"/>
        <v>1</v>
      </c>
      <c r="E151" s="88">
        <f t="shared" si="18"/>
        <v>1</v>
      </c>
      <c r="F151" s="88">
        <f t="shared" si="18"/>
        <v>1</v>
      </c>
      <c r="G151" s="88">
        <f t="shared" si="18"/>
        <v>1</v>
      </c>
      <c r="H151" s="88">
        <f t="shared" si="18"/>
        <v>1</v>
      </c>
    </row>
    <row r="152" spans="2:8" x14ac:dyDescent="0.25">
      <c r="B152" s="104"/>
      <c r="C152" s="8" t="s">
        <v>146</v>
      </c>
      <c r="D152" s="88">
        <f t="shared" ref="D152:H161" si="19">IF(D46=1,1,D46*1.05)</f>
        <v>1</v>
      </c>
      <c r="E152" s="88">
        <f t="shared" si="19"/>
        <v>1</v>
      </c>
      <c r="F152" s="88">
        <f t="shared" si="19"/>
        <v>1</v>
      </c>
      <c r="G152" s="88">
        <f t="shared" si="19"/>
        <v>1</v>
      </c>
      <c r="H152" s="88">
        <f t="shared" si="19"/>
        <v>1</v>
      </c>
    </row>
    <row r="153" spans="2:8" x14ac:dyDescent="0.25">
      <c r="B153" s="104"/>
      <c r="C153" s="8" t="s">
        <v>147</v>
      </c>
      <c r="D153" s="88">
        <f t="shared" si="19"/>
        <v>1</v>
      </c>
      <c r="E153" s="88">
        <f t="shared" si="19"/>
        <v>1</v>
      </c>
      <c r="F153" s="88">
        <f t="shared" si="19"/>
        <v>1</v>
      </c>
      <c r="G153" s="88">
        <f t="shared" si="19"/>
        <v>1</v>
      </c>
      <c r="H153" s="88">
        <f t="shared" si="19"/>
        <v>1</v>
      </c>
    </row>
    <row r="154" spans="2:8" x14ac:dyDescent="0.25">
      <c r="B154" s="103" t="s">
        <v>79</v>
      </c>
      <c r="C154" s="8" t="s">
        <v>145</v>
      </c>
      <c r="D154" s="88">
        <f t="shared" si="19"/>
        <v>1</v>
      </c>
      <c r="E154" s="88">
        <f t="shared" si="19"/>
        <v>1</v>
      </c>
      <c r="F154" s="88">
        <f t="shared" si="19"/>
        <v>1</v>
      </c>
      <c r="G154" s="88">
        <f t="shared" si="19"/>
        <v>1</v>
      </c>
      <c r="H154" s="88">
        <f t="shared" si="19"/>
        <v>1</v>
      </c>
    </row>
    <row r="155" spans="2:8" x14ac:dyDescent="0.25">
      <c r="B155" s="104"/>
      <c r="C155" s="8" t="s">
        <v>146</v>
      </c>
      <c r="D155" s="88">
        <f t="shared" si="19"/>
        <v>1</v>
      </c>
      <c r="E155" s="88">
        <f t="shared" si="19"/>
        <v>1</v>
      </c>
      <c r="F155" s="88">
        <f t="shared" si="19"/>
        <v>1</v>
      </c>
      <c r="G155" s="88">
        <f t="shared" si="19"/>
        <v>1</v>
      </c>
      <c r="H155" s="88">
        <f t="shared" si="19"/>
        <v>1</v>
      </c>
    </row>
    <row r="156" spans="2:8" x14ac:dyDescent="0.25">
      <c r="B156" s="104"/>
      <c r="C156" s="8" t="s">
        <v>147</v>
      </c>
      <c r="D156" s="88">
        <f t="shared" si="19"/>
        <v>1</v>
      </c>
      <c r="E156" s="88">
        <f t="shared" si="19"/>
        <v>1</v>
      </c>
      <c r="F156" s="88">
        <f t="shared" si="19"/>
        <v>1</v>
      </c>
      <c r="G156" s="88">
        <f t="shared" si="19"/>
        <v>1</v>
      </c>
      <c r="H156" s="88">
        <f t="shared" si="19"/>
        <v>1</v>
      </c>
    </row>
    <row r="157" spans="2:8" ht="13" customHeight="1" x14ac:dyDescent="0.25">
      <c r="B157" s="65" t="s">
        <v>150</v>
      </c>
      <c r="C157" s="8" t="s">
        <v>147</v>
      </c>
      <c r="D157" s="88">
        <f t="shared" si="19"/>
        <v>1</v>
      </c>
      <c r="E157" s="88">
        <f t="shared" si="19"/>
        <v>1</v>
      </c>
      <c r="F157" s="88">
        <f t="shared" si="19"/>
        <v>1</v>
      </c>
      <c r="G157" s="88">
        <f t="shared" si="19"/>
        <v>1</v>
      </c>
      <c r="H157" s="88">
        <f t="shared" si="19"/>
        <v>1</v>
      </c>
    </row>
  </sheetData>
  <sheetProtection algorithmName="SHA-512" hashValue="kNott2FY10++7LpzvuSEUUgvKblMKWlWyTJLQ7V3mUE+D/qQXgkJjdadeNqQ4e0dbATNIZiaZUbYZr3uwCKttQ==" saltValue="MboHEiRAGE0wfo213ZYZVw==" spinCount="100000" sheet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15" zoomScale="85" zoomScaleNormal="85" workbookViewId="0">
      <selection activeCell="C61" sqref="C6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243</v>
      </c>
    </row>
    <row r="2" spans="1:6" ht="15.75" customHeight="1" x14ac:dyDescent="0.3">
      <c r="B2" s="69"/>
      <c r="C2" s="26" t="s">
        <v>43</v>
      </c>
      <c r="D2" s="70" t="s">
        <v>42</v>
      </c>
      <c r="E2" s="70" t="s">
        <v>41</v>
      </c>
      <c r="F2" s="70" t="s">
        <v>40</v>
      </c>
    </row>
    <row r="3" spans="1:6" ht="15.75" customHeight="1" x14ac:dyDescent="0.3">
      <c r="A3" s="4" t="s">
        <v>244</v>
      </c>
      <c r="B3" s="14"/>
      <c r="C3" s="71"/>
      <c r="D3" s="72"/>
      <c r="E3" s="72"/>
      <c r="F3" s="72"/>
    </row>
    <row r="4" spans="1:6" ht="15.75" customHeight="1" x14ac:dyDescent="0.25">
      <c r="B4" s="5" t="s">
        <v>26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27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28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29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245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246</v>
      </c>
      <c r="C11" s="74"/>
      <c r="D11" s="75"/>
      <c r="E11" s="75"/>
      <c r="F11" s="75"/>
    </row>
    <row r="12" spans="1:6" ht="15.75" customHeight="1" x14ac:dyDescent="0.3">
      <c r="A12" s="4" t="s">
        <v>247</v>
      </c>
      <c r="C12" s="73"/>
      <c r="D12" s="64"/>
      <c r="E12" s="64"/>
      <c r="F12" s="64"/>
    </row>
    <row r="13" spans="1:6" ht="15.75" customHeight="1" x14ac:dyDescent="0.25">
      <c r="B13" s="11" t="s">
        <v>248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249</v>
      </c>
      <c r="B17" s="14"/>
      <c r="C17" s="77"/>
      <c r="D17" s="78"/>
      <c r="E17" s="78"/>
      <c r="F17" s="78"/>
    </row>
    <row r="18" spans="1:6" ht="15.75" customHeight="1" x14ac:dyDescent="0.25">
      <c r="B18" s="5" t="s">
        <v>68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69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70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71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72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73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74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75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243</v>
      </c>
    </row>
    <row r="29" spans="1:6" ht="15.75" customHeight="1" x14ac:dyDescent="0.3">
      <c r="B29" s="69"/>
      <c r="C29" s="26" t="s">
        <v>43</v>
      </c>
      <c r="D29" s="70" t="s">
        <v>42</v>
      </c>
      <c r="E29" s="70" t="s">
        <v>41</v>
      </c>
      <c r="F29" s="70" t="s">
        <v>40</v>
      </c>
    </row>
    <row r="30" spans="1:6" ht="15.75" customHeight="1" x14ac:dyDescent="0.3">
      <c r="A30" s="4" t="s">
        <v>250</v>
      </c>
      <c r="B30" s="14"/>
      <c r="C30" s="71"/>
      <c r="D30" s="72"/>
      <c r="E30" s="72"/>
      <c r="F30" s="72"/>
    </row>
    <row r="31" spans="1:6" ht="15.75" customHeight="1" x14ac:dyDescent="0.25">
      <c r="B31" s="5" t="s">
        <v>26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27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28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29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251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246</v>
      </c>
      <c r="B38" s="68"/>
      <c r="C38" s="74"/>
      <c r="D38" s="75"/>
      <c r="E38" s="75"/>
      <c r="F38" s="75"/>
    </row>
    <row r="39" spans="1:6" ht="15.75" customHeight="1" x14ac:dyDescent="0.3">
      <c r="A39" s="4" t="s">
        <v>252</v>
      </c>
      <c r="C39" s="73"/>
      <c r="D39" s="64"/>
      <c r="E39" s="64"/>
      <c r="F39" s="64"/>
    </row>
    <row r="40" spans="1:6" ht="15.75" customHeight="1" x14ac:dyDescent="0.25">
      <c r="B40" s="11" t="s">
        <v>253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254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255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256</v>
      </c>
      <c r="B44" s="14"/>
      <c r="C44" s="77"/>
      <c r="D44" s="78"/>
      <c r="E44" s="78"/>
      <c r="F44" s="78"/>
    </row>
    <row r="45" spans="1:6" ht="15.75" customHeight="1" x14ac:dyDescent="0.25">
      <c r="B45" s="5" t="s">
        <v>68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69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70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71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72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73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74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75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239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243</v>
      </c>
    </row>
    <row r="56" spans="1:6" ht="15.75" customHeight="1" x14ac:dyDescent="0.3">
      <c r="B56" s="69"/>
      <c r="C56" s="26" t="s">
        <v>43</v>
      </c>
      <c r="D56" s="70" t="s">
        <v>42</v>
      </c>
      <c r="E56" s="70" t="s">
        <v>41</v>
      </c>
      <c r="F56" s="70" t="s">
        <v>40</v>
      </c>
    </row>
    <row r="57" spans="1:6" ht="15.75" customHeight="1" x14ac:dyDescent="0.3">
      <c r="A57" s="4" t="s">
        <v>257</v>
      </c>
      <c r="B57" s="14"/>
      <c r="C57" s="71"/>
      <c r="D57" s="72"/>
      <c r="E57" s="72"/>
      <c r="F57" s="72"/>
    </row>
    <row r="58" spans="1:6" ht="15.75" customHeight="1" x14ac:dyDescent="0.25">
      <c r="B58" s="5" t="s">
        <v>26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27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28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29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258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246</v>
      </c>
      <c r="B65" s="68"/>
      <c r="C65" s="74"/>
      <c r="D65" s="75"/>
      <c r="E65" s="75"/>
      <c r="F65" s="75"/>
    </row>
    <row r="66" spans="1:6" ht="15.75" customHeight="1" x14ac:dyDescent="0.3">
      <c r="A66" s="4" t="s">
        <v>259</v>
      </c>
      <c r="C66" s="73"/>
      <c r="D66" s="64"/>
      <c r="E66" s="64"/>
      <c r="F66" s="64"/>
    </row>
    <row r="67" spans="1:6" ht="15.75" customHeight="1" x14ac:dyDescent="0.25">
      <c r="B67" s="11" t="s">
        <v>260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261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263</v>
      </c>
      <c r="B71" s="14"/>
      <c r="C71" s="77"/>
      <c r="D71" s="78"/>
      <c r="E71" s="78"/>
      <c r="F71" s="78"/>
    </row>
    <row r="72" spans="1:6" ht="15.75" customHeight="1" x14ac:dyDescent="0.25">
      <c r="B72" s="5" t="s">
        <v>68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69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70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71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72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73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74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75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a0aX2VfGYRJWLRZcCd5z7lhlUmGJO/EzN4cg0Snhkl/IJQUK1zIL/9W0H+8Dtzn8tPzB4mSWxW65xqA1yiTgOA==" saltValue="o1GVWZzk0+60bY16Wxar5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C61" sqref="C61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264</v>
      </c>
    </row>
    <row r="2" spans="1:16" ht="13" customHeight="1" x14ac:dyDescent="0.3">
      <c r="A2" s="39" t="s">
        <v>225</v>
      </c>
      <c r="B2" s="1" t="s">
        <v>265</v>
      </c>
      <c r="C2" s="1" t="s">
        <v>266</v>
      </c>
      <c r="D2" s="70" t="s">
        <v>67</v>
      </c>
      <c r="E2" s="70" t="s">
        <v>77</v>
      </c>
      <c r="F2" s="70" t="s">
        <v>78</v>
      </c>
      <c r="G2" s="70" t="s">
        <v>79</v>
      </c>
      <c r="H2" s="70" t="s">
        <v>80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81</v>
      </c>
      <c r="C3" s="3" t="s">
        <v>267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270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82</v>
      </c>
      <c r="C7" s="3" t="s">
        <v>267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270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84</v>
      </c>
      <c r="C11" s="3" t="s">
        <v>267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270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85</v>
      </c>
      <c r="C15" s="3" t="s">
        <v>267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270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83</v>
      </c>
      <c r="C19" s="3" t="s">
        <v>267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270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89</v>
      </c>
      <c r="C23" s="3" t="s">
        <v>267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270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271</v>
      </c>
    </row>
    <row r="29" spans="1:16" ht="13" customHeight="1" x14ac:dyDescent="0.3">
      <c r="A29" s="39" t="s">
        <v>272</v>
      </c>
      <c r="B29" s="4" t="s">
        <v>265</v>
      </c>
      <c r="C29" s="4" t="s">
        <v>273</v>
      </c>
      <c r="D29" s="70" t="s">
        <v>67</v>
      </c>
      <c r="E29" s="70" t="s">
        <v>77</v>
      </c>
      <c r="F29" s="70" t="s">
        <v>78</v>
      </c>
      <c r="G29" s="70" t="s">
        <v>79</v>
      </c>
      <c r="H29" s="70" t="s">
        <v>80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81</v>
      </c>
      <c r="C30" s="3" t="s">
        <v>267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204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205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82</v>
      </c>
      <c r="C34" s="3" t="s">
        <v>267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204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205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84</v>
      </c>
      <c r="C38" s="3" t="s">
        <v>267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204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205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85</v>
      </c>
      <c r="C42" s="3" t="s">
        <v>267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204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205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83</v>
      </c>
      <c r="C46" s="3" t="s">
        <v>267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204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205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89</v>
      </c>
      <c r="C50" s="3" t="s">
        <v>267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204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205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274</v>
      </c>
    </row>
    <row r="56" spans="1:16" ht="26" customHeight="1" x14ac:dyDescent="0.3">
      <c r="A56" s="39" t="s">
        <v>111</v>
      </c>
      <c r="B56" s="4" t="s">
        <v>265</v>
      </c>
      <c r="C56" s="69" t="s">
        <v>275</v>
      </c>
      <c r="D56" s="70" t="s">
        <v>112</v>
      </c>
      <c r="E56" s="70" t="s">
        <v>113</v>
      </c>
      <c r="F56" s="70" t="s">
        <v>114</v>
      </c>
      <c r="G56" s="70" t="s">
        <v>115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91</v>
      </c>
      <c r="C57" s="3" t="s">
        <v>276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277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92</v>
      </c>
      <c r="C59" s="3" t="s">
        <v>276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277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93</v>
      </c>
      <c r="C61" s="3" t="s">
        <v>276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277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278</v>
      </c>
    </row>
    <row r="65" spans="1:16" ht="26" customHeight="1" x14ac:dyDescent="0.3">
      <c r="A65" s="39" t="s">
        <v>118</v>
      </c>
      <c r="B65" s="4" t="s">
        <v>265</v>
      </c>
      <c r="C65" s="69" t="s">
        <v>279</v>
      </c>
      <c r="D65" s="70" t="s">
        <v>67</v>
      </c>
      <c r="E65" s="70" t="s">
        <v>77</v>
      </c>
      <c r="F65" s="70" t="s">
        <v>78</v>
      </c>
      <c r="G65" s="70" t="s">
        <v>79</v>
      </c>
      <c r="H65" s="81" t="s">
        <v>80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68</v>
      </c>
      <c r="C66" s="3" t="s">
        <v>119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69</v>
      </c>
      <c r="C70" s="3" t="s">
        <v>119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70</v>
      </c>
      <c r="C74" s="3" t="s">
        <v>119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72</v>
      </c>
      <c r="C78" s="3" t="s">
        <v>119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81</v>
      </c>
      <c r="C82" s="3" t="s">
        <v>119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82</v>
      </c>
      <c r="C86" s="3" t="s">
        <v>119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84</v>
      </c>
      <c r="C90" s="3" t="s">
        <v>119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83</v>
      </c>
      <c r="C94" s="3" t="s">
        <v>119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86</v>
      </c>
      <c r="C98" s="3" t="s">
        <v>119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280</v>
      </c>
    </row>
    <row r="104" spans="1:16" ht="26" customHeight="1" x14ac:dyDescent="0.3">
      <c r="A104" s="39" t="s">
        <v>81</v>
      </c>
      <c r="B104" s="82" t="s">
        <v>122</v>
      </c>
      <c r="C104" s="69" t="s">
        <v>279</v>
      </c>
      <c r="D104" s="70" t="s">
        <v>67</v>
      </c>
      <c r="E104" s="70" t="s">
        <v>77</v>
      </c>
      <c r="F104" s="70" t="s">
        <v>78</v>
      </c>
      <c r="G104" s="70" t="s">
        <v>79</v>
      </c>
      <c r="H104" s="81" t="s">
        <v>80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119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264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225</v>
      </c>
      <c r="B112" s="1" t="s">
        <v>265</v>
      </c>
      <c r="C112" s="1" t="s">
        <v>266</v>
      </c>
      <c r="D112" s="70" t="s">
        <v>67</v>
      </c>
      <c r="E112" s="70" t="s">
        <v>77</v>
      </c>
      <c r="F112" s="70" t="s">
        <v>78</v>
      </c>
      <c r="G112" s="70" t="s">
        <v>79</v>
      </c>
      <c r="H112" s="70" t="s">
        <v>80</v>
      </c>
    </row>
    <row r="113" spans="1:8" ht="13" customHeight="1" x14ac:dyDescent="0.3">
      <c r="A113" s="4"/>
      <c r="B113" s="8" t="s">
        <v>81</v>
      </c>
      <c r="C113" s="3" t="s">
        <v>267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270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82</v>
      </c>
      <c r="C117" s="3" t="s">
        <v>267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270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84</v>
      </c>
      <c r="C121" s="3" t="s">
        <v>267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270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85</v>
      </c>
      <c r="C125" s="3" t="s">
        <v>267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270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83</v>
      </c>
      <c r="C129" s="3" t="s">
        <v>267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270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89</v>
      </c>
      <c r="C133" s="3" t="s">
        <v>267</v>
      </c>
      <c r="D133" s="91">
        <f t="shared" ref="D133:H142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270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271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272</v>
      </c>
      <c r="B139" s="4" t="s">
        <v>265</v>
      </c>
      <c r="C139" s="4" t="s">
        <v>273</v>
      </c>
      <c r="D139" s="70" t="s">
        <v>67</v>
      </c>
      <c r="E139" s="70" t="s">
        <v>77</v>
      </c>
      <c r="F139" s="70" t="s">
        <v>78</v>
      </c>
      <c r="G139" s="70" t="s">
        <v>79</v>
      </c>
      <c r="H139" s="70" t="s">
        <v>80</v>
      </c>
    </row>
    <row r="140" spans="1:8" ht="13" customHeight="1" x14ac:dyDescent="0.3">
      <c r="A140" s="4"/>
      <c r="B140" s="8" t="s">
        <v>81</v>
      </c>
      <c r="C140" s="3" t="s">
        <v>267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204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205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82</v>
      </c>
      <c r="C144" s="3" t="s">
        <v>267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204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205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84</v>
      </c>
      <c r="C148" s="3" t="s">
        <v>267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204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205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85</v>
      </c>
      <c r="C152" s="3" t="s">
        <v>267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204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205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83</v>
      </c>
      <c r="C156" s="3" t="s">
        <v>267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204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205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89</v>
      </c>
      <c r="C160" s="3" t="s">
        <v>267</v>
      </c>
      <c r="D160" s="91">
        <f t="shared" ref="D160:H169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204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205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274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111</v>
      </c>
      <c r="B166" s="4" t="s">
        <v>265</v>
      </c>
      <c r="C166" s="69" t="s">
        <v>275</v>
      </c>
      <c r="D166" s="70" t="s">
        <v>112</v>
      </c>
      <c r="E166" s="70" t="s">
        <v>113</v>
      </c>
      <c r="F166" s="70" t="s">
        <v>114</v>
      </c>
      <c r="G166" s="70" t="s">
        <v>115</v>
      </c>
      <c r="H166" s="79"/>
    </row>
    <row r="167" spans="1:8" ht="13" customHeight="1" x14ac:dyDescent="0.3">
      <c r="A167" s="4"/>
      <c r="B167" s="8" t="s">
        <v>91</v>
      </c>
      <c r="C167" s="3" t="s">
        <v>276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277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92</v>
      </c>
      <c r="C169" s="3" t="s">
        <v>276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277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93</v>
      </c>
      <c r="C171" s="3" t="s">
        <v>276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277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278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118</v>
      </c>
      <c r="B175" s="4" t="s">
        <v>265</v>
      </c>
      <c r="C175" s="69" t="s">
        <v>279</v>
      </c>
      <c r="D175" s="70" t="s">
        <v>67</v>
      </c>
      <c r="E175" s="70" t="s">
        <v>77</v>
      </c>
      <c r="F175" s="70" t="s">
        <v>78</v>
      </c>
      <c r="G175" s="70" t="s">
        <v>79</v>
      </c>
      <c r="H175" s="81" t="s">
        <v>80</v>
      </c>
    </row>
    <row r="176" spans="1:8" ht="13" customHeight="1" x14ac:dyDescent="0.3">
      <c r="A176" s="82"/>
      <c r="B176" s="8" t="s">
        <v>68</v>
      </c>
      <c r="C176" s="3" t="s">
        <v>119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69</v>
      </c>
      <c r="C180" s="3" t="s">
        <v>119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70</v>
      </c>
      <c r="C184" s="3" t="s">
        <v>119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72</v>
      </c>
      <c r="C188" s="3" t="s">
        <v>119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81</v>
      </c>
      <c r="C192" s="3" t="s">
        <v>119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82</v>
      </c>
      <c r="C196" s="3" t="s">
        <v>119</v>
      </c>
      <c r="D196" s="91">
        <f t="shared" ref="D196:G215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84</v>
      </c>
      <c r="C200" s="3" t="s">
        <v>119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83</v>
      </c>
      <c r="C204" s="3" t="s">
        <v>119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86</v>
      </c>
      <c r="C208" s="3" t="s">
        <v>119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280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81</v>
      </c>
      <c r="B214" s="82" t="s">
        <v>122</v>
      </c>
      <c r="C214" s="69" t="s">
        <v>279</v>
      </c>
      <c r="D214" s="70" t="s">
        <v>67</v>
      </c>
      <c r="E214" s="70" t="s">
        <v>77</v>
      </c>
      <c r="F214" s="70" t="s">
        <v>78</v>
      </c>
      <c r="G214" s="70" t="s">
        <v>79</v>
      </c>
      <c r="H214" s="81" t="s">
        <v>80</v>
      </c>
    </row>
    <row r="215" spans="1:9" ht="13" customHeight="1" x14ac:dyDescent="0.3">
      <c r="A215" s="4"/>
      <c r="C215" s="3" t="s">
        <v>119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239</v>
      </c>
      <c r="H220" s="92"/>
    </row>
    <row r="221" spans="1:9" ht="13" customHeight="1" x14ac:dyDescent="0.3">
      <c r="A221" s="67" t="s">
        <v>264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225</v>
      </c>
      <c r="B222" s="1" t="s">
        <v>265</v>
      </c>
      <c r="C222" s="1" t="s">
        <v>266</v>
      </c>
      <c r="D222" s="70" t="s">
        <v>67</v>
      </c>
      <c r="E222" s="70" t="s">
        <v>77</v>
      </c>
      <c r="F222" s="70" t="s">
        <v>78</v>
      </c>
      <c r="G222" s="70" t="s">
        <v>79</v>
      </c>
      <c r="H222" s="70" t="s">
        <v>80</v>
      </c>
      <c r="I222" s="79"/>
    </row>
    <row r="223" spans="1:9" ht="13" customHeight="1" x14ac:dyDescent="0.3">
      <c r="A223" s="4"/>
      <c r="B223" s="8" t="s">
        <v>81</v>
      </c>
      <c r="C223" s="3" t="s">
        <v>267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270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82</v>
      </c>
      <c r="C227" s="3" t="s">
        <v>267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270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84</v>
      </c>
      <c r="C231" s="3" t="s">
        <v>267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270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85</v>
      </c>
      <c r="C235" s="3" t="s">
        <v>267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270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83</v>
      </c>
      <c r="C239" s="3" t="s">
        <v>267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270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89</v>
      </c>
      <c r="C243" s="3" t="s">
        <v>267</v>
      </c>
      <c r="D243" s="91">
        <f t="shared" ref="D243:H252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270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272</v>
      </c>
      <c r="B249" s="4" t="s">
        <v>265</v>
      </c>
      <c r="C249" s="4" t="s">
        <v>273</v>
      </c>
      <c r="D249" s="70" t="s">
        <v>67</v>
      </c>
      <c r="E249" s="70" t="s">
        <v>77</v>
      </c>
      <c r="F249" s="70" t="s">
        <v>78</v>
      </c>
      <c r="G249" s="70" t="s">
        <v>79</v>
      </c>
      <c r="H249" s="70" t="s">
        <v>80</v>
      </c>
      <c r="I249" s="79"/>
    </row>
    <row r="250" spans="1:9" ht="13" customHeight="1" x14ac:dyDescent="0.3">
      <c r="A250" s="4"/>
      <c r="B250" s="8" t="s">
        <v>81</v>
      </c>
      <c r="C250" s="3" t="s">
        <v>267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204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205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82</v>
      </c>
      <c r="C254" s="3" t="s">
        <v>267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204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205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84</v>
      </c>
      <c r="C258" s="3" t="s">
        <v>267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204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205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85</v>
      </c>
      <c r="C262" s="3" t="s">
        <v>267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204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205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83</v>
      </c>
      <c r="C266" s="3" t="s">
        <v>267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204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205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89</v>
      </c>
      <c r="C270" s="3" t="s">
        <v>267</v>
      </c>
      <c r="D270" s="91">
        <f t="shared" ref="D270:H279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204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205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274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111</v>
      </c>
      <c r="B276" s="4" t="s">
        <v>265</v>
      </c>
      <c r="C276" s="69" t="s">
        <v>275</v>
      </c>
      <c r="D276" s="70" t="s">
        <v>112</v>
      </c>
      <c r="E276" s="70" t="s">
        <v>113</v>
      </c>
      <c r="F276" s="70" t="s">
        <v>114</v>
      </c>
      <c r="G276" s="70" t="s">
        <v>115</v>
      </c>
      <c r="H276" s="79"/>
    </row>
    <row r="277" spans="1:9" ht="13" customHeight="1" x14ac:dyDescent="0.3">
      <c r="A277" s="4"/>
      <c r="B277" s="8" t="s">
        <v>91</v>
      </c>
      <c r="C277" s="3" t="s">
        <v>276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277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92</v>
      </c>
      <c r="C279" s="3" t="s">
        <v>276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277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93</v>
      </c>
      <c r="C281" s="3" t="s">
        <v>276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277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278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118</v>
      </c>
      <c r="B285" s="4" t="s">
        <v>265</v>
      </c>
      <c r="C285" s="69" t="s">
        <v>279</v>
      </c>
      <c r="D285" s="70" t="s">
        <v>67</v>
      </c>
      <c r="E285" s="70" t="s">
        <v>77</v>
      </c>
      <c r="F285" s="70" t="s">
        <v>78</v>
      </c>
      <c r="G285" s="70" t="s">
        <v>79</v>
      </c>
      <c r="H285" s="81" t="s">
        <v>80</v>
      </c>
      <c r="I285" s="79"/>
    </row>
    <row r="286" spans="1:9" ht="13" customHeight="1" x14ac:dyDescent="0.3">
      <c r="A286" s="82"/>
      <c r="B286" s="8" t="s">
        <v>68</v>
      </c>
      <c r="C286" s="3" t="s">
        <v>119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69</v>
      </c>
      <c r="C290" s="3" t="s">
        <v>119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70</v>
      </c>
      <c r="C294" s="3" t="s">
        <v>119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72</v>
      </c>
      <c r="C298" s="3" t="s">
        <v>119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81</v>
      </c>
      <c r="C302" s="3" t="s">
        <v>119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82</v>
      </c>
      <c r="C306" s="3" t="s">
        <v>119</v>
      </c>
      <c r="D306" s="91">
        <f t="shared" ref="D306:G325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84</v>
      </c>
      <c r="C310" s="3" t="s">
        <v>119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83</v>
      </c>
      <c r="C314" s="3" t="s">
        <v>119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86</v>
      </c>
      <c r="C318" s="3" t="s">
        <v>119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280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81</v>
      </c>
      <c r="B324" s="82" t="s">
        <v>122</v>
      </c>
      <c r="C324" s="69" t="s">
        <v>279</v>
      </c>
      <c r="D324" s="70" t="s">
        <v>67</v>
      </c>
      <c r="E324" s="70" t="s">
        <v>77</v>
      </c>
      <c r="F324" s="70" t="s">
        <v>78</v>
      </c>
      <c r="G324" s="70" t="s">
        <v>79</v>
      </c>
      <c r="H324" s="81" t="s">
        <v>80</v>
      </c>
      <c r="I324" s="79"/>
    </row>
    <row r="325" spans="1:9" ht="13" customHeight="1" x14ac:dyDescent="0.3">
      <c r="A325" s="4"/>
      <c r="C325" s="3" t="s">
        <v>119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QPUFmCFtFBVVyEMWX+ufO46C8X+nKRCwHNyDvv7CKg/oO7DPZp1nYnOMxNvnqXsQKuBxQKlHWKOifwOzFAazNA==" saltValue="HCEWU6EJTzcX+etfLOPz7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topLeftCell="A43" zoomScale="70" zoomScaleNormal="70" workbookViewId="0">
      <selection activeCell="C61" sqref="C61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281</v>
      </c>
    </row>
    <row r="2" spans="1:7" ht="14.25" customHeight="1" x14ac:dyDescent="0.3">
      <c r="A2" s="82" t="s">
        <v>203</v>
      </c>
      <c r="B2" s="1"/>
      <c r="C2" s="4" t="s">
        <v>67</v>
      </c>
      <c r="D2" s="4" t="s">
        <v>77</v>
      </c>
      <c r="E2" s="4" t="s">
        <v>78</v>
      </c>
      <c r="F2" s="4" t="s">
        <v>79</v>
      </c>
      <c r="G2" s="4" t="s">
        <v>80</v>
      </c>
    </row>
    <row r="3" spans="1:7" ht="14.25" customHeight="1" x14ac:dyDescent="0.25">
      <c r="B3" s="11" t="s">
        <v>282</v>
      </c>
      <c r="C3" s="90" t="s">
        <v>283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284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285</v>
      </c>
    </row>
    <row r="6" spans="1:7" ht="14.25" customHeight="1" x14ac:dyDescent="0.25">
      <c r="B6" s="5" t="s">
        <v>191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184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192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286</v>
      </c>
    </row>
    <row r="12" spans="1:7" ht="14.25" customHeight="1" x14ac:dyDescent="0.3">
      <c r="A12" s="14"/>
      <c r="B12" s="11" t="s">
        <v>183</v>
      </c>
      <c r="C12" s="90">
        <v>1.5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287</v>
      </c>
    </row>
    <row r="15" spans="1:7" ht="14.25" customHeight="1" x14ac:dyDescent="0.3">
      <c r="A15" s="82" t="s">
        <v>272</v>
      </c>
      <c r="B15" s="5" t="s">
        <v>288</v>
      </c>
      <c r="C15" s="90">
        <v>1.024</v>
      </c>
      <c r="D15" s="90">
        <v>1.024</v>
      </c>
      <c r="E15" s="90">
        <v>1.024</v>
      </c>
      <c r="F15" s="90">
        <v>1.024</v>
      </c>
      <c r="G15" s="90">
        <v>1.024</v>
      </c>
    </row>
    <row r="16" spans="1:7" ht="14.25" customHeight="1" x14ac:dyDescent="0.3">
      <c r="A16" s="4"/>
      <c r="B16" s="5" t="s">
        <v>289</v>
      </c>
      <c r="C16" s="90">
        <v>1.024</v>
      </c>
      <c r="D16" s="90">
        <v>1.024</v>
      </c>
      <c r="E16" s="90">
        <v>1.024</v>
      </c>
      <c r="F16" s="90">
        <v>1.024</v>
      </c>
      <c r="G16" s="90">
        <v>1.024</v>
      </c>
    </row>
    <row r="17" spans="1:7" ht="14.25" customHeight="1" x14ac:dyDescent="0.3">
      <c r="A17" s="82" t="s">
        <v>111</v>
      </c>
      <c r="B17" s="11" t="s">
        <v>290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291</v>
      </c>
    </row>
    <row r="20" spans="1:7" s="14" customFormat="1" ht="14.25" customHeight="1" x14ac:dyDescent="0.3">
      <c r="C20" s="4" t="s">
        <v>58</v>
      </c>
      <c r="D20" s="4" t="s">
        <v>59</v>
      </c>
      <c r="E20" s="4" t="s">
        <v>60</v>
      </c>
      <c r="F20" s="4" t="s">
        <v>61</v>
      </c>
    </row>
    <row r="21" spans="1:7" x14ac:dyDescent="0.25">
      <c r="B21" s="11" t="s">
        <v>171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281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203</v>
      </c>
      <c r="B25" s="1"/>
      <c r="C25" s="4" t="s">
        <v>67</v>
      </c>
      <c r="D25" s="4" t="s">
        <v>77</v>
      </c>
      <c r="E25" s="4" t="s">
        <v>78</v>
      </c>
      <c r="F25" s="4" t="s">
        <v>79</v>
      </c>
      <c r="G25" s="4" t="s">
        <v>80</v>
      </c>
    </row>
    <row r="26" spans="1:7" x14ac:dyDescent="0.25">
      <c r="B26" s="11" t="s">
        <v>292</v>
      </c>
      <c r="C26" s="90" t="s">
        <v>283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293</v>
      </c>
      <c r="C27" s="90">
        <v>1.014</v>
      </c>
      <c r="D27" s="90">
        <v>1.014</v>
      </c>
      <c r="E27" s="90">
        <v>1.014</v>
      </c>
      <c r="F27" s="90">
        <v>1.014</v>
      </c>
      <c r="G27" s="90">
        <v>1.014</v>
      </c>
    </row>
    <row r="28" spans="1:7" ht="13" customHeight="1" x14ac:dyDescent="0.3">
      <c r="A28" s="14" t="s">
        <v>294</v>
      </c>
    </row>
    <row r="29" spans="1:7" x14ac:dyDescent="0.25">
      <c r="B29" s="5" t="s">
        <v>295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296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297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298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299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300</v>
      </c>
      <c r="C35" s="90">
        <v>1.26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287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272</v>
      </c>
      <c r="B38" s="5" t="s">
        <v>301</v>
      </c>
      <c r="C38" s="90">
        <v>1.016</v>
      </c>
      <c r="D38" s="90">
        <v>1.016</v>
      </c>
      <c r="E38" s="90">
        <v>1.016</v>
      </c>
      <c r="F38" s="90">
        <v>1.016</v>
      </c>
      <c r="G38" s="90">
        <v>1.016</v>
      </c>
    </row>
    <row r="39" spans="1:7" ht="13" customHeight="1" x14ac:dyDescent="0.3">
      <c r="A39" s="4"/>
      <c r="B39" s="5" t="s">
        <v>302</v>
      </c>
      <c r="C39" s="90">
        <v>1.016</v>
      </c>
      <c r="D39" s="90">
        <v>1.016</v>
      </c>
      <c r="E39" s="90">
        <v>1.016</v>
      </c>
      <c r="F39" s="90">
        <v>1.016</v>
      </c>
      <c r="G39" s="90">
        <v>1.016</v>
      </c>
    </row>
    <row r="40" spans="1:7" ht="13" customHeight="1" x14ac:dyDescent="0.3">
      <c r="A40" s="82" t="s">
        <v>111</v>
      </c>
      <c r="B40" s="11" t="s">
        <v>303</v>
      </c>
      <c r="C40" s="90">
        <f>IF(C17=1,1,C17*0.9)</f>
        <v>1</v>
      </c>
      <c r="D40" s="90">
        <f>IF(D17=1,1,D17*0.9)</f>
        <v>1</v>
      </c>
      <c r="E40" s="90">
        <f>IF(E17=1,1,E17*0.9)</f>
        <v>1</v>
      </c>
      <c r="F40" s="90">
        <f>IF(F17=1,1,F17*0.9)</f>
        <v>1</v>
      </c>
      <c r="G40" s="90">
        <f>IF(G17=1,1,G17*0.9)</f>
        <v>1</v>
      </c>
    </row>
    <row r="42" spans="1:7" ht="13" customHeight="1" x14ac:dyDescent="0.3">
      <c r="A42" s="67" t="s">
        <v>304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58</v>
      </c>
      <c r="D43" s="4" t="s">
        <v>59</v>
      </c>
      <c r="E43" s="4" t="s">
        <v>60</v>
      </c>
      <c r="F43" s="4" t="s">
        <v>61</v>
      </c>
      <c r="G43" s="14"/>
    </row>
    <row r="44" spans="1:7" x14ac:dyDescent="0.25">
      <c r="B44" s="11" t="s">
        <v>305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239</v>
      </c>
    </row>
    <row r="47" spans="1:7" ht="13" customHeight="1" x14ac:dyDescent="0.3">
      <c r="A47" s="67" t="s">
        <v>281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203</v>
      </c>
      <c r="B48" s="1"/>
      <c r="C48" s="4" t="s">
        <v>67</v>
      </c>
      <c r="D48" s="4" t="s">
        <v>77</v>
      </c>
      <c r="E48" s="4" t="s">
        <v>78</v>
      </c>
      <c r="F48" s="4" t="s">
        <v>79</v>
      </c>
      <c r="G48" s="4" t="s">
        <v>80</v>
      </c>
    </row>
    <row r="49" spans="1:7" x14ac:dyDescent="0.25">
      <c r="B49" s="11" t="s">
        <v>306</v>
      </c>
      <c r="C49" s="90" t="s">
        <v>283</v>
      </c>
      <c r="D49" s="90">
        <f>D3*1.05</f>
        <v>47.25</v>
      </c>
      <c r="E49" s="90">
        <f>E3*1.05</f>
        <v>379.68000000000006</v>
      </c>
      <c r="F49" s="90">
        <f>F3*1.05</f>
        <v>183.435</v>
      </c>
      <c r="G49" s="90">
        <f>G3*1.05</f>
        <v>183.435</v>
      </c>
    </row>
    <row r="50" spans="1:7" ht="13" customHeight="1" x14ac:dyDescent="0.3">
      <c r="A50" s="4"/>
      <c r="B50" s="5" t="s">
        <v>307</v>
      </c>
      <c r="C50" s="90">
        <v>1.0349999999999999</v>
      </c>
      <c r="D50" s="90">
        <v>1.0349999999999999</v>
      </c>
      <c r="E50" s="90">
        <v>1.0349999999999999</v>
      </c>
      <c r="F50" s="90">
        <v>1.0349999999999999</v>
      </c>
      <c r="G50" s="90">
        <v>1.0349999999999999</v>
      </c>
    </row>
    <row r="51" spans="1:7" ht="13" customHeight="1" x14ac:dyDescent="0.3">
      <c r="A51" s="14" t="s">
        <v>308</v>
      </c>
    </row>
    <row r="52" spans="1:7" x14ac:dyDescent="0.25">
      <c r="B52" s="5" t="s">
        <v>309</v>
      </c>
      <c r="C52" s="90">
        <f t="shared" ref="C52:D55" si="1">IF(C6=1,1,C6*1.1)</f>
        <v>1</v>
      </c>
      <c r="D52" s="90">
        <f t="shared" si="1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310</v>
      </c>
      <c r="C53" s="90">
        <f t="shared" si="1"/>
        <v>1</v>
      </c>
      <c r="D53" s="90">
        <f t="shared" si="1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311</v>
      </c>
      <c r="C54" s="90">
        <f t="shared" si="1"/>
        <v>1</v>
      </c>
      <c r="D54" s="90">
        <f t="shared" si="1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312</v>
      </c>
      <c r="C55" s="90">
        <f t="shared" si="1"/>
        <v>1</v>
      </c>
      <c r="D55" s="90">
        <f t="shared" si="1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313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314</v>
      </c>
      <c r="C58" s="90">
        <v>1.78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287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272</v>
      </c>
      <c r="B61" s="5" t="s">
        <v>315</v>
      </c>
      <c r="C61" s="90">
        <v>1.0309999999999999</v>
      </c>
      <c r="D61" s="90">
        <v>1.0309999999999999</v>
      </c>
      <c r="E61" s="90">
        <v>1.0309999999999999</v>
      </c>
      <c r="F61" s="90">
        <v>1.0309999999999999</v>
      </c>
      <c r="G61" s="90">
        <v>1.0309999999999999</v>
      </c>
    </row>
    <row r="62" spans="1:7" ht="13" customHeight="1" x14ac:dyDescent="0.3">
      <c r="A62" s="4"/>
      <c r="B62" s="5" t="s">
        <v>316</v>
      </c>
      <c r="C62" s="90">
        <v>1.0309999999999999</v>
      </c>
      <c r="D62" s="90">
        <v>1.0309999999999999</v>
      </c>
      <c r="E62" s="90">
        <v>1.0309999999999999</v>
      </c>
      <c r="F62" s="90">
        <v>1.0309999999999999</v>
      </c>
      <c r="G62" s="90">
        <v>1.0309999999999999</v>
      </c>
    </row>
    <row r="63" spans="1:7" ht="13" customHeight="1" x14ac:dyDescent="0.3">
      <c r="A63" s="82" t="s">
        <v>111</v>
      </c>
      <c r="B63" s="11" t="s">
        <v>317</v>
      </c>
      <c r="C63" s="90">
        <f>IF(C17=1,1,C17*1.1)</f>
        <v>1</v>
      </c>
      <c r="D63" s="90">
        <f>IF(D17=1,1,D17*1.1)</f>
        <v>1</v>
      </c>
      <c r="E63" s="90">
        <f>IF(E17=1,1,E17*1.1)</f>
        <v>1</v>
      </c>
      <c r="F63" s="90">
        <f>IF(F17=1,1,F17*1.1)</f>
        <v>1</v>
      </c>
      <c r="G63" s="90">
        <f>IF(G17=1,1,G17*1.1)</f>
        <v>1</v>
      </c>
    </row>
    <row r="65" spans="1:7" ht="13" customHeight="1" x14ac:dyDescent="0.3">
      <c r="A65" s="67" t="s">
        <v>318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58</v>
      </c>
      <c r="D66" s="4" t="s">
        <v>59</v>
      </c>
      <c r="E66" s="4" t="s">
        <v>60</v>
      </c>
      <c r="F66" s="4" t="s">
        <v>61</v>
      </c>
      <c r="G66" s="14"/>
    </row>
    <row r="67" spans="1:7" x14ac:dyDescent="0.25">
      <c r="B67" s="11" t="s">
        <v>319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Z5W0iLQonUXgebQ0oBIAJiknKvZHIMnPuF1vh21+BfR+VnJC7YVzBoFQiTm+hEbHNMOFIRa563Ft7+Jm2vvcKg==" saltValue="MgosxU+mdCbdebb7wBaTK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zoomScale="70" zoomScaleNormal="70" workbookViewId="0">
      <selection activeCell="C61" sqref="C61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156</v>
      </c>
      <c r="B1" s="4"/>
      <c r="C1" s="4" t="s">
        <v>40</v>
      </c>
      <c r="D1" s="4" t="s">
        <v>42</v>
      </c>
      <c r="E1" s="4" t="s">
        <v>41</v>
      </c>
      <c r="F1" s="1" t="s">
        <v>43</v>
      </c>
    </row>
    <row r="2" spans="1:6" ht="15.75" customHeight="1" x14ac:dyDescent="0.25">
      <c r="A2" s="5" t="s">
        <v>166</v>
      </c>
      <c r="B2" s="5" t="s">
        <v>320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321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179</v>
      </c>
      <c r="B4" s="5" t="s">
        <v>320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321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180</v>
      </c>
      <c r="B6" s="5" t="s">
        <v>320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321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181</v>
      </c>
      <c r="B8" s="5" t="s">
        <v>320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321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185</v>
      </c>
      <c r="B10" s="5" t="s">
        <v>320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321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189</v>
      </c>
      <c r="B12" s="5" t="s">
        <v>320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321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156</v>
      </c>
      <c r="B16" s="4"/>
      <c r="C16" s="4" t="s">
        <v>40</v>
      </c>
      <c r="D16" s="4" t="s">
        <v>42</v>
      </c>
      <c r="E16" s="4" t="s">
        <v>41</v>
      </c>
      <c r="F16" s="1" t="s">
        <v>43</v>
      </c>
    </row>
    <row r="17" spans="1:6" ht="15.75" customHeight="1" x14ac:dyDescent="0.25">
      <c r="A17" s="5" t="s">
        <v>166</v>
      </c>
      <c r="B17" s="5" t="s">
        <v>320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321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179</v>
      </c>
      <c r="B19" s="5" t="s">
        <v>320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321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180</v>
      </c>
      <c r="B21" s="5" t="s">
        <v>320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321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181</v>
      </c>
      <c r="B23" s="5" t="s">
        <v>320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321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185</v>
      </c>
      <c r="B25" s="5" t="s">
        <v>320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321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189</v>
      </c>
      <c r="B27" s="5" t="s">
        <v>320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321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239</v>
      </c>
    </row>
    <row r="31" spans="1:6" ht="15.75" customHeight="1" x14ac:dyDescent="0.3">
      <c r="A31" s="1" t="s">
        <v>156</v>
      </c>
      <c r="B31" s="4"/>
      <c r="C31" s="4" t="s">
        <v>40</v>
      </c>
      <c r="D31" s="4" t="s">
        <v>42</v>
      </c>
      <c r="E31" s="4" t="s">
        <v>41</v>
      </c>
      <c r="F31" s="1" t="s">
        <v>43</v>
      </c>
    </row>
    <row r="32" spans="1:6" ht="15.75" customHeight="1" x14ac:dyDescent="0.25">
      <c r="A32" s="5" t="s">
        <v>166</v>
      </c>
      <c r="B32" s="5" t="s">
        <v>320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321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179</v>
      </c>
      <c r="B34" s="5" t="s">
        <v>320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321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180</v>
      </c>
      <c r="B36" s="5" t="s">
        <v>320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321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181</v>
      </c>
      <c r="B38" s="5" t="s">
        <v>320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321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185</v>
      </c>
      <c r="B40" s="5" t="s">
        <v>320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321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189</v>
      </c>
      <c r="B42" s="5" t="s">
        <v>320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321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LnjPs+tiryCjGlxIcCoc9VYZVK7anRAVHCvKud83EfjtgKW0vUQr2FSI3nvdju1neMs4gxoXRQGAXnwHTy0eGQ==" saltValue="uusuOaSrLiI1eiqZNmtU+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zoomScale="70" zoomScaleNormal="70" workbookViewId="0">
      <selection activeCell="C49" sqref="C49:O61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67</v>
      </c>
      <c r="D1" s="70" t="s">
        <v>77</v>
      </c>
      <c r="E1" s="70" t="s">
        <v>78</v>
      </c>
      <c r="F1" s="70" t="s">
        <v>79</v>
      </c>
      <c r="G1" s="70" t="s">
        <v>80</v>
      </c>
      <c r="H1" s="70" t="s">
        <v>58</v>
      </c>
      <c r="I1" s="70" t="s">
        <v>59</v>
      </c>
      <c r="J1" s="70" t="s">
        <v>60</v>
      </c>
      <c r="K1" s="70" t="s">
        <v>61</v>
      </c>
      <c r="L1" s="70" t="s">
        <v>112</v>
      </c>
      <c r="M1" s="70" t="s">
        <v>113</v>
      </c>
      <c r="N1" s="70" t="s">
        <v>114</v>
      </c>
      <c r="O1" s="70" t="s">
        <v>115</v>
      </c>
    </row>
    <row r="2" spans="1:15" ht="13" customHeight="1" x14ac:dyDescent="0.3">
      <c r="A2" s="4" t="s">
        <v>322</v>
      </c>
    </row>
    <row r="3" spans="1:15" x14ac:dyDescent="0.25">
      <c r="B3" s="11" t="s">
        <v>170</v>
      </c>
      <c r="C3" s="90">
        <v>0.92</v>
      </c>
      <c r="D3" s="90">
        <v>0.53</v>
      </c>
      <c r="E3" s="90">
        <v>1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180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184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188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189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192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323</v>
      </c>
      <c r="B17" s="11"/>
    </row>
    <row r="18" spans="1:15" x14ac:dyDescent="0.25">
      <c r="B18" s="5" t="s">
        <v>172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173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174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182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67</v>
      </c>
      <c r="D24" s="70" t="s">
        <v>77</v>
      </c>
      <c r="E24" s="70" t="s">
        <v>78</v>
      </c>
      <c r="F24" s="70" t="s">
        <v>79</v>
      </c>
      <c r="G24" s="70" t="s">
        <v>80</v>
      </c>
      <c r="H24" s="70" t="s">
        <v>58</v>
      </c>
      <c r="I24" s="70" t="s">
        <v>59</v>
      </c>
      <c r="J24" s="70" t="s">
        <v>60</v>
      </c>
      <c r="K24" s="70" t="s">
        <v>61</v>
      </c>
      <c r="L24" s="70" t="s">
        <v>112</v>
      </c>
      <c r="M24" s="70" t="s">
        <v>113</v>
      </c>
      <c r="N24" s="70" t="s">
        <v>114</v>
      </c>
      <c r="O24" s="70" t="s">
        <v>115</v>
      </c>
    </row>
    <row r="25" spans="1:15" ht="13" customHeight="1" x14ac:dyDescent="0.3">
      <c r="A25" s="4" t="s">
        <v>324</v>
      </c>
    </row>
    <row r="26" spans="1:15" x14ac:dyDescent="0.25">
      <c r="B26" s="11" t="s">
        <v>170</v>
      </c>
      <c r="C26" s="90">
        <v>0.87</v>
      </c>
      <c r="D26" s="90">
        <v>0.4</v>
      </c>
      <c r="E26" s="90">
        <f t="shared" ref="E26:O26" si="0">IF(E3=1,1,E3*0.9)</f>
        <v>1</v>
      </c>
      <c r="F26" s="90">
        <f t="shared" si="0"/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175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176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177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178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179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180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181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184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188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189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192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customHeight="1" x14ac:dyDescent="0.3">
      <c r="A40" s="4" t="s">
        <v>325</v>
      </c>
      <c r="B40" s="11"/>
    </row>
    <row r="41" spans="1:15" x14ac:dyDescent="0.25">
      <c r="B41" s="5" t="s">
        <v>172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173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174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182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239</v>
      </c>
    </row>
    <row r="47" spans="1:15" ht="26" customHeight="1" x14ac:dyDescent="0.3">
      <c r="A47" s="4"/>
      <c r="B47" s="4"/>
      <c r="C47" s="70" t="s">
        <v>67</v>
      </c>
      <c r="D47" s="70" t="s">
        <v>77</v>
      </c>
      <c r="E47" s="70" t="s">
        <v>78</v>
      </c>
      <c r="F47" s="70" t="s">
        <v>79</v>
      </c>
      <c r="G47" s="70" t="s">
        <v>80</v>
      </c>
      <c r="H47" s="70" t="s">
        <v>58</v>
      </c>
      <c r="I47" s="70" t="s">
        <v>59</v>
      </c>
      <c r="J47" s="70" t="s">
        <v>60</v>
      </c>
      <c r="K47" s="70" t="s">
        <v>61</v>
      </c>
      <c r="L47" s="70" t="s">
        <v>112</v>
      </c>
      <c r="M47" s="70" t="s">
        <v>113</v>
      </c>
      <c r="N47" s="70" t="s">
        <v>114</v>
      </c>
      <c r="O47" s="70" t="s">
        <v>115</v>
      </c>
    </row>
    <row r="48" spans="1:15" ht="13" customHeight="1" x14ac:dyDescent="0.3">
      <c r="A48" s="4" t="s">
        <v>326</v>
      </c>
    </row>
    <row r="49" spans="1:15" x14ac:dyDescent="0.25">
      <c r="B49" s="11" t="s">
        <v>170</v>
      </c>
      <c r="C49" s="90">
        <v>0.99</v>
      </c>
      <c r="D49" s="90">
        <v>0.7</v>
      </c>
      <c r="E49" s="90">
        <f t="shared" ref="E49:O49" si="9">IF(E3=1,1,E3*1.05)</f>
        <v>1</v>
      </c>
      <c r="F49" s="90">
        <f t="shared" si="9"/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175</v>
      </c>
      <c r="C50" s="90">
        <f t="shared" ref="C50:G56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176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177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178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179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180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181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184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188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189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192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customHeight="1" x14ac:dyDescent="0.3">
      <c r="A63" s="4" t="s">
        <v>327</v>
      </c>
      <c r="B63" s="11"/>
    </row>
    <row r="64" spans="1:15" x14ac:dyDescent="0.25">
      <c r="B64" s="5" t="s">
        <v>172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173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174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182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Z+I5w7Zv8b/t9kdTHtfTBlYoSm79UCEUpz3ShmnqEGsFIWvoyqli8qZ/O3UtxFRtNUOisgC6wk7M7CD5q+6g2w==" saltValue="qncMJDCOHin5ZX0oUaABD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C49" sqref="C49:O61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</row>
    <row r="2" spans="1:7" ht="13" customHeight="1" x14ac:dyDescent="0.3">
      <c r="A2" s="4" t="s">
        <v>328</v>
      </c>
    </row>
    <row r="3" spans="1:7" ht="13.25" customHeight="1" x14ac:dyDescent="0.25">
      <c r="B3" s="11" t="s">
        <v>157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329</v>
      </c>
      <c r="B4" s="11"/>
      <c r="C4" s="83"/>
      <c r="D4" s="83"/>
      <c r="E4" s="83"/>
      <c r="F4" s="83"/>
      <c r="G4" s="83"/>
    </row>
    <row r="5" spans="1:7" ht="13.25" customHeight="1" x14ac:dyDescent="0.25">
      <c r="B5" s="5" t="s">
        <v>158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330</v>
      </c>
    </row>
    <row r="8" spans="1:7" ht="13" customHeight="1" x14ac:dyDescent="0.3">
      <c r="A8" s="4"/>
      <c r="B8" s="1"/>
      <c r="C8" s="4" t="s">
        <v>67</v>
      </c>
      <c r="D8" s="4" t="s">
        <v>77</v>
      </c>
      <c r="E8" s="4" t="s">
        <v>78</v>
      </c>
      <c r="F8" s="4" t="s">
        <v>79</v>
      </c>
      <c r="G8" s="4" t="s">
        <v>80</v>
      </c>
    </row>
    <row r="9" spans="1:7" ht="13" customHeight="1" x14ac:dyDescent="0.3">
      <c r="A9" s="4" t="s">
        <v>331</v>
      </c>
    </row>
    <row r="10" spans="1:7" ht="13.25" customHeight="1" x14ac:dyDescent="0.25">
      <c r="B10" s="11" t="s">
        <v>157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332</v>
      </c>
      <c r="B11" s="11"/>
      <c r="C11" s="83"/>
      <c r="D11" s="83"/>
      <c r="E11" s="83"/>
      <c r="F11" s="83"/>
      <c r="G11" s="83"/>
    </row>
    <row r="12" spans="1:7" ht="13.25" customHeight="1" x14ac:dyDescent="0.25">
      <c r="B12" s="5" t="s">
        <v>158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333</v>
      </c>
    </row>
    <row r="15" spans="1:7" ht="13" customHeight="1" x14ac:dyDescent="0.3">
      <c r="A15" s="4"/>
      <c r="B15" s="1"/>
      <c r="C15" s="4" t="s">
        <v>67</v>
      </c>
      <c r="D15" s="4" t="s">
        <v>77</v>
      </c>
      <c r="E15" s="4" t="s">
        <v>78</v>
      </c>
      <c r="F15" s="4" t="s">
        <v>79</v>
      </c>
      <c r="G15" s="4" t="s">
        <v>80</v>
      </c>
    </row>
    <row r="16" spans="1:7" ht="13" customHeight="1" x14ac:dyDescent="0.3">
      <c r="A16" s="4" t="s">
        <v>334</v>
      </c>
    </row>
    <row r="17" spans="1:7" ht="13.25" customHeight="1" x14ac:dyDescent="0.25">
      <c r="B17" s="11" t="s">
        <v>157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335</v>
      </c>
      <c r="B18" s="11"/>
      <c r="C18" s="83"/>
      <c r="D18" s="83"/>
      <c r="E18" s="83"/>
      <c r="F18" s="83"/>
      <c r="G18" s="83"/>
    </row>
    <row r="19" spans="1:7" ht="13.25" customHeight="1" x14ac:dyDescent="0.25">
      <c r="B19" s="5" t="s">
        <v>158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TSrwgMfue31l5YKH5YC63gNl/EJnr5ZJbUkDIAIpA9VCbqMkKC4yV7Qlzd02MRVNDQ406JZzgd4mO0azU8HKbQ==" saltValue="P3gP/2fV5vANzIL7NniDMg==" spinCount="100000" sheet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zoomScale="80" zoomScaleNormal="80" workbookViewId="0">
      <selection activeCell="C49" sqref="C49:O61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156</v>
      </c>
      <c r="B1" s="4" t="s">
        <v>336</v>
      </c>
      <c r="C1" s="82" t="s">
        <v>337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8" ht="13.25" customHeight="1" x14ac:dyDescent="0.25">
      <c r="A2" s="5" t="s">
        <v>193</v>
      </c>
      <c r="B2" s="5" t="s">
        <v>81</v>
      </c>
      <c r="C2" s="5" t="s">
        <v>338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ht="13.25" customHeight="1" x14ac:dyDescent="0.25">
      <c r="C3" s="5" t="s">
        <v>339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ht="13.25" customHeight="1" x14ac:dyDescent="0.25">
      <c r="C4" s="5" t="s">
        <v>340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ht="13.25" customHeight="1" x14ac:dyDescent="0.25">
      <c r="A5" s="5" t="s">
        <v>191</v>
      </c>
      <c r="B5" s="5" t="s">
        <v>205</v>
      </c>
      <c r="C5" s="5" t="s">
        <v>338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ht="13.25" customHeight="1" x14ac:dyDescent="0.25">
      <c r="C6" s="5" t="s">
        <v>340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ht="13.25" customHeight="1" x14ac:dyDescent="0.25">
      <c r="B7" s="5" t="s">
        <v>204</v>
      </c>
      <c r="C7" s="5" t="s">
        <v>338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ht="13.25" customHeight="1" x14ac:dyDescent="0.25">
      <c r="C8" s="5" t="s">
        <v>340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ht="13.25" customHeight="1" x14ac:dyDescent="0.25">
      <c r="A9" s="5" t="s">
        <v>184</v>
      </c>
      <c r="B9" s="5" t="s">
        <v>205</v>
      </c>
      <c r="C9" s="5" t="s">
        <v>338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ht="13.25" customHeight="1" x14ac:dyDescent="0.25">
      <c r="C10" s="5" t="s">
        <v>340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ht="13.25" customHeight="1" x14ac:dyDescent="0.25">
      <c r="B11" s="5" t="s">
        <v>204</v>
      </c>
      <c r="C11" s="5" t="s">
        <v>338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ht="13.25" customHeight="1" x14ac:dyDescent="0.25">
      <c r="C12" s="5" t="s">
        <v>340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ht="13.25" customHeight="1" x14ac:dyDescent="0.25">
      <c r="A13" s="5" t="s">
        <v>192</v>
      </c>
      <c r="B13" s="5" t="s">
        <v>205</v>
      </c>
      <c r="C13" s="5" t="s">
        <v>338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ht="13.25" customHeight="1" x14ac:dyDescent="0.25">
      <c r="C14" s="5" t="s">
        <v>340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ht="13.25" customHeight="1" x14ac:dyDescent="0.25">
      <c r="B15" s="5" t="s">
        <v>204</v>
      </c>
      <c r="C15" s="5" t="s">
        <v>338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ht="13.25" customHeight="1" x14ac:dyDescent="0.25">
      <c r="C16" s="5" t="s">
        <v>340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ht="13.25" customHeight="1" x14ac:dyDescent="0.25">
      <c r="A17" s="5" t="s">
        <v>169</v>
      </c>
      <c r="B17" s="5" t="s">
        <v>205</v>
      </c>
      <c r="C17" s="5" t="s">
        <v>338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ht="13.25" customHeight="1" x14ac:dyDescent="0.25">
      <c r="C18" s="5" t="s">
        <v>340</v>
      </c>
      <c r="D18" s="90">
        <v>0</v>
      </c>
      <c r="E18" s="90">
        <v>0</v>
      </c>
      <c r="F18" s="90">
        <f>MIN(MAX(1-0.89/(1-frac_sam_6_11months+(frac_sam_6_11months*0.89)),0),1)</f>
        <v>0.1080033439812077</v>
      </c>
      <c r="G18" s="90">
        <f>MIN(MAX(1-0.89/(1-frac_sam_12_23months+(frac_sam_12_23months*0.89)),0),1)</f>
        <v>0.10854827532362321</v>
      </c>
      <c r="H18" s="90">
        <f>MIN(MAX(1-0.89/(1-frac_sam_24_59months+(frac_sam_24_59months*0.89)),0),1)</f>
        <v>0.1092891289981186</v>
      </c>
    </row>
    <row r="19" spans="1:8" ht="13.25" customHeight="1" x14ac:dyDescent="0.25">
      <c r="B19" s="5" t="s">
        <v>204</v>
      </c>
      <c r="C19" s="5" t="s">
        <v>338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ht="13.25" customHeight="1" x14ac:dyDescent="0.25">
      <c r="C20" s="5" t="s">
        <v>340</v>
      </c>
      <c r="D20" s="90">
        <v>0</v>
      </c>
      <c r="E20" s="90">
        <v>0</v>
      </c>
      <c r="F20" s="90">
        <f>MIN(MAX(1-0.89/(1-frac_mam_6_11months+(frac_mam_6_11months*0.89)),0),1)</f>
        <v>0.10605717218788047</v>
      </c>
      <c r="G20" s="90">
        <f>MIN(MAX(1-0.89/(1-frac_mam_12_23months+(frac_mam_12_23months*0.89)),0),1)</f>
        <v>0.10763519489478446</v>
      </c>
      <c r="H20" s="90">
        <f>MIN(MAX(1-0.89/(1-frac_mam_24_59months+(frac_mam_24_59months*0.89)),0),1)</f>
        <v>0.10916174525491773</v>
      </c>
    </row>
    <row r="21" spans="1:8" x14ac:dyDescent="0.25">
      <c r="A21" s="5" t="s">
        <v>174</v>
      </c>
      <c r="B21" s="5" t="s">
        <v>74</v>
      </c>
      <c r="C21" s="5" t="s">
        <v>338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339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172</v>
      </c>
      <c r="B23" s="5" t="s">
        <v>74</v>
      </c>
      <c r="C23" s="5" t="s">
        <v>338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339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173</v>
      </c>
      <c r="B25" s="5" t="s">
        <v>74</v>
      </c>
      <c r="C25" s="5" t="s">
        <v>338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339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197</v>
      </c>
      <c r="B27" s="5" t="s">
        <v>81</v>
      </c>
      <c r="C27" s="5" t="s">
        <v>338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339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C29" s="5" t="s">
        <v>340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198</v>
      </c>
      <c r="B30" s="5" t="s">
        <v>81</v>
      </c>
      <c r="C30" s="5" t="s">
        <v>338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339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340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196</v>
      </c>
      <c r="B33" s="5" t="s">
        <v>81</v>
      </c>
      <c r="C33" s="5" t="s">
        <v>338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339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340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195</v>
      </c>
      <c r="B36" s="5" t="s">
        <v>81</v>
      </c>
      <c r="C36" s="5" t="s">
        <v>338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339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340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194</v>
      </c>
      <c r="B39" s="5" t="s">
        <v>81</v>
      </c>
      <c r="C39" s="5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339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340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200</v>
      </c>
      <c r="B42" s="5" t="s">
        <v>81</v>
      </c>
      <c r="C42" s="5" t="s">
        <v>338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339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340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82</v>
      </c>
      <c r="C45" s="5" t="s">
        <v>338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339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340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190</v>
      </c>
      <c r="B48" s="5" t="s">
        <v>81</v>
      </c>
      <c r="C48" s="5" t="s">
        <v>338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339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199</v>
      </c>
      <c r="B50" s="5" t="s">
        <v>81</v>
      </c>
      <c r="C50" s="5" t="s">
        <v>338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339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183</v>
      </c>
      <c r="B52" s="5" t="s">
        <v>72</v>
      </c>
      <c r="C52" s="5" t="s">
        <v>338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339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330</v>
      </c>
      <c r="B55" s="97"/>
      <c r="C55" s="97"/>
    </row>
    <row r="56" spans="1:8" ht="13" customHeight="1" x14ac:dyDescent="0.3">
      <c r="A56" s="4" t="s">
        <v>156</v>
      </c>
      <c r="B56" s="4" t="s">
        <v>336</v>
      </c>
      <c r="C56" s="82" t="s">
        <v>337</v>
      </c>
      <c r="D56" s="4" t="s">
        <v>67</v>
      </c>
      <c r="E56" s="4" t="s">
        <v>77</v>
      </c>
      <c r="F56" s="4" t="s">
        <v>78</v>
      </c>
      <c r="G56" s="4" t="s">
        <v>79</v>
      </c>
      <c r="H56" s="4" t="s">
        <v>80</v>
      </c>
    </row>
    <row r="57" spans="1:8" x14ac:dyDescent="0.25">
      <c r="A57" s="5" t="s">
        <v>193</v>
      </c>
      <c r="B57" s="5" t="s">
        <v>81</v>
      </c>
      <c r="C57" s="5" t="s">
        <v>338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339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340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191</v>
      </c>
      <c r="B60" s="5" t="s">
        <v>205</v>
      </c>
      <c r="C60" s="5" t="s">
        <v>338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340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204</v>
      </c>
      <c r="C62" s="5" t="s">
        <v>338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340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184</v>
      </c>
      <c r="B64" s="5" t="s">
        <v>205</v>
      </c>
      <c r="C64" s="5" t="s">
        <v>338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340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204</v>
      </c>
      <c r="C66" s="5" t="s">
        <v>338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340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192</v>
      </c>
      <c r="B68" s="5" t="s">
        <v>205</v>
      </c>
      <c r="C68" s="5" t="s">
        <v>338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340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204</v>
      </c>
      <c r="C70" s="5" t="s">
        <v>338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340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169</v>
      </c>
      <c r="B72" s="5" t="s">
        <v>205</v>
      </c>
      <c r="C72" s="5" t="s">
        <v>338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340</v>
      </c>
      <c r="D73" s="90">
        <f t="shared" si="0"/>
        <v>0</v>
      </c>
      <c r="E73" s="90">
        <f t="shared" si="0"/>
        <v>0</v>
      </c>
      <c r="F73" s="90">
        <f>MIN(MAX(1-0.99/(1-frac_sam_6_11months+(frac_sam_6_11months*0.99)),0),1)</f>
        <v>9.7985019167521337E-3</v>
      </c>
      <c r="G73" s="90">
        <f>MIN(MAX(1-0.99/(1-frac_sam_12_23months+(frac_sam_12_23months*0.99)),0),1)</f>
        <v>9.8534137486384621E-3</v>
      </c>
      <c r="H73" s="90">
        <f>MIN(MAX(1-0.99/(1-frac_sam_24_59months+(frac_sam_24_59months*0.99)),0),1)</f>
        <v>9.9281663281797217E-3</v>
      </c>
    </row>
    <row r="74" spans="1:8" x14ac:dyDescent="0.25">
      <c r="B74" s="5" t="s">
        <v>204</v>
      </c>
      <c r="C74" s="5" t="s">
        <v>338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340</v>
      </c>
      <c r="D75" s="90">
        <f t="shared" si="0"/>
        <v>0</v>
      </c>
      <c r="E75" s="90">
        <f t="shared" si="0"/>
        <v>0</v>
      </c>
      <c r="F75" s="90">
        <f>MIN(MAX(1-0.99/(1-frac_mam_6_11months+(frac_mam_6_11months*0.99)),0),1)</f>
        <v>9.6028864117472246E-3</v>
      </c>
      <c r="G75" s="90">
        <f>MIN(MAX(1-0.99/(1-frac_mam_12_23months+(frac_mam_12_23months*0.99)),0),1)</f>
        <v>9.7614386574712553E-3</v>
      </c>
      <c r="H75" s="90">
        <f>MIN(MAX(1-0.99/(1-frac_mam_24_59months+(frac_mam_24_59months*0.99)),0),1)</f>
        <v>9.9153051849514284E-3</v>
      </c>
    </row>
    <row r="76" spans="1:8" x14ac:dyDescent="0.25">
      <c r="A76" s="5" t="s">
        <v>174</v>
      </c>
      <c r="B76" s="5" t="s">
        <v>74</v>
      </c>
      <c r="C76" s="5" t="s">
        <v>338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339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172</v>
      </c>
      <c r="B78" s="5" t="s">
        <v>74</v>
      </c>
      <c r="C78" s="5" t="s">
        <v>338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339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173</v>
      </c>
      <c r="B80" s="5" t="s">
        <v>74</v>
      </c>
      <c r="C80" s="5" t="s">
        <v>338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339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197</v>
      </c>
      <c r="B82" s="5" t="s">
        <v>81</v>
      </c>
      <c r="C82" s="5" t="s">
        <v>338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339</v>
      </c>
      <c r="D83" s="90">
        <v>0</v>
      </c>
      <c r="E83" s="90">
        <v>0</v>
      </c>
      <c r="F83" s="90">
        <v>0</v>
      </c>
      <c r="G83" s="90">
        <v>0</v>
      </c>
      <c r="H83" s="90">
        <v>0</v>
      </c>
    </row>
    <row r="84" spans="1:8" x14ac:dyDescent="0.25">
      <c r="C84" s="5" t="s">
        <v>340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198</v>
      </c>
      <c r="B85" s="5" t="s">
        <v>81</v>
      </c>
      <c r="C85" s="5" t="s">
        <v>338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339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340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196</v>
      </c>
      <c r="B88" s="5" t="s">
        <v>81</v>
      </c>
      <c r="C88" s="5" t="s">
        <v>338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339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340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195</v>
      </c>
      <c r="B91" s="5" t="s">
        <v>81</v>
      </c>
      <c r="C91" s="5" t="s">
        <v>338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339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340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194</v>
      </c>
      <c r="B94" s="5" t="s">
        <v>81</v>
      </c>
      <c r="C94" s="5" t="s">
        <v>338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339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340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200</v>
      </c>
      <c r="B97" s="5" t="s">
        <v>81</v>
      </c>
      <c r="C97" s="5" t="s">
        <v>338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339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340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82</v>
      </c>
      <c r="C100" s="5" t="s">
        <v>338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339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340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190</v>
      </c>
      <c r="B103" s="5" t="s">
        <v>81</v>
      </c>
      <c r="C103" s="5" t="s">
        <v>338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339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199</v>
      </c>
      <c r="B105" s="5" t="s">
        <v>81</v>
      </c>
      <c r="C105" s="5" t="s">
        <v>338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339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183</v>
      </c>
      <c r="B107" s="5" t="s">
        <v>72</v>
      </c>
      <c r="C107" s="5" t="s">
        <v>338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339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333</v>
      </c>
      <c r="B110" s="97"/>
      <c r="C110" s="97"/>
    </row>
    <row r="111" spans="1:8" ht="13" customHeight="1" x14ac:dyDescent="0.3">
      <c r="A111" s="4" t="s">
        <v>156</v>
      </c>
      <c r="B111" s="4" t="s">
        <v>336</v>
      </c>
      <c r="C111" s="82" t="s">
        <v>337</v>
      </c>
      <c r="D111" s="4" t="s">
        <v>67</v>
      </c>
      <c r="E111" s="4" t="s">
        <v>77</v>
      </c>
      <c r="F111" s="4" t="s">
        <v>78</v>
      </c>
      <c r="G111" s="4" t="s">
        <v>79</v>
      </c>
      <c r="H111" s="4" t="s">
        <v>80</v>
      </c>
    </row>
    <row r="112" spans="1:8" x14ac:dyDescent="0.25">
      <c r="A112" s="5" t="s">
        <v>193</v>
      </c>
      <c r="B112" s="5" t="s">
        <v>81</v>
      </c>
      <c r="C112" s="5" t="s">
        <v>338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339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340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191</v>
      </c>
      <c r="B115" s="5" t="s">
        <v>205</v>
      </c>
      <c r="C115" s="5" t="s">
        <v>338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340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204</v>
      </c>
      <c r="C117" s="5" t="s">
        <v>338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340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184</v>
      </c>
      <c r="B119" s="5" t="s">
        <v>205</v>
      </c>
      <c r="C119" s="5" t="s">
        <v>338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340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204</v>
      </c>
      <c r="C121" s="5" t="s">
        <v>338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340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192</v>
      </c>
      <c r="B123" s="5" t="s">
        <v>205</v>
      </c>
      <c r="C123" s="5" t="s">
        <v>338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340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204</v>
      </c>
      <c r="C125" s="5" t="s">
        <v>338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340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169</v>
      </c>
      <c r="B127" s="5" t="s">
        <v>205</v>
      </c>
      <c r="C127" s="5" t="s">
        <v>338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340</v>
      </c>
      <c r="D128" s="90">
        <f t="shared" si="3"/>
        <v>0</v>
      </c>
      <c r="E128" s="90">
        <f t="shared" si="3"/>
        <v>0</v>
      </c>
      <c r="F128" s="90">
        <f>MIN(MAX(1-0.8/(1-frac_sam_6_11months+(frac_sam_6_11months*0.8)),0),1)</f>
        <v>0.19673082297256661</v>
      </c>
      <c r="G128" s="90">
        <f>MIN(MAX(1-0.8/(1-frac_sam_12_23months+(frac_sam_12_23months*0.8)),0),1)</f>
        <v>0.19762424562888248</v>
      </c>
      <c r="H128" s="90">
        <f>MIN(MAX(1-0.8/(1-frac_sam_24_59months+(frac_sam_24_59months*0.8)),0),1)</f>
        <v>0.198837449045561</v>
      </c>
    </row>
    <row r="129" spans="1:8" x14ac:dyDescent="0.25">
      <c r="B129" s="5" t="s">
        <v>204</v>
      </c>
      <c r="C129" s="5" t="s">
        <v>338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340</v>
      </c>
      <c r="D130" s="90">
        <f t="shared" si="3"/>
        <v>0</v>
      </c>
      <c r="E130" s="90">
        <f t="shared" si="3"/>
        <v>0</v>
      </c>
      <c r="F130" s="90">
        <f>MIN(MAX(1-0.8/(1-frac_mam_6_11months+(frac_mam_6_11months*0.8)),0),1)</f>
        <v>0.19353271301482544</v>
      </c>
      <c r="G130" s="90">
        <f>MIN(MAX(1-0.8/(1-frac_mam_12_23months+(frac_mam_12_23months*0.8)),0),1)</f>
        <v>0.19612672957604693</v>
      </c>
      <c r="H130" s="90">
        <f>MIN(MAX(1-0.8/(1-frac_mam_24_59months+(frac_mam_24_59months*0.8)),0),1)</f>
        <v>0.19862896635337535</v>
      </c>
    </row>
    <row r="131" spans="1:8" x14ac:dyDescent="0.25">
      <c r="A131" s="5" t="s">
        <v>174</v>
      </c>
      <c r="B131" s="5" t="s">
        <v>74</v>
      </c>
      <c r="C131" s="5" t="s">
        <v>338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339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172</v>
      </c>
      <c r="B133" s="5" t="s">
        <v>74</v>
      </c>
      <c r="C133" s="5" t="s">
        <v>338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339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173</v>
      </c>
      <c r="B135" s="5" t="s">
        <v>74</v>
      </c>
      <c r="C135" s="5" t="s">
        <v>338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339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197</v>
      </c>
      <c r="B137" s="5" t="s">
        <v>81</v>
      </c>
      <c r="C137" s="5" t="s">
        <v>338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339</v>
      </c>
      <c r="D138" s="90">
        <v>0</v>
      </c>
      <c r="E138" s="90">
        <v>0</v>
      </c>
      <c r="F138" s="90">
        <v>0</v>
      </c>
      <c r="G138" s="90">
        <v>0</v>
      </c>
      <c r="H138" s="90">
        <v>0</v>
      </c>
    </row>
    <row r="139" spans="1:8" x14ac:dyDescent="0.25">
      <c r="C139" s="5" t="s">
        <v>340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198</v>
      </c>
      <c r="B140" s="5" t="s">
        <v>81</v>
      </c>
      <c r="C140" s="5" t="s">
        <v>338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339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340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196</v>
      </c>
      <c r="B143" s="5" t="s">
        <v>81</v>
      </c>
      <c r="C143" s="5" t="s">
        <v>338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339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340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195</v>
      </c>
      <c r="B146" s="5" t="s">
        <v>81</v>
      </c>
      <c r="C146" s="5" t="s">
        <v>338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339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340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194</v>
      </c>
      <c r="B149" s="5" t="s">
        <v>81</v>
      </c>
      <c r="C149" s="5" t="s">
        <v>338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339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340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200</v>
      </c>
      <c r="B152" s="5" t="s">
        <v>81</v>
      </c>
      <c r="C152" s="5" t="s">
        <v>338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339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340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82</v>
      </c>
      <c r="C155" s="5" t="s">
        <v>338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339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340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190</v>
      </c>
      <c r="B158" s="5" t="s">
        <v>81</v>
      </c>
      <c r="C158" s="5" t="s">
        <v>338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339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199</v>
      </c>
      <c r="B160" s="5" t="s">
        <v>81</v>
      </c>
      <c r="C160" s="5" t="s">
        <v>338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339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183</v>
      </c>
      <c r="B162" s="5" t="s">
        <v>72</v>
      </c>
      <c r="C162" s="5" t="s">
        <v>338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339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ogxQtq/9g6OeNkiNBs6ghJq8+LdVqsoK1CbSDtbSeFSK0ebg4cqAnXfIn86tuaNowgHjhLbE7woQSAqVYa5K1w==" saltValue="QFHNUEWTAfsZg09RvHfUX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C49" sqref="C49:O61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156</v>
      </c>
      <c r="B1" s="1" t="s">
        <v>336</v>
      </c>
      <c r="C1" s="1"/>
      <c r="D1" s="4" t="s">
        <v>112</v>
      </c>
      <c r="E1" s="4" t="s">
        <v>113</v>
      </c>
      <c r="F1" s="4" t="s">
        <v>114</v>
      </c>
      <c r="G1" s="4" t="s">
        <v>115</v>
      </c>
      <c r="H1" s="4"/>
    </row>
    <row r="2" spans="1:8" ht="13.25" customHeight="1" x14ac:dyDescent="0.25">
      <c r="A2" s="3" t="s">
        <v>168</v>
      </c>
      <c r="B2" s="8" t="s">
        <v>94</v>
      </c>
      <c r="C2" s="3" t="s">
        <v>338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ht="13.25" customHeight="1" x14ac:dyDescent="0.25">
      <c r="C3" s="8" t="s">
        <v>339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ht="13.25" customHeight="1" x14ac:dyDescent="0.25">
      <c r="A4" s="3" t="s">
        <v>187</v>
      </c>
      <c r="B4" s="8" t="s">
        <v>94</v>
      </c>
      <c r="C4" s="3" t="s">
        <v>338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ht="13.25" customHeight="1" x14ac:dyDescent="0.25">
      <c r="C5" s="8" t="s">
        <v>339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ht="13.25" customHeight="1" x14ac:dyDescent="0.25">
      <c r="A6" s="3" t="s">
        <v>186</v>
      </c>
      <c r="B6" s="8" t="s">
        <v>94</v>
      </c>
      <c r="C6" s="3" t="s">
        <v>338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ht="13.25" customHeight="1" x14ac:dyDescent="0.25">
      <c r="C7" s="8" t="s">
        <v>339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330</v>
      </c>
    </row>
    <row r="10" spans="1:8" ht="13" customHeight="1" x14ac:dyDescent="0.3">
      <c r="A10" s="1" t="s">
        <v>156</v>
      </c>
      <c r="B10" s="1" t="s">
        <v>336</v>
      </c>
      <c r="C10" s="1"/>
      <c r="D10" s="4" t="s">
        <v>112</v>
      </c>
      <c r="E10" s="4" t="s">
        <v>113</v>
      </c>
      <c r="F10" s="4" t="s">
        <v>114</v>
      </c>
      <c r="G10" s="4" t="s">
        <v>115</v>
      </c>
    </row>
    <row r="11" spans="1:8" ht="13.25" customHeight="1" x14ac:dyDescent="0.25">
      <c r="A11" s="3" t="s">
        <v>168</v>
      </c>
      <c r="B11" s="8" t="s">
        <v>94</v>
      </c>
      <c r="C11" s="3" t="s">
        <v>338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ht="13.25" customHeight="1" x14ac:dyDescent="0.25">
      <c r="C12" s="8" t="s">
        <v>339</v>
      </c>
      <c r="D12" s="90">
        <v>0</v>
      </c>
      <c r="E12" s="90">
        <v>0</v>
      </c>
      <c r="F12" s="90">
        <v>0</v>
      </c>
      <c r="G12" s="90">
        <v>0</v>
      </c>
    </row>
    <row r="13" spans="1:8" ht="13.25" customHeight="1" x14ac:dyDescent="0.25">
      <c r="A13" s="3" t="s">
        <v>187</v>
      </c>
      <c r="B13" s="8" t="s">
        <v>94</v>
      </c>
      <c r="C13" s="3" t="s">
        <v>338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ht="13.25" customHeight="1" x14ac:dyDescent="0.25">
      <c r="C14" s="8" t="s">
        <v>339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ht="13.25" customHeight="1" x14ac:dyDescent="0.25">
      <c r="A15" s="3" t="s">
        <v>186</v>
      </c>
      <c r="B15" s="8" t="s">
        <v>94</v>
      </c>
      <c r="C15" s="3" t="s">
        <v>338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ht="13.25" customHeight="1" x14ac:dyDescent="0.25">
      <c r="C16" s="8" t="s">
        <v>339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333</v>
      </c>
    </row>
    <row r="19" spans="1:7" ht="13" customHeight="1" x14ac:dyDescent="0.3">
      <c r="A19" s="1" t="s">
        <v>156</v>
      </c>
      <c r="B19" s="1" t="s">
        <v>336</v>
      </c>
      <c r="C19" s="1"/>
      <c r="D19" s="4" t="s">
        <v>112</v>
      </c>
      <c r="E19" s="4" t="s">
        <v>113</v>
      </c>
      <c r="F19" s="4" t="s">
        <v>114</v>
      </c>
      <c r="G19" s="4" t="s">
        <v>115</v>
      </c>
    </row>
    <row r="20" spans="1:7" x14ac:dyDescent="0.25">
      <c r="A20" s="3" t="s">
        <v>168</v>
      </c>
      <c r="B20" s="8" t="s">
        <v>94</v>
      </c>
      <c r="C20" s="3" t="s">
        <v>338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x14ac:dyDescent="0.25">
      <c r="C21" s="8" t="s">
        <v>339</v>
      </c>
      <c r="D21" s="90">
        <v>0</v>
      </c>
      <c r="E21" s="90">
        <v>0</v>
      </c>
      <c r="F21" s="90">
        <v>0</v>
      </c>
      <c r="G21" s="90">
        <v>0</v>
      </c>
    </row>
    <row r="22" spans="1:7" x14ac:dyDescent="0.25">
      <c r="A22" s="3" t="s">
        <v>187</v>
      </c>
      <c r="B22" s="8" t="s">
        <v>94</v>
      </c>
      <c r="C22" s="3" t="s">
        <v>338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x14ac:dyDescent="0.25">
      <c r="C23" s="8" t="s">
        <v>339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x14ac:dyDescent="0.25">
      <c r="A24" s="3" t="s">
        <v>186</v>
      </c>
      <c r="B24" s="8" t="s">
        <v>94</v>
      </c>
      <c r="C24" s="3" t="s">
        <v>338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x14ac:dyDescent="0.25">
      <c r="C25" s="8" t="s">
        <v>339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bFi4UO/MYSy1ocOot5y7JdpTLSj3VYrhdtuVEmlekdzp7NtFBQZX4yNIi9A9S9nFic+mLseFiB4QMgSz7PmPmQ==" saltValue="0Yi1KsKDfpD+pl5y1FWoHw==" spinCount="100000" sheet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Baseline year population inputs</vt:lpstr>
      <vt:lpstr>Demographic projections</vt:lpstr>
      <vt:lpstr>Causes of death</vt:lpstr>
      <vt:lpstr>Nutritional status distribution</vt:lpstr>
      <vt:lpstr>Breastfeeding distribution</vt:lpstr>
      <vt:lpstr>Time trends</vt:lpstr>
      <vt:lpstr>Economic loss</vt:lpstr>
      <vt:lpstr>IYCF packages</vt:lpstr>
      <vt:lpstr>Treatment of SAM</vt:lpstr>
      <vt:lpstr>Programs cost and coverage</vt:lpstr>
      <vt:lpstr>Program dependencies</vt:lpstr>
      <vt:lpstr>Reference programs</vt:lpstr>
      <vt:lpstr>Incidence of conditions</vt:lpstr>
      <vt:lpstr>Programs target population</vt:lpstr>
      <vt:lpstr>Cost curve options</vt:lpstr>
      <vt:lpstr>Programs family planning</vt:lpstr>
      <vt:lpstr>Programs impacted population</vt:lpstr>
      <vt:lpstr>Program risk areas</vt:lpstr>
      <vt:lpstr>Population risk areas</vt:lpstr>
      <vt:lpstr>IYCF odds ratios</vt:lpstr>
      <vt:lpstr>Birth outcome risks</vt:lpstr>
      <vt:lpstr>Relative risks</vt:lpstr>
      <vt:lpstr>Odds ratios</vt:lpstr>
      <vt:lpstr>Programs birth outcomes</vt:lpstr>
      <vt:lpstr>Programs anaemia</vt:lpstr>
      <vt:lpstr>Programs wasting</vt:lpstr>
      <vt:lpstr>Programs for children</vt:lpstr>
      <vt:lpstr>Programs for PW</vt:lpstr>
      <vt:lpstr>'IYCF packages'!abortion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'IYCF packages'!stillbirth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lastModifiedBy>Tharindu Wickramaarachchi</cp:lastModifiedBy>
  <dcterms:created xsi:type="dcterms:W3CDTF">2017-08-01T10:42:13Z</dcterms:created>
  <dcterms:modified xsi:type="dcterms:W3CDTF">2024-06-18T06:55:48Z</dcterms:modified>
</cp:coreProperties>
</file>