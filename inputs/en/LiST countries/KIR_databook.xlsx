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1F3C2E7-5F17-49B8-9F4E-F9A14711F74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32" i="2"/>
  <c r="A31" i="2"/>
  <c r="A29" i="2"/>
  <c r="A27" i="2"/>
  <c r="A24" i="2"/>
  <c r="A23" i="2"/>
  <c r="A21" i="2"/>
  <c r="A19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7" i="2" l="1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<sst xmlns="http://schemas.openxmlformats.org/spreadsheetml/2006/main" count="2101" uniqueCount="341">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</sst>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16735.925537109379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101">
        <v>4.3596400000000077E-2</v>
      </c>
    </row>
    <row r="5" spans="1:8" ht="15.75" customHeight="1" x14ac:dyDescent="0.25">
      <c r="B5" s="19" t="s">
        <v>70</v>
      </c>
      <c r="C5" s="101">
        <v>6.4211200000000065E-2</v>
      </c>
    </row>
    <row r="6" spans="1:8" ht="15.75" customHeight="1" x14ac:dyDescent="0.25">
      <c r="B6" s="19" t="s">
        <v>71</v>
      </c>
      <c r="C6" s="101">
        <v>0.23054500000000039</v>
      </c>
    </row>
    <row r="7" spans="1:8" ht="15.75" customHeight="1" x14ac:dyDescent="0.25">
      <c r="B7" s="19" t="s">
        <v>72</v>
      </c>
      <c r="C7" s="101">
        <v>0.41386899999999921</v>
      </c>
    </row>
    <row r="8" spans="1:8" ht="15.75" customHeight="1" x14ac:dyDescent="0.25">
      <c r="B8" s="19" t="s">
        <v>73</v>
      </c>
      <c r="C8" s="101">
        <v>1.0072000000000011E-3</v>
      </c>
    </row>
    <row r="9" spans="1:8" ht="15.75" customHeight="1" x14ac:dyDescent="0.25">
      <c r="B9" s="19" t="s">
        <v>74</v>
      </c>
      <c r="C9" s="101">
        <v>0.1080942</v>
      </c>
    </row>
    <row r="10" spans="1:8" ht="15.75" customHeight="1" x14ac:dyDescent="0.25">
      <c r="B10" s="19" t="s">
        <v>75</v>
      </c>
      <c r="C10" s="101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83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89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41.719855648336448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44.789305247946928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158.70578687466161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2.172624196694712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0.195379</v>
      </c>
      <c r="C10" s="98">
        <v>0.95</v>
      </c>
      <c r="D10" s="56">
        <v>14.31436711706729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14.31436711706729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14.31436711706729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14.31436711706729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0.195379</v>
      </c>
      <c r="C14" s="98">
        <v>0.95</v>
      </c>
      <c r="D14" s="56">
        <v>14.31436711706729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14.31436711706729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0.37065239935599892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0.62829849999999998</v>
      </c>
      <c r="C18" s="98">
        <v>0.95</v>
      </c>
      <c r="D18" s="56">
        <v>3.7356966196012209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0.62829849999999998</v>
      </c>
      <c r="C19" s="98">
        <v>0.95</v>
      </c>
      <c r="D19" s="56">
        <v>3.7356966196012209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21.53623251599171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24.468800057211059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4.7368458458873084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0.61590661134138003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0.195379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20.098178904392949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0.6128325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9.3018500000000004E-2</v>
      </c>
      <c r="C29" s="98">
        <v>0.95</v>
      </c>
      <c r="D29" s="56">
        <v>76.423918391184941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4.0044889616495247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0.37</v>
      </c>
      <c r="C32" s="98">
        <v>0.95</v>
      </c>
      <c r="D32" s="56">
        <v>0.75019485502059058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0.55683169999999993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5.30184E-2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2.0643499999999999E-2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0.41100759999999997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0.1351242</v>
      </c>
      <c r="C38" s="98">
        <v>0.95</v>
      </c>
      <c r="D38" s="56">
        <v>5.8546499383283868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205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0.1080033439812077</v>
      </c>
      <c r="G18" s="90">
        <f>MIN(MAX(1-0.89/(1-frac_sam_12_23months+(frac_sam_12_23months*0.89)),0),1)</f>
        <v>0.10854827532362321</v>
      </c>
      <c r="H18" s="90">
        <f>MIN(MAX(1-0.89/(1-frac_sam_24_59months+(frac_sam_24_59months*0.89)),0),1)</f>
        <v>0.1092891289981186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0.10605717218788047</v>
      </c>
      <c r="G20" s="90">
        <f>MIN(MAX(1-0.89/(1-frac_mam_12_23months+(frac_mam_12_23months*0.89)),0),1)</f>
        <v>0.10763519489478446</v>
      </c>
      <c r="H20" s="90">
        <f>MIN(MAX(1-0.89/(1-frac_mam_24_59months+(frac_mam_24_59months*0.89)),0),1)</f>
        <v>0.10916174525491773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9.7985019167521337E-3</v>
      </c>
      <c r="G73" s="90">
        <f>MIN(MAX(1-0.99/(1-frac_sam_12_23months+(frac_sam_12_23months*0.99)),0),1)</f>
        <v>9.8534137486384621E-3</v>
      </c>
      <c r="H73" s="90">
        <f>MIN(MAX(1-0.99/(1-frac_sam_24_59months+(frac_sam_24_59months*0.99)),0),1)</f>
        <v>9.9281663281797217E-3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9.6028864117472246E-3</v>
      </c>
      <c r="G75" s="90">
        <f>MIN(MAX(1-0.99/(1-frac_mam_12_23months+(frac_mam_12_23months*0.99)),0),1)</f>
        <v>9.7614386574712553E-3</v>
      </c>
      <c r="H75" s="90">
        <f>MIN(MAX(1-0.99/(1-frac_mam_24_59months+(frac_mam_24_59months*0.99)),0),1)</f>
        <v>9.9153051849514284E-3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0.19673082297256661</v>
      </c>
      <c r="G128" s="90">
        <f>MIN(MAX(1-0.8/(1-frac_sam_12_23months+(frac_sam_12_23months*0.8)),0),1)</f>
        <v>0.19762424562888248</v>
      </c>
      <c r="H128" s="90">
        <f>MIN(MAX(1-0.8/(1-frac_sam_24_59months+(frac_sam_24_59months*0.8)),0),1)</f>
        <v>0.198837449045561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0.19353271301482544</v>
      </c>
      <c r="G130" s="90">
        <f>MIN(MAX(1-0.8/(1-frac_mam_12_23months+(frac_mam_12_23months*0.8)),0),1)</f>
        <v>0.19612672957604693</v>
      </c>
      <c r="H130" s="90">
        <f>MIN(MAX(1-0.8/(1-frac_mam_24_59months+(frac_mam_24_59months*0.8)),0),1)</f>
        <v>0.19862896635337535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2024-08-06T06:31:42Z</dcterms:modified>
</cp:coreProperties>
</file>