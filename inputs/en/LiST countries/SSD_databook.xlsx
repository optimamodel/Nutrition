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574019F-F95B-4B2E-8441-96C61382E6C1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<sst xmlns="http://schemas.openxmlformats.org/spreadsheetml/2006/main" count="2092" uniqueCount="341">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</sst>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1471007.40625</v>
      </c>
    </row>
    <row r="8" spans="1:3" ht="15" customHeight="1" x14ac:dyDescent="0.25">
      <c r="B8" s="5" t="s">
        <v>8</v>
      </c>
      <c r="C8" s="44">
        <v>0.42699999999999999</v>
      </c>
    </row>
    <row r="9" spans="1:3" ht="15" customHeight="1" x14ac:dyDescent="0.25">
      <c r="B9" s="5" t="s">
        <v>9</v>
      </c>
      <c r="C9" s="45">
        <v>0.39</v>
      </c>
    </row>
    <row r="10" spans="1:3" ht="15" customHeight="1" x14ac:dyDescent="0.25">
      <c r="B10" s="5" t="s">
        <v>10</v>
      </c>
      <c r="C10" s="45">
        <v>4.0349397659301803E-2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6.7500000000000004E-2</v>
      </c>
    </row>
    <row r="24" spans="1:3" ht="15" customHeight="1" x14ac:dyDescent="0.25">
      <c r="B24" s="15" t="s">
        <v>22</v>
      </c>
      <c r="C24" s="45">
        <v>0.51</v>
      </c>
    </row>
    <row r="25" spans="1:3" ht="15" customHeight="1" x14ac:dyDescent="0.25">
      <c r="B25" s="15" t="s">
        <v>23</v>
      </c>
      <c r="C25" s="45">
        <v>0.32150000000000001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39.626449999999998</v>
      </c>
    </row>
    <row r="38" spans="1:5" ht="15" customHeight="1" x14ac:dyDescent="0.25">
      <c r="B38" s="11" t="s">
        <v>34</v>
      </c>
      <c r="C38" s="43">
        <v>63.756</v>
      </c>
      <c r="D38" s="12"/>
      <c r="E38" s="13"/>
    </row>
    <row r="39" spans="1:5" ht="15" customHeight="1" x14ac:dyDescent="0.25">
      <c r="B39" s="11" t="s">
        <v>35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100">
        <v>12.23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7.9325000000000003E-3</v>
      </c>
      <c r="D45" s="12"/>
    </row>
    <row r="46" spans="1:5" ht="15.75" customHeight="1" x14ac:dyDescent="0.25">
      <c r="B46" s="11" t="s">
        <v>41</v>
      </c>
      <c r="C46" s="45">
        <v>8.5233500000000004E-2</v>
      </c>
      <c r="D46" s="12"/>
    </row>
    <row r="47" spans="1:5" ht="15.75" customHeight="1" x14ac:dyDescent="0.25">
      <c r="B47" s="11" t="s">
        <v>42</v>
      </c>
      <c r="C47" s="45">
        <v>7.3456999999999995E-2</v>
      </c>
      <c r="D47" s="12"/>
      <c r="E47" s="13"/>
    </row>
    <row r="48" spans="1:5" ht="15" customHeight="1" x14ac:dyDescent="0.25">
      <c r="B48" s="11" t="s">
        <v>43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492631.71040000021</v>
      </c>
      <c r="C2" s="49">
        <v>792000</v>
      </c>
      <c r="D2" s="49">
        <v>1320000</v>
      </c>
      <c r="E2" s="49">
        <v>1477000</v>
      </c>
      <c r="F2" s="49">
        <v>1606000</v>
      </c>
      <c r="G2" s="17">
        <f t="shared" ref="G2:G13" si="0">C2+D2+E2+F2</f>
        <v>5195000</v>
      </c>
      <c r="H2" s="17">
        <f t="shared" ref="H2:H13" si="1">(B2 + stillbirth*B2/(1000-stillbirth))/(1-abortion)</f>
        <v>574658.71890393016</v>
      </c>
      <c r="I2" s="17">
        <f t="shared" ref="I2:I13" si="2">G2-H2</f>
        <v>4620341.2810960701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498212.99</v>
      </c>
      <c r="C3" s="50">
        <v>809000</v>
      </c>
      <c r="D3" s="50">
        <v>1352000</v>
      </c>
      <c r="E3" s="50">
        <v>1457000</v>
      </c>
      <c r="F3" s="50">
        <v>1608000</v>
      </c>
      <c r="G3" s="17">
        <f t="shared" si="0"/>
        <v>5226000</v>
      </c>
      <c r="H3" s="17">
        <f t="shared" si="1"/>
        <v>581169.32493490668</v>
      </c>
      <c r="I3" s="17">
        <f t="shared" si="2"/>
        <v>4644830.6750650937</v>
      </c>
    </row>
    <row r="4" spans="1:9" ht="15.75" customHeight="1" x14ac:dyDescent="0.25">
      <c r="A4" s="5">
        <f t="shared" si="3"/>
        <v>2026</v>
      </c>
      <c r="B4" s="49">
        <v>503346.44819999998</v>
      </c>
      <c r="C4" s="50">
        <v>826000</v>
      </c>
      <c r="D4" s="50">
        <v>1382000</v>
      </c>
      <c r="E4" s="50">
        <v>1443000</v>
      </c>
      <c r="F4" s="50">
        <v>1602000</v>
      </c>
      <c r="G4" s="17">
        <f t="shared" si="0"/>
        <v>5253000</v>
      </c>
      <c r="H4" s="17">
        <f t="shared" si="1"/>
        <v>587157.54382232577</v>
      </c>
      <c r="I4" s="17">
        <f t="shared" si="2"/>
        <v>4665842.4561776742</v>
      </c>
    </row>
    <row r="5" spans="1:9" ht="15.75" customHeight="1" x14ac:dyDescent="0.25">
      <c r="A5" s="5">
        <f t="shared" si="3"/>
        <v>2027</v>
      </c>
      <c r="B5" s="49">
        <v>508262.75199999998</v>
      </c>
      <c r="C5" s="50">
        <v>842000</v>
      </c>
      <c r="D5" s="50">
        <v>1412000</v>
      </c>
      <c r="E5" s="50">
        <v>1430000</v>
      </c>
      <c r="F5" s="50">
        <v>1587000</v>
      </c>
      <c r="G5" s="17">
        <f t="shared" si="0"/>
        <v>5271000</v>
      </c>
      <c r="H5" s="17">
        <f t="shared" si="1"/>
        <v>592892.45041442593</v>
      </c>
      <c r="I5" s="17">
        <f t="shared" si="2"/>
        <v>4678107.5495855743</v>
      </c>
    </row>
    <row r="6" spans="1:9" ht="15.75" customHeight="1" x14ac:dyDescent="0.25">
      <c r="A6" s="5">
        <f t="shared" si="3"/>
        <v>2028</v>
      </c>
      <c r="B6" s="49">
        <v>512958.06920000009</v>
      </c>
      <c r="C6" s="50">
        <v>859000</v>
      </c>
      <c r="D6" s="50">
        <v>1442000</v>
      </c>
      <c r="E6" s="50">
        <v>1419000</v>
      </c>
      <c r="F6" s="50">
        <v>1565000</v>
      </c>
      <c r="G6" s="17">
        <f t="shared" si="0"/>
        <v>5285000</v>
      </c>
      <c r="H6" s="17">
        <f t="shared" si="1"/>
        <v>598369.57442012336</v>
      </c>
      <c r="I6" s="17">
        <f t="shared" si="2"/>
        <v>4686630.4255798766</v>
      </c>
    </row>
    <row r="7" spans="1:9" ht="15.75" customHeight="1" x14ac:dyDescent="0.25">
      <c r="A7" s="5">
        <f t="shared" si="3"/>
        <v>2029</v>
      </c>
      <c r="B7" s="49">
        <v>517428.56760000013</v>
      </c>
      <c r="C7" s="50">
        <v>876000</v>
      </c>
      <c r="D7" s="50">
        <v>1473000</v>
      </c>
      <c r="E7" s="50">
        <v>1410000</v>
      </c>
      <c r="F7" s="50">
        <v>1540000</v>
      </c>
      <c r="G7" s="17">
        <f t="shared" si="0"/>
        <v>5299000</v>
      </c>
      <c r="H7" s="17">
        <f t="shared" si="1"/>
        <v>603584.44554833416</v>
      </c>
      <c r="I7" s="17">
        <f t="shared" si="2"/>
        <v>4695415.5544516658</v>
      </c>
    </row>
    <row r="8" spans="1:9" ht="15.75" customHeight="1" x14ac:dyDescent="0.25">
      <c r="A8" s="5">
        <f t="shared" si="3"/>
        <v>2030</v>
      </c>
      <c r="B8" s="49">
        <v>521640.18199999997</v>
      </c>
      <c r="C8" s="50">
        <v>893000</v>
      </c>
      <c r="D8" s="50">
        <v>1506000</v>
      </c>
      <c r="E8" s="50">
        <v>1403000</v>
      </c>
      <c r="F8" s="50">
        <v>1516000</v>
      </c>
      <c r="G8" s="17">
        <f t="shared" si="0"/>
        <v>5318000</v>
      </c>
      <c r="H8" s="17">
        <f t="shared" si="1"/>
        <v>608497.32647850434</v>
      </c>
      <c r="I8" s="17">
        <f t="shared" si="2"/>
        <v>4709502.6735214954</v>
      </c>
    </row>
    <row r="9" spans="1:9" ht="15.75" customHeight="1" x14ac:dyDescent="0.25">
      <c r="A9" s="5">
        <f t="shared" si="3"/>
        <v>2031</v>
      </c>
      <c r="B9" s="49">
        <v>525784.24937142851</v>
      </c>
      <c r="C9" s="50">
        <v>907428.57142857148</v>
      </c>
      <c r="D9" s="50">
        <v>1532571.4285714291</v>
      </c>
      <c r="E9" s="50">
        <v>1392428.5714285709</v>
      </c>
      <c r="F9" s="50">
        <v>1503142.857142857</v>
      </c>
      <c r="G9" s="17">
        <f t="shared" si="0"/>
        <v>5335571.4285714282</v>
      </c>
      <c r="H9" s="17">
        <f t="shared" si="1"/>
        <v>613331.41327487212</v>
      </c>
      <c r="I9" s="17">
        <f t="shared" si="2"/>
        <v>4722240.0152965561</v>
      </c>
    </row>
    <row r="10" spans="1:9" ht="15.75" customHeight="1" x14ac:dyDescent="0.25">
      <c r="A10" s="5">
        <f t="shared" si="3"/>
        <v>2032</v>
      </c>
      <c r="B10" s="49">
        <v>529723.00071020401</v>
      </c>
      <c r="C10" s="50">
        <v>921489.79591836745</v>
      </c>
      <c r="D10" s="50">
        <v>1558367.3469387761</v>
      </c>
      <c r="E10" s="50">
        <v>1383204.081632653</v>
      </c>
      <c r="F10" s="50">
        <v>1488163.2653061219</v>
      </c>
      <c r="G10" s="17">
        <f t="shared" si="0"/>
        <v>5351224.4897959186</v>
      </c>
      <c r="H10" s="17">
        <f t="shared" si="1"/>
        <v>617925.99732343864</v>
      </c>
      <c r="I10" s="17">
        <f t="shared" si="2"/>
        <v>4733298.4924724801</v>
      </c>
    </row>
    <row r="11" spans="1:9" ht="15.75" customHeight="1" x14ac:dyDescent="0.25">
      <c r="A11" s="5">
        <f t="shared" si="3"/>
        <v>2033</v>
      </c>
      <c r="B11" s="49">
        <v>533491.07964023319</v>
      </c>
      <c r="C11" s="50">
        <v>935131.19533527712</v>
      </c>
      <c r="D11" s="50">
        <v>1583562.682215743</v>
      </c>
      <c r="E11" s="50">
        <v>1374661.8075801751</v>
      </c>
      <c r="F11" s="50">
        <v>1471900.8746355679</v>
      </c>
      <c r="G11" s="17">
        <f t="shared" si="0"/>
        <v>5365256.5597667629</v>
      </c>
      <c r="H11" s="17">
        <f t="shared" si="1"/>
        <v>622321.49068074045</v>
      </c>
      <c r="I11" s="17">
        <f t="shared" si="2"/>
        <v>4742935.0690860227</v>
      </c>
    </row>
    <row r="12" spans="1:9" ht="15.75" customHeight="1" x14ac:dyDescent="0.25">
      <c r="A12" s="5">
        <f t="shared" si="3"/>
        <v>2034</v>
      </c>
      <c r="B12" s="49">
        <v>537095.12644598074</v>
      </c>
      <c r="C12" s="50">
        <v>948435.65181174525</v>
      </c>
      <c r="D12" s="50">
        <v>1608071.636817992</v>
      </c>
      <c r="E12" s="50">
        <v>1366756.3515202</v>
      </c>
      <c r="F12" s="50">
        <v>1455458.142440649</v>
      </c>
      <c r="G12" s="17">
        <f t="shared" si="0"/>
        <v>5378721.7825905858</v>
      </c>
      <c r="H12" s="17">
        <f t="shared" si="1"/>
        <v>626525.63929021393</v>
      </c>
      <c r="I12" s="17">
        <f t="shared" si="2"/>
        <v>4752196.1433003722</v>
      </c>
    </row>
    <row r="13" spans="1:9" ht="15.75" customHeight="1" x14ac:dyDescent="0.25">
      <c r="A13" s="5">
        <f t="shared" si="3"/>
        <v>2035</v>
      </c>
      <c r="B13" s="49">
        <v>540543.27748112078</v>
      </c>
      <c r="C13" s="50">
        <v>961212.1734991374</v>
      </c>
      <c r="D13" s="50">
        <v>1631796.15636342</v>
      </c>
      <c r="E13" s="50">
        <v>1359292.9731659431</v>
      </c>
      <c r="F13" s="50">
        <v>1439809.305646457</v>
      </c>
      <c r="G13" s="17">
        <f t="shared" si="0"/>
        <v>5392110.6086749574</v>
      </c>
      <c r="H13" s="17">
        <f t="shared" si="1"/>
        <v>630547.93427165539</v>
      </c>
      <c r="I13" s="17">
        <f t="shared" si="2"/>
        <v>4761562.6744033024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2.822998082324844E-2</v>
      </c>
    </row>
    <row r="4" spans="1:8" ht="15.75" customHeight="1" x14ac:dyDescent="0.25">
      <c r="B4" s="19" t="s">
        <v>69</v>
      </c>
      <c r="C4" s="101">
        <v>7.0228368574160885E-2</v>
      </c>
    </row>
    <row r="5" spans="1:8" ht="15.75" customHeight="1" x14ac:dyDescent="0.25">
      <c r="B5" s="19" t="s">
        <v>70</v>
      </c>
      <c r="C5" s="101">
        <v>0.1233726047836731</v>
      </c>
    </row>
    <row r="6" spans="1:8" ht="15.75" customHeight="1" x14ac:dyDescent="0.25">
      <c r="B6" s="19" t="s">
        <v>71</v>
      </c>
      <c r="C6" s="101">
        <v>0.26438892254695279</v>
      </c>
    </row>
    <row r="7" spans="1:8" ht="15.75" customHeight="1" x14ac:dyDescent="0.25">
      <c r="B7" s="19" t="s">
        <v>72</v>
      </c>
      <c r="C7" s="101">
        <v>0.33964450408319652</v>
      </c>
    </row>
    <row r="8" spans="1:8" ht="15.75" customHeight="1" x14ac:dyDescent="0.25">
      <c r="B8" s="19" t="s">
        <v>73</v>
      </c>
      <c r="C8" s="101">
        <v>1.295647428162284E-2</v>
      </c>
    </row>
    <row r="9" spans="1:8" ht="15.75" customHeight="1" x14ac:dyDescent="0.25">
      <c r="B9" s="19" t="s">
        <v>74</v>
      </c>
      <c r="C9" s="101">
        <v>4.1254149538606392E-2</v>
      </c>
    </row>
    <row r="10" spans="1:8" ht="15.75" customHeight="1" x14ac:dyDescent="0.25">
      <c r="B10" s="19" t="s">
        <v>75</v>
      </c>
      <c r="C10" s="101">
        <v>0.1199249953685389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82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83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84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85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86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87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88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89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104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122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3.2403416047999997E-2</v>
      </c>
      <c r="C2" s="98">
        <v>0.95</v>
      </c>
      <c r="D2" s="56">
        <v>33.111327336400471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47.324666225751173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23.744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2.8660164968156591E-2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14.98391555624624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14.98391555624624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14.98391555624624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14.98391555624624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14.98391555624624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14.98391555624624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9.995594406000001E-2</v>
      </c>
      <c r="C16" s="98">
        <v>0.95</v>
      </c>
      <c r="D16" s="56">
        <v>0.18651362650506129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0.66496463640733372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0.66496463640733372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0.157411</v>
      </c>
      <c r="C21" s="98">
        <v>0.95</v>
      </c>
      <c r="D21" s="56">
        <v>0.31107361314039889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25.501496741923479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1.34567E-2</v>
      </c>
      <c r="C23" s="98">
        <v>0.95</v>
      </c>
      <c r="D23" s="56">
        <v>4.8905827235809092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9.1830699727579998E-2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4.1546168127999987E-2</v>
      </c>
      <c r="C27" s="98">
        <v>0.95</v>
      </c>
      <c r="D27" s="56">
        <v>21.765226394387359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0.3860053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56.776245279132063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0.46089999999999998</v>
      </c>
      <c r="C31" s="98">
        <v>0.95</v>
      </c>
      <c r="D31" s="56">
        <v>9.3761294689777941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0.41144239999999999</v>
      </c>
      <c r="C32" s="98">
        <v>0.95</v>
      </c>
      <c r="D32" s="56">
        <v>0.33062969270167181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0.16055179999999999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3.0882199999999999E-2</v>
      </c>
      <c r="C38" s="98">
        <v>0.95</v>
      </c>
      <c r="D38" s="56">
        <v>5.9681168424615683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0.49399999999999999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205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0.88435964151488877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2024-03-28T03:04:42Z</dcterms:modified>
</cp:coreProperties>
</file>