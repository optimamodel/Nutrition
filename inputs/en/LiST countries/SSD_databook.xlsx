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F00EE5DF-0CBD-4B42-95DB-A15A047C46C3}" xr6:coauthVersionLast="47" xr6:coauthVersionMax="47" xr10:uidLastSave="{00000000-0000-0000-0000-000000000000}"/>
  <bookViews>
    <workbookView xWindow="20" yWindow="20" windowWidth="19180" windowHeight="10180" tabRatio="961" firstSheet="6" activeTab="9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52" i="27"/>
  <c r="G152" i="27"/>
  <c r="F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F112" i="27"/>
  <c r="E112" i="27"/>
  <c r="D112" i="27"/>
  <c r="H97" i="27"/>
  <c r="G97" i="27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I40" i="2" s="1"/>
  <c r="H39" i="2"/>
  <c r="G39" i="2"/>
  <c r="I39" i="2" s="1"/>
  <c r="A39" i="2"/>
  <c r="H38" i="2"/>
  <c r="G38" i="2"/>
  <c r="I38" i="2" s="1"/>
  <c r="A37" i="2"/>
  <c r="A36" i="2"/>
  <c r="A35" i="2"/>
  <c r="A34" i="2"/>
  <c r="A33" i="2"/>
  <c r="A32" i="2"/>
  <c r="A31" i="2"/>
  <c r="A29" i="2"/>
  <c r="A28" i="2"/>
  <c r="A27" i="2"/>
  <c r="A26" i="2"/>
  <c r="A25" i="2"/>
  <c r="A24" i="2"/>
  <c r="A23" i="2"/>
  <c r="A21" i="2"/>
  <c r="A20" i="2"/>
  <c r="A19" i="2"/>
  <c r="A18" i="2"/>
  <c r="A17" i="2"/>
  <c r="A16" i="2"/>
  <c r="A15" i="2"/>
  <c r="H13" i="2"/>
  <c r="G13" i="2"/>
  <c r="I13" i="2" s="1"/>
  <c r="H12" i="2"/>
  <c r="G12" i="2"/>
  <c r="I12" i="2" s="1"/>
  <c r="H11" i="2"/>
  <c r="G11" i="2"/>
  <c r="I11" i="2" s="1"/>
  <c r="H10" i="2"/>
  <c r="G10" i="2"/>
  <c r="I10" i="2" s="1"/>
  <c r="H9" i="2"/>
  <c r="G9" i="2"/>
  <c r="I9" i="2" s="1"/>
  <c r="H8" i="2"/>
  <c r="G8" i="2"/>
  <c r="I8" i="2" s="1"/>
  <c r="H7" i="2"/>
  <c r="G7" i="2"/>
  <c r="I7" i="2" s="1"/>
  <c r="H6" i="2"/>
  <c r="G6" i="2"/>
  <c r="I6" i="2" s="1"/>
  <c r="H5" i="2"/>
  <c r="G5" i="2"/>
  <c r="I5" i="2" s="1"/>
  <c r="H4" i="2"/>
  <c r="G4" i="2"/>
  <c r="I4" i="2" s="1"/>
  <c r="H3" i="2"/>
  <c r="G3" i="2"/>
  <c r="I3" i="2" s="1"/>
  <c r="A3" i="2"/>
  <c r="H2" i="2"/>
  <c r="G2" i="2"/>
  <c r="I2" i="2" s="1"/>
  <c r="A2" i="2"/>
  <c r="A40" i="2" s="1"/>
  <c r="C33" i="1"/>
  <c r="C20" i="1"/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<sst xmlns="http://schemas.openxmlformats.org/spreadsheetml/2006/main" count="2101" uniqueCount="341">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</sst>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1471007.40625</v>
      </c>
    </row>
    <row r="8" spans="1:3" ht="15" customHeight="1" x14ac:dyDescent="0.25">
      <c r="B8" s="5" t="s">
        <v>8</v>
      </c>
      <c r="C8" s="44">
        <v>0.42699999999999999</v>
      </c>
    </row>
    <row r="9" spans="1:3" ht="15" customHeight="1" x14ac:dyDescent="0.25">
      <c r="B9" s="5" t="s">
        <v>9</v>
      </c>
      <c r="C9" s="45">
        <v>0.39</v>
      </c>
    </row>
    <row r="10" spans="1:3" ht="15" customHeight="1" x14ac:dyDescent="0.25">
      <c r="B10" s="5" t="s">
        <v>10</v>
      </c>
      <c r="C10" s="45">
        <v>4.0349397659301803E-2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0.94400000000000006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6.7500000000000004E-2</v>
      </c>
    </row>
    <row r="24" spans="1:3" ht="15" customHeight="1" x14ac:dyDescent="0.25">
      <c r="B24" s="15" t="s">
        <v>22</v>
      </c>
      <c r="C24" s="45">
        <v>0.51</v>
      </c>
    </row>
    <row r="25" spans="1:3" ht="15" customHeight="1" x14ac:dyDescent="0.25">
      <c r="B25" s="15" t="s">
        <v>23</v>
      </c>
      <c r="C25" s="45">
        <v>0.32150000000000001</v>
      </c>
    </row>
    <row r="26" spans="1:3" ht="15" customHeight="1" x14ac:dyDescent="0.25">
      <c r="B26" s="15" t="s">
        <v>24</v>
      </c>
      <c r="C26" s="45">
        <v>0.10100000000000001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0.22259625228416199</v>
      </c>
    </row>
    <row r="30" spans="1:3" ht="14.25" customHeight="1" x14ac:dyDescent="0.25">
      <c r="B30" s="25" t="s">
        <v>27</v>
      </c>
      <c r="C30" s="99">
        <v>6.9957740305893898E-2</v>
      </c>
    </row>
    <row r="31" spans="1:3" ht="14.25" customHeight="1" x14ac:dyDescent="0.25">
      <c r="B31" s="25" t="s">
        <v>28</v>
      </c>
      <c r="C31" s="99">
        <v>0.118524449608315</v>
      </c>
    </row>
    <row r="32" spans="1:3" ht="14.25" customHeight="1" x14ac:dyDescent="0.25">
      <c r="B32" s="25" t="s">
        <v>29</v>
      </c>
      <c r="C32" s="99">
        <v>0.58892155780162903</v>
      </c>
    </row>
    <row r="33" spans="1:5" ht="13" customHeight="1" x14ac:dyDescent="0.25">
      <c r="B33" s="27" t="s">
        <v>30</v>
      </c>
      <c r="C33" s="48">
        <f>SUM(C29:C32)</f>
        <v>0.99999999999999989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39.626449999999998</v>
      </c>
    </row>
    <row r="38" spans="1:5" ht="15" customHeight="1" x14ac:dyDescent="0.25">
      <c r="B38" s="11" t="s">
        <v>34</v>
      </c>
      <c r="C38" s="43">
        <v>63.756</v>
      </c>
      <c r="D38" s="12"/>
      <c r="E38" s="13"/>
    </row>
    <row r="39" spans="1:5" ht="15" customHeight="1" x14ac:dyDescent="0.25">
      <c r="B39" s="11" t="s">
        <v>35</v>
      </c>
      <c r="C39" s="43">
        <v>98.689639999999997</v>
      </c>
      <c r="D39" s="12"/>
      <c r="E39" s="12"/>
    </row>
    <row r="40" spans="1:5" ht="15" customHeight="1" x14ac:dyDescent="0.25">
      <c r="B40" s="11" t="s">
        <v>36</v>
      </c>
      <c r="C40" s="100">
        <v>12.23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25.841349999999998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7.9325000000000003E-3</v>
      </c>
      <c r="D45" s="12"/>
    </row>
    <row r="46" spans="1:5" ht="15.75" customHeight="1" x14ac:dyDescent="0.25">
      <c r="B46" s="11" t="s">
        <v>41</v>
      </c>
      <c r="C46" s="45">
        <v>8.5233500000000004E-2</v>
      </c>
      <c r="D46" s="12"/>
    </row>
    <row r="47" spans="1:5" ht="15.75" customHeight="1" x14ac:dyDescent="0.25">
      <c r="B47" s="11" t="s">
        <v>42</v>
      </c>
      <c r="C47" s="45">
        <v>7.3456999999999995E-2</v>
      </c>
      <c r="D47" s="12"/>
      <c r="E47" s="13"/>
    </row>
    <row r="48" spans="1:5" ht="15" customHeight="1" x14ac:dyDescent="0.25">
      <c r="B48" s="11" t="s">
        <v>43</v>
      </c>
      <c r="C48" s="46">
        <v>0.83337700000000003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2.9</v>
      </c>
      <c r="D51" s="12"/>
    </row>
    <row r="52" spans="1:4" ht="15" customHeight="1" x14ac:dyDescent="0.25">
      <c r="B52" s="11" t="s">
        <v>46</v>
      </c>
      <c r="C52" s="100">
        <v>2.9</v>
      </c>
    </row>
    <row r="53" spans="1:4" ht="15.75" customHeight="1" x14ac:dyDescent="0.25">
      <c r="B53" s="11" t="s">
        <v>47</v>
      </c>
      <c r="C53" s="100">
        <v>2.9</v>
      </c>
    </row>
    <row r="54" spans="1:4" ht="15.75" customHeight="1" x14ac:dyDescent="0.25">
      <c r="B54" s="11" t="s">
        <v>48</v>
      </c>
      <c r="C54" s="100">
        <v>2.9</v>
      </c>
    </row>
    <row r="55" spans="1:4" ht="15.75" customHeight="1" x14ac:dyDescent="0.25">
      <c r="B55" s="11" t="s">
        <v>49</v>
      </c>
      <c r="C55" s="100">
        <v>2.9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2.0689655172413789E-2</v>
      </c>
    </row>
    <row r="59" spans="1:4" ht="15.75" customHeight="1" x14ac:dyDescent="0.25">
      <c r="B59" s="11" t="s">
        <v>52</v>
      </c>
      <c r="C59" s="45">
        <v>0.52577700000000005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326409</v>
      </c>
      <c r="C2" s="49">
        <v>858169.50000000012</v>
      </c>
      <c r="D2" s="49">
        <v>887619</v>
      </c>
      <c r="E2" s="49">
        <v>516767.5</v>
      </c>
      <c r="F2" s="49">
        <v>485674</v>
      </c>
      <c r="G2" s="17">
        <f t="shared" ref="G2:G13" si="0">C2+D2+E2+F2</f>
        <v>2748230</v>
      </c>
      <c r="H2" s="17">
        <f t="shared" ref="H2:H13" si="1">(B2 + stillbirth*B2/(1000-stillbirth))/(1-abortion)</f>
        <v>380758.63534324535</v>
      </c>
      <c r="I2" s="17">
        <f t="shared" ref="I2:I13" si="2">G2-H2</f>
        <v>2367471.3646567548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333369</v>
      </c>
      <c r="C3" s="50">
        <v>886754.00000000012</v>
      </c>
      <c r="D3" s="50">
        <v>955679.5</v>
      </c>
      <c r="E3" s="50">
        <v>510816.50000000012</v>
      </c>
      <c r="F3" s="50">
        <v>487057</v>
      </c>
      <c r="G3" s="17">
        <f t="shared" si="0"/>
        <v>2840307</v>
      </c>
      <c r="H3" s="17">
        <f t="shared" si="1"/>
        <v>388877.5294362054</v>
      </c>
      <c r="I3" s="17">
        <f t="shared" si="2"/>
        <v>2451429.4705637945</v>
      </c>
    </row>
    <row r="4" spans="1:9" ht="15.75" customHeight="1" x14ac:dyDescent="0.25">
      <c r="A4" s="5">
        <f t="shared" si="3"/>
        <v>2026</v>
      </c>
      <c r="B4" s="49">
        <v>339774</v>
      </c>
      <c r="C4" s="50">
        <v>919534.5</v>
      </c>
      <c r="D4" s="50">
        <v>1023425.5</v>
      </c>
      <c r="E4" s="50">
        <v>511055</v>
      </c>
      <c r="F4" s="50">
        <v>486846</v>
      </c>
      <c r="G4" s="17">
        <f t="shared" si="0"/>
        <v>2940861</v>
      </c>
      <c r="H4" s="17">
        <f t="shared" si="1"/>
        <v>396349.0117157182</v>
      </c>
      <c r="I4" s="17">
        <f t="shared" si="2"/>
        <v>2544511.9882842819</v>
      </c>
    </row>
    <row r="5" spans="1:9" ht="15.75" customHeight="1" x14ac:dyDescent="0.25">
      <c r="A5" s="5">
        <f t="shared" si="3"/>
        <v>2027</v>
      </c>
      <c r="B5" s="49">
        <v>348441</v>
      </c>
      <c r="C5" s="50">
        <v>952752.00000000012</v>
      </c>
      <c r="D5" s="50">
        <v>1090961.5</v>
      </c>
      <c r="E5" s="50">
        <v>521287</v>
      </c>
      <c r="F5" s="50">
        <v>482414.5</v>
      </c>
      <c r="G5" s="17">
        <f t="shared" si="0"/>
        <v>3047415</v>
      </c>
      <c r="H5" s="17">
        <f t="shared" si="1"/>
        <v>406459.13457544293</v>
      </c>
      <c r="I5" s="17">
        <f t="shared" si="2"/>
        <v>2640955.8654245571</v>
      </c>
    </row>
    <row r="6" spans="1:9" ht="15.75" customHeight="1" x14ac:dyDescent="0.25">
      <c r="A6" s="5">
        <f t="shared" si="3"/>
        <v>2028</v>
      </c>
      <c r="B6" s="49">
        <v>356163</v>
      </c>
      <c r="C6" s="50">
        <v>981824.5</v>
      </c>
      <c r="D6" s="50">
        <v>1158705</v>
      </c>
      <c r="E6" s="50">
        <v>540270.5</v>
      </c>
      <c r="F6" s="50">
        <v>471094</v>
      </c>
      <c r="G6" s="17">
        <f t="shared" si="0"/>
        <v>3151894</v>
      </c>
      <c r="H6" s="17">
        <f t="shared" si="1"/>
        <v>415466.90759064944</v>
      </c>
      <c r="I6" s="17">
        <f t="shared" si="2"/>
        <v>2736427.0924093504</v>
      </c>
    </row>
    <row r="7" spans="1:9" ht="15.75" customHeight="1" x14ac:dyDescent="0.25">
      <c r="A7" s="5">
        <f t="shared" si="3"/>
        <v>2029</v>
      </c>
      <c r="B7" s="49">
        <v>364934</v>
      </c>
      <c r="C7" s="50">
        <v>999278.5</v>
      </c>
      <c r="D7" s="50">
        <v>1221961.5</v>
      </c>
      <c r="E7" s="50">
        <v>564893.5</v>
      </c>
      <c r="F7" s="50">
        <v>456600.5</v>
      </c>
      <c r="G7" s="17">
        <f t="shared" si="0"/>
        <v>3242734</v>
      </c>
      <c r="H7" s="17">
        <f t="shared" si="1"/>
        <v>425698.34725865984</v>
      </c>
      <c r="I7" s="17">
        <f t="shared" si="2"/>
        <v>2817035.65274134</v>
      </c>
    </row>
    <row r="8" spans="1:9" ht="15.75" customHeight="1" x14ac:dyDescent="0.25">
      <c r="A8" s="5">
        <f t="shared" si="3"/>
        <v>2030</v>
      </c>
      <c r="B8" s="49">
        <v>374932</v>
      </c>
      <c r="C8" s="50">
        <v>1003724.5</v>
      </c>
      <c r="D8" s="50">
        <v>1278873.5</v>
      </c>
      <c r="E8" s="50">
        <v>597985</v>
      </c>
      <c r="F8" s="50">
        <v>447872</v>
      </c>
      <c r="G8" s="17">
        <f t="shared" si="0"/>
        <v>3328455</v>
      </c>
      <c r="H8" s="17">
        <f t="shared" si="1"/>
        <v>437361.09196288604</v>
      </c>
      <c r="I8" s="17">
        <f t="shared" si="2"/>
        <v>2891093.908037114</v>
      </c>
    </row>
    <row r="9" spans="1:9" ht="15.75" customHeight="1" x14ac:dyDescent="0.25">
      <c r="A9" s="5">
        <f t="shared" si="3"/>
        <v>2031</v>
      </c>
      <c r="B9" s="49">
        <v>382063</v>
      </c>
      <c r="C9" s="50">
        <v>992948</v>
      </c>
      <c r="D9" s="50">
        <v>1332921.5</v>
      </c>
      <c r="E9" s="50">
        <v>642737</v>
      </c>
      <c r="F9" s="50">
        <v>443614.5</v>
      </c>
      <c r="G9" s="17">
        <f t="shared" si="0"/>
        <v>3412221</v>
      </c>
      <c r="H9" s="17">
        <f t="shared" si="1"/>
        <v>445679.4588848541</v>
      </c>
      <c r="I9" s="17">
        <f t="shared" si="2"/>
        <v>2966541.5411151461</v>
      </c>
    </row>
    <row r="10" spans="1:9" ht="15.75" customHeight="1" x14ac:dyDescent="0.25">
      <c r="A10" s="5">
        <f t="shared" si="3"/>
        <v>2032</v>
      </c>
      <c r="B10" s="49">
        <v>389850</v>
      </c>
      <c r="C10" s="50">
        <v>962730</v>
      </c>
      <c r="D10" s="50">
        <v>1384224</v>
      </c>
      <c r="E10" s="50">
        <v>697864.5</v>
      </c>
      <c r="F10" s="50">
        <v>438420.5</v>
      </c>
      <c r="G10" s="17">
        <f t="shared" si="0"/>
        <v>3483239</v>
      </c>
      <c r="H10" s="17">
        <f t="shared" si="1"/>
        <v>454763.05490523914</v>
      </c>
      <c r="I10" s="17">
        <f t="shared" si="2"/>
        <v>3028475.945094761</v>
      </c>
    </row>
    <row r="11" spans="1:9" ht="15.75" customHeight="1" x14ac:dyDescent="0.25">
      <c r="A11" s="5">
        <f t="shared" si="3"/>
        <v>2033</v>
      </c>
      <c r="B11" s="49">
        <v>393953</v>
      </c>
      <c r="C11" s="50">
        <v>920810.49999999988</v>
      </c>
      <c r="D11" s="50">
        <v>1432116.5</v>
      </c>
      <c r="E11" s="50">
        <v>760445</v>
      </c>
      <c r="F11" s="50">
        <v>432251.5</v>
      </c>
      <c r="G11" s="17">
        <f t="shared" si="0"/>
        <v>3545623.5</v>
      </c>
      <c r="H11" s="17">
        <f t="shared" si="1"/>
        <v>459549.23629366083</v>
      </c>
      <c r="I11" s="17">
        <f t="shared" si="2"/>
        <v>3086074.2637063391</v>
      </c>
    </row>
    <row r="12" spans="1:9" ht="15.75" customHeight="1" x14ac:dyDescent="0.25">
      <c r="A12" s="5">
        <f t="shared" si="3"/>
        <v>2034</v>
      </c>
      <c r="B12" s="49">
        <v>399765</v>
      </c>
      <c r="C12" s="50">
        <v>877200.49999999988</v>
      </c>
      <c r="D12" s="50">
        <v>1476641.5</v>
      </c>
      <c r="E12" s="50">
        <v>826890</v>
      </c>
      <c r="F12" s="50">
        <v>425198</v>
      </c>
      <c r="G12" s="17">
        <f t="shared" si="0"/>
        <v>3605930</v>
      </c>
      <c r="H12" s="17">
        <f t="shared" si="1"/>
        <v>466328.97946439125</v>
      </c>
      <c r="I12" s="17">
        <f t="shared" si="2"/>
        <v>3139601.0205356088</v>
      </c>
    </row>
    <row r="13" spans="1:9" ht="15.75" customHeight="1" x14ac:dyDescent="0.25">
      <c r="A13" s="5">
        <f t="shared" si="3"/>
        <v>2035</v>
      </c>
      <c r="B13" s="49">
        <v>401803</v>
      </c>
      <c r="C13" s="50">
        <v>841554.5</v>
      </c>
      <c r="D13" s="50">
        <v>1512316.5</v>
      </c>
      <c r="E13" s="50">
        <v>894742</v>
      </c>
      <c r="F13" s="50">
        <v>419422</v>
      </c>
      <c r="G13" s="17">
        <f t="shared" si="0"/>
        <v>3668035</v>
      </c>
      <c r="H13" s="17">
        <f t="shared" si="1"/>
        <v>468706.32230368035</v>
      </c>
      <c r="I13" s="17">
        <f t="shared" si="2"/>
        <v>3199328.6776963198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2.822998082324844E-2</v>
      </c>
    </row>
    <row r="4" spans="1:8" ht="15.75" customHeight="1" x14ac:dyDescent="0.25">
      <c r="B4" s="19" t="s">
        <v>69</v>
      </c>
      <c r="C4" s="101">
        <v>7.0228368574160885E-2</v>
      </c>
    </row>
    <row r="5" spans="1:8" ht="15.75" customHeight="1" x14ac:dyDescent="0.25">
      <c r="B5" s="19" t="s">
        <v>70</v>
      </c>
      <c r="C5" s="101">
        <v>0.1233726047836731</v>
      </c>
    </row>
    <row r="6" spans="1:8" ht="15.75" customHeight="1" x14ac:dyDescent="0.25">
      <c r="B6" s="19" t="s">
        <v>71</v>
      </c>
      <c r="C6" s="101">
        <v>0.26438892254695279</v>
      </c>
    </row>
    <row r="7" spans="1:8" ht="15.75" customHeight="1" x14ac:dyDescent="0.25">
      <c r="B7" s="19" t="s">
        <v>72</v>
      </c>
      <c r="C7" s="101">
        <v>0.33964450408319652</v>
      </c>
    </row>
    <row r="8" spans="1:8" ht="15.75" customHeight="1" x14ac:dyDescent="0.25">
      <c r="B8" s="19" t="s">
        <v>73</v>
      </c>
      <c r="C8" s="101">
        <v>1.295647428162284E-2</v>
      </c>
    </row>
    <row r="9" spans="1:8" ht="15.75" customHeight="1" x14ac:dyDescent="0.25">
      <c r="B9" s="19" t="s">
        <v>74</v>
      </c>
      <c r="C9" s="101">
        <v>4.1254149538606392E-2</v>
      </c>
    </row>
    <row r="10" spans="1:8" ht="15.75" customHeight="1" x14ac:dyDescent="0.25">
      <c r="B10" s="19" t="s">
        <v>75</v>
      </c>
      <c r="C10" s="101">
        <v>0.1199249953685389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0.1596124108183756</v>
      </c>
      <c r="D14" s="55">
        <v>0.1596124108183756</v>
      </c>
      <c r="E14" s="55">
        <v>0.1596124108183756</v>
      </c>
      <c r="F14" s="55">
        <v>0.1596124108183756</v>
      </c>
    </row>
    <row r="15" spans="1:8" ht="15.75" customHeight="1" x14ac:dyDescent="0.25">
      <c r="B15" s="19" t="s">
        <v>82</v>
      </c>
      <c r="C15" s="101">
        <v>0.2498034844866944</v>
      </c>
      <c r="D15" s="101">
        <v>0.2498034844866944</v>
      </c>
      <c r="E15" s="101">
        <v>0.2498034844866944</v>
      </c>
      <c r="F15" s="101">
        <v>0.2498034844866944</v>
      </c>
    </row>
    <row r="16" spans="1:8" ht="15.75" customHeight="1" x14ac:dyDescent="0.25">
      <c r="B16" s="19" t="s">
        <v>83</v>
      </c>
      <c r="C16" s="101">
        <v>4.6704185577370237E-2</v>
      </c>
      <c r="D16" s="101">
        <v>4.6704185577370237E-2</v>
      </c>
      <c r="E16" s="101">
        <v>4.6704185577370237E-2</v>
      </c>
      <c r="F16" s="101">
        <v>4.6704185577370237E-2</v>
      </c>
    </row>
    <row r="17" spans="1:8" ht="15.75" customHeight="1" x14ac:dyDescent="0.25">
      <c r="B17" s="19" t="s">
        <v>84</v>
      </c>
      <c r="C17" s="101">
        <v>7.825061005128861E-2</v>
      </c>
      <c r="D17" s="101">
        <v>7.825061005128861E-2</v>
      </c>
      <c r="E17" s="101">
        <v>7.825061005128861E-2</v>
      </c>
      <c r="F17" s="101">
        <v>7.825061005128861E-2</v>
      </c>
    </row>
    <row r="18" spans="1:8" ht="15.75" customHeight="1" x14ac:dyDescent="0.25">
      <c r="B18" s="19" t="s">
        <v>85</v>
      </c>
      <c r="C18" s="101">
        <v>0.22146118708923121</v>
      </c>
      <c r="D18" s="101">
        <v>0.22146118708923121</v>
      </c>
      <c r="E18" s="101">
        <v>0.22146118708923121</v>
      </c>
      <c r="F18" s="101">
        <v>0.22146118708923121</v>
      </c>
    </row>
    <row r="19" spans="1:8" ht="15.75" customHeight="1" x14ac:dyDescent="0.25">
      <c r="B19" s="19" t="s">
        <v>86</v>
      </c>
      <c r="C19" s="101">
        <v>2.327848719104594E-2</v>
      </c>
      <c r="D19" s="101">
        <v>2.327848719104594E-2</v>
      </c>
      <c r="E19" s="101">
        <v>2.327848719104594E-2</v>
      </c>
      <c r="F19" s="101">
        <v>2.327848719104594E-2</v>
      </c>
    </row>
    <row r="20" spans="1:8" ht="15.75" customHeight="1" x14ac:dyDescent="0.25">
      <c r="B20" s="19" t="s">
        <v>87</v>
      </c>
      <c r="C20" s="101">
        <v>6.2088160097453382E-2</v>
      </c>
      <c r="D20" s="101">
        <v>6.2088160097453382E-2</v>
      </c>
      <c r="E20" s="101">
        <v>6.2088160097453382E-2</v>
      </c>
      <c r="F20" s="101">
        <v>6.2088160097453382E-2</v>
      </c>
    </row>
    <row r="21" spans="1:8" ht="15.75" customHeight="1" x14ac:dyDescent="0.25">
      <c r="B21" s="19" t="s">
        <v>88</v>
      </c>
      <c r="C21" s="101">
        <v>3.8913994294759342E-2</v>
      </c>
      <c r="D21" s="101">
        <v>3.8913994294759342E-2</v>
      </c>
      <c r="E21" s="101">
        <v>3.8913994294759342E-2</v>
      </c>
      <c r="F21" s="101">
        <v>3.8913994294759342E-2</v>
      </c>
    </row>
    <row r="22" spans="1:8" ht="15.75" customHeight="1" x14ac:dyDescent="0.25">
      <c r="B22" s="19" t="s">
        <v>89</v>
      </c>
      <c r="C22" s="101">
        <v>0.1198874803937814</v>
      </c>
      <c r="D22" s="101">
        <v>0.1198874803937814</v>
      </c>
      <c r="E22" s="101">
        <v>0.1198874803937814</v>
      </c>
      <c r="F22" s="101">
        <v>0.1198874803937814</v>
      </c>
    </row>
    <row r="23" spans="1:8" ht="15.75" customHeight="1" x14ac:dyDescent="0.25">
      <c r="B23" s="27" t="s">
        <v>30</v>
      </c>
      <c r="C23" s="48">
        <f>SUM(C14:C22)</f>
        <v>1.0000000000000002</v>
      </c>
      <c r="D23" s="48">
        <f>SUM(D14:D22)</f>
        <v>1.0000000000000002</v>
      </c>
      <c r="E23" s="48">
        <f>SUM(E14:E22)</f>
        <v>1.0000000000000002</v>
      </c>
      <c r="F23" s="48">
        <f>SUM(F14:F22)</f>
        <v>1.0000000000000002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4.6824316999999997E-2</v>
      </c>
    </row>
    <row r="27" spans="1:8" ht="15.75" customHeight="1" x14ac:dyDescent="0.25">
      <c r="B27" s="19" t="s">
        <v>92</v>
      </c>
      <c r="C27" s="101">
        <v>2.7708330999999999E-2</v>
      </c>
    </row>
    <row r="28" spans="1:8" ht="15.75" customHeight="1" x14ac:dyDescent="0.25">
      <c r="B28" s="19" t="s">
        <v>93</v>
      </c>
      <c r="C28" s="101">
        <v>0.192682248</v>
      </c>
    </row>
    <row r="29" spans="1:8" ht="15.75" customHeight="1" x14ac:dyDescent="0.25">
      <c r="B29" s="19" t="s">
        <v>94</v>
      </c>
      <c r="C29" s="101">
        <v>0.15047112300000001</v>
      </c>
    </row>
    <row r="30" spans="1:8" ht="15.75" customHeight="1" x14ac:dyDescent="0.25">
      <c r="B30" s="19" t="s">
        <v>95</v>
      </c>
      <c r="C30" s="101">
        <v>4.9998465000000013E-2</v>
      </c>
    </row>
    <row r="31" spans="1:8" ht="15.75" customHeight="1" x14ac:dyDescent="0.25">
      <c r="B31" s="19" t="s">
        <v>96</v>
      </c>
      <c r="C31" s="101">
        <v>3.0442113E-2</v>
      </c>
    </row>
    <row r="32" spans="1:8" ht="15.75" customHeight="1" x14ac:dyDescent="0.25">
      <c r="B32" s="19" t="s">
        <v>97</v>
      </c>
      <c r="C32" s="101">
        <v>8.5598303000000001E-2</v>
      </c>
    </row>
    <row r="33" spans="2:3" ht="15.75" customHeight="1" x14ac:dyDescent="0.25">
      <c r="B33" s="19" t="s">
        <v>98</v>
      </c>
      <c r="C33" s="101">
        <v>0.16741062000000001</v>
      </c>
    </row>
    <row r="34" spans="2:3" ht="15.75" customHeight="1" x14ac:dyDescent="0.25">
      <c r="B34" s="19" t="s">
        <v>99</v>
      </c>
      <c r="C34" s="101">
        <v>0.24886448</v>
      </c>
    </row>
    <row r="35" spans="2:3" ht="15.75" customHeight="1" x14ac:dyDescent="0.25">
      <c r="B35" s="27" t="s">
        <v>30</v>
      </c>
      <c r="C35" s="48">
        <f>SUM(C26:C34)</f>
        <v>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0.57247405346602631</v>
      </c>
      <c r="D2" s="52">
        <f>IFERROR(1-_xlfn.NORM.DIST(_xlfn.NORM.INV(SUM(D4:D5), 0, 1) + 1, 0, 1, TRUE), "")</f>
        <v>0.57247405346602631</v>
      </c>
      <c r="E2" s="52">
        <f>IFERROR(1-_xlfn.NORM.DIST(_xlfn.NORM.INV(SUM(E4:E5), 0, 1) + 1, 0, 1, TRUE), "")</f>
        <v>0.47423758481127021</v>
      </c>
      <c r="F2" s="52">
        <f>IFERROR(1-_xlfn.NORM.DIST(_xlfn.NORM.INV(SUM(F4:F5), 0, 1) + 1, 0, 1, TRUE), "")</f>
        <v>0.30851657807595168</v>
      </c>
      <c r="G2" s="52">
        <f>IFERROR(1-_xlfn.NORM.DIST(_xlfn.NORM.INV(SUM(G4:G5), 0, 1) + 1, 0, 1, TRUE), "")</f>
        <v>0.27250176789555769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0.30905724653397371</v>
      </c>
      <c r="D3" s="52">
        <f>IFERROR(_xlfn.NORM.DIST(_xlfn.NORM.INV(SUM(D4:D5), 0, 1) + 1, 0, 1, TRUE) - SUM(D4:D5), "")</f>
        <v>0.30905724653397371</v>
      </c>
      <c r="E3" s="52">
        <f>IFERROR(_xlfn.NORM.DIST(_xlfn.NORM.INV(SUM(E4:E5), 0, 1) + 1, 0, 1, TRUE) - SUM(E4:E5), "")</f>
        <v>0.35096571518872982</v>
      </c>
      <c r="F3" s="52">
        <f>IFERROR(_xlfn.NORM.DIST(_xlfn.NORM.INV(SUM(F4:F5), 0, 1) + 1, 0, 1, TRUE) - SUM(F4:F5), "")</f>
        <v>0.38292492192404837</v>
      </c>
      <c r="G3" s="52">
        <f>IFERROR(_xlfn.NORM.DIST(_xlfn.NORM.INV(SUM(G4:G5), 0, 1) + 1, 0, 1, TRUE) - SUM(G4:G5), "")</f>
        <v>0.38097933210444235</v>
      </c>
    </row>
    <row r="4" spans="1:15" ht="15.75" customHeight="1" x14ac:dyDescent="0.25">
      <c r="B4" s="5" t="s">
        <v>104</v>
      </c>
      <c r="C4" s="45">
        <v>4.7722199999999999E-2</v>
      </c>
      <c r="D4" s="53">
        <v>4.7722199999999999E-2</v>
      </c>
      <c r="E4" s="53">
        <v>8.8112999999999997E-2</v>
      </c>
      <c r="F4" s="53">
        <v>0.1535096</v>
      </c>
      <c r="G4" s="53">
        <v>0.1503371</v>
      </c>
    </row>
    <row r="5" spans="1:15" ht="15.75" customHeight="1" x14ac:dyDescent="0.25">
      <c r="B5" s="5" t="s">
        <v>105</v>
      </c>
      <c r="C5" s="45">
        <v>7.0746500000000004E-2</v>
      </c>
      <c r="D5" s="53">
        <v>7.0746500000000004E-2</v>
      </c>
      <c r="E5" s="53">
        <v>8.6683699999999989E-2</v>
      </c>
      <c r="F5" s="53">
        <v>0.15504889999999999</v>
      </c>
      <c r="G5" s="53">
        <v>0.19618179999999999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0.44153491459137839</v>
      </c>
      <c r="D8" s="52">
        <f>IFERROR(1-_xlfn.NORM.DIST(_xlfn.NORM.INV(SUM(D10:D11), 0, 1) + 1, 0, 1, TRUE), "")</f>
        <v>0.44153491459137839</v>
      </c>
      <c r="E8" s="52">
        <f>IFERROR(1-_xlfn.NORM.DIST(_xlfn.NORM.INV(SUM(E10:E11), 0, 1) + 1, 0, 1, TRUE), "")</f>
        <v>0.34987316643445965</v>
      </c>
      <c r="F8" s="52">
        <f>IFERROR(1-_xlfn.NORM.DIST(_xlfn.NORM.INV(SUM(F10:F11), 0, 1) + 1, 0, 1, TRUE), "")</f>
        <v>0.39824863492985318</v>
      </c>
      <c r="G8" s="52">
        <f>IFERROR(1-_xlfn.NORM.DIST(_xlfn.NORM.INV(SUM(G10:G11), 0, 1) + 1, 0, 1, TRUE), "")</f>
        <v>0.4067842096375015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0.36161358540862165</v>
      </c>
      <c r="D9" s="52">
        <f>IFERROR(_xlfn.NORM.DIST(_xlfn.NORM.INV(SUM(D10:D11), 0, 1) + 1, 0, 1, TRUE) - SUM(D10:D11), "")</f>
        <v>0.36161358540862165</v>
      </c>
      <c r="E9" s="52">
        <f>IFERROR(_xlfn.NORM.DIST(_xlfn.NORM.INV(SUM(E10:E11), 0, 1) + 1, 0, 1, TRUE) - SUM(E10:E11), "")</f>
        <v>0.38063053356554033</v>
      </c>
      <c r="F9" s="52">
        <f>IFERROR(_xlfn.NORM.DIST(_xlfn.NORM.INV(SUM(F10:F11), 0, 1) + 1, 0, 1, TRUE) - SUM(F10:F11), "")</f>
        <v>0.37274316507014682</v>
      </c>
      <c r="G9" s="52">
        <f>IFERROR(_xlfn.NORM.DIST(_xlfn.NORM.INV(SUM(G10:G11), 0, 1) + 1, 0, 1, TRUE) - SUM(G10:G11), "")</f>
        <v>0.37083429036249849</v>
      </c>
    </row>
    <row r="10" spans="1:15" ht="15.75" customHeight="1" x14ac:dyDescent="0.25">
      <c r="B10" s="5" t="s">
        <v>109</v>
      </c>
      <c r="C10" s="45">
        <v>0.11077869999999999</v>
      </c>
      <c r="D10" s="53">
        <v>0.11077869999999999</v>
      </c>
      <c r="E10" s="53">
        <v>0.15586839999999999</v>
      </c>
      <c r="F10" s="53">
        <v>0.12830440000000001</v>
      </c>
      <c r="G10" s="53">
        <v>0.12531539999999999</v>
      </c>
    </row>
    <row r="11" spans="1:15" ht="15.75" customHeight="1" x14ac:dyDescent="0.25">
      <c r="B11" s="5" t="s">
        <v>110</v>
      </c>
      <c r="C11" s="45">
        <v>8.6072799999999991E-2</v>
      </c>
      <c r="D11" s="53">
        <v>8.6072799999999991E-2</v>
      </c>
      <c r="E11" s="53">
        <v>0.1136279</v>
      </c>
      <c r="F11" s="53">
        <v>0.1007038</v>
      </c>
      <c r="G11" s="53">
        <v>9.7066099999999989E-2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0.70880744425000008</v>
      </c>
      <c r="D14" s="54">
        <v>0.70567137949000003</v>
      </c>
      <c r="E14" s="54">
        <v>0.70567137949000003</v>
      </c>
      <c r="F14" s="54">
        <v>0.64978975866400002</v>
      </c>
      <c r="G14" s="54">
        <v>0.64978975866400002</v>
      </c>
      <c r="H14" s="45">
        <v>0.38900000000000001</v>
      </c>
      <c r="I14" s="55">
        <v>0.38900000000000001</v>
      </c>
      <c r="J14" s="55">
        <v>0.38900000000000001</v>
      </c>
      <c r="K14" s="55">
        <v>0.38900000000000001</v>
      </c>
      <c r="L14" s="45">
        <v>0.33500000000000002</v>
      </c>
      <c r="M14" s="55">
        <v>0.33500000000000002</v>
      </c>
      <c r="N14" s="55">
        <v>0.33500000000000002</v>
      </c>
      <c r="O14" s="55">
        <v>0.33500000000000002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0.37267465161543234</v>
      </c>
      <c r="D15" s="52">
        <f t="shared" si="0"/>
        <v>0.37102578089411375</v>
      </c>
      <c r="E15" s="52">
        <f t="shared" si="0"/>
        <v>0.37102578089411375</v>
      </c>
      <c r="F15" s="52">
        <f t="shared" si="0"/>
        <v>0.34164450994108198</v>
      </c>
      <c r="G15" s="52">
        <f t="shared" si="0"/>
        <v>0.34164450994108198</v>
      </c>
      <c r="H15" s="52">
        <f t="shared" si="0"/>
        <v>0.20452725300000002</v>
      </c>
      <c r="I15" s="52">
        <f t="shared" si="0"/>
        <v>0.20452725300000002</v>
      </c>
      <c r="J15" s="52">
        <f t="shared" si="0"/>
        <v>0.20452725300000002</v>
      </c>
      <c r="K15" s="52">
        <f t="shared" si="0"/>
        <v>0.20452725300000002</v>
      </c>
      <c r="L15" s="52">
        <f t="shared" si="0"/>
        <v>0.17613529500000003</v>
      </c>
      <c r="M15" s="52">
        <f t="shared" si="0"/>
        <v>0.17613529500000003</v>
      </c>
      <c r="N15" s="52">
        <f t="shared" si="0"/>
        <v>0.17613529500000003</v>
      </c>
      <c r="O15" s="52">
        <f t="shared" si="0"/>
        <v>0.17613529500000003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0.61253420000000003</v>
      </c>
      <c r="D2" s="53">
        <v>0.41144239999999999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0.2212047</v>
      </c>
      <c r="D3" s="53">
        <v>0.29817589999999999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7.4739199999999992E-2</v>
      </c>
      <c r="D4" s="53">
        <v>0.23041149999999999</v>
      </c>
      <c r="E4" s="53">
        <v>0.90059200000000006</v>
      </c>
      <c r="F4" s="53">
        <v>0.61897559999999996</v>
      </c>
      <c r="G4" s="53">
        <v>0</v>
      </c>
    </row>
    <row r="5" spans="1:7" x14ac:dyDescent="0.25">
      <c r="B5" s="3" t="s">
        <v>122</v>
      </c>
      <c r="C5" s="52">
        <v>9.1521899999999989E-2</v>
      </c>
      <c r="D5" s="52">
        <v>5.9970299999999997E-2</v>
      </c>
      <c r="E5" s="52">
        <f>1-SUM(E2:E4)</f>
        <v>9.9407999999999941E-2</v>
      </c>
      <c r="F5" s="52">
        <f>1-SUM(F2:F4)</f>
        <v>0.38102440000000004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ht="13.25" customHeight="1" x14ac:dyDescent="0.25">
      <c r="A2" s="8" t="s">
        <v>137</v>
      </c>
      <c r="B2" s="41">
        <v>10</v>
      </c>
    </row>
    <row r="3" spans="1:2" ht="13.25" customHeight="1" x14ac:dyDescent="0.25">
      <c r="A3" s="8" t="s">
        <v>138</v>
      </c>
      <c r="B3" s="41">
        <v>10</v>
      </c>
    </row>
    <row r="4" spans="1:2" ht="13.25" customHeight="1" x14ac:dyDescent="0.25">
      <c r="A4" s="8" t="s">
        <v>139</v>
      </c>
      <c r="B4" s="41">
        <v>10</v>
      </c>
    </row>
    <row r="5" spans="1:2" ht="13.25" customHeight="1" x14ac:dyDescent="0.25">
      <c r="A5" s="8" t="s">
        <v>140</v>
      </c>
      <c r="B5" s="41">
        <v>10</v>
      </c>
    </row>
    <row r="6" spans="1:2" ht="13.25" customHeight="1" x14ac:dyDescent="0.25">
      <c r="A6" s="8" t="s">
        <v>141</v>
      </c>
      <c r="B6" s="41">
        <v>10</v>
      </c>
    </row>
    <row r="7" spans="1:2" ht="13.25" customHeight="1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ht="13.25" customHeight="1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ht="13.25" customHeight="1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ht="13.25" customHeight="1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ht="13.25" customHeight="1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67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77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ht="13.25" customHeight="1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ht="13.25" customHeight="1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ht="13.25" customHeight="1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ht="13.25" customHeight="1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abSelected="1"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65.60734264525216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</v>
      </c>
      <c r="C3" s="98">
        <v>0.95</v>
      </c>
      <c r="D3" s="56">
        <v>19.75203299904819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7.2861200073283072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3.0405569014717328E-2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0.19283527130965261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0.78848199824391296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0.41709554979569308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</v>
      </c>
      <c r="C10" s="98">
        <v>0.95</v>
      </c>
      <c r="D10" s="56">
        <v>14.98391555624624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14.98391555624624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14.98391555624624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14.98391555624624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</v>
      </c>
      <c r="C14" s="98">
        <v>0.95</v>
      </c>
      <c r="D14" s="56">
        <v>14.98391555624624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14.98391555624624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0.192884</v>
      </c>
      <c r="C16" s="98">
        <v>0.95</v>
      </c>
      <c r="D16" s="56">
        <v>2.503642449664842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0.41144239999999999</v>
      </c>
      <c r="C18" s="98">
        <v>0.95</v>
      </c>
      <c r="D18" s="56">
        <v>7.2861200073283072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0.41144239999999999</v>
      </c>
      <c r="C19" s="98">
        <v>0.95</v>
      </c>
      <c r="D19" s="56">
        <v>7.2861200073283072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</v>
      </c>
      <c r="C21" s="98">
        <v>0.95</v>
      </c>
      <c r="D21" s="56">
        <v>7.4846345450640612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25.501496741923479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0.3422287</v>
      </c>
      <c r="C23" s="98">
        <v>0.95</v>
      </c>
      <c r="D23" s="56">
        <v>4.8905827235809092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8.774884088691999E-2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</v>
      </c>
      <c r="C26" s="98">
        <v>0.95</v>
      </c>
      <c r="D26" s="56">
        <v>3.4665816434934871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13.803307962555669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0.3860053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0.49399999999999999</v>
      </c>
      <c r="C29" s="98">
        <v>0.95</v>
      </c>
      <c r="D29" s="56">
        <v>88.005851455993124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0.46089999999999998</v>
      </c>
      <c r="C31" s="98">
        <v>0.95</v>
      </c>
      <c r="D31" s="56">
        <v>180.94215297303569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0.9</v>
      </c>
      <c r="C32" s="98">
        <v>0.95</v>
      </c>
      <c r="D32" s="56">
        <v>0.65266805708153031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5.5999999999999987E-2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0.157411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1.34567E-2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4.4852499999999997E-2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3.0882199999999999E-2</v>
      </c>
      <c r="C38" s="98">
        <v>0.95</v>
      </c>
      <c r="D38" s="56">
        <v>2.4488574538288082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3.4277904548683669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ht="13.25" customHeight="1" x14ac:dyDescent="0.25">
      <c r="A2" s="57" t="s">
        <v>179</v>
      </c>
      <c r="B2" s="47" t="s">
        <v>189</v>
      </c>
      <c r="C2" s="47"/>
    </row>
    <row r="3" spans="1:3" ht="13.25" customHeight="1" x14ac:dyDescent="0.25">
      <c r="A3" s="57" t="s">
        <v>180</v>
      </c>
      <c r="B3" s="47" t="s">
        <v>189</v>
      </c>
      <c r="C3" s="47"/>
    </row>
    <row r="4" spans="1:3" ht="13.25" customHeight="1" x14ac:dyDescent="0.25">
      <c r="A4" s="57" t="s">
        <v>191</v>
      </c>
      <c r="B4" s="47" t="s">
        <v>184</v>
      </c>
      <c r="C4" s="47"/>
    </row>
    <row r="5" spans="1:3" ht="13.25" customHeight="1" x14ac:dyDescent="0.25">
      <c r="A5" s="57" t="s">
        <v>188</v>
      </c>
      <c r="B5" s="47" t="s">
        <v>184</v>
      </c>
      <c r="C5" s="47"/>
    </row>
    <row r="6" spans="1:3" ht="13.25" customHeight="1" x14ac:dyDescent="0.25">
      <c r="A6" s="57" t="s">
        <v>191</v>
      </c>
      <c r="B6" s="58" t="s">
        <v>192</v>
      </c>
      <c r="C6" s="58"/>
    </row>
    <row r="7" spans="1:3" ht="13.25" customHeight="1" x14ac:dyDescent="0.25">
      <c r="A7" s="57" t="s">
        <v>188</v>
      </c>
      <c r="B7" s="58" t="s">
        <v>192</v>
      </c>
      <c r="C7" s="58"/>
    </row>
    <row r="8" spans="1:3" ht="13.25" customHeight="1" x14ac:dyDescent="0.25">
      <c r="A8" s="57" t="s">
        <v>200</v>
      </c>
      <c r="B8" s="58" t="s">
        <v>192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ht="13.25" customHeight="1" x14ac:dyDescent="0.25">
      <c r="A2" s="33" t="s">
        <v>171</v>
      </c>
    </row>
    <row r="3" spans="1:1" ht="13.25" customHeight="1" x14ac:dyDescent="0.25">
      <c r="A3" s="33" t="s">
        <v>181</v>
      </c>
    </row>
    <row r="4" spans="1:1" ht="13.25" customHeight="1" x14ac:dyDescent="0.25">
      <c r="A4" s="33" t="s">
        <v>185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157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2.9</v>
      </c>
      <c r="C2" s="21">
        <f>'Baseline year population inputs'!C52</f>
        <v>2.9</v>
      </c>
      <c r="D2" s="21">
        <f>'Baseline year population inputs'!C53</f>
        <v>2.9</v>
      </c>
      <c r="E2" s="21">
        <f>'Baseline year population inputs'!C54</f>
        <v>2.9</v>
      </c>
      <c r="F2" s="21">
        <f>'Baseline year population inputs'!C55</f>
        <v>2.9</v>
      </c>
    </row>
    <row r="3" spans="1:6" ht="15.75" customHeight="1" x14ac:dyDescent="0.25">
      <c r="A3" s="3" t="s">
        <v>204</v>
      </c>
      <c r="B3" s="21">
        <f>frac_mam_1month * 2.6</f>
        <v>0.28802462000000001</v>
      </c>
      <c r="C3" s="21">
        <f>frac_mam_1_5months * 2.6</f>
        <v>0.28802462000000001</v>
      </c>
      <c r="D3" s="21">
        <f>frac_mam_6_11months * 2.6</f>
        <v>0.40525783999999998</v>
      </c>
      <c r="E3" s="21">
        <f>frac_mam_12_23months * 2.6</f>
        <v>0.33359144000000007</v>
      </c>
      <c r="F3" s="21">
        <f>frac_mam_24_59months * 2.6</f>
        <v>0.32582003999999998</v>
      </c>
    </row>
    <row r="4" spans="1:6" ht="15.75" customHeight="1" x14ac:dyDescent="0.25">
      <c r="A4" s="3" t="s">
        <v>205</v>
      </c>
      <c r="B4" s="21">
        <f>frac_sam_1month * 2.6</f>
        <v>0.22378927999999998</v>
      </c>
      <c r="C4" s="21">
        <f>frac_sam_1_5months * 2.6</f>
        <v>0.22378927999999998</v>
      </c>
      <c r="D4" s="21">
        <f>frac_sam_6_11months * 2.6</f>
        <v>0.29543254000000002</v>
      </c>
      <c r="E4" s="21">
        <f>frac_sam_12_23months * 2.6</f>
        <v>0.26182988000000001</v>
      </c>
      <c r="F4" s="21">
        <f>frac_sam_24_59months * 2.6</f>
        <v>0.25237186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0.42699999999999999</v>
      </c>
      <c r="E2" s="60">
        <f>food_insecure</f>
        <v>0.42699999999999999</v>
      </c>
      <c r="F2" s="60">
        <f>food_insecure</f>
        <v>0.42699999999999999</v>
      </c>
      <c r="G2" s="60">
        <f>food_insecure</f>
        <v>0.42699999999999999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0.42699999999999999</v>
      </c>
      <c r="F5" s="60">
        <f>food_insecure</f>
        <v>0.42699999999999999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5.9999999999999984E-2</v>
      </c>
      <c r="D7" s="60">
        <f>diarrhoea_1_5mo*frac_diarrhea_severe</f>
        <v>5.9999999999999984E-2</v>
      </c>
      <c r="E7" s="60">
        <f>diarrhoea_6_11mo*frac_diarrhea_severe</f>
        <v>5.9999999999999984E-2</v>
      </c>
      <c r="F7" s="60">
        <f>diarrhoea_12_23mo*frac_diarrhea_severe</f>
        <v>5.9999999999999984E-2</v>
      </c>
      <c r="G7" s="60">
        <f>diarrhoea_24_59mo*frac_diarrhea_severe</f>
        <v>5.9999999999999984E-2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0.42699999999999999</v>
      </c>
      <c r="F8" s="60">
        <f>food_insecure</f>
        <v>0.42699999999999999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0.42699999999999999</v>
      </c>
      <c r="F9" s="60">
        <f>food_insecure</f>
        <v>0.42699999999999999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5.9999999999999984E-2</v>
      </c>
      <c r="D12" s="60">
        <f>diarrhoea_1_5mo*frac_diarrhea_severe</f>
        <v>5.9999999999999984E-2</v>
      </c>
      <c r="E12" s="60">
        <f>diarrhoea_6_11mo*frac_diarrhea_severe</f>
        <v>5.9999999999999984E-2</v>
      </c>
      <c r="F12" s="60">
        <f>diarrhoea_12_23mo*frac_diarrhea_severe</f>
        <v>5.9999999999999984E-2</v>
      </c>
      <c r="G12" s="60">
        <f>diarrhoea_24_59mo*frac_diarrhea_severe</f>
        <v>5.9999999999999984E-2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0.42699999999999999</v>
      </c>
      <c r="I15" s="60">
        <f>food_insecure</f>
        <v>0.42699999999999999</v>
      </c>
      <c r="J15" s="60">
        <f>food_insecure</f>
        <v>0.42699999999999999</v>
      </c>
      <c r="K15" s="60">
        <f>food_insecure</f>
        <v>0.42699999999999999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0.39</v>
      </c>
      <c r="I19" s="60">
        <f>frac_malaria_risk</f>
        <v>0.39</v>
      </c>
      <c r="J19" s="60">
        <f>frac_malaria_risk</f>
        <v>0.39</v>
      </c>
      <c r="K19" s="60">
        <f>frac_malaria_risk</f>
        <v>0.39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0.94400000000000006</v>
      </c>
      <c r="M24" s="60">
        <f>famplan_unmet_need</f>
        <v>0.94400000000000006</v>
      </c>
      <c r="N24" s="60">
        <f>famplan_unmet_need</f>
        <v>0.94400000000000006</v>
      </c>
      <c r="O24" s="60">
        <f>famplan_unmet_need</f>
        <v>0.94400000000000006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0.55628066465883252</v>
      </c>
      <c r="M25" s="60">
        <f>(1-food_insecure)*(0.49)+food_insecure*(0.7)</f>
        <v>0.57966999999999991</v>
      </c>
      <c r="N25" s="60">
        <f>(1-food_insecure)*(0.49)+food_insecure*(0.7)</f>
        <v>0.57966999999999991</v>
      </c>
      <c r="O25" s="60">
        <f>(1-food_insecure)*(0.49)+food_insecure*(0.7)</f>
        <v>0.57966999999999991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0.23840599913949964</v>
      </c>
      <c r="M26" s="60">
        <f>(1-food_insecure)*(0.21)+food_insecure*(0.3)</f>
        <v>0.24842999999999998</v>
      </c>
      <c r="N26" s="60">
        <f>(1-food_insecure)*(0.21)+food_insecure*(0.3)</f>
        <v>0.24842999999999998</v>
      </c>
      <c r="O26" s="60">
        <f>(1-food_insecure)*(0.21)+food_insecure*(0.3)</f>
        <v>0.24842999999999998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0.16496393854236599</v>
      </c>
      <c r="M27" s="60">
        <f>(1-food_insecure)*(0.3)</f>
        <v>0.17189999999999997</v>
      </c>
      <c r="N27" s="60">
        <f>(1-food_insecure)*(0.3)</f>
        <v>0.17189999999999997</v>
      </c>
      <c r="O27" s="60">
        <f>(1-food_insecure)*(0.3)</f>
        <v>0.17189999999999997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4.0349397659301803E-2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0.39</v>
      </c>
      <c r="D34" s="60">
        <f t="shared" si="3"/>
        <v>0.39</v>
      </c>
      <c r="E34" s="60">
        <f t="shared" si="3"/>
        <v>0.39</v>
      </c>
      <c r="F34" s="60">
        <f t="shared" si="3"/>
        <v>0.39</v>
      </c>
      <c r="G34" s="60">
        <f t="shared" si="3"/>
        <v>0.39</v>
      </c>
      <c r="H34" s="60">
        <f t="shared" si="3"/>
        <v>0.39</v>
      </c>
      <c r="I34" s="60">
        <f t="shared" si="3"/>
        <v>0.39</v>
      </c>
      <c r="J34" s="60">
        <f t="shared" si="3"/>
        <v>0.39</v>
      </c>
      <c r="K34" s="60">
        <f t="shared" si="3"/>
        <v>0.39</v>
      </c>
      <c r="L34" s="60">
        <f t="shared" si="3"/>
        <v>0.39</v>
      </c>
      <c r="M34" s="60">
        <f t="shared" si="3"/>
        <v>0.39</v>
      </c>
      <c r="N34" s="60">
        <f t="shared" si="3"/>
        <v>0.39</v>
      </c>
      <c r="O34" s="60">
        <f t="shared" si="3"/>
        <v>0.39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ht="13.25" customHeight="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ht="13.25" customHeight="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ht="13.25" customHeight="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ht="13.25" customHeight="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ht="13.25" customHeight="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ht="13.25" customHeight="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ht="13.25" customHeight="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ht="13.25" customHeight="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ht="13.25" customHeight="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ht="13.25" customHeight="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ht="13.25" customHeight="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ht="13.25" customHeight="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ht="13.25" customHeight="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ht="13.25" customHeight="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ht="13.25" customHeight="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ht="13.25" customHeight="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ht="13.25" customHeight="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ht="13.25" customHeight="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ht="13.25" customHeight="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ht="13.25" customHeight="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ht="13.25" customHeight="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ht="13.25" customHeight="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ht="13.25" customHeight="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A8" sqref="A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67</v>
      </c>
      <c r="C5" s="8" t="s">
        <v>145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146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77</v>
      </c>
      <c r="C8" s="8" t="s">
        <v>145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146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146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67</v>
      </c>
      <c r="C58" s="8" t="s">
        <v>145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146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77</v>
      </c>
      <c r="C61" s="8" t="s">
        <v>145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146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67</v>
      </c>
      <c r="C111" s="8" t="s">
        <v>145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146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147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77</v>
      </c>
      <c r="C114" s="8" t="s">
        <v>145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146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147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78</v>
      </c>
      <c r="C117" s="8" t="s">
        <v>145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146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147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79</v>
      </c>
      <c r="C120" s="8" t="s">
        <v>145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146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147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146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147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67</v>
      </c>
      <c r="C128" s="8" t="s">
        <v>145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146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147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77</v>
      </c>
      <c r="C131" s="8" t="s">
        <v>145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146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147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78</v>
      </c>
      <c r="C134" s="8" t="s">
        <v>145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146</v>
      </c>
      <c r="D135" s="88">
        <f t="shared" ref="D135:H144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147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79</v>
      </c>
      <c r="C137" s="8" t="s">
        <v>145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146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147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146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147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67</v>
      </c>
      <c r="C145" s="8" t="s">
        <v>145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146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147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77</v>
      </c>
      <c r="C148" s="8" t="s">
        <v>145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146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147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78</v>
      </c>
      <c r="C151" s="8" t="s">
        <v>145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146</v>
      </c>
      <c r="D152" s="88">
        <f t="shared" ref="D152:H161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147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79</v>
      </c>
      <c r="C154" s="8" t="s">
        <v>145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146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147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9:B21"/>
    <mergeCell ref="B2:B4"/>
    <mergeCell ref="B5:B7"/>
    <mergeCell ref="B8:B10"/>
    <mergeCell ref="B11:B13"/>
    <mergeCell ref="B14:B16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55:B57"/>
    <mergeCell ref="B58:B60"/>
    <mergeCell ref="B61:B63"/>
    <mergeCell ref="B64:B66"/>
    <mergeCell ref="B67:B69"/>
    <mergeCell ref="B72:B74"/>
    <mergeCell ref="B75:B77"/>
    <mergeCell ref="B78:B80"/>
    <mergeCell ref="B81:B83"/>
    <mergeCell ref="B84:B86"/>
    <mergeCell ref="B108:B110"/>
    <mergeCell ref="B89:B91"/>
    <mergeCell ref="B92:B94"/>
    <mergeCell ref="B95:B97"/>
    <mergeCell ref="B98:B100"/>
    <mergeCell ref="B101:B103"/>
    <mergeCell ref="B111:B113"/>
    <mergeCell ref="B114:B116"/>
    <mergeCell ref="B117:B119"/>
    <mergeCell ref="B120:B122"/>
    <mergeCell ref="B125:B127"/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A8" sqref="A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A8" sqref="A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A8" sqref="A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289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302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111</v>
      </c>
      <c r="B40" s="11" t="s">
        <v>303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307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316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111</v>
      </c>
      <c r="B63" s="11" t="s">
        <v>317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A8" sqref="A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A8" sqref="A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175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49" sqref="C49:O61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ht="13.25" customHeight="1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ht="13.25" customHeight="1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ht="13.25" customHeight="1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A8" sqref="A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ht="13.25" customHeight="1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340</v>
      </c>
      <c r="D18" s="90">
        <v>0</v>
      </c>
      <c r="E18" s="90">
        <v>0</v>
      </c>
      <c r="F18" s="90">
        <f>MIN(MAX(1-0.89/(1-frac_sam_6_11months+(frac_sam_6_11months*0.89)),0),1)</f>
        <v>9.8735026914116397E-2</v>
      </c>
      <c r="G18" s="90">
        <f>MIN(MAX(1-0.89/(1-frac_sam_12_23months+(frac_sam_12_23months*0.89)),0),1)</f>
        <v>0.10003066347209777</v>
      </c>
      <c r="H18" s="90">
        <f>MIN(MAX(1-0.89/(1-frac_sam_24_59months+(frac_sam_24_59months*0.89)),0),1)</f>
        <v>0.10039467009960912</v>
      </c>
    </row>
    <row r="19" spans="1:8" ht="13.25" customHeight="1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340</v>
      </c>
      <c r="D20" s="90">
        <v>0</v>
      </c>
      <c r="E20" s="90">
        <v>0</v>
      </c>
      <c r="F20" s="90">
        <f>MIN(MAX(1-0.89/(1-frac_mam_6_11months+(frac_mam_6_11months*0.89)),0),1)</f>
        <v>9.4474287157847781E-2</v>
      </c>
      <c r="G20" s="90">
        <f>MIN(MAX(1-0.89/(1-frac_mam_12_23months+(frac_mam_12_23months*0.89)),0),1)</f>
        <v>9.7259181907707548E-2</v>
      </c>
      <c r="H20" s="90">
        <f>MIN(MAX(1-0.89/(1-frac_mam_24_59months+(frac_mam_24_59months*0.89)),0),1)</f>
        <v>9.7560142713907561E-2</v>
      </c>
    </row>
    <row r="21" spans="1:8" ht="13.25" customHeight="1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339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8.8738041172685689E-3</v>
      </c>
      <c r="G73" s="90">
        <f>MIN(MAX(1-0.99/(1-frac_sam_12_23months+(frac_sam_12_23months*0.99)),0),1)</f>
        <v>9.0020273836524112E-3</v>
      </c>
      <c r="H73" s="90">
        <f>MIN(MAX(1-0.99/(1-frac_sam_24_59months+(frac_sam_24_59months*0.99)),0),1)</f>
        <v>9.0381119427764833E-3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8.4544938843456041E-3</v>
      </c>
      <c r="G75" s="90">
        <f>MIN(MAX(1-0.99/(1-frac_mam_12_23months+(frac_mam_12_23months*0.99)),0),1)</f>
        <v>8.7281546063988635E-3</v>
      </c>
      <c r="H75" s="90">
        <f>MIN(MAX(1-0.99/(1-frac_mam_24_59months+(frac_mam_24_59months*0.99)),0),1)</f>
        <v>8.7578208982899142E-3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0.18139676673415839</v>
      </c>
      <c r="G128" s="90">
        <f>MIN(MAX(1-0.8/(1-frac_sam_12_23months+(frac_sam_12_23months*0.8)),0),1)</f>
        <v>0.18355620139888662</v>
      </c>
      <c r="H128" s="90">
        <f>MIN(MAX(1-0.8/(1-frac_sam_24_59months+(frac_sam_24_59months*0.8)),0),1)</f>
        <v>0.18416195657869261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0.17425860189264875</v>
      </c>
      <c r="G130" s="90">
        <f>MIN(MAX(1-0.8/(1-frac_mam_12_23months+(frac_mam_12_23months*0.8)),0),1)</f>
        <v>0.17893063762029793</v>
      </c>
      <c r="H130" s="90">
        <f>MIN(MAX(1-0.8/(1-frac_mam_24_59months+(frac_mam_24_59months*0.8)),0),1)</f>
        <v>0.17943409097688079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A8" sqref="A8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ht="13.25" customHeight="1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339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ht="13.25" customHeight="1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ht="13.25" customHeight="1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339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2024-08-06T06:32:20Z</dcterms:modified>
</cp:coreProperties>
</file>