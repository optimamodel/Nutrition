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CDA1409-CE91-4953-91C0-B874B85C803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38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<sst xmlns="http://schemas.openxmlformats.org/spreadsheetml/2006/main" count="2092" uniqueCount="341">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</sst>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110238.72719999999</v>
      </c>
      <c r="C2" s="49">
        <v>286000</v>
      </c>
      <c r="D2" s="49">
        <v>526000</v>
      </c>
      <c r="E2" s="49">
        <v>555000</v>
      </c>
      <c r="F2" s="49">
        <v>541000</v>
      </c>
      <c r="G2" s="17">
        <f t="shared" ref="G2:G13" si="0">C2+D2+E2+F2</f>
        <v>1908000</v>
      </c>
      <c r="H2" s="17">
        <f t="shared" ref="H2:H13" si="1">(B2 + stillbirth*B2/(1000-stillbirth))/(1-abortion)</f>
        <v>128202.2536523155</v>
      </c>
      <c r="I2" s="17">
        <f t="shared" ref="I2:I13" si="2">G2-H2</f>
        <v>1779797.7463476844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108306.864</v>
      </c>
      <c r="C3" s="50">
        <v>290000</v>
      </c>
      <c r="D3" s="50">
        <v>529000</v>
      </c>
      <c r="E3" s="50">
        <v>550000</v>
      </c>
      <c r="F3" s="50">
        <v>547000</v>
      </c>
      <c r="G3" s="17">
        <f t="shared" si="0"/>
        <v>1916000</v>
      </c>
      <c r="H3" s="17">
        <f t="shared" si="1"/>
        <v>125955.5911383458</v>
      </c>
      <c r="I3" s="17">
        <f t="shared" si="2"/>
        <v>1790044.4088616541</v>
      </c>
    </row>
    <row r="4" spans="1:9" ht="15.75" customHeight="1" x14ac:dyDescent="0.25">
      <c r="A4" s="5">
        <f t="shared" si="3"/>
        <v>2026</v>
      </c>
      <c r="B4" s="49">
        <v>107228.0664</v>
      </c>
      <c r="C4" s="50">
        <v>294000</v>
      </c>
      <c r="D4" s="50">
        <v>533000</v>
      </c>
      <c r="E4" s="50">
        <v>544000</v>
      </c>
      <c r="F4" s="50">
        <v>551000</v>
      </c>
      <c r="G4" s="17">
        <f t="shared" si="0"/>
        <v>1922000</v>
      </c>
      <c r="H4" s="17">
        <f t="shared" si="1"/>
        <v>124701.00223780642</v>
      </c>
      <c r="I4" s="17">
        <f t="shared" si="2"/>
        <v>1797298.9977621937</v>
      </c>
    </row>
    <row r="5" spans="1:9" ht="15.75" customHeight="1" x14ac:dyDescent="0.25">
      <c r="A5" s="5">
        <f t="shared" si="3"/>
        <v>2027</v>
      </c>
      <c r="B5" s="49">
        <v>106095.4908</v>
      </c>
      <c r="C5" s="50">
        <v>298000</v>
      </c>
      <c r="D5" s="50">
        <v>537000</v>
      </c>
      <c r="E5" s="50">
        <v>538000</v>
      </c>
      <c r="F5" s="50">
        <v>554000</v>
      </c>
      <c r="G5" s="17">
        <f t="shared" si="0"/>
        <v>1927000</v>
      </c>
      <c r="H5" s="17">
        <f t="shared" si="1"/>
        <v>123383.87215077087</v>
      </c>
      <c r="I5" s="17">
        <f t="shared" si="2"/>
        <v>1803616.1278492291</v>
      </c>
    </row>
    <row r="6" spans="1:9" ht="15.75" customHeight="1" x14ac:dyDescent="0.25">
      <c r="A6" s="5">
        <f t="shared" si="3"/>
        <v>2028</v>
      </c>
      <c r="B6" s="49">
        <v>104880.99</v>
      </c>
      <c r="C6" s="50">
        <v>302000</v>
      </c>
      <c r="D6" s="50">
        <v>543000</v>
      </c>
      <c r="E6" s="50">
        <v>532000</v>
      </c>
      <c r="F6" s="50">
        <v>556000</v>
      </c>
      <c r="G6" s="17">
        <f t="shared" si="0"/>
        <v>1933000</v>
      </c>
      <c r="H6" s="17">
        <f t="shared" si="1"/>
        <v>121971.46705886465</v>
      </c>
      <c r="I6" s="17">
        <f t="shared" si="2"/>
        <v>1811028.5329411353</v>
      </c>
    </row>
    <row r="7" spans="1:9" ht="15.75" customHeight="1" x14ac:dyDescent="0.25">
      <c r="A7" s="5">
        <f t="shared" si="3"/>
        <v>2029</v>
      </c>
      <c r="B7" s="49">
        <v>103601.442</v>
      </c>
      <c r="C7" s="50">
        <v>304000</v>
      </c>
      <c r="D7" s="50">
        <v>549000</v>
      </c>
      <c r="E7" s="50">
        <v>526000</v>
      </c>
      <c r="F7" s="50">
        <v>558000</v>
      </c>
      <c r="G7" s="17">
        <f t="shared" si="0"/>
        <v>1937000</v>
      </c>
      <c r="H7" s="17">
        <f t="shared" si="1"/>
        <v>120483.4152514567</v>
      </c>
      <c r="I7" s="17">
        <f t="shared" si="2"/>
        <v>1816516.5847485433</v>
      </c>
    </row>
    <row r="8" spans="1:9" ht="15.75" customHeight="1" x14ac:dyDescent="0.25">
      <c r="A8" s="5">
        <f t="shared" si="3"/>
        <v>2030</v>
      </c>
      <c r="B8" s="49">
        <v>102244.692</v>
      </c>
      <c r="C8" s="50">
        <v>305000</v>
      </c>
      <c r="D8" s="50">
        <v>557000</v>
      </c>
      <c r="E8" s="50">
        <v>523000</v>
      </c>
      <c r="F8" s="50">
        <v>557000</v>
      </c>
      <c r="G8" s="17">
        <f t="shared" si="0"/>
        <v>1942000</v>
      </c>
      <c r="H8" s="17">
        <f t="shared" si="1"/>
        <v>118905.58129001035</v>
      </c>
      <c r="I8" s="17">
        <f t="shared" si="2"/>
        <v>1823094.4187099896</v>
      </c>
    </row>
    <row r="9" spans="1:9" ht="15.75" customHeight="1" x14ac:dyDescent="0.25">
      <c r="A9" s="5">
        <f t="shared" si="3"/>
        <v>2031</v>
      </c>
      <c r="B9" s="49">
        <v>101102.6869714286</v>
      </c>
      <c r="C9" s="50">
        <v>307714.28571428568</v>
      </c>
      <c r="D9" s="50">
        <v>561428.57142857148</v>
      </c>
      <c r="E9" s="50">
        <v>518428.57142857142</v>
      </c>
      <c r="F9" s="50">
        <v>559285.71428571432</v>
      </c>
      <c r="G9" s="17">
        <f t="shared" si="0"/>
        <v>1946857.142857143</v>
      </c>
      <c r="H9" s="17">
        <f t="shared" si="1"/>
        <v>117577.4852382525</v>
      </c>
      <c r="I9" s="17">
        <f t="shared" si="2"/>
        <v>1829279.6576188905</v>
      </c>
    </row>
    <row r="10" spans="1:9" ht="15.75" customHeight="1" x14ac:dyDescent="0.25">
      <c r="A10" s="5">
        <f t="shared" si="3"/>
        <v>2032</v>
      </c>
      <c r="B10" s="49">
        <v>100073.5188244898</v>
      </c>
      <c r="C10" s="50">
        <v>310244.89795918373</v>
      </c>
      <c r="D10" s="50">
        <v>566061.22448979598</v>
      </c>
      <c r="E10" s="50">
        <v>513918.36734693882</v>
      </c>
      <c r="F10" s="50">
        <v>561040.81632653065</v>
      </c>
      <c r="G10" s="17">
        <f t="shared" si="0"/>
        <v>1951265.3061224492</v>
      </c>
      <c r="H10" s="17">
        <f t="shared" si="1"/>
        <v>116380.61296681057</v>
      </c>
      <c r="I10" s="17">
        <f t="shared" si="2"/>
        <v>1834884.6931556386</v>
      </c>
    </row>
    <row r="11" spans="1:9" ht="15.75" customHeight="1" x14ac:dyDescent="0.25">
      <c r="A11" s="5">
        <f t="shared" si="3"/>
        <v>2033</v>
      </c>
      <c r="B11" s="49">
        <v>99051.440599416921</v>
      </c>
      <c r="C11" s="50">
        <v>312565.59766763862</v>
      </c>
      <c r="D11" s="50">
        <v>570784.25655976683</v>
      </c>
      <c r="E11" s="50">
        <v>509620.99125364429</v>
      </c>
      <c r="F11" s="50">
        <v>562475.2186588922</v>
      </c>
      <c r="G11" s="17">
        <f t="shared" si="0"/>
        <v>1955446.0641399419</v>
      </c>
      <c r="H11" s="17">
        <f t="shared" si="1"/>
        <v>115191.98592809688</v>
      </c>
      <c r="I11" s="17">
        <f t="shared" si="2"/>
        <v>1840254.0782118451</v>
      </c>
    </row>
    <row r="12" spans="1:9" ht="15.75" customHeight="1" x14ac:dyDescent="0.25">
      <c r="A12" s="5">
        <f t="shared" si="3"/>
        <v>2034</v>
      </c>
      <c r="B12" s="49">
        <v>98045.147713619343</v>
      </c>
      <c r="C12" s="50">
        <v>314646.39733444399</v>
      </c>
      <c r="D12" s="50">
        <v>575610.57892544777</v>
      </c>
      <c r="E12" s="50">
        <v>505566.84714702202</v>
      </c>
      <c r="F12" s="50">
        <v>563685.96418159106</v>
      </c>
      <c r="G12" s="17">
        <f t="shared" si="0"/>
        <v>1959509.7875885048</v>
      </c>
      <c r="H12" s="17">
        <f t="shared" si="1"/>
        <v>114021.7164677149</v>
      </c>
      <c r="I12" s="17">
        <f t="shared" si="2"/>
        <v>1845488.07112079</v>
      </c>
    </row>
    <row r="13" spans="1:9" ht="15.75" customHeight="1" x14ac:dyDescent="0.25">
      <c r="A13" s="5">
        <f t="shared" si="3"/>
        <v>2035</v>
      </c>
      <c r="B13" s="49">
        <v>97068.598815564968</v>
      </c>
      <c r="C13" s="50">
        <v>316453.02552507888</v>
      </c>
      <c r="D13" s="50">
        <v>580269.23305765458</v>
      </c>
      <c r="E13" s="50">
        <v>501790.68245373952</v>
      </c>
      <c r="F13" s="50">
        <v>564783.9590646755</v>
      </c>
      <c r="G13" s="17">
        <f t="shared" si="0"/>
        <v>1963296.9001011485</v>
      </c>
      <c r="H13" s="17">
        <f t="shared" si="1"/>
        <v>112886.03781183636</v>
      </c>
      <c r="I13" s="17">
        <f t="shared" si="2"/>
        <v>1850410.8622893121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0.16341938603013001</v>
      </c>
      <c r="C2" s="98">
        <v>0.95</v>
      </c>
      <c r="D2" s="56">
        <v>64.29093262320508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40.020474605796252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512.5680000000001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4.8317376029256556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13.152774049592161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13.152774049592161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13.152774049592161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13.152774049592161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13.152774049592161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13.152774049592161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0.24251285881340001</v>
      </c>
      <c r="C16" s="98">
        <v>0.95</v>
      </c>
      <c r="D16" s="56">
        <v>0.85953984948750384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11.78698314040644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11.78698314040644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0.1875019</v>
      </c>
      <c r="C21" s="98">
        <v>0.95</v>
      </c>
      <c r="D21" s="56">
        <v>58.128221470678056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22.771204442043111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1.9946800000000001E-2</v>
      </c>
      <c r="C23" s="98">
        <v>0.95</v>
      </c>
      <c r="D23" s="56">
        <v>4.3672092908488347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0.59740204517642004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0.20952881255868</v>
      </c>
      <c r="C27" s="98">
        <v>0.95</v>
      </c>
      <c r="D27" s="56">
        <v>18.71344244008349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0.54128999999999994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127.9390120424794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0.15140000000000001</v>
      </c>
      <c r="C31" s="98">
        <v>0.95</v>
      </c>
      <c r="D31" s="56">
        <v>2.5115655401273451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0.51254100000000002</v>
      </c>
      <c r="C32" s="98">
        <v>0.95</v>
      </c>
      <c r="D32" s="56">
        <v>1.860022605358038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0.22523380000000001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4.7268639492853088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8.6074300000000006E-2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0.88295880149812733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2024-03-28T03:04:18Z</dcterms:modified>
</cp:coreProperties>
</file>