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AF69E4E3-657C-4D8A-B8B0-56FBA2B521B4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A40" i="2"/>
  <c r="H39" i="2"/>
  <c r="G39" i="2"/>
  <c r="I39" i="2" s="1"/>
  <c r="A39" i="2"/>
  <c r="I38" i="2"/>
  <c r="H38" i="2"/>
  <c r="G38" i="2"/>
  <c r="A37" i="2"/>
  <c r="A36" i="2"/>
  <c r="A35" i="2"/>
  <c r="A34" i="2"/>
  <c r="A33" i="2"/>
  <c r="A29" i="2"/>
  <c r="A28" i="2"/>
  <c r="A27" i="2"/>
  <c r="A26" i="2"/>
  <c r="A25" i="2"/>
  <c r="A21" i="2"/>
  <c r="A20" i="2"/>
  <c r="A19" i="2"/>
  <c r="A18" i="2"/>
  <c r="A17" i="2"/>
  <c r="H13" i="2"/>
  <c r="G13" i="2"/>
  <c r="I13" i="2" s="1"/>
  <c r="I12" i="2"/>
  <c r="H12" i="2"/>
  <c r="G12" i="2"/>
  <c r="H11" i="2"/>
  <c r="G11" i="2"/>
  <c r="I11" i="2" s="1"/>
  <c r="I10" i="2"/>
  <c r="H10" i="2"/>
  <c r="G10" i="2"/>
  <c r="H9" i="2"/>
  <c r="G9" i="2"/>
  <c r="I9" i="2" s="1"/>
  <c r="I8" i="2"/>
  <c r="H8" i="2"/>
  <c r="G8" i="2"/>
  <c r="H7" i="2"/>
  <c r="G7" i="2"/>
  <c r="I7" i="2" s="1"/>
  <c r="I6" i="2"/>
  <c r="H6" i="2"/>
  <c r="G6" i="2"/>
  <c r="H5" i="2"/>
  <c r="G5" i="2"/>
  <c r="I5" i="2" s="1"/>
  <c r="I4" i="2"/>
  <c r="H4" i="2"/>
  <c r="G4" i="2"/>
  <c r="H3" i="2"/>
  <c r="G3" i="2"/>
  <c r="I3" i="2" s="1"/>
  <c r="A3" i="2"/>
  <c r="I2" i="2"/>
  <c r="H2" i="2"/>
  <c r="G2" i="2"/>
  <c r="A2" i="2"/>
  <c r="A32" i="2" s="1"/>
  <c r="C33" i="1"/>
  <c r="C20" i="1"/>
  <c r="A15" i="2" l="1"/>
  <c r="A23" i="2"/>
  <c r="A3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16" i="2"/>
  <c r="A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<sst xmlns="http://schemas.openxmlformats.org/spreadsheetml/2006/main" count="2094" uniqueCount="341">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</sst>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775167.515625</v>
      </c>
    </row>
    <row r="8" spans="1:3" ht="15" customHeight="1" x14ac:dyDescent="0.25">
      <c r="B8" s="5" t="s">
        <v>8</v>
      </c>
      <c r="C8" s="44">
        <v>0.40899999999999997</v>
      </c>
    </row>
    <row r="9" spans="1:3" ht="15" customHeight="1" x14ac:dyDescent="0.25">
      <c r="B9" s="5" t="s">
        <v>9</v>
      </c>
      <c r="C9" s="45">
        <v>1</v>
      </c>
    </row>
    <row r="10" spans="1:3" ht="15" customHeight="1" x14ac:dyDescent="0.25">
      <c r="B10" s="5" t="s">
        <v>10</v>
      </c>
      <c r="C10" s="45">
        <v>0.68451698300000008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0.70400000000000007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1.2699999999999999E-2</v>
      </c>
    </row>
    <row r="24" spans="1:3" ht="15" customHeight="1" x14ac:dyDescent="0.25">
      <c r="B24" s="15" t="s">
        <v>22</v>
      </c>
      <c r="C24" s="45">
        <v>0.32469999999999999</v>
      </c>
    </row>
    <row r="25" spans="1:3" ht="15" customHeight="1" x14ac:dyDescent="0.25">
      <c r="B25" s="15" t="s">
        <v>23</v>
      </c>
      <c r="C25" s="45">
        <v>0.53369999999999995</v>
      </c>
    </row>
    <row r="26" spans="1:3" ht="15" customHeight="1" x14ac:dyDescent="0.25">
      <c r="B26" s="15" t="s">
        <v>24</v>
      </c>
      <c r="C26" s="45">
        <v>0.12889999999999999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0.26912377197565901</v>
      </c>
    </row>
    <row r="30" spans="1:3" ht="14.25" customHeight="1" x14ac:dyDescent="0.25">
      <c r="B30" s="25" t="s">
        <v>27</v>
      </c>
      <c r="C30" s="99">
        <v>4.10301351064883E-2</v>
      </c>
    </row>
    <row r="31" spans="1:3" ht="14.25" customHeight="1" x14ac:dyDescent="0.25">
      <c r="B31" s="25" t="s">
        <v>28</v>
      </c>
      <c r="C31" s="99">
        <v>6.6332842080041601E-2</v>
      </c>
    </row>
    <row r="32" spans="1:3" ht="14.25" customHeight="1" x14ac:dyDescent="0.25">
      <c r="B32" s="25" t="s">
        <v>29</v>
      </c>
      <c r="C32" s="99">
        <v>0.62351325083781095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29.927250000000001</v>
      </c>
    </row>
    <row r="38" spans="1:5" ht="15" customHeight="1" x14ac:dyDescent="0.25">
      <c r="B38" s="11" t="s">
        <v>34</v>
      </c>
      <c r="C38" s="43">
        <v>56.723050000000001</v>
      </c>
      <c r="D38" s="12"/>
      <c r="E38" s="13"/>
    </row>
    <row r="39" spans="1:5" ht="15" customHeight="1" x14ac:dyDescent="0.25">
      <c r="B39" s="11" t="s">
        <v>35</v>
      </c>
      <c r="C39" s="43">
        <v>76.040170000000003</v>
      </c>
      <c r="D39" s="12"/>
      <c r="E39" s="12"/>
    </row>
    <row r="40" spans="1:5" ht="15" customHeight="1" x14ac:dyDescent="0.25">
      <c r="B40" s="11" t="s">
        <v>36</v>
      </c>
      <c r="C40" s="100">
        <v>6.52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22.862100000000002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7.9130999999999993E-3</v>
      </c>
      <c r="D45" s="12"/>
    </row>
    <row r="46" spans="1:5" ht="15.75" customHeight="1" x14ac:dyDescent="0.25">
      <c r="B46" s="11" t="s">
        <v>41</v>
      </c>
      <c r="C46" s="45">
        <v>8.50249E-2</v>
      </c>
      <c r="D46" s="12"/>
    </row>
    <row r="47" spans="1:5" ht="15.75" customHeight="1" x14ac:dyDescent="0.25">
      <c r="B47" s="11" t="s">
        <v>42</v>
      </c>
      <c r="C47" s="45">
        <v>7.3475499999999999E-2</v>
      </c>
      <c r="D47" s="12"/>
      <c r="E47" s="13"/>
    </row>
    <row r="48" spans="1:5" ht="15" customHeight="1" x14ac:dyDescent="0.25">
      <c r="B48" s="11" t="s">
        <v>43</v>
      </c>
      <c r="C48" s="46">
        <v>0.83358650000000001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0.44132399999999999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0.14607059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115149</v>
      </c>
      <c r="C2" s="49">
        <v>386859.49999999988</v>
      </c>
      <c r="D2" s="49">
        <v>554924.50000000012</v>
      </c>
      <c r="E2" s="49">
        <v>463811.99999999988</v>
      </c>
      <c r="F2" s="49">
        <v>447610.5</v>
      </c>
      <c r="G2" s="17">
        <f t="shared" ref="G2:G13" si="0">C2+D2+E2+F2</f>
        <v>1853206.5</v>
      </c>
      <c r="H2" s="17">
        <f t="shared" ref="H2:H13" si="1">(B2 + stillbirth*B2/(1000-stillbirth))/(1-abortion)</f>
        <v>133912.66101093445</v>
      </c>
      <c r="I2" s="17">
        <f t="shared" ref="I2:I13" si="2">G2-H2</f>
        <v>1719293.8389890655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114639</v>
      </c>
      <c r="C3" s="50">
        <v>391606</v>
      </c>
      <c r="D3" s="50">
        <v>567647.5</v>
      </c>
      <c r="E3" s="50">
        <v>464652.5</v>
      </c>
      <c r="F3" s="50">
        <v>446755</v>
      </c>
      <c r="G3" s="17">
        <f t="shared" si="0"/>
        <v>1870661</v>
      </c>
      <c r="H3" s="17">
        <f t="shared" si="1"/>
        <v>133319.55592868818</v>
      </c>
      <c r="I3" s="17">
        <f t="shared" si="2"/>
        <v>1737341.4440713117</v>
      </c>
    </row>
    <row r="4" spans="1:9" ht="15.75" customHeight="1" x14ac:dyDescent="0.25">
      <c r="A4" s="5">
        <f t="shared" si="3"/>
        <v>2026</v>
      </c>
      <c r="B4" s="49">
        <v>114387</v>
      </c>
      <c r="C4" s="50">
        <v>393041</v>
      </c>
      <c r="D4" s="50">
        <v>579470</v>
      </c>
      <c r="E4" s="50">
        <v>467664.5</v>
      </c>
      <c r="F4" s="50">
        <v>444431.5</v>
      </c>
      <c r="G4" s="17">
        <f t="shared" si="0"/>
        <v>1884607</v>
      </c>
      <c r="H4" s="17">
        <f t="shared" si="1"/>
        <v>133026.49224099002</v>
      </c>
      <c r="I4" s="17">
        <f t="shared" si="2"/>
        <v>1751580.50775901</v>
      </c>
    </row>
    <row r="5" spans="1:9" ht="15.75" customHeight="1" x14ac:dyDescent="0.25">
      <c r="A5" s="5">
        <f t="shared" si="3"/>
        <v>2027</v>
      </c>
      <c r="B5" s="49">
        <v>114330</v>
      </c>
      <c r="C5" s="50">
        <v>390780.99999999988</v>
      </c>
      <c r="D5" s="50">
        <v>590497</v>
      </c>
      <c r="E5" s="50">
        <v>473004.5</v>
      </c>
      <c r="F5" s="50">
        <v>440761.5</v>
      </c>
      <c r="G5" s="17">
        <f t="shared" si="0"/>
        <v>1895044</v>
      </c>
      <c r="H5" s="17">
        <f t="shared" si="1"/>
        <v>132960.20402591545</v>
      </c>
      <c r="I5" s="17">
        <f t="shared" si="2"/>
        <v>1762083.7959740846</v>
      </c>
    </row>
    <row r="6" spans="1:9" ht="15.75" customHeight="1" x14ac:dyDescent="0.25">
      <c r="A6" s="5">
        <f t="shared" si="3"/>
        <v>2028</v>
      </c>
      <c r="B6" s="49">
        <v>114162</v>
      </c>
      <c r="C6" s="50">
        <v>389071.50000000012</v>
      </c>
      <c r="D6" s="50">
        <v>600692.5</v>
      </c>
      <c r="E6" s="50">
        <v>480057.5</v>
      </c>
      <c r="F6" s="50">
        <v>435785.5</v>
      </c>
      <c r="G6" s="17">
        <f t="shared" si="0"/>
        <v>1905607</v>
      </c>
      <c r="H6" s="17">
        <f t="shared" si="1"/>
        <v>132764.82823411663</v>
      </c>
      <c r="I6" s="17">
        <f t="shared" si="2"/>
        <v>1772842.1717658835</v>
      </c>
    </row>
    <row r="7" spans="1:9" ht="15.75" customHeight="1" x14ac:dyDescent="0.25">
      <c r="A7" s="5">
        <f t="shared" si="3"/>
        <v>2029</v>
      </c>
      <c r="B7" s="49">
        <v>114692</v>
      </c>
      <c r="C7" s="50">
        <v>387244.49999999988</v>
      </c>
      <c r="D7" s="50">
        <v>610065.5</v>
      </c>
      <c r="E7" s="50">
        <v>488487.00000000012</v>
      </c>
      <c r="F7" s="50">
        <v>429646</v>
      </c>
      <c r="G7" s="17">
        <f t="shared" si="0"/>
        <v>1915443</v>
      </c>
      <c r="H7" s="17">
        <f t="shared" si="1"/>
        <v>133381.19233919613</v>
      </c>
      <c r="I7" s="17">
        <f t="shared" si="2"/>
        <v>1782061.8076608039</v>
      </c>
    </row>
    <row r="8" spans="1:9" ht="15.75" customHeight="1" x14ac:dyDescent="0.25">
      <c r="A8" s="5">
        <f t="shared" si="3"/>
        <v>2030</v>
      </c>
      <c r="B8" s="49">
        <v>115296</v>
      </c>
      <c r="C8" s="50">
        <v>383428.5</v>
      </c>
      <c r="D8" s="50">
        <v>619598.5</v>
      </c>
      <c r="E8" s="50">
        <v>498065.5</v>
      </c>
      <c r="F8" s="50">
        <v>423264.5</v>
      </c>
      <c r="G8" s="17">
        <f t="shared" si="0"/>
        <v>1924357</v>
      </c>
      <c r="H8" s="17">
        <f t="shared" si="1"/>
        <v>134083.61482875838</v>
      </c>
      <c r="I8" s="17">
        <f t="shared" si="2"/>
        <v>1790273.3851712416</v>
      </c>
    </row>
    <row r="9" spans="1:9" ht="15.75" customHeight="1" x14ac:dyDescent="0.25">
      <c r="A9" s="5">
        <f t="shared" si="3"/>
        <v>2031</v>
      </c>
      <c r="B9" s="49">
        <v>115418</v>
      </c>
      <c r="C9" s="50">
        <v>376885.50000000012</v>
      </c>
      <c r="D9" s="50">
        <v>629807.5</v>
      </c>
      <c r="E9" s="50">
        <v>508835</v>
      </c>
      <c r="F9" s="50">
        <v>417293.5</v>
      </c>
      <c r="G9" s="17">
        <f t="shared" si="0"/>
        <v>1932821.5</v>
      </c>
      <c r="H9" s="17">
        <f t="shared" si="1"/>
        <v>134225.49486804081</v>
      </c>
      <c r="I9" s="17">
        <f t="shared" si="2"/>
        <v>1798596.0051319592</v>
      </c>
    </row>
    <row r="10" spans="1:9" ht="15.75" customHeight="1" x14ac:dyDescent="0.25">
      <c r="A10" s="5">
        <f t="shared" si="3"/>
        <v>2032</v>
      </c>
      <c r="B10" s="49">
        <v>116138</v>
      </c>
      <c r="C10" s="50">
        <v>372042.5</v>
      </c>
      <c r="D10" s="50">
        <v>635915.5</v>
      </c>
      <c r="E10" s="50">
        <v>520771.5</v>
      </c>
      <c r="F10" s="50">
        <v>411987</v>
      </c>
      <c r="G10" s="17">
        <f t="shared" si="0"/>
        <v>1940716.5</v>
      </c>
      <c r="H10" s="17">
        <f t="shared" si="1"/>
        <v>135062.81969003557</v>
      </c>
      <c r="I10" s="17">
        <f t="shared" si="2"/>
        <v>1805653.6803099643</v>
      </c>
    </row>
    <row r="11" spans="1:9" ht="15.75" customHeight="1" x14ac:dyDescent="0.25">
      <c r="A11" s="5">
        <f t="shared" si="3"/>
        <v>2033</v>
      </c>
      <c r="B11" s="49">
        <v>116501</v>
      </c>
      <c r="C11" s="50">
        <v>369242.5</v>
      </c>
      <c r="D11" s="50">
        <v>637500.5</v>
      </c>
      <c r="E11" s="50">
        <v>533541.5</v>
      </c>
      <c r="F11" s="50">
        <v>408668.5</v>
      </c>
      <c r="G11" s="17">
        <f t="shared" si="0"/>
        <v>1948953</v>
      </c>
      <c r="H11" s="17">
        <f t="shared" si="1"/>
        <v>135484.97095445791</v>
      </c>
      <c r="I11" s="17">
        <f t="shared" si="2"/>
        <v>1813468.029045542</v>
      </c>
    </row>
    <row r="12" spans="1:9" ht="15.75" customHeight="1" x14ac:dyDescent="0.25">
      <c r="A12" s="5">
        <f t="shared" si="3"/>
        <v>2034</v>
      </c>
      <c r="B12" s="49">
        <v>117064</v>
      </c>
      <c r="C12" s="50">
        <v>364623.00000000012</v>
      </c>
      <c r="D12" s="50">
        <v>638616.5</v>
      </c>
      <c r="E12" s="50">
        <v>546670</v>
      </c>
      <c r="F12" s="50">
        <v>407111.5</v>
      </c>
      <c r="G12" s="17">
        <f t="shared" si="0"/>
        <v>1957021</v>
      </c>
      <c r="H12" s="17">
        <f t="shared" si="1"/>
        <v>136139.71244721214</v>
      </c>
      <c r="I12" s="17">
        <f t="shared" si="2"/>
        <v>1820881.2875527879</v>
      </c>
    </row>
    <row r="13" spans="1:9" ht="15.75" customHeight="1" x14ac:dyDescent="0.25">
      <c r="A13" s="5">
        <f t="shared" si="3"/>
        <v>2035</v>
      </c>
      <c r="B13" s="49">
        <v>117746</v>
      </c>
      <c r="C13" s="50">
        <v>359218</v>
      </c>
      <c r="D13" s="50">
        <v>638866</v>
      </c>
      <c r="E13" s="50">
        <v>559347</v>
      </c>
      <c r="F13" s="50">
        <v>406674</v>
      </c>
      <c r="G13" s="17">
        <f t="shared" si="0"/>
        <v>1964105</v>
      </c>
      <c r="H13" s="17">
        <f t="shared" si="1"/>
        <v>136932.84512582381</v>
      </c>
      <c r="I13" s="17">
        <f t="shared" si="2"/>
        <v>1827172.1548741763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2.0916002091600189E-2</v>
      </c>
    </row>
    <row r="4" spans="1:8" ht="15.75" customHeight="1" x14ac:dyDescent="0.25">
      <c r="B4" s="19" t="s">
        <v>69</v>
      </c>
      <c r="C4" s="101">
        <v>6.5774706577470685E-2</v>
      </c>
    </row>
    <row r="5" spans="1:8" ht="15.75" customHeight="1" x14ac:dyDescent="0.25">
      <c r="B5" s="19" t="s">
        <v>70</v>
      </c>
      <c r="C5" s="101">
        <v>9.6632509663250973E-2</v>
      </c>
    </row>
    <row r="6" spans="1:8" ht="15.75" customHeight="1" x14ac:dyDescent="0.25">
      <c r="B6" s="19" t="s">
        <v>71</v>
      </c>
      <c r="C6" s="101">
        <v>0.25245662524566231</v>
      </c>
    </row>
    <row r="7" spans="1:8" ht="15.75" customHeight="1" x14ac:dyDescent="0.25">
      <c r="B7" s="19" t="s">
        <v>72</v>
      </c>
      <c r="C7" s="101">
        <v>0.39333373933337429</v>
      </c>
    </row>
    <row r="8" spans="1:8" ht="15.75" customHeight="1" x14ac:dyDescent="0.25">
      <c r="B8" s="19" t="s">
        <v>73</v>
      </c>
      <c r="C8" s="101">
        <v>3.4550003455000359E-3</v>
      </c>
    </row>
    <row r="9" spans="1:8" ht="15.75" customHeight="1" x14ac:dyDescent="0.25">
      <c r="B9" s="19" t="s">
        <v>74</v>
      </c>
      <c r="C9" s="101">
        <v>5.8309405830940547E-2</v>
      </c>
    </row>
    <row r="10" spans="1:8" ht="15.75" customHeight="1" x14ac:dyDescent="0.25">
      <c r="B10" s="19" t="s">
        <v>75</v>
      </c>
      <c r="C10" s="101">
        <v>0.1091220109122009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9.2706938129159491E-2</v>
      </c>
      <c r="D14" s="55">
        <v>9.2706938129159491E-2</v>
      </c>
      <c r="E14" s="55">
        <v>9.2706938129159491E-2</v>
      </c>
      <c r="F14" s="55">
        <v>9.2706938129159491E-2</v>
      </c>
    </row>
    <row r="15" spans="1:8" ht="15.75" customHeight="1" x14ac:dyDescent="0.25">
      <c r="B15" s="19" t="s">
        <v>82</v>
      </c>
      <c r="C15" s="101">
        <v>0.1345887809257377</v>
      </c>
      <c r="D15" s="101">
        <v>0.1345887809257377</v>
      </c>
      <c r="E15" s="101">
        <v>0.1345887809257377</v>
      </c>
      <c r="F15" s="101">
        <v>0.1345887809257377</v>
      </c>
    </row>
    <row r="16" spans="1:8" ht="15.75" customHeight="1" x14ac:dyDescent="0.25">
      <c r="B16" s="19" t="s">
        <v>83</v>
      </c>
      <c r="C16" s="101">
        <v>1.8017639370382608E-2</v>
      </c>
      <c r="D16" s="101">
        <v>1.8017639370382608E-2</v>
      </c>
      <c r="E16" s="101">
        <v>1.8017639370382608E-2</v>
      </c>
      <c r="F16" s="101">
        <v>1.8017639370382608E-2</v>
      </c>
    </row>
    <row r="17" spans="1:8" ht="15.75" customHeight="1" x14ac:dyDescent="0.25">
      <c r="B17" s="19" t="s">
        <v>84</v>
      </c>
      <c r="C17" s="101">
        <v>0.2417018345573996</v>
      </c>
      <c r="D17" s="101">
        <v>0.2417018345573996</v>
      </c>
      <c r="E17" s="101">
        <v>0.2417018345573996</v>
      </c>
      <c r="F17" s="101">
        <v>0.2417018345573996</v>
      </c>
    </row>
    <row r="18" spans="1:8" ht="15.75" customHeight="1" x14ac:dyDescent="0.25">
      <c r="B18" s="19" t="s">
        <v>85</v>
      </c>
      <c r="C18" s="101">
        <v>0.33724276611699389</v>
      </c>
      <c r="D18" s="101">
        <v>0.33724276611699389</v>
      </c>
      <c r="E18" s="101">
        <v>0.33724276611699389</v>
      </c>
      <c r="F18" s="101">
        <v>0.33724276611699389</v>
      </c>
    </row>
    <row r="19" spans="1:8" ht="15.75" customHeight="1" x14ac:dyDescent="0.25">
      <c r="B19" s="19" t="s">
        <v>86</v>
      </c>
      <c r="C19" s="101">
        <v>1.3011294343433301E-2</v>
      </c>
      <c r="D19" s="101">
        <v>1.3011294343433301E-2</v>
      </c>
      <c r="E19" s="101">
        <v>1.3011294343433301E-2</v>
      </c>
      <c r="F19" s="101">
        <v>1.3011294343433301E-2</v>
      </c>
    </row>
    <row r="20" spans="1:8" ht="15.75" customHeight="1" x14ac:dyDescent="0.25">
      <c r="B20" s="19" t="s">
        <v>87</v>
      </c>
      <c r="C20" s="101">
        <v>1.8809148277049541E-2</v>
      </c>
      <c r="D20" s="101">
        <v>1.8809148277049541E-2</v>
      </c>
      <c r="E20" s="101">
        <v>1.8809148277049541E-2</v>
      </c>
      <c r="F20" s="101">
        <v>1.8809148277049541E-2</v>
      </c>
    </row>
    <row r="21" spans="1:8" ht="15.75" customHeight="1" x14ac:dyDescent="0.25">
      <c r="B21" s="19" t="s">
        <v>88</v>
      </c>
      <c r="C21" s="101">
        <v>5.8069678944985201E-2</v>
      </c>
      <c r="D21" s="101">
        <v>5.8069678944985201E-2</v>
      </c>
      <c r="E21" s="101">
        <v>5.8069678944985201E-2</v>
      </c>
      <c r="F21" s="101">
        <v>5.8069678944985201E-2</v>
      </c>
    </row>
    <row r="22" spans="1:8" ht="15.75" customHeight="1" x14ac:dyDescent="0.25">
      <c r="B22" s="19" t="s">
        <v>89</v>
      </c>
      <c r="C22" s="101">
        <v>8.585191933485864E-2</v>
      </c>
      <c r="D22" s="101">
        <v>8.585191933485864E-2</v>
      </c>
      <c r="E22" s="101">
        <v>8.585191933485864E-2</v>
      </c>
      <c r="F22" s="101">
        <v>8.585191933485864E-2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8.7635818000000004E-2</v>
      </c>
    </row>
    <row r="27" spans="1:8" ht="15.75" customHeight="1" x14ac:dyDescent="0.25">
      <c r="B27" s="19" t="s">
        <v>92</v>
      </c>
      <c r="C27" s="101">
        <v>8.6621349999999996E-3</v>
      </c>
    </row>
    <row r="28" spans="1:8" ht="15.75" customHeight="1" x14ac:dyDescent="0.25">
      <c r="B28" s="19" t="s">
        <v>93</v>
      </c>
      <c r="C28" s="101">
        <v>0.15441808500000001</v>
      </c>
    </row>
    <row r="29" spans="1:8" ht="15.75" customHeight="1" x14ac:dyDescent="0.25">
      <c r="B29" s="19" t="s">
        <v>94</v>
      </c>
      <c r="C29" s="101">
        <v>0.167759189</v>
      </c>
    </row>
    <row r="30" spans="1:8" ht="15.75" customHeight="1" x14ac:dyDescent="0.25">
      <c r="B30" s="19" t="s">
        <v>95</v>
      </c>
      <c r="C30" s="101">
        <v>0.10583751800000001</v>
      </c>
    </row>
    <row r="31" spans="1:8" ht="15.75" customHeight="1" x14ac:dyDescent="0.25">
      <c r="B31" s="19" t="s">
        <v>96</v>
      </c>
      <c r="C31" s="101">
        <v>0.109709026</v>
      </c>
    </row>
    <row r="32" spans="1:8" ht="15.75" customHeight="1" x14ac:dyDescent="0.25">
      <c r="B32" s="19" t="s">
        <v>97</v>
      </c>
      <c r="C32" s="101">
        <v>1.8596574000000001E-2</v>
      </c>
    </row>
    <row r="33" spans="2:3" ht="15.75" customHeight="1" x14ac:dyDescent="0.25">
      <c r="B33" s="19" t="s">
        <v>98</v>
      </c>
      <c r="C33" s="101">
        <v>8.3747772999999998E-2</v>
      </c>
    </row>
    <row r="34" spans="2:3" ht="15.75" customHeight="1" x14ac:dyDescent="0.25">
      <c r="B34" s="19" t="s">
        <v>99</v>
      </c>
      <c r="C34" s="101">
        <v>0.26363388300000001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0.42176252158510186</v>
      </c>
      <c r="D2" s="52">
        <f>IFERROR(1-_xlfn.NORM.DIST(_xlfn.NORM.INV(SUM(D4:D5), 0, 1) + 1, 0, 1, TRUE), "")</f>
        <v>0.42176252158510186</v>
      </c>
      <c r="E2" s="52">
        <f>IFERROR(1-_xlfn.NORM.DIST(_xlfn.NORM.INV(SUM(E4:E5), 0, 1) + 1, 0, 1, TRUE), "")</f>
        <v>0.46852623488852618</v>
      </c>
      <c r="F2" s="52">
        <f>IFERROR(1-_xlfn.NORM.DIST(_xlfn.NORM.INV(SUM(F4:F5), 0, 1) + 1, 0, 1, TRUE), "")</f>
        <v>0.32537675126277632</v>
      </c>
      <c r="G2" s="52">
        <f>IFERROR(1-_xlfn.NORM.DIST(_xlfn.NORM.INV(SUM(G4:G5), 0, 1) + 1, 0, 1, TRUE), "")</f>
        <v>0.2805763942323688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0.36713837841489816</v>
      </c>
      <c r="D3" s="52">
        <f>IFERROR(_xlfn.NORM.DIST(_xlfn.NORM.INV(SUM(D4:D5), 0, 1) + 1, 0, 1, TRUE) - SUM(D4:D5), "")</f>
        <v>0.36713837841489816</v>
      </c>
      <c r="E3" s="52">
        <f>IFERROR(_xlfn.NORM.DIST(_xlfn.NORM.INV(SUM(E4:E5), 0, 1) + 1, 0, 1, TRUE) - SUM(E4:E5), "")</f>
        <v>0.35295506511147379</v>
      </c>
      <c r="F3" s="52">
        <f>IFERROR(_xlfn.NORM.DIST(_xlfn.NORM.INV(SUM(F4:F5), 0, 1) + 1, 0, 1, TRUE) - SUM(F4:F5), "")</f>
        <v>0.38253154873722367</v>
      </c>
      <c r="G3" s="52">
        <f>IFERROR(_xlfn.NORM.DIST(_xlfn.NORM.INV(SUM(G4:G5), 0, 1) + 1, 0, 1, TRUE) - SUM(G4:G5), "")</f>
        <v>0.3817680057676312</v>
      </c>
    </row>
    <row r="4" spans="1:15" ht="15.75" customHeight="1" x14ac:dyDescent="0.25">
      <c r="B4" s="5" t="s">
        <v>104</v>
      </c>
      <c r="C4" s="45">
        <v>0.1787648</v>
      </c>
      <c r="D4" s="53">
        <v>0.1787648</v>
      </c>
      <c r="E4" s="53">
        <v>0.122308</v>
      </c>
      <c r="F4" s="53">
        <v>0.2067544</v>
      </c>
      <c r="G4" s="53">
        <v>0.21243629999999999</v>
      </c>
    </row>
    <row r="5" spans="1:15" ht="15.75" customHeight="1" x14ac:dyDescent="0.25">
      <c r="B5" s="5" t="s">
        <v>105</v>
      </c>
      <c r="C5" s="45">
        <v>3.2334300000000003E-2</v>
      </c>
      <c r="D5" s="53">
        <v>3.2334300000000003E-2</v>
      </c>
      <c r="E5" s="53">
        <v>5.6210700000000002E-2</v>
      </c>
      <c r="F5" s="53">
        <v>8.5337300000000005E-2</v>
      </c>
      <c r="G5" s="53">
        <v>0.12521930000000001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0.81251844812205365</v>
      </c>
      <c r="D8" s="52">
        <f>IFERROR(1-_xlfn.NORM.DIST(_xlfn.NORM.INV(SUM(D10:D11), 0, 1) + 1, 0, 1, TRUE), "")</f>
        <v>0.81251844812205365</v>
      </c>
      <c r="E8" s="52">
        <f>IFERROR(1-_xlfn.NORM.DIST(_xlfn.NORM.INV(SUM(E10:E11), 0, 1) + 1, 0, 1, TRUE), "")</f>
        <v>0.68966781197978855</v>
      </c>
      <c r="F8" s="52">
        <f>IFERROR(1-_xlfn.NORM.DIST(_xlfn.NORM.INV(SUM(F10:F11), 0, 1) + 1, 0, 1, TRUE), "")</f>
        <v>0.71071162649463626</v>
      </c>
      <c r="G8" s="52">
        <f>IFERROR(1-_xlfn.NORM.DIST(_xlfn.NORM.INV(SUM(G10:G11), 0, 1) + 1, 0, 1, TRUE), "")</f>
        <v>0.85889993172838319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0.15791585187794632</v>
      </c>
      <c r="D9" s="52">
        <f>IFERROR(_xlfn.NORM.DIST(_xlfn.NORM.INV(SUM(D10:D11), 0, 1) + 1, 0, 1, TRUE) - SUM(D10:D11), "")</f>
        <v>0.15791585187794632</v>
      </c>
      <c r="E9" s="52">
        <f>IFERROR(_xlfn.NORM.DIST(_xlfn.NORM.INV(SUM(E10:E11), 0, 1) + 1, 0, 1, TRUE) - SUM(E10:E11), "")</f>
        <v>0.24286308802021145</v>
      </c>
      <c r="F9" s="52">
        <f>IFERROR(_xlfn.NORM.DIST(_xlfn.NORM.INV(SUM(F10:F11), 0, 1) + 1, 0, 1, TRUE) - SUM(F10:F11), "")</f>
        <v>0.22937067350536375</v>
      </c>
      <c r="G9" s="52">
        <f>IFERROR(_xlfn.NORM.DIST(_xlfn.NORM.INV(SUM(G10:G11), 0, 1) + 1, 0, 1, TRUE) - SUM(G10:G11), "")</f>
        <v>0.12212486827161681</v>
      </c>
    </row>
    <row r="10" spans="1:15" ht="15.75" customHeight="1" x14ac:dyDescent="0.25">
      <c r="B10" s="5" t="s">
        <v>109</v>
      </c>
      <c r="C10" s="45">
        <v>2.4425599999999999E-2</v>
      </c>
      <c r="D10" s="53">
        <v>2.4425599999999999E-2</v>
      </c>
      <c r="E10" s="53">
        <v>5.5061499999999999E-2</v>
      </c>
      <c r="F10" s="53">
        <v>4.9736099999999998E-2</v>
      </c>
      <c r="G10" s="53">
        <v>1.7181100000000001E-2</v>
      </c>
    </row>
    <row r="11" spans="1:15" ht="15.75" customHeight="1" x14ac:dyDescent="0.25">
      <c r="B11" s="5" t="s">
        <v>110</v>
      </c>
      <c r="C11" s="45">
        <v>5.1400999999999999E-3</v>
      </c>
      <c r="D11" s="53">
        <v>5.1400999999999999E-3</v>
      </c>
      <c r="E11" s="53">
        <v>1.24076E-2</v>
      </c>
      <c r="F11" s="53">
        <v>1.0181600000000001E-2</v>
      </c>
      <c r="G11" s="53">
        <v>1.7941000000000001E-3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0.34717774225000009</v>
      </c>
      <c r="D14" s="54">
        <v>0.336716783849</v>
      </c>
      <c r="E14" s="54">
        <v>0.336716783849</v>
      </c>
      <c r="F14" s="54">
        <v>0.25295648786800001</v>
      </c>
      <c r="G14" s="54">
        <v>0.25295648786800001</v>
      </c>
      <c r="H14" s="45">
        <v>0.377</v>
      </c>
      <c r="I14" s="55">
        <v>0.377</v>
      </c>
      <c r="J14" s="55">
        <v>0.377</v>
      </c>
      <c r="K14" s="55">
        <v>0.377</v>
      </c>
      <c r="L14" s="45">
        <v>0.34399999999999997</v>
      </c>
      <c r="M14" s="55">
        <v>0.34399999999999997</v>
      </c>
      <c r="N14" s="55">
        <v>0.34399999999999997</v>
      </c>
      <c r="O14" s="55">
        <v>0.34399999999999997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0.15321786992073905</v>
      </c>
      <c r="D15" s="52">
        <f t="shared" si="0"/>
        <v>0.14860119791537607</v>
      </c>
      <c r="E15" s="52">
        <f t="shared" si="0"/>
        <v>0.14860119791537607</v>
      </c>
      <c r="F15" s="52">
        <f t="shared" si="0"/>
        <v>0.11163576905185724</v>
      </c>
      <c r="G15" s="52">
        <f t="shared" si="0"/>
        <v>0.11163576905185724</v>
      </c>
      <c r="H15" s="52">
        <f t="shared" si="0"/>
        <v>0.166379148</v>
      </c>
      <c r="I15" s="52">
        <f t="shared" si="0"/>
        <v>0.166379148</v>
      </c>
      <c r="J15" s="52">
        <f t="shared" si="0"/>
        <v>0.166379148</v>
      </c>
      <c r="K15" s="52">
        <f t="shared" si="0"/>
        <v>0.166379148</v>
      </c>
      <c r="L15" s="52">
        <f t="shared" si="0"/>
        <v>0.15181545599999999</v>
      </c>
      <c r="M15" s="52">
        <f t="shared" si="0"/>
        <v>0.15181545599999999</v>
      </c>
      <c r="N15" s="52">
        <f t="shared" si="0"/>
        <v>0.15181545599999999</v>
      </c>
      <c r="O15" s="52">
        <f t="shared" si="0"/>
        <v>0.15181545599999999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0.72640950000000004</v>
      </c>
      <c r="D2" s="53">
        <v>0.51254100000000002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0.19447390000000001</v>
      </c>
      <c r="D3" s="53">
        <v>0.24950230000000001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5.7415900000000013E-2</v>
      </c>
      <c r="D4" s="53">
        <v>0.17059009999999999</v>
      </c>
      <c r="E4" s="53">
        <v>0.93401460000000003</v>
      </c>
      <c r="F4" s="53">
        <v>0.67999700000000007</v>
      </c>
      <c r="G4" s="53">
        <v>0</v>
      </c>
    </row>
    <row r="5" spans="1:7" x14ac:dyDescent="0.25">
      <c r="B5" s="3" t="s">
        <v>122</v>
      </c>
      <c r="C5" s="52">
        <v>2.17007E-2</v>
      </c>
      <c r="D5" s="52">
        <v>6.7366499999999996E-2</v>
      </c>
      <c r="E5" s="52">
        <f>1-SUM(E2:E4)</f>
        <v>6.5985399999999972E-2</v>
      </c>
      <c r="F5" s="52">
        <f>1-SUM(F2:F4)</f>
        <v>0.32000299999999993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64.29093262320508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0.24251285881340001</v>
      </c>
      <c r="C3" s="98">
        <v>0.95</v>
      </c>
      <c r="D3" s="56">
        <v>40.020474605796252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512.5680000000001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5.1259904229438291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0.42978100000000002</v>
      </c>
      <c r="C10" s="98">
        <v>0.95</v>
      </c>
      <c r="D10" s="56">
        <v>13.152774049592161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0.42978100000000002</v>
      </c>
      <c r="C11" s="98">
        <v>0.95</v>
      </c>
      <c r="D11" s="56">
        <v>13.152774049592161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0.42978100000000002</v>
      </c>
      <c r="C12" s="98">
        <v>0.95</v>
      </c>
      <c r="D12" s="56">
        <v>13.152774049592161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0.42978100000000002</v>
      </c>
      <c r="C13" s="98">
        <v>0.95</v>
      </c>
      <c r="D13" s="56">
        <v>13.152774049592161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0.42978100000000002</v>
      </c>
      <c r="C14" s="98">
        <v>0.95</v>
      </c>
      <c r="D14" s="56">
        <v>13.152774049592161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0.42978100000000002</v>
      </c>
      <c r="C15" s="98">
        <v>0.95</v>
      </c>
      <c r="D15" s="56">
        <v>13.152774049592161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</v>
      </c>
      <c r="C16" s="98">
        <v>0.95</v>
      </c>
      <c r="D16" s="56">
        <v>0.85953984948750384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0.157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0.10053224801422</v>
      </c>
      <c r="C18" s="98">
        <v>0.95</v>
      </c>
      <c r="D18" s="56">
        <v>11.78698314040644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0.22523380000000001</v>
      </c>
      <c r="C19" s="98">
        <v>0.95</v>
      </c>
      <c r="D19" s="56">
        <v>11.78698314040644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5.4970400000000003E-2</v>
      </c>
      <c r="C21" s="98">
        <v>0.95</v>
      </c>
      <c r="D21" s="56">
        <v>58.128221470678056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22.771204442043111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4.3672092908488347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0.76180022919064005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0.42978100000000002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18.71344244008349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0.59740204517642004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127.9390120424794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0.5</v>
      </c>
      <c r="C31" s="98">
        <v>0.95</v>
      </c>
      <c r="D31" s="56">
        <v>2.5115655401273451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1.860022605358038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8.6074300000000006E-2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0.54128999999999994</v>
      </c>
      <c r="C38" s="98">
        <v>0.95</v>
      </c>
      <c r="D38" s="56">
        <v>4.7268639492853088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6.3506560000000004E-2</v>
      </c>
      <c r="C3" s="21">
        <f>frac_mam_1_5months * 2.6</f>
        <v>6.3506560000000004E-2</v>
      </c>
      <c r="D3" s="21">
        <f>frac_mam_6_11months * 2.6</f>
        <v>0.14315990000000001</v>
      </c>
      <c r="E3" s="21">
        <f>frac_mam_12_23months * 2.6</f>
        <v>0.12931386</v>
      </c>
      <c r="F3" s="21">
        <f>frac_mam_24_59months * 2.6</f>
        <v>4.4670860000000007E-2</v>
      </c>
    </row>
    <row r="4" spans="1:6" ht="15.75" customHeight="1" x14ac:dyDescent="0.25">
      <c r="A4" s="3" t="s">
        <v>205</v>
      </c>
      <c r="B4" s="21">
        <f>frac_sam_1month * 2.6</f>
        <v>1.3364259999999999E-2</v>
      </c>
      <c r="C4" s="21">
        <f>frac_sam_1_5months * 2.6</f>
        <v>1.3364259999999999E-2</v>
      </c>
      <c r="D4" s="21">
        <f>frac_sam_6_11months * 2.6</f>
        <v>3.2259759999999998E-2</v>
      </c>
      <c r="E4" s="21">
        <f>frac_sam_12_23months * 2.6</f>
        <v>2.6472160000000002E-2</v>
      </c>
      <c r="F4" s="21">
        <f>frac_sam_24_59months * 2.6</f>
        <v>4.6646600000000002E-3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0.40899999999999997</v>
      </c>
      <c r="E2" s="60">
        <f>food_insecure</f>
        <v>0.40899999999999997</v>
      </c>
      <c r="F2" s="60">
        <f>food_insecure</f>
        <v>0.40899999999999997</v>
      </c>
      <c r="G2" s="60">
        <f>food_insecure</f>
        <v>0.40899999999999997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0.40899999999999997</v>
      </c>
      <c r="F5" s="60">
        <f>food_insecure</f>
        <v>0.40899999999999997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0.40899999999999997</v>
      </c>
      <c r="F8" s="60">
        <f>food_insecure</f>
        <v>0.40899999999999997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0.40899999999999997</v>
      </c>
      <c r="F9" s="60">
        <f>food_insecure</f>
        <v>0.40899999999999997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0.40899999999999997</v>
      </c>
      <c r="I15" s="60">
        <f>food_insecure</f>
        <v>0.40899999999999997</v>
      </c>
      <c r="J15" s="60">
        <f>food_insecure</f>
        <v>0.40899999999999997</v>
      </c>
      <c r="K15" s="60">
        <f>food_insecure</f>
        <v>0.40899999999999997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0.70400000000000007</v>
      </c>
      <c r="M24" s="60">
        <f>famplan_unmet_need</f>
        <v>0.70400000000000007</v>
      </c>
      <c r="N24" s="60">
        <f>famplan_unmet_need</f>
        <v>0.70400000000000007</v>
      </c>
      <c r="O24" s="60">
        <f>famplan_unmet_need</f>
        <v>0.70400000000000007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0.18168351466012991</v>
      </c>
      <c r="M25" s="60">
        <f>(1-food_insecure)*(0.49)+food_insecure*(0.7)</f>
        <v>0.5758899999999999</v>
      </c>
      <c r="N25" s="60">
        <f>(1-food_insecure)*(0.49)+food_insecure*(0.7)</f>
        <v>0.5758899999999999</v>
      </c>
      <c r="O25" s="60">
        <f>(1-food_insecure)*(0.49)+food_insecure*(0.7)</f>
        <v>0.5758899999999999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7.7864363425769967E-2</v>
      </c>
      <c r="M26" s="60">
        <f>(1-food_insecure)*(0.21)+food_insecure*(0.3)</f>
        <v>0.24680999999999997</v>
      </c>
      <c r="N26" s="60">
        <f>(1-food_insecure)*(0.21)+food_insecure*(0.3)</f>
        <v>0.24680999999999997</v>
      </c>
      <c r="O26" s="60">
        <f>(1-food_insecure)*(0.21)+food_insecure*(0.3)</f>
        <v>0.24680999999999997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5.5935138914099979E-2</v>
      </c>
      <c r="M27" s="60">
        <f>(1-food_insecure)*(0.3)</f>
        <v>0.17729999999999999</v>
      </c>
      <c r="N27" s="60">
        <f>(1-food_insecure)*(0.3)</f>
        <v>0.17729999999999999</v>
      </c>
      <c r="O27" s="60">
        <f>(1-food_insecure)*(0.3)</f>
        <v>0.17729999999999999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0.68451698299999997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1</v>
      </c>
      <c r="D34" s="60">
        <f t="shared" si="3"/>
        <v>1</v>
      </c>
      <c r="E34" s="60">
        <f t="shared" si="3"/>
        <v>1</v>
      </c>
      <c r="F34" s="60">
        <f t="shared" si="3"/>
        <v>1</v>
      </c>
      <c r="G34" s="60">
        <f t="shared" si="3"/>
        <v>1</v>
      </c>
      <c r="H34" s="60">
        <f t="shared" si="3"/>
        <v>1</v>
      </c>
      <c r="I34" s="60">
        <f t="shared" si="3"/>
        <v>1</v>
      </c>
      <c r="J34" s="60">
        <f t="shared" si="3"/>
        <v>1</v>
      </c>
      <c r="K34" s="60">
        <f t="shared" si="3"/>
        <v>1</v>
      </c>
      <c r="L34" s="60">
        <f t="shared" si="3"/>
        <v>1</v>
      </c>
      <c r="M34" s="60">
        <f t="shared" si="3"/>
        <v>1</v>
      </c>
      <c r="N34" s="60">
        <f t="shared" si="3"/>
        <v>1</v>
      </c>
      <c r="O34" s="60">
        <f t="shared" si="3"/>
        <v>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40D6FA-28D7-4BB3-9CD6-1342B4D7E85A}"/>
</file>

<file path=customXml/itemProps2.xml><?xml version="1.0" encoding="utf-8"?>
<ds:datastoreItem xmlns:ds="http://schemas.openxmlformats.org/officeDocument/2006/customXml" ds:itemID="{7D388193-4725-44F1-92ED-63DBFA0AF0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2024-04-11T00:41:06Z</dcterms:modified>
</cp:coreProperties>
</file>