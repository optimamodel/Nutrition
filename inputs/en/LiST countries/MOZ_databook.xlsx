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92EA598-9A5E-421E-A9A0-E2FDD2AC97E9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A36" i="2"/>
  <c r="A37" i="2"/>
  <c r="I2" i="2"/>
  <c r="I8" i="2"/>
  <c r="A19" i="2"/>
  <c r="A22" i="2"/>
  <c r="I39" i="2"/>
  <c r="I3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<sst xmlns="http://schemas.openxmlformats.org/spreadsheetml/2006/main" count="2169" uniqueCount="373">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</sst>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5567191.5</v>
      </c>
    </row>
    <row r="8" spans="1:3" ht="15" customHeight="1" x14ac:dyDescent="0.25">
      <c r="B8" s="5" t="s">
        <v>8</v>
      </c>
      <c r="C8" s="44">
        <v>0.46100000000000002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0.193244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0.1333</v>
      </c>
    </row>
    <row r="24" spans="1:3" ht="15" customHeight="1" x14ac:dyDescent="0.25">
      <c r="B24" s="15" t="s">
        <v>22</v>
      </c>
      <c r="C24" s="45">
        <v>0.43609999999999999</v>
      </c>
    </row>
    <row r="25" spans="1:3" ht="15" customHeight="1" x14ac:dyDescent="0.25">
      <c r="B25" s="15" t="s">
        <v>23</v>
      </c>
      <c r="C25" s="45">
        <v>0.33139999999999997</v>
      </c>
    </row>
    <row r="26" spans="1:3" ht="15" customHeight="1" x14ac:dyDescent="0.25">
      <c r="B26" s="15" t="s">
        <v>24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0.36436667713324611</v>
      </c>
    </row>
    <row r="30" spans="1:3" ht="14.25" customHeight="1" x14ac:dyDescent="0.25">
      <c r="B30" s="25" t="s">
        <v>27</v>
      </c>
      <c r="C30" s="97">
        <v>3.1826740703756698E-2</v>
      </c>
    </row>
    <row r="31" spans="1:3" ht="14.25" customHeight="1" x14ac:dyDescent="0.25">
      <c r="B31" s="25" t="s">
        <v>28</v>
      </c>
      <c r="C31" s="97">
        <v>8.8013370344364308E-2</v>
      </c>
    </row>
    <row r="32" spans="1:3" ht="14.25" customHeight="1" x14ac:dyDescent="0.25">
      <c r="B32" s="25" t="s">
        <v>29</v>
      </c>
      <c r="C32" s="97">
        <v>0.51579321181863302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27.510059999999999</v>
      </c>
    </row>
    <row r="38" spans="1:5" ht="15" customHeight="1" x14ac:dyDescent="0.25">
      <c r="B38" s="11" t="s">
        <v>34</v>
      </c>
      <c r="C38" s="43">
        <v>50.996070000000003</v>
      </c>
      <c r="D38" s="12"/>
      <c r="E38" s="13"/>
    </row>
    <row r="39" spans="1:5" ht="15" customHeight="1" x14ac:dyDescent="0.25">
      <c r="B39" s="11" t="s">
        <v>35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98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5.9898E-3</v>
      </c>
      <c r="D45" s="12"/>
    </row>
    <row r="46" spans="1:5" ht="15.75" customHeight="1" x14ac:dyDescent="0.25">
      <c r="B46" s="11" t="s">
        <v>41</v>
      </c>
      <c r="C46" s="45">
        <v>6.4360000000000001E-2</v>
      </c>
      <c r="D46" s="12"/>
    </row>
    <row r="47" spans="1:5" ht="15.75" customHeight="1" x14ac:dyDescent="0.25">
      <c r="B47" s="11" t="s">
        <v>42</v>
      </c>
      <c r="C47" s="45">
        <v>7.5305200000000003E-2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1.482</v>
      </c>
      <c r="D51" s="12"/>
    </row>
    <row r="52" spans="1:4" ht="15" customHeight="1" x14ac:dyDescent="0.25">
      <c r="B52" s="11" t="s">
        <v>46</v>
      </c>
      <c r="C52" s="98">
        <v>1.482</v>
      </c>
    </row>
    <row r="53" spans="1:4" ht="15.75" customHeight="1" x14ac:dyDescent="0.25">
      <c r="B53" s="11" t="s">
        <v>47</v>
      </c>
      <c r="C53" s="98">
        <v>4.7839999999999998</v>
      </c>
    </row>
    <row r="54" spans="1:4" ht="15.75" customHeight="1" x14ac:dyDescent="0.25">
      <c r="B54" s="11" t="s">
        <v>48</v>
      </c>
      <c r="C54" s="98">
        <v>4.9660000000000002</v>
      </c>
    </row>
    <row r="55" spans="1:4" ht="15.75" customHeight="1" x14ac:dyDescent="0.25">
      <c r="B55" s="11" t="s">
        <v>49</v>
      </c>
      <c r="C55" s="98">
        <v>1.976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0.44236700000000001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1282336</v>
      </c>
      <c r="C2" s="49">
        <v>1885988.5</v>
      </c>
      <c r="D2" s="49">
        <v>3008099.5</v>
      </c>
      <c r="E2" s="49">
        <v>2101093.5</v>
      </c>
      <c r="F2" s="49">
        <v>1386918.5</v>
      </c>
      <c r="G2" s="17">
        <f t="shared" ref="G2:G13" si="0">C2+D2+E2+F2</f>
        <v>8382100</v>
      </c>
      <c r="H2" s="17">
        <f t="shared" ref="H2:H13" si="1">(B2 + stillbirth*B2/(1000-stillbirth))/(1-abortion)</f>
        <v>1482914.6596046335</v>
      </c>
      <c r="I2" s="17">
        <f t="shared" ref="I2:I13" si="2">G2-H2</f>
        <v>6899185.3403953668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1304409</v>
      </c>
      <c r="C3" s="50">
        <v>1959257</v>
      </c>
      <c r="D3" s="50">
        <v>3088837.5</v>
      </c>
      <c r="E3" s="50">
        <v>2172639</v>
      </c>
      <c r="F3" s="50">
        <v>1441778.5</v>
      </c>
      <c r="G3" s="17">
        <f t="shared" si="0"/>
        <v>8662512</v>
      </c>
      <c r="H3" s="17">
        <f t="shared" si="1"/>
        <v>1508440.2436024724</v>
      </c>
      <c r="I3" s="17">
        <f t="shared" si="2"/>
        <v>7154071.7563975276</v>
      </c>
    </row>
    <row r="4" spans="1:9" ht="15.75" customHeight="1" x14ac:dyDescent="0.25">
      <c r="A4" s="5">
        <f t="shared" si="3"/>
        <v>2026</v>
      </c>
      <c r="B4" s="49">
        <v>1323752</v>
      </c>
      <c r="C4" s="50">
        <v>2035457</v>
      </c>
      <c r="D4" s="50">
        <v>3167394</v>
      </c>
      <c r="E4" s="50">
        <v>2245427.5</v>
      </c>
      <c r="F4" s="50">
        <v>1500167.5</v>
      </c>
      <c r="G4" s="17">
        <f t="shared" si="0"/>
        <v>8948446</v>
      </c>
      <c r="H4" s="17">
        <f t="shared" si="1"/>
        <v>1530808.8102345662</v>
      </c>
      <c r="I4" s="17">
        <f t="shared" si="2"/>
        <v>7417637.1897654338</v>
      </c>
    </row>
    <row r="5" spans="1:9" ht="15.75" customHeight="1" x14ac:dyDescent="0.25">
      <c r="A5" s="5">
        <f t="shared" si="3"/>
        <v>2027</v>
      </c>
      <c r="B5" s="49">
        <v>1341734</v>
      </c>
      <c r="C5" s="50">
        <v>2111740.5</v>
      </c>
      <c r="D5" s="50">
        <v>3247764</v>
      </c>
      <c r="E5" s="50">
        <v>2321562.5</v>
      </c>
      <c r="F5" s="50">
        <v>1561576.5</v>
      </c>
      <c r="G5" s="17">
        <f t="shared" si="0"/>
        <v>9242643.5</v>
      </c>
      <c r="H5" s="17">
        <f t="shared" si="1"/>
        <v>1551603.493850257</v>
      </c>
      <c r="I5" s="17">
        <f t="shared" si="2"/>
        <v>7691040.0061497428</v>
      </c>
    </row>
    <row r="6" spans="1:9" ht="15.75" customHeight="1" x14ac:dyDescent="0.25">
      <c r="A6" s="5">
        <f t="shared" si="3"/>
        <v>2028</v>
      </c>
      <c r="B6" s="49">
        <v>1364651</v>
      </c>
      <c r="C6" s="50">
        <v>2181194</v>
      </c>
      <c r="D6" s="50">
        <v>3336208</v>
      </c>
      <c r="E6" s="50">
        <v>2400327.5</v>
      </c>
      <c r="F6" s="50">
        <v>1622709.5</v>
      </c>
      <c r="G6" s="17">
        <f t="shared" si="0"/>
        <v>9540439</v>
      </c>
      <c r="H6" s="17">
        <f t="shared" si="1"/>
        <v>1578105.0934732568</v>
      </c>
      <c r="I6" s="17">
        <f t="shared" si="2"/>
        <v>7962333.9065267434</v>
      </c>
    </row>
    <row r="7" spans="1:9" ht="15.75" customHeight="1" x14ac:dyDescent="0.25">
      <c r="A7" s="5">
        <f t="shared" si="3"/>
        <v>2029</v>
      </c>
      <c r="B7" s="49">
        <v>1380621</v>
      </c>
      <c r="C7" s="50">
        <v>2238513.5</v>
      </c>
      <c r="D7" s="50">
        <v>3435817.5</v>
      </c>
      <c r="E7" s="50">
        <v>2481597.5</v>
      </c>
      <c r="F7" s="50">
        <v>1682356</v>
      </c>
      <c r="G7" s="17">
        <f t="shared" si="0"/>
        <v>9838284.5</v>
      </c>
      <c r="H7" s="17">
        <f t="shared" si="1"/>
        <v>1596573.0668545596</v>
      </c>
      <c r="I7" s="17">
        <f t="shared" si="2"/>
        <v>8241711.4331454402</v>
      </c>
    </row>
    <row r="8" spans="1:9" ht="15.75" customHeight="1" x14ac:dyDescent="0.25">
      <c r="A8" s="5">
        <f t="shared" si="3"/>
        <v>2030</v>
      </c>
      <c r="B8" s="49">
        <v>1397803</v>
      </c>
      <c r="C8" s="50">
        <v>2288565.5</v>
      </c>
      <c r="D8" s="50">
        <v>3542314.5</v>
      </c>
      <c r="E8" s="50">
        <v>2564212.5</v>
      </c>
      <c r="F8" s="50">
        <v>1742103.5</v>
      </c>
      <c r="G8" s="17">
        <f t="shared" si="0"/>
        <v>10137196</v>
      </c>
      <c r="H8" s="17">
        <f t="shared" si="1"/>
        <v>1616442.6171762592</v>
      </c>
      <c r="I8" s="17">
        <f t="shared" si="2"/>
        <v>8520753.3828237411</v>
      </c>
    </row>
    <row r="9" spans="1:9" ht="15.75" customHeight="1" x14ac:dyDescent="0.25">
      <c r="A9" s="5">
        <f t="shared" si="3"/>
        <v>2031</v>
      </c>
      <c r="B9" s="49">
        <v>1411196</v>
      </c>
      <c r="C9" s="50">
        <v>2338257</v>
      </c>
      <c r="D9" s="50">
        <v>3653383.5</v>
      </c>
      <c r="E9" s="50">
        <v>2646907</v>
      </c>
      <c r="F9" s="50">
        <v>1804759.5</v>
      </c>
      <c r="G9" s="17">
        <f t="shared" si="0"/>
        <v>10443307</v>
      </c>
      <c r="H9" s="17">
        <f t="shared" si="1"/>
        <v>1631930.5049342918</v>
      </c>
      <c r="I9" s="17">
        <f t="shared" si="2"/>
        <v>8811376.4950657077</v>
      </c>
    </row>
    <row r="10" spans="1:9" ht="15.75" customHeight="1" x14ac:dyDescent="0.25">
      <c r="A10" s="5">
        <f t="shared" si="3"/>
        <v>2032</v>
      </c>
      <c r="B10" s="49">
        <v>1423875</v>
      </c>
      <c r="C10" s="50">
        <v>2389378</v>
      </c>
      <c r="D10" s="50">
        <v>3770174.5</v>
      </c>
      <c r="E10" s="50">
        <v>2729535.5</v>
      </c>
      <c r="F10" s="50">
        <v>1871325.5</v>
      </c>
      <c r="G10" s="17">
        <f t="shared" si="0"/>
        <v>10760413.5</v>
      </c>
      <c r="H10" s="17">
        <f t="shared" si="1"/>
        <v>1646592.7112274375</v>
      </c>
      <c r="I10" s="17">
        <f t="shared" si="2"/>
        <v>9113820.7887725625</v>
      </c>
    </row>
    <row r="11" spans="1:9" ht="15.75" customHeight="1" x14ac:dyDescent="0.25">
      <c r="A11" s="5">
        <f t="shared" si="3"/>
        <v>2033</v>
      </c>
      <c r="B11" s="49">
        <v>1435315</v>
      </c>
      <c r="C11" s="50">
        <v>2442347</v>
      </c>
      <c r="D11" s="50">
        <v>3891568.5</v>
      </c>
      <c r="E11" s="50">
        <v>2811160.5</v>
      </c>
      <c r="F11" s="50">
        <v>1939996.5</v>
      </c>
      <c r="G11" s="17">
        <f t="shared" si="0"/>
        <v>11085072.5</v>
      </c>
      <c r="H11" s="17">
        <f t="shared" si="1"/>
        <v>1659822.1173315139</v>
      </c>
      <c r="I11" s="17">
        <f t="shared" si="2"/>
        <v>9425250.3826684859</v>
      </c>
    </row>
    <row r="12" spans="1:9" ht="15.75" customHeight="1" x14ac:dyDescent="0.25">
      <c r="A12" s="5">
        <f t="shared" si="3"/>
        <v>2034</v>
      </c>
      <c r="B12" s="49">
        <v>1448712</v>
      </c>
      <c r="C12" s="50">
        <v>2499440.5</v>
      </c>
      <c r="D12" s="50">
        <v>4015569.5</v>
      </c>
      <c r="E12" s="50">
        <v>2893152.5</v>
      </c>
      <c r="F12" s="50">
        <v>2010106</v>
      </c>
      <c r="G12" s="17">
        <f t="shared" si="0"/>
        <v>11418268.5</v>
      </c>
      <c r="H12" s="17">
        <f t="shared" si="1"/>
        <v>1675314.6307560168</v>
      </c>
      <c r="I12" s="17">
        <f t="shared" si="2"/>
        <v>9742953.8692439832</v>
      </c>
    </row>
    <row r="13" spans="1:9" ht="15.75" customHeight="1" x14ac:dyDescent="0.25">
      <c r="A13" s="5">
        <f t="shared" si="3"/>
        <v>2035</v>
      </c>
      <c r="B13" s="49">
        <v>1461497</v>
      </c>
      <c r="C13" s="50">
        <v>2559642.5</v>
      </c>
      <c r="D13" s="50">
        <v>4140307</v>
      </c>
      <c r="E13" s="50">
        <v>2975362</v>
      </c>
      <c r="F13" s="50">
        <v>2081146.5</v>
      </c>
      <c r="G13" s="17">
        <f t="shared" si="0"/>
        <v>11756458</v>
      </c>
      <c r="H13" s="17">
        <f t="shared" si="1"/>
        <v>1690099.4172106162</v>
      </c>
      <c r="I13" s="17">
        <f t="shared" si="2"/>
        <v>10066358.582789384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1.349399999999999E-2</v>
      </c>
    </row>
    <row r="4" spans="1:8" ht="15.75" customHeight="1" x14ac:dyDescent="0.25">
      <c r="B4" s="19" t="s">
        <v>69</v>
      </c>
      <c r="C4" s="99">
        <v>7.2576899999999916E-2</v>
      </c>
    </row>
    <row r="5" spans="1:8" ht="15.75" customHeight="1" x14ac:dyDescent="0.25">
      <c r="B5" s="19" t="s">
        <v>70</v>
      </c>
      <c r="C5" s="99">
        <v>4.2096300000000107E-2</v>
      </c>
    </row>
    <row r="6" spans="1:8" ht="15.75" customHeight="1" x14ac:dyDescent="0.25">
      <c r="B6" s="19" t="s">
        <v>71</v>
      </c>
      <c r="C6" s="99">
        <v>0.2173944999999998</v>
      </c>
    </row>
    <row r="7" spans="1:8" ht="15.75" customHeight="1" x14ac:dyDescent="0.25">
      <c r="B7" s="19" t="s">
        <v>72</v>
      </c>
      <c r="C7" s="99">
        <v>0.48265060000000032</v>
      </c>
    </row>
    <row r="8" spans="1:8" ht="15.75" customHeight="1" x14ac:dyDescent="0.25">
      <c r="B8" s="19" t="s">
        <v>73</v>
      </c>
      <c r="C8" s="99">
        <v>2.6702999999999879E-3</v>
      </c>
    </row>
    <row r="9" spans="1:8" ht="15.75" customHeight="1" x14ac:dyDescent="0.25">
      <c r="B9" s="19" t="s">
        <v>74</v>
      </c>
      <c r="C9" s="99">
        <v>6.2363899999999937E-2</v>
      </c>
    </row>
    <row r="10" spans="1:8" ht="15.75" customHeight="1" x14ac:dyDescent="0.25">
      <c r="B10" s="19" t="s">
        <v>75</v>
      </c>
      <c r="C10" s="99">
        <v>0.1067535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82</v>
      </c>
      <c r="C15" s="99">
        <v>0.12865459138785451</v>
      </c>
      <c r="D15" s="99">
        <v>0.12865459138785451</v>
      </c>
      <c r="E15" s="99">
        <v>0.12865459138785451</v>
      </c>
      <c r="F15" s="99">
        <v>0.12865459138785451</v>
      </c>
    </row>
    <row r="16" spans="1:8" ht="15.75" customHeight="1" x14ac:dyDescent="0.25">
      <c r="B16" s="19" t="s">
        <v>83</v>
      </c>
      <c r="C16" s="99">
        <v>1.906398887236008E-2</v>
      </c>
      <c r="D16" s="99">
        <v>1.906398887236008E-2</v>
      </c>
      <c r="E16" s="99">
        <v>1.906398887236008E-2</v>
      </c>
      <c r="F16" s="99">
        <v>1.906398887236008E-2</v>
      </c>
    </row>
    <row r="17" spans="1:8" ht="15.75" customHeight="1" x14ac:dyDescent="0.25">
      <c r="B17" s="19" t="s">
        <v>84</v>
      </c>
      <c r="C17" s="99">
        <v>3.8126231505109469E-5</v>
      </c>
      <c r="D17" s="99">
        <v>3.8126231505109469E-5</v>
      </c>
      <c r="E17" s="99">
        <v>3.8126231505109469E-5</v>
      </c>
      <c r="F17" s="99">
        <v>3.8126231505109469E-5</v>
      </c>
    </row>
    <row r="18" spans="1:8" ht="15.75" customHeight="1" x14ac:dyDescent="0.25">
      <c r="B18" s="19" t="s">
        <v>85</v>
      </c>
      <c r="C18" s="99">
        <v>0.33809158536327971</v>
      </c>
      <c r="D18" s="99">
        <v>0.33809158536327971</v>
      </c>
      <c r="E18" s="99">
        <v>0.33809158536327971</v>
      </c>
      <c r="F18" s="99">
        <v>0.33809158536327971</v>
      </c>
    </row>
    <row r="19" spans="1:8" ht="15.75" customHeight="1" x14ac:dyDescent="0.25">
      <c r="B19" s="19" t="s">
        <v>86</v>
      </c>
      <c r="C19" s="99">
        <v>2.108545524862462E-2</v>
      </c>
      <c r="D19" s="99">
        <v>2.108545524862462E-2</v>
      </c>
      <c r="E19" s="99">
        <v>2.108545524862462E-2</v>
      </c>
      <c r="F19" s="99">
        <v>2.108545524862462E-2</v>
      </c>
    </row>
    <row r="20" spans="1:8" ht="15.75" customHeight="1" x14ac:dyDescent="0.25">
      <c r="B20" s="19" t="s">
        <v>87</v>
      </c>
      <c r="C20" s="99">
        <v>0.18240857688722359</v>
      </c>
      <c r="D20" s="99">
        <v>0.18240857688722359</v>
      </c>
      <c r="E20" s="99">
        <v>0.18240857688722359</v>
      </c>
      <c r="F20" s="99">
        <v>0.18240857688722359</v>
      </c>
    </row>
    <row r="21" spans="1:8" ht="15.75" customHeight="1" x14ac:dyDescent="0.25">
      <c r="B21" s="19" t="s">
        <v>88</v>
      </c>
      <c r="C21" s="99">
        <v>5.3937170008947127E-2</v>
      </c>
      <c r="D21" s="99">
        <v>5.3937170008947127E-2</v>
      </c>
      <c r="E21" s="99">
        <v>5.3937170008947127E-2</v>
      </c>
      <c r="F21" s="99">
        <v>5.3937170008947127E-2</v>
      </c>
    </row>
    <row r="22" spans="1:8" ht="15.75" customHeight="1" x14ac:dyDescent="0.25">
      <c r="B22" s="19" t="s">
        <v>89</v>
      </c>
      <c r="C22" s="99">
        <v>0.1490034245606057</v>
      </c>
      <c r="D22" s="99">
        <v>0.1490034245606057</v>
      </c>
      <c r="E22" s="99">
        <v>0.1490034245606057</v>
      </c>
      <c r="F22" s="99">
        <v>0.1490034245606057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6.1259088000000003E-2</v>
      </c>
    </row>
    <row r="27" spans="1:8" ht="15.75" customHeight="1" x14ac:dyDescent="0.25">
      <c r="B27" s="19" t="s">
        <v>92</v>
      </c>
      <c r="C27" s="99">
        <v>1.4566589999999999E-3</v>
      </c>
    </row>
    <row r="28" spans="1:8" ht="15.75" customHeight="1" x14ac:dyDescent="0.25">
      <c r="B28" s="19" t="s">
        <v>93</v>
      </c>
      <c r="C28" s="99">
        <v>0.11299475</v>
      </c>
    </row>
    <row r="29" spans="1:8" ht="15.75" customHeight="1" x14ac:dyDescent="0.25">
      <c r="B29" s="19" t="s">
        <v>94</v>
      </c>
      <c r="C29" s="99">
        <v>9.3433585999999999E-2</v>
      </c>
    </row>
    <row r="30" spans="1:8" ht="15.75" customHeight="1" x14ac:dyDescent="0.25">
      <c r="B30" s="19" t="s">
        <v>95</v>
      </c>
      <c r="C30" s="99">
        <v>0.110914363</v>
      </c>
    </row>
    <row r="31" spans="1:8" ht="15.75" customHeight="1" x14ac:dyDescent="0.25">
      <c r="B31" s="19" t="s">
        <v>96</v>
      </c>
      <c r="C31" s="99">
        <v>3.1485054999999998E-2</v>
      </c>
    </row>
    <row r="32" spans="1:8" ht="15.75" customHeight="1" x14ac:dyDescent="0.25">
      <c r="B32" s="19" t="s">
        <v>97</v>
      </c>
      <c r="C32" s="99">
        <v>8.0639849999999992E-3</v>
      </c>
    </row>
    <row r="33" spans="2:3" ht="15.75" customHeight="1" x14ac:dyDescent="0.25">
      <c r="B33" s="19" t="s">
        <v>98</v>
      </c>
      <c r="C33" s="99">
        <v>2.7219621999999999E-2</v>
      </c>
    </row>
    <row r="34" spans="2:3" ht="15.75" customHeight="1" x14ac:dyDescent="0.25">
      <c r="B34" s="19" t="s">
        <v>99</v>
      </c>
      <c r="C34" s="99">
        <v>0.553172891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104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558.29860644822099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0.52029999999999998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0.78664000000000001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2.7805426073373236E-2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92619.819210000001</v>
      </c>
      <c r="C22" s="107">
        <v>91876.968429999994</v>
      </c>
      <c r="D22" s="107">
        <v>91209.951830000005</v>
      </c>
      <c r="E22" s="107">
        <v>90074.743470000001</v>
      </c>
      <c r="F22" s="107">
        <v>88482.203389999995</v>
      </c>
      <c r="G22" s="107">
        <v>86214.057310000004</v>
      </c>
      <c r="H22" s="107">
        <v>83037.319059999994</v>
      </c>
      <c r="I22" s="107">
        <v>79057.176449999999</v>
      </c>
      <c r="J22" s="107">
        <v>74354.464739999996</v>
      </c>
      <c r="K22" s="107">
        <v>69075.701620000007</v>
      </c>
      <c r="L22" s="107">
        <v>63098.8868</v>
      </c>
      <c r="M22" s="107">
        <v>56279.688300000002</v>
      </c>
      <c r="N22" s="107">
        <v>48258.068449999999</v>
      </c>
      <c r="O22" s="107">
        <v>39221.801379999997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0.25866250000000002</v>
      </c>
      <c r="C10" s="96">
        <v>0.95</v>
      </c>
      <c r="D10" s="56">
        <v>14.142094420718051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14.142094420718051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14.142094420718051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14.142094420718051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14.142094420718051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0.5108009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8.60866666666667E-2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0.63300000000000001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0.52076729999999993</v>
      </c>
      <c r="C19" s="96">
        <v>0.95</v>
      </c>
      <c r="D19" s="56">
        <v>0.9940340129549281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0.64237399999999989</v>
      </c>
      <c r="C23" s="96">
        <v>0.95</v>
      </c>
      <c r="D23" s="56">
        <v>4.6291754106690286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0.49878249740505998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0.45933040000000003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0.28039049999999999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0.501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0.1222698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0.45039050000000003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7.9009999999999996E-4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0.41662450000000001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0.29399999999999998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1.482</v>
      </c>
      <c r="C2" s="21">
        <f>'Baseline year population inputs'!C52</f>
        <v>1.482</v>
      </c>
      <c r="D2" s="21">
        <f>'Baseline year population inputs'!C53</f>
        <v>4.7839999999999998</v>
      </c>
      <c r="E2" s="21">
        <f>'Baseline year population inputs'!C54</f>
        <v>4.9660000000000002</v>
      </c>
      <c r="F2" s="21">
        <f>'Baseline year population inputs'!C55</f>
        <v>1.976</v>
      </c>
    </row>
    <row r="3" spans="1:6" ht="15.75" customHeight="1" x14ac:dyDescent="0.25">
      <c r="A3" s="3" t="s">
        <v>197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198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