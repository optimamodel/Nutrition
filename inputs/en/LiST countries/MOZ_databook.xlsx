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96B1EE0-63B5-4661-8032-09BA91E2BB2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8" i="2"/>
  <c r="A37" i="2"/>
  <c r="A36" i="2"/>
  <c r="A35" i="2"/>
  <c r="A29" i="2"/>
  <c r="A28" i="2"/>
  <c r="A27" i="2"/>
  <c r="A21" i="2"/>
  <c r="A20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39" i="2" s="1"/>
  <c r="C33" i="1"/>
  <c r="C20" i="1"/>
  <c r="A22" i="2" l="1"/>
  <c r="A15" i="2"/>
  <c r="A23" i="2"/>
  <c r="A31" i="2"/>
  <c r="A40" i="2"/>
  <c r="A16" i="2"/>
  <c r="A24" i="2"/>
  <c r="A32" i="2"/>
  <c r="A14" i="2"/>
  <c r="A30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<sst xmlns="http://schemas.openxmlformats.org/spreadsheetml/2006/main" count="2094" uniqueCount="341">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</sst>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5629296.4375</v>
      </c>
    </row>
    <row r="8" spans="1:3" ht="15" customHeight="1" x14ac:dyDescent="0.25">
      <c r="B8" s="5" t="s">
        <v>8</v>
      </c>
      <c r="C8" s="44">
        <v>0.629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0.190472507476807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0.1333</v>
      </c>
    </row>
    <row r="24" spans="1:3" ht="15" customHeight="1" x14ac:dyDescent="0.25">
      <c r="B24" s="15" t="s">
        <v>22</v>
      </c>
      <c r="C24" s="45">
        <v>0.43609999999999999</v>
      </c>
    </row>
    <row r="25" spans="1:3" ht="15" customHeight="1" x14ac:dyDescent="0.25">
      <c r="B25" s="15" t="s">
        <v>23</v>
      </c>
      <c r="C25" s="45">
        <v>0.33139999999999997</v>
      </c>
    </row>
    <row r="26" spans="1:3" ht="15" customHeight="1" x14ac:dyDescent="0.25">
      <c r="B26" s="15" t="s">
        <v>24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0.36436667713324611</v>
      </c>
    </row>
    <row r="30" spans="1:3" ht="14.25" customHeight="1" x14ac:dyDescent="0.25">
      <c r="B30" s="25" t="s">
        <v>27</v>
      </c>
      <c r="C30" s="99">
        <v>3.1826740703756698E-2</v>
      </c>
    </row>
    <row r="31" spans="1:3" ht="14.25" customHeight="1" x14ac:dyDescent="0.25">
      <c r="B31" s="25" t="s">
        <v>28</v>
      </c>
      <c r="C31" s="99">
        <v>8.8013370344364308E-2</v>
      </c>
    </row>
    <row r="32" spans="1:3" ht="14.25" customHeight="1" x14ac:dyDescent="0.25">
      <c r="B32" s="25" t="s">
        <v>29</v>
      </c>
      <c r="C32" s="99">
        <v>0.51579321181863302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27.510059999999999</v>
      </c>
    </row>
    <row r="38" spans="1:5" ht="15" customHeight="1" x14ac:dyDescent="0.25">
      <c r="B38" s="11" t="s">
        <v>34</v>
      </c>
      <c r="C38" s="43">
        <v>50.996070000000003</v>
      </c>
      <c r="D38" s="12"/>
      <c r="E38" s="13"/>
    </row>
    <row r="39" spans="1:5" ht="15" customHeight="1" x14ac:dyDescent="0.25">
      <c r="B39" s="11" t="s">
        <v>35</v>
      </c>
      <c r="C39" s="43">
        <v>69.558430000000001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5.9898E-3</v>
      </c>
      <c r="D45" s="12"/>
    </row>
    <row r="46" spans="1:5" ht="15.75" customHeight="1" x14ac:dyDescent="0.25">
      <c r="B46" s="11" t="s">
        <v>41</v>
      </c>
      <c r="C46" s="45">
        <v>6.4360000000000001E-2</v>
      </c>
      <c r="D46" s="12"/>
    </row>
    <row r="47" spans="1:5" ht="15.75" customHeight="1" x14ac:dyDescent="0.25">
      <c r="B47" s="11" t="s">
        <v>42</v>
      </c>
      <c r="C47" s="45">
        <v>7.5305200000000003E-2</v>
      </c>
      <c r="D47" s="12"/>
      <c r="E47" s="13"/>
    </row>
    <row r="48" spans="1:5" ht="15" customHeight="1" x14ac:dyDescent="0.25">
      <c r="B48" s="11" t="s">
        <v>43</v>
      </c>
      <c r="C48" s="46">
        <v>0.85434500000000002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0.44236700000000001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0.138186529999999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1225914</v>
      </c>
      <c r="C2" s="49">
        <v>2322259</v>
      </c>
      <c r="D2" s="49">
        <v>3039030.5</v>
      </c>
      <c r="E2" s="49">
        <v>2118146</v>
      </c>
      <c r="F2" s="49">
        <v>1258287</v>
      </c>
      <c r="G2" s="17">
        <f t="shared" ref="G2:G13" si="0">C2+D2+E2+F2</f>
        <v>8737722.5</v>
      </c>
      <c r="H2" s="17">
        <f t="shared" ref="H2:H13" si="1">(B2 + stillbirth*B2/(1000-stillbirth))/(1-abortion)</f>
        <v>1417667.3212126575</v>
      </c>
      <c r="I2" s="17">
        <f t="shared" ref="I2:I13" si="2">G2-H2</f>
        <v>7320055.1787873423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1243736</v>
      </c>
      <c r="C3" s="50">
        <v>2397977</v>
      </c>
      <c r="D3" s="50">
        <v>3132908.5</v>
      </c>
      <c r="E3" s="50">
        <v>2192660.5</v>
      </c>
      <c r="F3" s="50">
        <v>1296196</v>
      </c>
      <c r="G3" s="17">
        <f t="shared" si="0"/>
        <v>9019742</v>
      </c>
      <c r="H3" s="17">
        <f t="shared" si="1"/>
        <v>1438276.9781695502</v>
      </c>
      <c r="I3" s="17">
        <f t="shared" si="2"/>
        <v>7581465.0218304498</v>
      </c>
    </row>
    <row r="4" spans="1:9" ht="15.75" customHeight="1" x14ac:dyDescent="0.25">
      <c r="A4" s="5">
        <f t="shared" si="3"/>
        <v>2026</v>
      </c>
      <c r="B4" s="49">
        <v>1261704</v>
      </c>
      <c r="C4" s="50">
        <v>2475521</v>
      </c>
      <c r="D4" s="50">
        <v>3226452</v>
      </c>
      <c r="E4" s="50">
        <v>2268279</v>
      </c>
      <c r="F4" s="50">
        <v>1337344</v>
      </c>
      <c r="G4" s="17">
        <f t="shared" si="0"/>
        <v>9307596</v>
      </c>
      <c r="H4" s="17">
        <f t="shared" si="1"/>
        <v>1459055.471952596</v>
      </c>
      <c r="I4" s="17">
        <f t="shared" si="2"/>
        <v>7848540.5280474043</v>
      </c>
    </row>
    <row r="5" spans="1:9" ht="15.75" customHeight="1" x14ac:dyDescent="0.25">
      <c r="A5" s="5">
        <f t="shared" si="3"/>
        <v>2027</v>
      </c>
      <c r="B5" s="49">
        <v>1278457</v>
      </c>
      <c r="C5" s="50">
        <v>2554116.5</v>
      </c>
      <c r="D5" s="50">
        <v>3318327.5</v>
      </c>
      <c r="E5" s="50">
        <v>2347049.5</v>
      </c>
      <c r="F5" s="50">
        <v>1382867.5</v>
      </c>
      <c r="G5" s="17">
        <f t="shared" si="0"/>
        <v>9602361</v>
      </c>
      <c r="H5" s="17">
        <f t="shared" si="1"/>
        <v>1478428.9195453927</v>
      </c>
      <c r="I5" s="17">
        <f t="shared" si="2"/>
        <v>8123932.0804546075</v>
      </c>
    </row>
    <row r="6" spans="1:9" ht="15.75" customHeight="1" x14ac:dyDescent="0.25">
      <c r="A6" s="5">
        <f t="shared" si="3"/>
        <v>2028</v>
      </c>
      <c r="B6" s="49">
        <v>1293840</v>
      </c>
      <c r="C6" s="50">
        <v>2624607</v>
      </c>
      <c r="D6" s="50">
        <v>3413217</v>
      </c>
      <c r="E6" s="50">
        <v>2429473.5</v>
      </c>
      <c r="F6" s="50">
        <v>1433320.5</v>
      </c>
      <c r="G6" s="17">
        <f t="shared" si="0"/>
        <v>9900618</v>
      </c>
      <c r="H6" s="17">
        <f t="shared" si="1"/>
        <v>1496218.0763722293</v>
      </c>
      <c r="I6" s="17">
        <f t="shared" si="2"/>
        <v>8404399.9236277714</v>
      </c>
    </row>
    <row r="7" spans="1:9" ht="15.75" customHeight="1" x14ac:dyDescent="0.25">
      <c r="A7" s="5">
        <f t="shared" si="3"/>
        <v>2029</v>
      </c>
      <c r="B7" s="49">
        <v>1309302</v>
      </c>
      <c r="C7" s="50">
        <v>2683877.5</v>
      </c>
      <c r="D7" s="50">
        <v>3515524.5</v>
      </c>
      <c r="E7" s="50">
        <v>2514148.5</v>
      </c>
      <c r="F7" s="50">
        <v>1487634</v>
      </c>
      <c r="G7" s="17">
        <f t="shared" si="0"/>
        <v>10201184.5</v>
      </c>
      <c r="H7" s="17">
        <f t="shared" si="1"/>
        <v>1514098.590111847</v>
      </c>
      <c r="I7" s="17">
        <f t="shared" si="2"/>
        <v>8687085.909888152</v>
      </c>
    </row>
    <row r="8" spans="1:9" ht="15.75" customHeight="1" x14ac:dyDescent="0.25">
      <c r="A8" s="5">
        <f t="shared" si="3"/>
        <v>2030</v>
      </c>
      <c r="B8" s="49">
        <v>1320193</v>
      </c>
      <c r="C8" s="50">
        <v>2738813.5</v>
      </c>
      <c r="D8" s="50">
        <v>3623506</v>
      </c>
      <c r="E8" s="50">
        <v>2601118</v>
      </c>
      <c r="F8" s="50">
        <v>1544549</v>
      </c>
      <c r="G8" s="17">
        <f t="shared" si="0"/>
        <v>10507986.5</v>
      </c>
      <c r="H8" s="17">
        <f t="shared" si="1"/>
        <v>1526693.1234929222</v>
      </c>
      <c r="I8" s="17">
        <f t="shared" si="2"/>
        <v>8981293.3765070774</v>
      </c>
    </row>
    <row r="9" spans="1:9" ht="15.75" customHeight="1" x14ac:dyDescent="0.25">
      <c r="A9" s="5">
        <f t="shared" si="3"/>
        <v>2031</v>
      </c>
      <c r="B9" s="49">
        <v>1339208</v>
      </c>
      <c r="C9" s="50">
        <v>2793389.5</v>
      </c>
      <c r="D9" s="50">
        <v>3734680.5</v>
      </c>
      <c r="E9" s="50">
        <v>2690391</v>
      </c>
      <c r="F9" s="50">
        <v>1604167</v>
      </c>
      <c r="G9" s="17">
        <f t="shared" si="0"/>
        <v>10822628</v>
      </c>
      <c r="H9" s="17">
        <f t="shared" si="1"/>
        <v>1548682.3854744791</v>
      </c>
      <c r="I9" s="17">
        <f t="shared" si="2"/>
        <v>9273945.6145255212</v>
      </c>
    </row>
    <row r="10" spans="1:9" ht="15.75" customHeight="1" x14ac:dyDescent="0.25">
      <c r="A10" s="5">
        <f t="shared" si="3"/>
        <v>2032</v>
      </c>
      <c r="B10" s="49">
        <v>1350772</v>
      </c>
      <c r="C10" s="50">
        <v>2849738</v>
      </c>
      <c r="D10" s="50">
        <v>3847141</v>
      </c>
      <c r="E10" s="50">
        <v>2781535.5</v>
      </c>
      <c r="F10" s="50">
        <v>1666493</v>
      </c>
      <c r="G10" s="17">
        <f t="shared" si="0"/>
        <v>11144907.5</v>
      </c>
      <c r="H10" s="17">
        <f t="shared" si="1"/>
        <v>1562055.1872391242</v>
      </c>
      <c r="I10" s="17">
        <f t="shared" si="2"/>
        <v>9582852.3127608765</v>
      </c>
    </row>
    <row r="11" spans="1:9" ht="15.75" customHeight="1" x14ac:dyDescent="0.25">
      <c r="A11" s="5">
        <f t="shared" si="3"/>
        <v>2033</v>
      </c>
      <c r="B11" s="49">
        <v>1360398</v>
      </c>
      <c r="C11" s="50">
        <v>2907001</v>
      </c>
      <c r="D11" s="50">
        <v>3959883.5</v>
      </c>
      <c r="E11" s="50">
        <v>2874741</v>
      </c>
      <c r="F11" s="50">
        <v>1730207</v>
      </c>
      <c r="G11" s="17">
        <f t="shared" si="0"/>
        <v>11471832.5</v>
      </c>
      <c r="H11" s="17">
        <f t="shared" si="1"/>
        <v>1573186.8535990752</v>
      </c>
      <c r="I11" s="17">
        <f t="shared" si="2"/>
        <v>9898645.6464009248</v>
      </c>
    </row>
    <row r="12" spans="1:9" ht="15.75" customHeight="1" x14ac:dyDescent="0.25">
      <c r="A12" s="5">
        <f t="shared" si="3"/>
        <v>2034</v>
      </c>
      <c r="B12" s="49">
        <v>1376559</v>
      </c>
      <c r="C12" s="50">
        <v>2969515.5</v>
      </c>
      <c r="D12" s="50">
        <v>4069280.5</v>
      </c>
      <c r="E12" s="50">
        <v>2968750.5</v>
      </c>
      <c r="F12" s="50">
        <v>1794737</v>
      </c>
      <c r="G12" s="17">
        <f t="shared" si="0"/>
        <v>11802283.5</v>
      </c>
      <c r="H12" s="17">
        <f t="shared" si="1"/>
        <v>1591875.7025543186</v>
      </c>
      <c r="I12" s="17">
        <f t="shared" si="2"/>
        <v>10210407.797445681</v>
      </c>
    </row>
    <row r="13" spans="1:9" ht="15.75" customHeight="1" x14ac:dyDescent="0.25">
      <c r="A13" s="5">
        <f t="shared" si="3"/>
        <v>2035</v>
      </c>
      <c r="B13" s="49">
        <v>1384513</v>
      </c>
      <c r="C13" s="50">
        <v>3036975.5</v>
      </c>
      <c r="D13" s="50">
        <v>4176687</v>
      </c>
      <c r="E13" s="50">
        <v>3062435</v>
      </c>
      <c r="F13" s="50">
        <v>1860103.5</v>
      </c>
      <c r="G13" s="17">
        <f t="shared" si="0"/>
        <v>12136201</v>
      </c>
      <c r="H13" s="17">
        <f t="shared" si="1"/>
        <v>1601073.8403298275</v>
      </c>
      <c r="I13" s="17">
        <f t="shared" si="2"/>
        <v>10535127.159670172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1.349399999999999E-2</v>
      </c>
    </row>
    <row r="4" spans="1:8" ht="15.75" customHeight="1" x14ac:dyDescent="0.25">
      <c r="B4" s="19" t="s">
        <v>69</v>
      </c>
      <c r="C4" s="101">
        <v>7.2576899999999916E-2</v>
      </c>
    </row>
    <row r="5" spans="1:8" ht="15.75" customHeight="1" x14ac:dyDescent="0.25">
      <c r="B5" s="19" t="s">
        <v>70</v>
      </c>
      <c r="C5" s="101">
        <v>4.2096300000000107E-2</v>
      </c>
    </row>
    <row r="6" spans="1:8" ht="15.75" customHeight="1" x14ac:dyDescent="0.25">
      <c r="B6" s="19" t="s">
        <v>71</v>
      </c>
      <c r="C6" s="101">
        <v>0.2173944999999998</v>
      </c>
    </row>
    <row r="7" spans="1:8" ht="15.75" customHeight="1" x14ac:dyDescent="0.25">
      <c r="B7" s="19" t="s">
        <v>72</v>
      </c>
      <c r="C7" s="101">
        <v>0.48265060000000032</v>
      </c>
    </row>
    <row r="8" spans="1:8" ht="15.75" customHeight="1" x14ac:dyDescent="0.25">
      <c r="B8" s="19" t="s">
        <v>73</v>
      </c>
      <c r="C8" s="101">
        <v>2.6702999999999879E-3</v>
      </c>
    </row>
    <row r="9" spans="1:8" ht="15.75" customHeight="1" x14ac:dyDescent="0.25">
      <c r="B9" s="19" t="s">
        <v>74</v>
      </c>
      <c r="C9" s="101">
        <v>6.2363899999999937E-2</v>
      </c>
    </row>
    <row r="10" spans="1:8" ht="15.75" customHeight="1" x14ac:dyDescent="0.25">
      <c r="B10" s="19" t="s">
        <v>75</v>
      </c>
      <c r="C10" s="101">
        <v>0.1067535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82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83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84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85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86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87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88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89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6.1259088000000003E-2</v>
      </c>
    </row>
    <row r="27" spans="1:8" ht="15.75" customHeight="1" x14ac:dyDescent="0.25">
      <c r="B27" s="19" t="s">
        <v>92</v>
      </c>
      <c r="C27" s="101">
        <v>1.4566589999999999E-3</v>
      </c>
    </row>
    <row r="28" spans="1:8" ht="15.75" customHeight="1" x14ac:dyDescent="0.25">
      <c r="B28" s="19" t="s">
        <v>93</v>
      </c>
      <c r="C28" s="101">
        <v>0.11299475</v>
      </c>
    </row>
    <row r="29" spans="1:8" ht="15.75" customHeight="1" x14ac:dyDescent="0.25">
      <c r="B29" s="19" t="s">
        <v>94</v>
      </c>
      <c r="C29" s="101">
        <v>9.3433585999999999E-2</v>
      </c>
    </row>
    <row r="30" spans="1:8" ht="15.75" customHeight="1" x14ac:dyDescent="0.25">
      <c r="B30" s="19" t="s">
        <v>95</v>
      </c>
      <c r="C30" s="101">
        <v>0.110914363</v>
      </c>
    </row>
    <row r="31" spans="1:8" ht="15.75" customHeight="1" x14ac:dyDescent="0.25">
      <c r="B31" s="19" t="s">
        <v>96</v>
      </c>
      <c r="C31" s="101">
        <v>3.1485054999999998E-2</v>
      </c>
    </row>
    <row r="32" spans="1:8" ht="15.75" customHeight="1" x14ac:dyDescent="0.25">
      <c r="B32" s="19" t="s">
        <v>97</v>
      </c>
      <c r="C32" s="101">
        <v>8.0639849999999992E-3</v>
      </c>
    </row>
    <row r="33" spans="2:3" ht="15.75" customHeight="1" x14ac:dyDescent="0.25">
      <c r="B33" s="19" t="s">
        <v>98</v>
      </c>
      <c r="C33" s="101">
        <v>2.7219621999999999E-2</v>
      </c>
    </row>
    <row r="34" spans="2:3" ht="15.75" customHeight="1" x14ac:dyDescent="0.25">
      <c r="B34" s="19" t="s">
        <v>99</v>
      </c>
      <c r="C34" s="101">
        <v>0.553172891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104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105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109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110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122</v>
      </c>
      <c r="C5" s="52">
        <v>3.3646799999999998E-2</v>
      </c>
      <c r="D5" s="52">
        <v>2.8571099999999999E-2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34.033844527775358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0.22373003652160001</v>
      </c>
      <c r="C3" s="98">
        <v>0.95</v>
      </c>
      <c r="D3" s="56">
        <v>44.617032551597681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38.206933042564401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0.16124310269652389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0.25866250000000002</v>
      </c>
      <c r="C10" s="98">
        <v>0.95</v>
      </c>
      <c r="D10" s="56">
        <v>14.142094420718051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0.25866250000000002</v>
      </c>
      <c r="C11" s="98">
        <v>0.95</v>
      </c>
      <c r="D11" s="56">
        <v>14.142094420718051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0.25866250000000002</v>
      </c>
      <c r="C12" s="98">
        <v>0.95</v>
      </c>
      <c r="D12" s="56">
        <v>14.142094420718051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0.25866250000000002</v>
      </c>
      <c r="C13" s="98">
        <v>0.95</v>
      </c>
      <c r="D13" s="56">
        <v>14.142094420718051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0.25866250000000002</v>
      </c>
      <c r="C14" s="98">
        <v>0.95</v>
      </c>
      <c r="D14" s="56">
        <v>14.142094420718051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0.25866250000000002</v>
      </c>
      <c r="C15" s="98">
        <v>0.95</v>
      </c>
      <c r="D15" s="56">
        <v>14.142094420718051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0.84</v>
      </c>
      <c r="C16" s="98">
        <v>0.95</v>
      </c>
      <c r="D16" s="56">
        <v>0.19837160627123551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8.60866666666667E-2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8.7840823679290012E-2</v>
      </c>
      <c r="C18" s="98">
        <v>0.95</v>
      </c>
      <c r="D18" s="56">
        <v>0.9940340129549281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0.37379800000000002</v>
      </c>
      <c r="C19" s="98">
        <v>0.95</v>
      </c>
      <c r="D19" s="56">
        <v>0.9940340129549281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0.41662450000000001</v>
      </c>
      <c r="C21" s="98">
        <v>0.95</v>
      </c>
      <c r="D21" s="56">
        <v>1.127818304100318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24.08118649042526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4.6291754106690286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0.66562880004147995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0.25866250000000002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20.451035195022751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0.52198462436219006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58.881752232190657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0.83</v>
      </c>
      <c r="C31" s="98">
        <v>0.95</v>
      </c>
      <c r="D31" s="56">
        <v>1.6730405983662171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0.36248454583155942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0.28039049999999999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0.45933040000000003</v>
      </c>
      <c r="C38" s="98">
        <v>0.95</v>
      </c>
      <c r="D38" s="56">
        <v>3.086800264655738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205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0.629</v>
      </c>
      <c r="E2" s="60">
        <f>food_insecure</f>
        <v>0.629</v>
      </c>
      <c r="F2" s="60">
        <f>food_insecure</f>
        <v>0.629</v>
      </c>
      <c r="G2" s="60">
        <f>food_insecure</f>
        <v>0.629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0.629</v>
      </c>
      <c r="F5" s="60">
        <f>food_insecure</f>
        <v>0.629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0.629</v>
      </c>
      <c r="F8" s="60">
        <f>food_insecure</f>
        <v>0.629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0.629</v>
      </c>
      <c r="F9" s="60">
        <f>food_insecure</f>
        <v>0.629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0.629</v>
      </c>
      <c r="I15" s="60">
        <f>food_insecure</f>
        <v>0.629</v>
      </c>
      <c r="J15" s="60">
        <f>food_insecure</f>
        <v>0.629</v>
      </c>
      <c r="K15" s="60">
        <f>food_insecure</f>
        <v>0.629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0.496</v>
      </c>
      <c r="M24" s="60">
        <f>famplan_unmet_need</f>
        <v>0.496</v>
      </c>
      <c r="N24" s="60">
        <f>famplan_unmet_need</f>
        <v>0.496</v>
      </c>
      <c r="O24" s="60">
        <f>famplan_unmet_need</f>
        <v>0.496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0.50359895782375308</v>
      </c>
      <c r="M25" s="60">
        <f>(1-food_insecure)*(0.49)+food_insecure*(0.7)</f>
        <v>0.62209000000000003</v>
      </c>
      <c r="N25" s="60">
        <f>(1-food_insecure)*(0.49)+food_insecure*(0.7)</f>
        <v>0.62209000000000003</v>
      </c>
      <c r="O25" s="60">
        <f>(1-food_insecure)*(0.49)+food_insecure*(0.7)</f>
        <v>0.62209000000000003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0.21582812478160848</v>
      </c>
      <c r="M26" s="60">
        <f>(1-food_insecure)*(0.21)+food_insecure*(0.3)</f>
        <v>0.26661000000000001</v>
      </c>
      <c r="N26" s="60">
        <f>(1-food_insecure)*(0.21)+food_insecure*(0.3)</f>
        <v>0.26661000000000001</v>
      </c>
      <c r="O26" s="60">
        <f>(1-food_insecure)*(0.21)+food_insecure*(0.3)</f>
        <v>0.26661000000000001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9.0100409917831373E-2</v>
      </c>
      <c r="M27" s="60">
        <f>(1-food_insecure)*(0.3)</f>
        <v>0.1113</v>
      </c>
      <c r="N27" s="60">
        <f>(1-food_insecure)*(0.3)</f>
        <v>0.1113</v>
      </c>
      <c r="O27" s="60">
        <f>(1-food_insecure)*(0.3)</f>
        <v>0.1113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0.190472507476807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B359111-50A2-4D0C-8425-CE24D911EA4C}"/>
</file>

<file path=customXml/itemProps2.xml><?xml version="1.0" encoding="utf-8"?>
<ds:datastoreItem xmlns:ds="http://schemas.openxmlformats.org/officeDocument/2006/customXml" ds:itemID="{71903D65-4AB2-4282-B327-3624B3600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2024-04-11T00:41:26Z</dcterms:modified>
</cp:coreProperties>
</file>