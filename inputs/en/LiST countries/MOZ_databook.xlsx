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9E30F6D-8470-4C94-A3F1-0C3D45082EF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<sst xmlns="http://schemas.openxmlformats.org/spreadsheetml/2006/main" count="2101" uniqueCount="341">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</sst>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5629296.4375</v>
      </c>
    </row>
    <row r="8" spans="1:3" ht="15" customHeight="1" x14ac:dyDescent="0.25">
      <c r="B8" s="5" t="s">
        <v>8</v>
      </c>
      <c r="C8" s="44">
        <v>0.629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0.190472507476807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0.1333</v>
      </c>
    </row>
    <row r="24" spans="1:3" ht="15" customHeight="1" x14ac:dyDescent="0.25">
      <c r="B24" s="15" t="s">
        <v>22</v>
      </c>
      <c r="C24" s="45">
        <v>0.43609999999999999</v>
      </c>
    </row>
    <row r="25" spans="1:3" ht="15" customHeight="1" x14ac:dyDescent="0.25">
      <c r="B25" s="15" t="s">
        <v>23</v>
      </c>
      <c r="C25" s="45">
        <v>0.33139999999999997</v>
      </c>
    </row>
    <row r="26" spans="1:3" ht="15" customHeight="1" x14ac:dyDescent="0.25">
      <c r="B26" s="15" t="s">
        <v>24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0.36436667713324611</v>
      </c>
    </row>
    <row r="30" spans="1:3" ht="14.25" customHeight="1" x14ac:dyDescent="0.25">
      <c r="B30" s="25" t="s">
        <v>27</v>
      </c>
      <c r="C30" s="99">
        <v>3.1826740703756698E-2</v>
      </c>
    </row>
    <row r="31" spans="1:3" ht="14.25" customHeight="1" x14ac:dyDescent="0.25">
      <c r="B31" s="25" t="s">
        <v>28</v>
      </c>
      <c r="C31" s="99">
        <v>8.8013370344364308E-2</v>
      </c>
    </row>
    <row r="32" spans="1:3" ht="14.25" customHeight="1" x14ac:dyDescent="0.25">
      <c r="B32" s="25" t="s">
        <v>29</v>
      </c>
      <c r="C32" s="99">
        <v>0.51579321181863302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27.510059999999999</v>
      </c>
    </row>
    <row r="38" spans="1:5" ht="15" customHeight="1" x14ac:dyDescent="0.25">
      <c r="B38" s="11" t="s">
        <v>34</v>
      </c>
      <c r="C38" s="43">
        <v>50.996070000000003</v>
      </c>
      <c r="D38" s="12"/>
      <c r="E38" s="13"/>
    </row>
    <row r="39" spans="1:5" ht="15" customHeight="1" x14ac:dyDescent="0.25">
      <c r="B39" s="11" t="s">
        <v>35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5.9898E-3</v>
      </c>
      <c r="D45" s="12"/>
    </row>
    <row r="46" spans="1:5" ht="15.75" customHeight="1" x14ac:dyDescent="0.25">
      <c r="B46" s="11" t="s">
        <v>41</v>
      </c>
      <c r="C46" s="45">
        <v>6.4360000000000001E-2</v>
      </c>
      <c r="D46" s="12"/>
    </row>
    <row r="47" spans="1:5" ht="15.75" customHeight="1" x14ac:dyDescent="0.25">
      <c r="B47" s="11" t="s">
        <v>42</v>
      </c>
      <c r="C47" s="45">
        <v>7.5305200000000003E-2</v>
      </c>
      <c r="D47" s="12"/>
      <c r="E47" s="13"/>
    </row>
    <row r="48" spans="1:5" ht="15" customHeight="1" x14ac:dyDescent="0.25">
      <c r="B48" s="11" t="s">
        <v>43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0.44236700000000001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1.349399999999999E-2</v>
      </c>
    </row>
    <row r="4" spans="1:8" ht="15.75" customHeight="1" x14ac:dyDescent="0.25">
      <c r="B4" s="19" t="s">
        <v>69</v>
      </c>
      <c r="C4" s="101">
        <v>7.2576899999999916E-2</v>
      </c>
    </row>
    <row r="5" spans="1:8" ht="15.75" customHeight="1" x14ac:dyDescent="0.25">
      <c r="B5" s="19" t="s">
        <v>70</v>
      </c>
      <c r="C5" s="101">
        <v>4.2096300000000107E-2</v>
      </c>
    </row>
    <row r="6" spans="1:8" ht="15.75" customHeight="1" x14ac:dyDescent="0.25">
      <c r="B6" s="19" t="s">
        <v>71</v>
      </c>
      <c r="C6" s="101">
        <v>0.2173944999999998</v>
      </c>
    </row>
    <row r="7" spans="1:8" ht="15.75" customHeight="1" x14ac:dyDescent="0.25">
      <c r="B7" s="19" t="s">
        <v>72</v>
      </c>
      <c r="C7" s="101">
        <v>0.48265060000000032</v>
      </c>
    </row>
    <row r="8" spans="1:8" ht="15.75" customHeight="1" x14ac:dyDescent="0.25">
      <c r="B8" s="19" t="s">
        <v>73</v>
      </c>
      <c r="C8" s="101">
        <v>2.6702999999999879E-3</v>
      </c>
    </row>
    <row r="9" spans="1:8" ht="15.75" customHeight="1" x14ac:dyDescent="0.25">
      <c r="B9" s="19" t="s">
        <v>74</v>
      </c>
      <c r="C9" s="101">
        <v>6.2363899999999937E-2</v>
      </c>
    </row>
    <row r="10" spans="1:8" ht="15.75" customHeight="1" x14ac:dyDescent="0.25">
      <c r="B10" s="19" t="s">
        <v>75</v>
      </c>
      <c r="C10" s="101">
        <v>0.1067535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82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83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84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85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86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87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88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89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6.1259088000000003E-2</v>
      </c>
    </row>
    <row r="27" spans="1:8" ht="15.75" customHeight="1" x14ac:dyDescent="0.25">
      <c r="B27" s="19" t="s">
        <v>92</v>
      </c>
      <c r="C27" s="101">
        <v>1.4566589999999999E-3</v>
      </c>
    </row>
    <row r="28" spans="1:8" ht="15.75" customHeight="1" x14ac:dyDescent="0.25">
      <c r="B28" s="19" t="s">
        <v>93</v>
      </c>
      <c r="C28" s="101">
        <v>0.11299475</v>
      </c>
    </row>
    <row r="29" spans="1:8" ht="15.75" customHeight="1" x14ac:dyDescent="0.25">
      <c r="B29" s="19" t="s">
        <v>94</v>
      </c>
      <c r="C29" s="101">
        <v>9.3433585999999999E-2</v>
      </c>
    </row>
    <row r="30" spans="1:8" ht="15.75" customHeight="1" x14ac:dyDescent="0.25">
      <c r="B30" s="19" t="s">
        <v>95</v>
      </c>
      <c r="C30" s="101">
        <v>0.110914363</v>
      </c>
    </row>
    <row r="31" spans="1:8" ht="15.75" customHeight="1" x14ac:dyDescent="0.25">
      <c r="B31" s="19" t="s">
        <v>96</v>
      </c>
      <c r="C31" s="101">
        <v>3.1485054999999998E-2</v>
      </c>
    </row>
    <row r="32" spans="1:8" ht="15.75" customHeight="1" x14ac:dyDescent="0.25">
      <c r="B32" s="19" t="s">
        <v>97</v>
      </c>
      <c r="C32" s="101">
        <v>8.0639849999999992E-3</v>
      </c>
    </row>
    <row r="33" spans="2:3" ht="15.75" customHeight="1" x14ac:dyDescent="0.25">
      <c r="B33" s="19" t="s">
        <v>98</v>
      </c>
      <c r="C33" s="101">
        <v>2.7219621999999999E-2</v>
      </c>
    </row>
    <row r="34" spans="2:3" ht="15.75" customHeight="1" x14ac:dyDescent="0.25">
      <c r="B34" s="19" t="s">
        <v>99</v>
      </c>
      <c r="C34" s="101">
        <v>0.553172891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104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122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18.381496702065061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0.16124310269652389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0.40394964285693302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0.25866250000000002</v>
      </c>
      <c r="C10" s="98">
        <v>0.95</v>
      </c>
      <c r="D10" s="56">
        <v>14.142094420718051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14.142094420718051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14.142094420718051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14.142094420718051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0.25866250000000002</v>
      </c>
      <c r="C14" s="98">
        <v>0.95</v>
      </c>
      <c r="D14" s="56">
        <v>14.142094420718051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14.142094420718051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0.5108009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8.60866666666667E-2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0.63300000000000001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0.52076729999999993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24.08118649042526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0.64237399999999989</v>
      </c>
      <c r="C23" s="98">
        <v>0.95</v>
      </c>
      <c r="D23" s="56">
        <v>4.6291754106690286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0.49878249740505998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0.25866250000000002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0.45933040000000003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0.28039049999999999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0.83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0.1222698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0.45039050000000003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7.9009999999999996E-4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0.41662450000000001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0.30897170000000002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205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0.10702886446821525</v>
      </c>
      <c r="G18" s="90">
        <f>MIN(MAX(1-0.89/(1-frac_sam_12_23months+(frac_sam_12_23months*0.89)),0),1)</f>
        <v>0.10636719049832166</v>
      </c>
      <c r="H18" s="90">
        <f>MIN(MAX(1-0.89/(1-frac_sam_24_59months+(frac_sam_24_59months*0.89)),0),1)</f>
        <v>0.10868315958680508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0.10291816326795888</v>
      </c>
      <c r="G20" s="90">
        <f>MIN(MAX(1-0.89/(1-frac_mam_12_23months+(frac_mam_12_23months*0.89)),0),1)</f>
        <v>0.10507840373916821</v>
      </c>
      <c r="H20" s="90">
        <f>MIN(MAX(1-0.89/(1-frac_mam_24_59months+(frac_mam_24_59months*0.89)),0),1)</f>
        <v>0.10778832145197437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9.7004571651819749E-3</v>
      </c>
      <c r="G73" s="90">
        <f>MIN(MAX(1-0.99/(1-frac_sam_12_23months+(frac_sam_12_23months*0.99)),0),1)</f>
        <v>9.6339953875053119E-3</v>
      </c>
      <c r="H73" s="90">
        <f>MIN(MAX(1-0.99/(1-frac_sam_24_59months+(frac_sam_24_59months*0.99)),0),1)</f>
        <v>9.8670152388167232E-3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9.2890023826058821E-3</v>
      </c>
      <c r="G75" s="90">
        <f>MIN(MAX(1-0.99/(1-frac_mam_12_23months+(frac_mam_12_23months*0.99)),0),1)</f>
        <v>9.5047999437415376E-3</v>
      </c>
      <c r="H75" s="90">
        <f>MIN(MAX(1-0.99/(1-frac_mam_24_59months+(frac_mam_24_59months*0.99)),0),1)</f>
        <v>9.7768512329791113E-3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0.19513091225894696</v>
      </c>
      <c r="G128" s="90">
        <f>MIN(MAX(1-0.8/(1-frac_sam_12_23months+(frac_sam_12_23months*0.8)),0),1)</f>
        <v>0.19404292950484903</v>
      </c>
      <c r="H128" s="90">
        <f>MIN(MAX(1-0.8/(1-frac_sam_24_59months+(frac_sam_24_59months*0.8)),0),1)</f>
        <v>0.19784525191569591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0.18835016262216131</v>
      </c>
      <c r="G130" s="90">
        <f>MIN(MAX(1-0.8/(1-frac_mam_12_23months+(frac_mam_12_23months*0.8)),0),1)</f>
        <v>0.19191997551194284</v>
      </c>
      <c r="H130" s="90">
        <f>MIN(MAX(1-0.8/(1-frac_mam_24_59months+(frac_mam_24_59months*0.8)),0),1)</f>
        <v>0.19637804369806888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2024-08-06T06:31:58Z</dcterms:modified>
</cp:coreProperties>
</file>