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EF012CF-9388-4DB9-96CF-59B7129CD0D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26" i="2"/>
  <c r="A18" i="2"/>
  <c r="I13" i="2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2" i="2" s="1"/>
  <c r="C33" i="1"/>
  <c r="C20" i="1"/>
  <c r="A24" i="2" l="1"/>
  <c r="A17" i="2"/>
  <c r="A25" i="2"/>
  <c r="A33" i="2"/>
  <c r="A19" i="2"/>
  <c r="A27" i="2"/>
  <c r="A35" i="2"/>
  <c r="A20" i="2"/>
  <c r="A28" i="2"/>
  <c r="A36" i="2"/>
  <c r="A37" i="2"/>
  <c r="A14" i="2"/>
  <c r="A30" i="2"/>
  <c r="A40" i="2"/>
  <c r="A21" i="2"/>
  <c r="A22" i="2"/>
  <c r="A15" i="2"/>
  <c r="A23" i="2"/>
  <c r="A31" i="2"/>
  <c r="A29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<sst xmlns="http://schemas.openxmlformats.org/spreadsheetml/2006/main" count="2103" uniqueCount="341">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</sst>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5629296.4375</v>
      </c>
    </row>
    <row r="8" spans="1:3" ht="15" customHeight="1" x14ac:dyDescent="0.25">
      <c r="B8" s="5" t="s">
        <v>8</v>
      </c>
      <c r="C8" s="44">
        <v>0.629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0.190472507476807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9">
        <v>3.1826740703756698E-2</v>
      </c>
    </row>
    <row r="31" spans="1:3" ht="14.25" customHeight="1" x14ac:dyDescent="0.25">
      <c r="B31" s="25" t="s">
        <v>28</v>
      </c>
      <c r="C31" s="99">
        <v>8.8013370344364308E-2</v>
      </c>
    </row>
    <row r="32" spans="1:3" ht="14.25" customHeight="1" x14ac:dyDescent="0.25">
      <c r="B32" s="25" t="s">
        <v>29</v>
      </c>
      <c r="C32" s="99">
        <v>0.51579321181863302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101">
        <v>7.2576899999999916E-2</v>
      </c>
    </row>
    <row r="5" spans="1:8" ht="15.75" customHeight="1" x14ac:dyDescent="0.25">
      <c r="B5" s="19" t="s">
        <v>70</v>
      </c>
      <c r="C5" s="101">
        <v>4.2096300000000107E-2</v>
      </c>
    </row>
    <row r="6" spans="1:8" ht="15.75" customHeight="1" x14ac:dyDescent="0.25">
      <c r="B6" s="19" t="s">
        <v>71</v>
      </c>
      <c r="C6" s="101">
        <v>0.2173944999999998</v>
      </c>
    </row>
    <row r="7" spans="1:8" ht="15.75" customHeight="1" x14ac:dyDescent="0.25">
      <c r="B7" s="19" t="s">
        <v>72</v>
      </c>
      <c r="C7" s="101">
        <v>0.48265060000000032</v>
      </c>
    </row>
    <row r="8" spans="1:8" ht="15.75" customHeight="1" x14ac:dyDescent="0.25">
      <c r="B8" s="19" t="s">
        <v>73</v>
      </c>
      <c r="C8" s="101">
        <v>2.6702999999999879E-3</v>
      </c>
    </row>
    <row r="9" spans="1:8" ht="15.75" customHeight="1" x14ac:dyDescent="0.25">
      <c r="B9" s="19" t="s">
        <v>74</v>
      </c>
      <c r="C9" s="101">
        <v>6.2363899999999937E-2</v>
      </c>
    </row>
    <row r="10" spans="1:8" ht="15.75" customHeight="1" x14ac:dyDescent="0.25">
      <c r="B10" s="19" t="s">
        <v>75</v>
      </c>
      <c r="C10" s="101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83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84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85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86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87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89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101">
        <v>1.4566589999999999E-3</v>
      </c>
    </row>
    <row r="28" spans="1:8" ht="15.75" customHeight="1" x14ac:dyDescent="0.25">
      <c r="B28" s="19" t="s">
        <v>93</v>
      </c>
      <c r="C28" s="101">
        <v>0.11299475</v>
      </c>
    </row>
    <row r="29" spans="1:8" ht="15.75" customHeight="1" x14ac:dyDescent="0.25">
      <c r="B29" s="19" t="s">
        <v>94</v>
      </c>
      <c r="C29" s="101">
        <v>9.3433585999999999E-2</v>
      </c>
    </row>
    <row r="30" spans="1:8" ht="15.75" customHeight="1" x14ac:dyDescent="0.25">
      <c r="B30" s="19" t="s">
        <v>95</v>
      </c>
      <c r="C30" s="101">
        <v>0.110914363</v>
      </c>
    </row>
    <row r="31" spans="1:8" ht="15.75" customHeight="1" x14ac:dyDescent="0.25">
      <c r="B31" s="19" t="s">
        <v>96</v>
      </c>
      <c r="C31" s="101">
        <v>3.1485054999999998E-2</v>
      </c>
    </row>
    <row r="32" spans="1:8" ht="15.75" customHeight="1" x14ac:dyDescent="0.25">
      <c r="B32" s="19" t="s">
        <v>97</v>
      </c>
      <c r="C32" s="101">
        <v>8.0639849999999992E-3</v>
      </c>
    </row>
    <row r="33" spans="2:3" ht="15.75" customHeight="1" x14ac:dyDescent="0.25">
      <c r="B33" s="19" t="s">
        <v>98</v>
      </c>
      <c r="C33" s="101">
        <v>2.7219621999999999E-2</v>
      </c>
    </row>
    <row r="34" spans="2:3" ht="15.75" customHeight="1" x14ac:dyDescent="0.25">
      <c r="B34" s="19" t="s">
        <v>99</v>
      </c>
      <c r="C34" s="101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34.033844527775358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44.617032551597681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38.206933042564401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0.16124310269652389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0.25866250000000002</v>
      </c>
      <c r="C10" s="98">
        <v>0.95</v>
      </c>
      <c r="D10" s="56">
        <v>14.142094420718051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14.142094420718051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14.142094420718051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14.142094420718051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0.25866250000000002</v>
      </c>
      <c r="C14" s="98">
        <v>0.95</v>
      </c>
      <c r="D14" s="56">
        <v>14.142094420718051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14.142094420718051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0.5108009</v>
      </c>
      <c r="C16" s="98">
        <v>0.95</v>
      </c>
      <c r="D16" s="56">
        <v>0.19837160627123551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8.60866666666667E-2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0.52076729999999993</v>
      </c>
      <c r="C18" s="98">
        <v>0.95</v>
      </c>
      <c r="D18" s="56">
        <v>0.9940340129549281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0.52076729999999993</v>
      </c>
      <c r="C19" s="98">
        <v>0.95</v>
      </c>
      <c r="D19" s="56">
        <v>0.9940340129549281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1.127818304100318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24.08118649042526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0.64237399999999989</v>
      </c>
      <c r="C23" s="98">
        <v>0.95</v>
      </c>
      <c r="D23" s="56">
        <v>4.6291754106690286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0.49878249740505998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0.25866250000000002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20.451035195022751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0.45933040000000003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0.28039049999999999</v>
      </c>
      <c r="C29" s="98">
        <v>0.95</v>
      </c>
      <c r="D29" s="56">
        <v>58.881752232190657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1.6730405983662171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0.83</v>
      </c>
      <c r="C32" s="98">
        <v>0.95</v>
      </c>
      <c r="D32" s="56">
        <v>0.36248454583155942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0.1222698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0.45039050000000003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7.9009999999999996E-4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0.41662450000000001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0.30897170000000002</v>
      </c>
      <c r="C38" s="98">
        <v>0.95</v>
      </c>
      <c r="D38" s="56">
        <v>3.086800264655738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205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0.10702886446821525</v>
      </c>
      <c r="G18" s="90">
        <f>MIN(MAX(1-0.89/(1-frac_sam_12_23months+(frac_sam_12_23months*0.89)),0),1)</f>
        <v>0.10636719049832166</v>
      </c>
      <c r="H18" s="90">
        <f>MIN(MAX(1-0.89/(1-frac_sam_24_59months+(frac_sam_24_59months*0.89)),0),1)</f>
        <v>0.10868315958680508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0.10291816326795888</v>
      </c>
      <c r="G20" s="90">
        <f>MIN(MAX(1-0.89/(1-frac_mam_12_23months+(frac_mam_12_23months*0.89)),0),1)</f>
        <v>0.10507840373916821</v>
      </c>
      <c r="H20" s="90">
        <f>MIN(MAX(1-0.89/(1-frac_mam_24_59months+(frac_mam_24_59months*0.89)),0),1)</f>
        <v>0.10778832145197437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9.7004571651819749E-3</v>
      </c>
      <c r="G73" s="90">
        <f>MIN(MAX(1-0.99/(1-frac_sam_12_23months+(frac_sam_12_23months*0.99)),0),1)</f>
        <v>9.6339953875053119E-3</v>
      </c>
      <c r="H73" s="90">
        <f>MIN(MAX(1-0.99/(1-frac_sam_24_59months+(frac_sam_24_59months*0.99)),0),1)</f>
        <v>9.8670152388167232E-3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9.2890023826058821E-3</v>
      </c>
      <c r="G75" s="90">
        <f>MIN(MAX(1-0.99/(1-frac_mam_12_23months+(frac_mam_12_23months*0.99)),0),1)</f>
        <v>9.5047999437415376E-3</v>
      </c>
      <c r="H75" s="90">
        <f>MIN(MAX(1-0.99/(1-frac_mam_24_59months+(frac_mam_24_59months*0.99)),0),1)</f>
        <v>9.7768512329791113E-3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0.19513091225894696</v>
      </c>
      <c r="G128" s="90">
        <f>MIN(MAX(1-0.8/(1-frac_sam_12_23months+(frac_sam_12_23months*0.8)),0),1)</f>
        <v>0.19404292950484903</v>
      </c>
      <c r="H128" s="90">
        <f>MIN(MAX(1-0.8/(1-frac_sam_24_59months+(frac_sam_24_59months*0.8)),0),1)</f>
        <v>0.19784525191569591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0.18835016262216131</v>
      </c>
      <c r="G130" s="90">
        <f>MIN(MAX(1-0.8/(1-frac_mam_12_23months+(frac_mam_12_23months*0.8)),0),1)</f>
        <v>0.19191997551194284</v>
      </c>
      <c r="H130" s="90">
        <f>MIN(MAX(1-0.8/(1-frac_mam_24_59months+(frac_mam_24_59months*0.8)),0),1)</f>
        <v>0.19637804369806888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2024-06-18T06:56:26Z</dcterms:modified>
</cp:coreProperties>
</file>