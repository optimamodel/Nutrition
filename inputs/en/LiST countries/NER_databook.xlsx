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Tharindu Documents\WB_multi_country 2025_R1\Databooks_R1\"/>
    </mc:Choice>
  </mc:AlternateContent>
  <xr:revisionPtr revIDLastSave="0" documentId="8_{AD0D3584-7E2F-466A-BE46-BC9AE407FB46}" xr6:coauthVersionLast="47" xr6:coauthVersionMax="47" xr10:uidLastSave="{00000000-0000-0000-0000-000000000000}"/>
  <bookViews>
    <workbookView xWindow="-110" yWindow="-110" windowWidth="19420" windowHeight="10300" tabRatio="961" firstSheet="7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input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Odds ratios" sheetId="23" state="hidden" r:id="rId21"/>
    <sheet name="Programs birth outcomes" sheetId="24" state="hidden" r:id="rId22"/>
    <sheet name="Birth outcome risks" sheetId="21" state="hidden" r:id="rId23"/>
    <sheet name="Relative risks" sheetId="22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0" i="25" l="1"/>
  <c r="N60" i="25"/>
  <c r="O60" i="25"/>
  <c r="L60" i="25"/>
  <c r="L14" i="25"/>
  <c r="O37" i="25"/>
  <c r="N37" i="25"/>
  <c r="M37" i="25"/>
  <c r="L37" i="25"/>
  <c r="H159" i="27"/>
  <c r="G159" i="27"/>
  <c r="F159" i="27"/>
  <c r="E159" i="27"/>
  <c r="D159" i="27"/>
  <c r="G158" i="27"/>
  <c r="E158" i="27"/>
  <c r="D158" i="27"/>
  <c r="H142" i="27"/>
  <c r="G142" i="27"/>
  <c r="F142" i="27"/>
  <c r="E142" i="27"/>
  <c r="H141" i="27"/>
  <c r="G141" i="27"/>
  <c r="F141" i="27"/>
  <c r="E141" i="27"/>
  <c r="D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G116" i="27"/>
  <c r="F116" i="27"/>
  <c r="E116" i="27"/>
  <c r="D116" i="27"/>
  <c r="H101" i="27"/>
  <c r="H158" i="27" s="1"/>
  <c r="G101" i="27"/>
  <c r="F101" i="27"/>
  <c r="F158" i="27" s="1"/>
  <c r="E101" i="27"/>
  <c r="D101" i="27"/>
  <c r="H85" i="27"/>
  <c r="G85" i="27"/>
  <c r="F85" i="27"/>
  <c r="E85" i="27"/>
  <c r="H84" i="27"/>
  <c r="G84" i="27"/>
  <c r="F84" i="27"/>
  <c r="E84" i="27"/>
  <c r="D84" i="27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F59" i="27"/>
  <c r="E59" i="27"/>
  <c r="D59" i="27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H39" i="2"/>
  <c r="G39" i="2"/>
  <c r="I39" i="2" s="1"/>
  <c r="H38" i="2"/>
  <c r="G38" i="2"/>
  <c r="I38" i="2" s="1"/>
  <c r="H13" i="2"/>
  <c r="G13" i="2"/>
  <c r="H12" i="2"/>
  <c r="G12" i="2"/>
  <c r="I12" i="2" s="1"/>
  <c r="H11" i="2"/>
  <c r="G11" i="2"/>
  <c r="I11" i="2" s="1"/>
  <c r="H10" i="2"/>
  <c r="G10" i="2"/>
  <c r="H9" i="2"/>
  <c r="G9" i="2"/>
  <c r="I9" i="2" s="1"/>
  <c r="H8" i="2"/>
  <c r="G8" i="2"/>
  <c r="I8" i="2" s="1"/>
  <c r="H7" i="2"/>
  <c r="G7" i="2"/>
  <c r="I7" i="2" s="1"/>
  <c r="H6" i="2"/>
  <c r="G6" i="2"/>
  <c r="I6" i="2" s="1"/>
  <c r="H5" i="2"/>
  <c r="G5" i="2"/>
  <c r="H4" i="2"/>
  <c r="G4" i="2"/>
  <c r="H3" i="2"/>
  <c r="G3" i="2"/>
  <c r="I3" i="2" s="1"/>
  <c r="H2" i="2"/>
  <c r="G2" i="2"/>
  <c r="I2" i="2" s="1"/>
  <c r="A2" i="2"/>
  <c r="A39" i="2" s="1"/>
  <c r="C33" i="1"/>
  <c r="C20" i="1"/>
  <c r="A35" i="2" l="1"/>
  <c r="A36" i="2"/>
  <c r="I13" i="2"/>
  <c r="A37" i="2"/>
  <c r="A19" i="2"/>
  <c r="A22" i="2"/>
  <c r="A23" i="2"/>
  <c r="A24" i="2"/>
  <c r="A40" i="2"/>
  <c r="I4" i="2"/>
  <c r="A25" i="2"/>
  <c r="A26" i="2"/>
  <c r="A31" i="2"/>
  <c r="A34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37" authorId="1" shapeId="0" xr:uid="{B53E2CCE-449F-4B13-937B-3F8B887F6752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37" authorId="1" shapeId="0" xr:uid="{1148A5A1-251A-4064-B40F-0C873577904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37" authorId="1" shapeId="0" xr:uid="{15C867EE-F338-4C14-9C7D-F0E3CF1EF5F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37" authorId="1" shapeId="0" xr:uid="{8E4E4ECE-5F5C-4FD8-8945-6257CBFF139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E6EBA730-3C9A-42F5-8372-C12E3D2BCF2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AF9DB01E-B712-4A66-A517-1C057B372D4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207C9149-2C56-40E5-890F-83153B938A2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39C4CB92-7EE0-4046-B67E-41191387FFA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E377B1E7-A333-4A74-97C3-029328512C0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200C4BAB-9EE2-447E-A6DD-80717CFE4A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9FC7E5D2-2D8B-4961-9B75-5691D4A68B0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D951D76C-28E5-48CE-899C-D128152950F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E9DCEC9B-12F6-42CF-8CD9-B1C5DD42DE7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9FD33C3F-D78F-4E9D-A67C-9D39AC73491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3400288E-DF03-41FF-B1F2-3EB20AA1B92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9C325214-076C-49F4-9A1C-FDD39C7EF1F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9B6733C4-FA93-4154-8674-5B85D19B611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607EB3C-B9C7-4D01-AE82-3B20B34591B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26DD0551-BD1F-450A-8953-951E786BA72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7B0F43C-E3A4-41A5-9220-14111D4DE5D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BF774CA2-E4B3-46E6-A04D-901C8156EE7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DDFF231A-B050-4E30-B877-4FB8473D71B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0214BC76-CC8A-414C-8D7A-C51B3E742D6B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408E5496-8B3D-4F1E-BD84-9A9255C25832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DF0EEE5A-AAEC-4832-9B3D-B069B0FD3D24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2A9C86D6-9952-4010-8EF5-ED482E1554FE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5A70274A-2FB2-4238-A065-120459AD1B1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385F9BE4-A3AC-4198-BAC3-722E7A52040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1E0B57C8-7A0A-48E3-A3E8-1E19A7175498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2AC9637A-4534-4154-9BD7-3AE7DD8CD9D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01A3CEF9-0D30-4FDB-AF26-2DC31C7D29F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E3448607-813B-4893-BFAF-1777B6724FB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CB33591A-EF28-41CE-A9F1-ECF332B1A0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652EDCEE-9F4F-4011-BE3F-87A81AEAB68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F2E7DF39-BD3C-4774-9BD5-66837E9E22B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84346A43-22E1-4209-86B7-5484553C9A3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6AA73D8B-E906-4C63-9A89-433F265EDADB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D0DB495D-46B4-4957-B9C2-D1B5214046C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E8F934AE-F36A-4978-A2B4-5231B12CD33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53D9CECE-9FA0-4330-B76A-C6EEC6C1D65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9DC905D6-8DE5-4FE7-BE6F-D3E934A7520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ACC4B3F7-E558-402F-BE57-0C3DDC8060F5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955FA18E-86F7-422C-8CA5-A38FE48813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33441C3A-E101-49E5-A4DB-504F222DBAB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9A6BDF27-568B-45B9-BE8D-362C80D286A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08FA6FC1-5E34-45F1-9F8B-4E7BAEF15D4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9730E75-4547-4DE1-A9F2-FCA6D5B0977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38945CFE-2923-4A7C-9E0E-820E103F12F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F76610CF-AE5A-4A2B-BD5A-C60057991BB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8EC67AD9-5004-458A-B78A-27343190877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8D6C5816-8BDB-4D07-A205-24F2394A459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B76A1BFB-64B6-4C17-9732-138D8EB4934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962C7931-87AA-452E-BF56-06BF5EBED30C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25F108DC-6C32-4B96-9492-1B12A3709CE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8B1376CD-B39F-49F6-BC5B-7A2858E0592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048CF327-553B-4B14-8A84-22CC73D47D4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1FFD936D-DA45-475C-9F30-391304B2787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3CED59C7-FFD8-4D8E-9210-1FB3B9F5724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BFC97A30-BB96-4307-90EA-5BE03611C63A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51ED88B2-1E5E-47FC-9698-0E5AB645D50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561CB528-6BAE-4817-8CC0-243735B76FA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E496632C-74C0-41C8-9AB4-0B4C878936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FBF69FC4-CD17-4513-AF48-E695A29BF82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900E651E-9020-4856-BB60-BF507FACE1C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49F9B2F7-6FD6-4FDF-921C-425B5CDD5155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4AC52846-7242-459E-9C8D-BF78F201C11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B7E52F08-0E63-474C-A17D-FB71B12C1A4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29CDC5B-FBD8-45AA-9D30-2F9915F0B0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74D24310-E8B6-4724-B08F-C246A0B86F1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026E01B-E53C-4032-904B-4C8C6143328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56E6B52D-1C74-48A6-AB95-D033A5B5881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A2996F6D-43C2-499B-8B4D-F7E66869236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1BA30CAA-FFAB-42ED-B857-7C2DBF6DD53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234E5DD0-50F5-435F-A2AD-FDCE2659B3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81B268C8-266C-41E0-8968-7FD59EF4441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D68CDFE1-6866-4AC0-B4D7-B34E1A99563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6447B983-C337-44DD-BE06-3BF10916980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42AC3582-1D7E-471B-A6C7-CD7E77F8588B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C499C901-0DF0-4641-8493-EE778DE73B9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080FF01F-34D3-44B7-835E-C7CC7A5B457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B263C3DB-9806-4F53-B7FE-F5AB30086A04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FF88E7CE-1D54-4693-9AC1-0680C2879226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F32BE7CD-2AAA-47AD-914F-4CAAC1FEDD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BCFCAE2C-B071-4EBD-916E-9CB34A3AE95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E2890E16-5EE9-49DE-B974-B3ADDC0025F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FFC68E24-6D1B-4208-B66E-D8A12166F7E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AE98D75E-0886-4415-A5FC-355EDA6C4FF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F3FF4EFF-507E-406A-9019-C50AD187D27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DE5B9A2C-A2CF-41B4-A227-60CE716BCCA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34EEDC69-740F-43FD-A983-6FB9711FB12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1C7CF2A-6820-4496-B5B3-46A027800BF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EBC10A23-30BF-4E42-8CA2-8EE10D6CA31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C4570B06-D8B9-4BF0-8899-481D28F107D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E10AAA50-CCAF-4DFB-8CEA-438EA669514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0D2DBAA3-0B85-4069-9696-DDECC83557DF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E6F4F3F2-6816-43AD-9558-8D77B03CE641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994813E0-DC6E-4867-8FA2-13765D152F5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6D709644-E2DA-4998-B8D6-CCE8241FA06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E0BF8484-6C50-4B90-B5C7-81D81EF1805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98B23DB2-DC71-4976-B9E0-A2E971751C4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ED7AE56-914C-4919-99D9-9B4DD94D01A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C946989D-0B8C-452F-9FD8-02724BD0218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E509D43A-5096-49C2-BA18-0C199C6BF4A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7D8578B9-425B-43DC-B215-7EF10F08E80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309E82E0-67AD-454E-9A05-4D9313B66A9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9EF8017-E5A0-4B1E-9AF7-1E695ECA49AB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26E77479-1563-4266-B2C1-17AF174C957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09D666FE-E28F-48AE-ADF8-2D96C595DB94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B9267817-21CE-42E6-A675-E3EF4A926E9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D5F41D35-9589-4734-9273-1246C82D90D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68C36586-6425-44D5-AE71-7B83AC0B0D8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AF8C373-AE13-4606-898A-ED625C16452F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A99AB4B1-F894-4133-B7CD-69537AC87F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66812343-2E7C-44E8-B27C-8CF88CE0513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384DF3D1-4AA8-4943-A530-5AAE715E42E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1DE26347-7149-43FD-858E-465A040CC0F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B687D13E-D130-42E7-9D6A-3F80F0C7EF5D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9BC31D67-F810-46D7-B5A1-4288AAC1F5B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64D245B3-8DA5-40BE-BC14-2456737D9F8E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5798986F-DE4D-469D-8D38-C4A2549541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1683DE01-9F25-40E0-AE29-34410454063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6E399964-9FF6-4F4D-B47E-AC805C54B9B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EFF89D0F-5E10-4447-B0BA-64F660AD6D14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E024415B-2F81-4A00-9886-75203AC76837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773BC8B9-C7FD-4E1D-BFAD-28167A2B024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E0893EE6-8215-43BF-B8DC-C2BA125EF50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B0106407-B25E-404E-AE98-C6E846DE743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B3781CC1-6735-4678-95E3-B6650A0CF97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550CF970-1632-472E-99A6-5157A6C70FB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0F529DF4-B0D9-4A77-880D-52378457049B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0A749486-D0DA-44DD-A158-4937B013D9E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65A87F96-9920-4AFF-9D42-432A9BC46A3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14AFEBEB-6E6D-485B-AD84-D77832449F6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C956521D-520C-46E0-BBF9-22BA4AB582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889435D0-F1CE-49D5-B3FA-2C346C3DD8B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21DCB560-D7D0-454D-9256-2EB6BA5D9FA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2CA48B3A-F458-496E-A12E-9EDFF9710F1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D5130B5B-6564-4541-AFF7-B31DC2A99F0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A87CEC0D-D5EC-411A-9E0A-45792CF26B1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F07A7990-2D7C-41E0-8069-25EED27A8B7D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B9A5DC53-F533-4CB3-94F1-5C0DF398AC6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F61BC170-6314-4BE8-BD27-ACBE21EC6D8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F2F9EF38-F3FC-4F8C-BAEA-4602406D7D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03156B19-EF6A-4B80-952F-EA4B39906AB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6C70B7FC-07DB-4AA6-AD5D-BA8D185F69A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ECCF229F-BC05-441A-A8EC-996A647C989C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853363A1-995D-434E-99B9-CBFFCC587E17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D7049EC9-BADF-40DE-979A-0A74E0293BB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C916B5A2-27DC-436D-B575-9210A24C214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D9F9FF7F-8008-4D79-ABB3-028FF22CD55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D7D5CD6A-B8A4-4771-AAA0-5113E0A3BC1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06B708C5-CF4C-4BD9-A112-999F5C5817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52C7700-A4E9-41DE-B7A6-091614D4800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C648195E-E2CA-46F6-BED8-ABE76E4EB10D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876F0647-9D39-464F-9AEF-66CCB9E7BE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A2FD75B6-2FF3-4112-A257-87C89428A2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17B0E3BD-602F-47AD-8FDA-505C553A7C4F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<sst xmlns="http://schemas.openxmlformats.org/spreadsheetml/2006/main" count="2169" uniqueCount="373">
  <si>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</si>
  <si>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</si>
  <si>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</si>
  <si>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</si>
  <si>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</si>
  <si>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</si>
  <si>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</si>
  <si>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</si>
  <si>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</si>
  <si>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</si>
  <si>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</si>
  <si>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</si>
  <si>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</si>
  <si>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</si>
  <si>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</si>
  <si>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</si>
  <si>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</si>
  <si>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</si>
  <si>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</si>
  <si>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</si>
  <si>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</si>
  <si>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</si>
  <si>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</si>
  <si>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</si>
  <si>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</si>
  <si>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</si>
  <si>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</si>
  <si>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</si>
  <si>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</si>
  <si>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</si>
  <si>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</si>
  <si>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</si>
  <si>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</si>
  <si>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</si>
  <si>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</si>
  <si>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</si>
  <si>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</si>
  <si>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</si>
  <si>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</si>
  <si>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</si>
  <si>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</si>
  <si>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</si>
  <si>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</si>
  <si>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</si>
  <si>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</si>
  <si>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</si>
  <si>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</si>
  <si>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</si>
  <si>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</si>
  <si>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</si>
  <si>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</si>
  <si>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</si>
  <si>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</si>
  <si>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</si>
  <si>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</si>
  <si>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</si>
  <si>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</si>
  <si>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</si>
  <si>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</si>
  <si>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</si>
  <si>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</si>
  <si>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</si>
  <si>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</si>
  <si>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</si>
  <si>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</si>
  <si>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</si>
  <si>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</si>
  <si>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</si>
  <si>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</si>
  <si>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</si>
  <si>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</si>
  <si>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</si>
  <si>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</si>
  <si>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</si>
  <si>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</si>
  <si>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</si>
  <si>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</si>
  <si>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</si>
  <si>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</si>
  <si>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</si>
  <si>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</si>
  <si>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</si>
  <si>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</si>
  <si>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</si>
  <si>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</si>
  <si>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</si>
  <si>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</si>
  <si>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</si>
  <si>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</si>
  <si>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</si>
  <si>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</si>
  <si>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</si>
  <si>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</si>
  <si>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</si>
  <si>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</si>
  <si>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</si>
  <si>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</si>
  <si>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</si>
  <si>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</si>
  <si>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</si>
  <si>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</si>
  <si>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</si>
  <si>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</si>
  <si>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</si>
  <si>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</si>
  <si>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</si>
  <si>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</si>
  <si>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</si>
  <si>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</si>
  <si>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</si>
  <si>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</si>
  <si>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</si>
  <si>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</si>
  <si>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</si>
  <si>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</si>
  <si>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</si>
  <si>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</si>
  <si>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</si>
  <si>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</si>
  <si>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</si>
  <si>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</si>
  <si>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</si>
  <si>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</si>
  <si>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</si>
  <si>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</si>
  <si>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</si>
  <si>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</si>
  <si>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</si>
  <si>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</si>
  <si>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</si>
  <si>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</si>
  <si>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</si>
  <si>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</si>
  <si>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</si>
  <si>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</si>
  <si>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Cost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</si>
  <si>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</si>
  <si>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</si>
  <si>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</si>
  <si>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</si>
  <si>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</si>
  <si>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</si>
  <si>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</si>
  <si>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</si>
  <si>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</si>
  <si>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</si>
  <si>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</si>
  <si>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</si>
  <si>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</si>
  <si>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</si>
  <si>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</si>
  <si>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</si>
  <si>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</si>
  <si>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</si>
  <si>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</si>
  <si>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</si>
  <si>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</si>
  <si>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</si>
  <si>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</si>
  <si>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</si>
  <si>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</si>
  <si>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</si>
  <si>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</si>
  <si>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</si>
  <si>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</si>
  <si>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</si>
  <si>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</si>
  <si>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</si>
  <si>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</si>
  <si>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</si>
  <si>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</si>
  <si>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</si>
  <si>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</si>
  <si>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</si>
  <si>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</si>
  <si>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</si>
  <si>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</si>
  <si>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</si>
  <si>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</si>
  <si>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</si>
  <si>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</si>
  <si>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</si>
  <si>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</si>
  <si>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</si>
  <si>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</si>
  <si>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</si>
  <si>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</si>
  <si>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</si>
  <si>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</si>
  <si>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</si>
  <si>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</si>
  <si>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</si>
  <si>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</si>
  <si>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</si>
  <si>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</si>
  <si>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</si>
  <si>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</si>
  <si>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</si>
  <si>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</si>
  <si>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</si>
  <si>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</si>
  <si>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</si>
  <si>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</si>
  <si>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</si>
  <si>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</si>
  <si>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</si>
  <si>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</si>
  <si>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</si>
  <si>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</si>
  <si>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</si>
  <si>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</si>
  <si>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</si>
  <si>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</si>
  <si>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</si>
  <si>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</si>
  <si>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</si>
  <si>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</si>
  <si>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</si>
  <si>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</si>
  <si>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</si>
  <si>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</si>
  <si>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</si>
  <si>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</si>
  <si>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</si>
  <si>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</si>
  <si>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</si>
  <si>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</si>
  <si>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</si>
  <si>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</si>
  <si>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</si>
  <si>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</si>
  <si>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</si>
  <si>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</si>
  <si>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</si>
  <si>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</si>
  <si>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</si>
  <si>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</si>
  <si>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</si>
  <si>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</si>
  <si>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</si>
  <si>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</si>
  <si>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</si>
  <si>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</si>
  <si>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</si>
  <si>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</si>
  <si>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</si>
  <si>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</si>
  <si>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</si>
  <si>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</si>
  <si>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</si>
  <si>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</si>
  <si>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</si>
  <si>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</si>
  <si>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</si>
  <si>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</si>
  <si>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</si>
  <si>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</si>
  <si>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</si>
  <si>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</si>
  <si>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</si>
  <si>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</si>
  <si>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</si>
  <si>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</si>
  <si>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</si>
  <si>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</si>
  <si>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</si>
  <si>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</si>
  <si>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</si>
  <si>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</si>
  <si>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</si>
  <si>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</si>
  <si>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</si>
  <si>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</si>
  <si>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</si>
  <si>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</si>
  <si>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</si>
  <si>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</si>
  <si>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</si>
  <si>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</si>
  <si>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</si>
  <si>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</si>
  <si>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</si>
  <si>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</si>
  <si>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</si>
  <si>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</si>
  <si>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</si>
  <si>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</si>
  <si>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</si>
  <si>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</si>
  <si>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</si>
  <si>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</si>
  <si>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</si>
  <si>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</si>
  <si>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</si>
  <si>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</si>
  <si>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</si>
  <si>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</si>
  <si>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</si>
  <si>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</si>
  <si>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</si>
  <si>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</si>
  <si>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</si>
  <si>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</si>
  <si>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</si>
  <si>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</si>
  <si>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</si>
  <si>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</si>
  <si>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</si>
  <si>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</si>
  <si>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</si>
  <si>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</si>
  <si>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</si>
  <si>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</si>
  <si>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</si>
  <si>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</si>
  <si>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</si>
  <si>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</si>
  <si>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</si>
  <si>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</si>
  <si>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</si>
  <si>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</si>
  <si>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</si>
  <si>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</si>
  <si>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</si>
  <si>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</si>
  <si>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</si>
  <si>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</si>
  <si>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</si>
  <si>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</si>
  <si>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</si>
  <si>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</si>
  <si>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</si>
  <si>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</si>
  <si>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</si>
  <si>
    <t>Parameter</t>
  </si>
  <si>
    <t>Value</t>
  </si>
  <si>
    <t>GDP per capita</t>
  </si>
  <si>
    <t>GDP growth rate per annum</t>
  </si>
  <si>
    <t>Labor share of GDP</t>
  </si>
  <si>
    <t>Discounting (costs)</t>
  </si>
  <si>
    <t>Discounting (benefits)</t>
  </si>
  <si>
    <t>Starting age for workforce productivity</t>
  </si>
  <si>
    <t>Ending age for workforce productivity</t>
  </si>
  <si>
    <t>Female labor force participation</t>
  </si>
  <si>
    <t>Percentage of lifetime earning actually realized</t>
  </si>
  <si>
    <t>Percentage reduction in lifetime earnings for a stunted individual</t>
  </si>
  <si>
    <t>Percentage loss in productivity due to childhood anemia</t>
  </si>
  <si>
    <t>Percentage loss in productivity due to low birth weight</t>
  </si>
  <si>
    <t>Percentage loss in productivity due to maternal anemia</t>
  </si>
  <si>
    <t>Percentage of pregnancy to apply maternal anemia productivity loss to</t>
  </si>
  <si>
    <t>Increase in IQ points due to early breastfeeding</t>
  </si>
  <si>
    <t>Increase in earnings due per one point increase in IQ</t>
  </si>
  <si>
    <t>Percentage of stillbirths to include in productivity loss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</si>
  <si>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</si>
  <si>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</si>
  <si>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</si>
  <si>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</si>
  <si>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</si>
  <si>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</si>
  <si>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</si>
  <si>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</si>
  <si>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</si>
  <si>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</si>
  <si>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</si>
  <si>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</si>
  <si>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</si>
  <si>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</si>
  <si>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</si>
  <si>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Number of people left alive (starting with 100,000 births)</t>
  </si>
  <si>
    <t>Stillbirths</t>
  </si>
  <si>
    <t>Cash transfers - lower</t>
  </si>
  <si>
    <t>Cash transfers - upper</t>
  </si>
  <si>
    <t>All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</si>
</sst>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  <numFmt numFmtId="169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6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69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E28" sqref="E28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4782870</v>
      </c>
    </row>
    <row r="8" spans="1:3" ht="15" customHeight="1" x14ac:dyDescent="0.25">
      <c r="B8" s="5" t="s">
        <v>8</v>
      </c>
      <c r="C8" s="44">
        <v>0.5</v>
      </c>
    </row>
    <row r="9" spans="1:3" ht="15" customHeight="1" x14ac:dyDescent="0.25">
      <c r="B9" s="5" t="s">
        <v>9</v>
      </c>
      <c r="C9" s="45">
        <v>0.89</v>
      </c>
    </row>
    <row r="10" spans="1:3" ht="15" customHeight="1" x14ac:dyDescent="0.25">
      <c r="B10" s="5" t="s">
        <v>10</v>
      </c>
      <c r="C10" s="45">
        <v>0.124236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0.54600000000000004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0.13469999999999999</v>
      </c>
    </row>
    <row r="24" spans="1:3" ht="15" customHeight="1" x14ac:dyDescent="0.25">
      <c r="B24" s="15" t="s">
        <v>22</v>
      </c>
      <c r="C24" s="45">
        <v>0.43480000000000002</v>
      </c>
    </row>
    <row r="25" spans="1:3" ht="15" customHeight="1" x14ac:dyDescent="0.25">
      <c r="B25" s="15" t="s">
        <v>23</v>
      </c>
      <c r="C25" s="45">
        <v>0.33339999999999997</v>
      </c>
    </row>
    <row r="26" spans="1:3" ht="15" customHeight="1" x14ac:dyDescent="0.25">
      <c r="B26" s="15" t="s">
        <v>24</v>
      </c>
      <c r="C26" s="45">
        <v>9.7100000000000006E-2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0.14423394649454599</v>
      </c>
    </row>
    <row r="30" spans="1:3" ht="14.25" customHeight="1" x14ac:dyDescent="0.25">
      <c r="B30" s="25" t="s">
        <v>27</v>
      </c>
      <c r="C30" s="97">
        <v>6.1032409192973099E-2</v>
      </c>
    </row>
    <row r="31" spans="1:3" ht="14.25" customHeight="1" x14ac:dyDescent="0.25">
      <c r="B31" s="25" t="s">
        <v>28</v>
      </c>
      <c r="C31" s="97">
        <v>0.136010908276956</v>
      </c>
    </row>
    <row r="32" spans="1:3" ht="14.25" customHeight="1" x14ac:dyDescent="0.25">
      <c r="B32" s="25" t="s">
        <v>29</v>
      </c>
      <c r="C32" s="97">
        <v>0.658722736035525</v>
      </c>
    </row>
    <row r="33" spans="1:5" ht="13.25" customHeight="1" x14ac:dyDescent="0.25">
      <c r="B33" s="27" t="s">
        <v>30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33.685989999999997</v>
      </c>
    </row>
    <row r="38" spans="1:5" ht="15" customHeight="1" x14ac:dyDescent="0.25">
      <c r="B38" s="11" t="s">
        <v>34</v>
      </c>
      <c r="C38" s="43">
        <v>59.503540000000001</v>
      </c>
      <c r="D38" s="12"/>
      <c r="E38" s="13"/>
    </row>
    <row r="39" spans="1:5" ht="15" customHeight="1" x14ac:dyDescent="0.25">
      <c r="B39" s="11" t="s">
        <v>35</v>
      </c>
      <c r="C39" s="43">
        <v>115.15188000000001</v>
      </c>
      <c r="D39" s="12"/>
      <c r="E39" s="12"/>
    </row>
    <row r="40" spans="1:5" ht="15" customHeight="1" x14ac:dyDescent="0.25">
      <c r="B40" s="11" t="s">
        <v>36</v>
      </c>
      <c r="C40" s="98">
        <v>4.41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21.444690000000001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7.9196000000000006E-3</v>
      </c>
      <c r="D45" s="12"/>
    </row>
    <row r="46" spans="1:5" ht="15.75" customHeight="1" x14ac:dyDescent="0.25">
      <c r="B46" s="11" t="s">
        <v>41</v>
      </c>
      <c r="C46" s="45">
        <v>8.5095100000000007E-2</v>
      </c>
      <c r="D46" s="12"/>
    </row>
    <row r="47" spans="1:5" ht="15.75" customHeight="1" x14ac:dyDescent="0.25">
      <c r="B47" s="11" t="s">
        <v>42</v>
      </c>
      <c r="C47" s="45">
        <v>7.3469300000000001E-2</v>
      </c>
      <c r="D47" s="12"/>
      <c r="E47" s="13"/>
    </row>
    <row r="48" spans="1:5" ht="15" customHeight="1" x14ac:dyDescent="0.25">
      <c r="B48" s="11" t="s">
        <v>43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98">
        <v>3.4319999999999999</v>
      </c>
      <c r="D51" s="12"/>
    </row>
    <row r="52" spans="1:4" ht="15" customHeight="1" x14ac:dyDescent="0.25">
      <c r="B52" s="11" t="s">
        <v>46</v>
      </c>
      <c r="C52" s="98">
        <v>3.4319999999999999</v>
      </c>
    </row>
    <row r="53" spans="1:4" ht="15.75" customHeight="1" x14ac:dyDescent="0.25">
      <c r="B53" s="11" t="s">
        <v>47</v>
      </c>
      <c r="C53" s="98">
        <v>7.331999999999999</v>
      </c>
    </row>
    <row r="54" spans="1:4" ht="15.75" customHeight="1" x14ac:dyDescent="0.25">
      <c r="B54" s="11" t="s">
        <v>48</v>
      </c>
      <c r="C54" s="98">
        <v>5.98</v>
      </c>
    </row>
    <row r="55" spans="1:4" ht="15.75" customHeight="1" x14ac:dyDescent="0.25">
      <c r="B55" s="11" t="s">
        <v>49</v>
      </c>
      <c r="C55" s="98">
        <v>2.2879999999999998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2.181818181818182E-2</v>
      </c>
    </row>
    <row r="59" spans="1:4" ht="15.75" customHeight="1" x14ac:dyDescent="0.25">
      <c r="B59" s="11" t="s">
        <v>52</v>
      </c>
      <c r="C59" s="45">
        <v>0.41849700000000001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1119695</v>
      </c>
      <c r="C2" s="49">
        <v>1505457.5</v>
      </c>
      <c r="D2" s="49">
        <v>2173852.5</v>
      </c>
      <c r="E2" s="49">
        <v>1345318</v>
      </c>
      <c r="F2" s="49">
        <v>901220.5</v>
      </c>
      <c r="G2" s="17">
        <f t="shared" ref="G2:G13" si="0">C2+D2+E2+F2</f>
        <v>5925848.5</v>
      </c>
      <c r="H2" s="17">
        <f t="shared" ref="H2:H13" si="1">(B2 + stillbirth*B2/(1000-stillbirth))/(1-abortion)</f>
        <v>1300264.4498635256</v>
      </c>
      <c r="I2" s="17">
        <f t="shared" ref="I2:I13" si="2">G2-H2</f>
        <v>4625584.0501364749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1138168</v>
      </c>
      <c r="C3" s="50">
        <v>1560600</v>
      </c>
      <c r="D3" s="50">
        <v>2271488.5</v>
      </c>
      <c r="E3" s="50">
        <v>1402505.5</v>
      </c>
      <c r="F3" s="50">
        <v>934499</v>
      </c>
      <c r="G3" s="17">
        <f t="shared" si="0"/>
        <v>6169093</v>
      </c>
      <c r="H3" s="17">
        <f t="shared" si="1"/>
        <v>1321716.5284941609</v>
      </c>
      <c r="I3" s="17">
        <f t="shared" si="2"/>
        <v>4847376.4715058394</v>
      </c>
    </row>
    <row r="4" spans="1:9" ht="15.75" customHeight="1" x14ac:dyDescent="0.25">
      <c r="A4" s="5">
        <f t="shared" si="3"/>
        <v>2026</v>
      </c>
      <c r="B4" s="49">
        <v>1157021</v>
      </c>
      <c r="C4" s="50">
        <v>1615464</v>
      </c>
      <c r="D4" s="50">
        <v>2370503</v>
      </c>
      <c r="E4" s="50">
        <v>1464262.0000000002</v>
      </c>
      <c r="F4" s="50">
        <v>968571.5</v>
      </c>
      <c r="G4" s="17">
        <f t="shared" si="0"/>
        <v>6418800.5</v>
      </c>
      <c r="H4" s="17">
        <f t="shared" si="1"/>
        <v>1343609.8884477883</v>
      </c>
      <c r="I4" s="17">
        <f t="shared" si="2"/>
        <v>5075190.6115522115</v>
      </c>
    </row>
    <row r="5" spans="1:9" ht="15.75" customHeight="1" x14ac:dyDescent="0.25">
      <c r="A5" s="5">
        <f t="shared" si="3"/>
        <v>2027</v>
      </c>
      <c r="B5" s="49">
        <v>1172912</v>
      </c>
      <c r="C5" s="50">
        <v>1669655.5</v>
      </c>
      <c r="D5" s="50">
        <v>2470867.5000000005</v>
      </c>
      <c r="E5" s="50">
        <v>1530641.5</v>
      </c>
      <c r="F5" s="50">
        <v>1003592.5</v>
      </c>
      <c r="G5" s="17">
        <f t="shared" si="0"/>
        <v>6674757</v>
      </c>
      <c r="H5" s="17">
        <f t="shared" si="1"/>
        <v>1362063.5766153531</v>
      </c>
      <c r="I5" s="17">
        <f t="shared" si="2"/>
        <v>5312693.4233846469</v>
      </c>
    </row>
    <row r="6" spans="1:9" ht="15.75" customHeight="1" x14ac:dyDescent="0.25">
      <c r="A6" s="5">
        <f t="shared" si="3"/>
        <v>2028</v>
      </c>
      <c r="B6" s="49">
        <v>1188297</v>
      </c>
      <c r="C6" s="50">
        <v>1723497.5</v>
      </c>
      <c r="D6" s="50">
        <v>2572364.5</v>
      </c>
      <c r="E6" s="50">
        <v>1601955</v>
      </c>
      <c r="F6" s="50">
        <v>1039373</v>
      </c>
      <c r="G6" s="17">
        <f t="shared" si="0"/>
        <v>6937190</v>
      </c>
      <c r="H6" s="17">
        <f t="shared" si="1"/>
        <v>1379929.6638633537</v>
      </c>
      <c r="I6" s="17">
        <f t="shared" si="2"/>
        <v>5557260.3361366466</v>
      </c>
    </row>
    <row r="7" spans="1:9" ht="15.75" customHeight="1" x14ac:dyDescent="0.25">
      <c r="A7" s="5">
        <f t="shared" si="3"/>
        <v>2029</v>
      </c>
      <c r="B7" s="49">
        <v>1205973</v>
      </c>
      <c r="C7" s="50">
        <v>1776849.5</v>
      </c>
      <c r="D7" s="50">
        <v>2674711</v>
      </c>
      <c r="E7" s="50">
        <v>1678208.5000000002</v>
      </c>
      <c r="F7" s="50">
        <v>1075972.4999999998</v>
      </c>
      <c r="G7" s="17">
        <f t="shared" si="0"/>
        <v>7205741.5</v>
      </c>
      <c r="H7" s="17">
        <f t="shared" si="1"/>
        <v>1400456.212982344</v>
      </c>
      <c r="I7" s="17">
        <f t="shared" si="2"/>
        <v>5805285.2870176565</v>
      </c>
    </row>
    <row r="8" spans="1:9" ht="15.75" customHeight="1" x14ac:dyDescent="0.25">
      <c r="A8" s="5">
        <f t="shared" si="3"/>
        <v>2030</v>
      </c>
      <c r="B8" s="49">
        <v>1220547</v>
      </c>
      <c r="C8" s="50">
        <v>1828989</v>
      </c>
      <c r="D8" s="50">
        <v>2778207.5</v>
      </c>
      <c r="E8" s="50">
        <v>1758199</v>
      </c>
      <c r="F8" s="50">
        <v>1114421</v>
      </c>
      <c r="G8" s="17">
        <f t="shared" si="0"/>
        <v>7479816.5</v>
      </c>
      <c r="H8" s="17">
        <f t="shared" si="1"/>
        <v>1417380.5129857478</v>
      </c>
      <c r="I8" s="17">
        <f t="shared" si="2"/>
        <v>6062435.9870142527</v>
      </c>
    </row>
    <row r="9" spans="1:9" ht="15.75" customHeight="1" x14ac:dyDescent="0.25">
      <c r="A9" s="5">
        <f t="shared" si="3"/>
        <v>2031</v>
      </c>
      <c r="B9" s="49">
        <v>1230763</v>
      </c>
      <c r="C9" s="50">
        <v>1879945.5</v>
      </c>
      <c r="D9" s="50">
        <v>2882647.5</v>
      </c>
      <c r="E9" s="50">
        <v>1841396</v>
      </c>
      <c r="F9" s="50">
        <v>1155316</v>
      </c>
      <c r="G9" s="17">
        <f t="shared" si="0"/>
        <v>7759305</v>
      </c>
      <c r="H9" s="17">
        <f t="shared" si="1"/>
        <v>1429244.0129744103</v>
      </c>
      <c r="I9" s="17">
        <f t="shared" si="2"/>
        <v>6330060.9870255897</v>
      </c>
    </row>
    <row r="10" spans="1:9" ht="15.75" customHeight="1" x14ac:dyDescent="0.25">
      <c r="A10" s="5">
        <f t="shared" si="3"/>
        <v>2032</v>
      </c>
      <c r="B10" s="49">
        <v>1243487</v>
      </c>
      <c r="C10" s="50">
        <v>1928983</v>
      </c>
      <c r="D10" s="50">
        <v>2987520.9999999995</v>
      </c>
      <c r="E10" s="50">
        <v>1927662.5000000002</v>
      </c>
      <c r="F10" s="50">
        <v>1199036.5000000002</v>
      </c>
      <c r="G10" s="17">
        <f t="shared" si="0"/>
        <v>8043203</v>
      </c>
      <c r="H10" s="17">
        <f t="shared" si="1"/>
        <v>1444019.9696948242</v>
      </c>
      <c r="I10" s="17">
        <f t="shared" si="2"/>
        <v>6599183.030305176</v>
      </c>
    </row>
    <row r="11" spans="1:9" ht="15.75" customHeight="1" x14ac:dyDescent="0.25">
      <c r="A11" s="5">
        <f t="shared" si="3"/>
        <v>2033</v>
      </c>
      <c r="B11" s="49">
        <v>1258844</v>
      </c>
      <c r="C11" s="50">
        <v>1974538</v>
      </c>
      <c r="D11" s="50">
        <v>3092915</v>
      </c>
      <c r="E11" s="50">
        <v>2016603.5000000002</v>
      </c>
      <c r="F11" s="50">
        <v>1246092.5</v>
      </c>
      <c r="G11" s="17">
        <f t="shared" si="0"/>
        <v>8330149</v>
      </c>
      <c r="H11" s="17">
        <f t="shared" si="1"/>
        <v>1461853.54147692</v>
      </c>
      <c r="I11" s="17">
        <f t="shared" si="2"/>
        <v>6868295.4585230798</v>
      </c>
    </row>
    <row r="12" spans="1:9" ht="15.75" customHeight="1" x14ac:dyDescent="0.25">
      <c r="A12" s="5">
        <f t="shared" si="3"/>
        <v>2034</v>
      </c>
      <c r="B12" s="49">
        <v>1264320</v>
      </c>
      <c r="C12" s="50">
        <v>2016432.5</v>
      </c>
      <c r="D12" s="50">
        <v>3198537.0000000005</v>
      </c>
      <c r="E12" s="50">
        <v>2108287</v>
      </c>
      <c r="F12" s="50">
        <v>1296890.5</v>
      </c>
      <c r="G12" s="17">
        <f t="shared" si="0"/>
        <v>8620147</v>
      </c>
      <c r="H12" s="17">
        <f t="shared" si="1"/>
        <v>1468212.6375945706</v>
      </c>
      <c r="I12" s="17">
        <f t="shared" si="2"/>
        <v>7151934.3624054296</v>
      </c>
    </row>
    <row r="13" spans="1:9" ht="15.75" customHeight="1" x14ac:dyDescent="0.25">
      <c r="A13" s="5">
        <f t="shared" si="3"/>
        <v>2035</v>
      </c>
      <c r="B13" s="49">
        <v>1276278</v>
      </c>
      <c r="C13" s="50">
        <v>2055634</v>
      </c>
      <c r="D13" s="50">
        <v>3303404</v>
      </c>
      <c r="E13" s="50">
        <v>2202490.5</v>
      </c>
      <c r="F13" s="50">
        <v>1351881</v>
      </c>
      <c r="G13" s="17">
        <f t="shared" si="0"/>
        <v>8913409.5</v>
      </c>
      <c r="H13" s="17">
        <f t="shared" si="1"/>
        <v>1482099.0640691624</v>
      </c>
      <c r="I13" s="17">
        <f t="shared" si="2"/>
        <v>7431310.4359308379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4" zoomScale="115" zoomScaleNormal="115" workbookViewId="0">
      <selection activeCell="E28" sqref="E28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4.0116400000000108E-2</v>
      </c>
    </row>
    <row r="4" spans="1:8" ht="15.75" customHeight="1" x14ac:dyDescent="0.25">
      <c r="B4" s="19" t="s">
        <v>69</v>
      </c>
      <c r="C4" s="99">
        <v>0.15844380000000011</v>
      </c>
    </row>
    <row r="5" spans="1:8" ht="15.75" customHeight="1" x14ac:dyDescent="0.25">
      <c r="B5" s="19" t="s">
        <v>70</v>
      </c>
      <c r="C5" s="99">
        <v>0.124777</v>
      </c>
    </row>
    <row r="6" spans="1:8" ht="15.75" customHeight="1" x14ac:dyDescent="0.25">
      <c r="B6" s="19" t="s">
        <v>71</v>
      </c>
      <c r="C6" s="99">
        <v>0.28140640000000011</v>
      </c>
    </row>
    <row r="7" spans="1:8" ht="15.75" customHeight="1" x14ac:dyDescent="0.25">
      <c r="B7" s="19" t="s">
        <v>72</v>
      </c>
      <c r="C7" s="99">
        <v>0.21175369999999999</v>
      </c>
    </row>
    <row r="8" spans="1:8" ht="15.75" customHeight="1" x14ac:dyDescent="0.25">
      <c r="B8" s="19" t="s">
        <v>73</v>
      </c>
      <c r="C8" s="99">
        <v>6.0052000000000074E-3</v>
      </c>
    </row>
    <row r="9" spans="1:8" ht="15.75" customHeight="1" x14ac:dyDescent="0.25">
      <c r="B9" s="19" t="s">
        <v>74</v>
      </c>
      <c r="C9" s="99">
        <v>5.8840899999999842E-2</v>
      </c>
    </row>
    <row r="10" spans="1:8" ht="15.75" customHeight="1" x14ac:dyDescent="0.25">
      <c r="B10" s="19" t="s">
        <v>75</v>
      </c>
      <c r="C10" s="99">
        <v>0.1186565999999999</v>
      </c>
    </row>
    <row r="11" spans="1:8" ht="15.75" customHeight="1" x14ac:dyDescent="0.25">
      <c r="B11" s="27" t="s">
        <v>30</v>
      </c>
      <c r="C11" s="48">
        <f>SUM(C3:C10)</f>
        <v>1.0000000000000002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0" t="s">
        <v>77</v>
      </c>
      <c r="D13" s="100" t="s">
        <v>78</v>
      </c>
      <c r="E13" s="100" t="s">
        <v>79</v>
      </c>
      <c r="F13" s="100" t="s">
        <v>80</v>
      </c>
      <c r="G13" s="19"/>
    </row>
    <row r="14" spans="1:8" ht="15.75" customHeight="1" x14ac:dyDescent="0.25">
      <c r="B14" s="19" t="s">
        <v>81</v>
      </c>
      <c r="C14" s="55">
        <v>0.19651274420995629</v>
      </c>
      <c r="D14" s="55">
        <v>0.19651274420995629</v>
      </c>
      <c r="E14" s="55">
        <v>0.19651274420995629</v>
      </c>
      <c r="F14" s="55">
        <v>0.19651274420995629</v>
      </c>
    </row>
    <row r="15" spans="1:8" ht="15.75" customHeight="1" x14ac:dyDescent="0.25">
      <c r="B15" s="19" t="s">
        <v>82</v>
      </c>
      <c r="C15" s="99">
        <v>0.20299060707212241</v>
      </c>
      <c r="D15" s="99">
        <v>0.20299060707212241</v>
      </c>
      <c r="E15" s="99">
        <v>0.20299060707212241</v>
      </c>
      <c r="F15" s="99">
        <v>0.20299060707212241</v>
      </c>
    </row>
    <row r="16" spans="1:8" ht="15.75" customHeight="1" x14ac:dyDescent="0.25">
      <c r="B16" s="19" t="s">
        <v>83</v>
      </c>
      <c r="C16" s="99">
        <v>5.504782921140617E-2</v>
      </c>
      <c r="D16" s="99">
        <v>5.504782921140617E-2</v>
      </c>
      <c r="E16" s="99">
        <v>5.504782921140617E-2</v>
      </c>
      <c r="F16" s="99">
        <v>5.504782921140617E-2</v>
      </c>
    </row>
    <row r="17" spans="1:8" ht="15.75" customHeight="1" x14ac:dyDescent="0.25">
      <c r="B17" s="19" t="s">
        <v>84</v>
      </c>
      <c r="C17" s="99">
        <v>4.0740003174638127E-2</v>
      </c>
      <c r="D17" s="99">
        <v>4.0740003174638127E-2</v>
      </c>
      <c r="E17" s="99">
        <v>4.0740003174638127E-2</v>
      </c>
      <c r="F17" s="99">
        <v>4.0740003174638127E-2</v>
      </c>
    </row>
    <row r="18" spans="1:8" ht="15.75" customHeight="1" x14ac:dyDescent="0.25">
      <c r="B18" s="19" t="s">
        <v>85</v>
      </c>
      <c r="C18" s="99">
        <v>0.28380134527066342</v>
      </c>
      <c r="D18" s="99">
        <v>0.28380134527066342</v>
      </c>
      <c r="E18" s="99">
        <v>0.28380134527066342</v>
      </c>
      <c r="F18" s="99">
        <v>0.28380134527066342</v>
      </c>
    </row>
    <row r="19" spans="1:8" ht="15.75" customHeight="1" x14ac:dyDescent="0.25">
      <c r="B19" s="19" t="s">
        <v>86</v>
      </c>
      <c r="C19" s="99">
        <v>1.513909038348786E-2</v>
      </c>
      <c r="D19" s="99">
        <v>1.513909038348786E-2</v>
      </c>
      <c r="E19" s="99">
        <v>1.513909038348786E-2</v>
      </c>
      <c r="F19" s="99">
        <v>1.513909038348786E-2</v>
      </c>
    </row>
    <row r="20" spans="1:8" ht="15.75" customHeight="1" x14ac:dyDescent="0.25">
      <c r="B20" s="19" t="s">
        <v>87</v>
      </c>
      <c r="C20" s="99">
        <v>2.9404314606592571E-3</v>
      </c>
      <c r="D20" s="99">
        <v>2.9404314606592571E-3</v>
      </c>
      <c r="E20" s="99">
        <v>2.9404314606592571E-3</v>
      </c>
      <c r="F20" s="99">
        <v>2.9404314606592571E-3</v>
      </c>
    </row>
    <row r="21" spans="1:8" ht="15.75" customHeight="1" x14ac:dyDescent="0.25">
      <c r="B21" s="19" t="s">
        <v>88</v>
      </c>
      <c r="C21" s="99">
        <v>5.7765042464679582E-2</v>
      </c>
      <c r="D21" s="99">
        <v>5.7765042464679582E-2</v>
      </c>
      <c r="E21" s="99">
        <v>5.7765042464679582E-2</v>
      </c>
      <c r="F21" s="99">
        <v>5.7765042464679582E-2</v>
      </c>
    </row>
    <row r="22" spans="1:8" ht="15.75" customHeight="1" x14ac:dyDescent="0.25">
      <c r="B22" s="19" t="s">
        <v>89</v>
      </c>
      <c r="C22" s="99">
        <v>0.14506290675238701</v>
      </c>
      <c r="D22" s="99">
        <v>0.14506290675238701</v>
      </c>
      <c r="E22" s="99">
        <v>0.14506290675238701</v>
      </c>
      <c r="F22" s="99">
        <v>0.14506290675238701</v>
      </c>
    </row>
    <row r="23" spans="1:8" ht="15.75" customHeight="1" x14ac:dyDescent="0.25">
      <c r="B23" s="27" t="s">
        <v>30</v>
      </c>
      <c r="C23" s="48">
        <f>SUM(C14:C22)</f>
        <v>1.0000000000000002</v>
      </c>
      <c r="D23" s="48">
        <f>SUM(D14:D22)</f>
        <v>1.0000000000000002</v>
      </c>
      <c r="E23" s="48">
        <f>SUM(E14:E22)</f>
        <v>1.0000000000000002</v>
      </c>
      <c r="F23" s="48">
        <f>SUM(F14:F22)</f>
        <v>1.0000000000000002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8.7709603999999997E-2</v>
      </c>
    </row>
    <row r="27" spans="1:8" ht="15.75" customHeight="1" x14ac:dyDescent="0.25">
      <c r="B27" s="19" t="s">
        <v>92</v>
      </c>
      <c r="C27" s="99">
        <v>8.7931239999999994E-3</v>
      </c>
    </row>
    <row r="28" spans="1:8" ht="15.75" customHeight="1" x14ac:dyDescent="0.25">
      <c r="B28" s="19" t="s">
        <v>93</v>
      </c>
      <c r="C28" s="99">
        <v>0.15523166899999999</v>
      </c>
    </row>
    <row r="29" spans="1:8" ht="15.75" customHeight="1" x14ac:dyDescent="0.25">
      <c r="B29" s="19" t="s">
        <v>94</v>
      </c>
      <c r="C29" s="99">
        <v>0.16945306099999999</v>
      </c>
    </row>
    <row r="30" spans="1:8" ht="15.75" customHeight="1" x14ac:dyDescent="0.25">
      <c r="B30" s="19" t="s">
        <v>95</v>
      </c>
      <c r="C30" s="99">
        <v>0.106213539</v>
      </c>
    </row>
    <row r="31" spans="1:8" ht="15.75" customHeight="1" x14ac:dyDescent="0.25">
      <c r="B31" s="19" t="s">
        <v>96</v>
      </c>
      <c r="C31" s="99">
        <v>0.110723503</v>
      </c>
    </row>
    <row r="32" spans="1:8" ht="15.75" customHeight="1" x14ac:dyDescent="0.25">
      <c r="B32" s="19" t="s">
        <v>97</v>
      </c>
      <c r="C32" s="99">
        <v>1.8926927999999999E-2</v>
      </c>
    </row>
    <row r="33" spans="2:3" ht="15.75" customHeight="1" x14ac:dyDescent="0.25">
      <c r="B33" s="19" t="s">
        <v>98</v>
      </c>
      <c r="C33" s="99">
        <v>8.5375593999999999E-2</v>
      </c>
    </row>
    <row r="34" spans="2:3" ht="15.75" customHeight="1" x14ac:dyDescent="0.25">
      <c r="B34" s="19" t="s">
        <v>99</v>
      </c>
      <c r="C34" s="99">
        <v>0.25757297699999998</v>
      </c>
    </row>
    <row r="35" spans="2:3" ht="15.75" customHeight="1" x14ac:dyDescent="0.25">
      <c r="B35" s="27" t="s">
        <v>30</v>
      </c>
      <c r="C35" s="48">
        <f>SUM(C26:C34)</f>
        <v>0.99999999899999992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0.48429455968058011</v>
      </c>
      <c r="D2" s="52">
        <f>IFERROR(1-_xlfn.NORM.DIST(_xlfn.NORM.INV(SUM(D4:D5), 0, 1) + 1, 0, 1, TRUE), "")</f>
        <v>0.48429455968058011</v>
      </c>
      <c r="E2" s="52">
        <f>IFERROR(1-_xlfn.NORM.DIST(_xlfn.NORM.INV(SUM(E4:E5), 0, 1) + 1, 0, 1, TRUE), "")</f>
        <v>0.37819764595455119</v>
      </c>
      <c r="F2" s="52">
        <f>IFERROR(1-_xlfn.NORM.DIST(_xlfn.NORM.INV(SUM(F4:F5), 0, 1) + 1, 0, 1, TRUE), "")</f>
        <v>0.18223200995738231</v>
      </c>
      <c r="G2" s="52">
        <f>IFERROR(1-_xlfn.NORM.DIST(_xlfn.NORM.INV(SUM(G4:G5), 0, 1) + 1, 0, 1, TRUE), "")</f>
        <v>0.15300380801270319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0.3473343403194199</v>
      </c>
      <c r="D3" s="52">
        <f>IFERROR(_xlfn.NORM.DIST(_xlfn.NORM.INV(SUM(D4:D5), 0, 1) + 1, 0, 1, TRUE) - SUM(D4:D5), "")</f>
        <v>0.3473343403194199</v>
      </c>
      <c r="E3" s="52">
        <f>IFERROR(_xlfn.NORM.DIST(_xlfn.NORM.INV(SUM(E4:E5), 0, 1) + 1, 0, 1, TRUE) - SUM(E4:E5), "")</f>
        <v>0.37663675404544883</v>
      </c>
      <c r="F3" s="52">
        <f>IFERROR(_xlfn.NORM.DIST(_xlfn.NORM.INV(SUM(F4:F5), 0, 1) + 1, 0, 1, TRUE) - SUM(F4:F5), "")</f>
        <v>0.35485919004261768</v>
      </c>
      <c r="G3" s="52">
        <f>IFERROR(_xlfn.NORM.DIST(_xlfn.NORM.INV(SUM(G4:G5), 0, 1) + 1, 0, 1, TRUE) - SUM(G4:G5), "")</f>
        <v>0.33756799198729681</v>
      </c>
    </row>
    <row r="4" spans="1:15" ht="15.75" customHeight="1" x14ac:dyDescent="0.25">
      <c r="B4" s="5" t="s">
        <v>104</v>
      </c>
      <c r="C4" s="45">
        <v>8.6706099999999994E-2</v>
      </c>
      <c r="D4" s="53">
        <v>8.6706099999999994E-2</v>
      </c>
      <c r="E4" s="53">
        <v>0.1590964</v>
      </c>
      <c r="F4" s="53">
        <v>0.22412360000000001</v>
      </c>
      <c r="G4" s="53">
        <v>0.2457741</v>
      </c>
    </row>
    <row r="5" spans="1:15" ht="15.75" customHeight="1" x14ac:dyDescent="0.25">
      <c r="B5" s="5" t="s">
        <v>105</v>
      </c>
      <c r="C5" s="45">
        <v>8.1664999999999988E-2</v>
      </c>
      <c r="D5" s="53">
        <v>8.1664999999999988E-2</v>
      </c>
      <c r="E5" s="53">
        <v>8.6069200000000012E-2</v>
      </c>
      <c r="F5" s="53">
        <v>0.2387852</v>
      </c>
      <c r="G5" s="53">
        <v>0.2636541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0.43767403386376158</v>
      </c>
      <c r="D8" s="52">
        <f>IFERROR(1-_xlfn.NORM.DIST(_xlfn.NORM.INV(SUM(D10:D11), 0, 1) + 1, 0, 1, TRUE), "")</f>
        <v>0.43767403386376158</v>
      </c>
      <c r="E8" s="52">
        <f>IFERROR(1-_xlfn.NORM.DIST(_xlfn.NORM.INV(SUM(E10:E11), 0, 1) + 1, 0, 1, TRUE), "")</f>
        <v>0.31219376464423831</v>
      </c>
      <c r="F8" s="52">
        <f>IFERROR(1-_xlfn.NORM.DIST(_xlfn.NORM.INV(SUM(F10:F11), 0, 1) + 1, 0, 1, TRUE), "")</f>
        <v>0.35890618636643035</v>
      </c>
      <c r="G8" s="52">
        <f>IFERROR(1-_xlfn.NORM.DIST(_xlfn.NORM.INV(SUM(G10:G11), 0, 1) + 1, 0, 1, TRUE), "")</f>
        <v>0.53766244519525852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0.3627483661362384</v>
      </c>
      <c r="D9" s="52">
        <f>IFERROR(_xlfn.NORM.DIST(_xlfn.NORM.INV(SUM(D10:D11), 0, 1) + 1, 0, 1, TRUE) - SUM(D10:D11), "")</f>
        <v>0.3627483661362384</v>
      </c>
      <c r="E9" s="52">
        <f>IFERROR(_xlfn.NORM.DIST(_xlfn.NORM.INV(SUM(E10:E11), 0, 1) + 1, 0, 1, TRUE) - SUM(E10:E11), "")</f>
        <v>0.38290603535576168</v>
      </c>
      <c r="F9" s="52">
        <f>IFERROR(_xlfn.NORM.DIST(_xlfn.NORM.INV(SUM(F10:F11), 0, 1) + 1, 0, 1, TRUE) - SUM(F10:F11), "")</f>
        <v>0.37955741363356965</v>
      </c>
      <c r="G9" s="52">
        <f>IFERROR(_xlfn.NORM.DIST(_xlfn.NORM.INV(SUM(G10:G11), 0, 1) + 1, 0, 1, TRUE) - SUM(G10:G11), "")</f>
        <v>0.3254798548047414</v>
      </c>
    </row>
    <row r="10" spans="1:15" ht="15.75" customHeight="1" x14ac:dyDescent="0.25">
      <c r="B10" s="5" t="s">
        <v>109</v>
      </c>
      <c r="C10" s="45">
        <v>0.1220947</v>
      </c>
      <c r="D10" s="53">
        <v>0.1220947</v>
      </c>
      <c r="E10" s="53">
        <v>0.1694233</v>
      </c>
      <c r="F10" s="53">
        <v>0.17734920000000001</v>
      </c>
      <c r="G10" s="53">
        <v>8.7805700000000014E-2</v>
      </c>
    </row>
    <row r="11" spans="1:15" ht="15.75" customHeight="1" x14ac:dyDescent="0.25">
      <c r="B11" s="5" t="s">
        <v>110</v>
      </c>
      <c r="C11" s="45">
        <v>7.7482899999999993E-2</v>
      </c>
      <c r="D11" s="53">
        <v>7.7482899999999993E-2</v>
      </c>
      <c r="E11" s="53">
        <v>0.13547690000000001</v>
      </c>
      <c r="F11" s="53">
        <v>8.4187200000000004E-2</v>
      </c>
      <c r="G11" s="53">
        <v>4.9051999999999998E-2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0.76261907750000002</v>
      </c>
      <c r="D14" s="54">
        <v>0.76158313046600001</v>
      </c>
      <c r="E14" s="54">
        <v>0.76158313046600001</v>
      </c>
      <c r="F14" s="54">
        <v>0.73774203991099996</v>
      </c>
      <c r="G14" s="54">
        <v>0.73774203991099996</v>
      </c>
      <c r="H14" s="45">
        <v>0.58700000000000008</v>
      </c>
      <c r="I14" s="55">
        <v>0.58700000000000008</v>
      </c>
      <c r="J14" s="55">
        <v>0.58700000000000008</v>
      </c>
      <c r="K14" s="55">
        <v>0.58700000000000008</v>
      </c>
      <c r="L14" s="45">
        <v>0.47799999999999998</v>
      </c>
      <c r="M14" s="55">
        <v>0.47799999999999998</v>
      </c>
      <c r="N14" s="55">
        <v>0.47799999999999998</v>
      </c>
      <c r="O14" s="55">
        <v>0.47799999999999998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0.3191537960765175</v>
      </c>
      <c r="D15" s="52">
        <f t="shared" si="0"/>
        <v>0.31872025535062959</v>
      </c>
      <c r="E15" s="52">
        <f t="shared" si="0"/>
        <v>0.31872025535062959</v>
      </c>
      <c r="F15" s="52">
        <f t="shared" si="0"/>
        <v>0.30874283047663376</v>
      </c>
      <c r="G15" s="52">
        <f t="shared" si="0"/>
        <v>0.30874283047663376</v>
      </c>
      <c r="H15" s="52">
        <f t="shared" si="0"/>
        <v>0.24565773900000004</v>
      </c>
      <c r="I15" s="52">
        <f t="shared" si="0"/>
        <v>0.24565773900000004</v>
      </c>
      <c r="J15" s="52">
        <f t="shared" si="0"/>
        <v>0.24565773900000004</v>
      </c>
      <c r="K15" s="52">
        <f t="shared" si="0"/>
        <v>0.24565773900000004</v>
      </c>
      <c r="L15" s="52">
        <f t="shared" si="0"/>
        <v>0.200041566</v>
      </c>
      <c r="M15" s="52">
        <f t="shared" si="0"/>
        <v>0.200041566</v>
      </c>
      <c r="N15" s="52">
        <f t="shared" si="0"/>
        <v>0.200041566</v>
      </c>
      <c r="O15" s="52">
        <f t="shared" si="0"/>
        <v>0.200041566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E28" sqref="E28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0.24391640000000001</v>
      </c>
      <c r="D2" s="53">
        <v>0.12774779999999999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0.634938</v>
      </c>
      <c r="D3" s="53">
        <v>0.63365000000000005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8.3629300000000004E-2</v>
      </c>
      <c r="D4" s="53">
        <v>0.17882429999999999</v>
      </c>
      <c r="E4" s="53">
        <v>0.96641229999999989</v>
      </c>
      <c r="F4" s="53">
        <v>0.76695390000000008</v>
      </c>
      <c r="G4" s="53">
        <v>0</v>
      </c>
    </row>
    <row r="5" spans="1:7" x14ac:dyDescent="0.25">
      <c r="B5" s="3" t="s">
        <v>122</v>
      </c>
      <c r="C5" s="52">
        <f t="shared" ref="C5:D5" si="0">1-SUM(C2:C4)</f>
        <v>3.7516299999999947E-2</v>
      </c>
      <c r="D5" s="52">
        <f t="shared" si="0"/>
        <v>5.977790000000005E-2</v>
      </c>
      <c r="E5" s="52">
        <f>1-SUM(E2:E4)</f>
        <v>3.3587700000000109E-2</v>
      </c>
      <c r="F5" s="52">
        <f>1-SUM(F2:F4)</f>
        <v>0.23304609999999992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Q18" sqref="Q18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334</v>
      </c>
      <c r="B1" s="103" t="s">
        <v>335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336</v>
      </c>
      <c r="B2" s="107">
        <v>585.40492917102597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337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338</v>
      </c>
      <c r="B4" s="108">
        <v>0.27259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339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340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341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342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343</v>
      </c>
      <c r="B9" s="108">
        <v>0.63524000000000003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344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345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346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347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348</v>
      </c>
      <c r="B14" s="110">
        <v>1.743804057060052E-2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349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350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351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352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353</v>
      </c>
      <c r="B21" s="106" t="s">
        <v>354</v>
      </c>
      <c r="C21" s="106" t="s">
        <v>355</v>
      </c>
      <c r="D21" s="106" t="s">
        <v>356</v>
      </c>
      <c r="E21" s="106" t="s">
        <v>357</v>
      </c>
      <c r="F21" s="106" t="s">
        <v>358</v>
      </c>
      <c r="G21" s="106" t="s">
        <v>359</v>
      </c>
      <c r="H21" s="106" t="s">
        <v>360</v>
      </c>
      <c r="I21" s="106" t="s">
        <v>361</v>
      </c>
      <c r="J21" s="106" t="s">
        <v>362</v>
      </c>
      <c r="K21" s="106" t="s">
        <v>363</v>
      </c>
      <c r="L21" s="106" t="s">
        <v>364</v>
      </c>
      <c r="M21" s="106" t="s">
        <v>365</v>
      </c>
      <c r="N21" s="106" t="s">
        <v>366</v>
      </c>
      <c r="O21" s="106" t="s">
        <v>367</v>
      </c>
    </row>
    <row r="22" spans="1:15" x14ac:dyDescent="0.25">
      <c r="A22" s="106" t="s">
        <v>368</v>
      </c>
      <c r="B22" s="107">
        <v>91802.470350000003</v>
      </c>
      <c r="C22" s="107">
        <v>90363.210579999999</v>
      </c>
      <c r="D22" s="107">
        <v>89021.102700000003</v>
      </c>
      <c r="E22" s="107">
        <v>88460.205249999999</v>
      </c>
      <c r="F22" s="107">
        <v>87710.534190000006</v>
      </c>
      <c r="G22" s="107">
        <v>86787.869500000001</v>
      </c>
      <c r="H22" s="107">
        <v>85648.494890000002</v>
      </c>
      <c r="I22" s="107">
        <v>84172.283219999998</v>
      </c>
      <c r="J22" s="107">
        <v>82158.494680000003</v>
      </c>
      <c r="K22" s="107">
        <v>79465.618359999993</v>
      </c>
      <c r="L22" s="107">
        <v>75573.487370000003</v>
      </c>
      <c r="M22" s="107">
        <v>70252.41171</v>
      </c>
      <c r="N22" s="107">
        <v>62715.294309999997</v>
      </c>
      <c r="O22" s="107">
        <v>53021.462319999999</v>
      </c>
    </row>
  </sheetData>
  <sheetProtection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E28" sqref="E28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136</v>
      </c>
      <c r="B1" s="36" t="s">
        <v>137</v>
      </c>
      <c r="C1" s="36" t="s">
        <v>138</v>
      </c>
      <c r="D1" s="36" t="s">
        <v>139</v>
      </c>
      <c r="E1" s="36" t="s">
        <v>140</v>
      </c>
    </row>
    <row r="2" spans="1:5" ht="13" x14ac:dyDescent="0.3">
      <c r="A2" s="34" t="s">
        <v>141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142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142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142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142</v>
      </c>
      <c r="E6" s="38" t="str">
        <f>IF(E$7="","",E$7)</f>
        <v/>
      </c>
    </row>
    <row r="7" spans="1:5" x14ac:dyDescent="0.25">
      <c r="B7" s="32" t="s">
        <v>143</v>
      </c>
      <c r="C7" s="31"/>
      <c r="D7" s="30"/>
      <c r="E7" s="47"/>
    </row>
    <row r="9" spans="1:5" ht="13" x14ac:dyDescent="0.3">
      <c r="A9" s="34" t="s">
        <v>144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142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142</v>
      </c>
      <c r="E13" s="38" t="str">
        <f>IF(E$7="","",E$7)</f>
        <v/>
      </c>
    </row>
    <row r="14" spans="1:5" x14ac:dyDescent="0.25">
      <c r="B14" s="32" t="s">
        <v>143</v>
      </c>
      <c r="C14" s="31"/>
      <c r="D14" s="30"/>
      <c r="E14" s="47"/>
    </row>
    <row r="16" spans="1:5" ht="13" x14ac:dyDescent="0.3">
      <c r="A16" s="34" t="s">
        <v>145</v>
      </c>
      <c r="B16" s="32" t="s">
        <v>90</v>
      </c>
      <c r="C16" s="47"/>
      <c r="D16" s="47" t="s">
        <v>142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142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142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142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142</v>
      </c>
      <c r="E20" s="38" t="str">
        <f>IF(E$7="","",E$7)</f>
        <v/>
      </c>
    </row>
    <row r="21" spans="2:5" x14ac:dyDescent="0.25">
      <c r="B21" s="32" t="s">
        <v>143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E28" sqref="E28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1</v>
      </c>
      <c r="B1" s="36" t="s">
        <v>146</v>
      </c>
      <c r="C1" s="40" t="s">
        <v>147</v>
      </c>
      <c r="D1" s="40" t="s">
        <v>148</v>
      </c>
    </row>
    <row r="2" spans="1:4" ht="13" x14ac:dyDescent="0.3">
      <c r="A2" s="40" t="s">
        <v>149</v>
      </c>
      <c r="B2" s="32" t="s">
        <v>150</v>
      </c>
      <c r="C2" s="32" t="s">
        <v>151</v>
      </c>
      <c r="D2" s="47"/>
    </row>
    <row r="3" spans="1:4" ht="13" x14ac:dyDescent="0.3">
      <c r="A3" s="40" t="s">
        <v>152</v>
      </c>
      <c r="B3" s="32" t="s">
        <v>138</v>
      </c>
      <c r="C3" s="32" t="s">
        <v>153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149</v>
      </c>
      <c r="B1" s="22" t="str">
        <f>"Baseline ("&amp;start_year&amp;") coverage"</f>
        <v>Baseline (2024) coverage</v>
      </c>
      <c r="C1" s="22" t="s">
        <v>154</v>
      </c>
      <c r="D1" s="22" t="s">
        <v>155</v>
      </c>
      <c r="E1" s="22" t="s">
        <v>156</v>
      </c>
      <c r="F1" s="22" t="s">
        <v>157</v>
      </c>
      <c r="G1" s="22" t="s">
        <v>158</v>
      </c>
    </row>
    <row r="2" spans="1:7" ht="15.75" customHeight="1" x14ac:dyDescent="0.25">
      <c r="A2" s="5" t="s">
        <v>159</v>
      </c>
      <c r="B2" s="45">
        <v>0</v>
      </c>
      <c r="C2" s="96">
        <v>0.95</v>
      </c>
      <c r="D2" s="56">
        <v>18.025735670419653</v>
      </c>
      <c r="E2" s="56" t="s">
        <v>160</v>
      </c>
      <c r="F2" s="96">
        <v>1</v>
      </c>
      <c r="G2" s="96">
        <v>1</v>
      </c>
    </row>
    <row r="3" spans="1:7" ht="15.75" customHeight="1" x14ac:dyDescent="0.25">
      <c r="A3" s="5" t="s">
        <v>161</v>
      </c>
      <c r="B3" s="45">
        <v>0</v>
      </c>
      <c r="C3" s="96">
        <v>0.95</v>
      </c>
      <c r="D3" s="56">
        <v>18.025735670419653</v>
      </c>
      <c r="E3" s="56" t="s">
        <v>160</v>
      </c>
      <c r="F3" s="96">
        <v>1</v>
      </c>
      <c r="G3" s="96">
        <v>1</v>
      </c>
    </row>
    <row r="4" spans="1:7" ht="15.75" customHeight="1" x14ac:dyDescent="0.25">
      <c r="A4" s="5" t="s">
        <v>162</v>
      </c>
      <c r="B4" s="96">
        <v>0</v>
      </c>
      <c r="C4" s="96">
        <v>0.95</v>
      </c>
      <c r="D4" s="56">
        <v>5.2668836507008754</v>
      </c>
      <c r="E4" s="56" t="s">
        <v>160</v>
      </c>
      <c r="F4" s="96">
        <v>1</v>
      </c>
      <c r="G4" s="96">
        <v>1</v>
      </c>
    </row>
    <row r="5" spans="1:7" ht="15.75" customHeight="1" x14ac:dyDescent="0.25">
      <c r="A5" s="5" t="s">
        <v>163</v>
      </c>
      <c r="B5" s="96">
        <v>0</v>
      </c>
      <c r="C5" s="96">
        <v>0.95</v>
      </c>
      <c r="D5" s="56">
        <v>0.56149571024496792</v>
      </c>
      <c r="E5" s="56" t="s">
        <v>160</v>
      </c>
      <c r="F5" s="96">
        <v>1</v>
      </c>
      <c r="G5" s="96">
        <v>1</v>
      </c>
    </row>
    <row r="6" spans="1:7" ht="15.75" customHeight="1" x14ac:dyDescent="0.25">
      <c r="A6" s="5" t="s">
        <v>164</v>
      </c>
      <c r="B6" s="96">
        <v>0</v>
      </c>
      <c r="C6" s="96">
        <v>0.95</v>
      </c>
      <c r="D6" s="56">
        <v>99.99</v>
      </c>
      <c r="E6" s="56" t="s">
        <v>160</v>
      </c>
      <c r="F6" s="96">
        <v>1</v>
      </c>
      <c r="G6" s="96">
        <v>1</v>
      </c>
    </row>
    <row r="7" spans="1:7" ht="15.75" customHeight="1" x14ac:dyDescent="0.25">
      <c r="A7" s="5" t="s">
        <v>165</v>
      </c>
      <c r="B7" s="96">
        <v>0</v>
      </c>
      <c r="C7" s="96">
        <v>0.95</v>
      </c>
      <c r="D7" s="56">
        <v>0.2139553248340432</v>
      </c>
      <c r="E7" s="56" t="s">
        <v>160</v>
      </c>
      <c r="F7" s="96">
        <v>1</v>
      </c>
      <c r="G7" s="96">
        <v>1</v>
      </c>
    </row>
    <row r="8" spans="1:7" ht="15.75" customHeight="1" x14ac:dyDescent="0.25">
      <c r="A8" s="5" t="s">
        <v>166</v>
      </c>
      <c r="B8" s="96">
        <v>0</v>
      </c>
      <c r="C8" s="96">
        <v>0.95</v>
      </c>
      <c r="D8" s="56">
        <v>0.78848199824391296</v>
      </c>
      <c r="E8" s="56" t="s">
        <v>160</v>
      </c>
      <c r="F8" s="96">
        <v>1</v>
      </c>
      <c r="G8" s="96">
        <v>1</v>
      </c>
    </row>
    <row r="9" spans="1:7" ht="15.75" customHeight="1" x14ac:dyDescent="0.25">
      <c r="A9" s="5" t="s">
        <v>167</v>
      </c>
      <c r="B9" s="96">
        <v>0.5</v>
      </c>
      <c r="C9" s="96">
        <v>0.95</v>
      </c>
      <c r="D9" s="56">
        <v>0.23003335421429147</v>
      </c>
      <c r="E9" s="56" t="s">
        <v>160</v>
      </c>
      <c r="F9" s="96">
        <v>1</v>
      </c>
      <c r="G9" s="96">
        <v>1</v>
      </c>
    </row>
    <row r="10" spans="1:7" ht="15.75" customHeight="1" x14ac:dyDescent="0.25">
      <c r="A10" s="11" t="s">
        <v>168</v>
      </c>
      <c r="B10" s="45">
        <v>0.21243500000000001</v>
      </c>
      <c r="C10" s="96">
        <v>0.95</v>
      </c>
      <c r="D10" s="56">
        <v>15.002033020696739</v>
      </c>
      <c r="E10" s="56" t="s">
        <v>160</v>
      </c>
      <c r="F10" s="96">
        <v>1</v>
      </c>
      <c r="G10" s="96">
        <v>1</v>
      </c>
    </row>
    <row r="11" spans="1:7" ht="15.75" customHeight="1" x14ac:dyDescent="0.25">
      <c r="A11" s="11" t="s">
        <v>169</v>
      </c>
      <c r="B11" s="96">
        <v>0</v>
      </c>
      <c r="C11" s="96">
        <v>0.95</v>
      </c>
      <c r="D11" s="56">
        <v>15.002033020696739</v>
      </c>
      <c r="E11" s="56" t="s">
        <v>160</v>
      </c>
      <c r="F11" s="96">
        <v>1</v>
      </c>
      <c r="G11" s="96">
        <v>1</v>
      </c>
    </row>
    <row r="12" spans="1:7" ht="15.75" customHeight="1" x14ac:dyDescent="0.25">
      <c r="A12" s="11" t="s">
        <v>170</v>
      </c>
      <c r="B12" s="96">
        <v>0</v>
      </c>
      <c r="C12" s="96">
        <v>0.95</v>
      </c>
      <c r="D12" s="56">
        <v>15.002033020696739</v>
      </c>
      <c r="E12" s="56" t="s">
        <v>160</v>
      </c>
      <c r="F12" s="96">
        <v>1</v>
      </c>
      <c r="G12" s="96">
        <v>1</v>
      </c>
    </row>
    <row r="13" spans="1:7" ht="15.75" customHeight="1" x14ac:dyDescent="0.25">
      <c r="A13" s="11" t="s">
        <v>171</v>
      </c>
      <c r="B13" s="96">
        <v>0</v>
      </c>
      <c r="C13" s="96">
        <v>0.95</v>
      </c>
      <c r="D13" s="56">
        <v>15.002033020696739</v>
      </c>
      <c r="E13" s="56" t="s">
        <v>160</v>
      </c>
      <c r="F13" s="96">
        <v>1</v>
      </c>
      <c r="G13" s="96">
        <v>1</v>
      </c>
    </row>
    <row r="14" spans="1:7" ht="15.75" customHeight="1" x14ac:dyDescent="0.25">
      <c r="A14" s="5" t="s">
        <v>172</v>
      </c>
      <c r="B14" s="45">
        <v>0.21243500000000001</v>
      </c>
      <c r="C14" s="96">
        <v>0.95</v>
      </c>
      <c r="D14" s="56">
        <v>15.002033020696739</v>
      </c>
      <c r="E14" s="56" t="s">
        <v>160</v>
      </c>
      <c r="F14" s="96">
        <v>1</v>
      </c>
      <c r="G14" s="96">
        <v>1</v>
      </c>
    </row>
    <row r="15" spans="1:7" ht="15.75" customHeight="1" x14ac:dyDescent="0.25">
      <c r="A15" s="5" t="s">
        <v>173</v>
      </c>
      <c r="B15" s="96">
        <v>0</v>
      </c>
      <c r="C15" s="96">
        <v>0.95</v>
      </c>
      <c r="D15" s="56">
        <v>15.002033020696739</v>
      </c>
      <c r="E15" s="56" t="s">
        <v>160</v>
      </c>
      <c r="F15" s="96">
        <v>1</v>
      </c>
      <c r="G15" s="96">
        <v>1</v>
      </c>
    </row>
    <row r="16" spans="1:7" ht="15.75" customHeight="1" x14ac:dyDescent="0.25">
      <c r="A16" s="5" t="s">
        <v>174</v>
      </c>
      <c r="B16" s="45">
        <v>0.43648940000000003</v>
      </c>
      <c r="C16" s="96">
        <v>0.95</v>
      </c>
      <c r="D16" s="56">
        <v>2.8407188685968858</v>
      </c>
      <c r="E16" s="56" t="s">
        <v>160</v>
      </c>
      <c r="F16" s="96">
        <v>1</v>
      </c>
      <c r="G16" s="96">
        <v>1</v>
      </c>
    </row>
    <row r="17" spans="1:7" ht="15.75" customHeight="1" x14ac:dyDescent="0.25">
      <c r="A17" s="5" t="s">
        <v>175</v>
      </c>
      <c r="B17" s="96">
        <v>3.0533333333333301E-2</v>
      </c>
      <c r="C17" s="96">
        <v>0.95</v>
      </c>
      <c r="D17" s="56">
        <v>0.35500000000000004</v>
      </c>
      <c r="E17" s="56" t="s">
        <v>160</v>
      </c>
      <c r="F17" s="96">
        <v>1</v>
      </c>
      <c r="G17" s="96">
        <v>1</v>
      </c>
    </row>
    <row r="18" spans="1:7" ht="15.9" customHeight="1" x14ac:dyDescent="0.25">
      <c r="A18" s="5" t="s">
        <v>141</v>
      </c>
      <c r="B18" s="96">
        <v>0.4</v>
      </c>
      <c r="C18" s="96">
        <v>0.95</v>
      </c>
      <c r="D18" s="56">
        <v>5.2668836507008754</v>
      </c>
      <c r="E18" s="56" t="s">
        <v>160</v>
      </c>
      <c r="F18" s="96">
        <v>1</v>
      </c>
      <c r="G18" s="96">
        <v>1</v>
      </c>
    </row>
    <row r="19" spans="1:7" ht="15.75" customHeight="1" x14ac:dyDescent="0.25">
      <c r="A19" s="5" t="s">
        <v>144</v>
      </c>
      <c r="B19" s="96">
        <v>0.12774779999999999</v>
      </c>
      <c r="C19" s="96">
        <v>0.95</v>
      </c>
      <c r="D19" s="56">
        <v>6.4354675422780758</v>
      </c>
      <c r="E19" s="56" t="s">
        <v>160</v>
      </c>
      <c r="F19" s="96">
        <v>1</v>
      </c>
      <c r="G19" s="96">
        <v>1</v>
      </c>
    </row>
    <row r="20" spans="1:7" ht="15.75" customHeight="1" x14ac:dyDescent="0.25">
      <c r="A20" s="5" t="s">
        <v>145</v>
      </c>
      <c r="B20" s="96">
        <v>0</v>
      </c>
      <c r="C20" s="96">
        <v>0.95</v>
      </c>
      <c r="D20" s="56">
        <v>99.99</v>
      </c>
      <c r="E20" s="56" t="s">
        <v>160</v>
      </c>
      <c r="F20" s="96">
        <v>1</v>
      </c>
      <c r="G20" s="96">
        <v>1</v>
      </c>
    </row>
    <row r="21" spans="1:7" ht="15.75" customHeight="1" x14ac:dyDescent="0.25">
      <c r="A21" s="5" t="s">
        <v>176</v>
      </c>
      <c r="B21" s="45">
        <v>0</v>
      </c>
      <c r="C21" s="96">
        <v>0.95</v>
      </c>
      <c r="D21" s="56">
        <v>2.1939130069251829</v>
      </c>
      <c r="E21" s="56" t="s">
        <v>160</v>
      </c>
      <c r="F21" s="96">
        <v>1</v>
      </c>
      <c r="G21" s="96">
        <v>1</v>
      </c>
    </row>
    <row r="22" spans="1:7" ht="15.75" customHeight="1" x14ac:dyDescent="0.25">
      <c r="A22" s="5" t="s">
        <v>177</v>
      </c>
      <c r="B22" s="96">
        <v>0</v>
      </c>
      <c r="C22" s="96">
        <v>0.95</v>
      </c>
      <c r="D22" s="56">
        <v>5.2668836507008754</v>
      </c>
      <c r="E22" s="56" t="s">
        <v>160</v>
      </c>
      <c r="F22" s="96">
        <v>1</v>
      </c>
      <c r="G22" s="96">
        <v>1</v>
      </c>
    </row>
    <row r="23" spans="1:7" ht="15.75" customHeight="1" x14ac:dyDescent="0.25">
      <c r="A23" s="5" t="s">
        <v>178</v>
      </c>
      <c r="B23" s="96">
        <v>0.77252589999999999</v>
      </c>
      <c r="C23" s="96">
        <v>0.95</v>
      </c>
      <c r="D23" s="56">
        <v>4.9019061388624658</v>
      </c>
      <c r="E23" s="56" t="s">
        <v>160</v>
      </c>
      <c r="F23" s="96">
        <v>1</v>
      </c>
      <c r="G23" s="96">
        <v>1</v>
      </c>
    </row>
    <row r="24" spans="1:7" ht="15.75" customHeight="1" x14ac:dyDescent="0.25">
      <c r="A24" s="5" t="s">
        <v>179</v>
      </c>
      <c r="B24" s="45">
        <v>0.31826196643066001</v>
      </c>
      <c r="C24" s="96">
        <v>0.95</v>
      </c>
      <c r="D24" s="56">
        <v>99.99</v>
      </c>
      <c r="E24" s="56" t="s">
        <v>160</v>
      </c>
      <c r="F24" s="96">
        <v>1</v>
      </c>
      <c r="G24" s="96">
        <v>1</v>
      </c>
    </row>
    <row r="25" spans="1:7" ht="15.75" customHeight="1" x14ac:dyDescent="0.25">
      <c r="A25" s="5" t="s">
        <v>180</v>
      </c>
      <c r="B25" s="96">
        <v>0</v>
      </c>
      <c r="C25" s="96">
        <v>0.95</v>
      </c>
      <c r="D25" s="56">
        <v>99.99</v>
      </c>
      <c r="E25" s="56" t="s">
        <v>160</v>
      </c>
      <c r="F25" s="96">
        <v>1</v>
      </c>
      <c r="G25" s="96">
        <v>1</v>
      </c>
    </row>
    <row r="26" spans="1:7" ht="15.75" customHeight="1" x14ac:dyDescent="0.25">
      <c r="A26" s="5" t="s">
        <v>181</v>
      </c>
      <c r="B26" s="45">
        <v>0.21243500000000001</v>
      </c>
      <c r="C26" s="96">
        <v>0.95</v>
      </c>
      <c r="D26" s="56">
        <v>3.8681355531509101</v>
      </c>
      <c r="E26" s="56" t="s">
        <v>160</v>
      </c>
      <c r="F26" s="96">
        <v>1</v>
      </c>
      <c r="G26" s="96">
        <v>1</v>
      </c>
    </row>
    <row r="27" spans="1:7" ht="15.75" customHeight="1" x14ac:dyDescent="0.25">
      <c r="A27" s="5" t="s">
        <v>182</v>
      </c>
      <c r="B27" s="45">
        <v>0</v>
      </c>
      <c r="C27" s="96">
        <v>0.95</v>
      </c>
      <c r="D27" s="56">
        <v>13.457928721749347</v>
      </c>
      <c r="E27" s="56" t="s">
        <v>160</v>
      </c>
      <c r="F27" s="96">
        <v>1</v>
      </c>
      <c r="G27" s="96">
        <v>1</v>
      </c>
    </row>
    <row r="28" spans="1:7" ht="15.75" customHeight="1" x14ac:dyDescent="0.25">
      <c r="A28" s="5" t="s">
        <v>183</v>
      </c>
      <c r="B28" s="45">
        <v>0.41242699999999999</v>
      </c>
      <c r="C28" s="96">
        <v>0.95</v>
      </c>
      <c r="D28" s="56">
        <v>99.99</v>
      </c>
      <c r="E28" s="56" t="s">
        <v>160</v>
      </c>
      <c r="F28" s="96">
        <v>1</v>
      </c>
      <c r="G28" s="96">
        <v>1</v>
      </c>
    </row>
    <row r="29" spans="1:7" ht="15.75" customHeight="1" x14ac:dyDescent="0.25">
      <c r="A29" s="5" t="s">
        <v>184</v>
      </c>
      <c r="B29" s="45">
        <v>0.10511330000000001</v>
      </c>
      <c r="C29" s="96">
        <v>0.95</v>
      </c>
      <c r="D29" s="56">
        <v>88.005851455993124</v>
      </c>
      <c r="E29" s="56" t="s">
        <v>160</v>
      </c>
      <c r="F29" s="96">
        <v>1</v>
      </c>
      <c r="G29" s="96">
        <v>1</v>
      </c>
    </row>
    <row r="30" spans="1:7" ht="15.75" customHeight="1" x14ac:dyDescent="0.25">
      <c r="A30" s="5" t="s">
        <v>185</v>
      </c>
      <c r="B30" s="96">
        <v>0</v>
      </c>
      <c r="C30" s="96">
        <v>0.95</v>
      </c>
      <c r="D30" s="56">
        <v>51.726402188782487</v>
      </c>
      <c r="E30" s="56" t="s">
        <v>160</v>
      </c>
      <c r="F30" s="96">
        <v>1</v>
      </c>
      <c r="G30" s="96">
        <v>1</v>
      </c>
    </row>
    <row r="31" spans="1:7" ht="15.75" customHeight="1" x14ac:dyDescent="0.25">
      <c r="A31" s="5" t="s">
        <v>150</v>
      </c>
      <c r="B31" s="45">
        <v>0.39950000000000002</v>
      </c>
      <c r="C31" s="96">
        <v>0.95</v>
      </c>
      <c r="D31" s="56">
        <v>118.52</v>
      </c>
      <c r="E31" s="56" t="s">
        <v>160</v>
      </c>
      <c r="F31" s="96">
        <v>1</v>
      </c>
      <c r="G31" s="96">
        <v>1</v>
      </c>
    </row>
    <row r="32" spans="1:7" ht="15.75" customHeight="1" x14ac:dyDescent="0.25">
      <c r="A32" s="5" t="s">
        <v>186</v>
      </c>
      <c r="B32" s="45">
        <v>0.87</v>
      </c>
      <c r="C32" s="96">
        <v>0.95</v>
      </c>
      <c r="D32" s="56">
        <v>0.46210405728622134</v>
      </c>
      <c r="E32" s="56" t="s">
        <v>160</v>
      </c>
      <c r="F32" s="96">
        <v>1</v>
      </c>
      <c r="G32" s="96">
        <v>1</v>
      </c>
    </row>
    <row r="33" spans="1:7" ht="15.75" customHeight="1" x14ac:dyDescent="0.25">
      <c r="A33" s="5" t="s">
        <v>187</v>
      </c>
      <c r="B33" s="45">
        <v>0.24616806296351099</v>
      </c>
      <c r="C33" s="96">
        <v>0.95</v>
      </c>
      <c r="D33" s="56">
        <v>99.99</v>
      </c>
      <c r="E33" s="56" t="s">
        <v>160</v>
      </c>
      <c r="F33" s="96">
        <v>1</v>
      </c>
      <c r="G33" s="96">
        <v>1</v>
      </c>
    </row>
    <row r="34" spans="1:7" ht="15.75" customHeight="1" x14ac:dyDescent="0.25">
      <c r="A34" s="5" t="s">
        <v>188</v>
      </c>
      <c r="B34" s="45">
        <v>0.20496159999999999</v>
      </c>
      <c r="C34" s="96">
        <v>0.95</v>
      </c>
      <c r="D34" s="56">
        <v>99.99</v>
      </c>
      <c r="E34" s="56" t="s">
        <v>160</v>
      </c>
      <c r="F34" s="96">
        <v>1</v>
      </c>
      <c r="G34" s="96">
        <v>1</v>
      </c>
    </row>
    <row r="35" spans="1:7" ht="15.75" customHeight="1" x14ac:dyDescent="0.25">
      <c r="A35" s="5" t="s">
        <v>189</v>
      </c>
      <c r="B35" s="96">
        <v>0</v>
      </c>
      <c r="C35" s="96">
        <v>0.95</v>
      </c>
      <c r="D35" s="56">
        <v>99.99</v>
      </c>
      <c r="E35" s="56" t="s">
        <v>160</v>
      </c>
      <c r="F35" s="96">
        <v>1</v>
      </c>
      <c r="G35" s="96">
        <v>1</v>
      </c>
    </row>
    <row r="36" spans="1:7" ht="15.75" customHeight="1" x14ac:dyDescent="0.25">
      <c r="A36" s="5" t="s">
        <v>190</v>
      </c>
      <c r="B36" s="45">
        <v>5.0521000000000003E-3</v>
      </c>
      <c r="C36" s="96">
        <v>0.95</v>
      </c>
      <c r="D36" s="56">
        <v>99.99</v>
      </c>
      <c r="E36" s="56" t="s">
        <v>160</v>
      </c>
      <c r="F36" s="96">
        <v>1</v>
      </c>
      <c r="G36" s="96">
        <v>1</v>
      </c>
    </row>
    <row r="37" spans="1:7" ht="15.75" customHeight="1" x14ac:dyDescent="0.25">
      <c r="A37" s="5" t="s">
        <v>191</v>
      </c>
      <c r="B37" s="45">
        <v>0.41175289999999998</v>
      </c>
      <c r="C37" s="96">
        <v>0.95</v>
      </c>
      <c r="D37" s="56">
        <v>99.99</v>
      </c>
      <c r="E37" s="56" t="s">
        <v>160</v>
      </c>
      <c r="F37" s="96">
        <v>1</v>
      </c>
      <c r="G37" s="96">
        <v>1</v>
      </c>
    </row>
    <row r="38" spans="1:7" ht="15.75" customHeight="1" x14ac:dyDescent="0.25">
      <c r="A38" s="5" t="s">
        <v>192</v>
      </c>
      <c r="B38" s="45">
        <v>0.29306520000000003</v>
      </c>
      <c r="C38" s="96">
        <v>0.95</v>
      </c>
      <c r="D38" s="56">
        <v>4.0706758054007581</v>
      </c>
      <c r="E38" s="56" t="s">
        <v>160</v>
      </c>
      <c r="F38" s="96">
        <v>1</v>
      </c>
      <c r="G38" s="96">
        <v>1</v>
      </c>
    </row>
    <row r="39" spans="1:7" ht="15.75" customHeight="1" x14ac:dyDescent="0.25">
      <c r="A39" s="5" t="s">
        <v>193</v>
      </c>
      <c r="B39" s="45">
        <v>0</v>
      </c>
      <c r="C39" s="96">
        <v>0.95</v>
      </c>
      <c r="D39" s="56">
        <v>3.4125000000000001</v>
      </c>
      <c r="E39" s="56" t="s">
        <v>160</v>
      </c>
      <c r="F39" s="96">
        <v>1</v>
      </c>
      <c r="G39" s="96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tabSelected="1" workbookViewId="0">
      <selection activeCell="B16" sqref="B16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149</v>
      </c>
      <c r="B1" s="4" t="s">
        <v>194</v>
      </c>
      <c r="C1" s="4" t="s">
        <v>195</v>
      </c>
    </row>
    <row r="2" spans="1:3" x14ac:dyDescent="0.25">
      <c r="A2" s="57" t="s">
        <v>172</v>
      </c>
      <c r="B2" s="47" t="s">
        <v>182</v>
      </c>
      <c r="C2" s="47"/>
    </row>
    <row r="3" spans="1:3" x14ac:dyDescent="0.25">
      <c r="A3" s="57" t="s">
        <v>173</v>
      </c>
      <c r="B3" s="47" t="s">
        <v>182</v>
      </c>
      <c r="C3" s="47"/>
    </row>
    <row r="4" spans="1:3" x14ac:dyDescent="0.25">
      <c r="A4" s="57" t="s">
        <v>184</v>
      </c>
      <c r="B4" s="47" t="s">
        <v>177</v>
      </c>
      <c r="C4" s="47"/>
    </row>
    <row r="5" spans="1:3" x14ac:dyDescent="0.25">
      <c r="A5" s="57" t="s">
        <v>184</v>
      </c>
      <c r="B5" s="47" t="s">
        <v>185</v>
      </c>
      <c r="C5" s="47"/>
    </row>
    <row r="6" spans="1:3" x14ac:dyDescent="0.25">
      <c r="A6" s="57" t="s">
        <v>181</v>
      </c>
      <c r="B6" s="58" t="s">
        <v>185</v>
      </c>
      <c r="C6" s="58"/>
    </row>
    <row r="7" spans="1:3" x14ac:dyDescent="0.25">
      <c r="A7" s="57" t="s">
        <v>193</v>
      </c>
      <c r="B7" s="58" t="s">
        <v>185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149</v>
      </c>
    </row>
    <row r="2" spans="1:1" x14ac:dyDescent="0.25">
      <c r="A2" s="33" t="s">
        <v>164</v>
      </c>
    </row>
    <row r="3" spans="1:1" x14ac:dyDescent="0.25">
      <c r="A3" s="33" t="s">
        <v>174</v>
      </c>
    </row>
    <row r="4" spans="1:1" x14ac:dyDescent="0.25">
      <c r="A4" s="33" t="s">
        <v>178</v>
      </c>
    </row>
    <row r="5" spans="1:1" x14ac:dyDescent="0.25">
      <c r="A5" s="33" t="s">
        <v>187</v>
      </c>
    </row>
    <row r="6" spans="1:1" x14ac:dyDescent="0.25">
      <c r="A6" s="33" t="s">
        <v>188</v>
      </c>
    </row>
    <row r="7" spans="1:1" x14ac:dyDescent="0.25">
      <c r="A7" s="33" t="s">
        <v>189</v>
      </c>
    </row>
    <row r="8" spans="1:1" x14ac:dyDescent="0.25">
      <c r="A8" s="33" t="s">
        <v>190</v>
      </c>
    </row>
    <row r="9" spans="1:1" x14ac:dyDescent="0.25">
      <c r="A9" s="33" t="s">
        <v>191</v>
      </c>
    </row>
    <row r="10" spans="1:1" x14ac:dyDescent="0.25">
      <c r="A10" s="33" t="s">
        <v>150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196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3.4319999999999999</v>
      </c>
      <c r="C2" s="21">
        <f>'Baseline year population inputs'!C52</f>
        <v>3.4319999999999999</v>
      </c>
      <c r="D2" s="21">
        <f>'Baseline year population inputs'!C53</f>
        <v>7.331999999999999</v>
      </c>
      <c r="E2" s="21">
        <f>'Baseline year population inputs'!C54</f>
        <v>5.98</v>
      </c>
      <c r="F2" s="21">
        <f>'Baseline year population inputs'!C55</f>
        <v>2.2879999999999998</v>
      </c>
    </row>
    <row r="3" spans="1:6" ht="15.75" customHeight="1" x14ac:dyDescent="0.25">
      <c r="A3" s="3" t="s">
        <v>197</v>
      </c>
      <c r="B3" s="21">
        <f>frac_mam_1month * 2.6</f>
        <v>0.31744622</v>
      </c>
      <c r="C3" s="21">
        <f>frac_mam_1_5months * 2.6</f>
        <v>0.31744622</v>
      </c>
      <c r="D3" s="21">
        <f>frac_mam_6_11months * 2.6</f>
        <v>0.44050058000000003</v>
      </c>
      <c r="E3" s="21">
        <f>frac_mam_12_23months * 2.6</f>
        <v>0.46110792000000006</v>
      </c>
      <c r="F3" s="21">
        <f>frac_mam_24_59months * 2.6</f>
        <v>0.22829482000000004</v>
      </c>
    </row>
    <row r="4" spans="1:6" ht="15.75" customHeight="1" x14ac:dyDescent="0.25">
      <c r="A4" s="3" t="s">
        <v>198</v>
      </c>
      <c r="B4" s="21">
        <f>frac_sam_1month * 2.6</f>
        <v>0.20145553999999999</v>
      </c>
      <c r="C4" s="21">
        <f>frac_sam_1_5months * 2.6</f>
        <v>0.20145553999999999</v>
      </c>
      <c r="D4" s="21">
        <f>frac_sam_6_11months * 2.6</f>
        <v>0.35223994000000003</v>
      </c>
      <c r="E4" s="21">
        <f>frac_sam_12_23months * 2.6</f>
        <v>0.21888672000000001</v>
      </c>
      <c r="F4" s="21">
        <f>frac_sam_24_59months * 2.6</f>
        <v>0.12753519999999999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K15" sqref="K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162</v>
      </c>
      <c r="C2" s="60">
        <v>0</v>
      </c>
      <c r="D2" s="60">
        <v>0</v>
      </c>
      <c r="E2" s="60">
        <f>food_insecure</f>
        <v>0.5</v>
      </c>
      <c r="F2" s="60">
        <f>food_insecure</f>
        <v>0.5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163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176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177</v>
      </c>
      <c r="C5" s="60">
        <v>0</v>
      </c>
      <c r="D5" s="60">
        <v>0</v>
      </c>
      <c r="E5" s="60">
        <f>food_insecure</f>
        <v>0.5</v>
      </c>
      <c r="F5" s="60">
        <f>food_insecure</f>
        <v>0.5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181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183</v>
      </c>
      <c r="C7" s="60">
        <f>diarrhoea_1mo*frac_diarrhea_severe</f>
        <v>7.4880000000000002E-2</v>
      </c>
      <c r="D7" s="60">
        <f>diarrhoea_1_5mo*frac_diarrhea_severe</f>
        <v>7.4880000000000002E-2</v>
      </c>
      <c r="E7" s="60">
        <f>diarrhoea_6_11mo*frac_diarrhea_severe</f>
        <v>0.15997090909090908</v>
      </c>
      <c r="F7" s="60">
        <f>diarrhoea_12_23mo*frac_diarrhea_severe</f>
        <v>0.1304727272727273</v>
      </c>
      <c r="G7" s="60">
        <f>diarrhoea_24_59mo*frac_diarrhea_severe</f>
        <v>4.9919999999999999E-2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184</v>
      </c>
      <c r="C8" s="60">
        <v>0</v>
      </c>
      <c r="D8" s="60">
        <v>0</v>
      </c>
      <c r="E8" s="60">
        <f>food_insecure</f>
        <v>0.5</v>
      </c>
      <c r="F8" s="60">
        <f>food_insecure</f>
        <v>0.5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185</v>
      </c>
      <c r="C9" s="60">
        <v>0</v>
      </c>
      <c r="D9" s="60">
        <v>0</v>
      </c>
      <c r="E9" s="60">
        <f>food_insecure</f>
        <v>0.5</v>
      </c>
      <c r="F9" s="60">
        <f>food_insecure</f>
        <v>0.5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186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192</v>
      </c>
      <c r="C12" s="60">
        <f>diarrhoea_1mo*frac_diarrhea_severe</f>
        <v>7.4880000000000002E-2</v>
      </c>
      <c r="D12" s="60">
        <f>diarrhoea_1_5mo*frac_diarrhea_severe</f>
        <v>7.4880000000000002E-2</v>
      </c>
      <c r="E12" s="60">
        <f>diarrhoea_6_11mo*frac_diarrhea_severe</f>
        <v>0.15997090909090908</v>
      </c>
      <c r="F12" s="60">
        <f>diarrhoea_12_23mo*frac_diarrhea_severe</f>
        <v>0.1304727272727273</v>
      </c>
      <c r="G12" s="60">
        <f>diarrhoea_24_59mo*frac_diarrhea_severe</f>
        <v>4.9919999999999999E-2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193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159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0.5</v>
      </c>
      <c r="I15" s="60">
        <f t="shared" si="0"/>
        <v>0.5</v>
      </c>
      <c r="J15" s="60">
        <f t="shared" si="0"/>
        <v>0.5</v>
      </c>
      <c r="K15" s="60">
        <f t="shared" si="0"/>
        <v>0.5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161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0.5</v>
      </c>
      <c r="I16" s="60">
        <f t="shared" si="0"/>
        <v>0.5</v>
      </c>
      <c r="J16" s="60">
        <f t="shared" si="0"/>
        <v>0.5</v>
      </c>
      <c r="K16" s="60">
        <f t="shared" si="0"/>
        <v>0.5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172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173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174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0.89</v>
      </c>
      <c r="I19" s="60">
        <f>frac_malaria_risk</f>
        <v>0.89</v>
      </c>
      <c r="J19" s="60">
        <f>frac_malaria_risk</f>
        <v>0.89</v>
      </c>
      <c r="K19" s="60">
        <f>frac_malaria_risk</f>
        <v>0.89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179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180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182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200</v>
      </c>
      <c r="B24" s="11" t="s">
        <v>164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0.54600000000000004</v>
      </c>
      <c r="M24" s="60">
        <f>famplan_unmet_need</f>
        <v>0.54600000000000004</v>
      </c>
      <c r="N24" s="60">
        <f>famplan_unmet_need</f>
        <v>0.54600000000000004</v>
      </c>
      <c r="O24" s="60">
        <f>famplan_unmet_need</f>
        <v>0.54600000000000004</v>
      </c>
    </row>
    <row r="25" spans="1:15" ht="15.75" customHeight="1" x14ac:dyDescent="0.25">
      <c r="B25" s="11" t="s">
        <v>168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0.52107957999999999</v>
      </c>
      <c r="M25" s="60">
        <f>(1-food_insecure)*(0.49)+food_insecure*(0.7)</f>
        <v>0.59499999999999997</v>
      </c>
      <c r="N25" s="60">
        <f>(1-food_insecure)*(0.49)+food_insecure*(0.7)</f>
        <v>0.59499999999999997</v>
      </c>
      <c r="O25" s="60">
        <f>(1-food_insecure)*(0.49)+food_insecure*(0.7)</f>
        <v>0.59499999999999997</v>
      </c>
    </row>
    <row r="26" spans="1:15" ht="15.75" customHeight="1" x14ac:dyDescent="0.25">
      <c r="B26" s="11" t="s">
        <v>169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0.22331982</v>
      </c>
      <c r="M26" s="60">
        <f>(1-food_insecure)*(0.21)+food_insecure*(0.3)</f>
        <v>0.255</v>
      </c>
      <c r="N26" s="60">
        <f>(1-food_insecure)*(0.21)+food_insecure*(0.3)</f>
        <v>0.255</v>
      </c>
      <c r="O26" s="60">
        <f>(1-food_insecure)*(0.21)+food_insecure*(0.3)</f>
        <v>0.255</v>
      </c>
    </row>
    <row r="27" spans="1:15" ht="15.75" customHeight="1" x14ac:dyDescent="0.25">
      <c r="B27" s="11" t="s">
        <v>170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0.1313646</v>
      </c>
      <c r="M27" s="60">
        <f>(1-food_insecure)*(0.3)</f>
        <v>0.15</v>
      </c>
      <c r="N27" s="60">
        <f>(1-food_insecure)*(0.3)</f>
        <v>0.15</v>
      </c>
      <c r="O27" s="60">
        <f>(1-food_insecure)*(0.3)</f>
        <v>0.15</v>
      </c>
    </row>
    <row r="28" spans="1:15" ht="15.75" customHeight="1" x14ac:dyDescent="0.25">
      <c r="B28" s="11" t="s">
        <v>171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0.124236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201</v>
      </c>
      <c r="B30" s="5" t="s">
        <v>165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166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167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175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178</v>
      </c>
      <c r="C34" s="60">
        <f t="shared" ref="C34:O34" si="4">frac_malaria_risk</f>
        <v>0.89</v>
      </c>
      <c r="D34" s="60">
        <f t="shared" si="4"/>
        <v>0.89</v>
      </c>
      <c r="E34" s="60">
        <f t="shared" si="4"/>
        <v>0.89</v>
      </c>
      <c r="F34" s="60">
        <f t="shared" si="4"/>
        <v>0.89</v>
      </c>
      <c r="G34" s="60">
        <f t="shared" si="4"/>
        <v>0.89</v>
      </c>
      <c r="H34" s="60">
        <f t="shared" si="4"/>
        <v>0.89</v>
      </c>
      <c r="I34" s="60">
        <f t="shared" si="4"/>
        <v>0.89</v>
      </c>
      <c r="J34" s="60">
        <f t="shared" si="4"/>
        <v>0.89</v>
      </c>
      <c r="K34" s="60">
        <f t="shared" si="4"/>
        <v>0.89</v>
      </c>
      <c r="L34" s="60">
        <f t="shared" si="4"/>
        <v>0.89</v>
      </c>
      <c r="M34" s="60">
        <f t="shared" si="4"/>
        <v>0.89</v>
      </c>
      <c r="N34" s="60">
        <f t="shared" si="4"/>
        <v>0.89</v>
      </c>
      <c r="O34" s="60">
        <f t="shared" si="4"/>
        <v>0.89</v>
      </c>
    </row>
    <row r="35" spans="2:15" ht="15.75" customHeight="1" x14ac:dyDescent="0.25">
      <c r="B35" s="9" t="s">
        <v>187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188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189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wgo7XNr2JxP7Ql6m5BNK+l9KamJ34r23Y5jz1XN8+N7E+d6W6TRCIB4CvUfkpfDjYoTdBm3j/AY5J0WTPLstYw==" saltValue="tqaBG9v2e2aE4iDDli/elQ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160</v>
      </c>
    </row>
    <row r="2" spans="1:1" x14ac:dyDescent="0.25">
      <c r="A2" s="8" t="s">
        <v>202</v>
      </c>
    </row>
    <row r="3" spans="1:1" x14ac:dyDescent="0.25">
      <c r="A3" s="8" t="s">
        <v>203</v>
      </c>
    </row>
    <row r="4" spans="1:1" x14ac:dyDescent="0.25">
      <c r="A4" s="8" t="s">
        <v>204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205</v>
      </c>
      <c r="B1" s="4" t="s">
        <v>206</v>
      </c>
      <c r="C1" s="4" t="s">
        <v>207</v>
      </c>
      <c r="D1" s="4" t="s">
        <v>135</v>
      </c>
      <c r="E1" s="4" t="s">
        <v>208</v>
      </c>
    </row>
    <row r="2" spans="1:5" ht="14" customHeight="1" x14ac:dyDescent="0.3">
      <c r="A2" s="28" t="s">
        <v>209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210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211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212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213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214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215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216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217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2" sqref="H12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162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163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144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145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176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177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181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183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184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185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186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193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159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161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172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173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174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179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180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182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200</v>
      </c>
      <c r="B27" s="5" t="s">
        <v>164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168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169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170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171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201</v>
      </c>
      <c r="B33" s="5" t="s">
        <v>165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166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167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175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178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187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188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189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5" workbookViewId="0">
      <selection activeCell="J18" sqref="J18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149</v>
      </c>
      <c r="B1" s="106" t="s">
        <v>218</v>
      </c>
      <c r="C1" s="106" t="s">
        <v>111</v>
      </c>
      <c r="D1" s="106" t="s">
        <v>219</v>
      </c>
      <c r="E1" s="106" t="s">
        <v>220</v>
      </c>
      <c r="F1" s="106" t="s">
        <v>118</v>
      </c>
      <c r="G1" s="106" t="s">
        <v>81</v>
      </c>
      <c r="H1" s="106" t="s">
        <v>32</v>
      </c>
      <c r="I1" s="106" t="s">
        <v>221</v>
      </c>
      <c r="J1" s="106" t="s">
        <v>25</v>
      </c>
      <c r="K1" s="106" t="s">
        <v>222</v>
      </c>
      <c r="L1" s="106" t="s">
        <v>369</v>
      </c>
    </row>
    <row r="2" spans="1:12" x14ac:dyDescent="0.25">
      <c r="A2" s="113" t="s">
        <v>159</v>
      </c>
      <c r="B2" s="114"/>
      <c r="C2" s="114"/>
      <c r="D2" s="114"/>
      <c r="E2" s="114"/>
      <c r="F2" s="114"/>
      <c r="G2" s="114"/>
      <c r="H2" s="114"/>
      <c r="I2" s="114" t="s">
        <v>142</v>
      </c>
      <c r="J2" s="114"/>
      <c r="K2" s="114"/>
      <c r="L2" s="114"/>
    </row>
    <row r="3" spans="1:12" x14ac:dyDescent="0.25">
      <c r="A3" s="113" t="s">
        <v>161</v>
      </c>
      <c r="B3" s="114"/>
      <c r="C3" s="114"/>
      <c r="D3" s="114"/>
      <c r="E3" s="114"/>
      <c r="F3" s="114"/>
      <c r="G3" s="114"/>
      <c r="H3" s="114" t="s">
        <v>142</v>
      </c>
      <c r="I3" s="114" t="s">
        <v>142</v>
      </c>
      <c r="J3" s="114"/>
      <c r="K3" s="114"/>
      <c r="L3" s="114"/>
    </row>
    <row r="4" spans="1:12" x14ac:dyDescent="0.25">
      <c r="A4" s="113" t="s">
        <v>162</v>
      </c>
      <c r="B4" s="114" t="s">
        <v>142</v>
      </c>
      <c r="C4" s="114"/>
      <c r="D4" s="114" t="s">
        <v>142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163</v>
      </c>
      <c r="B5" s="114"/>
      <c r="C5" s="114" t="s">
        <v>142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164</v>
      </c>
      <c r="B6" s="114"/>
      <c r="C6" s="114"/>
      <c r="D6" s="114"/>
      <c r="E6" s="114"/>
      <c r="F6" s="114"/>
      <c r="G6" s="114"/>
      <c r="H6" s="114"/>
      <c r="I6" s="114"/>
      <c r="J6" s="114" t="s">
        <v>142</v>
      </c>
      <c r="K6" s="114" t="s">
        <v>142</v>
      </c>
      <c r="L6" s="114"/>
    </row>
    <row r="7" spans="1:12" x14ac:dyDescent="0.25">
      <c r="A7" s="113" t="s">
        <v>165</v>
      </c>
      <c r="B7" s="114"/>
      <c r="C7" s="114" t="s">
        <v>142</v>
      </c>
      <c r="D7" s="114"/>
      <c r="E7" s="114"/>
      <c r="F7" s="114"/>
      <c r="G7" s="114"/>
      <c r="H7" s="114" t="s">
        <v>142</v>
      </c>
      <c r="I7" s="114"/>
      <c r="J7" s="114"/>
      <c r="K7" s="114"/>
      <c r="L7" s="114"/>
    </row>
    <row r="8" spans="1:12" x14ac:dyDescent="0.25">
      <c r="A8" s="113" t="s">
        <v>166</v>
      </c>
      <c r="B8" s="114"/>
      <c r="C8" s="114" t="s">
        <v>142</v>
      </c>
      <c r="D8" s="114"/>
      <c r="E8" s="114"/>
      <c r="F8" s="114"/>
      <c r="G8" s="114"/>
      <c r="H8" s="114" t="s">
        <v>142</v>
      </c>
      <c r="I8" s="114"/>
      <c r="J8" s="114"/>
      <c r="K8" s="114"/>
      <c r="L8" s="114"/>
    </row>
    <row r="9" spans="1:12" x14ac:dyDescent="0.25">
      <c r="A9" s="113" t="s">
        <v>167</v>
      </c>
      <c r="B9" s="114"/>
      <c r="C9" s="114" t="s">
        <v>142</v>
      </c>
      <c r="D9" s="114"/>
      <c r="E9" s="114"/>
      <c r="F9" s="114"/>
      <c r="G9" s="114"/>
      <c r="H9" s="114" t="s">
        <v>142</v>
      </c>
      <c r="I9" s="114"/>
      <c r="J9" s="114"/>
      <c r="K9" s="114"/>
      <c r="L9" s="114"/>
    </row>
    <row r="10" spans="1:12" x14ac:dyDescent="0.25">
      <c r="A10" s="113" t="s">
        <v>168</v>
      </c>
      <c r="B10" s="114"/>
      <c r="C10" s="114" t="s">
        <v>142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169</v>
      </c>
      <c r="B11" s="114"/>
      <c r="C11" s="114" t="s">
        <v>142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170</v>
      </c>
      <c r="B12" s="114"/>
      <c r="C12" s="114" t="s">
        <v>142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171</v>
      </c>
      <c r="B13" s="114"/>
      <c r="C13" s="114" t="s">
        <v>142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172</v>
      </c>
      <c r="B14" s="114"/>
      <c r="C14" s="114" t="s">
        <v>142</v>
      </c>
      <c r="D14" s="114"/>
      <c r="E14" s="114"/>
      <c r="F14" s="114"/>
      <c r="G14" s="114"/>
      <c r="H14" s="114"/>
      <c r="I14" s="114" t="s">
        <v>142</v>
      </c>
      <c r="J14" s="114"/>
      <c r="K14" s="114"/>
      <c r="L14" s="114"/>
    </row>
    <row r="15" spans="1:12" x14ac:dyDescent="0.25">
      <c r="A15" s="115" t="s">
        <v>173</v>
      </c>
      <c r="B15" s="114"/>
      <c r="C15" s="114" t="s">
        <v>142</v>
      </c>
      <c r="D15" s="114"/>
      <c r="E15" s="114"/>
      <c r="F15" s="114"/>
      <c r="G15" s="114"/>
      <c r="H15" s="114"/>
      <c r="I15" s="114" t="s">
        <v>142</v>
      </c>
      <c r="J15" s="114"/>
      <c r="K15" s="114"/>
      <c r="L15" s="114"/>
    </row>
    <row r="16" spans="1:12" x14ac:dyDescent="0.25">
      <c r="A16" s="113" t="s">
        <v>174</v>
      </c>
      <c r="B16" s="114"/>
      <c r="C16" s="114" t="s">
        <v>142</v>
      </c>
      <c r="D16" s="114"/>
      <c r="E16" s="114"/>
      <c r="F16" s="114"/>
      <c r="G16" s="114"/>
      <c r="H16" s="114" t="s">
        <v>142</v>
      </c>
      <c r="I16" s="114" t="s">
        <v>142</v>
      </c>
      <c r="J16" s="114"/>
      <c r="K16" s="114"/>
      <c r="L16" s="114"/>
    </row>
    <row r="17" spans="1:12" x14ac:dyDescent="0.25">
      <c r="A17" s="113" t="s">
        <v>175</v>
      </c>
      <c r="B17" s="114"/>
      <c r="C17" s="114" t="s">
        <v>142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141</v>
      </c>
      <c r="B18" s="114" t="s">
        <v>142</v>
      </c>
      <c r="C18" s="114"/>
      <c r="D18" s="114"/>
      <c r="E18" s="114"/>
      <c r="F18" s="114" t="s">
        <v>142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144</v>
      </c>
      <c r="B19" s="114" t="s">
        <v>142</v>
      </c>
      <c r="C19" s="114"/>
      <c r="D19" s="114"/>
      <c r="E19" s="114"/>
      <c r="F19" s="114" t="s">
        <v>142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145</v>
      </c>
      <c r="B20" s="114" t="s">
        <v>142</v>
      </c>
      <c r="C20" s="114"/>
      <c r="D20" s="114"/>
      <c r="E20" s="114"/>
      <c r="F20" s="114" t="s">
        <v>142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176</v>
      </c>
      <c r="B21" s="114"/>
      <c r="C21" s="114"/>
      <c r="D21" s="114"/>
      <c r="E21" s="114"/>
      <c r="F21" s="114"/>
      <c r="G21" s="114"/>
      <c r="H21" s="114" t="s">
        <v>142</v>
      </c>
      <c r="I21" s="114" t="s">
        <v>142</v>
      </c>
      <c r="J21" s="114"/>
      <c r="K21" s="114"/>
      <c r="L21" s="114"/>
    </row>
    <row r="22" spans="1:12" x14ac:dyDescent="0.25">
      <c r="A22" s="113" t="s">
        <v>177</v>
      </c>
      <c r="B22" s="114" t="s">
        <v>142</v>
      </c>
      <c r="C22" s="114" t="s">
        <v>142</v>
      </c>
      <c r="D22" s="114" t="s">
        <v>142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178</v>
      </c>
      <c r="B23" s="114"/>
      <c r="C23" s="114" t="s">
        <v>142</v>
      </c>
      <c r="D23" s="114"/>
      <c r="E23" s="114"/>
      <c r="F23" s="114"/>
      <c r="G23" s="114"/>
      <c r="H23" s="114"/>
      <c r="I23" s="114" t="s">
        <v>142</v>
      </c>
      <c r="J23" s="114"/>
      <c r="K23" s="114"/>
      <c r="L23" s="114"/>
    </row>
    <row r="24" spans="1:12" x14ac:dyDescent="0.25">
      <c r="A24" s="113" t="s">
        <v>179</v>
      </c>
      <c r="B24" s="114"/>
      <c r="C24" s="114"/>
      <c r="D24" s="114"/>
      <c r="E24" s="114"/>
      <c r="F24" s="114"/>
      <c r="G24" s="114"/>
      <c r="H24" s="114" t="s">
        <v>142</v>
      </c>
      <c r="I24" s="114"/>
      <c r="J24" s="114"/>
      <c r="K24" s="114"/>
      <c r="L24" s="114"/>
    </row>
    <row r="25" spans="1:12" x14ac:dyDescent="0.25">
      <c r="A25" s="113" t="s">
        <v>180</v>
      </c>
      <c r="B25" s="114"/>
      <c r="C25" s="114"/>
      <c r="D25" s="114"/>
      <c r="E25" s="114"/>
      <c r="F25" s="114"/>
      <c r="G25" s="114"/>
      <c r="H25" s="114" t="s">
        <v>142</v>
      </c>
      <c r="I25" s="114"/>
      <c r="J25" s="114"/>
      <c r="K25" s="114"/>
      <c r="L25" s="114"/>
    </row>
    <row r="26" spans="1:12" x14ac:dyDescent="0.25">
      <c r="A26" s="113" t="s">
        <v>181</v>
      </c>
      <c r="B26" s="114"/>
      <c r="C26" s="114" t="s">
        <v>142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182</v>
      </c>
      <c r="B27" s="114"/>
      <c r="C27" s="114" t="s">
        <v>142</v>
      </c>
      <c r="D27" s="114"/>
      <c r="E27" s="114"/>
      <c r="F27" s="114"/>
      <c r="G27" s="114"/>
      <c r="H27" s="114"/>
      <c r="I27" s="114" t="s">
        <v>142</v>
      </c>
      <c r="J27" s="114"/>
      <c r="K27" s="114"/>
      <c r="L27" s="114" t="s">
        <v>142</v>
      </c>
    </row>
    <row r="28" spans="1:12" x14ac:dyDescent="0.25">
      <c r="A28" s="113" t="s">
        <v>183</v>
      </c>
      <c r="B28" s="114"/>
      <c r="C28" s="114"/>
      <c r="D28" s="114"/>
      <c r="E28" s="114"/>
      <c r="F28" s="114"/>
      <c r="G28" s="114"/>
      <c r="H28" s="114" t="s">
        <v>142</v>
      </c>
      <c r="I28" s="114"/>
      <c r="J28" s="114"/>
      <c r="K28" s="114"/>
      <c r="L28" s="114"/>
    </row>
    <row r="29" spans="1:12" x14ac:dyDescent="0.25">
      <c r="A29" s="113" t="s">
        <v>184</v>
      </c>
      <c r="B29" s="114" t="s">
        <v>142</v>
      </c>
      <c r="C29" s="114"/>
      <c r="D29" s="114" t="s">
        <v>142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185</v>
      </c>
      <c r="B30" s="114" t="s">
        <v>142</v>
      </c>
      <c r="C30" s="114" t="s">
        <v>142</v>
      </c>
      <c r="D30" s="114" t="s">
        <v>142</v>
      </c>
      <c r="E30" s="114"/>
      <c r="F30" s="114"/>
      <c r="G30" s="114"/>
      <c r="H30" s="114" t="s">
        <v>142</v>
      </c>
      <c r="I30" s="114"/>
      <c r="J30" s="114"/>
      <c r="K30" s="114"/>
      <c r="L30" s="114"/>
    </row>
    <row r="31" spans="1:12" x14ac:dyDescent="0.25">
      <c r="A31" s="113" t="s">
        <v>150</v>
      </c>
      <c r="B31" s="114"/>
      <c r="C31" s="114"/>
      <c r="D31" s="114"/>
      <c r="E31" s="114" t="s">
        <v>142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186</v>
      </c>
      <c r="B32" s="114"/>
      <c r="C32" s="114"/>
      <c r="D32" s="114"/>
      <c r="E32" s="114"/>
      <c r="F32" s="114"/>
      <c r="G32" s="114" t="s">
        <v>142</v>
      </c>
      <c r="H32" s="114" t="s">
        <v>142</v>
      </c>
      <c r="I32" s="114"/>
      <c r="J32" s="114"/>
      <c r="K32" s="114"/>
      <c r="L32" s="114"/>
    </row>
    <row r="33" spans="1:12" x14ac:dyDescent="0.25">
      <c r="A33" s="113" t="s">
        <v>187</v>
      </c>
      <c r="B33" s="114"/>
      <c r="C33" s="114"/>
      <c r="D33" s="114"/>
      <c r="E33" s="114"/>
      <c r="F33" s="114"/>
      <c r="G33" s="114" t="s">
        <v>142</v>
      </c>
      <c r="H33" s="114" t="s">
        <v>142</v>
      </c>
      <c r="I33" s="114"/>
      <c r="J33" s="114"/>
      <c r="K33" s="114"/>
      <c r="L33" s="114"/>
    </row>
    <row r="34" spans="1:12" x14ac:dyDescent="0.25">
      <c r="A34" s="113" t="s">
        <v>188</v>
      </c>
      <c r="B34" s="114"/>
      <c r="C34" s="114"/>
      <c r="D34" s="114"/>
      <c r="E34" s="114"/>
      <c r="F34" s="114"/>
      <c r="G34" s="114" t="s">
        <v>142</v>
      </c>
      <c r="H34" s="114" t="s">
        <v>142</v>
      </c>
      <c r="I34" s="114"/>
      <c r="J34" s="114"/>
      <c r="K34" s="114"/>
      <c r="L34" s="114"/>
    </row>
    <row r="35" spans="1:12" x14ac:dyDescent="0.25">
      <c r="A35" s="113" t="s">
        <v>189</v>
      </c>
      <c r="B35" s="114"/>
      <c r="C35" s="114"/>
      <c r="D35" s="114"/>
      <c r="E35" s="114"/>
      <c r="F35" s="114"/>
      <c r="G35" s="114" t="s">
        <v>142</v>
      </c>
      <c r="H35" s="114" t="s">
        <v>142</v>
      </c>
      <c r="I35" s="114"/>
      <c r="J35" s="114"/>
      <c r="K35" s="114"/>
      <c r="L35" s="114"/>
    </row>
    <row r="36" spans="1:12" x14ac:dyDescent="0.25">
      <c r="A36" s="113" t="s">
        <v>190</v>
      </c>
      <c r="B36" s="114"/>
      <c r="C36" s="114"/>
      <c r="D36" s="114"/>
      <c r="E36" s="114"/>
      <c r="F36" s="114"/>
      <c r="G36" s="114" t="s">
        <v>142</v>
      </c>
      <c r="H36" s="114" t="s">
        <v>142</v>
      </c>
      <c r="I36" s="114"/>
      <c r="J36" s="114"/>
      <c r="K36" s="114"/>
      <c r="L36" s="114"/>
    </row>
    <row r="37" spans="1:12" x14ac:dyDescent="0.25">
      <c r="A37" s="113" t="s">
        <v>191</v>
      </c>
      <c r="B37" s="114"/>
      <c r="C37" s="114"/>
      <c r="D37" s="114"/>
      <c r="E37" s="114"/>
      <c r="F37" s="114"/>
      <c r="G37" s="114" t="s">
        <v>142</v>
      </c>
      <c r="H37" s="114" t="s">
        <v>142</v>
      </c>
      <c r="I37" s="114"/>
      <c r="J37" s="114"/>
      <c r="K37" s="114"/>
      <c r="L37" s="114"/>
    </row>
    <row r="38" spans="1:12" x14ac:dyDescent="0.25">
      <c r="A38" s="113" t="s">
        <v>192</v>
      </c>
      <c r="B38" s="114"/>
      <c r="C38" s="114"/>
      <c r="D38" s="114"/>
      <c r="E38" s="114"/>
      <c r="F38" s="114"/>
      <c r="G38" s="114"/>
      <c r="H38" s="114" t="s">
        <v>142</v>
      </c>
      <c r="I38" s="114"/>
      <c r="J38" s="114"/>
      <c r="K38" s="114"/>
      <c r="L38" s="114"/>
    </row>
    <row r="39" spans="1:12" x14ac:dyDescent="0.25">
      <c r="A39" s="113" t="s">
        <v>193</v>
      </c>
      <c r="B39" s="114" t="s">
        <v>142</v>
      </c>
      <c r="C39" s="114"/>
      <c r="D39" s="114"/>
      <c r="E39" s="114"/>
      <c r="F39" s="114"/>
      <c r="G39" s="114" t="s">
        <v>142</v>
      </c>
      <c r="H39" s="114" t="s">
        <v>142</v>
      </c>
      <c r="I39" s="114"/>
      <c r="J39" s="114"/>
      <c r="K39" s="114"/>
      <c r="L39" s="114"/>
    </row>
  </sheetData>
  <sheetProtection algorithmName="SHA-512" hashValue="PpWpoVdW19iDLvJ4e413CflgKwgDbvZhfHAZSGUGkQQ6+V9HnAOWg+p+gaHwieH6gthkRXdIc9tFKvP2sDftrA==" saltValue="6DJdExNkvnNmcHBrJ/VGB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H15" sqref="H15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223</v>
      </c>
      <c r="B1" s="106" t="s">
        <v>218</v>
      </c>
      <c r="C1" s="106" t="s">
        <v>111</v>
      </c>
      <c r="D1" s="106" t="s">
        <v>219</v>
      </c>
      <c r="E1" s="106" t="s">
        <v>220</v>
      </c>
      <c r="F1" s="106" t="s">
        <v>118</v>
      </c>
      <c r="G1" s="106" t="s">
        <v>81</v>
      </c>
      <c r="H1" s="106" t="s">
        <v>32</v>
      </c>
      <c r="I1" s="106" t="s">
        <v>221</v>
      </c>
      <c r="J1" s="106" t="s">
        <v>25</v>
      </c>
      <c r="K1" s="106" t="s">
        <v>222</v>
      </c>
      <c r="L1" s="106" t="s">
        <v>369</v>
      </c>
    </row>
    <row r="2" spans="1:12" x14ac:dyDescent="0.25">
      <c r="A2" s="106" t="s">
        <v>67</v>
      </c>
      <c r="B2" s="114" t="s">
        <v>142</v>
      </c>
      <c r="C2" s="114" t="s">
        <v>142</v>
      </c>
      <c r="D2" s="114" t="s">
        <v>142</v>
      </c>
      <c r="E2" s="114" t="s">
        <v>142</v>
      </c>
      <c r="F2" s="114" t="s">
        <v>142</v>
      </c>
      <c r="G2" s="114" t="s">
        <v>142</v>
      </c>
      <c r="H2" s="114" t="s">
        <v>142</v>
      </c>
      <c r="I2" s="114"/>
      <c r="J2" s="114"/>
      <c r="K2" s="114"/>
      <c r="L2" s="114"/>
    </row>
    <row r="3" spans="1:12" x14ac:dyDescent="0.25">
      <c r="A3" s="106" t="s">
        <v>77</v>
      </c>
      <c r="B3" s="114" t="s">
        <v>142</v>
      </c>
      <c r="C3" s="114" t="s">
        <v>142</v>
      </c>
      <c r="D3" s="114" t="s">
        <v>142</v>
      </c>
      <c r="E3" s="114" t="s">
        <v>142</v>
      </c>
      <c r="F3" s="114" t="s">
        <v>142</v>
      </c>
      <c r="G3" s="114" t="s">
        <v>142</v>
      </c>
      <c r="H3" s="114" t="s">
        <v>142</v>
      </c>
      <c r="I3" s="114"/>
      <c r="J3" s="114"/>
      <c r="K3" s="114"/>
      <c r="L3" s="114"/>
    </row>
    <row r="4" spans="1:12" x14ac:dyDescent="0.25">
      <c r="A4" s="106" t="s">
        <v>78</v>
      </c>
      <c r="B4" s="114" t="s">
        <v>142</v>
      </c>
      <c r="C4" s="114" t="s">
        <v>142</v>
      </c>
      <c r="D4" s="114" t="s">
        <v>142</v>
      </c>
      <c r="E4" s="114" t="s">
        <v>142</v>
      </c>
      <c r="F4" s="114" t="s">
        <v>142</v>
      </c>
      <c r="G4" s="114" t="s">
        <v>142</v>
      </c>
      <c r="H4" s="114" t="s">
        <v>142</v>
      </c>
      <c r="I4" s="114"/>
      <c r="J4" s="114"/>
      <c r="K4" s="114"/>
      <c r="L4" s="114"/>
    </row>
    <row r="5" spans="1:12" x14ac:dyDescent="0.25">
      <c r="A5" s="106" t="s">
        <v>79</v>
      </c>
      <c r="B5" s="114" t="s">
        <v>142</v>
      </c>
      <c r="C5" s="114" t="s">
        <v>142</v>
      </c>
      <c r="D5" s="114" t="s">
        <v>142</v>
      </c>
      <c r="E5" s="114" t="s">
        <v>142</v>
      </c>
      <c r="F5" s="114" t="s">
        <v>142</v>
      </c>
      <c r="G5" s="114" t="s">
        <v>142</v>
      </c>
      <c r="H5" s="114" t="s">
        <v>142</v>
      </c>
      <c r="I5" s="114"/>
      <c r="J5" s="114"/>
      <c r="K5" s="114"/>
      <c r="L5" s="114"/>
    </row>
    <row r="6" spans="1:12" x14ac:dyDescent="0.25">
      <c r="A6" s="106" t="s">
        <v>80</v>
      </c>
      <c r="B6" s="114" t="s">
        <v>142</v>
      </c>
      <c r="C6" s="114" t="s">
        <v>142</v>
      </c>
      <c r="D6" s="114" t="s">
        <v>142</v>
      </c>
      <c r="E6" s="114" t="s">
        <v>142</v>
      </c>
      <c r="F6" s="114" t="s">
        <v>142</v>
      </c>
      <c r="G6" s="114" t="s">
        <v>142</v>
      </c>
      <c r="H6" s="114" t="s">
        <v>142</v>
      </c>
      <c r="I6" s="114"/>
      <c r="J6" s="114"/>
      <c r="K6" s="114"/>
      <c r="L6" s="114"/>
    </row>
    <row r="7" spans="1:12" x14ac:dyDescent="0.25">
      <c r="A7" s="106" t="s">
        <v>112</v>
      </c>
      <c r="B7" s="114"/>
      <c r="C7" s="114" t="s">
        <v>142</v>
      </c>
      <c r="D7" s="114"/>
      <c r="E7" s="114"/>
      <c r="F7" s="114"/>
      <c r="G7" s="114"/>
      <c r="H7" s="114" t="s">
        <v>142</v>
      </c>
      <c r="I7" s="114" t="s">
        <v>142</v>
      </c>
      <c r="J7" s="114"/>
      <c r="K7" s="114"/>
      <c r="L7" s="114" t="s">
        <v>142</v>
      </c>
    </row>
    <row r="8" spans="1:12" x14ac:dyDescent="0.25">
      <c r="A8" s="106" t="s">
        <v>113</v>
      </c>
      <c r="B8" s="114"/>
      <c r="C8" s="114" t="s">
        <v>142</v>
      </c>
      <c r="D8" s="114"/>
      <c r="E8" s="114"/>
      <c r="F8" s="114"/>
      <c r="G8" s="114"/>
      <c r="H8" s="114" t="s">
        <v>142</v>
      </c>
      <c r="I8" s="114" t="s">
        <v>142</v>
      </c>
      <c r="J8" s="114"/>
      <c r="K8" s="114"/>
      <c r="L8" s="114" t="s">
        <v>142</v>
      </c>
    </row>
    <row r="9" spans="1:12" x14ac:dyDescent="0.25">
      <c r="A9" s="106" t="s">
        <v>114</v>
      </c>
      <c r="B9" s="114"/>
      <c r="C9" s="114" t="s">
        <v>142</v>
      </c>
      <c r="D9" s="114"/>
      <c r="E9" s="114"/>
      <c r="F9" s="114"/>
      <c r="G9" s="114"/>
      <c r="H9" s="114" t="s">
        <v>142</v>
      </c>
      <c r="I9" s="114" t="s">
        <v>142</v>
      </c>
      <c r="J9" s="114"/>
      <c r="K9" s="114"/>
      <c r="L9" s="114" t="s">
        <v>142</v>
      </c>
    </row>
    <row r="10" spans="1:12" x14ac:dyDescent="0.25">
      <c r="A10" s="106" t="s">
        <v>115</v>
      </c>
      <c r="B10" s="114"/>
      <c r="C10" s="114" t="s">
        <v>142</v>
      </c>
      <c r="D10" s="114"/>
      <c r="E10" s="114"/>
      <c r="F10" s="114"/>
      <c r="G10" s="114"/>
      <c r="H10" s="114" t="s">
        <v>142</v>
      </c>
      <c r="I10" s="114" t="s">
        <v>142</v>
      </c>
      <c r="J10" s="114"/>
      <c r="K10" s="114"/>
      <c r="L10" s="114" t="s">
        <v>142</v>
      </c>
    </row>
    <row r="11" spans="1:12" x14ac:dyDescent="0.25">
      <c r="A11" s="106" t="s">
        <v>58</v>
      </c>
      <c r="B11" s="114"/>
      <c r="C11" s="114" t="s">
        <v>142</v>
      </c>
      <c r="D11" s="114"/>
      <c r="E11" s="114"/>
      <c r="F11" s="114"/>
      <c r="G11" s="114"/>
      <c r="H11" s="114"/>
      <c r="I11" s="114"/>
      <c r="J11" s="114" t="s">
        <v>142</v>
      </c>
      <c r="K11" s="114" t="s">
        <v>142</v>
      </c>
      <c r="L11" s="114"/>
    </row>
    <row r="12" spans="1:12" x14ac:dyDescent="0.25">
      <c r="A12" s="106" t="s">
        <v>59</v>
      </c>
      <c r="B12" s="114"/>
      <c r="C12" s="114" t="s">
        <v>142</v>
      </c>
      <c r="D12" s="114"/>
      <c r="E12" s="114"/>
      <c r="F12" s="114"/>
      <c r="G12" s="114"/>
      <c r="H12" s="114"/>
      <c r="I12" s="114"/>
      <c r="J12" s="114"/>
      <c r="K12" s="114" t="s">
        <v>142</v>
      </c>
      <c r="L12" s="114"/>
    </row>
    <row r="13" spans="1:12" x14ac:dyDescent="0.25">
      <c r="A13" s="106" t="s">
        <v>60</v>
      </c>
      <c r="B13" s="114"/>
      <c r="C13" s="114" t="s">
        <v>142</v>
      </c>
      <c r="D13" s="114"/>
      <c r="E13" s="114"/>
      <c r="F13" s="114"/>
      <c r="G13" s="114"/>
      <c r="H13" s="114"/>
      <c r="I13" s="114"/>
      <c r="J13" s="114"/>
      <c r="K13" s="114" t="s">
        <v>142</v>
      </c>
      <c r="L13" s="114"/>
    </row>
    <row r="14" spans="1:12" x14ac:dyDescent="0.25">
      <c r="A14" s="106" t="s">
        <v>61</v>
      </c>
      <c r="B14" s="114"/>
      <c r="C14" s="114" t="s">
        <v>142</v>
      </c>
      <c r="D14" s="114"/>
      <c r="E14" s="114"/>
      <c r="F14" s="114"/>
      <c r="G14" s="114"/>
      <c r="H14" s="114"/>
      <c r="I14" s="114"/>
      <c r="J14" s="114"/>
      <c r="K14" s="114" t="s">
        <v>142</v>
      </c>
      <c r="L14" s="114"/>
    </row>
  </sheetData>
  <sheetProtection algorithmName="SHA-512" hashValue="f7+GSWgBQp+zgIaGbRM8MuvAIXAsNljN3lrWAwu/eaytrp/6A4IYhPB4cLjzfMvTXu/5ocIYRO7yO0TVFGYCnw==" saltValue="wnJyf+RW4qQkik6uRZECIg==" spinCount="100000" sheet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224</v>
      </c>
      <c r="B1" s="4" t="s">
        <v>137</v>
      </c>
      <c r="C1" s="4" t="s">
        <v>152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x14ac:dyDescent="0.3">
      <c r="A2" s="4" t="s">
        <v>225</v>
      </c>
      <c r="B2" s="126" t="s">
        <v>90</v>
      </c>
      <c r="C2" s="8" t="s">
        <v>138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139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140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67</v>
      </c>
      <c r="C5" s="8" t="s">
        <v>138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139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140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77</v>
      </c>
      <c r="C8" s="8" t="s">
        <v>138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139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140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78</v>
      </c>
      <c r="C11" s="8" t="s">
        <v>138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139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140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79</v>
      </c>
      <c r="C14" s="8" t="s">
        <v>138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139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140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143</v>
      </c>
      <c r="C17" s="8" t="s">
        <v>140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226</v>
      </c>
      <c r="B19" s="126" t="s">
        <v>90</v>
      </c>
      <c r="C19" s="8" t="s">
        <v>138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139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140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67</v>
      </c>
      <c r="C22" s="8" t="s">
        <v>138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139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140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77</v>
      </c>
      <c r="C25" s="8" t="s">
        <v>138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139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140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78</v>
      </c>
      <c r="C28" s="8" t="s">
        <v>138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139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140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79</v>
      </c>
      <c r="C31" s="8" t="s">
        <v>138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139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140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143</v>
      </c>
      <c r="C34" s="8" t="s">
        <v>140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227</v>
      </c>
      <c r="B36" s="126" t="s">
        <v>90</v>
      </c>
      <c r="C36" s="8" t="s">
        <v>138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139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140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67</v>
      </c>
      <c r="C39" s="8" t="s">
        <v>138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139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140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77</v>
      </c>
      <c r="C42" s="8" t="s">
        <v>138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139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140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78</v>
      </c>
      <c r="C45" s="8" t="s">
        <v>138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139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140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79</v>
      </c>
      <c r="C48" s="8" t="s">
        <v>138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139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140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143</v>
      </c>
      <c r="C51" s="8" t="s">
        <v>140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228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224</v>
      </c>
      <c r="B54" s="4" t="s">
        <v>137</v>
      </c>
      <c r="C54" s="4" t="s">
        <v>152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x14ac:dyDescent="0.3">
      <c r="A55" s="4" t="s">
        <v>229</v>
      </c>
      <c r="B55" s="126" t="s">
        <v>90</v>
      </c>
      <c r="C55" s="8" t="s">
        <v>138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139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140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67</v>
      </c>
      <c r="C58" s="8" t="s">
        <v>138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139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140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77</v>
      </c>
      <c r="C61" s="8" t="s">
        <v>138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139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140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78</v>
      </c>
      <c r="C64" s="8" t="s">
        <v>138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139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140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79</v>
      </c>
      <c r="C67" s="8" t="s">
        <v>138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139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140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143</v>
      </c>
      <c r="C70" s="8" t="s">
        <v>140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230</v>
      </c>
      <c r="B72" s="126" t="s">
        <v>90</v>
      </c>
      <c r="C72" s="8" t="s">
        <v>138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139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140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67</v>
      </c>
      <c r="C75" s="8" t="s">
        <v>138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139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140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77</v>
      </c>
      <c r="C78" s="8" t="s">
        <v>138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139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140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78</v>
      </c>
      <c r="C81" s="8" t="s">
        <v>138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139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140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79</v>
      </c>
      <c r="C84" s="8" t="s">
        <v>138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139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140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143</v>
      </c>
      <c r="C87" s="8" t="s">
        <v>140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231</v>
      </c>
      <c r="B89" s="126" t="s">
        <v>90</v>
      </c>
      <c r="C89" s="8" t="s">
        <v>138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139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140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67</v>
      </c>
      <c r="C92" s="8" t="s">
        <v>138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139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140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77</v>
      </c>
      <c r="C95" s="8" t="s">
        <v>138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139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140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78</v>
      </c>
      <c r="C98" s="8" t="s">
        <v>138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139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140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79</v>
      </c>
      <c r="C101" s="8" t="s">
        <v>138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139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140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143</v>
      </c>
      <c r="C104" s="8" t="s">
        <v>140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232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224</v>
      </c>
      <c r="B107" s="4" t="s">
        <v>137</v>
      </c>
      <c r="C107" s="4" t="s">
        <v>152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x14ac:dyDescent="0.3">
      <c r="A108" s="4" t="s">
        <v>233</v>
      </c>
      <c r="B108" s="126" t="s">
        <v>90</v>
      </c>
      <c r="C108" s="8" t="s">
        <v>138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139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140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67</v>
      </c>
      <c r="C111" s="8" t="s">
        <v>138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139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140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77</v>
      </c>
      <c r="C114" s="8" t="s">
        <v>138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139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140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78</v>
      </c>
      <c r="C117" s="8" t="s">
        <v>138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139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140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79</v>
      </c>
      <c r="C120" s="8" t="s">
        <v>138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139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140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143</v>
      </c>
      <c r="C123" s="8" t="s">
        <v>140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234</v>
      </c>
      <c r="B125" s="126" t="s">
        <v>90</v>
      </c>
      <c r="C125" s="8" t="s">
        <v>138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139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140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67</v>
      </c>
      <c r="C128" s="8" t="s">
        <v>138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139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140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77</v>
      </c>
      <c r="C131" s="8" t="s">
        <v>138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139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140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78</v>
      </c>
      <c r="C134" s="8" t="s">
        <v>138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139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140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79</v>
      </c>
      <c r="C137" s="8" t="s">
        <v>138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139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140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143</v>
      </c>
      <c r="C140" s="8" t="s">
        <v>140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235</v>
      </c>
      <c r="B142" s="126" t="s">
        <v>90</v>
      </c>
      <c r="C142" s="8" t="s">
        <v>138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139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140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67</v>
      </c>
      <c r="C145" s="8" t="s">
        <v>138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139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140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77</v>
      </c>
      <c r="C148" s="8" t="s">
        <v>138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139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140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78</v>
      </c>
      <c r="C151" s="8" t="s">
        <v>138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139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140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79</v>
      </c>
      <c r="C154" s="8" t="s">
        <v>138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139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140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143</v>
      </c>
      <c r="C157" s="8" t="s">
        <v>140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H15" sqref="H15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274</v>
      </c>
    </row>
    <row r="2" spans="1:7" ht="14.25" customHeight="1" x14ac:dyDescent="0.3">
      <c r="A2" s="120" t="s">
        <v>196</v>
      </c>
      <c r="B2" s="105"/>
      <c r="C2" s="103" t="s">
        <v>67</v>
      </c>
      <c r="D2" s="103" t="s">
        <v>77</v>
      </c>
      <c r="E2" s="103" t="s">
        <v>78</v>
      </c>
      <c r="F2" s="103" t="s">
        <v>79</v>
      </c>
      <c r="G2" s="103" t="s">
        <v>80</v>
      </c>
    </row>
    <row r="3" spans="1:7" ht="14.25" customHeight="1" x14ac:dyDescent="0.25">
      <c r="B3" s="115" t="s">
        <v>275</v>
      </c>
      <c r="C3" s="116" t="s">
        <v>276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277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278</v>
      </c>
    </row>
    <row r="6" spans="1:7" ht="14.25" customHeight="1" x14ac:dyDescent="0.25">
      <c r="B6" s="115" t="s">
        <v>184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177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162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185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193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279</v>
      </c>
    </row>
    <row r="13" spans="1:7" ht="14.25" customHeight="1" x14ac:dyDescent="0.3">
      <c r="A13" s="121"/>
      <c r="B13" s="115" t="s">
        <v>176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280</v>
      </c>
    </row>
    <row r="16" spans="1:7" ht="14.25" customHeight="1" x14ac:dyDescent="0.3">
      <c r="A16" s="120" t="s">
        <v>265</v>
      </c>
      <c r="B16" s="115" t="s">
        <v>281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282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111</v>
      </c>
      <c r="B18" s="115" t="s">
        <v>283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284</v>
      </c>
    </row>
    <row r="21" spans="1:7" s="121" customFormat="1" ht="14.25" customHeight="1" x14ac:dyDescent="0.3">
      <c r="C21" s="122" t="s">
        <v>58</v>
      </c>
      <c r="D21" s="122" t="s">
        <v>59</v>
      </c>
      <c r="E21" s="122" t="s">
        <v>60</v>
      </c>
      <c r="F21" s="122" t="s">
        <v>61</v>
      </c>
    </row>
    <row r="22" spans="1:7" x14ac:dyDescent="0.25">
      <c r="B22" s="115" t="s">
        <v>164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228</v>
      </c>
    </row>
    <row r="25" spans="1:7" ht="13" x14ac:dyDescent="0.3">
      <c r="A25" s="118" t="s">
        <v>274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196</v>
      </c>
      <c r="B26" s="105"/>
      <c r="C26" s="103" t="s">
        <v>67</v>
      </c>
      <c r="D26" s="103" t="s">
        <v>77</v>
      </c>
      <c r="E26" s="103" t="s">
        <v>78</v>
      </c>
      <c r="F26" s="103" t="s">
        <v>79</v>
      </c>
      <c r="G26" s="103" t="s">
        <v>80</v>
      </c>
    </row>
    <row r="27" spans="1:7" x14ac:dyDescent="0.25">
      <c r="B27" s="115" t="s">
        <v>285</v>
      </c>
      <c r="C27" s="116" t="s">
        <v>276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286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287</v>
      </c>
    </row>
    <row r="30" spans="1:7" x14ac:dyDescent="0.25">
      <c r="B30" s="115" t="s">
        <v>288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289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370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290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291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292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293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280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265</v>
      </c>
      <c r="B40" s="115" t="s">
        <v>294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295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111</v>
      </c>
      <c r="B42" s="115" t="s">
        <v>296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297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58</v>
      </c>
      <c r="D45" s="122" t="s">
        <v>59</v>
      </c>
      <c r="E45" s="122" t="s">
        <v>60</v>
      </c>
      <c r="F45" s="122" t="s">
        <v>61</v>
      </c>
      <c r="G45" s="121"/>
    </row>
    <row r="46" spans="1:7" x14ac:dyDescent="0.25">
      <c r="B46" s="115" t="s">
        <v>298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232</v>
      </c>
    </row>
    <row r="49" spans="1:7" ht="13" x14ac:dyDescent="0.3">
      <c r="A49" s="118" t="s">
        <v>274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196</v>
      </c>
      <c r="B50" s="105"/>
      <c r="C50" s="103" t="s">
        <v>67</v>
      </c>
      <c r="D50" s="103" t="s">
        <v>77</v>
      </c>
      <c r="E50" s="103" t="s">
        <v>78</v>
      </c>
      <c r="F50" s="103" t="s">
        <v>79</v>
      </c>
      <c r="G50" s="103" t="s">
        <v>80</v>
      </c>
    </row>
    <row r="51" spans="1:7" x14ac:dyDescent="0.25">
      <c r="B51" s="115" t="s">
        <v>299</v>
      </c>
      <c r="C51" s="116" t="s">
        <v>276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300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301</v>
      </c>
    </row>
    <row r="54" spans="1:7" x14ac:dyDescent="0.25">
      <c r="B54" s="115" t="s">
        <v>302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303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371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304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305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306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307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280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265</v>
      </c>
      <c r="B64" s="115" t="s">
        <v>308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309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111</v>
      </c>
      <c r="B66" s="115" t="s">
        <v>310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311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58</v>
      </c>
      <c r="D69" s="122" t="s">
        <v>59</v>
      </c>
      <c r="E69" s="122" t="s">
        <v>60</v>
      </c>
      <c r="F69" s="122" t="s">
        <v>61</v>
      </c>
      <c r="G69" s="121"/>
    </row>
    <row r="70" spans="1:7" x14ac:dyDescent="0.25">
      <c r="B70" s="115" t="s">
        <v>312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PCqzq1OOUtsic8ocnrXQ8xxuYbKmi8ZJ7Pld9xkgyR+OBHAu/SnU75NY5MNEYJfNv6pIOzYJCmiR0EiwYtlWMw==" saltValue="c4ep8LRP3mzZ6HTD2L1Kj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zoomScale="70" zoomScaleNormal="70" workbookViewId="0">
      <selection activeCell="C48" sqref="C48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149</v>
      </c>
      <c r="B1" s="103"/>
      <c r="C1" s="103" t="s">
        <v>40</v>
      </c>
      <c r="D1" s="103" t="s">
        <v>42</v>
      </c>
      <c r="E1" s="103" t="s">
        <v>41</v>
      </c>
      <c r="F1" s="105" t="s">
        <v>43</v>
      </c>
    </row>
    <row r="2" spans="1:6" ht="15.75" customHeight="1" x14ac:dyDescent="0.25">
      <c r="A2" s="115" t="s">
        <v>159</v>
      </c>
      <c r="B2" s="115" t="s">
        <v>313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314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161</v>
      </c>
      <c r="B4" s="115" t="s">
        <v>313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314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172</v>
      </c>
      <c r="B6" s="115" t="s">
        <v>313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314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173</v>
      </c>
      <c r="B8" s="115" t="s">
        <v>313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314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174</v>
      </c>
      <c r="B10" s="115" t="s">
        <v>313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314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178</v>
      </c>
      <c r="B12" s="115" t="s">
        <v>313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314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182</v>
      </c>
      <c r="B14" s="115" t="s">
        <v>313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314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228</v>
      </c>
    </row>
    <row r="18" spans="1:6" ht="15.75" customHeight="1" x14ac:dyDescent="0.3">
      <c r="A18" s="105" t="s">
        <v>149</v>
      </c>
      <c r="B18" s="103"/>
      <c r="C18" s="103" t="s">
        <v>40</v>
      </c>
      <c r="D18" s="103" t="s">
        <v>42</v>
      </c>
      <c r="E18" s="103" t="s">
        <v>41</v>
      </c>
      <c r="F18" s="105" t="s">
        <v>43</v>
      </c>
    </row>
    <row r="19" spans="1:6" ht="15.75" customHeight="1" x14ac:dyDescent="0.25">
      <c r="A19" s="115" t="s">
        <v>159</v>
      </c>
      <c r="B19" s="115" t="s">
        <v>313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314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161</v>
      </c>
      <c r="B21" s="115" t="s">
        <v>313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314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172</v>
      </c>
      <c r="B23" s="115" t="s">
        <v>313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314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173</v>
      </c>
      <c r="B25" s="115" t="s">
        <v>313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314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174</v>
      </c>
      <c r="B27" s="115" t="s">
        <v>313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314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178</v>
      </c>
      <c r="B29" s="115" t="s">
        <v>313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314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182</v>
      </c>
      <c r="B31" s="115" t="s">
        <v>313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314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232</v>
      </c>
    </row>
    <row r="35" spans="1:6" ht="15.75" customHeight="1" x14ac:dyDescent="0.3">
      <c r="A35" s="105" t="s">
        <v>149</v>
      </c>
      <c r="B35" s="103"/>
      <c r="C35" s="103" t="s">
        <v>40</v>
      </c>
      <c r="D35" s="103" t="s">
        <v>42</v>
      </c>
      <c r="E35" s="103" t="s">
        <v>41</v>
      </c>
      <c r="F35" s="105" t="s">
        <v>43</v>
      </c>
    </row>
    <row r="36" spans="1:6" ht="15.75" customHeight="1" x14ac:dyDescent="0.25">
      <c r="A36" s="115" t="s">
        <v>159</v>
      </c>
      <c r="B36" s="115" t="s">
        <v>313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314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161</v>
      </c>
      <c r="B38" s="115" t="s">
        <v>313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314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172</v>
      </c>
      <c r="B40" s="115" t="s">
        <v>313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314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173</v>
      </c>
      <c r="B42" s="115" t="s">
        <v>313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314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174</v>
      </c>
      <c r="B44" s="115" t="s">
        <v>313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314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178</v>
      </c>
      <c r="B46" s="115" t="s">
        <v>313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314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182</v>
      </c>
      <c r="B48" s="115" t="s">
        <v>313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314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mTJBfDtVD8RS7vF+FLRTdNLzOeUfx+W/IGn0ywVnTUFVxHRPK0jMpUV85xStGAKvVCIherf2LOYrZO35DcOfXA==" saltValue="Ns9bFbdx8mjiboYdwI5AJ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4" sqref="C4:F7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236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237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238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239</v>
      </c>
      <c r="C11" s="74"/>
      <c r="D11" s="75"/>
      <c r="E11" s="75"/>
      <c r="F11" s="75"/>
    </row>
    <row r="12" spans="1:6" ht="15.75" customHeight="1" x14ac:dyDescent="0.3">
      <c r="A12" s="4" t="s">
        <v>240</v>
      </c>
      <c r="C12" s="73"/>
      <c r="D12" s="64"/>
      <c r="E12" s="64"/>
      <c r="F12" s="64"/>
    </row>
    <row r="13" spans="1:6" ht="15.75" customHeight="1" x14ac:dyDescent="0.25">
      <c r="B13" s="11" t="s">
        <v>241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242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228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236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243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244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239</v>
      </c>
      <c r="B38" s="68"/>
      <c r="C38" s="74"/>
      <c r="D38" s="75"/>
      <c r="E38" s="75"/>
      <c r="F38" s="75"/>
    </row>
    <row r="39" spans="1:6" ht="15.75" customHeight="1" x14ac:dyDescent="0.3">
      <c r="A39" s="4" t="s">
        <v>245</v>
      </c>
      <c r="C39" s="73"/>
      <c r="D39" s="64"/>
      <c r="E39" s="64"/>
      <c r="F39" s="64"/>
    </row>
    <row r="40" spans="1:6" ht="15.75" customHeight="1" x14ac:dyDescent="0.25">
      <c r="B40" s="11" t="s">
        <v>246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248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249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232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236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250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251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239</v>
      </c>
      <c r="B65" s="68"/>
      <c r="C65" s="74"/>
      <c r="D65" s="75"/>
      <c r="E65" s="75"/>
      <c r="F65" s="75"/>
    </row>
    <row r="66" spans="1:6" ht="15.75" customHeight="1" x14ac:dyDescent="0.3">
      <c r="A66" s="4" t="s">
        <v>252</v>
      </c>
      <c r="C66" s="73"/>
      <c r="D66" s="64"/>
      <c r="E66" s="64"/>
      <c r="F66" s="64"/>
    </row>
    <row r="67" spans="1:6" ht="15.75" customHeight="1" x14ac:dyDescent="0.25">
      <c r="B67" s="11" t="s">
        <v>253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254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255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256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E28" sqref="E28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257</v>
      </c>
    </row>
    <row r="2" spans="1:16" ht="13" x14ac:dyDescent="0.3">
      <c r="A2" s="39" t="s">
        <v>218</v>
      </c>
      <c r="B2" s="1" t="s">
        <v>258</v>
      </c>
      <c r="C2" s="1" t="s">
        <v>259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81</v>
      </c>
      <c r="C3" s="3" t="s">
        <v>260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261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262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263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261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262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263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261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262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263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261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262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263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262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263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261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262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263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264</v>
      </c>
    </row>
    <row r="29" spans="1:16" ht="13" x14ac:dyDescent="0.3">
      <c r="A29" s="39" t="s">
        <v>265</v>
      </c>
      <c r="B29" s="4" t="s">
        <v>258</v>
      </c>
      <c r="C29" s="4" t="s">
        <v>266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81</v>
      </c>
      <c r="C30" s="3" t="s">
        <v>260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261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197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198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261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197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198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197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198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261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197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198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261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197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198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261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197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198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267</v>
      </c>
    </row>
    <row r="56" spans="1:16" ht="26.4" customHeight="1" x14ac:dyDescent="0.3">
      <c r="A56" s="39" t="s">
        <v>111</v>
      </c>
      <c r="B56" s="4" t="s">
        <v>258</v>
      </c>
      <c r="C56" s="69" t="s">
        <v>268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91</v>
      </c>
      <c r="C57" s="3" t="s">
        <v>269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269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269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271</v>
      </c>
    </row>
    <row r="65" spans="1:16" ht="26.4" customHeight="1" x14ac:dyDescent="0.3">
      <c r="A65" s="39" t="s">
        <v>118</v>
      </c>
      <c r="B65" s="4" t="s">
        <v>258</v>
      </c>
      <c r="C65" s="69" t="s">
        <v>272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273</v>
      </c>
    </row>
    <row r="104" spans="1:16" ht="26.4" customHeight="1" x14ac:dyDescent="0.3">
      <c r="A104" s="39" t="s">
        <v>81</v>
      </c>
      <c r="B104" s="82" t="s">
        <v>122</v>
      </c>
      <c r="C104" s="69" t="s">
        <v>272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228</v>
      </c>
      <c r="H110" s="92"/>
    </row>
    <row r="111" spans="1:16" ht="13" x14ac:dyDescent="0.3">
      <c r="A111" s="67" t="s">
        <v>257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218</v>
      </c>
      <c r="B112" s="1" t="s">
        <v>258</v>
      </c>
      <c r="C112" s="1" t="s">
        <v>259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x14ac:dyDescent="0.3">
      <c r="A113" s="4"/>
      <c r="B113" s="8" t="s">
        <v>81</v>
      </c>
      <c r="C113" s="3" t="s">
        <v>260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261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262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263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261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262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263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261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262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263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261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262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263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261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262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263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261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262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263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264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265</v>
      </c>
      <c r="B139" s="4" t="s">
        <v>258</v>
      </c>
      <c r="C139" s="4" t="s">
        <v>266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x14ac:dyDescent="0.3">
      <c r="A140" s="4"/>
      <c r="B140" s="8" t="s">
        <v>81</v>
      </c>
      <c r="C140" s="3" t="s">
        <v>260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261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197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198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261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197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198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261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197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198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261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197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198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261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197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198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261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197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198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267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111</v>
      </c>
      <c r="B166" s="4" t="s">
        <v>258</v>
      </c>
      <c r="C166" s="69" t="s">
        <v>268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x14ac:dyDescent="0.3">
      <c r="A167" s="4"/>
      <c r="B167" s="8" t="s">
        <v>91</v>
      </c>
      <c r="C167" s="3" t="s">
        <v>269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269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269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271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118</v>
      </c>
      <c r="B175" s="4" t="s">
        <v>258</v>
      </c>
      <c r="C175" s="69" t="s">
        <v>272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273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81</v>
      </c>
      <c r="B214" s="82" t="s">
        <v>122</v>
      </c>
      <c r="C214" s="69" t="s">
        <v>272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232</v>
      </c>
      <c r="H220" s="92"/>
    </row>
    <row r="221" spans="1:9" ht="13" x14ac:dyDescent="0.3">
      <c r="A221" s="67" t="s">
        <v>257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218</v>
      </c>
      <c r="B222" s="1" t="s">
        <v>258</v>
      </c>
      <c r="C222" s="1" t="s">
        <v>259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x14ac:dyDescent="0.3">
      <c r="A223" s="4"/>
      <c r="B223" s="8" t="s">
        <v>81</v>
      </c>
      <c r="C223" s="3" t="s">
        <v>260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261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262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263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261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262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263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261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262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263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261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262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263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261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262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263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261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262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263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264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265</v>
      </c>
      <c r="B249" s="4" t="s">
        <v>258</v>
      </c>
      <c r="C249" s="4" t="s">
        <v>266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x14ac:dyDescent="0.3">
      <c r="A250" s="4"/>
      <c r="B250" s="8" t="s">
        <v>81</v>
      </c>
      <c r="C250" s="3" t="s">
        <v>260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261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197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198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261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197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198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261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197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198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261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197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198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261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197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198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261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197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198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267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111</v>
      </c>
      <c r="B276" s="4" t="s">
        <v>258</v>
      </c>
      <c r="C276" s="69" t="s">
        <v>268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x14ac:dyDescent="0.3">
      <c r="A277" s="4"/>
      <c r="B277" s="8" t="s">
        <v>91</v>
      </c>
      <c r="C277" s="3" t="s">
        <v>269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269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269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271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118</v>
      </c>
      <c r="B285" s="4" t="s">
        <v>258</v>
      </c>
      <c r="C285" s="69" t="s">
        <v>272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273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81</v>
      </c>
      <c r="B324" s="82" t="s">
        <v>122</v>
      </c>
      <c r="C324" s="69" t="s">
        <v>272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topLeftCell="E1" zoomScale="70" zoomScaleNormal="70" workbookViewId="0">
      <selection activeCell="N55" sqref="N5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x14ac:dyDescent="0.3">
      <c r="A2" s="4" t="s">
        <v>315</v>
      </c>
    </row>
    <row r="3" spans="1:15" x14ac:dyDescent="0.25">
      <c r="B3" s="11" t="s">
        <v>163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168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169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170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171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172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174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177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178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181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182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185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316</v>
      </c>
      <c r="B17" s="11"/>
    </row>
    <row r="18" spans="1:15" x14ac:dyDescent="0.25">
      <c r="B18" s="5" t="s">
        <v>165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166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167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175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228</v>
      </c>
    </row>
    <row r="24" spans="1:15" ht="26.4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x14ac:dyDescent="0.3">
      <c r="A25" s="4" t="s">
        <v>317</v>
      </c>
    </row>
    <row r="26" spans="1:15" x14ac:dyDescent="0.25">
      <c r="B26" s="11" t="s">
        <v>163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168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169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170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171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172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173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174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0.84</v>
      </c>
      <c r="M33" s="90">
        <v>0.84</v>
      </c>
      <c r="N33" s="90">
        <v>0.84</v>
      </c>
      <c r="O33" s="90">
        <v>0.84</v>
      </c>
    </row>
    <row r="34" spans="1:15" x14ac:dyDescent="0.25">
      <c r="B34" s="5" t="s">
        <v>177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178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181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182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f>L31</f>
        <v>0.38</v>
      </c>
      <c r="M37" s="90">
        <f>M31</f>
        <v>0.38</v>
      </c>
      <c r="N37" s="90">
        <f>N31</f>
        <v>0.38</v>
      </c>
      <c r="O37" s="90">
        <f>O31</f>
        <v>0.38</v>
      </c>
    </row>
    <row r="38" spans="1:15" x14ac:dyDescent="0.25">
      <c r="B38" s="5" t="s">
        <v>185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318</v>
      </c>
      <c r="B40" s="11"/>
    </row>
    <row r="41" spans="1:15" x14ac:dyDescent="0.25">
      <c r="B41" s="5" t="s">
        <v>165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166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167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175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232</v>
      </c>
    </row>
    <row r="47" spans="1:15" ht="26.4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x14ac:dyDescent="0.3">
      <c r="A48" s="4" t="s">
        <v>319</v>
      </c>
    </row>
    <row r="49" spans="1:15" x14ac:dyDescent="0.25">
      <c r="B49" s="11" t="s">
        <v>163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168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169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170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171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172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173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174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177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178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181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182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f>L54</f>
        <v>0.7</v>
      </c>
      <c r="M60" s="90">
        <f t="shared" ref="M60:O60" si="16">M54</f>
        <v>0.7</v>
      </c>
      <c r="N60" s="90">
        <f t="shared" si="16"/>
        <v>0.7</v>
      </c>
      <c r="O60" s="90">
        <f t="shared" si="16"/>
        <v>0.7</v>
      </c>
    </row>
    <row r="61" spans="1:15" x14ac:dyDescent="0.25">
      <c r="B61" s="5" t="s">
        <v>185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7">IF(G15=1,1,G15*1.05)</f>
        <v>1</v>
      </c>
      <c r="H61" s="90">
        <f t="shared" si="17"/>
        <v>1</v>
      </c>
      <c r="I61" s="90">
        <f t="shared" si="17"/>
        <v>1</v>
      </c>
      <c r="J61" s="90">
        <f t="shared" si="17"/>
        <v>1</v>
      </c>
      <c r="K61" s="90">
        <f t="shared" si="17"/>
        <v>1</v>
      </c>
      <c r="L61" s="90">
        <f t="shared" si="17"/>
        <v>1</v>
      </c>
      <c r="M61" s="90">
        <f t="shared" si="17"/>
        <v>1</v>
      </c>
      <c r="N61" s="90">
        <f t="shared" si="17"/>
        <v>1</v>
      </c>
      <c r="O61" s="90">
        <f t="shared" si="17"/>
        <v>1</v>
      </c>
    </row>
    <row r="63" spans="1:15" ht="13" x14ac:dyDescent="0.3">
      <c r="A63" s="4" t="s">
        <v>320</v>
      </c>
      <c r="B63" s="11"/>
    </row>
    <row r="64" spans="1:15" x14ac:dyDescent="0.25">
      <c r="B64" s="5" t="s">
        <v>165</v>
      </c>
      <c r="C64" s="90">
        <f t="shared" ref="C64:D67" si="18">IF(C18=1,1,C18*1.05)</f>
        <v>1</v>
      </c>
      <c r="D64" s="90">
        <f t="shared" si="18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166</v>
      </c>
      <c r="C65" s="90">
        <f t="shared" si="18"/>
        <v>1</v>
      </c>
      <c r="D65" s="90">
        <f t="shared" si="18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167</v>
      </c>
      <c r="C66" s="90">
        <f t="shared" si="18"/>
        <v>1</v>
      </c>
      <c r="D66" s="90">
        <f t="shared" si="18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175</v>
      </c>
      <c r="C67" s="90">
        <f t="shared" si="18"/>
        <v>1</v>
      </c>
      <c r="D67" s="90">
        <f t="shared" si="18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O9b9DvQJo3G6KJNUNq8X2QehGOtFR5U6yKm/syA6NM1J0lvXdCmzZlnKyhbrPClx1ZNPC01gUAZ+jhIfjrbLLQ==" saltValue="1U2JdgVE5zlYBKfyTDTw3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x14ac:dyDescent="0.3">
      <c r="A2" s="4" t="s">
        <v>321</v>
      </c>
    </row>
    <row r="3" spans="1:7" x14ac:dyDescent="0.25">
      <c r="B3" s="11" t="s">
        <v>150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322</v>
      </c>
      <c r="B4" s="11"/>
      <c r="C4" s="83"/>
      <c r="D4" s="83"/>
      <c r="E4" s="83"/>
      <c r="F4" s="83"/>
      <c r="G4" s="83"/>
    </row>
    <row r="5" spans="1:7" x14ac:dyDescent="0.25">
      <c r="B5" s="5" t="s">
        <v>151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323</v>
      </c>
    </row>
    <row r="8" spans="1:7" ht="13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x14ac:dyDescent="0.3">
      <c r="A9" s="4" t="s">
        <v>324</v>
      </c>
    </row>
    <row r="10" spans="1:7" x14ac:dyDescent="0.25">
      <c r="B10" s="11" t="s">
        <v>150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325</v>
      </c>
      <c r="B11" s="11"/>
      <c r="C11" s="83"/>
      <c r="D11" s="83"/>
      <c r="E11" s="83"/>
      <c r="F11" s="83"/>
      <c r="G11" s="83"/>
    </row>
    <row r="12" spans="1:7" x14ac:dyDescent="0.25">
      <c r="B12" s="5" t="s">
        <v>151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326</v>
      </c>
    </row>
    <row r="15" spans="1:7" ht="13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x14ac:dyDescent="0.3">
      <c r="A16" s="4" t="s">
        <v>327</v>
      </c>
    </row>
    <row r="17" spans="1:7" x14ac:dyDescent="0.25">
      <c r="B17" s="11" t="s">
        <v>150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328</v>
      </c>
      <c r="B18" s="11"/>
      <c r="C18" s="83"/>
      <c r="D18" s="83"/>
      <c r="E18" s="83"/>
      <c r="F18" s="83"/>
      <c r="G18" s="83"/>
    </row>
    <row r="19" spans="1:7" x14ac:dyDescent="0.25">
      <c r="B19" s="5" t="s">
        <v>151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LnHqzSn11/I1WCwvgSV/aFkE4DJCKbxU6E+/fckfwuo9TSYYFU2r03FX6SuodzE0Icw7QU7yQRDXQkg8mnkbQw==" saltValue="YhMnDcTLXSaovyjlmfHDMw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19" sqref="D19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149</v>
      </c>
      <c r="B1" s="103" t="s">
        <v>329</v>
      </c>
      <c r="C1" s="120" t="s">
        <v>330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113" t="s">
        <v>186</v>
      </c>
      <c r="B2" s="113" t="s">
        <v>81</v>
      </c>
      <c r="C2" s="113" t="s">
        <v>331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332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333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184</v>
      </c>
      <c r="B5" s="113" t="s">
        <v>198</v>
      </c>
      <c r="C5" s="113" t="s">
        <v>331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333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197</v>
      </c>
      <c r="C7" s="113" t="s">
        <v>331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333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177</v>
      </c>
      <c r="B9" s="113" t="s">
        <v>198</v>
      </c>
      <c r="C9" s="113" t="s">
        <v>331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333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197</v>
      </c>
      <c r="C11" s="113" t="s">
        <v>331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333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185</v>
      </c>
      <c r="B13" s="113" t="s">
        <v>198</v>
      </c>
      <c r="C13" s="113" t="s">
        <v>331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333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197</v>
      </c>
      <c r="C15" s="113" t="s">
        <v>331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333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372</v>
      </c>
      <c r="C17" s="113" t="s">
        <v>331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332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162</v>
      </c>
      <c r="B19" s="113" t="s">
        <v>198</v>
      </c>
      <c r="C19" s="113" t="s">
        <v>331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333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197</v>
      </c>
      <c r="C21" s="113" t="s">
        <v>331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333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167</v>
      </c>
      <c r="B23" s="113" t="s">
        <v>74</v>
      </c>
      <c r="C23" s="113" t="s">
        <v>331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332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165</v>
      </c>
      <c r="B25" s="113" t="s">
        <v>74</v>
      </c>
      <c r="C25" s="113" t="s">
        <v>331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332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166</v>
      </c>
      <c r="B27" s="113" t="s">
        <v>74</v>
      </c>
      <c r="C27" s="113" t="s">
        <v>331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332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190</v>
      </c>
      <c r="B29" s="113" t="s">
        <v>81</v>
      </c>
      <c r="C29" s="113" t="s">
        <v>331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332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333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191</v>
      </c>
      <c r="B32" s="113" t="s">
        <v>81</v>
      </c>
      <c r="C32" s="113" t="s">
        <v>331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332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333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189</v>
      </c>
      <c r="B35" s="113" t="s">
        <v>81</v>
      </c>
      <c r="C35" s="113" t="s">
        <v>331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332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333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188</v>
      </c>
      <c r="B38" s="113" t="s">
        <v>81</v>
      </c>
      <c r="C38" s="113" t="s">
        <v>331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332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333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187</v>
      </c>
      <c r="B41" s="113" t="s">
        <v>81</v>
      </c>
      <c r="C41" s="113" t="s">
        <v>331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332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333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193</v>
      </c>
      <c r="B44" s="113" t="s">
        <v>81</v>
      </c>
      <c r="C44" s="113" t="s">
        <v>331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332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333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82</v>
      </c>
      <c r="C47" s="113" t="s">
        <v>331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332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333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183</v>
      </c>
      <c r="B50" s="113" t="s">
        <v>81</v>
      </c>
      <c r="C50" s="113" t="s">
        <v>331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332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192</v>
      </c>
      <c r="B52" s="113" t="s">
        <v>81</v>
      </c>
      <c r="C52" s="113" t="s">
        <v>331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332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176</v>
      </c>
      <c r="B54" s="113" t="s">
        <v>72</v>
      </c>
      <c r="C54" s="113" t="s">
        <v>331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332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323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149</v>
      </c>
      <c r="B58" s="103" t="s">
        <v>329</v>
      </c>
      <c r="C58" s="120" t="s">
        <v>330</v>
      </c>
      <c r="D58" s="4" t="s">
        <v>67</v>
      </c>
      <c r="E58" s="4" t="s">
        <v>77</v>
      </c>
      <c r="F58" s="4" t="s">
        <v>78</v>
      </c>
      <c r="G58" s="4" t="s">
        <v>79</v>
      </c>
      <c r="H58" s="4" t="s">
        <v>80</v>
      </c>
    </row>
    <row r="59" spans="1:8" x14ac:dyDescent="0.25">
      <c r="A59" s="113" t="s">
        <v>186</v>
      </c>
      <c r="B59" s="113" t="s">
        <v>81</v>
      </c>
      <c r="C59" s="113" t="s">
        <v>331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332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333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184</v>
      </c>
      <c r="B62" s="113" t="s">
        <v>198</v>
      </c>
      <c r="C62" s="113" t="s">
        <v>331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333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197</v>
      </c>
      <c r="C64" s="113" t="s">
        <v>331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333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177</v>
      </c>
      <c r="B66" s="113" t="s">
        <v>198</v>
      </c>
      <c r="C66" s="113" t="s">
        <v>331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333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197</v>
      </c>
      <c r="C68" s="113" t="s">
        <v>331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333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185</v>
      </c>
      <c r="B70" s="113" t="s">
        <v>198</v>
      </c>
      <c r="C70" s="113" t="s">
        <v>331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333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197</v>
      </c>
      <c r="C72" s="113" t="s">
        <v>331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333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372</v>
      </c>
      <c r="C74" s="113" t="s">
        <v>331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332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162</v>
      </c>
      <c r="B76" s="113" t="s">
        <v>198</v>
      </c>
      <c r="C76" s="113" t="s">
        <v>331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333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197</v>
      </c>
      <c r="C78" s="113" t="s">
        <v>331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333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167</v>
      </c>
      <c r="B80" s="113" t="s">
        <v>74</v>
      </c>
      <c r="C80" s="113" t="s">
        <v>331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332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165</v>
      </c>
      <c r="B82" s="113" t="s">
        <v>74</v>
      </c>
      <c r="C82" s="113" t="s">
        <v>331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332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166</v>
      </c>
      <c r="B84" s="113" t="s">
        <v>74</v>
      </c>
      <c r="C84" s="113" t="s">
        <v>331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332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190</v>
      </c>
      <c r="B86" s="113" t="s">
        <v>81</v>
      </c>
      <c r="C86" s="113" t="s">
        <v>331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332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333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191</v>
      </c>
      <c r="B89" s="113" t="s">
        <v>81</v>
      </c>
      <c r="C89" s="113" t="s">
        <v>331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332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333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189</v>
      </c>
      <c r="B92" s="113" t="s">
        <v>81</v>
      </c>
      <c r="C92" s="113" t="s">
        <v>331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332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333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188</v>
      </c>
      <c r="B95" s="113" t="s">
        <v>81</v>
      </c>
      <c r="C95" s="113" t="s">
        <v>331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332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333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187</v>
      </c>
      <c r="B98" s="113" t="s">
        <v>81</v>
      </c>
      <c r="C98" s="113" t="s">
        <v>331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332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333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193</v>
      </c>
      <c r="B101" s="113" t="s">
        <v>81</v>
      </c>
      <c r="C101" s="113" t="s">
        <v>331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332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333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82</v>
      </c>
      <c r="C104" s="113" t="s">
        <v>331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332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333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183</v>
      </c>
      <c r="B107" s="113" t="s">
        <v>81</v>
      </c>
      <c r="C107" s="113" t="s">
        <v>331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332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192</v>
      </c>
      <c r="B109" s="113" t="s">
        <v>81</v>
      </c>
      <c r="C109" s="113" t="s">
        <v>331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332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176</v>
      </c>
      <c r="B111" s="113" t="s">
        <v>72</v>
      </c>
      <c r="C111" s="113" t="s">
        <v>331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332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326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149</v>
      </c>
      <c r="B115" s="103" t="s">
        <v>329</v>
      </c>
      <c r="C115" s="120" t="s">
        <v>330</v>
      </c>
      <c r="D115" s="4" t="s">
        <v>67</v>
      </c>
      <c r="E115" s="4" t="s">
        <v>77</v>
      </c>
      <c r="F115" s="4" t="s">
        <v>78</v>
      </c>
      <c r="G115" s="4" t="s">
        <v>79</v>
      </c>
      <c r="H115" s="4" t="s">
        <v>80</v>
      </c>
    </row>
    <row r="116" spans="1:8" x14ac:dyDescent="0.25">
      <c r="A116" s="113" t="s">
        <v>186</v>
      </c>
      <c r="B116" s="113" t="s">
        <v>81</v>
      </c>
      <c r="C116" s="113" t="s">
        <v>331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332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333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184</v>
      </c>
      <c r="B119" s="113" t="s">
        <v>198</v>
      </c>
      <c r="C119" s="113" t="s">
        <v>331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333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197</v>
      </c>
      <c r="C121" s="113" t="s">
        <v>331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333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177</v>
      </c>
      <c r="B123" s="113" t="s">
        <v>198</v>
      </c>
      <c r="C123" s="113" t="s">
        <v>331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333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197</v>
      </c>
      <c r="C125" s="113" t="s">
        <v>331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333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185</v>
      </c>
      <c r="B127" s="113" t="s">
        <v>198</v>
      </c>
      <c r="C127" s="113" t="s">
        <v>331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333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197</v>
      </c>
      <c r="C129" s="113" t="s">
        <v>331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333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372</v>
      </c>
      <c r="C131" s="113" t="s">
        <v>331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332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162</v>
      </c>
      <c r="B133" s="113" t="s">
        <v>198</v>
      </c>
      <c r="C133" s="113" t="s">
        <v>331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333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197</v>
      </c>
      <c r="C135" s="113" t="s">
        <v>331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333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167</v>
      </c>
      <c r="B137" s="113" t="s">
        <v>74</v>
      </c>
      <c r="C137" s="113" t="s">
        <v>331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332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165</v>
      </c>
      <c r="B139" s="113" t="s">
        <v>74</v>
      </c>
      <c r="C139" s="113" t="s">
        <v>331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332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166</v>
      </c>
      <c r="B141" s="113" t="s">
        <v>74</v>
      </c>
      <c r="C141" s="113" t="s">
        <v>331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332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190</v>
      </c>
      <c r="B143" s="113" t="s">
        <v>81</v>
      </c>
      <c r="C143" s="113" t="s">
        <v>331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332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333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191</v>
      </c>
      <c r="B146" s="113" t="s">
        <v>81</v>
      </c>
      <c r="C146" s="113" t="s">
        <v>331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332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333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189</v>
      </c>
      <c r="B149" s="113" t="s">
        <v>81</v>
      </c>
      <c r="C149" s="113" t="s">
        <v>331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332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333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188</v>
      </c>
      <c r="B152" s="113" t="s">
        <v>81</v>
      </c>
      <c r="C152" s="113" t="s">
        <v>331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332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333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187</v>
      </c>
      <c r="B155" s="113" t="s">
        <v>81</v>
      </c>
      <c r="C155" s="113" t="s">
        <v>331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332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333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193</v>
      </c>
      <c r="B158" s="113" t="s">
        <v>81</v>
      </c>
      <c r="C158" s="113" t="s">
        <v>331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332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333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82</v>
      </c>
      <c r="C161" s="113" t="s">
        <v>331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332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333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183</v>
      </c>
      <c r="B164" s="113" t="s">
        <v>81</v>
      </c>
      <c r="C164" s="113" t="s">
        <v>331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332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192</v>
      </c>
      <c r="B166" s="113" t="s">
        <v>81</v>
      </c>
      <c r="C166" s="113" t="s">
        <v>331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332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176</v>
      </c>
      <c r="B168" s="113" t="s">
        <v>72</v>
      </c>
      <c r="C168" s="113" t="s">
        <v>331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332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sHld8DXHNvBPvgOxgonJEdNr45oJ9dhGm4EyeRR/kJgZwuRtQOqpKRwAGWgbK7p0KPrU1sXLs5MI5cYHa/DMFQ==" saltValue="ExAPAhIxQbwU8rsTTgoi4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2" sqref="D2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149</v>
      </c>
      <c r="B1" s="1" t="s">
        <v>329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161</v>
      </c>
      <c r="B2" s="8" t="s">
        <v>94</v>
      </c>
      <c r="C2" s="3" t="s">
        <v>331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332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180</v>
      </c>
      <c r="B4" s="8" t="s">
        <v>94</v>
      </c>
      <c r="C4" s="3" t="s">
        <v>331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332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179</v>
      </c>
      <c r="B6" s="8" t="s">
        <v>94</v>
      </c>
      <c r="C6" s="3" t="s">
        <v>331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332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182</v>
      </c>
      <c r="B8" s="3" t="s">
        <v>369</v>
      </c>
      <c r="C8" s="3" t="s">
        <v>331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206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323</v>
      </c>
    </row>
    <row r="12" spans="1:8" ht="13" x14ac:dyDescent="0.3">
      <c r="A12" s="1" t="s">
        <v>149</v>
      </c>
      <c r="B12" s="1" t="s">
        <v>329</v>
      </c>
      <c r="C12" s="1"/>
      <c r="D12" s="4" t="s">
        <v>112</v>
      </c>
      <c r="E12" s="4" t="s">
        <v>113</v>
      </c>
      <c r="F12" s="4" t="s">
        <v>114</v>
      </c>
      <c r="G12" s="4" t="s">
        <v>115</v>
      </c>
    </row>
    <row r="13" spans="1:8" x14ac:dyDescent="0.25">
      <c r="A13" s="3" t="s">
        <v>161</v>
      </c>
      <c r="B13" s="8" t="s">
        <v>94</v>
      </c>
      <c r="C13" s="3" t="s">
        <v>331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332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180</v>
      </c>
      <c r="B15" s="8" t="s">
        <v>94</v>
      </c>
      <c r="C15" s="3" t="s">
        <v>331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332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179</v>
      </c>
      <c r="B17" s="8" t="s">
        <v>94</v>
      </c>
      <c r="C17" s="3" t="s">
        <v>331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332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182</v>
      </c>
      <c r="B19" s="3" t="s">
        <v>369</v>
      </c>
      <c r="C19" s="3" t="s">
        <v>331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206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326</v>
      </c>
    </row>
    <row r="23" spans="1:7" ht="13" x14ac:dyDescent="0.3">
      <c r="A23" s="1" t="s">
        <v>149</v>
      </c>
      <c r="B23" s="1" t="s">
        <v>329</v>
      </c>
      <c r="C23" s="1"/>
      <c r="D23" s="4" t="s">
        <v>112</v>
      </c>
      <c r="E23" s="4" t="s">
        <v>113</v>
      </c>
      <c r="F23" s="4" t="s">
        <v>114</v>
      </c>
      <c r="G23" s="4" t="s">
        <v>115</v>
      </c>
    </row>
    <row r="24" spans="1:7" x14ac:dyDescent="0.25">
      <c r="A24" s="3" t="s">
        <v>161</v>
      </c>
      <c r="B24" s="8" t="s">
        <v>94</v>
      </c>
      <c r="C24" s="3" t="s">
        <v>331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332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180</v>
      </c>
      <c r="B26" s="8" t="s">
        <v>94</v>
      </c>
      <c r="C26" s="3" t="s">
        <v>331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332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179</v>
      </c>
      <c r="B28" s="8" t="s">
        <v>94</v>
      </c>
      <c r="C28" s="3" t="s">
        <v>331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332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182</v>
      </c>
      <c r="B30" s="3" t="s">
        <v>369</v>
      </c>
      <c r="C30" s="3" t="s">
        <v>331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206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+Rt7ZWqFE4X26qXz/KjecTkQKgctzAjXiAuwem7Q53yDZR2yMdoSjy31bFNSh3+37+vm43wZuMN9UQUzoZI9/g==" saltValue="DN4zRpZshXPaqZQnWOz1eg==" spinCount="100000" sheet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57ec1f31440e439775915f75cb7954ca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62245b0892ab2a20b5f44f74e1fbf663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B7E161-F495-494F-94F7-37757C7799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inputs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Odds ratios</vt:lpstr>
      <vt:lpstr>Programs birth outcomes</vt:lpstr>
      <vt:lpstr>Birth outcome risks</vt:lpstr>
      <vt:lpstr>Relative risks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Scott</dc:creator>
  <cp:keywords/>
  <dc:description/>
  <cp:lastModifiedBy>Tharindu Wickramaarachchi</cp:lastModifiedBy>
  <cp:revision/>
  <dcterms:created xsi:type="dcterms:W3CDTF">2017-08-01T10:42:13Z</dcterms:created>
  <dcterms:modified xsi:type="dcterms:W3CDTF">2026-04-06T07:35:41Z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