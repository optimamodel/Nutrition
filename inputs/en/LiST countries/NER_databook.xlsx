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BFC0E11-9920-405A-BA44-74A816197193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I2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<sst xmlns="http://schemas.openxmlformats.org/spreadsheetml/2006/main" count="2159" uniqueCount="372">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</sst>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4782870</v>
      </c>
    </row>
    <row r="8" spans="1:3" ht="15" customHeight="1" x14ac:dyDescent="0.25">
      <c r="B8" s="5" t="s">
        <v>8</v>
      </c>
      <c r="C8" s="44">
        <v>0.5</v>
      </c>
    </row>
    <row r="9" spans="1:3" ht="15" customHeight="1" x14ac:dyDescent="0.25">
      <c r="B9" s="5" t="s">
        <v>9</v>
      </c>
      <c r="C9" s="45">
        <v>0.89</v>
      </c>
    </row>
    <row r="10" spans="1:3" ht="15" customHeight="1" x14ac:dyDescent="0.25">
      <c r="B10" s="5" t="s">
        <v>10</v>
      </c>
      <c r="C10" s="45">
        <v>0.124236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0.13469999999999999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0.33339999999999997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0.14423394649454599</v>
      </c>
    </row>
    <row r="30" spans="1:3" ht="14.25" customHeight="1" x14ac:dyDescent="0.25">
      <c r="B30" s="25" t="s">
        <v>27</v>
      </c>
      <c r="C30" s="99">
        <v>6.1032409192973099E-2</v>
      </c>
    </row>
    <row r="31" spans="1:3" ht="14.25" customHeight="1" x14ac:dyDescent="0.25">
      <c r="B31" s="25" t="s">
        <v>28</v>
      </c>
      <c r="C31" s="99">
        <v>0.136010908276956</v>
      </c>
    </row>
    <row r="32" spans="1:3" ht="14.25" customHeight="1" x14ac:dyDescent="0.25">
      <c r="B32" s="25" t="s">
        <v>29</v>
      </c>
      <c r="C32" s="99">
        <v>0.658722736035525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33.685989999999997</v>
      </c>
    </row>
    <row r="38" spans="1:5" ht="15" customHeight="1" x14ac:dyDescent="0.25">
      <c r="B38" s="11" t="s">
        <v>34</v>
      </c>
      <c r="C38" s="43">
        <v>59.503540000000001</v>
      </c>
      <c r="D38" s="12"/>
      <c r="E38" s="13"/>
    </row>
    <row r="39" spans="1:5" ht="15" customHeight="1" x14ac:dyDescent="0.25">
      <c r="B39" s="11" t="s">
        <v>35</v>
      </c>
      <c r="C39" s="43">
        <v>115.15188000000001</v>
      </c>
      <c r="D39" s="12"/>
      <c r="E39" s="12"/>
    </row>
    <row r="40" spans="1:5" ht="15" customHeight="1" x14ac:dyDescent="0.25">
      <c r="B40" s="11" t="s">
        <v>36</v>
      </c>
      <c r="C40" s="100">
        <v>4.41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7.9196000000000006E-3</v>
      </c>
      <c r="D45" s="12"/>
    </row>
    <row r="46" spans="1:5" ht="15.75" customHeight="1" x14ac:dyDescent="0.25">
      <c r="B46" s="11" t="s">
        <v>41</v>
      </c>
      <c r="C46" s="45">
        <v>8.5095100000000007E-2</v>
      </c>
      <c r="D46" s="12"/>
    </row>
    <row r="47" spans="1:5" ht="15.75" customHeight="1" x14ac:dyDescent="0.25">
      <c r="B47" s="11" t="s">
        <v>42</v>
      </c>
      <c r="C47" s="45">
        <v>7.3469300000000001E-2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3.4319999999999999</v>
      </c>
      <c r="D51" s="12"/>
    </row>
    <row r="52" spans="1:4" ht="15" customHeight="1" x14ac:dyDescent="0.25">
      <c r="B52" s="11" t="s">
        <v>46</v>
      </c>
      <c r="C52" s="100">
        <v>3.4319999999999999</v>
      </c>
    </row>
    <row r="53" spans="1:4" ht="15.75" customHeight="1" x14ac:dyDescent="0.25">
      <c r="B53" s="11" t="s">
        <v>47</v>
      </c>
      <c r="C53" s="100">
        <v>7.331999999999999</v>
      </c>
    </row>
    <row r="54" spans="1:4" ht="15.75" customHeight="1" x14ac:dyDescent="0.25">
      <c r="B54" s="11" t="s">
        <v>48</v>
      </c>
      <c r="C54" s="100">
        <v>5.98</v>
      </c>
    </row>
    <row r="55" spans="1:4" ht="15.75" customHeight="1" x14ac:dyDescent="0.25">
      <c r="B55" s="11" t="s">
        <v>49</v>
      </c>
      <c r="C55" s="100">
        <v>2.2879999999999998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0.41849700000000001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1119695</v>
      </c>
      <c r="C2" s="49">
        <v>1505457.5</v>
      </c>
      <c r="D2" s="49">
        <v>2173852.5</v>
      </c>
      <c r="E2" s="49">
        <v>1345318</v>
      </c>
      <c r="F2" s="49">
        <v>901220.5</v>
      </c>
      <c r="G2" s="17">
        <f t="shared" ref="G2:G13" si="0">C2+D2+E2+F2</f>
        <v>5925848.5</v>
      </c>
      <c r="H2" s="17">
        <f t="shared" ref="H2:H13" si="1">(B2 + stillbirth*B2/(1000-stillbirth))/(1-abortion)</f>
        <v>1300264.4498635256</v>
      </c>
      <c r="I2" s="17">
        <f t="shared" ref="I2:I13" si="2">G2-H2</f>
        <v>4625584.0501364749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1138168</v>
      </c>
      <c r="C3" s="50">
        <v>1560600</v>
      </c>
      <c r="D3" s="50">
        <v>2271488.5</v>
      </c>
      <c r="E3" s="50">
        <v>1402505.5</v>
      </c>
      <c r="F3" s="50">
        <v>934499</v>
      </c>
      <c r="G3" s="17">
        <f t="shared" si="0"/>
        <v>6169093</v>
      </c>
      <c r="H3" s="17">
        <f t="shared" si="1"/>
        <v>1321716.5284941609</v>
      </c>
      <c r="I3" s="17">
        <f t="shared" si="2"/>
        <v>4847376.4715058394</v>
      </c>
    </row>
    <row r="4" spans="1:9" ht="15.75" customHeight="1" x14ac:dyDescent="0.25">
      <c r="A4" s="5">
        <f t="shared" si="3"/>
        <v>2026</v>
      </c>
      <c r="B4" s="49">
        <v>1157021</v>
      </c>
      <c r="C4" s="50">
        <v>1615464</v>
      </c>
      <c r="D4" s="50">
        <v>2370503</v>
      </c>
      <c r="E4" s="50">
        <v>1464262.0000000002</v>
      </c>
      <c r="F4" s="50">
        <v>968571.5</v>
      </c>
      <c r="G4" s="17">
        <f t="shared" si="0"/>
        <v>6418800.5</v>
      </c>
      <c r="H4" s="17">
        <f t="shared" si="1"/>
        <v>1343609.8884477883</v>
      </c>
      <c r="I4" s="17">
        <f t="shared" si="2"/>
        <v>5075190.6115522115</v>
      </c>
    </row>
    <row r="5" spans="1:9" ht="15.75" customHeight="1" x14ac:dyDescent="0.25">
      <c r="A5" s="5">
        <f t="shared" si="3"/>
        <v>2027</v>
      </c>
      <c r="B5" s="49">
        <v>1172912</v>
      </c>
      <c r="C5" s="50">
        <v>1669655.5</v>
      </c>
      <c r="D5" s="50">
        <v>2470867.5000000005</v>
      </c>
      <c r="E5" s="50">
        <v>1530641.5</v>
      </c>
      <c r="F5" s="50">
        <v>1003592.5</v>
      </c>
      <c r="G5" s="17">
        <f t="shared" si="0"/>
        <v>6674757</v>
      </c>
      <c r="H5" s="17">
        <f t="shared" si="1"/>
        <v>1362063.5766153531</v>
      </c>
      <c r="I5" s="17">
        <f t="shared" si="2"/>
        <v>5312693.4233846469</v>
      </c>
    </row>
    <row r="6" spans="1:9" ht="15.75" customHeight="1" x14ac:dyDescent="0.25">
      <c r="A6" s="5">
        <f t="shared" si="3"/>
        <v>2028</v>
      </c>
      <c r="B6" s="49">
        <v>1188297</v>
      </c>
      <c r="C6" s="50">
        <v>1723497.5</v>
      </c>
      <c r="D6" s="50">
        <v>2572364.5</v>
      </c>
      <c r="E6" s="50">
        <v>1601955</v>
      </c>
      <c r="F6" s="50">
        <v>1039373</v>
      </c>
      <c r="G6" s="17">
        <f t="shared" si="0"/>
        <v>6937190</v>
      </c>
      <c r="H6" s="17">
        <f t="shared" si="1"/>
        <v>1379929.6638633537</v>
      </c>
      <c r="I6" s="17">
        <f t="shared" si="2"/>
        <v>5557260.3361366466</v>
      </c>
    </row>
    <row r="7" spans="1:9" ht="15.75" customHeight="1" x14ac:dyDescent="0.25">
      <c r="A7" s="5">
        <f t="shared" si="3"/>
        <v>2029</v>
      </c>
      <c r="B7" s="49">
        <v>1205973</v>
      </c>
      <c r="C7" s="50">
        <v>1776849.5</v>
      </c>
      <c r="D7" s="50">
        <v>2674711</v>
      </c>
      <c r="E7" s="50">
        <v>1678208.5000000002</v>
      </c>
      <c r="F7" s="50">
        <v>1075972.4999999998</v>
      </c>
      <c r="G7" s="17">
        <f t="shared" si="0"/>
        <v>7205741.5</v>
      </c>
      <c r="H7" s="17">
        <f t="shared" si="1"/>
        <v>1400456.212982344</v>
      </c>
      <c r="I7" s="17">
        <f t="shared" si="2"/>
        <v>5805285.2870176565</v>
      </c>
    </row>
    <row r="8" spans="1:9" ht="15.75" customHeight="1" x14ac:dyDescent="0.25">
      <c r="A8" s="5">
        <f t="shared" si="3"/>
        <v>2030</v>
      </c>
      <c r="B8" s="49">
        <v>1220547</v>
      </c>
      <c r="C8" s="50">
        <v>1828989</v>
      </c>
      <c r="D8" s="50">
        <v>2778207.5</v>
      </c>
      <c r="E8" s="50">
        <v>1758199</v>
      </c>
      <c r="F8" s="50">
        <v>1114421</v>
      </c>
      <c r="G8" s="17">
        <f t="shared" si="0"/>
        <v>7479816.5</v>
      </c>
      <c r="H8" s="17">
        <f t="shared" si="1"/>
        <v>1417380.5129857478</v>
      </c>
      <c r="I8" s="17">
        <f t="shared" si="2"/>
        <v>6062435.9870142527</v>
      </c>
    </row>
    <row r="9" spans="1:9" ht="15.75" customHeight="1" x14ac:dyDescent="0.25">
      <c r="A9" s="5">
        <f t="shared" si="3"/>
        <v>2031</v>
      </c>
      <c r="B9" s="49">
        <v>1230763</v>
      </c>
      <c r="C9" s="50">
        <v>1879945.5</v>
      </c>
      <c r="D9" s="50">
        <v>2882647.5</v>
      </c>
      <c r="E9" s="50">
        <v>1841396</v>
      </c>
      <c r="F9" s="50">
        <v>1155316</v>
      </c>
      <c r="G9" s="17">
        <f t="shared" si="0"/>
        <v>7759305</v>
      </c>
      <c r="H9" s="17">
        <f t="shared" si="1"/>
        <v>1429244.0129744103</v>
      </c>
      <c r="I9" s="17">
        <f t="shared" si="2"/>
        <v>6330060.9870255897</v>
      </c>
    </row>
    <row r="10" spans="1:9" ht="15.75" customHeight="1" x14ac:dyDescent="0.25">
      <c r="A10" s="5">
        <f t="shared" si="3"/>
        <v>2032</v>
      </c>
      <c r="B10" s="49">
        <v>1243487</v>
      </c>
      <c r="C10" s="50">
        <v>1928983</v>
      </c>
      <c r="D10" s="50">
        <v>2987520.9999999995</v>
      </c>
      <c r="E10" s="50">
        <v>1927662.5000000002</v>
      </c>
      <c r="F10" s="50">
        <v>1199036.5000000002</v>
      </c>
      <c r="G10" s="17">
        <f t="shared" si="0"/>
        <v>8043203</v>
      </c>
      <c r="H10" s="17">
        <f t="shared" si="1"/>
        <v>1444019.9696948242</v>
      </c>
      <c r="I10" s="17">
        <f t="shared" si="2"/>
        <v>6599183.030305176</v>
      </c>
    </row>
    <row r="11" spans="1:9" ht="15.75" customHeight="1" x14ac:dyDescent="0.25">
      <c r="A11" s="5">
        <f t="shared" si="3"/>
        <v>2033</v>
      </c>
      <c r="B11" s="49">
        <v>1258844</v>
      </c>
      <c r="C11" s="50">
        <v>1974538</v>
      </c>
      <c r="D11" s="50">
        <v>3092915</v>
      </c>
      <c r="E11" s="50">
        <v>2016603.5000000002</v>
      </c>
      <c r="F11" s="50">
        <v>1246092.5</v>
      </c>
      <c r="G11" s="17">
        <f t="shared" si="0"/>
        <v>8330149</v>
      </c>
      <c r="H11" s="17">
        <f t="shared" si="1"/>
        <v>1461853.54147692</v>
      </c>
      <c r="I11" s="17">
        <f t="shared" si="2"/>
        <v>6868295.4585230798</v>
      </c>
    </row>
    <row r="12" spans="1:9" ht="15.75" customHeight="1" x14ac:dyDescent="0.25">
      <c r="A12" s="5">
        <f t="shared" si="3"/>
        <v>2034</v>
      </c>
      <c r="B12" s="49">
        <v>1264320</v>
      </c>
      <c r="C12" s="50">
        <v>2016432.5</v>
      </c>
      <c r="D12" s="50">
        <v>3198537.0000000005</v>
      </c>
      <c r="E12" s="50">
        <v>2108287</v>
      </c>
      <c r="F12" s="50">
        <v>1296890.5</v>
      </c>
      <c r="G12" s="17">
        <f t="shared" si="0"/>
        <v>8620147</v>
      </c>
      <c r="H12" s="17">
        <f t="shared" si="1"/>
        <v>1468212.6375945706</v>
      </c>
      <c r="I12" s="17">
        <f t="shared" si="2"/>
        <v>7151934.3624054296</v>
      </c>
    </row>
    <row r="13" spans="1:9" ht="15.75" customHeight="1" x14ac:dyDescent="0.25">
      <c r="A13" s="5">
        <f t="shared" si="3"/>
        <v>2035</v>
      </c>
      <c r="B13" s="49">
        <v>1276278</v>
      </c>
      <c r="C13" s="50">
        <v>2055634</v>
      </c>
      <c r="D13" s="50">
        <v>3303404</v>
      </c>
      <c r="E13" s="50">
        <v>2202490.5</v>
      </c>
      <c r="F13" s="50">
        <v>1351881</v>
      </c>
      <c r="G13" s="17">
        <f t="shared" si="0"/>
        <v>8913409.5</v>
      </c>
      <c r="H13" s="17">
        <f t="shared" si="1"/>
        <v>1482099.0640691624</v>
      </c>
      <c r="I13" s="17">
        <f t="shared" si="2"/>
        <v>7431310.4359308379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4.0116400000000108E-2</v>
      </c>
    </row>
    <row r="4" spans="1:8" ht="15.75" customHeight="1" x14ac:dyDescent="0.25">
      <c r="B4" s="19" t="s">
        <v>69</v>
      </c>
      <c r="C4" s="101">
        <v>0.15844380000000011</v>
      </c>
    </row>
    <row r="5" spans="1:8" ht="15.75" customHeight="1" x14ac:dyDescent="0.25">
      <c r="B5" s="19" t="s">
        <v>70</v>
      </c>
      <c r="C5" s="101">
        <v>0.124777</v>
      </c>
    </row>
    <row r="6" spans="1:8" ht="15.75" customHeight="1" x14ac:dyDescent="0.25">
      <c r="B6" s="19" t="s">
        <v>71</v>
      </c>
      <c r="C6" s="101">
        <v>0.28140640000000011</v>
      </c>
    </row>
    <row r="7" spans="1:8" ht="15.75" customHeight="1" x14ac:dyDescent="0.25">
      <c r="B7" s="19" t="s">
        <v>72</v>
      </c>
      <c r="C7" s="101">
        <v>0.21175369999999999</v>
      </c>
    </row>
    <row r="8" spans="1:8" ht="15.75" customHeight="1" x14ac:dyDescent="0.25">
      <c r="B8" s="19" t="s">
        <v>73</v>
      </c>
      <c r="C8" s="101">
        <v>6.0052000000000074E-3</v>
      </c>
    </row>
    <row r="9" spans="1:8" ht="15.75" customHeight="1" x14ac:dyDescent="0.25">
      <c r="B9" s="19" t="s">
        <v>74</v>
      </c>
      <c r="C9" s="101">
        <v>5.8840899999999842E-2</v>
      </c>
    </row>
    <row r="10" spans="1:8" ht="15.75" customHeight="1" x14ac:dyDescent="0.25">
      <c r="B10" s="19" t="s">
        <v>75</v>
      </c>
      <c r="C10" s="101">
        <v>0.1186565999999999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82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83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84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85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86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87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88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89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8.7709603999999997E-2</v>
      </c>
    </row>
    <row r="27" spans="1:8" ht="15.75" customHeight="1" x14ac:dyDescent="0.25">
      <c r="B27" s="19" t="s">
        <v>92</v>
      </c>
      <c r="C27" s="101">
        <v>8.7931239999999994E-3</v>
      </c>
    </row>
    <row r="28" spans="1:8" ht="15.75" customHeight="1" x14ac:dyDescent="0.25">
      <c r="B28" s="19" t="s">
        <v>93</v>
      </c>
      <c r="C28" s="101">
        <v>0.15523166899999999</v>
      </c>
    </row>
    <row r="29" spans="1:8" ht="15.75" customHeight="1" x14ac:dyDescent="0.25">
      <c r="B29" s="19" t="s">
        <v>94</v>
      </c>
      <c r="C29" s="101">
        <v>0.16945306099999999</v>
      </c>
    </row>
    <row r="30" spans="1:8" ht="15.75" customHeight="1" x14ac:dyDescent="0.25">
      <c r="B30" s="19" t="s">
        <v>95</v>
      </c>
      <c r="C30" s="101">
        <v>0.106213539</v>
      </c>
    </row>
    <row r="31" spans="1:8" ht="15.75" customHeight="1" x14ac:dyDescent="0.25">
      <c r="B31" s="19" t="s">
        <v>96</v>
      </c>
      <c r="C31" s="101">
        <v>0.110723503</v>
      </c>
    </row>
    <row r="32" spans="1:8" ht="15.75" customHeight="1" x14ac:dyDescent="0.25">
      <c r="B32" s="19" t="s">
        <v>97</v>
      </c>
      <c r="C32" s="101">
        <v>1.8926927999999999E-2</v>
      </c>
    </row>
    <row r="33" spans="2:3" ht="15.75" customHeight="1" x14ac:dyDescent="0.25">
      <c r="B33" s="19" t="s">
        <v>98</v>
      </c>
      <c r="C33" s="101">
        <v>8.5375593999999999E-2</v>
      </c>
    </row>
    <row r="34" spans="2:3" ht="15.75" customHeight="1" x14ac:dyDescent="0.25">
      <c r="B34" s="19" t="s">
        <v>99</v>
      </c>
      <c r="C34" s="101">
        <v>0.25757297699999998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104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105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109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110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3.7516299999999947E-2</v>
      </c>
      <c r="D5" s="52">
        <f t="shared" si="0"/>
        <v>5.977790000000005E-2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585.40492917102597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0.27259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0.63524000000000003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1.743804057060052E-2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91802.470350000003</v>
      </c>
      <c r="C22" s="109">
        <v>90363.210579999999</v>
      </c>
      <c r="D22" s="109">
        <v>89021.102700000003</v>
      </c>
      <c r="E22" s="109">
        <v>88460.205249999999</v>
      </c>
      <c r="F22" s="109">
        <v>87710.534190000006</v>
      </c>
      <c r="G22" s="109">
        <v>86787.869500000001</v>
      </c>
      <c r="H22" s="109">
        <v>85648.494890000002</v>
      </c>
      <c r="I22" s="109">
        <v>84172.283219999998</v>
      </c>
      <c r="J22" s="109">
        <v>82158.494680000003</v>
      </c>
      <c r="K22" s="109">
        <v>79465.618359999993</v>
      </c>
      <c r="L22" s="109">
        <v>75573.487370000003</v>
      </c>
      <c r="M22" s="109">
        <v>70252.41171</v>
      </c>
      <c r="N22" s="109">
        <v>62715.294309999997</v>
      </c>
      <c r="O22" s="109">
        <v>53021.462319999999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0.2139553248340432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0.21243500000000001</v>
      </c>
      <c r="C10" s="98">
        <v>0.95</v>
      </c>
      <c r="D10" s="56">
        <v>15.002033020696739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15.002033020696739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15.002033020696739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15.002033020696739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0.21243500000000001</v>
      </c>
      <c r="C14" s="98">
        <v>0.95</v>
      </c>
      <c r="D14" s="56">
        <v>15.002033020696739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15.002033020696739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0.43648940000000003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3.0533333333333301E-2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0.12774779999999999</v>
      </c>
      <c r="C19" s="98">
        <v>0.95</v>
      </c>
      <c r="D19" s="56">
        <v>6.4354675422780758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0.77252589999999999</v>
      </c>
      <c r="C23" s="98">
        <v>0.95</v>
      </c>
      <c r="D23" s="56">
        <v>4.9019061388624658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0.31826196643066001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0.21243500000000001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0.41242699999999999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0.10511330000000001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51.726402188782487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0.39950000000000002</v>
      </c>
      <c r="C31" s="98">
        <v>0.95</v>
      </c>
      <c r="D31" s="56">
        <v>118.52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0.87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0.24616806296351099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0.20496159999999999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5.0521000000000003E-3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0.41175289999999998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0.29306520000000003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3.4319999999999999</v>
      </c>
      <c r="C2" s="21">
        <f>'Baseline year population inputs'!C52</f>
        <v>3.4319999999999999</v>
      </c>
      <c r="D2" s="21">
        <f>'Baseline year population inputs'!C53</f>
        <v>7.331999999999999</v>
      </c>
      <c r="E2" s="21">
        <f>'Baseline year population inputs'!C54</f>
        <v>5.98</v>
      </c>
      <c r="F2" s="21">
        <f>'Baseline year population inputs'!C55</f>
        <v>2.2879999999999998</v>
      </c>
    </row>
    <row r="3" spans="1:6" ht="15.75" customHeight="1" x14ac:dyDescent="0.25">
      <c r="A3" s="3" t="s">
        <v>197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198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7.4880000000000002E-2</v>
      </c>
      <c r="D7" s="60">
        <f>diarrhoea_1_5mo*frac_diarrhea_severe</f>
        <v>7.4880000000000002E-2</v>
      </c>
      <c r="E7" s="60">
        <f>diarrhoea_6_11mo*frac_diarrhea_severe</f>
        <v>0.15997090909090908</v>
      </c>
      <c r="F7" s="60">
        <f>diarrhoea_12_23mo*frac_diarrhea_severe</f>
        <v>0.1304727272727273</v>
      </c>
      <c r="G7" s="60">
        <f>diarrhoea_24_59mo*frac_diarrhea_severe</f>
        <v>4.9919999999999999E-2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7.4880000000000002E-2</v>
      </c>
      <c r="D12" s="60">
        <f>diarrhoea_1_5mo*frac_diarrhea_severe</f>
        <v>7.4880000000000002E-2</v>
      </c>
      <c r="E12" s="60">
        <f>diarrhoea_6_11mo*frac_diarrhea_severe</f>
        <v>0.15997090909090908</v>
      </c>
      <c r="F12" s="60">
        <f>diarrhoea_12_23mo*frac_diarrhea_severe</f>
        <v>0.1304727272727273</v>
      </c>
      <c r="G12" s="60">
        <f>diarrhoea_24_59mo*frac_diarrhea_severe</f>
        <v>4.9919999999999999E-2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0.52107957999999999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0.22331982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0.1313646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0.124236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0.89</v>
      </c>
      <c r="D34" s="60">
        <f t="shared" si="4"/>
        <v>0.89</v>
      </c>
      <c r="E34" s="60">
        <f t="shared" si="4"/>
        <v>0.89</v>
      </c>
      <c r="F34" s="60">
        <f t="shared" si="4"/>
        <v>0.89</v>
      </c>
      <c r="G34" s="60">
        <f t="shared" si="4"/>
        <v>0.89</v>
      </c>
      <c r="H34" s="60">
        <f t="shared" si="4"/>
        <v>0.89</v>
      </c>
      <c r="I34" s="60">
        <f t="shared" si="4"/>
        <v>0.89</v>
      </c>
      <c r="J34" s="60">
        <f t="shared" si="4"/>
        <v>0.89</v>
      </c>
      <c r="K34" s="60">
        <f t="shared" si="4"/>
        <v>0.89</v>
      </c>
      <c r="L34" s="60">
        <f t="shared" si="4"/>
        <v>0.89</v>
      </c>
      <c r="M34" s="60">
        <f t="shared" si="4"/>
        <v>0.89</v>
      </c>
      <c r="N34" s="60">
        <f t="shared" si="4"/>
        <v>0.89</v>
      </c>
      <c r="O34" s="60">
        <f t="shared" si="4"/>
        <v>0.89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