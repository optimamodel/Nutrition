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3EFD902-6701-499F-B4E2-28DF0B467B1E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2" i="2" l="1"/>
  <c r="A38" i="2"/>
  <c r="A15" i="2"/>
  <c r="A23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40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<sst xmlns="http://schemas.openxmlformats.org/spreadsheetml/2006/main" count="2094" uniqueCount="341">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</sst>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5577436.96875</v>
      </c>
    </row>
    <row r="8" spans="1:3" ht="15" customHeight="1" x14ac:dyDescent="0.25">
      <c r="B8" s="5" t="s">
        <v>8</v>
      </c>
      <c r="C8" s="44">
        <v>0.44500000000000001</v>
      </c>
    </row>
    <row r="9" spans="1:3" ht="15" customHeight="1" x14ac:dyDescent="0.25">
      <c r="B9" s="5" t="s">
        <v>9</v>
      </c>
      <c r="C9" s="45">
        <v>0.89</v>
      </c>
    </row>
    <row r="10" spans="1:3" ht="15" customHeight="1" x14ac:dyDescent="0.25">
      <c r="B10" s="5" t="s">
        <v>10</v>
      </c>
      <c r="C10" s="45">
        <v>0.17105390548706101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0.13469999999999999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0.33339999999999997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0.14423394649454599</v>
      </c>
    </row>
    <row r="30" spans="1:3" ht="14.25" customHeight="1" x14ac:dyDescent="0.25">
      <c r="B30" s="25" t="s">
        <v>27</v>
      </c>
      <c r="C30" s="99">
        <v>6.1032409192973099E-2</v>
      </c>
    </row>
    <row r="31" spans="1:3" ht="14.25" customHeight="1" x14ac:dyDescent="0.25">
      <c r="B31" s="25" t="s">
        <v>28</v>
      </c>
      <c r="C31" s="99">
        <v>0.136010908276956</v>
      </c>
    </row>
    <row r="32" spans="1:3" ht="14.25" customHeight="1" x14ac:dyDescent="0.25">
      <c r="B32" s="25" t="s">
        <v>29</v>
      </c>
      <c r="C32" s="99">
        <v>0.658722736035525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33.685989999999997</v>
      </c>
    </row>
    <row r="38" spans="1:5" ht="15" customHeight="1" x14ac:dyDescent="0.25">
      <c r="B38" s="11" t="s">
        <v>34</v>
      </c>
      <c r="C38" s="43">
        <v>59.503540000000001</v>
      </c>
      <c r="D38" s="12"/>
      <c r="E38" s="13"/>
    </row>
    <row r="39" spans="1:5" ht="15" customHeight="1" x14ac:dyDescent="0.25">
      <c r="B39" s="11" t="s">
        <v>35</v>
      </c>
      <c r="C39" s="43">
        <v>115.15188000000001</v>
      </c>
      <c r="D39" s="12"/>
      <c r="E39" s="12"/>
    </row>
    <row r="40" spans="1:5" ht="15" customHeight="1" x14ac:dyDescent="0.25">
      <c r="B40" s="11" t="s">
        <v>36</v>
      </c>
      <c r="C40" s="100">
        <v>4.41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7.9196000000000006E-3</v>
      </c>
      <c r="D45" s="12"/>
    </row>
    <row r="46" spans="1:5" ht="15.75" customHeight="1" x14ac:dyDescent="0.25">
      <c r="B46" s="11" t="s">
        <v>41</v>
      </c>
      <c r="C46" s="45">
        <v>8.5095100000000007E-2</v>
      </c>
      <c r="D46" s="12"/>
    </row>
    <row r="47" spans="1:5" ht="15.75" customHeight="1" x14ac:dyDescent="0.25">
      <c r="B47" s="11" t="s">
        <v>42</v>
      </c>
      <c r="C47" s="45">
        <v>7.3469300000000001E-2</v>
      </c>
      <c r="D47" s="12"/>
      <c r="E47" s="13"/>
    </row>
    <row r="48" spans="1:5" ht="15" customHeight="1" x14ac:dyDescent="0.25">
      <c r="B48" s="11" t="s">
        <v>43</v>
      </c>
      <c r="C48" s="46">
        <v>0.83351600000000003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0.41849700000000001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1256001</v>
      </c>
      <c r="C2" s="49">
        <v>1853414.5</v>
      </c>
      <c r="D2" s="49">
        <v>2180221</v>
      </c>
      <c r="E2" s="49">
        <v>1360081</v>
      </c>
      <c r="F2" s="49">
        <v>808384.5</v>
      </c>
      <c r="G2" s="17">
        <f t="shared" ref="G2:G13" si="0">C2+D2+E2+F2</f>
        <v>6202101</v>
      </c>
      <c r="H2" s="17">
        <f t="shared" ref="H2:H13" si="1">(B2 + stillbirth*B2/(1000-stillbirth))/(1-abortion)</f>
        <v>1458552.0604209523</v>
      </c>
      <c r="I2" s="17">
        <f t="shared" ref="I2:I13" si="2">G2-H2</f>
        <v>4743548.9395790473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1296167</v>
      </c>
      <c r="C3" s="50">
        <v>1926193.5</v>
      </c>
      <c r="D3" s="50">
        <v>2278806</v>
      </c>
      <c r="E3" s="50">
        <v>1416343.5</v>
      </c>
      <c r="F3" s="50">
        <v>839715.5</v>
      </c>
      <c r="G3" s="17">
        <f t="shared" si="0"/>
        <v>6461058.5</v>
      </c>
      <c r="H3" s="17">
        <f t="shared" si="1"/>
        <v>1505195.4962612642</v>
      </c>
      <c r="I3" s="17">
        <f t="shared" si="2"/>
        <v>4955863.0037387358</v>
      </c>
    </row>
    <row r="4" spans="1:9" ht="15.75" customHeight="1" x14ac:dyDescent="0.25">
      <c r="A4" s="5">
        <f t="shared" si="3"/>
        <v>2026</v>
      </c>
      <c r="B4" s="49">
        <v>1332695</v>
      </c>
      <c r="C4" s="50">
        <v>1999352</v>
      </c>
      <c r="D4" s="50">
        <v>2379658</v>
      </c>
      <c r="E4" s="50">
        <v>1478342</v>
      </c>
      <c r="F4" s="50">
        <v>871691</v>
      </c>
      <c r="G4" s="17">
        <f t="shared" si="0"/>
        <v>6729043</v>
      </c>
      <c r="H4" s="17">
        <f t="shared" si="1"/>
        <v>1547614.2440672426</v>
      </c>
      <c r="I4" s="17">
        <f t="shared" si="2"/>
        <v>5181428.7559327576</v>
      </c>
    </row>
    <row r="5" spans="1:9" ht="15.75" customHeight="1" x14ac:dyDescent="0.25">
      <c r="A5" s="5">
        <f t="shared" si="3"/>
        <v>2027</v>
      </c>
      <c r="B5" s="49">
        <v>1371490</v>
      </c>
      <c r="C5" s="50">
        <v>2073794.5</v>
      </c>
      <c r="D5" s="50">
        <v>2483440.5</v>
      </c>
      <c r="E5" s="50">
        <v>1545163</v>
      </c>
      <c r="F5" s="50">
        <v>903685</v>
      </c>
      <c r="G5" s="17">
        <f t="shared" si="0"/>
        <v>7006083</v>
      </c>
      <c r="H5" s="17">
        <f t="shared" si="1"/>
        <v>1592665.5833448635</v>
      </c>
      <c r="I5" s="17">
        <f t="shared" si="2"/>
        <v>5413417.4166551363</v>
      </c>
    </row>
    <row r="6" spans="1:9" ht="15.75" customHeight="1" x14ac:dyDescent="0.25">
      <c r="A6" s="5">
        <f t="shared" si="3"/>
        <v>2028</v>
      </c>
      <c r="B6" s="49">
        <v>1410212</v>
      </c>
      <c r="C6" s="50">
        <v>2150014</v>
      </c>
      <c r="D6" s="50">
        <v>2590613</v>
      </c>
      <c r="E6" s="50">
        <v>1616510.5</v>
      </c>
      <c r="F6" s="50">
        <v>935721.5</v>
      </c>
      <c r="G6" s="17">
        <f t="shared" si="0"/>
        <v>7292859</v>
      </c>
      <c r="H6" s="17">
        <f t="shared" si="1"/>
        <v>1637632.1501578041</v>
      </c>
      <c r="I6" s="17">
        <f t="shared" si="2"/>
        <v>5655226.8498421963</v>
      </c>
    </row>
    <row r="7" spans="1:9" ht="15.75" customHeight="1" x14ac:dyDescent="0.25">
      <c r="A7" s="5">
        <f t="shared" si="3"/>
        <v>2029</v>
      </c>
      <c r="B7" s="49">
        <v>1450574</v>
      </c>
      <c r="C7" s="50">
        <v>2228443.5</v>
      </c>
      <c r="D7" s="50">
        <v>2701064.5</v>
      </c>
      <c r="E7" s="50">
        <v>1692417.5</v>
      </c>
      <c r="F7" s="50">
        <v>967825</v>
      </c>
      <c r="G7" s="17">
        <f t="shared" si="0"/>
        <v>7589750.5</v>
      </c>
      <c r="H7" s="17">
        <f t="shared" si="1"/>
        <v>1684503.1942594491</v>
      </c>
      <c r="I7" s="17">
        <f t="shared" si="2"/>
        <v>5905247.3057405511</v>
      </c>
    </row>
    <row r="8" spans="1:9" ht="15.75" customHeight="1" x14ac:dyDescent="0.25">
      <c r="A8" s="5">
        <f t="shared" si="3"/>
        <v>2030</v>
      </c>
      <c r="B8" s="49">
        <v>1483504</v>
      </c>
      <c r="C8" s="50">
        <v>2310834.5</v>
      </c>
      <c r="D8" s="50">
        <v>2814640.5</v>
      </c>
      <c r="E8" s="50">
        <v>1772210</v>
      </c>
      <c r="F8" s="50">
        <v>1000225.5</v>
      </c>
      <c r="G8" s="17">
        <f t="shared" si="0"/>
        <v>7897910.5</v>
      </c>
      <c r="H8" s="17">
        <f t="shared" si="1"/>
        <v>1722743.7046966716</v>
      </c>
      <c r="I8" s="17">
        <f t="shared" si="2"/>
        <v>6175166.795303328</v>
      </c>
    </row>
    <row r="9" spans="1:9" ht="15.75" customHeight="1" x14ac:dyDescent="0.25">
      <c r="A9" s="5">
        <f t="shared" si="3"/>
        <v>2031</v>
      </c>
      <c r="B9" s="49">
        <v>1522706</v>
      </c>
      <c r="C9" s="50">
        <v>2398094.5</v>
      </c>
      <c r="D9" s="50">
        <v>2930774</v>
      </c>
      <c r="E9" s="50">
        <v>1855705</v>
      </c>
      <c r="F9" s="50">
        <v>1034279.5</v>
      </c>
      <c r="G9" s="17">
        <f t="shared" si="0"/>
        <v>8218853</v>
      </c>
      <c r="H9" s="17">
        <f t="shared" si="1"/>
        <v>1768267.6794965502</v>
      </c>
      <c r="I9" s="17">
        <f t="shared" si="2"/>
        <v>6450585.32050345</v>
      </c>
    </row>
    <row r="10" spans="1:9" ht="15.75" customHeight="1" x14ac:dyDescent="0.25">
      <c r="A10" s="5">
        <f t="shared" si="3"/>
        <v>2032</v>
      </c>
      <c r="B10" s="49">
        <v>1563742</v>
      </c>
      <c r="C10" s="50">
        <v>2490434.5</v>
      </c>
      <c r="D10" s="50">
        <v>3048477.5</v>
      </c>
      <c r="E10" s="50">
        <v>1942980</v>
      </c>
      <c r="F10" s="50">
        <v>1071019</v>
      </c>
      <c r="G10" s="17">
        <f t="shared" si="0"/>
        <v>8552911</v>
      </c>
      <c r="H10" s="17">
        <f t="shared" si="1"/>
        <v>1815921.4173131874</v>
      </c>
      <c r="I10" s="17">
        <f t="shared" si="2"/>
        <v>6736989.5826868126</v>
      </c>
    </row>
    <row r="11" spans="1:9" ht="15.75" customHeight="1" x14ac:dyDescent="0.25">
      <c r="A11" s="5">
        <f t="shared" si="3"/>
        <v>2033</v>
      </c>
      <c r="B11" s="49">
        <v>1598817</v>
      </c>
      <c r="C11" s="50">
        <v>2586545</v>
      </c>
      <c r="D11" s="50">
        <v>3168346</v>
      </c>
      <c r="E11" s="50">
        <v>2033935.5</v>
      </c>
      <c r="F11" s="50">
        <v>1110883</v>
      </c>
      <c r="G11" s="17">
        <f t="shared" si="0"/>
        <v>8899709.5</v>
      </c>
      <c r="H11" s="17">
        <f t="shared" si="1"/>
        <v>1856652.8446920388</v>
      </c>
      <c r="I11" s="17">
        <f t="shared" si="2"/>
        <v>7043056.6553079616</v>
      </c>
    </row>
    <row r="12" spans="1:9" ht="15.75" customHeight="1" x14ac:dyDescent="0.25">
      <c r="A12" s="5">
        <f t="shared" si="3"/>
        <v>2034</v>
      </c>
      <c r="B12" s="49">
        <v>1639190</v>
      </c>
      <c r="C12" s="50">
        <v>2685332.5</v>
      </c>
      <c r="D12" s="50">
        <v>3290946</v>
      </c>
      <c r="E12" s="50">
        <v>2128495</v>
      </c>
      <c r="F12" s="50">
        <v>1154086</v>
      </c>
      <c r="G12" s="17">
        <f t="shared" si="0"/>
        <v>9258859.5</v>
      </c>
      <c r="H12" s="17">
        <f t="shared" si="1"/>
        <v>1903536.662726718</v>
      </c>
      <c r="I12" s="17">
        <f t="shared" si="2"/>
        <v>7355322.837273282</v>
      </c>
    </row>
    <row r="13" spans="1:9" ht="15.75" customHeight="1" x14ac:dyDescent="0.25">
      <c r="A13" s="5">
        <f t="shared" si="3"/>
        <v>2035</v>
      </c>
      <c r="B13" s="49">
        <v>1676290</v>
      </c>
      <c r="C13" s="50">
        <v>2786279.5</v>
      </c>
      <c r="D13" s="50">
        <v>3416523.5</v>
      </c>
      <c r="E13" s="50">
        <v>2226015.5</v>
      </c>
      <c r="F13" s="50">
        <v>1200998.5</v>
      </c>
      <c r="G13" s="17">
        <f t="shared" si="0"/>
        <v>9629817</v>
      </c>
      <c r="H13" s="17">
        <f t="shared" si="1"/>
        <v>1946619.655050464</v>
      </c>
      <c r="I13" s="17">
        <f t="shared" si="2"/>
        <v>7683197.344949536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4.0116400000000108E-2</v>
      </c>
    </row>
    <row r="4" spans="1:8" ht="15.75" customHeight="1" x14ac:dyDescent="0.25">
      <c r="B4" s="19" t="s">
        <v>69</v>
      </c>
      <c r="C4" s="101">
        <v>0.15844380000000011</v>
      </c>
    </row>
    <row r="5" spans="1:8" ht="15.75" customHeight="1" x14ac:dyDescent="0.25">
      <c r="B5" s="19" t="s">
        <v>70</v>
      </c>
      <c r="C5" s="101">
        <v>0.124777</v>
      </c>
    </row>
    <row r="6" spans="1:8" ht="15.75" customHeight="1" x14ac:dyDescent="0.25">
      <c r="B6" s="19" t="s">
        <v>71</v>
      </c>
      <c r="C6" s="101">
        <v>0.28140640000000011</v>
      </c>
    </row>
    <row r="7" spans="1:8" ht="15.75" customHeight="1" x14ac:dyDescent="0.25">
      <c r="B7" s="19" t="s">
        <v>72</v>
      </c>
      <c r="C7" s="101">
        <v>0.21175369999999999</v>
      </c>
    </row>
    <row r="8" spans="1:8" ht="15.75" customHeight="1" x14ac:dyDescent="0.25">
      <c r="B8" s="19" t="s">
        <v>73</v>
      </c>
      <c r="C8" s="101">
        <v>6.0052000000000074E-3</v>
      </c>
    </row>
    <row r="9" spans="1:8" ht="15.75" customHeight="1" x14ac:dyDescent="0.25">
      <c r="B9" s="19" t="s">
        <v>74</v>
      </c>
      <c r="C9" s="101">
        <v>5.8840899999999842E-2</v>
      </c>
    </row>
    <row r="10" spans="1:8" ht="15.75" customHeight="1" x14ac:dyDescent="0.25">
      <c r="B10" s="19" t="s">
        <v>75</v>
      </c>
      <c r="C10" s="101">
        <v>0.1186565999999999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82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83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84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85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86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87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88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89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8.7709603999999997E-2</v>
      </c>
    </row>
    <row r="27" spans="1:8" ht="15.75" customHeight="1" x14ac:dyDescent="0.25">
      <c r="B27" s="19" t="s">
        <v>92</v>
      </c>
      <c r="C27" s="101">
        <v>8.7931239999999994E-3</v>
      </c>
    </row>
    <row r="28" spans="1:8" ht="15.75" customHeight="1" x14ac:dyDescent="0.25">
      <c r="B28" s="19" t="s">
        <v>93</v>
      </c>
      <c r="C28" s="101">
        <v>0.15523166899999999</v>
      </c>
    </row>
    <row r="29" spans="1:8" ht="15.75" customHeight="1" x14ac:dyDescent="0.25">
      <c r="B29" s="19" t="s">
        <v>94</v>
      </c>
      <c r="C29" s="101">
        <v>0.16945306099999999</v>
      </c>
    </row>
    <row r="30" spans="1:8" ht="15.75" customHeight="1" x14ac:dyDescent="0.25">
      <c r="B30" s="19" t="s">
        <v>95</v>
      </c>
      <c r="C30" s="101">
        <v>0.106213539</v>
      </c>
    </row>
    <row r="31" spans="1:8" ht="15.75" customHeight="1" x14ac:dyDescent="0.25">
      <c r="B31" s="19" t="s">
        <v>96</v>
      </c>
      <c r="C31" s="101">
        <v>0.110723503</v>
      </c>
    </row>
    <row r="32" spans="1:8" ht="15.75" customHeight="1" x14ac:dyDescent="0.25">
      <c r="B32" s="19" t="s">
        <v>97</v>
      </c>
      <c r="C32" s="101">
        <v>1.8926927999999999E-2</v>
      </c>
    </row>
    <row r="33" spans="2:3" ht="15.75" customHeight="1" x14ac:dyDescent="0.25">
      <c r="B33" s="19" t="s">
        <v>98</v>
      </c>
      <c r="C33" s="101">
        <v>8.5375593999999999E-2</v>
      </c>
    </row>
    <row r="34" spans="2:3" ht="15.75" customHeight="1" x14ac:dyDescent="0.25">
      <c r="B34" s="19" t="s">
        <v>99</v>
      </c>
      <c r="C34" s="101">
        <v>0.25757297699999998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104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105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109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110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122</v>
      </c>
      <c r="C5" s="52">
        <v>3.7516300000000002E-2</v>
      </c>
      <c r="D5" s="52">
        <v>5.9777899999999988E-2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33.919644824858139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0.20807665038299999</v>
      </c>
      <c r="C3" s="98">
        <v>0.95</v>
      </c>
      <c r="D3" s="56">
        <v>47.342783690201649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36.416546183419882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7.0381714927296612E-2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0.21243500000000001</v>
      </c>
      <c r="C10" s="98">
        <v>0.95</v>
      </c>
      <c r="D10" s="56">
        <v>15.002033020696739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0.21243500000000001</v>
      </c>
      <c r="C11" s="98">
        <v>0.95</v>
      </c>
      <c r="D11" s="56">
        <v>15.002033020696739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0.21243500000000001</v>
      </c>
      <c r="C12" s="98">
        <v>0.95</v>
      </c>
      <c r="D12" s="56">
        <v>15.002033020696739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0.21243500000000001</v>
      </c>
      <c r="C13" s="98">
        <v>0.95</v>
      </c>
      <c r="D13" s="56">
        <v>15.002033020696739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0.21243500000000001</v>
      </c>
      <c r="C14" s="98">
        <v>0.95</v>
      </c>
      <c r="D14" s="56">
        <v>15.002033020696739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0.21243500000000001</v>
      </c>
      <c r="C15" s="98">
        <v>0.95</v>
      </c>
      <c r="D15" s="56">
        <v>15.002033020696739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0.20461341533285801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3.0533333333333301E-2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5.6049266809690003E-2</v>
      </c>
      <c r="C18" s="98">
        <v>0.95</v>
      </c>
      <c r="D18" s="56">
        <v>0.95329805118397926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0.16409660000000001</v>
      </c>
      <c r="C19" s="98">
        <v>0.95</v>
      </c>
      <c r="D19" s="56">
        <v>0.95329805118397926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0.41175289999999998</v>
      </c>
      <c r="C21" s="98">
        <v>0.95</v>
      </c>
      <c r="D21" s="56">
        <v>0.74930659609920203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25.542261036937091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4.9019061388624658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0.42472286400628001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0.21243500000000001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21.704422310390239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0.33306672519658997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58.621108559880248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0.93</v>
      </c>
      <c r="C31" s="98">
        <v>0.95</v>
      </c>
      <c r="D31" s="56">
        <v>1.146450432690806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0.37139348897646668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0.10511330000000001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0.41242699999999999</v>
      </c>
      <c r="C38" s="98">
        <v>0.95</v>
      </c>
      <c r="D38" s="56">
        <v>4.867218577273106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205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0.44500000000000001</v>
      </c>
      <c r="E2" s="60">
        <f>food_insecure</f>
        <v>0.44500000000000001</v>
      </c>
      <c r="F2" s="60">
        <f>food_insecure</f>
        <v>0.44500000000000001</v>
      </c>
      <c r="G2" s="60">
        <f>food_insecure</f>
        <v>0.44500000000000001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0.44500000000000001</v>
      </c>
      <c r="F5" s="60">
        <f>food_insecure</f>
        <v>0.44500000000000001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0.44500000000000001</v>
      </c>
      <c r="F8" s="60">
        <f>food_insecure</f>
        <v>0.44500000000000001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0.44500000000000001</v>
      </c>
      <c r="F9" s="60">
        <f>food_insecure</f>
        <v>0.44500000000000001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0.44500000000000001</v>
      </c>
      <c r="I15" s="60">
        <f>food_insecure</f>
        <v>0.44500000000000001</v>
      </c>
      <c r="J15" s="60">
        <f>food_insecure</f>
        <v>0.44500000000000001</v>
      </c>
      <c r="K15" s="60">
        <f>food_insecure</f>
        <v>0.44500000000000001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0.48364859884357425</v>
      </c>
      <c r="M25" s="60">
        <f>(1-food_insecure)*(0.49)+food_insecure*(0.7)</f>
        <v>0.58345000000000002</v>
      </c>
      <c r="N25" s="60">
        <f>(1-food_insecure)*(0.49)+food_insecure*(0.7)</f>
        <v>0.58345000000000002</v>
      </c>
      <c r="O25" s="60">
        <f>(1-food_insecure)*(0.49)+food_insecure*(0.7)</f>
        <v>0.58345000000000002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0.20727797093296041</v>
      </c>
      <c r="M26" s="60">
        <f>(1-food_insecure)*(0.21)+food_insecure*(0.3)</f>
        <v>0.25004999999999999</v>
      </c>
      <c r="N26" s="60">
        <f>(1-food_insecure)*(0.21)+food_insecure*(0.3)</f>
        <v>0.25004999999999999</v>
      </c>
      <c r="O26" s="60">
        <f>(1-food_insecure)*(0.21)+food_insecure*(0.3)</f>
        <v>0.25004999999999999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0.13801952473640433</v>
      </c>
      <c r="M27" s="60">
        <f>(1-food_insecure)*(0.3)</f>
        <v>0.16649999999999998</v>
      </c>
      <c r="N27" s="60">
        <f>(1-food_insecure)*(0.3)</f>
        <v>0.16649999999999998</v>
      </c>
      <c r="O27" s="60">
        <f>(1-food_insecure)*(0.3)</f>
        <v>0.16649999999999998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0.17105390548706101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0.89</v>
      </c>
      <c r="D34" s="60">
        <f t="shared" si="3"/>
        <v>0.89</v>
      </c>
      <c r="E34" s="60">
        <f t="shared" si="3"/>
        <v>0.89</v>
      </c>
      <c r="F34" s="60">
        <f t="shared" si="3"/>
        <v>0.89</v>
      </c>
      <c r="G34" s="60">
        <f t="shared" si="3"/>
        <v>0.89</v>
      </c>
      <c r="H34" s="60">
        <f t="shared" si="3"/>
        <v>0.89</v>
      </c>
      <c r="I34" s="60">
        <f t="shared" si="3"/>
        <v>0.89</v>
      </c>
      <c r="J34" s="60">
        <f t="shared" si="3"/>
        <v>0.89</v>
      </c>
      <c r="K34" s="60">
        <f t="shared" si="3"/>
        <v>0.89</v>
      </c>
      <c r="L34" s="60">
        <f t="shared" si="3"/>
        <v>0.89</v>
      </c>
      <c r="M34" s="60">
        <f t="shared" si="3"/>
        <v>0.89</v>
      </c>
      <c r="N34" s="60">
        <f t="shared" si="3"/>
        <v>0.89</v>
      </c>
      <c r="O34" s="60">
        <f t="shared" si="3"/>
        <v>0.89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7533177-40AA-4068-AF43-71E03A713DC5}"/>
</file>

<file path=customXml/itemProps2.xml><?xml version="1.0" encoding="utf-8"?>
<ds:datastoreItem xmlns:ds="http://schemas.openxmlformats.org/officeDocument/2006/customXml" ds:itemID="{88869457-0B0C-42C6-B652-3CFBC11EF8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2024-04-11T00:41:32Z</dcterms:modified>
</cp:coreProperties>
</file>