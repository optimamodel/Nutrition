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A757046-BEB4-44DD-8860-F32BD4923FC4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<sst xmlns="http://schemas.openxmlformats.org/spreadsheetml/2006/main" count="2159" uniqueCount="372">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</sst>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1851093</v>
      </c>
    </row>
    <row r="8" spans="1:3" ht="15" customHeight="1" x14ac:dyDescent="0.25">
      <c r="B8" s="5" t="s">
        <v>8</v>
      </c>
      <c r="C8" s="44">
        <v>0.59299999999999997</v>
      </c>
    </row>
    <row r="9" spans="1:3" ht="15" customHeight="1" x14ac:dyDescent="0.25">
      <c r="B9" s="5" t="s">
        <v>9</v>
      </c>
      <c r="C9" s="45">
        <v>2.5000000000000001E-2</v>
      </c>
    </row>
    <row r="10" spans="1:3" ht="15" customHeight="1" x14ac:dyDescent="0.25">
      <c r="B10" s="5" t="s">
        <v>10</v>
      </c>
      <c r="C10" s="45">
        <v>0.42979260000000002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0.1226</v>
      </c>
    </row>
    <row r="24" spans="1:3" ht="15" customHeight="1" x14ac:dyDescent="0.25">
      <c r="B24" s="15" t="s">
        <v>22</v>
      </c>
      <c r="C24" s="45">
        <v>0.47810000000000002</v>
      </c>
    </row>
    <row r="25" spans="1:3" ht="15" customHeight="1" x14ac:dyDescent="0.25">
      <c r="B25" s="15" t="s">
        <v>23</v>
      </c>
      <c r="C25" s="45">
        <v>0.32329999999999998</v>
      </c>
    </row>
    <row r="26" spans="1:3" ht="15" customHeight="1" x14ac:dyDescent="0.25">
      <c r="B26" s="15" t="s">
        <v>24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0.31902004302312198</v>
      </c>
    </row>
    <row r="30" spans="1:3" ht="14.25" customHeight="1" x14ac:dyDescent="0.25">
      <c r="B30" s="25" t="s">
        <v>27</v>
      </c>
      <c r="C30" s="99">
        <v>3.89276953654537E-2</v>
      </c>
    </row>
    <row r="31" spans="1:3" ht="14.25" customHeight="1" x14ac:dyDescent="0.25">
      <c r="B31" s="25" t="s">
        <v>28</v>
      </c>
      <c r="C31" s="99">
        <v>8.8909302097760101E-2</v>
      </c>
    </row>
    <row r="32" spans="1:3" ht="14.25" customHeight="1" x14ac:dyDescent="0.25">
      <c r="B32" s="25" t="s">
        <v>29</v>
      </c>
      <c r="C32" s="99">
        <v>0.55314295951366399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10.801</v>
      </c>
    </row>
    <row r="38" spans="1:5" ht="15" customHeight="1" x14ac:dyDescent="0.25">
      <c r="B38" s="11" t="s">
        <v>34</v>
      </c>
      <c r="C38" s="43">
        <v>19.559259999999998</v>
      </c>
      <c r="D38" s="12"/>
      <c r="E38" s="13"/>
    </row>
    <row r="39" spans="1:5" ht="15" customHeight="1" x14ac:dyDescent="0.25">
      <c r="B39" s="11" t="s">
        <v>35</v>
      </c>
      <c r="C39" s="43">
        <v>23.019259999999999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8.9353000000000002E-3</v>
      </c>
      <c r="D45" s="12"/>
    </row>
    <row r="46" spans="1:5" ht="15.75" customHeight="1" x14ac:dyDescent="0.25">
      <c r="B46" s="11" t="s">
        <v>41</v>
      </c>
      <c r="C46" s="45">
        <v>9.5860400000000012E-2</v>
      </c>
      <c r="D46" s="12"/>
    </row>
    <row r="47" spans="1:5" ht="15.75" customHeight="1" x14ac:dyDescent="0.25">
      <c r="B47" s="11" t="s">
        <v>42</v>
      </c>
      <c r="C47" s="45">
        <v>0.16790920000000001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2.99</v>
      </c>
      <c r="D51" s="12"/>
    </row>
    <row r="52" spans="1:4" ht="15" customHeight="1" x14ac:dyDescent="0.25">
      <c r="B52" s="11" t="s">
        <v>46</v>
      </c>
      <c r="C52" s="100">
        <v>2.99</v>
      </c>
    </row>
    <row r="53" spans="1:4" ht="15.75" customHeight="1" x14ac:dyDescent="0.25">
      <c r="B53" s="11" t="s">
        <v>47</v>
      </c>
      <c r="C53" s="100">
        <v>6.7080000000000002</v>
      </c>
    </row>
    <row r="54" spans="1:4" ht="15.75" customHeight="1" x14ac:dyDescent="0.25">
      <c r="B54" s="11" t="s">
        <v>48</v>
      </c>
      <c r="C54" s="100">
        <v>8.0079999999999991</v>
      </c>
    </row>
    <row r="55" spans="1:4" ht="15.75" customHeight="1" x14ac:dyDescent="0.25">
      <c r="B55" s="11" t="s">
        <v>49</v>
      </c>
      <c r="C55" s="100">
        <v>4.012666666666667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0.55069000000000001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0.1449437989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379512</v>
      </c>
      <c r="C2" s="49">
        <v>935128</v>
      </c>
      <c r="D2" s="49">
        <v>1771206.0000000002</v>
      </c>
      <c r="E2" s="49">
        <v>1396143.5000000002</v>
      </c>
      <c r="F2" s="49">
        <v>960161</v>
      </c>
      <c r="G2" s="17">
        <f t="shared" ref="G2:G13" si="0">C2+D2+E2+F2</f>
        <v>5062638.5</v>
      </c>
      <c r="H2" s="17">
        <f t="shared" ref="H2:H13" si="1">(B2 + stillbirth*B2/(1000-stillbirth))/(1-abortion)</f>
        <v>437093.11666406685</v>
      </c>
      <c r="I2" s="17">
        <f t="shared" ref="I2:I13" si="2">G2-H2</f>
        <v>4625545.3833359331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380110</v>
      </c>
      <c r="C3" s="50">
        <v>936564.5</v>
      </c>
      <c r="D3" s="50">
        <v>1790677.0000000002</v>
      </c>
      <c r="E3" s="50">
        <v>1439926</v>
      </c>
      <c r="F3" s="50">
        <v>996925.99999999988</v>
      </c>
      <c r="G3" s="17">
        <f t="shared" si="0"/>
        <v>5164093.5</v>
      </c>
      <c r="H3" s="17">
        <f t="shared" si="1"/>
        <v>437781.84767590609</v>
      </c>
      <c r="I3" s="17">
        <f t="shared" si="2"/>
        <v>4726311.6523240935</v>
      </c>
    </row>
    <row r="4" spans="1:9" ht="15.75" customHeight="1" x14ac:dyDescent="0.25">
      <c r="A4" s="5">
        <f t="shared" si="3"/>
        <v>2026</v>
      </c>
      <c r="B4" s="49">
        <v>380396</v>
      </c>
      <c r="C4" s="50">
        <v>940151</v>
      </c>
      <c r="D4" s="50">
        <v>1806676</v>
      </c>
      <c r="E4" s="50">
        <v>1483100</v>
      </c>
      <c r="F4" s="50">
        <v>1034217.5</v>
      </c>
      <c r="G4" s="17">
        <f t="shared" si="0"/>
        <v>5264144.5</v>
      </c>
      <c r="H4" s="17">
        <f t="shared" si="1"/>
        <v>438111.24076852476</v>
      </c>
      <c r="I4" s="17">
        <f t="shared" si="2"/>
        <v>4826033.2592314752</v>
      </c>
    </row>
    <row r="5" spans="1:9" ht="15.75" customHeight="1" x14ac:dyDescent="0.25">
      <c r="A5" s="5">
        <f t="shared" si="3"/>
        <v>2027</v>
      </c>
      <c r="B5" s="49">
        <v>379917</v>
      </c>
      <c r="C5" s="50">
        <v>945451</v>
      </c>
      <c r="D5" s="50">
        <v>1820328.5</v>
      </c>
      <c r="E5" s="50">
        <v>1523877.5</v>
      </c>
      <c r="F5" s="50">
        <v>1073030</v>
      </c>
      <c r="G5" s="17">
        <f t="shared" si="0"/>
        <v>5362687</v>
      </c>
      <c r="H5" s="17">
        <f t="shared" si="1"/>
        <v>437559.56492459337</v>
      </c>
      <c r="I5" s="17">
        <f t="shared" si="2"/>
        <v>4925127.4350754069</v>
      </c>
    </row>
    <row r="6" spans="1:9" ht="15.75" customHeight="1" x14ac:dyDescent="0.25">
      <c r="A6" s="5">
        <f t="shared" si="3"/>
        <v>2028</v>
      </c>
      <c r="B6" s="49">
        <v>379832</v>
      </c>
      <c r="C6" s="50">
        <v>951913.5</v>
      </c>
      <c r="D6" s="50">
        <v>1831287.5</v>
      </c>
      <c r="E6" s="50">
        <v>1561428.5</v>
      </c>
      <c r="F6" s="50">
        <v>1113917</v>
      </c>
      <c r="G6" s="17">
        <f t="shared" si="0"/>
        <v>5458546.5</v>
      </c>
      <c r="H6" s="17">
        <f t="shared" si="1"/>
        <v>437461.66837608779</v>
      </c>
      <c r="I6" s="17">
        <f t="shared" si="2"/>
        <v>5021084.8316239119</v>
      </c>
    </row>
    <row r="7" spans="1:9" ht="15.75" customHeight="1" x14ac:dyDescent="0.25">
      <c r="A7" s="5">
        <f t="shared" si="3"/>
        <v>2029</v>
      </c>
      <c r="B7" s="49">
        <v>380289</v>
      </c>
      <c r="C7" s="50">
        <v>959321</v>
      </c>
      <c r="D7" s="50">
        <v>1839987.9999999998</v>
      </c>
      <c r="E7" s="50">
        <v>1596152.5000000002</v>
      </c>
      <c r="F7" s="50">
        <v>1156245</v>
      </c>
      <c r="G7" s="17">
        <f t="shared" si="0"/>
        <v>5551706.5</v>
      </c>
      <c r="H7" s="17">
        <f t="shared" si="1"/>
        <v>437988.0062898178</v>
      </c>
      <c r="I7" s="17">
        <f t="shared" si="2"/>
        <v>5113718.4937101826</v>
      </c>
    </row>
    <row r="8" spans="1:9" ht="15.75" customHeight="1" x14ac:dyDescent="0.25">
      <c r="A8" s="5">
        <f t="shared" si="3"/>
        <v>2030</v>
      </c>
      <c r="B8" s="49">
        <v>380934</v>
      </c>
      <c r="C8" s="50">
        <v>967504.5</v>
      </c>
      <c r="D8" s="50">
        <v>1847443</v>
      </c>
      <c r="E8" s="50">
        <v>1629331.0000000002</v>
      </c>
      <c r="F8" s="50">
        <v>1198373</v>
      </c>
      <c r="G8" s="17">
        <f t="shared" si="0"/>
        <v>5642651.5</v>
      </c>
      <c r="H8" s="17">
        <f t="shared" si="1"/>
        <v>438730.86833436001</v>
      </c>
      <c r="I8" s="17">
        <f t="shared" si="2"/>
        <v>5203920.6316656396</v>
      </c>
    </row>
    <row r="9" spans="1:9" ht="15.75" customHeight="1" x14ac:dyDescent="0.25">
      <c r="A9" s="5">
        <f t="shared" si="3"/>
        <v>2031</v>
      </c>
      <c r="B9" s="49">
        <v>381066</v>
      </c>
      <c r="C9" s="50">
        <v>975929</v>
      </c>
      <c r="D9" s="50">
        <v>1853922</v>
      </c>
      <c r="E9" s="50">
        <v>1661827.4999999998</v>
      </c>
      <c r="F9" s="50">
        <v>1239626</v>
      </c>
      <c r="G9" s="17">
        <f t="shared" si="0"/>
        <v>5731304.5</v>
      </c>
      <c r="H9" s="17">
        <f t="shared" si="1"/>
        <v>438882.89591556869</v>
      </c>
      <c r="I9" s="17">
        <f t="shared" si="2"/>
        <v>5292421.6040844312</v>
      </c>
    </row>
    <row r="10" spans="1:9" ht="15.75" customHeight="1" x14ac:dyDescent="0.25">
      <c r="A10" s="5">
        <f t="shared" si="3"/>
        <v>2032</v>
      </c>
      <c r="B10" s="49">
        <v>381085</v>
      </c>
      <c r="C10" s="50">
        <v>982083.5</v>
      </c>
      <c r="D10" s="50">
        <v>1860906</v>
      </c>
      <c r="E10" s="50">
        <v>1692331.5</v>
      </c>
      <c r="F10" s="50">
        <v>1280559.4999999998</v>
      </c>
      <c r="G10" s="17">
        <f t="shared" si="0"/>
        <v>5815880.5</v>
      </c>
      <c r="H10" s="17">
        <f t="shared" si="1"/>
        <v>438904.7786734699</v>
      </c>
      <c r="I10" s="17">
        <f t="shared" si="2"/>
        <v>5376975.72132653</v>
      </c>
    </row>
    <row r="11" spans="1:9" ht="15.75" customHeight="1" x14ac:dyDescent="0.25">
      <c r="A11" s="5">
        <f t="shared" si="3"/>
        <v>2033</v>
      </c>
      <c r="B11" s="49">
        <v>381185</v>
      </c>
      <c r="C11" s="50">
        <v>984177.5</v>
      </c>
      <c r="D11" s="50">
        <v>1868418.0000000002</v>
      </c>
      <c r="E11" s="50">
        <v>1719353</v>
      </c>
      <c r="F11" s="50">
        <v>1321652.9999999998</v>
      </c>
      <c r="G11" s="17">
        <f t="shared" si="0"/>
        <v>5893601.5</v>
      </c>
      <c r="H11" s="17">
        <f t="shared" si="1"/>
        <v>439019.95108347648</v>
      </c>
      <c r="I11" s="17">
        <f t="shared" si="2"/>
        <v>5454581.5489165233</v>
      </c>
    </row>
    <row r="12" spans="1:9" ht="15.75" customHeight="1" x14ac:dyDescent="0.25">
      <c r="A12" s="5">
        <f t="shared" si="3"/>
        <v>2034</v>
      </c>
      <c r="B12" s="49">
        <v>380511</v>
      </c>
      <c r="C12" s="50">
        <v>980150.5</v>
      </c>
      <c r="D12" s="50">
        <v>1876258.5</v>
      </c>
      <c r="E12" s="50">
        <v>1742833</v>
      </c>
      <c r="F12" s="50">
        <v>1363764.0000000002</v>
      </c>
      <c r="G12" s="17">
        <f t="shared" si="0"/>
        <v>5963006</v>
      </c>
      <c r="H12" s="17">
        <f t="shared" si="1"/>
        <v>438243.68904003233</v>
      </c>
      <c r="I12" s="17">
        <f t="shared" si="2"/>
        <v>5524762.3109599678</v>
      </c>
    </row>
    <row r="13" spans="1:9" ht="15.75" customHeight="1" x14ac:dyDescent="0.25">
      <c r="A13" s="5">
        <f t="shared" si="3"/>
        <v>2035</v>
      </c>
      <c r="B13" s="49">
        <v>379805</v>
      </c>
      <c r="C13" s="50">
        <v>968053.5</v>
      </c>
      <c r="D13" s="50">
        <v>1886132.5000000002</v>
      </c>
      <c r="E13" s="50">
        <v>1762467</v>
      </c>
      <c r="F13" s="50">
        <v>1407083</v>
      </c>
      <c r="G13" s="17">
        <f t="shared" si="0"/>
        <v>6023736</v>
      </c>
      <c r="H13" s="17">
        <f t="shared" si="1"/>
        <v>437430.57182538608</v>
      </c>
      <c r="I13" s="17">
        <f t="shared" si="2"/>
        <v>5586305.428174614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2.3424999999999969E-3</v>
      </c>
    </row>
    <row r="4" spans="1:8" ht="15.75" customHeight="1" x14ac:dyDescent="0.25">
      <c r="B4" s="19" t="s">
        <v>69</v>
      </c>
      <c r="C4" s="101">
        <v>6.6525100000000059E-2</v>
      </c>
    </row>
    <row r="5" spans="1:8" ht="15.75" customHeight="1" x14ac:dyDescent="0.25">
      <c r="B5" s="19" t="s">
        <v>70</v>
      </c>
      <c r="C5" s="101">
        <v>3.4683200000000032E-2</v>
      </c>
    </row>
    <row r="6" spans="1:8" ht="15.75" customHeight="1" x14ac:dyDescent="0.25">
      <c r="B6" s="19" t="s">
        <v>71</v>
      </c>
      <c r="C6" s="101">
        <v>0.1965487000000001</v>
      </c>
    </row>
    <row r="7" spans="1:8" ht="15.75" customHeight="1" x14ac:dyDescent="0.25">
      <c r="B7" s="19" t="s">
        <v>72</v>
      </c>
      <c r="C7" s="101">
        <v>0.44584979999999957</v>
      </c>
    </row>
    <row r="8" spans="1:8" ht="15.75" customHeight="1" x14ac:dyDescent="0.25">
      <c r="B8" s="19" t="s">
        <v>73</v>
      </c>
      <c r="C8" s="101">
        <v>3.6609999999999979E-4</v>
      </c>
    </row>
    <row r="9" spans="1:8" ht="15.75" customHeight="1" x14ac:dyDescent="0.25">
      <c r="B9" s="19" t="s">
        <v>74</v>
      </c>
      <c r="C9" s="101">
        <v>0.17018749999999999</v>
      </c>
    </row>
    <row r="10" spans="1:8" ht="15.75" customHeight="1" x14ac:dyDescent="0.25">
      <c r="B10" s="19" t="s">
        <v>75</v>
      </c>
      <c r="C10" s="101">
        <v>8.349710000000013E-2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82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83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86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87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88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89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4.9290206000000003E-2</v>
      </c>
    </row>
    <row r="27" spans="1:8" ht="15.75" customHeight="1" x14ac:dyDescent="0.25">
      <c r="B27" s="19" t="s">
        <v>92</v>
      </c>
      <c r="C27" s="101">
        <v>2.8242382999999999E-2</v>
      </c>
    </row>
    <row r="28" spans="1:8" ht="15.75" customHeight="1" x14ac:dyDescent="0.25">
      <c r="B28" s="19" t="s">
        <v>93</v>
      </c>
      <c r="C28" s="101">
        <v>0.34948395100000001</v>
      </c>
    </row>
    <row r="29" spans="1:8" ht="15.75" customHeight="1" x14ac:dyDescent="0.25">
      <c r="B29" s="19" t="s">
        <v>94</v>
      </c>
      <c r="C29" s="101">
        <v>0.20214362399999999</v>
      </c>
    </row>
    <row r="30" spans="1:8" ht="15.75" customHeight="1" x14ac:dyDescent="0.25">
      <c r="B30" s="19" t="s">
        <v>95</v>
      </c>
      <c r="C30" s="101">
        <v>0.105324062</v>
      </c>
    </row>
    <row r="31" spans="1:8" ht="15.75" customHeight="1" x14ac:dyDescent="0.25">
      <c r="B31" s="19" t="s">
        <v>96</v>
      </c>
      <c r="C31" s="101">
        <v>5.5211837999999999E-2</v>
      </c>
    </row>
    <row r="32" spans="1:8" ht="15.75" customHeight="1" x14ac:dyDescent="0.25">
      <c r="B32" s="19" t="s">
        <v>97</v>
      </c>
      <c r="C32" s="101">
        <v>8.5237639999999996E-3</v>
      </c>
    </row>
    <row r="33" spans="2:3" ht="15.75" customHeight="1" x14ac:dyDescent="0.25">
      <c r="B33" s="19" t="s">
        <v>98</v>
      </c>
      <c r="C33" s="101">
        <v>0.16815316199999999</v>
      </c>
    </row>
    <row r="34" spans="2:3" ht="15.75" customHeight="1" x14ac:dyDescent="0.25">
      <c r="B34" s="19" t="s">
        <v>99</v>
      </c>
      <c r="C34" s="101">
        <v>3.3627008999999999E-2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104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105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109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110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3.5967099999999919E-2</v>
      </c>
      <c r="D5" s="52">
        <f t="shared" si="0"/>
        <v>5.2636899999999986E-2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5473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0.47659000000000001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0.42270000000000002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1.4975176239732619E-2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97575.427049999998</v>
      </c>
      <c r="C22" s="109">
        <v>97418.053369999994</v>
      </c>
      <c r="D22" s="109">
        <v>97217.393450000003</v>
      </c>
      <c r="E22" s="109">
        <v>96540.964479999995</v>
      </c>
      <c r="F22" s="109">
        <v>95575.929019999996</v>
      </c>
      <c r="G22" s="109">
        <v>94481.133749999994</v>
      </c>
      <c r="H22" s="109">
        <v>93369.910749999995</v>
      </c>
      <c r="I22" s="109">
        <v>91950.033089999997</v>
      </c>
      <c r="J22" s="109">
        <v>90188.068660000004</v>
      </c>
      <c r="K22" s="109">
        <v>87877.820219999994</v>
      </c>
      <c r="L22" s="109">
        <v>84424.451419999998</v>
      </c>
      <c r="M22" s="109">
        <v>79380.982839999997</v>
      </c>
      <c r="N22" s="109">
        <v>73489.285189999995</v>
      </c>
      <c r="O22" s="109">
        <v>64752.964059999998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0.44994896638918952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1.516970800969268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0.2933268</v>
      </c>
      <c r="C10" s="98">
        <v>0.95</v>
      </c>
      <c r="D10" s="56">
        <v>13.01281925603921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13.01281925603921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13.01281925603921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13.01281925603921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0.2933268</v>
      </c>
      <c r="C14" s="98">
        <v>0.95</v>
      </c>
      <c r="D14" s="56">
        <v>13.01281925603921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13.01281925603921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5.8835597567123799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0.35743333333333299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0.59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0.51996969999999998</v>
      </c>
      <c r="C19" s="98">
        <v>0.95</v>
      </c>
      <c r="D19" s="56">
        <v>9.5596491969757462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4.2797375448782464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0.46481329675995198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0.48848520000000001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0.59367320000000001</v>
      </c>
      <c r="C29" s="98">
        <v>0.95</v>
      </c>
      <c r="D29" s="56">
        <v>206.81375092158379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124.66848615801089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1.3899999999999999E-2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0.26</v>
      </c>
      <c r="C32" s="98">
        <v>0.95</v>
      </c>
      <c r="D32" s="56">
        <v>3.86952529898804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0.76766420000000002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5.8038399999999997E-2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4.2000000000000003E-2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0.77731530000000004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0.01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2.99</v>
      </c>
      <c r="C2" s="21">
        <f>'Baseline year population inputs'!C52</f>
        <v>2.99</v>
      </c>
      <c r="D2" s="21">
        <f>'Baseline year population inputs'!C53</f>
        <v>6.7080000000000002</v>
      </c>
      <c r="E2" s="21">
        <f>'Baseline year population inputs'!C54</f>
        <v>8.0079999999999991</v>
      </c>
      <c r="F2" s="21">
        <f>'Baseline year population inputs'!C55</f>
        <v>4.012666666666667</v>
      </c>
    </row>
    <row r="3" spans="1:6" ht="15.75" customHeight="1" x14ac:dyDescent="0.25">
      <c r="A3" s="3" t="s">
        <v>197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198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0.59299999999999997</v>
      </c>
      <c r="F2" s="60">
        <f>food_insecure</f>
        <v>0.59299999999999997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0.59299999999999997</v>
      </c>
      <c r="F5" s="60">
        <f>food_insecure</f>
        <v>0.59299999999999997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5.7931250000000004E-2</v>
      </c>
      <c r="D7" s="60">
        <f>diarrhoea_1_5mo*frac_diarrhea_severe</f>
        <v>5.7931250000000004E-2</v>
      </c>
      <c r="E7" s="60">
        <f>diarrhoea_6_11mo*frac_diarrhea_severe</f>
        <v>0.12996750000000001</v>
      </c>
      <c r="F7" s="60">
        <f>diarrhoea_12_23mo*frac_diarrhea_severe</f>
        <v>0.15515499999999999</v>
      </c>
      <c r="G7" s="60">
        <f>diarrhoea_24_59mo*frac_diarrhea_severe</f>
        <v>7.7745416666666678E-2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0.59299999999999997</v>
      </c>
      <c r="F8" s="60">
        <f>food_insecure</f>
        <v>0.59299999999999997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0.59299999999999997</v>
      </c>
      <c r="F9" s="60">
        <f>food_insecure</f>
        <v>0.59299999999999997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5.7931250000000004E-2</v>
      </c>
      <c r="D12" s="60">
        <f>diarrhoea_1_5mo*frac_diarrhea_severe</f>
        <v>5.7931250000000004E-2</v>
      </c>
      <c r="E12" s="60">
        <f>diarrhoea_6_11mo*frac_diarrhea_severe</f>
        <v>0.12996750000000001</v>
      </c>
      <c r="F12" s="60">
        <f>diarrhoea_12_23mo*frac_diarrhea_severe</f>
        <v>0.15515499999999999</v>
      </c>
      <c r="G12" s="60">
        <f>diarrhoea_24_59mo*frac_diarrhea_severe</f>
        <v>7.7745416666666678E-2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0.59299999999999997</v>
      </c>
      <c r="I15" s="60">
        <f t="shared" si="0"/>
        <v>0.59299999999999997</v>
      </c>
      <c r="J15" s="60">
        <f t="shared" si="0"/>
        <v>0.59299999999999997</v>
      </c>
      <c r="K15" s="60">
        <f t="shared" si="0"/>
        <v>0.59299999999999997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0.59299999999999997</v>
      </c>
      <c r="I16" s="60">
        <f t="shared" si="0"/>
        <v>0.59299999999999997</v>
      </c>
      <c r="J16" s="60">
        <f t="shared" si="0"/>
        <v>0.59299999999999997</v>
      </c>
      <c r="K16" s="60">
        <f t="shared" si="0"/>
        <v>0.59299999999999997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0.13900000000000001</v>
      </c>
      <c r="M24" s="60">
        <f>famplan_unmet_need</f>
        <v>0.13900000000000001</v>
      </c>
      <c r="N24" s="60">
        <f>famplan_unmet_need</f>
        <v>0.13900000000000001</v>
      </c>
      <c r="O24" s="60">
        <f>famplan_unmet_need</f>
        <v>0.13900000000000001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0.35040955352199993</v>
      </c>
      <c r="M25" s="60">
        <f>(1-food_insecure)*(0.49)+food_insecure*(0.7)</f>
        <v>0.61453000000000002</v>
      </c>
      <c r="N25" s="60">
        <f>(1-food_insecure)*(0.49)+food_insecure*(0.7)</f>
        <v>0.61453000000000002</v>
      </c>
      <c r="O25" s="60">
        <f>(1-food_insecure)*(0.49)+food_insecure*(0.7)</f>
        <v>0.61453000000000002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0.15017552293799996</v>
      </c>
      <c r="M26" s="60">
        <f>(1-food_insecure)*(0.21)+food_insecure*(0.3)</f>
        <v>0.26336999999999999</v>
      </c>
      <c r="N26" s="60">
        <f>(1-food_insecure)*(0.21)+food_insecure*(0.3)</f>
        <v>0.26336999999999999</v>
      </c>
      <c r="O26" s="60">
        <f>(1-food_insecure)*(0.21)+food_insecure*(0.3)</f>
        <v>0.26336999999999999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6.9622323539999989E-2</v>
      </c>
      <c r="M27" s="60">
        <f>(1-food_insecure)*(0.3)</f>
        <v>0.1221</v>
      </c>
      <c r="N27" s="60">
        <f>(1-food_insecure)*(0.3)</f>
        <v>0.1221</v>
      </c>
      <c r="O27" s="60">
        <f>(1-food_insecure)*(0.3)</f>
        <v>0.1221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0.42979259999999997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2.5000000000000001E-2</v>
      </c>
      <c r="D34" s="60">
        <f t="shared" si="4"/>
        <v>2.5000000000000001E-2</v>
      </c>
      <c r="E34" s="60">
        <f t="shared" si="4"/>
        <v>2.5000000000000001E-2</v>
      </c>
      <c r="F34" s="60">
        <f t="shared" si="4"/>
        <v>2.5000000000000001E-2</v>
      </c>
      <c r="G34" s="60">
        <f t="shared" si="4"/>
        <v>2.5000000000000001E-2</v>
      </c>
      <c r="H34" s="60">
        <f t="shared" si="4"/>
        <v>2.5000000000000001E-2</v>
      </c>
      <c r="I34" s="60">
        <f t="shared" si="4"/>
        <v>2.5000000000000001E-2</v>
      </c>
      <c r="J34" s="60">
        <f t="shared" si="4"/>
        <v>2.5000000000000001E-2</v>
      </c>
      <c r="K34" s="60">
        <f t="shared" si="4"/>
        <v>2.5000000000000001E-2</v>
      </c>
      <c r="L34" s="60">
        <f t="shared" si="4"/>
        <v>2.5000000000000001E-2</v>
      </c>
      <c r="M34" s="60">
        <f t="shared" si="4"/>
        <v>2.5000000000000001E-2</v>
      </c>
      <c r="N34" s="60">
        <f t="shared" si="4"/>
        <v>2.5000000000000001E-2</v>
      </c>
      <c r="O34" s="60">
        <f t="shared" si="4"/>
        <v>2.5000000000000001E-2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