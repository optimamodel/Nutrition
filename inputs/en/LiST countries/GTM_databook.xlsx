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7D7425CB-C5A2-44B7-904E-F2BF1C6BFF6F}" xr6:coauthVersionLast="47" xr6:coauthVersionMax="47" xr10:uidLastSave="{00000000-0000-0000-0000-000000000000}"/>
  <bookViews>
    <workbookView xWindow="0" yWindow="3670" windowWidth="19200" windowHeight="6530" tabRatio="961" firstSheet="6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<sst xmlns="http://schemas.openxmlformats.org/spreadsheetml/2006/main" count="2102" uniqueCount="341">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</sst>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1825228.90625</v>
      </c>
    </row>
    <row r="8" spans="1:3" ht="15" customHeight="1" x14ac:dyDescent="0.25">
      <c r="B8" s="5" t="s">
        <v>8</v>
      </c>
      <c r="C8" s="44">
        <v>8.6999999999999994E-2</v>
      </c>
    </row>
    <row r="9" spans="1:3" ht="15" customHeight="1" x14ac:dyDescent="0.25">
      <c r="B9" s="5" t="s">
        <v>9</v>
      </c>
      <c r="C9" s="45">
        <v>2.5000000000000001E-2</v>
      </c>
    </row>
    <row r="10" spans="1:3" ht="15" customHeight="1" x14ac:dyDescent="0.25">
      <c r="B10" s="5" t="s">
        <v>10</v>
      </c>
      <c r="C10" s="45">
        <v>0.42616619110107401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0.34399999999999997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0.1226</v>
      </c>
    </row>
    <row r="24" spans="1:3" ht="15" customHeight="1" x14ac:dyDescent="0.25">
      <c r="B24" s="15" t="s">
        <v>22</v>
      </c>
      <c r="C24" s="45">
        <v>0.47810000000000002</v>
      </c>
    </row>
    <row r="25" spans="1:3" ht="15" customHeight="1" x14ac:dyDescent="0.25">
      <c r="B25" s="15" t="s">
        <v>23</v>
      </c>
      <c r="C25" s="45">
        <v>0.32329999999999998</v>
      </c>
    </row>
    <row r="26" spans="1:3" ht="15" customHeight="1" x14ac:dyDescent="0.25">
      <c r="B26" s="15" t="s">
        <v>24</v>
      </c>
      <c r="C26" s="45">
        <v>7.5999999999999998E-2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0.31902004302312198</v>
      </c>
    </row>
    <row r="30" spans="1:3" ht="14.25" customHeight="1" x14ac:dyDescent="0.25">
      <c r="B30" s="25" t="s">
        <v>27</v>
      </c>
      <c r="C30" s="99">
        <v>3.89276953654537E-2</v>
      </c>
    </row>
    <row r="31" spans="1:3" ht="14.25" customHeight="1" x14ac:dyDescent="0.25">
      <c r="B31" s="25" t="s">
        <v>28</v>
      </c>
      <c r="C31" s="99">
        <v>8.8909302097760101E-2</v>
      </c>
    </row>
    <row r="32" spans="1:3" ht="14.25" customHeight="1" x14ac:dyDescent="0.25">
      <c r="B32" s="25" t="s">
        <v>29</v>
      </c>
      <c r="C32" s="99">
        <v>0.55314295951366399</v>
      </c>
    </row>
    <row r="33" spans="1:5" ht="13" customHeight="1" x14ac:dyDescent="0.25">
      <c r="B33" s="27" t="s">
        <v>30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10.801</v>
      </c>
    </row>
    <row r="38" spans="1:5" ht="15" customHeight="1" x14ac:dyDescent="0.25">
      <c r="B38" s="11" t="s">
        <v>34</v>
      </c>
      <c r="C38" s="43">
        <v>19.559259999999998</v>
      </c>
      <c r="D38" s="12"/>
      <c r="E38" s="13"/>
    </row>
    <row r="39" spans="1:5" ht="15" customHeight="1" x14ac:dyDescent="0.25">
      <c r="B39" s="11" t="s">
        <v>35</v>
      </c>
      <c r="C39" s="43">
        <v>23.019259999999999</v>
      </c>
      <c r="D39" s="12"/>
      <c r="E39" s="12"/>
    </row>
    <row r="40" spans="1:5" ht="15" customHeight="1" x14ac:dyDescent="0.25">
      <c r="B40" s="11" t="s">
        <v>36</v>
      </c>
      <c r="C40" s="100">
        <v>0.96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13.336930000000001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8.9353000000000002E-3</v>
      </c>
      <c r="D45" s="12"/>
    </row>
    <row r="46" spans="1:5" ht="15.75" customHeight="1" x14ac:dyDescent="0.25">
      <c r="B46" s="11" t="s">
        <v>41</v>
      </c>
      <c r="C46" s="45">
        <v>9.5860400000000012E-2</v>
      </c>
      <c r="D46" s="12"/>
    </row>
    <row r="47" spans="1:5" ht="15.75" customHeight="1" x14ac:dyDescent="0.25">
      <c r="B47" s="11" t="s">
        <v>42</v>
      </c>
      <c r="C47" s="45">
        <v>0.16790920000000001</v>
      </c>
      <c r="D47" s="12"/>
      <c r="E47" s="13"/>
    </row>
    <row r="48" spans="1:5" ht="15" customHeight="1" x14ac:dyDescent="0.25">
      <c r="B48" s="11" t="s">
        <v>43</v>
      </c>
      <c r="C48" s="46">
        <v>0.72729510000000008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3.2</v>
      </c>
      <c r="D51" s="12"/>
    </row>
    <row r="52" spans="1:4" ht="15" customHeight="1" x14ac:dyDescent="0.25">
      <c r="B52" s="11" t="s">
        <v>46</v>
      </c>
      <c r="C52" s="100">
        <v>3.2</v>
      </c>
    </row>
    <row r="53" spans="1:4" ht="15.75" customHeight="1" x14ac:dyDescent="0.25">
      <c r="B53" s="11" t="s">
        <v>47</v>
      </c>
      <c r="C53" s="100">
        <v>3.2</v>
      </c>
    </row>
    <row r="54" spans="1:4" ht="15.75" customHeight="1" x14ac:dyDescent="0.25">
      <c r="B54" s="11" t="s">
        <v>48</v>
      </c>
      <c r="C54" s="100">
        <v>3.2</v>
      </c>
    </row>
    <row r="55" spans="1:4" ht="15.75" customHeight="1" x14ac:dyDescent="0.25">
      <c r="B55" s="11" t="s">
        <v>49</v>
      </c>
      <c r="C55" s="100">
        <v>3.2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1.9375E-2</v>
      </c>
    </row>
    <row r="59" spans="1:4" ht="15.75" customHeight="1" x14ac:dyDescent="0.25">
      <c r="B59" s="11" t="s">
        <v>52</v>
      </c>
      <c r="C59" s="45">
        <v>0.55069000000000001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0.10957712999999999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375341</v>
      </c>
      <c r="C2" s="49">
        <v>1117741</v>
      </c>
      <c r="D2" s="49">
        <v>1766958</v>
      </c>
      <c r="E2" s="49">
        <v>1388712</v>
      </c>
      <c r="F2" s="49">
        <v>863335.5</v>
      </c>
      <c r="G2" s="17">
        <f t="shared" ref="G2:G13" si="0">C2+D2+E2+F2</f>
        <v>5136746.5</v>
      </c>
      <c r="H2" s="17">
        <f t="shared" ref="H2:H13" si="1">(B2 + stillbirth*B2/(1000-stillbirth))/(1-abortion)</f>
        <v>432289.27544269356</v>
      </c>
      <c r="I2" s="17">
        <f t="shared" ref="I2:I13" si="2">G2-H2</f>
        <v>4704457.2245573066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375208</v>
      </c>
      <c r="C3" s="50">
        <v>1120396</v>
      </c>
      <c r="D3" s="50">
        <v>1786123</v>
      </c>
      <c r="E3" s="50">
        <v>1431013.5</v>
      </c>
      <c r="F3" s="50">
        <v>895680</v>
      </c>
      <c r="G3" s="17">
        <f t="shared" si="0"/>
        <v>5233212.5</v>
      </c>
      <c r="H3" s="17">
        <f t="shared" si="1"/>
        <v>432136.09613738483</v>
      </c>
      <c r="I3" s="17">
        <f t="shared" si="2"/>
        <v>4801076.4038626151</v>
      </c>
    </row>
    <row r="4" spans="1:9" ht="15.75" customHeight="1" x14ac:dyDescent="0.25">
      <c r="A4" s="5">
        <f t="shared" si="3"/>
        <v>2026</v>
      </c>
      <c r="B4" s="49">
        <v>377122</v>
      </c>
      <c r="C4" s="50">
        <v>1125589</v>
      </c>
      <c r="D4" s="50">
        <v>1801425</v>
      </c>
      <c r="E4" s="50">
        <v>1473086.5</v>
      </c>
      <c r="F4" s="50">
        <v>926890</v>
      </c>
      <c r="G4" s="17">
        <f t="shared" si="0"/>
        <v>5326990.5</v>
      </c>
      <c r="H4" s="17">
        <f t="shared" si="1"/>
        <v>434340.49606491026</v>
      </c>
      <c r="I4" s="17">
        <f t="shared" si="2"/>
        <v>4892650.0039350893</v>
      </c>
    </row>
    <row r="5" spans="1:9" ht="15.75" customHeight="1" x14ac:dyDescent="0.25">
      <c r="A5" s="5">
        <f t="shared" si="3"/>
        <v>2027</v>
      </c>
      <c r="B5" s="49">
        <v>375439</v>
      </c>
      <c r="C5" s="50">
        <v>1131156</v>
      </c>
      <c r="D5" s="50">
        <v>1814341</v>
      </c>
      <c r="E5" s="50">
        <v>1513193</v>
      </c>
      <c r="F5" s="50">
        <v>957919</v>
      </c>
      <c r="G5" s="17">
        <f t="shared" si="0"/>
        <v>5416609</v>
      </c>
      <c r="H5" s="17">
        <f t="shared" si="1"/>
        <v>432402.14440449997</v>
      </c>
      <c r="I5" s="17">
        <f t="shared" si="2"/>
        <v>4984206.8555955002</v>
      </c>
    </row>
    <row r="6" spans="1:9" ht="15.75" customHeight="1" x14ac:dyDescent="0.25">
      <c r="A6" s="5">
        <f t="shared" si="3"/>
        <v>2028</v>
      </c>
      <c r="B6" s="49">
        <v>375207</v>
      </c>
      <c r="C6" s="50">
        <v>1137287.5</v>
      </c>
      <c r="D6" s="50">
        <v>1824317.5</v>
      </c>
      <c r="E6" s="50">
        <v>1550877</v>
      </c>
      <c r="F6" s="50">
        <v>990135.5</v>
      </c>
      <c r="G6" s="17">
        <f t="shared" si="0"/>
        <v>5502617.5</v>
      </c>
      <c r="H6" s="17">
        <f t="shared" si="1"/>
        <v>432134.94441328477</v>
      </c>
      <c r="I6" s="17">
        <f t="shared" si="2"/>
        <v>5070482.5555867152</v>
      </c>
    </row>
    <row r="7" spans="1:9" ht="15.75" customHeight="1" x14ac:dyDescent="0.25">
      <c r="A7" s="5">
        <f t="shared" si="3"/>
        <v>2029</v>
      </c>
      <c r="B7" s="49">
        <v>376214</v>
      </c>
      <c r="C7" s="50">
        <v>1145409</v>
      </c>
      <c r="D7" s="50">
        <v>1831975.5</v>
      </c>
      <c r="E7" s="50">
        <v>1585612</v>
      </c>
      <c r="F7" s="50">
        <v>1024342.5</v>
      </c>
      <c r="G7" s="17">
        <f t="shared" si="0"/>
        <v>5587339</v>
      </c>
      <c r="H7" s="17">
        <f t="shared" si="1"/>
        <v>433294.7305820508</v>
      </c>
      <c r="I7" s="17">
        <f t="shared" si="2"/>
        <v>5154044.269417949</v>
      </c>
    </row>
    <row r="8" spans="1:9" ht="15.75" customHeight="1" x14ac:dyDescent="0.25">
      <c r="A8" s="5">
        <f t="shared" si="3"/>
        <v>2030</v>
      </c>
      <c r="B8" s="49">
        <v>375783</v>
      </c>
      <c r="C8" s="50">
        <v>1154283.5</v>
      </c>
      <c r="D8" s="50">
        <v>1838305</v>
      </c>
      <c r="E8" s="50">
        <v>1618821</v>
      </c>
      <c r="F8" s="50">
        <v>1059793</v>
      </c>
      <c r="G8" s="17">
        <f t="shared" si="0"/>
        <v>5671202.5</v>
      </c>
      <c r="H8" s="17">
        <f t="shared" si="1"/>
        <v>432798.33749492251</v>
      </c>
      <c r="I8" s="17">
        <f t="shared" si="2"/>
        <v>5238404.1625050772</v>
      </c>
    </row>
    <row r="9" spans="1:9" ht="15.75" customHeight="1" x14ac:dyDescent="0.25">
      <c r="A9" s="5">
        <f t="shared" si="3"/>
        <v>2031</v>
      </c>
      <c r="B9" s="49">
        <v>376184</v>
      </c>
      <c r="C9" s="50">
        <v>1161271</v>
      </c>
      <c r="D9" s="50">
        <v>1842568.5</v>
      </c>
      <c r="E9" s="50">
        <v>1652413.5</v>
      </c>
      <c r="F9" s="50">
        <v>1095113</v>
      </c>
      <c r="G9" s="17">
        <f t="shared" si="0"/>
        <v>5751366</v>
      </c>
      <c r="H9" s="17">
        <f t="shared" si="1"/>
        <v>433260.17885904881</v>
      </c>
      <c r="I9" s="17">
        <f t="shared" si="2"/>
        <v>5318105.8211409515</v>
      </c>
    </row>
    <row r="10" spans="1:9" ht="15.75" customHeight="1" x14ac:dyDescent="0.25">
      <c r="A10" s="5">
        <f t="shared" si="3"/>
        <v>2032</v>
      </c>
      <c r="B10" s="49">
        <v>376343</v>
      </c>
      <c r="C10" s="50">
        <v>1163538</v>
      </c>
      <c r="D10" s="50">
        <v>1846756</v>
      </c>
      <c r="E10" s="50">
        <v>1684216.5</v>
      </c>
      <c r="F10" s="50">
        <v>1130016.5</v>
      </c>
      <c r="G10" s="17">
        <f t="shared" si="0"/>
        <v>5824527</v>
      </c>
      <c r="H10" s="17">
        <f t="shared" si="1"/>
        <v>433443.30299095926</v>
      </c>
      <c r="I10" s="17">
        <f t="shared" si="2"/>
        <v>5391083.697009041</v>
      </c>
    </row>
    <row r="11" spans="1:9" ht="15.75" customHeight="1" x14ac:dyDescent="0.25">
      <c r="A11" s="5">
        <f t="shared" si="3"/>
        <v>2033</v>
      </c>
      <c r="B11" s="49">
        <v>375033</v>
      </c>
      <c r="C11" s="50">
        <v>1160491</v>
      </c>
      <c r="D11" s="50">
        <v>1851820</v>
      </c>
      <c r="E11" s="50">
        <v>1712014</v>
      </c>
      <c r="F11" s="50">
        <v>1164926</v>
      </c>
      <c r="G11" s="17">
        <f t="shared" si="0"/>
        <v>5889251</v>
      </c>
      <c r="H11" s="17">
        <f t="shared" si="1"/>
        <v>431934.54441987333</v>
      </c>
      <c r="I11" s="17">
        <f t="shared" si="2"/>
        <v>5457316.4555801265</v>
      </c>
    </row>
    <row r="12" spans="1:9" ht="15.75" customHeight="1" x14ac:dyDescent="0.25">
      <c r="A12" s="5">
        <f t="shared" si="3"/>
        <v>2034</v>
      </c>
      <c r="B12" s="49">
        <v>375811</v>
      </c>
      <c r="C12" s="50">
        <v>1151083.5</v>
      </c>
      <c r="D12" s="50">
        <v>1857840</v>
      </c>
      <c r="E12" s="50">
        <v>1735631</v>
      </c>
      <c r="F12" s="50">
        <v>1200927.5</v>
      </c>
      <c r="G12" s="17">
        <f t="shared" si="0"/>
        <v>5945482</v>
      </c>
      <c r="H12" s="17">
        <f t="shared" si="1"/>
        <v>432830.58576972439</v>
      </c>
      <c r="I12" s="17">
        <f t="shared" si="2"/>
        <v>5512651.4142302759</v>
      </c>
    </row>
    <row r="13" spans="1:9" ht="15.75" customHeight="1" x14ac:dyDescent="0.25">
      <c r="A13" s="5">
        <f t="shared" si="3"/>
        <v>2035</v>
      </c>
      <c r="B13" s="49">
        <v>374314</v>
      </c>
      <c r="C13" s="50">
        <v>1135336.5</v>
      </c>
      <c r="D13" s="50">
        <v>1866295.5</v>
      </c>
      <c r="E13" s="50">
        <v>1754842.5</v>
      </c>
      <c r="F13" s="50">
        <v>1238824</v>
      </c>
      <c r="G13" s="17">
        <f t="shared" si="0"/>
        <v>5995298.5</v>
      </c>
      <c r="H13" s="17">
        <f t="shared" si="1"/>
        <v>431106.45479192625</v>
      </c>
      <c r="I13" s="17">
        <f t="shared" si="2"/>
        <v>5564192.0452080742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2.3424999999999969E-3</v>
      </c>
    </row>
    <row r="4" spans="1:8" ht="15.75" customHeight="1" x14ac:dyDescent="0.25">
      <c r="B4" s="19" t="s">
        <v>69</v>
      </c>
      <c r="C4" s="101">
        <v>6.6525100000000059E-2</v>
      </c>
    </row>
    <row r="5" spans="1:8" ht="15.75" customHeight="1" x14ac:dyDescent="0.25">
      <c r="B5" s="19" t="s">
        <v>70</v>
      </c>
      <c r="C5" s="101">
        <v>3.4683200000000032E-2</v>
      </c>
    </row>
    <row r="6" spans="1:8" ht="15.75" customHeight="1" x14ac:dyDescent="0.25">
      <c r="B6" s="19" t="s">
        <v>71</v>
      </c>
      <c r="C6" s="101">
        <v>0.1965487000000001</v>
      </c>
    </row>
    <row r="7" spans="1:8" ht="15.75" customHeight="1" x14ac:dyDescent="0.25">
      <c r="B7" s="19" t="s">
        <v>72</v>
      </c>
      <c r="C7" s="101">
        <v>0.44584979999999957</v>
      </c>
    </row>
    <row r="8" spans="1:8" ht="15.75" customHeight="1" x14ac:dyDescent="0.25">
      <c r="B8" s="19" t="s">
        <v>73</v>
      </c>
      <c r="C8" s="101">
        <v>3.6609999999999979E-4</v>
      </c>
    </row>
    <row r="9" spans="1:8" ht="15.75" customHeight="1" x14ac:dyDescent="0.25">
      <c r="B9" s="19" t="s">
        <v>74</v>
      </c>
      <c r="C9" s="101">
        <v>0.17018749999999999</v>
      </c>
    </row>
    <row r="10" spans="1:8" ht="15.75" customHeight="1" x14ac:dyDescent="0.25">
      <c r="B10" s="19" t="s">
        <v>75</v>
      </c>
      <c r="C10" s="101">
        <v>8.349710000000013E-2</v>
      </c>
    </row>
    <row r="11" spans="1:8" ht="15.75" customHeight="1" x14ac:dyDescent="0.25">
      <c r="B11" s="27" t="s">
        <v>30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0.32204468469638381</v>
      </c>
      <c r="D14" s="55">
        <v>0.32204468469638381</v>
      </c>
      <c r="E14" s="55">
        <v>0.32204468469638381</v>
      </c>
      <c r="F14" s="55">
        <v>0.32204468469638381</v>
      </c>
    </row>
    <row r="15" spans="1:8" ht="15.75" customHeight="1" x14ac:dyDescent="0.25">
      <c r="B15" s="19" t="s">
        <v>82</v>
      </c>
      <c r="C15" s="101">
        <v>0.3757329104636849</v>
      </c>
      <c r="D15" s="101">
        <v>0.3757329104636849</v>
      </c>
      <c r="E15" s="101">
        <v>0.3757329104636849</v>
      </c>
      <c r="F15" s="101">
        <v>0.3757329104636849</v>
      </c>
    </row>
    <row r="16" spans="1:8" ht="15.75" customHeight="1" x14ac:dyDescent="0.25">
      <c r="B16" s="19" t="s">
        <v>83</v>
      </c>
      <c r="C16" s="101">
        <v>8.3301158821975311E-3</v>
      </c>
      <c r="D16" s="101">
        <v>8.3301158821975311E-3</v>
      </c>
      <c r="E16" s="101">
        <v>8.3301158821975311E-3</v>
      </c>
      <c r="F16" s="101">
        <v>8.3301158821975311E-3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2.6718060387780372E-4</v>
      </c>
      <c r="D18" s="101">
        <v>2.6718060387780372E-4</v>
      </c>
      <c r="E18" s="101">
        <v>2.6718060387780372E-4</v>
      </c>
      <c r="F18" s="101">
        <v>2.6718060387780372E-4</v>
      </c>
    </row>
    <row r="19" spans="1:8" ht="15.75" customHeight="1" x14ac:dyDescent="0.25">
      <c r="B19" s="19" t="s">
        <v>86</v>
      </c>
      <c r="C19" s="101">
        <v>1.0574113139588261E-2</v>
      </c>
      <c r="D19" s="101">
        <v>1.0574113139588261E-2</v>
      </c>
      <c r="E19" s="101">
        <v>1.0574113139588261E-2</v>
      </c>
      <c r="F19" s="101">
        <v>1.0574113139588261E-2</v>
      </c>
    </row>
    <row r="20" spans="1:8" ht="15.75" customHeight="1" x14ac:dyDescent="0.25">
      <c r="B20" s="19" t="s">
        <v>87</v>
      </c>
      <c r="C20" s="101">
        <v>3.9243099520798568E-2</v>
      </c>
      <c r="D20" s="101">
        <v>3.9243099520798568E-2</v>
      </c>
      <c r="E20" s="101">
        <v>3.9243099520798568E-2</v>
      </c>
      <c r="F20" s="101">
        <v>3.9243099520798568E-2</v>
      </c>
    </row>
    <row r="21" spans="1:8" ht="15.75" customHeight="1" x14ac:dyDescent="0.25">
      <c r="B21" s="19" t="s">
        <v>88</v>
      </c>
      <c r="C21" s="101">
        <v>0.1172818518600829</v>
      </c>
      <c r="D21" s="101">
        <v>0.1172818518600829</v>
      </c>
      <c r="E21" s="101">
        <v>0.1172818518600829</v>
      </c>
      <c r="F21" s="101">
        <v>0.1172818518600829</v>
      </c>
    </row>
    <row r="22" spans="1:8" ht="15.75" customHeight="1" x14ac:dyDescent="0.25">
      <c r="B22" s="19" t="s">
        <v>89</v>
      </c>
      <c r="C22" s="101">
        <v>0.12652604383338609</v>
      </c>
      <c r="D22" s="101">
        <v>0.12652604383338609</v>
      </c>
      <c r="E22" s="101">
        <v>0.12652604383338609</v>
      </c>
      <c r="F22" s="101">
        <v>0.12652604383338609</v>
      </c>
    </row>
    <row r="23" spans="1:8" ht="15.75" customHeight="1" x14ac:dyDescent="0.25">
      <c r="B23" s="27" t="s">
        <v>30</v>
      </c>
      <c r="C23" s="48">
        <f>SUM(C14:C22)</f>
        <v>0.99999999999999967</v>
      </c>
      <c r="D23" s="48">
        <f>SUM(D14:D22)</f>
        <v>0.99999999999999967</v>
      </c>
      <c r="E23" s="48">
        <f>SUM(E14:E22)</f>
        <v>0.99999999999999967</v>
      </c>
      <c r="F23" s="48">
        <f>SUM(F14:F22)</f>
        <v>0.99999999999999967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4.9290206000000003E-2</v>
      </c>
    </row>
    <row r="27" spans="1:8" ht="15.75" customHeight="1" x14ac:dyDescent="0.25">
      <c r="B27" s="19" t="s">
        <v>92</v>
      </c>
      <c r="C27" s="101">
        <v>2.8242382999999999E-2</v>
      </c>
    </row>
    <row r="28" spans="1:8" ht="15.75" customHeight="1" x14ac:dyDescent="0.25">
      <c r="B28" s="19" t="s">
        <v>93</v>
      </c>
      <c r="C28" s="101">
        <v>0.34948395100000001</v>
      </c>
    </row>
    <row r="29" spans="1:8" ht="15.75" customHeight="1" x14ac:dyDescent="0.25">
      <c r="B29" s="19" t="s">
        <v>94</v>
      </c>
      <c r="C29" s="101">
        <v>0.20214362399999999</v>
      </c>
    </row>
    <row r="30" spans="1:8" ht="15.75" customHeight="1" x14ac:dyDescent="0.25">
      <c r="B30" s="19" t="s">
        <v>95</v>
      </c>
      <c r="C30" s="101">
        <v>0.105324062</v>
      </c>
    </row>
    <row r="31" spans="1:8" ht="15.75" customHeight="1" x14ac:dyDescent="0.25">
      <c r="B31" s="19" t="s">
        <v>96</v>
      </c>
      <c r="C31" s="101">
        <v>5.5211837999999999E-2</v>
      </c>
    </row>
    <row r="32" spans="1:8" ht="15.75" customHeight="1" x14ac:dyDescent="0.25">
      <c r="B32" s="19" t="s">
        <v>97</v>
      </c>
      <c r="C32" s="101">
        <v>8.5237639999999996E-3</v>
      </c>
    </row>
    <row r="33" spans="2:3" ht="15.75" customHeight="1" x14ac:dyDescent="0.25">
      <c r="B33" s="19" t="s">
        <v>98</v>
      </c>
      <c r="C33" s="101">
        <v>0.16815316199999999</v>
      </c>
    </row>
    <row r="34" spans="2:3" ht="15.75" customHeight="1" x14ac:dyDescent="0.25">
      <c r="B34" s="19" t="s">
        <v>99</v>
      </c>
      <c r="C34" s="101">
        <v>3.3627008999999999E-2</v>
      </c>
    </row>
    <row r="35" spans="2:3" ht="15.75" customHeight="1" x14ac:dyDescent="0.25">
      <c r="B35" s="27" t="s">
        <v>30</v>
      </c>
      <c r="C35" s="48">
        <f>SUM(C26:C34)</f>
        <v>0.99999999899999992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0.30287646133877688</v>
      </c>
      <c r="D2" s="52">
        <f>IFERROR(1-_xlfn.NORM.DIST(_xlfn.NORM.INV(SUM(D4:D5), 0, 1) + 1, 0, 1, TRUE), "")</f>
        <v>0.30287646133877688</v>
      </c>
      <c r="E2" s="52">
        <f>IFERROR(1-_xlfn.NORM.DIST(_xlfn.NORM.INV(SUM(E4:E5), 0, 1) + 1, 0, 1, TRUE), "")</f>
        <v>0.26872002098883241</v>
      </c>
      <c r="F2" s="52">
        <f>IFERROR(1-_xlfn.NORM.DIST(_xlfn.NORM.INV(SUM(F4:F5), 0, 1) + 1, 0, 1, TRUE), "")</f>
        <v>0.15078540460114109</v>
      </c>
      <c r="G2" s="52">
        <f>IFERROR(1-_xlfn.NORM.DIST(_xlfn.NORM.INV(SUM(G4:G5), 0, 1) + 1, 0, 1, TRUE), "")</f>
        <v>0.16095228438042852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0.38287903866122308</v>
      </c>
      <c r="D3" s="52">
        <f>IFERROR(_xlfn.NORM.DIST(_xlfn.NORM.INV(SUM(D4:D5), 0, 1) + 1, 0, 1, TRUE) - SUM(D4:D5), "")</f>
        <v>0.38287903866122308</v>
      </c>
      <c r="E3" s="52">
        <f>IFERROR(_xlfn.NORM.DIST(_xlfn.NORM.INV(SUM(E4:E5), 0, 1) + 1, 0, 1, TRUE) - SUM(E4:E5), "")</f>
        <v>0.38053547901116758</v>
      </c>
      <c r="F3" s="52">
        <f>IFERROR(_xlfn.NORM.DIST(_xlfn.NORM.INV(SUM(F4:F5), 0, 1) + 1, 0, 1, TRUE) - SUM(F4:F5), "")</f>
        <v>0.3360236953988589</v>
      </c>
      <c r="G3" s="52">
        <f>IFERROR(_xlfn.NORM.DIST(_xlfn.NORM.INV(SUM(G4:G5), 0, 1) + 1, 0, 1, TRUE) - SUM(G4:G5), "")</f>
        <v>0.34281701561957145</v>
      </c>
    </row>
    <row r="4" spans="1:15" ht="15.75" customHeight="1" x14ac:dyDescent="0.25">
      <c r="B4" s="5" t="s">
        <v>104</v>
      </c>
      <c r="C4" s="45">
        <v>0.22817280000000001</v>
      </c>
      <c r="D4" s="53">
        <v>0.22817280000000001</v>
      </c>
      <c r="E4" s="53">
        <v>0.2445852</v>
      </c>
      <c r="F4" s="53">
        <v>0.30018359999999999</v>
      </c>
      <c r="G4" s="53">
        <v>0.31933080000000003</v>
      </c>
    </row>
    <row r="5" spans="1:15" ht="15.75" customHeight="1" x14ac:dyDescent="0.25">
      <c r="B5" s="5" t="s">
        <v>105</v>
      </c>
      <c r="C5" s="45">
        <v>8.6071700000000001E-2</v>
      </c>
      <c r="D5" s="53">
        <v>8.6071700000000001E-2</v>
      </c>
      <c r="E5" s="53">
        <v>0.1061593</v>
      </c>
      <c r="F5" s="53">
        <v>0.21300730000000001</v>
      </c>
      <c r="G5" s="53">
        <v>0.1768999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0.91001320031227306</v>
      </c>
      <c r="D8" s="52">
        <f>IFERROR(1-_xlfn.NORM.DIST(_xlfn.NORM.INV(SUM(D10:D11), 0, 1) + 1, 0, 1, TRUE), "")</f>
        <v>0.91001320031227306</v>
      </c>
      <c r="E8" s="52">
        <f>IFERROR(1-_xlfn.NORM.DIST(_xlfn.NORM.INV(SUM(E10:E11), 0, 1) + 1, 0, 1, TRUE), "")</f>
        <v>0.91472366966221252</v>
      </c>
      <c r="F8" s="52">
        <f>IFERROR(1-_xlfn.NORM.DIST(_xlfn.NORM.INV(SUM(F10:F11), 0, 1) + 1, 0, 1, TRUE), "")</f>
        <v>0.90238842198608749</v>
      </c>
      <c r="G8" s="52">
        <f>IFERROR(1-_xlfn.NORM.DIST(_xlfn.NORM.INV(SUM(G10:G11), 0, 1) + 1, 0, 1, TRUE), "")</f>
        <v>0.93550232588005555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8.0366499687726911E-2</v>
      </c>
      <c r="D9" s="52">
        <f>IFERROR(_xlfn.NORM.DIST(_xlfn.NORM.INV(SUM(D10:D11), 0, 1) + 1, 0, 1, TRUE) - SUM(D10:D11), "")</f>
        <v>8.0366499687726911E-2</v>
      </c>
      <c r="E9" s="52">
        <f>IFERROR(_xlfn.NORM.DIST(_xlfn.NORM.INV(SUM(E10:E11), 0, 1) + 1, 0, 1, TRUE) - SUM(E10:E11), "")</f>
        <v>7.6392630337787482E-2</v>
      </c>
      <c r="F9" s="52">
        <f>IFERROR(_xlfn.NORM.DIST(_xlfn.NORM.INV(SUM(F10:F11), 0, 1) + 1, 0, 1, TRUE) - SUM(F10:F11), "")</f>
        <v>8.6753078013912466E-2</v>
      </c>
      <c r="G9" s="52">
        <f>IFERROR(_xlfn.NORM.DIST(_xlfn.NORM.INV(SUM(G10:G11), 0, 1) + 1, 0, 1, TRUE) - SUM(G10:G11), "")</f>
        <v>5.8597774119944407E-2</v>
      </c>
    </row>
    <row r="10" spans="1:15" ht="15.75" customHeight="1" x14ac:dyDescent="0.25">
      <c r="B10" s="5" t="s">
        <v>109</v>
      </c>
      <c r="C10" s="45">
        <v>7.3385000000000004E-3</v>
      </c>
      <c r="D10" s="53">
        <v>7.3385000000000004E-3</v>
      </c>
      <c r="E10" s="53">
        <v>8.3902000000000004E-3</v>
      </c>
      <c r="F10" s="53">
        <v>1.03783E-2</v>
      </c>
      <c r="G10" s="53">
        <v>4.1657999999999999E-3</v>
      </c>
    </row>
    <row r="11" spans="1:15" ht="15.75" customHeight="1" x14ac:dyDescent="0.25">
      <c r="B11" s="5" t="s">
        <v>110</v>
      </c>
      <c r="C11" s="45">
        <v>2.2818000000000001E-3</v>
      </c>
      <c r="D11" s="53">
        <v>2.2818000000000001E-3</v>
      </c>
      <c r="E11" s="53">
        <v>4.9350000000000002E-4</v>
      </c>
      <c r="F11" s="53">
        <v>4.8020000000000002E-4</v>
      </c>
      <c r="G11" s="53">
        <v>1.7340999999999999E-3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0.66242282200000024</v>
      </c>
      <c r="D14" s="54">
        <v>0.62910825079199995</v>
      </c>
      <c r="E14" s="54">
        <v>0.62910825079199995</v>
      </c>
      <c r="F14" s="54">
        <v>0.35119943787399999</v>
      </c>
      <c r="G14" s="54">
        <v>0.35119943787399999</v>
      </c>
      <c r="H14" s="45">
        <v>0.25</v>
      </c>
      <c r="I14" s="55">
        <v>0.25</v>
      </c>
      <c r="J14" s="55">
        <v>0.25</v>
      </c>
      <c r="K14" s="55">
        <v>0.25</v>
      </c>
      <c r="L14" s="45">
        <v>0.159</v>
      </c>
      <c r="M14" s="55">
        <v>0.159</v>
      </c>
      <c r="N14" s="55">
        <v>0.159</v>
      </c>
      <c r="O14" s="55">
        <v>0.159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0.36478962384718017</v>
      </c>
      <c r="D15" s="52">
        <f t="shared" si="0"/>
        <v>0.34644362262864647</v>
      </c>
      <c r="E15" s="52">
        <f t="shared" si="0"/>
        <v>0.34644362262864647</v>
      </c>
      <c r="F15" s="52">
        <f t="shared" si="0"/>
        <v>0.19340201844283306</v>
      </c>
      <c r="G15" s="52">
        <f t="shared" si="0"/>
        <v>0.19340201844283306</v>
      </c>
      <c r="H15" s="52">
        <f t="shared" si="0"/>
        <v>0.1376725</v>
      </c>
      <c r="I15" s="52">
        <f t="shared" si="0"/>
        <v>0.1376725</v>
      </c>
      <c r="J15" s="52">
        <f t="shared" si="0"/>
        <v>0.1376725</v>
      </c>
      <c r="K15" s="52">
        <f t="shared" si="0"/>
        <v>0.1376725</v>
      </c>
      <c r="L15" s="52">
        <f t="shared" si="0"/>
        <v>8.7559709999999999E-2</v>
      </c>
      <c r="M15" s="52">
        <f t="shared" si="0"/>
        <v>8.7559709999999999E-2</v>
      </c>
      <c r="N15" s="52">
        <f t="shared" si="0"/>
        <v>8.7559709999999999E-2</v>
      </c>
      <c r="O15" s="52">
        <f t="shared" si="0"/>
        <v>8.7559709999999999E-2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0.63745839999999998</v>
      </c>
      <c r="D2" s="53">
        <v>0.51996969999999998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0.1352931</v>
      </c>
      <c r="D3" s="53">
        <v>0.1694262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0.19128139999999999</v>
      </c>
      <c r="D4" s="53">
        <v>0.25796720000000001</v>
      </c>
      <c r="E4" s="53">
        <v>0.90781040000000002</v>
      </c>
      <c r="F4" s="53">
        <v>0.72040629999999994</v>
      </c>
      <c r="G4" s="53">
        <v>0</v>
      </c>
    </row>
    <row r="5" spans="1:7" x14ac:dyDescent="0.25">
      <c r="B5" s="3" t="s">
        <v>122</v>
      </c>
      <c r="C5" s="52">
        <v>3.5967199999999998E-2</v>
      </c>
      <c r="D5" s="52">
        <v>5.2636799999999997E-2</v>
      </c>
      <c r="E5" s="52">
        <f>1-SUM(E2:E4)</f>
        <v>9.2189599999999983E-2</v>
      </c>
      <c r="F5" s="52">
        <f>1-SUM(F2:F4)</f>
        <v>0.27959370000000006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58.046796887133439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0.22623392060814199</v>
      </c>
      <c r="C3" s="98">
        <v>0.95</v>
      </c>
      <c r="D3" s="56">
        <v>39.880519812243307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414.67441286273032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0.60896058055806912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0.2933268</v>
      </c>
      <c r="C10" s="98">
        <v>0.95</v>
      </c>
      <c r="D10" s="56">
        <v>13.01281925603921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0.2933268</v>
      </c>
      <c r="C11" s="98">
        <v>0.95</v>
      </c>
      <c r="D11" s="56">
        <v>13.01281925603921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0.2933268</v>
      </c>
      <c r="C12" s="98">
        <v>0.95</v>
      </c>
      <c r="D12" s="56">
        <v>13.01281925603921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0.2933268</v>
      </c>
      <c r="C13" s="98">
        <v>0.95</v>
      </c>
      <c r="D13" s="56">
        <v>13.01281925603921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0.2933268</v>
      </c>
      <c r="C14" s="98">
        <v>0.95</v>
      </c>
      <c r="D14" s="56">
        <v>13.01281925603921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0.2933268</v>
      </c>
      <c r="C15" s="98">
        <v>0.95</v>
      </c>
      <c r="D15" s="56">
        <v>13.01281925603921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0.9</v>
      </c>
      <c r="C16" s="98">
        <v>0.95</v>
      </c>
      <c r="D16" s="56">
        <v>0.71958505593456223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0.35743333333333299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9.3404655119999999E-2</v>
      </c>
      <c r="C18" s="98">
        <v>0.95</v>
      </c>
      <c r="D18" s="56">
        <v>9.5596491969757462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0.69621730000000004</v>
      </c>
      <c r="C19" s="98">
        <v>0.95</v>
      </c>
      <c r="D19" s="56">
        <v>9.5596491969757462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0.77731530000000004</v>
      </c>
      <c r="C21" s="98">
        <v>0.95</v>
      </c>
      <c r="D21" s="56">
        <v>7.0854510124004477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22.45630615654899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4.2797375448782464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0.62022769692004798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0.2933268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18.574405815047299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0.48639321707995198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113.6877099192675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0.26</v>
      </c>
      <c r="C31" s="98">
        <v>0.95</v>
      </c>
      <c r="D31" s="56">
        <v>0.15047472246892171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1.545126983877527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0.26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0.59367320000000001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0.48848520000000001</v>
      </c>
      <c r="C38" s="98">
        <v>0.95</v>
      </c>
      <c r="D38" s="56">
        <v>7.1150145338447288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SwqShMKjZ/Tc3FrdHQz/MjdsWftRTk85s02s32k0tDk98bBhXaGhkqbuII/OivPUJtqXOhQ4ck/oX/RBAeMIgQ==" saltValue="RORLzDUZEp7fquGh4DZ5h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 t="s">
        <v>191</v>
      </c>
      <c r="B6" s="58" t="s">
        <v>192</v>
      </c>
      <c r="C6" s="58"/>
    </row>
    <row r="7" spans="1:3" x14ac:dyDescent="0.25">
      <c r="A7" s="57" t="s">
        <v>188</v>
      </c>
      <c r="B7" s="58" t="s">
        <v>192</v>
      </c>
      <c r="C7" s="58"/>
    </row>
    <row r="8" spans="1:3" x14ac:dyDescent="0.25">
      <c r="A8" s="57" t="s">
        <v>200</v>
      </c>
      <c r="B8" s="58" t="s">
        <v>192</v>
      </c>
      <c r="C8" s="58"/>
    </row>
    <row r="9" spans="1:3" x14ac:dyDescent="0.25">
      <c r="A9" s="57" t="s">
        <v>193</v>
      </c>
      <c r="B9" s="58" t="s">
        <v>192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3.2</v>
      </c>
      <c r="C2" s="21">
        <f>'Baseline year population inputs'!C52</f>
        <v>3.2</v>
      </c>
      <c r="D2" s="21">
        <f>'Baseline year population inputs'!C53</f>
        <v>3.2</v>
      </c>
      <c r="E2" s="21">
        <f>'Baseline year population inputs'!C54</f>
        <v>3.2</v>
      </c>
      <c r="F2" s="21">
        <f>'Baseline year population inputs'!C55</f>
        <v>3.2</v>
      </c>
    </row>
    <row r="3" spans="1:6" ht="15.75" customHeight="1" x14ac:dyDescent="0.25">
      <c r="A3" s="3" t="s">
        <v>204</v>
      </c>
      <c r="B3" s="21">
        <f>frac_mam_1month * 2.6</f>
        <v>1.9080100000000003E-2</v>
      </c>
      <c r="C3" s="21">
        <f>frac_mam_1_5months * 2.6</f>
        <v>1.9080100000000003E-2</v>
      </c>
      <c r="D3" s="21">
        <f>frac_mam_6_11months * 2.6</f>
        <v>2.181452E-2</v>
      </c>
      <c r="E3" s="21">
        <f>frac_mam_12_23months * 2.6</f>
        <v>2.698358E-2</v>
      </c>
      <c r="F3" s="21">
        <f>frac_mam_24_59months * 2.6</f>
        <v>1.083108E-2</v>
      </c>
    </row>
    <row r="4" spans="1:6" ht="15.75" customHeight="1" x14ac:dyDescent="0.25">
      <c r="A4" s="3" t="s">
        <v>205</v>
      </c>
      <c r="B4" s="21">
        <f>frac_sam_1month * 2.6</f>
        <v>5.9326800000000001E-3</v>
      </c>
      <c r="C4" s="21">
        <f>frac_sam_1_5months * 2.6</f>
        <v>5.9326800000000001E-3</v>
      </c>
      <c r="D4" s="21">
        <f>frac_sam_6_11months * 2.6</f>
        <v>1.2831000000000001E-3</v>
      </c>
      <c r="E4" s="21">
        <f>frac_sam_12_23months * 2.6</f>
        <v>1.2485200000000001E-3</v>
      </c>
      <c r="F4" s="21">
        <f>frac_sam_24_59months * 2.6</f>
        <v>4.5086600000000003E-3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8.6999999999999994E-2</v>
      </c>
      <c r="E2" s="60">
        <f>food_insecure</f>
        <v>8.6999999999999994E-2</v>
      </c>
      <c r="F2" s="60">
        <f>food_insecure</f>
        <v>8.6999999999999994E-2</v>
      </c>
      <c r="G2" s="60">
        <f>food_insecure</f>
        <v>8.6999999999999994E-2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8.6999999999999994E-2</v>
      </c>
      <c r="F5" s="60">
        <f>food_insecure</f>
        <v>8.6999999999999994E-2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8.6999999999999994E-2</v>
      </c>
      <c r="F8" s="60">
        <f>food_insecure</f>
        <v>8.6999999999999994E-2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8.6999999999999994E-2</v>
      </c>
      <c r="F9" s="60">
        <f>food_insecure</f>
        <v>8.6999999999999994E-2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8.6999999999999994E-2</v>
      </c>
      <c r="I15" s="60">
        <f>food_insecure</f>
        <v>8.6999999999999994E-2</v>
      </c>
      <c r="J15" s="60">
        <f>food_insecure</f>
        <v>8.6999999999999994E-2</v>
      </c>
      <c r="K15" s="60">
        <f>food_insecure</f>
        <v>8.6999999999999994E-2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2.5000000000000001E-2</v>
      </c>
      <c r="I19" s="60">
        <f>frac_malaria_risk</f>
        <v>2.5000000000000001E-2</v>
      </c>
      <c r="J19" s="60">
        <f>frac_malaria_risk</f>
        <v>2.5000000000000001E-2</v>
      </c>
      <c r="K19" s="60">
        <f>frac_malaria_risk</f>
        <v>2.5000000000000001E-2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0.34399999999999997</v>
      </c>
      <c r="M24" s="60">
        <f>famplan_unmet_need</f>
        <v>0.34399999999999997</v>
      </c>
      <c r="N24" s="60">
        <f>famplan_unmet_need</f>
        <v>0.34399999999999997</v>
      </c>
      <c r="O24" s="60">
        <f>famplan_unmet_need</f>
        <v>0.34399999999999997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0.29166251004905708</v>
      </c>
      <c r="M25" s="60">
        <f>(1-food_insecure)*(0.49)+food_insecure*(0.7)</f>
        <v>0.50827</v>
      </c>
      <c r="N25" s="60">
        <f>(1-food_insecure)*(0.49)+food_insecure*(0.7)</f>
        <v>0.50827</v>
      </c>
      <c r="O25" s="60">
        <f>(1-food_insecure)*(0.49)+food_insecure*(0.7)</f>
        <v>0.50827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0.12499821859245305</v>
      </c>
      <c r="M26" s="60">
        <f>(1-food_insecure)*(0.21)+food_insecure*(0.3)</f>
        <v>0.21783000000000002</v>
      </c>
      <c r="N26" s="60">
        <f>(1-food_insecure)*(0.21)+food_insecure*(0.3)</f>
        <v>0.21783000000000002</v>
      </c>
      <c r="O26" s="60">
        <f>(1-food_insecure)*(0.21)+food_insecure*(0.3)</f>
        <v>0.21783000000000002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0.1571730802574158</v>
      </c>
      <c r="M27" s="60">
        <f>(1-food_insecure)*(0.3)</f>
        <v>0.27389999999999998</v>
      </c>
      <c r="N27" s="60">
        <f>(1-food_insecure)*(0.3)</f>
        <v>0.27389999999999998</v>
      </c>
      <c r="O27" s="60">
        <f>(1-food_insecure)*(0.3)</f>
        <v>0.27389999999999998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0.42616619110107401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2.5000000000000001E-2</v>
      </c>
      <c r="D34" s="60">
        <f t="shared" si="3"/>
        <v>2.5000000000000001E-2</v>
      </c>
      <c r="E34" s="60">
        <f t="shared" si="3"/>
        <v>2.5000000000000001E-2</v>
      </c>
      <c r="F34" s="60">
        <f t="shared" si="3"/>
        <v>2.5000000000000001E-2</v>
      </c>
      <c r="G34" s="60">
        <f t="shared" si="3"/>
        <v>2.5000000000000001E-2</v>
      </c>
      <c r="H34" s="60">
        <f t="shared" si="3"/>
        <v>2.5000000000000001E-2</v>
      </c>
      <c r="I34" s="60">
        <f t="shared" si="3"/>
        <v>2.5000000000000001E-2</v>
      </c>
      <c r="J34" s="60">
        <f t="shared" si="3"/>
        <v>2.5000000000000001E-2</v>
      </c>
      <c r="K34" s="60">
        <f t="shared" si="3"/>
        <v>2.5000000000000001E-2</v>
      </c>
      <c r="L34" s="60">
        <f t="shared" si="3"/>
        <v>2.5000000000000001E-2</v>
      </c>
      <c r="M34" s="60">
        <f t="shared" si="3"/>
        <v>2.5000000000000001E-2</v>
      </c>
      <c r="N34" s="60">
        <f t="shared" si="3"/>
        <v>2.5000000000000001E-2</v>
      </c>
      <c r="O34" s="60">
        <f t="shared" si="3"/>
        <v>2.5000000000000001E-2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2024-05-09T01:46:18Z</dcterms:modified>
</cp:coreProperties>
</file>