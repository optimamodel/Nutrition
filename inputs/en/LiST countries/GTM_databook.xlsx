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9FC6303-C392-43A5-BBDD-D68176FAF36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<sst xmlns="http://schemas.openxmlformats.org/spreadsheetml/2006/main" count="2103" uniqueCount="341">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</sst>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1825228.90625</v>
      </c>
    </row>
    <row r="8" spans="1:3" ht="15" customHeight="1" x14ac:dyDescent="0.25">
      <c r="B8" s="5" t="s">
        <v>8</v>
      </c>
      <c r="C8" s="44">
        <v>8.6999999999999994E-2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0.42616619110107401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9">
        <v>3.89276953654537E-2</v>
      </c>
    </row>
    <row r="31" spans="1:3" ht="14.25" customHeight="1" x14ac:dyDescent="0.25">
      <c r="B31" s="25" t="s">
        <v>28</v>
      </c>
      <c r="C31" s="99">
        <v>8.8909302097760101E-2</v>
      </c>
    </row>
    <row r="32" spans="1:3" ht="14.25" customHeight="1" x14ac:dyDescent="0.25">
      <c r="B32" s="25" t="s">
        <v>29</v>
      </c>
      <c r="C32" s="99">
        <v>0.55314295951366399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375341</v>
      </c>
      <c r="C2" s="49">
        <v>1117741</v>
      </c>
      <c r="D2" s="49">
        <v>1766958</v>
      </c>
      <c r="E2" s="49">
        <v>1388712</v>
      </c>
      <c r="F2" s="49">
        <v>863335.5</v>
      </c>
      <c r="G2" s="17">
        <f t="shared" ref="G2:G13" si="0">C2+D2+E2+F2</f>
        <v>5136746.5</v>
      </c>
      <c r="H2" s="17">
        <f t="shared" ref="H2:H13" si="1">(B2 + stillbirth*B2/(1000-stillbirth))/(1-abortion)</f>
        <v>432289.27544269356</v>
      </c>
      <c r="I2" s="17">
        <f t="shared" ref="I2:I13" si="2">G2-H2</f>
        <v>4704457.2245573066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375208</v>
      </c>
      <c r="C3" s="50">
        <v>1120396</v>
      </c>
      <c r="D3" s="50">
        <v>1786123</v>
      </c>
      <c r="E3" s="50">
        <v>1431013.5</v>
      </c>
      <c r="F3" s="50">
        <v>895680</v>
      </c>
      <c r="G3" s="17">
        <f t="shared" si="0"/>
        <v>5233212.5</v>
      </c>
      <c r="H3" s="17">
        <f t="shared" si="1"/>
        <v>432136.09613738483</v>
      </c>
      <c r="I3" s="17">
        <f t="shared" si="2"/>
        <v>4801076.4038626151</v>
      </c>
    </row>
    <row r="4" spans="1:9" ht="15.75" customHeight="1" x14ac:dyDescent="0.25">
      <c r="A4" s="5">
        <f t="shared" si="3"/>
        <v>2026</v>
      </c>
      <c r="B4" s="49">
        <v>377122</v>
      </c>
      <c r="C4" s="50">
        <v>1125589</v>
      </c>
      <c r="D4" s="50">
        <v>1801425</v>
      </c>
      <c r="E4" s="50">
        <v>1473086.5</v>
      </c>
      <c r="F4" s="50">
        <v>926890</v>
      </c>
      <c r="G4" s="17">
        <f t="shared" si="0"/>
        <v>5326990.5</v>
      </c>
      <c r="H4" s="17">
        <f t="shared" si="1"/>
        <v>434340.49606491026</v>
      </c>
      <c r="I4" s="17">
        <f t="shared" si="2"/>
        <v>4892650.0039350893</v>
      </c>
    </row>
    <row r="5" spans="1:9" ht="15.75" customHeight="1" x14ac:dyDescent="0.25">
      <c r="A5" s="5">
        <f t="shared" si="3"/>
        <v>2027</v>
      </c>
      <c r="B5" s="49">
        <v>375439</v>
      </c>
      <c r="C5" s="50">
        <v>1131156</v>
      </c>
      <c r="D5" s="50">
        <v>1814341</v>
      </c>
      <c r="E5" s="50">
        <v>1513193</v>
      </c>
      <c r="F5" s="50">
        <v>957919</v>
      </c>
      <c r="G5" s="17">
        <f t="shared" si="0"/>
        <v>5416609</v>
      </c>
      <c r="H5" s="17">
        <f t="shared" si="1"/>
        <v>432402.14440449997</v>
      </c>
      <c r="I5" s="17">
        <f t="shared" si="2"/>
        <v>4984206.8555955002</v>
      </c>
    </row>
    <row r="6" spans="1:9" ht="15.75" customHeight="1" x14ac:dyDescent="0.25">
      <c r="A6" s="5">
        <f t="shared" si="3"/>
        <v>2028</v>
      </c>
      <c r="B6" s="49">
        <v>375207</v>
      </c>
      <c r="C6" s="50">
        <v>1137287.5</v>
      </c>
      <c r="D6" s="50">
        <v>1824317.5</v>
      </c>
      <c r="E6" s="50">
        <v>1550877</v>
      </c>
      <c r="F6" s="50">
        <v>990135.5</v>
      </c>
      <c r="G6" s="17">
        <f t="shared" si="0"/>
        <v>5502617.5</v>
      </c>
      <c r="H6" s="17">
        <f t="shared" si="1"/>
        <v>432134.94441328477</v>
      </c>
      <c r="I6" s="17">
        <f t="shared" si="2"/>
        <v>5070482.5555867152</v>
      </c>
    </row>
    <row r="7" spans="1:9" ht="15.75" customHeight="1" x14ac:dyDescent="0.25">
      <c r="A7" s="5">
        <f t="shared" si="3"/>
        <v>2029</v>
      </c>
      <c r="B7" s="49">
        <v>376214</v>
      </c>
      <c r="C7" s="50">
        <v>1145409</v>
      </c>
      <c r="D7" s="50">
        <v>1831975.5</v>
      </c>
      <c r="E7" s="50">
        <v>1585612</v>
      </c>
      <c r="F7" s="50">
        <v>1024342.5</v>
      </c>
      <c r="G7" s="17">
        <f t="shared" si="0"/>
        <v>5587339</v>
      </c>
      <c r="H7" s="17">
        <f t="shared" si="1"/>
        <v>433294.7305820508</v>
      </c>
      <c r="I7" s="17">
        <f t="shared" si="2"/>
        <v>5154044.269417949</v>
      </c>
    </row>
    <row r="8" spans="1:9" ht="15.75" customHeight="1" x14ac:dyDescent="0.25">
      <c r="A8" s="5">
        <f t="shared" si="3"/>
        <v>2030</v>
      </c>
      <c r="B8" s="49">
        <v>375783</v>
      </c>
      <c r="C8" s="50">
        <v>1154283.5</v>
      </c>
      <c r="D8" s="50">
        <v>1838305</v>
      </c>
      <c r="E8" s="50">
        <v>1618821</v>
      </c>
      <c r="F8" s="50">
        <v>1059793</v>
      </c>
      <c r="G8" s="17">
        <f t="shared" si="0"/>
        <v>5671202.5</v>
      </c>
      <c r="H8" s="17">
        <f t="shared" si="1"/>
        <v>432798.33749492251</v>
      </c>
      <c r="I8" s="17">
        <f t="shared" si="2"/>
        <v>5238404.1625050772</v>
      </c>
    </row>
    <row r="9" spans="1:9" ht="15.75" customHeight="1" x14ac:dyDescent="0.25">
      <c r="A9" s="5">
        <f t="shared" si="3"/>
        <v>2031</v>
      </c>
      <c r="B9" s="49">
        <v>376184</v>
      </c>
      <c r="C9" s="50">
        <v>1161271</v>
      </c>
      <c r="D9" s="50">
        <v>1842568.5</v>
      </c>
      <c r="E9" s="50">
        <v>1652413.5</v>
      </c>
      <c r="F9" s="50">
        <v>1095113</v>
      </c>
      <c r="G9" s="17">
        <f t="shared" si="0"/>
        <v>5751366</v>
      </c>
      <c r="H9" s="17">
        <f t="shared" si="1"/>
        <v>433260.17885904881</v>
      </c>
      <c r="I9" s="17">
        <f t="shared" si="2"/>
        <v>5318105.8211409515</v>
      </c>
    </row>
    <row r="10" spans="1:9" ht="15.75" customHeight="1" x14ac:dyDescent="0.25">
      <c r="A10" s="5">
        <f t="shared" si="3"/>
        <v>2032</v>
      </c>
      <c r="B10" s="49">
        <v>376343</v>
      </c>
      <c r="C10" s="50">
        <v>1163538</v>
      </c>
      <c r="D10" s="50">
        <v>1846756</v>
      </c>
      <c r="E10" s="50">
        <v>1684216.5</v>
      </c>
      <c r="F10" s="50">
        <v>1130016.5</v>
      </c>
      <c r="G10" s="17">
        <f t="shared" si="0"/>
        <v>5824527</v>
      </c>
      <c r="H10" s="17">
        <f t="shared" si="1"/>
        <v>433443.30299095926</v>
      </c>
      <c r="I10" s="17">
        <f t="shared" si="2"/>
        <v>5391083.697009041</v>
      </c>
    </row>
    <row r="11" spans="1:9" ht="15.75" customHeight="1" x14ac:dyDescent="0.25">
      <c r="A11" s="5">
        <f t="shared" si="3"/>
        <v>2033</v>
      </c>
      <c r="B11" s="49">
        <v>375033</v>
      </c>
      <c r="C11" s="50">
        <v>1160491</v>
      </c>
      <c r="D11" s="50">
        <v>1851820</v>
      </c>
      <c r="E11" s="50">
        <v>1712014</v>
      </c>
      <c r="F11" s="50">
        <v>1164926</v>
      </c>
      <c r="G11" s="17">
        <f t="shared" si="0"/>
        <v>5889251</v>
      </c>
      <c r="H11" s="17">
        <f t="shared" si="1"/>
        <v>431934.54441987333</v>
      </c>
      <c r="I11" s="17">
        <f t="shared" si="2"/>
        <v>5457316.4555801265</v>
      </c>
    </row>
    <row r="12" spans="1:9" ht="15.75" customHeight="1" x14ac:dyDescent="0.25">
      <c r="A12" s="5">
        <f t="shared" si="3"/>
        <v>2034</v>
      </c>
      <c r="B12" s="49">
        <v>375811</v>
      </c>
      <c r="C12" s="50">
        <v>1151083.5</v>
      </c>
      <c r="D12" s="50">
        <v>1857840</v>
      </c>
      <c r="E12" s="50">
        <v>1735631</v>
      </c>
      <c r="F12" s="50">
        <v>1200927.5</v>
      </c>
      <c r="G12" s="17">
        <f t="shared" si="0"/>
        <v>5945482</v>
      </c>
      <c r="H12" s="17">
        <f t="shared" si="1"/>
        <v>432830.58576972439</v>
      </c>
      <c r="I12" s="17">
        <f t="shared" si="2"/>
        <v>5512651.4142302759</v>
      </c>
    </row>
    <row r="13" spans="1:9" ht="15.75" customHeight="1" x14ac:dyDescent="0.25">
      <c r="A13" s="5">
        <f t="shared" si="3"/>
        <v>2035</v>
      </c>
      <c r="B13" s="49">
        <v>374314</v>
      </c>
      <c r="C13" s="50">
        <v>1135336.5</v>
      </c>
      <c r="D13" s="50">
        <v>1866295.5</v>
      </c>
      <c r="E13" s="50">
        <v>1754842.5</v>
      </c>
      <c r="F13" s="50">
        <v>1238824</v>
      </c>
      <c r="G13" s="17">
        <f t="shared" si="0"/>
        <v>5995298.5</v>
      </c>
      <c r="H13" s="17">
        <f t="shared" si="1"/>
        <v>431106.45479192625</v>
      </c>
      <c r="I13" s="17">
        <f t="shared" si="2"/>
        <v>5564192.0452080742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101">
        <v>6.6525100000000059E-2</v>
      </c>
    </row>
    <row r="5" spans="1:8" ht="15.75" customHeight="1" x14ac:dyDescent="0.25">
      <c r="B5" s="19" t="s">
        <v>70</v>
      </c>
      <c r="C5" s="101">
        <v>3.4683200000000032E-2</v>
      </c>
    </row>
    <row r="6" spans="1:8" ht="15.75" customHeight="1" x14ac:dyDescent="0.25">
      <c r="B6" s="19" t="s">
        <v>71</v>
      </c>
      <c r="C6" s="101">
        <v>0.1965487000000001</v>
      </c>
    </row>
    <row r="7" spans="1:8" ht="15.75" customHeight="1" x14ac:dyDescent="0.25">
      <c r="B7" s="19" t="s">
        <v>72</v>
      </c>
      <c r="C7" s="101">
        <v>0.44584979999999957</v>
      </c>
    </row>
    <row r="8" spans="1:8" ht="15.75" customHeight="1" x14ac:dyDescent="0.25">
      <c r="B8" s="19" t="s">
        <v>73</v>
      </c>
      <c r="C8" s="101">
        <v>3.6609999999999979E-4</v>
      </c>
    </row>
    <row r="9" spans="1:8" ht="15.75" customHeight="1" x14ac:dyDescent="0.25">
      <c r="B9" s="19" t="s">
        <v>74</v>
      </c>
      <c r="C9" s="101">
        <v>0.17018749999999999</v>
      </c>
    </row>
    <row r="10" spans="1:8" ht="15.75" customHeight="1" x14ac:dyDescent="0.25">
      <c r="B10" s="19" t="s">
        <v>75</v>
      </c>
      <c r="C10" s="101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83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86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87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88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89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101">
        <v>2.8242382999999999E-2</v>
      </c>
    </row>
    <row r="28" spans="1:8" ht="15.75" customHeight="1" x14ac:dyDescent="0.25">
      <c r="B28" s="19" t="s">
        <v>93</v>
      </c>
      <c r="C28" s="101">
        <v>0.34948395100000001</v>
      </c>
    </row>
    <row r="29" spans="1:8" ht="15.75" customHeight="1" x14ac:dyDescent="0.25">
      <c r="B29" s="19" t="s">
        <v>94</v>
      </c>
      <c r="C29" s="101">
        <v>0.20214362399999999</v>
      </c>
    </row>
    <row r="30" spans="1:8" ht="15.75" customHeight="1" x14ac:dyDescent="0.25">
      <c r="B30" s="19" t="s">
        <v>95</v>
      </c>
      <c r="C30" s="101">
        <v>0.105324062</v>
      </c>
    </row>
    <row r="31" spans="1:8" ht="15.75" customHeight="1" x14ac:dyDescent="0.25">
      <c r="B31" s="19" t="s">
        <v>96</v>
      </c>
      <c r="C31" s="101">
        <v>5.5211837999999999E-2</v>
      </c>
    </row>
    <row r="32" spans="1:8" ht="15.75" customHeight="1" x14ac:dyDescent="0.25">
      <c r="B32" s="19" t="s">
        <v>97</v>
      </c>
      <c r="C32" s="101">
        <v>8.5237639999999996E-3</v>
      </c>
    </row>
    <row r="33" spans="2:3" ht="15.75" customHeight="1" x14ac:dyDescent="0.25">
      <c r="B33" s="19" t="s">
        <v>98</v>
      </c>
      <c r="C33" s="101">
        <v>0.16815316199999999</v>
      </c>
    </row>
    <row r="34" spans="2:3" ht="15.75" customHeight="1" x14ac:dyDescent="0.25">
      <c r="B34" s="19" t="s">
        <v>99</v>
      </c>
      <c r="C34" s="101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58.046796887133439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39.880519812243307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414.67441286273032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0.60896058055806912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0.2933268</v>
      </c>
      <c r="C10" s="98">
        <v>0.95</v>
      </c>
      <c r="D10" s="56">
        <v>13.01281925603921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13.01281925603921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13.01281925603921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13.01281925603921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0.2933268</v>
      </c>
      <c r="C14" s="98">
        <v>0.95</v>
      </c>
      <c r="D14" s="56">
        <v>13.01281925603921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13.01281925603921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0.71958505593456223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0.35743333333333299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0.51996969999999998</v>
      </c>
      <c r="C18" s="98">
        <v>0.95</v>
      </c>
      <c r="D18" s="56">
        <v>9.5596491969757462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0.51996969999999998</v>
      </c>
      <c r="C19" s="98">
        <v>0.95</v>
      </c>
      <c r="D19" s="56">
        <v>9.5596491969757462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7.0854510124004477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22.45630615654899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4.2797375448782464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0.46481329675995198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0.2933268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18.574405815047299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0.48848520000000001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0.59367320000000001</v>
      </c>
      <c r="C29" s="98">
        <v>0.95</v>
      </c>
      <c r="D29" s="56">
        <v>113.6877099192675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1.3899999999999999E-2</v>
      </c>
      <c r="C31" s="98">
        <v>0.95</v>
      </c>
      <c r="D31" s="56">
        <v>0.15047472246892171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0.26</v>
      </c>
      <c r="C32" s="98">
        <v>0.95</v>
      </c>
      <c r="D32" s="56">
        <v>1.545126983877527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0.76766420000000002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5.8038399999999997E-2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4.2000000000000003E-2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0.77731530000000004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1.2819199999999999E-2</v>
      </c>
      <c r="C38" s="98">
        <v>0.95</v>
      </c>
      <c r="D38" s="56">
        <v>7.1150145338447288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205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0.10995168372715103</v>
      </c>
      <c r="G18" s="90">
        <f>MIN(MAX(1-0.89/(1-frac_sam_12_23months+(frac_sam_12_23months*0.89)),0),1)</f>
        <v>0.10995298593662317</v>
      </c>
      <c r="H18" s="90">
        <f>MIN(MAX(1-0.89/(1-frac_sam_24_59months+(frac_sam_24_59months*0.89)),0),1)</f>
        <v>0.10983019922033144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0.10917784063103086</v>
      </c>
      <c r="G20" s="90">
        <f>MIN(MAX(1-0.89/(1-frac_mam_12_23months+(frac_mam_12_23months*0.89)),0),1)</f>
        <v>0.1089828031848924</v>
      </c>
      <c r="H20" s="90">
        <f>MIN(MAX(1-0.89/(1-frac_mam_24_59months+(frac_mam_24_59months*0.89)),0),1)</f>
        <v>0.10959198121028579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9.9951143258891761E-3</v>
      </c>
      <c r="G73" s="90">
        <f>MIN(MAX(1-0.99/(1-frac_sam_12_23months+(frac_sam_12_23months*0.99)),0),1)</f>
        <v>9.9952459971711649E-3</v>
      </c>
      <c r="H73" s="90">
        <f>MIN(MAX(1-0.99/(1-frac_sam_24_59months+(frac_sam_24_59months*0.99)),0),1)</f>
        <v>9.982832112291673E-3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9.9169300502651714E-3</v>
      </c>
      <c r="G75" s="90">
        <f>MIN(MAX(1-0.99/(1-frac_mam_12_23months+(frac_mam_12_23months*0.99)),0),1)</f>
        <v>9.8972441656913768E-3</v>
      </c>
      <c r="H75" s="90">
        <f>MIN(MAX(1-0.99/(1-frac_mam_24_59months+(frac_mam_24_59months*0.99)),0),1)</f>
        <v>9.958756861893403E-3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0.19992103220587865</v>
      </c>
      <c r="G128" s="90">
        <f>MIN(MAX(1-0.8/(1-frac_sam_12_23months+(frac_sam_12_23months*0.8)),0),1)</f>
        <v>0.19992316062034587</v>
      </c>
      <c r="H128" s="90">
        <f>MIN(MAX(1-0.8/(1-frac_sam_24_59months+(frac_sam_24_59months*0.8)),0),1)</f>
        <v>0.1997224477393249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0.1986553115590084</v>
      </c>
      <c r="G130" s="90">
        <f>MIN(MAX(1-0.8/(1-frac_mam_12_23months+(frac_mam_12_23months*0.8)),0),1)</f>
        <v>0.19833601813941126</v>
      </c>
      <c r="H130" s="90">
        <f>MIN(MAX(1-0.8/(1-frac_mam_24_59months+(frac_mam_24_59months*0.8)),0),1)</f>
        <v>0.19933291621247151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2024-06-18T06:55:23Z</dcterms:modified>
</cp:coreProperties>
</file>