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C7D6863-A029-4C51-ADC4-6A32CB4FFF20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5" i="2" l="1"/>
  <c r="A19" i="2"/>
  <c r="I39" i="2"/>
  <c r="A36" i="2"/>
  <c r="A23" i="2"/>
  <c r="A24" i="2"/>
  <c r="A40" i="2"/>
  <c r="I12" i="2"/>
  <c r="A22" i="2"/>
  <c r="I4" i="2"/>
  <c r="A25" i="2"/>
  <c r="A26" i="2"/>
  <c r="I11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<sst xmlns="http://schemas.openxmlformats.org/spreadsheetml/2006/main" count="2169" uniqueCount="373">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</sst>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1851093</v>
      </c>
    </row>
    <row r="8" spans="1:3" ht="15" customHeight="1" x14ac:dyDescent="0.25">
      <c r="B8" s="5" t="s">
        <v>8</v>
      </c>
      <c r="C8" s="44">
        <v>0.59299999999999997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0.42979260000000002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7">
        <v>3.89276953654537E-2</v>
      </c>
    </row>
    <row r="31" spans="1:3" ht="14.25" customHeight="1" x14ac:dyDescent="0.25">
      <c r="B31" s="25" t="s">
        <v>28</v>
      </c>
      <c r="C31" s="97">
        <v>8.8909302097760101E-2</v>
      </c>
    </row>
    <row r="32" spans="1:3" ht="14.25" customHeight="1" x14ac:dyDescent="0.25">
      <c r="B32" s="25" t="s">
        <v>29</v>
      </c>
      <c r="C32" s="97">
        <v>0.55314295951366399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98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2.99</v>
      </c>
      <c r="D51" s="12"/>
    </row>
    <row r="52" spans="1:4" ht="15" customHeight="1" x14ac:dyDescent="0.25">
      <c r="B52" s="11" t="s">
        <v>46</v>
      </c>
      <c r="C52" s="98">
        <v>2.99</v>
      </c>
    </row>
    <row r="53" spans="1:4" ht="15.75" customHeight="1" x14ac:dyDescent="0.25">
      <c r="B53" s="11" t="s">
        <v>47</v>
      </c>
      <c r="C53" s="98">
        <v>6.7080000000000002</v>
      </c>
    </row>
    <row r="54" spans="1:4" ht="15.75" customHeight="1" x14ac:dyDescent="0.25">
      <c r="B54" s="11" t="s">
        <v>48</v>
      </c>
      <c r="C54" s="98">
        <v>8.0079999999999991</v>
      </c>
    </row>
    <row r="55" spans="1:4" ht="15.75" customHeight="1" x14ac:dyDescent="0.25">
      <c r="B55" s="11" t="s">
        <v>49</v>
      </c>
      <c r="C55" s="98">
        <v>4.012666666666667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0.1449437989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99">
        <v>6.6525100000000059E-2</v>
      </c>
    </row>
    <row r="5" spans="1:8" ht="15.75" customHeight="1" x14ac:dyDescent="0.25">
      <c r="B5" s="19" t="s">
        <v>70</v>
      </c>
      <c r="C5" s="99">
        <v>3.4683200000000032E-2</v>
      </c>
    </row>
    <row r="6" spans="1:8" ht="15.75" customHeight="1" x14ac:dyDescent="0.25">
      <c r="B6" s="19" t="s">
        <v>71</v>
      </c>
      <c r="C6" s="99">
        <v>0.1965487000000001</v>
      </c>
    </row>
    <row r="7" spans="1:8" ht="15.75" customHeight="1" x14ac:dyDescent="0.25">
      <c r="B7" s="19" t="s">
        <v>72</v>
      </c>
      <c r="C7" s="99">
        <v>0.44584979999999957</v>
      </c>
    </row>
    <row r="8" spans="1:8" ht="15.75" customHeight="1" x14ac:dyDescent="0.25">
      <c r="B8" s="19" t="s">
        <v>73</v>
      </c>
      <c r="C8" s="99">
        <v>3.6609999999999979E-4</v>
      </c>
    </row>
    <row r="9" spans="1:8" ht="15.75" customHeight="1" x14ac:dyDescent="0.25">
      <c r="B9" s="19" t="s">
        <v>74</v>
      </c>
      <c r="C9" s="99">
        <v>0.17018749999999999</v>
      </c>
    </row>
    <row r="10" spans="1:8" ht="15.75" customHeight="1" x14ac:dyDescent="0.25">
      <c r="B10" s="19" t="s">
        <v>75</v>
      </c>
      <c r="C10" s="99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99">
        <v>0.3757329104636849</v>
      </c>
      <c r="D15" s="99">
        <v>0.3757329104636849</v>
      </c>
      <c r="E15" s="99">
        <v>0.3757329104636849</v>
      </c>
      <c r="F15" s="99">
        <v>0.3757329104636849</v>
      </c>
    </row>
    <row r="16" spans="1:8" ht="15.75" customHeight="1" x14ac:dyDescent="0.25">
      <c r="B16" s="19" t="s">
        <v>83</v>
      </c>
      <c r="C16" s="99">
        <v>8.3301158821975311E-3</v>
      </c>
      <c r="D16" s="99">
        <v>8.3301158821975311E-3</v>
      </c>
      <c r="E16" s="99">
        <v>8.3301158821975311E-3</v>
      </c>
      <c r="F16" s="99">
        <v>8.3301158821975311E-3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2.6718060387780372E-4</v>
      </c>
      <c r="D18" s="99">
        <v>2.6718060387780372E-4</v>
      </c>
      <c r="E18" s="99">
        <v>2.6718060387780372E-4</v>
      </c>
      <c r="F18" s="99">
        <v>2.6718060387780372E-4</v>
      </c>
    </row>
    <row r="19" spans="1:8" ht="15.75" customHeight="1" x14ac:dyDescent="0.25">
      <c r="B19" s="19" t="s">
        <v>86</v>
      </c>
      <c r="C19" s="99">
        <v>1.0574113139588261E-2</v>
      </c>
      <c r="D19" s="99">
        <v>1.0574113139588261E-2</v>
      </c>
      <c r="E19" s="99">
        <v>1.0574113139588261E-2</v>
      </c>
      <c r="F19" s="99">
        <v>1.0574113139588261E-2</v>
      </c>
    </row>
    <row r="20" spans="1:8" ht="15.75" customHeight="1" x14ac:dyDescent="0.25">
      <c r="B20" s="19" t="s">
        <v>87</v>
      </c>
      <c r="C20" s="99">
        <v>3.9243099520798568E-2</v>
      </c>
      <c r="D20" s="99">
        <v>3.9243099520798568E-2</v>
      </c>
      <c r="E20" s="99">
        <v>3.9243099520798568E-2</v>
      </c>
      <c r="F20" s="99">
        <v>3.9243099520798568E-2</v>
      </c>
    </row>
    <row r="21" spans="1:8" ht="15.75" customHeight="1" x14ac:dyDescent="0.25">
      <c r="B21" s="19" t="s">
        <v>88</v>
      </c>
      <c r="C21" s="99">
        <v>0.1172818518600829</v>
      </c>
      <c r="D21" s="99">
        <v>0.1172818518600829</v>
      </c>
      <c r="E21" s="99">
        <v>0.1172818518600829</v>
      </c>
      <c r="F21" s="99">
        <v>0.1172818518600829</v>
      </c>
    </row>
    <row r="22" spans="1:8" ht="15.75" customHeight="1" x14ac:dyDescent="0.25">
      <c r="B22" s="19" t="s">
        <v>89</v>
      </c>
      <c r="C22" s="99">
        <v>0.12652604383338609</v>
      </c>
      <c r="D22" s="99">
        <v>0.12652604383338609</v>
      </c>
      <c r="E22" s="99">
        <v>0.12652604383338609</v>
      </c>
      <c r="F22" s="99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99">
        <v>2.8242382999999999E-2</v>
      </c>
    </row>
    <row r="28" spans="1:8" ht="15.75" customHeight="1" x14ac:dyDescent="0.25">
      <c r="B28" s="19" t="s">
        <v>93</v>
      </c>
      <c r="C28" s="99">
        <v>0.34948395100000001</v>
      </c>
    </row>
    <row r="29" spans="1:8" ht="15.75" customHeight="1" x14ac:dyDescent="0.25">
      <c r="B29" s="19" t="s">
        <v>94</v>
      </c>
      <c r="C29" s="99">
        <v>0.20214362399999999</v>
      </c>
    </row>
    <row r="30" spans="1:8" ht="15.75" customHeight="1" x14ac:dyDescent="0.25">
      <c r="B30" s="19" t="s">
        <v>95</v>
      </c>
      <c r="C30" s="99">
        <v>0.105324062</v>
      </c>
    </row>
    <row r="31" spans="1:8" ht="15.75" customHeight="1" x14ac:dyDescent="0.25">
      <c r="B31" s="19" t="s">
        <v>96</v>
      </c>
      <c r="C31" s="99">
        <v>5.5211837999999999E-2</v>
      </c>
    </row>
    <row r="32" spans="1:8" ht="15.75" customHeight="1" x14ac:dyDescent="0.25">
      <c r="B32" s="19" t="s">
        <v>97</v>
      </c>
      <c r="C32" s="99">
        <v>8.5237639999999996E-3</v>
      </c>
    </row>
    <row r="33" spans="2:3" ht="15.75" customHeight="1" x14ac:dyDescent="0.25">
      <c r="B33" s="19" t="s">
        <v>98</v>
      </c>
      <c r="C33" s="99">
        <v>0.16815316199999999</v>
      </c>
    </row>
    <row r="34" spans="2:3" ht="15.75" customHeight="1" x14ac:dyDescent="0.25">
      <c r="B34" s="19" t="s">
        <v>99</v>
      </c>
      <c r="C34" s="99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5473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0.47659000000000001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0.42270000000000002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1.4975176239732619E-2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97575.427049999998</v>
      </c>
      <c r="C22" s="107">
        <v>97418.053369999994</v>
      </c>
      <c r="D22" s="107">
        <v>97217.393450000003</v>
      </c>
      <c r="E22" s="107">
        <v>96540.964479999995</v>
      </c>
      <c r="F22" s="107">
        <v>95575.929019999996</v>
      </c>
      <c r="G22" s="107">
        <v>94481.133749999994</v>
      </c>
      <c r="H22" s="107">
        <v>93369.910749999995</v>
      </c>
      <c r="I22" s="107">
        <v>91950.033089999997</v>
      </c>
      <c r="J22" s="107">
        <v>90188.068660000004</v>
      </c>
      <c r="K22" s="107">
        <v>87877.820219999994</v>
      </c>
      <c r="L22" s="107">
        <v>84424.451419999998</v>
      </c>
      <c r="M22" s="107">
        <v>79380.982839999997</v>
      </c>
      <c r="N22" s="107">
        <v>73489.285189999995</v>
      </c>
      <c r="O22" s="107">
        <v>64752.964059999998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0.2933268</v>
      </c>
      <c r="C10" s="96">
        <v>0.95</v>
      </c>
      <c r="D10" s="56">
        <v>13.01281925603921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13.01281925603921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13.01281925603921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13.01281925603921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0.2933268</v>
      </c>
      <c r="C14" s="96">
        <v>0.95</v>
      </c>
      <c r="D14" s="56">
        <v>13.01281925603921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13.01281925603921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0.35743333333333299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0.51996969999999998</v>
      </c>
      <c r="C19" s="96">
        <v>0.95</v>
      </c>
      <c r="D19" s="56">
        <v>9.5596491969757462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4.2797375448782464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0.46481329675995198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0.48848520000000001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0.59367320000000001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1.3899999999999999E-2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0.26</v>
      </c>
      <c r="C32" s="96">
        <v>0.95</v>
      </c>
      <c r="D32" s="56">
        <v>3.86952529898804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0.76766420000000002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5.8038399999999997E-2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4.2000000000000003E-2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0.77731530000000004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0.01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2.99</v>
      </c>
      <c r="C2" s="21">
        <f>'Baseline year population inputs'!C52</f>
        <v>2.99</v>
      </c>
      <c r="D2" s="21">
        <f>'Baseline year population inputs'!C53</f>
        <v>6.7080000000000002</v>
      </c>
      <c r="E2" s="21">
        <f>'Baseline year population inputs'!C54</f>
        <v>8.0079999999999991</v>
      </c>
      <c r="F2" s="21">
        <f>'Baseline year population inputs'!C55</f>
        <v>4.012666666666667</v>
      </c>
    </row>
    <row r="3" spans="1:6" ht="15.75" customHeight="1" x14ac:dyDescent="0.25">
      <c r="A3" s="3" t="s">
        <v>197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198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