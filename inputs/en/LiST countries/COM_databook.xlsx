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9709D39-873D-4F67-B367-980F69092091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A39" i="2"/>
  <c r="H38" i="2"/>
  <c r="G38" i="2"/>
  <c r="I38" i="2" s="1"/>
  <c r="A37" i="2"/>
  <c r="A36" i="2"/>
  <c r="A34" i="2"/>
  <c r="A31" i="2"/>
  <c r="A29" i="2"/>
  <c r="A28" i="2"/>
  <c r="A26" i="2"/>
  <c r="A23" i="2"/>
  <c r="A21" i="2"/>
  <c r="A20" i="2"/>
  <c r="A18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3" i="2"/>
  <c r="A19" i="2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<sst xmlns="http://schemas.openxmlformats.org/spreadsheetml/2006/main" count="2101" uniqueCount="341">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</sst>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115144.3310546875</v>
      </c>
    </row>
    <row r="8" spans="1:3" ht="15" customHeight="1" x14ac:dyDescent="0.25">
      <c r="B8" s="5" t="s">
        <v>8</v>
      </c>
      <c r="C8" s="44">
        <v>0.17899999999999999</v>
      </c>
    </row>
    <row r="9" spans="1:3" ht="15" customHeight="1" x14ac:dyDescent="0.25">
      <c r="B9" s="5" t="s">
        <v>9</v>
      </c>
      <c r="C9" s="45">
        <v>0.5</v>
      </c>
    </row>
    <row r="10" spans="1:3" ht="15" customHeight="1" x14ac:dyDescent="0.25">
      <c r="B10" s="5" t="s">
        <v>10</v>
      </c>
      <c r="C10" s="45">
        <v>0.44813041687011701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0.72199999999999998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8.2599999999999993E-2</v>
      </c>
    </row>
    <row r="24" spans="1:3" ht="15" customHeight="1" x14ac:dyDescent="0.25">
      <c r="B24" s="15" t="s">
        <v>22</v>
      </c>
      <c r="C24" s="45">
        <v>0.42909999999999998</v>
      </c>
    </row>
    <row r="25" spans="1:3" ht="15" customHeight="1" x14ac:dyDescent="0.25">
      <c r="B25" s="15" t="s">
        <v>23</v>
      </c>
      <c r="C25" s="45">
        <v>0.38800000000000001</v>
      </c>
    </row>
    <row r="26" spans="1:3" ht="15" customHeight="1" x14ac:dyDescent="0.25">
      <c r="B26" s="15" t="s">
        <v>24</v>
      </c>
      <c r="C26" s="45">
        <v>0.1003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0.22550533803534301</v>
      </c>
    </row>
    <row r="30" spans="1:3" ht="14.25" customHeight="1" x14ac:dyDescent="0.25">
      <c r="B30" s="25" t="s">
        <v>27</v>
      </c>
      <c r="C30" s="99">
        <v>9.9346175298700296E-2</v>
      </c>
    </row>
    <row r="31" spans="1:3" ht="14.25" customHeight="1" x14ac:dyDescent="0.25">
      <c r="B31" s="25" t="s">
        <v>28</v>
      </c>
      <c r="C31" s="99">
        <v>0.13120678480199499</v>
      </c>
    </row>
    <row r="32" spans="1:3" ht="14.25" customHeight="1" x14ac:dyDescent="0.25">
      <c r="B32" s="25" t="s">
        <v>29</v>
      </c>
      <c r="C32" s="99">
        <v>0.54394170186396207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25.751989999999999</v>
      </c>
    </row>
    <row r="38" spans="1:5" ht="15" customHeight="1" x14ac:dyDescent="0.25">
      <c r="B38" s="11" t="s">
        <v>34</v>
      </c>
      <c r="C38" s="43">
        <v>39.297609999999999</v>
      </c>
      <c r="D38" s="12"/>
      <c r="E38" s="13"/>
    </row>
    <row r="39" spans="1:5" ht="15" customHeight="1" x14ac:dyDescent="0.25">
      <c r="B39" s="11" t="s">
        <v>35</v>
      </c>
      <c r="C39" s="43">
        <v>49.716740000000001</v>
      </c>
      <c r="D39" s="12"/>
      <c r="E39" s="12"/>
    </row>
    <row r="40" spans="1:5" ht="15" customHeight="1" x14ac:dyDescent="0.25">
      <c r="B40" s="11" t="s">
        <v>36</v>
      </c>
      <c r="C40" s="100">
        <v>2.17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24.232230000000001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7.8993999999999991E-3</v>
      </c>
      <c r="D45" s="12"/>
    </row>
    <row r="46" spans="1:5" ht="15.75" customHeight="1" x14ac:dyDescent="0.25">
      <c r="B46" s="11" t="s">
        <v>41</v>
      </c>
      <c r="C46" s="45">
        <v>8.4877900000000006E-2</v>
      </c>
      <c r="D46" s="12"/>
    </row>
    <row r="47" spans="1:5" ht="15.75" customHeight="1" x14ac:dyDescent="0.25">
      <c r="B47" s="11" t="s">
        <v>42</v>
      </c>
      <c r="C47" s="45">
        <v>7.3488499999999998E-2</v>
      </c>
      <c r="D47" s="12"/>
      <c r="E47" s="13"/>
    </row>
    <row r="48" spans="1:5" ht="15" customHeight="1" x14ac:dyDescent="0.25">
      <c r="B48" s="11" t="s">
        <v>43</v>
      </c>
      <c r="C48" s="46">
        <v>0.83373419999999998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0.50987099999999996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0.23696138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24214</v>
      </c>
      <c r="C2" s="49">
        <v>51417.500000000007</v>
      </c>
      <c r="D2" s="49">
        <v>71583.5</v>
      </c>
      <c r="E2" s="49">
        <v>58207.5</v>
      </c>
      <c r="F2" s="49">
        <v>36050.5</v>
      </c>
      <c r="G2" s="17">
        <f t="shared" ref="G2:G13" si="0">C2+D2+E2+F2</f>
        <v>217259</v>
      </c>
      <c r="H2" s="17">
        <f t="shared" ref="H2:H13" si="1">(B2 + stillbirth*B2/(1000-stillbirth))/(1-abortion)</f>
        <v>28199.239549497612</v>
      </c>
      <c r="I2" s="17">
        <f t="shared" ref="I2:I13" si="2">G2-H2</f>
        <v>189059.76045050239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24216</v>
      </c>
      <c r="C3" s="50">
        <v>52597.5</v>
      </c>
      <c r="D3" s="50">
        <v>72090</v>
      </c>
      <c r="E3" s="50">
        <v>59374.5</v>
      </c>
      <c r="F3" s="50">
        <v>37633</v>
      </c>
      <c r="G3" s="17">
        <f t="shared" si="0"/>
        <v>221695</v>
      </c>
      <c r="H3" s="17">
        <f t="shared" si="1"/>
        <v>28201.568717710175</v>
      </c>
      <c r="I3" s="17">
        <f t="shared" si="2"/>
        <v>193493.43128228982</v>
      </c>
    </row>
    <row r="4" spans="1:9" ht="15.75" customHeight="1" x14ac:dyDescent="0.25">
      <c r="A4" s="5">
        <f t="shared" si="3"/>
        <v>2026</v>
      </c>
      <c r="B4" s="49">
        <v>24226</v>
      </c>
      <c r="C4" s="50">
        <v>53774</v>
      </c>
      <c r="D4" s="50">
        <v>72616</v>
      </c>
      <c r="E4" s="50">
        <v>60534</v>
      </c>
      <c r="F4" s="50">
        <v>39316</v>
      </c>
      <c r="G4" s="17">
        <f t="shared" si="0"/>
        <v>226240</v>
      </c>
      <c r="H4" s="17">
        <f t="shared" si="1"/>
        <v>28213.21455877299</v>
      </c>
      <c r="I4" s="17">
        <f t="shared" si="2"/>
        <v>198026.78544122702</v>
      </c>
    </row>
    <row r="5" spans="1:9" ht="15.75" customHeight="1" x14ac:dyDescent="0.25">
      <c r="A5" s="5">
        <f t="shared" si="3"/>
        <v>2027</v>
      </c>
      <c r="B5" s="49">
        <v>24245</v>
      </c>
      <c r="C5" s="50">
        <v>54920</v>
      </c>
      <c r="D5" s="50">
        <v>73183</v>
      </c>
      <c r="E5" s="50">
        <v>61699.5</v>
      </c>
      <c r="F5" s="50">
        <v>41046</v>
      </c>
      <c r="G5" s="17">
        <f t="shared" si="0"/>
        <v>230848.5</v>
      </c>
      <c r="H5" s="17">
        <f t="shared" si="1"/>
        <v>28235.341656792334</v>
      </c>
      <c r="I5" s="17">
        <f t="shared" si="2"/>
        <v>202613.15834320767</v>
      </c>
    </row>
    <row r="6" spans="1:9" ht="15.75" customHeight="1" x14ac:dyDescent="0.25">
      <c r="A6" s="5">
        <f t="shared" si="3"/>
        <v>2028</v>
      </c>
      <c r="B6" s="49">
        <v>24245</v>
      </c>
      <c r="C6" s="50">
        <v>56022.5</v>
      </c>
      <c r="D6" s="50">
        <v>73851.5</v>
      </c>
      <c r="E6" s="50">
        <v>62881</v>
      </c>
      <c r="F6" s="50">
        <v>42766</v>
      </c>
      <c r="G6" s="17">
        <f t="shared" si="0"/>
        <v>235521</v>
      </c>
      <c r="H6" s="17">
        <f t="shared" si="1"/>
        <v>28235.341656792334</v>
      </c>
      <c r="I6" s="17">
        <f t="shared" si="2"/>
        <v>207285.65834320767</v>
      </c>
    </row>
    <row r="7" spans="1:9" ht="15.75" customHeight="1" x14ac:dyDescent="0.25">
      <c r="A7" s="5">
        <f t="shared" si="3"/>
        <v>2029</v>
      </c>
      <c r="B7" s="49">
        <v>24308</v>
      </c>
      <c r="C7" s="50">
        <v>57033</v>
      </c>
      <c r="D7" s="50">
        <v>74694.5</v>
      </c>
      <c r="E7" s="50">
        <v>64078.5</v>
      </c>
      <c r="F7" s="50">
        <v>44406</v>
      </c>
      <c r="G7" s="17">
        <f t="shared" si="0"/>
        <v>240212</v>
      </c>
      <c r="H7" s="17">
        <f t="shared" si="1"/>
        <v>28308.710455488061</v>
      </c>
      <c r="I7" s="17">
        <f t="shared" si="2"/>
        <v>211903.28954451194</v>
      </c>
    </row>
    <row r="8" spans="1:9" ht="15.75" customHeight="1" x14ac:dyDescent="0.25">
      <c r="A8" s="5">
        <f t="shared" si="3"/>
        <v>2030</v>
      </c>
      <c r="B8" s="49">
        <v>24308</v>
      </c>
      <c r="C8" s="50">
        <v>57925.5</v>
      </c>
      <c r="D8" s="50">
        <v>75767.5</v>
      </c>
      <c r="E8" s="50">
        <v>65244</v>
      </c>
      <c r="F8" s="50">
        <v>45913</v>
      </c>
      <c r="G8" s="17">
        <f t="shared" si="0"/>
        <v>244850</v>
      </c>
      <c r="H8" s="17">
        <f t="shared" si="1"/>
        <v>28308.710455488061</v>
      </c>
      <c r="I8" s="17">
        <f t="shared" si="2"/>
        <v>216541.28954451194</v>
      </c>
    </row>
    <row r="9" spans="1:9" ht="15.75" customHeight="1" x14ac:dyDescent="0.25">
      <c r="A9" s="5">
        <f t="shared" si="3"/>
        <v>2031</v>
      </c>
      <c r="B9" s="49">
        <v>24305</v>
      </c>
      <c r="C9" s="50">
        <v>58708.5</v>
      </c>
      <c r="D9" s="50">
        <v>77085</v>
      </c>
      <c r="E9" s="50">
        <v>66315.5</v>
      </c>
      <c r="F9" s="50">
        <v>47270</v>
      </c>
      <c r="G9" s="17">
        <f t="shared" si="0"/>
        <v>249379</v>
      </c>
      <c r="H9" s="17">
        <f t="shared" si="1"/>
        <v>28305.216703169219</v>
      </c>
      <c r="I9" s="17">
        <f t="shared" si="2"/>
        <v>221073.78329683078</v>
      </c>
    </row>
    <row r="10" spans="1:9" ht="15.75" customHeight="1" x14ac:dyDescent="0.25">
      <c r="A10" s="5">
        <f t="shared" si="3"/>
        <v>2032</v>
      </c>
      <c r="B10" s="49">
        <v>24435</v>
      </c>
      <c r="C10" s="50">
        <v>59409.000000000007</v>
      </c>
      <c r="D10" s="50">
        <v>78655</v>
      </c>
      <c r="E10" s="50">
        <v>67184.5</v>
      </c>
      <c r="F10" s="50">
        <v>48485</v>
      </c>
      <c r="G10" s="17">
        <f t="shared" si="0"/>
        <v>253733.5</v>
      </c>
      <c r="H10" s="17">
        <f t="shared" si="1"/>
        <v>28456.612636985799</v>
      </c>
      <c r="I10" s="17">
        <f t="shared" si="2"/>
        <v>225276.88736301419</v>
      </c>
    </row>
    <row r="11" spans="1:9" ht="15.75" customHeight="1" x14ac:dyDescent="0.25">
      <c r="A11" s="5">
        <f t="shared" si="3"/>
        <v>2033</v>
      </c>
      <c r="B11" s="49">
        <v>24520</v>
      </c>
      <c r="C11" s="50">
        <v>60049.5</v>
      </c>
      <c r="D11" s="50">
        <v>80437.5</v>
      </c>
      <c r="E11" s="50">
        <v>67796</v>
      </c>
      <c r="F11" s="50">
        <v>49581</v>
      </c>
      <c r="G11" s="17">
        <f t="shared" si="0"/>
        <v>257864</v>
      </c>
      <c r="H11" s="17">
        <f t="shared" si="1"/>
        <v>28555.602286019719</v>
      </c>
      <c r="I11" s="17">
        <f t="shared" si="2"/>
        <v>229308.39771398029</v>
      </c>
    </row>
    <row r="12" spans="1:9" ht="15.75" customHeight="1" x14ac:dyDescent="0.25">
      <c r="A12" s="5">
        <f t="shared" si="3"/>
        <v>2034</v>
      </c>
      <c r="B12" s="49">
        <v>24580</v>
      </c>
      <c r="C12" s="50">
        <v>60615</v>
      </c>
      <c r="D12" s="50">
        <v>82257</v>
      </c>
      <c r="E12" s="50">
        <v>68304.5</v>
      </c>
      <c r="F12" s="50">
        <v>50593</v>
      </c>
      <c r="G12" s="17">
        <f t="shared" si="0"/>
        <v>261769.5</v>
      </c>
      <c r="H12" s="17">
        <f t="shared" si="1"/>
        <v>28625.4773323966</v>
      </c>
      <c r="I12" s="17">
        <f t="shared" si="2"/>
        <v>233144.02266760339</v>
      </c>
    </row>
    <row r="13" spans="1:9" ht="15.75" customHeight="1" x14ac:dyDescent="0.25">
      <c r="A13" s="5">
        <f t="shared" si="3"/>
        <v>2035</v>
      </c>
      <c r="B13" s="49">
        <v>24649</v>
      </c>
      <c r="C13" s="50">
        <v>61103</v>
      </c>
      <c r="D13" s="50">
        <v>83989</v>
      </c>
      <c r="E13" s="50">
        <v>68834.5</v>
      </c>
      <c r="F13" s="50">
        <v>51574.000000000007</v>
      </c>
      <c r="G13" s="17">
        <f t="shared" si="0"/>
        <v>265500.5</v>
      </c>
      <c r="H13" s="17">
        <f t="shared" si="1"/>
        <v>28705.833635730018</v>
      </c>
      <c r="I13" s="17">
        <f t="shared" si="2"/>
        <v>236794.66636426997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1.379560137956014E-2</v>
      </c>
    </row>
    <row r="4" spans="1:8" ht="15.75" customHeight="1" x14ac:dyDescent="0.25">
      <c r="B4" s="19" t="s">
        <v>69</v>
      </c>
      <c r="C4" s="101">
        <v>5.6293305629330617E-2</v>
      </c>
    </row>
    <row r="5" spans="1:8" ht="15.75" customHeight="1" x14ac:dyDescent="0.25">
      <c r="B5" s="19" t="s">
        <v>70</v>
      </c>
      <c r="C5" s="101">
        <v>7.5123207512320808E-2</v>
      </c>
    </row>
    <row r="6" spans="1:8" ht="15.75" customHeight="1" x14ac:dyDescent="0.25">
      <c r="B6" s="19" t="s">
        <v>71</v>
      </c>
      <c r="C6" s="101">
        <v>0.24197382419738189</v>
      </c>
    </row>
    <row r="7" spans="1:8" ht="15.75" customHeight="1" x14ac:dyDescent="0.25">
      <c r="B7" s="19" t="s">
        <v>72</v>
      </c>
      <c r="C7" s="101">
        <v>0.42879114287911452</v>
      </c>
    </row>
    <row r="8" spans="1:8" ht="15.75" customHeight="1" x14ac:dyDescent="0.25">
      <c r="B8" s="19" t="s">
        <v>73</v>
      </c>
      <c r="C8" s="101">
        <v>1.9423001942300211E-3</v>
      </c>
    </row>
    <row r="9" spans="1:8" ht="15.75" customHeight="1" x14ac:dyDescent="0.25">
      <c r="B9" s="19" t="s">
        <v>74</v>
      </c>
      <c r="C9" s="101">
        <v>7.2365807236580704E-2</v>
      </c>
    </row>
    <row r="10" spans="1:8" ht="15.75" customHeight="1" x14ac:dyDescent="0.25">
      <c r="B10" s="19" t="s">
        <v>75</v>
      </c>
      <c r="C10" s="101">
        <v>0.1097148109714812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0.2176685792070821</v>
      </c>
      <c r="D14" s="55">
        <v>0.2176685792070821</v>
      </c>
      <c r="E14" s="55">
        <v>0.2176685792070821</v>
      </c>
      <c r="F14" s="55">
        <v>0.2176685792070821</v>
      </c>
    </row>
    <row r="15" spans="1:8" ht="15.75" customHeight="1" x14ac:dyDescent="0.25">
      <c r="B15" s="19" t="s">
        <v>82</v>
      </c>
      <c r="C15" s="101">
        <v>0.37530106932612661</v>
      </c>
      <c r="D15" s="101">
        <v>0.37530106932612661</v>
      </c>
      <c r="E15" s="101">
        <v>0.37530106932612661</v>
      </c>
      <c r="F15" s="101">
        <v>0.37530106932612661</v>
      </c>
    </row>
    <row r="16" spans="1:8" ht="15.75" customHeight="1" x14ac:dyDescent="0.25">
      <c r="B16" s="19" t="s">
        <v>83</v>
      </c>
      <c r="C16" s="101">
        <v>3.5821246778556692E-2</v>
      </c>
      <c r="D16" s="101">
        <v>3.5821246778556692E-2</v>
      </c>
      <c r="E16" s="101">
        <v>3.5821246778556692E-2</v>
      </c>
      <c r="F16" s="101">
        <v>3.5821246778556692E-2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1.432879411494694E-2</v>
      </c>
      <c r="D18" s="101">
        <v>1.432879411494694E-2</v>
      </c>
      <c r="E18" s="101">
        <v>1.432879411494694E-2</v>
      </c>
      <c r="F18" s="101">
        <v>1.432879411494694E-2</v>
      </c>
    </row>
    <row r="19" spans="1:8" ht="15.75" customHeight="1" x14ac:dyDescent="0.25">
      <c r="B19" s="19" t="s">
        <v>86</v>
      </c>
      <c r="C19" s="101">
        <v>3.5525720169471892E-2</v>
      </c>
      <c r="D19" s="101">
        <v>3.5525720169471892E-2</v>
      </c>
      <c r="E19" s="101">
        <v>3.5525720169471892E-2</v>
      </c>
      <c r="F19" s="101">
        <v>3.5525720169471892E-2</v>
      </c>
    </row>
    <row r="20" spans="1:8" ht="15.75" customHeight="1" x14ac:dyDescent="0.25">
      <c r="B20" s="19" t="s">
        <v>87</v>
      </c>
      <c r="C20" s="101">
        <v>1.150709409319264E-3</v>
      </c>
      <c r="D20" s="101">
        <v>1.150709409319264E-3</v>
      </c>
      <c r="E20" s="101">
        <v>1.150709409319264E-3</v>
      </c>
      <c r="F20" s="101">
        <v>1.150709409319264E-3</v>
      </c>
    </row>
    <row r="21" spans="1:8" ht="15.75" customHeight="1" x14ac:dyDescent="0.25">
      <c r="B21" s="19" t="s">
        <v>88</v>
      </c>
      <c r="C21" s="101">
        <v>0.12968903990910491</v>
      </c>
      <c r="D21" s="101">
        <v>0.12968903990910491</v>
      </c>
      <c r="E21" s="101">
        <v>0.12968903990910491</v>
      </c>
      <c r="F21" s="101">
        <v>0.12968903990910491</v>
      </c>
    </row>
    <row r="22" spans="1:8" ht="15.75" customHeight="1" x14ac:dyDescent="0.25">
      <c r="B22" s="19" t="s">
        <v>89</v>
      </c>
      <c r="C22" s="101">
        <v>0.19051484108539171</v>
      </c>
      <c r="D22" s="101">
        <v>0.19051484108539171</v>
      </c>
      <c r="E22" s="101">
        <v>0.19051484108539171</v>
      </c>
      <c r="F22" s="101">
        <v>0.19051484108539171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8.8581871999999992E-2</v>
      </c>
    </row>
    <row r="27" spans="1:8" ht="15.75" customHeight="1" x14ac:dyDescent="0.25">
      <c r="B27" s="19" t="s">
        <v>92</v>
      </c>
      <c r="C27" s="101">
        <v>8.8641740000000007E-3</v>
      </c>
    </row>
    <row r="28" spans="1:8" ht="15.75" customHeight="1" x14ac:dyDescent="0.25">
      <c r="B28" s="19" t="s">
        <v>93</v>
      </c>
      <c r="C28" s="101">
        <v>0.15728592299999999</v>
      </c>
    </row>
    <row r="29" spans="1:8" ht="15.75" customHeight="1" x14ac:dyDescent="0.25">
      <c r="B29" s="19" t="s">
        <v>94</v>
      </c>
      <c r="C29" s="101">
        <v>0.170055973</v>
      </c>
    </row>
    <row r="30" spans="1:8" ht="15.75" customHeight="1" x14ac:dyDescent="0.25">
      <c r="B30" s="19" t="s">
        <v>95</v>
      </c>
      <c r="C30" s="101">
        <v>0.105793744</v>
      </c>
    </row>
    <row r="31" spans="1:8" ht="15.75" customHeight="1" x14ac:dyDescent="0.25">
      <c r="B31" s="19" t="s">
        <v>96</v>
      </c>
      <c r="C31" s="101">
        <v>0.111206134</v>
      </c>
    </row>
    <row r="32" spans="1:8" ht="15.75" customHeight="1" x14ac:dyDescent="0.25">
      <c r="B32" s="19" t="s">
        <v>97</v>
      </c>
      <c r="C32" s="101">
        <v>1.8849359E-2</v>
      </c>
    </row>
    <row r="33" spans="2:3" ht="15.75" customHeight="1" x14ac:dyDescent="0.25">
      <c r="B33" s="19" t="s">
        <v>98</v>
      </c>
      <c r="C33" s="101">
        <v>8.5214494999999987E-2</v>
      </c>
    </row>
    <row r="34" spans="2:3" ht="15.75" customHeight="1" x14ac:dyDescent="0.25">
      <c r="B34" s="19" t="s">
        <v>99</v>
      </c>
      <c r="C34" s="101">
        <v>0.25414832700000001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0.43950720799143184</v>
      </c>
      <c r="D2" s="52">
        <f>IFERROR(1-_xlfn.NORM.DIST(_xlfn.NORM.INV(SUM(D4:D5), 0, 1) + 1, 0, 1, TRUE), "")</f>
        <v>0.43950720799143184</v>
      </c>
      <c r="E2" s="52">
        <f>IFERROR(1-_xlfn.NORM.DIST(_xlfn.NORM.INV(SUM(E4:E5), 0, 1) + 1, 0, 1, TRUE), "")</f>
        <v>0.36279218724907158</v>
      </c>
      <c r="F2" s="52">
        <f>IFERROR(1-_xlfn.NORM.DIST(_xlfn.NORM.INV(SUM(F4:F5), 0, 1) + 1, 0, 1, TRUE), "")</f>
        <v>0.24646900939015914</v>
      </c>
      <c r="G2" s="52">
        <f>IFERROR(1-_xlfn.NORM.DIST(_xlfn.NORM.INV(SUM(G4:G5), 0, 1) + 1, 0, 1, TRUE), "")</f>
        <v>0.30134324492440423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0.36221289200856815</v>
      </c>
      <c r="D3" s="52">
        <f>IFERROR(_xlfn.NORM.DIST(_xlfn.NORM.INV(SUM(D4:D5), 0, 1) + 1, 0, 1, TRUE) - SUM(D4:D5), "")</f>
        <v>0.36221289200856815</v>
      </c>
      <c r="E3" s="52">
        <f>IFERROR(_xlfn.NORM.DIST(_xlfn.NORM.INV(SUM(E4:E5), 0, 1) + 1, 0, 1, TRUE) - SUM(E4:E5), "")</f>
        <v>0.37903691275092843</v>
      </c>
      <c r="F3" s="52">
        <f>IFERROR(_xlfn.NORM.DIST(_xlfn.NORM.INV(SUM(F4:F5), 0, 1) + 1, 0, 1, TRUE) - SUM(F4:F5), "")</f>
        <v>0.37690589060984081</v>
      </c>
      <c r="G3" s="52">
        <f>IFERROR(_xlfn.NORM.DIST(_xlfn.NORM.INV(SUM(G4:G5), 0, 1) + 1, 0, 1, TRUE) - SUM(G4:G5), "")</f>
        <v>0.38285065507559579</v>
      </c>
    </row>
    <row r="4" spans="1:15" ht="15.75" customHeight="1" x14ac:dyDescent="0.25">
      <c r="B4" s="5" t="s">
        <v>104</v>
      </c>
      <c r="C4" s="45">
        <v>0.12910369999999999</v>
      </c>
      <c r="D4" s="53">
        <v>0.12910369999999999</v>
      </c>
      <c r="E4" s="53">
        <v>0.13079950000000001</v>
      </c>
      <c r="F4" s="53">
        <v>0.16891010000000001</v>
      </c>
      <c r="G4" s="53">
        <v>0.1503497</v>
      </c>
    </row>
    <row r="5" spans="1:15" ht="15.75" customHeight="1" x14ac:dyDescent="0.25">
      <c r="B5" s="5" t="s">
        <v>105</v>
      </c>
      <c r="C5" s="45">
        <v>6.9176200000000007E-2</v>
      </c>
      <c r="D5" s="53">
        <v>6.9176200000000007E-2</v>
      </c>
      <c r="E5" s="53">
        <v>0.1273714</v>
      </c>
      <c r="F5" s="53">
        <v>0.20771500000000001</v>
      </c>
      <c r="G5" s="53">
        <v>0.1654564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0.46382904044899265</v>
      </c>
      <c r="D8" s="52">
        <f>IFERROR(1-_xlfn.NORM.DIST(_xlfn.NORM.INV(SUM(D10:D11), 0, 1) + 1, 0, 1, TRUE), "")</f>
        <v>0.46382904044899265</v>
      </c>
      <c r="E8" s="52">
        <f>IFERROR(1-_xlfn.NORM.DIST(_xlfn.NORM.INV(SUM(E10:E11), 0, 1) + 1, 0, 1, TRUE), "")</f>
        <v>0.45825878111230722</v>
      </c>
      <c r="F8" s="52">
        <f>IFERROR(1-_xlfn.NORM.DIST(_xlfn.NORM.INV(SUM(F10:F11), 0, 1) + 1, 0, 1, TRUE), "")</f>
        <v>0.56236268471227269</v>
      </c>
      <c r="G8" s="52">
        <f>IFERROR(1-_xlfn.NORM.DIST(_xlfn.NORM.INV(SUM(G10:G11), 0, 1) + 1, 0, 1, TRUE), "")</f>
        <v>0.64757413294160016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0.35455085955100735</v>
      </c>
      <c r="D9" s="52">
        <f>IFERROR(_xlfn.NORM.DIST(_xlfn.NORM.INV(SUM(D10:D11), 0, 1) + 1, 0, 1, TRUE) - SUM(D10:D11), "")</f>
        <v>0.35455085955100735</v>
      </c>
      <c r="E9" s="52">
        <f>IFERROR(_xlfn.NORM.DIST(_xlfn.NORM.INV(SUM(E10:E11), 0, 1) + 1, 0, 1, TRUE) - SUM(E10:E11), "")</f>
        <v>0.35639541888769277</v>
      </c>
      <c r="F9" s="52">
        <f>IFERROR(_xlfn.NORM.DIST(_xlfn.NORM.INV(SUM(F10:F11), 0, 1) + 1, 0, 1, TRUE) - SUM(F10:F11), "")</f>
        <v>0.3139934152877274</v>
      </c>
      <c r="G9" s="52">
        <f>IFERROR(_xlfn.NORM.DIST(_xlfn.NORM.INV(SUM(G10:G11), 0, 1) + 1, 0, 1, TRUE) - SUM(G10:G11), "")</f>
        <v>0.26844446705839986</v>
      </c>
    </row>
    <row r="10" spans="1:15" ht="15.75" customHeight="1" x14ac:dyDescent="0.25">
      <c r="B10" s="5" t="s">
        <v>109</v>
      </c>
      <c r="C10" s="45">
        <v>8.3225900000000005E-2</v>
      </c>
      <c r="D10" s="53">
        <v>8.3225900000000005E-2</v>
      </c>
      <c r="E10" s="53">
        <v>0.12705050000000001</v>
      </c>
      <c r="F10" s="53">
        <v>8.5907600000000001E-2</v>
      </c>
      <c r="G10" s="53">
        <v>4.8662900000000002E-2</v>
      </c>
    </row>
    <row r="11" spans="1:15" ht="15.75" customHeight="1" x14ac:dyDescent="0.25">
      <c r="B11" s="5" t="s">
        <v>110</v>
      </c>
      <c r="C11" s="45">
        <v>9.8394200000000001E-2</v>
      </c>
      <c r="D11" s="53">
        <v>9.8394200000000001E-2</v>
      </c>
      <c r="E11" s="53">
        <v>5.8295300000000001E-2</v>
      </c>
      <c r="F11" s="53">
        <v>3.77363E-2</v>
      </c>
      <c r="G11" s="53">
        <v>3.5318500000000003E-2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0.63803419224999991</v>
      </c>
      <c r="D14" s="54">
        <v>0.63816869495700002</v>
      </c>
      <c r="E14" s="54">
        <v>0.63816869495700002</v>
      </c>
      <c r="F14" s="54">
        <v>0.43302120201400002</v>
      </c>
      <c r="G14" s="54">
        <v>0.43302120201400002</v>
      </c>
      <c r="H14" s="45">
        <v>0.34200000000000003</v>
      </c>
      <c r="I14" s="55">
        <v>0.34200000000000003</v>
      </c>
      <c r="J14" s="55">
        <v>0.34200000000000003</v>
      </c>
      <c r="K14" s="55">
        <v>0.34200000000000003</v>
      </c>
      <c r="L14" s="45">
        <v>0.28799999999999998</v>
      </c>
      <c r="M14" s="55">
        <v>0.28799999999999998</v>
      </c>
      <c r="N14" s="55">
        <v>0.28799999999999998</v>
      </c>
      <c r="O14" s="55">
        <v>0.28799999999999998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0.32531513163669967</v>
      </c>
      <c r="D15" s="52">
        <f t="shared" si="0"/>
        <v>0.32538371066642052</v>
      </c>
      <c r="E15" s="52">
        <f t="shared" si="0"/>
        <v>0.32538371066642052</v>
      </c>
      <c r="F15" s="52">
        <f t="shared" si="0"/>
        <v>0.2207849532920802</v>
      </c>
      <c r="G15" s="52">
        <f t="shared" si="0"/>
        <v>0.2207849532920802</v>
      </c>
      <c r="H15" s="52">
        <f t="shared" si="0"/>
        <v>0.17437588200000001</v>
      </c>
      <c r="I15" s="52">
        <f t="shared" si="0"/>
        <v>0.17437588200000001</v>
      </c>
      <c r="J15" s="52">
        <f t="shared" si="0"/>
        <v>0.17437588200000001</v>
      </c>
      <c r="K15" s="52">
        <f t="shared" si="0"/>
        <v>0.17437588200000001</v>
      </c>
      <c r="L15" s="52">
        <f t="shared" si="0"/>
        <v>0.14684284799999997</v>
      </c>
      <c r="M15" s="52">
        <f t="shared" si="0"/>
        <v>0.14684284799999997</v>
      </c>
      <c r="N15" s="52">
        <f t="shared" si="0"/>
        <v>0.14684284799999997</v>
      </c>
      <c r="O15" s="52">
        <f t="shared" si="0"/>
        <v>0.14684284799999997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0.21005280000000001</v>
      </c>
      <c r="D2" s="53">
        <v>0.10688060000000001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0.49141610000000002</v>
      </c>
      <c r="D3" s="53">
        <v>0.3412442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0.23050219999999999</v>
      </c>
      <c r="D4" s="53">
        <v>0.4981411</v>
      </c>
      <c r="E4" s="53">
        <v>0.87793460000000001</v>
      </c>
      <c r="F4" s="53">
        <v>0.65165729999999999</v>
      </c>
      <c r="G4" s="53">
        <v>0</v>
      </c>
    </row>
    <row r="5" spans="1:7" x14ac:dyDescent="0.25">
      <c r="B5" s="3" t="s">
        <v>122</v>
      </c>
      <c r="C5" s="52">
        <v>6.8028900000000003E-2</v>
      </c>
      <c r="D5" s="52">
        <v>5.3733999999999997E-2</v>
      </c>
      <c r="E5" s="52">
        <f>1-SUM(E2:E4)</f>
        <v>0.12206539999999999</v>
      </c>
      <c r="F5" s="52">
        <f>1-SUM(F2:F4)</f>
        <v>0.34834270000000001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0.44811748245549438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0.2139553248340432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0.78848199824391296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0.36842760036992361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0.125552</v>
      </c>
      <c r="C10" s="98">
        <v>0.95</v>
      </c>
      <c r="D10" s="56">
        <v>15.06077994466111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15.06077994466111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15.06077994466111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15.06077994466111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0.125552</v>
      </c>
      <c r="C14" s="98">
        <v>0.95</v>
      </c>
      <c r="D14" s="56">
        <v>15.06077994466111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15.06077994466111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0.41392640000000003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0.60599999999999998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0.10688060000000001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25.674441615856921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0.56810229999999995</v>
      </c>
      <c r="C23" s="98">
        <v>0.95</v>
      </c>
      <c r="D23" s="56">
        <v>4.9386229663401986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0.42426401169421402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0.125552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0.37546259999999998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0.21526239999999999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0.25009999999999999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0.23</v>
      </c>
      <c r="C32" s="98">
        <v>0.95</v>
      </c>
      <c r="D32" s="56">
        <v>1.2084343668738231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0.15573529999999999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0.6041609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8.7560000000000003E-4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0.59496380000000004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2E-3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0.21638734000000001</v>
      </c>
      <c r="C3" s="21">
        <f>frac_mam_1_5months * 2.6</f>
        <v>0.21638734000000001</v>
      </c>
      <c r="D3" s="21">
        <f>frac_mam_6_11months * 2.6</f>
        <v>0.33033130000000005</v>
      </c>
      <c r="E3" s="21">
        <f>frac_mam_12_23months * 2.6</f>
        <v>0.22335976000000002</v>
      </c>
      <c r="F3" s="21">
        <f>frac_mam_24_59months * 2.6</f>
        <v>0.12652354000000002</v>
      </c>
    </row>
    <row r="4" spans="1:6" ht="15.75" customHeight="1" x14ac:dyDescent="0.25">
      <c r="A4" s="3" t="s">
        <v>205</v>
      </c>
      <c r="B4" s="21">
        <f>frac_sam_1month * 2.6</f>
        <v>0.25582492000000001</v>
      </c>
      <c r="C4" s="21">
        <f>frac_sam_1_5months * 2.6</f>
        <v>0.25582492000000001</v>
      </c>
      <c r="D4" s="21">
        <f>frac_sam_6_11months * 2.6</f>
        <v>0.15156778000000001</v>
      </c>
      <c r="E4" s="21">
        <f>frac_sam_12_23months * 2.6</f>
        <v>9.8114380000000001E-2</v>
      </c>
      <c r="F4" s="21">
        <f>frac_sam_24_59months * 2.6</f>
        <v>9.182810000000001E-2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0.17899999999999999</v>
      </c>
      <c r="E2" s="60">
        <f>food_insecure</f>
        <v>0.17899999999999999</v>
      </c>
      <c r="F2" s="60">
        <f>food_insecure</f>
        <v>0.17899999999999999</v>
      </c>
      <c r="G2" s="60">
        <f>food_insecure</f>
        <v>0.17899999999999999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0.17899999999999999</v>
      </c>
      <c r="F5" s="60">
        <f>food_insecure</f>
        <v>0.17899999999999999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0.17899999999999999</v>
      </c>
      <c r="F8" s="60">
        <f>food_insecure</f>
        <v>0.17899999999999999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0.17899999999999999</v>
      </c>
      <c r="F9" s="60">
        <f>food_insecure</f>
        <v>0.17899999999999999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0.17899999999999999</v>
      </c>
      <c r="I15" s="60">
        <f>food_insecure</f>
        <v>0.17899999999999999</v>
      </c>
      <c r="J15" s="60">
        <f>food_insecure</f>
        <v>0.17899999999999999</v>
      </c>
      <c r="K15" s="60">
        <f>food_insecure</f>
        <v>0.17899999999999999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</v>
      </c>
      <c r="I19" s="60">
        <f>frac_malaria_risk</f>
        <v>0.5</v>
      </c>
      <c r="J19" s="60">
        <f>frac_malaria_risk</f>
        <v>0.5</v>
      </c>
      <c r="K19" s="60">
        <f>frac_malaria_risk</f>
        <v>0.5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0.72199999999999998</v>
      </c>
      <c r="M24" s="60">
        <f>famplan_unmet_need</f>
        <v>0.72199999999999998</v>
      </c>
      <c r="N24" s="60">
        <f>famplan_unmet_need</f>
        <v>0.72199999999999998</v>
      </c>
      <c r="O24" s="60">
        <f>famplan_unmet_need</f>
        <v>0.72199999999999998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0.29116087336349494</v>
      </c>
      <c r="M25" s="60">
        <f>(1-food_insecure)*(0.49)+food_insecure*(0.7)</f>
        <v>0.52759</v>
      </c>
      <c r="N25" s="60">
        <f>(1-food_insecure)*(0.49)+food_insecure*(0.7)</f>
        <v>0.52759</v>
      </c>
      <c r="O25" s="60">
        <f>(1-food_insecure)*(0.49)+food_insecure*(0.7)</f>
        <v>0.52759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0.12478323144149783</v>
      </c>
      <c r="M26" s="60">
        <f>(1-food_insecure)*(0.21)+food_insecure*(0.3)</f>
        <v>0.22610999999999998</v>
      </c>
      <c r="N26" s="60">
        <f>(1-food_insecure)*(0.21)+food_insecure*(0.3)</f>
        <v>0.22610999999999998</v>
      </c>
      <c r="O26" s="60">
        <f>(1-food_insecure)*(0.21)+food_insecure*(0.3)</f>
        <v>0.22610999999999998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0.13592547832489016</v>
      </c>
      <c r="M27" s="60">
        <f>(1-food_insecure)*(0.3)</f>
        <v>0.24629999999999996</v>
      </c>
      <c r="N27" s="60">
        <f>(1-food_insecure)*(0.3)</f>
        <v>0.24629999999999996</v>
      </c>
      <c r="O27" s="60">
        <f>(1-food_insecure)*(0.3)</f>
        <v>0.24629999999999996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0.44813041687011701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0.5</v>
      </c>
      <c r="D34" s="60">
        <f t="shared" si="3"/>
        <v>0.5</v>
      </c>
      <c r="E34" s="60">
        <f t="shared" si="3"/>
        <v>0.5</v>
      </c>
      <c r="F34" s="60">
        <f t="shared" si="3"/>
        <v>0.5</v>
      </c>
      <c r="G34" s="60">
        <f t="shared" si="3"/>
        <v>0.5</v>
      </c>
      <c r="H34" s="60">
        <f t="shared" si="3"/>
        <v>0.5</v>
      </c>
      <c r="I34" s="60">
        <f t="shared" si="3"/>
        <v>0.5</v>
      </c>
      <c r="J34" s="60">
        <f t="shared" si="3"/>
        <v>0.5</v>
      </c>
      <c r="K34" s="60">
        <f t="shared" si="3"/>
        <v>0.5</v>
      </c>
      <c r="L34" s="60">
        <f t="shared" si="3"/>
        <v>0.5</v>
      </c>
      <c r="M34" s="60">
        <f t="shared" si="3"/>
        <v>0.5</v>
      </c>
      <c r="N34" s="60">
        <f t="shared" si="3"/>
        <v>0.5</v>
      </c>
      <c r="O34" s="60">
        <f t="shared" si="3"/>
        <v>0.5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0.10425605719440612</v>
      </c>
      <c r="G18" s="90">
        <f>MIN(MAX(1-0.89/(1-frac_sam_12_23months+(frac_sam_12_23months*0.89)),0),1)</f>
        <v>0.10629021694651342</v>
      </c>
      <c r="H18" s="90">
        <f>MIN(MAX(1-0.89/(1-frac_sam_24_59months+(frac_sam_24_59months*0.89)),0),1)</f>
        <v>0.10652883324566853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9.7385460864512385E-2</v>
      </c>
      <c r="G20" s="90">
        <f>MIN(MAX(1-0.89/(1-frac_mam_12_23months+(frac_mam_12_23months*0.89)),0),1)</f>
        <v>0.10150941128913893</v>
      </c>
      <c r="H20" s="90">
        <f>MIN(MAX(1-0.89/(1-frac_mam_24_59months+(frac_mam_24_59months*0.89)),0),1)</f>
        <v>0.10521026301589287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9.4225398979010944E-3</v>
      </c>
      <c r="G73" s="90">
        <f>MIN(MAX(1-0.99/(1-frac_sam_12_23months+(frac_sam_12_23months*0.99)),0),1)</f>
        <v>9.6262695979744128E-3</v>
      </c>
      <c r="H73" s="90">
        <f>MIN(MAX(1-0.99/(1-frac_sam_24_59months+(frac_sam_24_59months*0.99)),0),1)</f>
        <v>9.6502233141211313E-3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8.7405999759725406E-3</v>
      </c>
      <c r="G75" s="90">
        <f>MIN(MAX(1-0.99/(1-frac_mam_12_23months+(frac_mam_12_23months*0.99)),0),1)</f>
        <v>9.1487835003343232E-3</v>
      </c>
      <c r="H75" s="90">
        <f>MIN(MAX(1-0.99/(1-frac_mam_24_59months+(frac_mam_24_59months*0.99)),0),1)</f>
        <v>9.5180027361535524E-3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0.1905627222120333</v>
      </c>
      <c r="G128" s="90">
        <f>MIN(MAX(1-0.8/(1-frac_sam_12_23months+(frac_sam_12_23months*0.8)),0),1)</f>
        <v>0.19391627655741073</v>
      </c>
      <c r="H128" s="90">
        <f>MIN(MAX(1-0.8/(1-frac_sam_24_59months+(frac_sam_24_59months*0.8)),0),1)</f>
        <v>0.19430883934850596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0.17914191394759982</v>
      </c>
      <c r="G130" s="90">
        <f>MIN(MAX(1-0.8/(1-frac_mam_12_23months+(frac_mam_12_23months*0.8)),0),1)</f>
        <v>0.18601449170959827</v>
      </c>
      <c r="H130" s="90">
        <f>MIN(MAX(1-0.8/(1-frac_mam_24_59months+(frac_mam_24_59months*0.8)),0),1)</f>
        <v>0.19213741274048979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2024-08-06T06:31:15Z</dcterms:modified>
</cp:coreProperties>
</file>