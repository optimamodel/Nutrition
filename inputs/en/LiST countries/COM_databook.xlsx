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36B5543-641B-43AB-8A3E-B108449FF64C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4" i="2"/>
  <c r="A5" i="2" s="1"/>
  <c r="A6" i="2" s="1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<sst xmlns="http://schemas.openxmlformats.org/spreadsheetml/2006/main" count="2092" uniqueCount="341">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</sst>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115144.3310546875</v>
      </c>
    </row>
    <row r="8" spans="1:3" ht="15" customHeight="1" x14ac:dyDescent="0.25">
      <c r="B8" s="5" t="s">
        <v>8</v>
      </c>
      <c r="C8" s="44">
        <v>0.17899999999999999</v>
      </c>
    </row>
    <row r="9" spans="1:3" ht="15" customHeight="1" x14ac:dyDescent="0.25">
      <c r="B9" s="5" t="s">
        <v>9</v>
      </c>
      <c r="C9" s="45">
        <v>0.5</v>
      </c>
    </row>
    <row r="10" spans="1:3" ht="15" customHeight="1" x14ac:dyDescent="0.25">
      <c r="B10" s="5" t="s">
        <v>10</v>
      </c>
      <c r="C10" s="45">
        <v>0.44813041687011701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8.2599999999999993E-2</v>
      </c>
    </row>
    <row r="24" spans="1:3" ht="15" customHeight="1" x14ac:dyDescent="0.25">
      <c r="B24" s="15" t="s">
        <v>22</v>
      </c>
      <c r="C24" s="45">
        <v>0.42909999999999998</v>
      </c>
    </row>
    <row r="25" spans="1:3" ht="15" customHeight="1" x14ac:dyDescent="0.25">
      <c r="B25" s="15" t="s">
        <v>23</v>
      </c>
      <c r="C25" s="45">
        <v>0.38800000000000001</v>
      </c>
    </row>
    <row r="26" spans="1:3" ht="15" customHeight="1" x14ac:dyDescent="0.25">
      <c r="B26" s="15" t="s">
        <v>24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0.22550533803534301</v>
      </c>
    </row>
    <row r="30" spans="1:3" ht="14.25" customHeight="1" x14ac:dyDescent="0.25">
      <c r="B30" s="25" t="s">
        <v>27</v>
      </c>
      <c r="C30" s="99">
        <v>9.9346175298700296E-2</v>
      </c>
    </row>
    <row r="31" spans="1:3" ht="14.25" customHeight="1" x14ac:dyDescent="0.25">
      <c r="B31" s="25" t="s">
        <v>28</v>
      </c>
      <c r="C31" s="99">
        <v>0.13120678480199499</v>
      </c>
    </row>
    <row r="32" spans="1:3" ht="14.25" customHeight="1" x14ac:dyDescent="0.25">
      <c r="B32" s="25" t="s">
        <v>29</v>
      </c>
      <c r="C32" s="99">
        <v>0.54394170186396207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25.751989999999999</v>
      </c>
    </row>
    <row r="38" spans="1:5" ht="15" customHeight="1" x14ac:dyDescent="0.25">
      <c r="B38" s="11" t="s">
        <v>34</v>
      </c>
      <c r="C38" s="43">
        <v>39.297609999999999</v>
      </c>
      <c r="D38" s="12"/>
      <c r="E38" s="13"/>
    </row>
    <row r="39" spans="1:5" ht="15" customHeight="1" x14ac:dyDescent="0.25">
      <c r="B39" s="11" t="s">
        <v>35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100">
        <v>2.17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7.8993999999999991E-3</v>
      </c>
      <c r="D45" s="12"/>
    </row>
    <row r="46" spans="1:5" ht="15.75" customHeight="1" x14ac:dyDescent="0.25">
      <c r="B46" s="11" t="s">
        <v>41</v>
      </c>
      <c r="C46" s="45">
        <v>8.4877900000000006E-2</v>
      </c>
      <c r="D46" s="12"/>
    </row>
    <row r="47" spans="1:5" ht="15.75" customHeight="1" x14ac:dyDescent="0.25">
      <c r="B47" s="11" t="s">
        <v>42</v>
      </c>
      <c r="C47" s="45">
        <v>7.3488499999999998E-2</v>
      </c>
      <c r="D47" s="12"/>
      <c r="E47" s="13"/>
    </row>
    <row r="48" spans="1:5" ht="15" customHeight="1" x14ac:dyDescent="0.25">
      <c r="B48" s="11" t="s">
        <v>43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0.50987099999999996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0.23696138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27604.583999999999</v>
      </c>
      <c r="C2" s="49">
        <v>48000</v>
      </c>
      <c r="D2" s="49">
        <v>80000</v>
      </c>
      <c r="E2" s="49">
        <v>64000</v>
      </c>
      <c r="F2" s="49">
        <v>45000</v>
      </c>
      <c r="G2" s="17">
        <f t="shared" ref="G2:G13" si="0">C2+D2+E2+F2</f>
        <v>237000</v>
      </c>
      <c r="H2" s="17">
        <f t="shared" ref="H2:H13" si="1">(B2 + stillbirth*B2/(1000-stillbirth))/(1-abortion)</f>
        <v>32147.859786909601</v>
      </c>
      <c r="I2" s="17">
        <f t="shared" ref="I2:I13" si="2">G2-H2</f>
        <v>204852.1402130904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27777.525000000001</v>
      </c>
      <c r="C3" s="50">
        <v>49000</v>
      </c>
      <c r="D3" s="50">
        <v>81000</v>
      </c>
      <c r="E3" s="50">
        <v>65000</v>
      </c>
      <c r="F3" s="50">
        <v>46000</v>
      </c>
      <c r="G3" s="17">
        <f t="shared" si="0"/>
        <v>241000</v>
      </c>
      <c r="H3" s="17">
        <f t="shared" si="1"/>
        <v>32349.264126834012</v>
      </c>
      <c r="I3" s="17">
        <f t="shared" si="2"/>
        <v>208650.73587316598</v>
      </c>
    </row>
    <row r="4" spans="1:9" ht="15.75" customHeight="1" x14ac:dyDescent="0.25">
      <c r="A4" s="5">
        <f t="shared" si="3"/>
        <v>2026</v>
      </c>
      <c r="B4" s="49">
        <v>27984.5664</v>
      </c>
      <c r="C4" s="50">
        <v>50000</v>
      </c>
      <c r="D4" s="50">
        <v>83000</v>
      </c>
      <c r="E4" s="50">
        <v>66000</v>
      </c>
      <c r="F4" s="50">
        <v>48000</v>
      </c>
      <c r="G4" s="17">
        <f t="shared" si="0"/>
        <v>247000</v>
      </c>
      <c r="H4" s="17">
        <f t="shared" si="1"/>
        <v>32590.381250616254</v>
      </c>
      <c r="I4" s="17">
        <f t="shared" si="2"/>
        <v>214409.61874938375</v>
      </c>
    </row>
    <row r="5" spans="1:9" ht="15.75" customHeight="1" x14ac:dyDescent="0.25">
      <c r="A5" s="5">
        <f t="shared" si="3"/>
        <v>2027</v>
      </c>
      <c r="B5" s="49">
        <v>28178.482599999999</v>
      </c>
      <c r="C5" s="50">
        <v>51000</v>
      </c>
      <c r="D5" s="50">
        <v>85000</v>
      </c>
      <c r="E5" s="50">
        <v>68000</v>
      </c>
      <c r="F5" s="50">
        <v>50000</v>
      </c>
      <c r="G5" s="17">
        <f t="shared" si="0"/>
        <v>254000</v>
      </c>
      <c r="H5" s="17">
        <f t="shared" si="1"/>
        <v>32816.212975086739</v>
      </c>
      <c r="I5" s="17">
        <f t="shared" si="2"/>
        <v>221183.78702491327</v>
      </c>
    </row>
    <row r="6" spans="1:9" ht="15.75" customHeight="1" x14ac:dyDescent="0.25">
      <c r="A6" s="5">
        <f t="shared" si="3"/>
        <v>2028</v>
      </c>
      <c r="B6" s="49">
        <v>28387.022399999991</v>
      </c>
      <c r="C6" s="50">
        <v>52000</v>
      </c>
      <c r="D6" s="50">
        <v>87000</v>
      </c>
      <c r="E6" s="50">
        <v>68000</v>
      </c>
      <c r="F6" s="50">
        <v>51000</v>
      </c>
      <c r="G6" s="17">
        <f t="shared" si="0"/>
        <v>258000</v>
      </c>
      <c r="H6" s="17">
        <f t="shared" si="1"/>
        <v>33059.075111693826</v>
      </c>
      <c r="I6" s="17">
        <f t="shared" si="2"/>
        <v>224940.92488830618</v>
      </c>
    </row>
    <row r="7" spans="1:9" ht="15.75" customHeight="1" x14ac:dyDescent="0.25">
      <c r="A7" s="5">
        <f t="shared" si="3"/>
        <v>2029</v>
      </c>
      <c r="B7" s="49">
        <v>28554.342799999991</v>
      </c>
      <c r="C7" s="50">
        <v>53000</v>
      </c>
      <c r="D7" s="50">
        <v>89000</v>
      </c>
      <c r="E7" s="50">
        <v>70000</v>
      </c>
      <c r="F7" s="50">
        <v>53000</v>
      </c>
      <c r="G7" s="17">
        <f t="shared" si="0"/>
        <v>265000</v>
      </c>
      <c r="H7" s="17">
        <f t="shared" si="1"/>
        <v>33253.933790190473</v>
      </c>
      <c r="I7" s="17">
        <f t="shared" si="2"/>
        <v>231746.06620980953</v>
      </c>
    </row>
    <row r="8" spans="1:9" ht="15.75" customHeight="1" x14ac:dyDescent="0.25">
      <c r="A8" s="5">
        <f t="shared" si="3"/>
        <v>2030</v>
      </c>
      <c r="B8" s="49">
        <v>28735.596000000001</v>
      </c>
      <c r="C8" s="50">
        <v>54000</v>
      </c>
      <c r="D8" s="50">
        <v>90000</v>
      </c>
      <c r="E8" s="50">
        <v>72000</v>
      </c>
      <c r="F8" s="50">
        <v>55000</v>
      </c>
      <c r="G8" s="17">
        <f t="shared" si="0"/>
        <v>271000</v>
      </c>
      <c r="H8" s="17">
        <f t="shared" si="1"/>
        <v>33465.018386123127</v>
      </c>
      <c r="I8" s="17">
        <f t="shared" si="2"/>
        <v>237534.98161387688</v>
      </c>
    </row>
    <row r="9" spans="1:9" ht="15.75" customHeight="1" x14ac:dyDescent="0.25">
      <c r="A9" s="5">
        <f t="shared" si="3"/>
        <v>2031</v>
      </c>
      <c r="B9" s="49">
        <v>28897.16914285715</v>
      </c>
      <c r="C9" s="50">
        <v>54857.142857142862</v>
      </c>
      <c r="D9" s="50">
        <v>91428.571428571435</v>
      </c>
      <c r="E9" s="50">
        <v>73142.857142857145</v>
      </c>
      <c r="F9" s="50">
        <v>56428.571428571428</v>
      </c>
      <c r="G9" s="17">
        <f t="shared" si="0"/>
        <v>275857.14285714284</v>
      </c>
      <c r="H9" s="17">
        <f t="shared" si="1"/>
        <v>33653.183900296499</v>
      </c>
      <c r="I9" s="17">
        <f t="shared" si="2"/>
        <v>242203.95895684633</v>
      </c>
    </row>
    <row r="10" spans="1:9" ht="15.75" customHeight="1" x14ac:dyDescent="0.25">
      <c r="A10" s="5">
        <f t="shared" si="3"/>
        <v>2032</v>
      </c>
      <c r="B10" s="49">
        <v>29057.118306122451</v>
      </c>
      <c r="C10" s="50">
        <v>55693.877551020407</v>
      </c>
      <c r="D10" s="50">
        <v>92918.367346938787</v>
      </c>
      <c r="E10" s="50">
        <v>74306.1224489796</v>
      </c>
      <c r="F10" s="50">
        <v>57918.367346938772</v>
      </c>
      <c r="G10" s="17">
        <f t="shared" si="0"/>
        <v>280836.73469387757</v>
      </c>
      <c r="H10" s="17">
        <f t="shared" si="1"/>
        <v>33839.458153648273</v>
      </c>
      <c r="I10" s="17">
        <f t="shared" si="2"/>
        <v>246997.2765402293</v>
      </c>
    </row>
    <row r="11" spans="1:9" ht="15.75" customHeight="1" x14ac:dyDescent="0.25">
      <c r="A11" s="5">
        <f t="shared" si="3"/>
        <v>2033</v>
      </c>
      <c r="B11" s="49">
        <v>29210.340006997088</v>
      </c>
      <c r="C11" s="50">
        <v>56507.28862973761</v>
      </c>
      <c r="D11" s="50">
        <v>94335.27696793004</v>
      </c>
      <c r="E11" s="50">
        <v>75492.711370262405</v>
      </c>
      <c r="F11" s="50">
        <v>59335.276967930033</v>
      </c>
      <c r="G11" s="17">
        <f t="shared" si="0"/>
        <v>285670.55393586011</v>
      </c>
      <c r="H11" s="17">
        <f t="shared" si="1"/>
        <v>34017.897711224279</v>
      </c>
      <c r="I11" s="17">
        <f t="shared" si="2"/>
        <v>251652.65622463584</v>
      </c>
    </row>
    <row r="12" spans="1:9" ht="15.75" customHeight="1" x14ac:dyDescent="0.25">
      <c r="A12" s="5">
        <f t="shared" si="3"/>
        <v>2034</v>
      </c>
      <c r="B12" s="49">
        <v>29357.748207996679</v>
      </c>
      <c r="C12" s="50">
        <v>57294.044148271547</v>
      </c>
      <c r="D12" s="50">
        <v>95668.887963348621</v>
      </c>
      <c r="E12" s="50">
        <v>76563.098708871315</v>
      </c>
      <c r="F12" s="50">
        <v>60668.887963348599</v>
      </c>
      <c r="G12" s="17">
        <f t="shared" si="0"/>
        <v>290194.91878384008</v>
      </c>
      <c r="H12" s="17">
        <f t="shared" si="1"/>
        <v>34189.566959243937</v>
      </c>
      <c r="I12" s="17">
        <f t="shared" si="2"/>
        <v>256005.35182459615</v>
      </c>
    </row>
    <row r="13" spans="1:9" ht="15.75" customHeight="1" x14ac:dyDescent="0.25">
      <c r="A13" s="5">
        <f t="shared" si="3"/>
        <v>2035</v>
      </c>
      <c r="B13" s="49">
        <v>29496.423323424769</v>
      </c>
      <c r="C13" s="50">
        <v>58050.336169453207</v>
      </c>
      <c r="D13" s="50">
        <v>96907.300529541288</v>
      </c>
      <c r="E13" s="50">
        <v>77786.398524424367</v>
      </c>
      <c r="F13" s="50">
        <v>62050.157672398404</v>
      </c>
      <c r="G13" s="17">
        <f t="shared" si="0"/>
        <v>294794.19289581722</v>
      </c>
      <c r="H13" s="17">
        <f t="shared" si="1"/>
        <v>34351.065794608221</v>
      </c>
      <c r="I13" s="17">
        <f t="shared" si="2"/>
        <v>260443.12710120901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1.379560137956014E-2</v>
      </c>
    </row>
    <row r="4" spans="1:8" ht="15.75" customHeight="1" x14ac:dyDescent="0.25">
      <c r="B4" s="19" t="s">
        <v>69</v>
      </c>
      <c r="C4" s="101">
        <v>5.6293305629330617E-2</v>
      </c>
    </row>
    <row r="5" spans="1:8" ht="15.75" customHeight="1" x14ac:dyDescent="0.25">
      <c r="B5" s="19" t="s">
        <v>70</v>
      </c>
      <c r="C5" s="101">
        <v>7.5123207512320808E-2</v>
      </c>
    </row>
    <row r="6" spans="1:8" ht="15.75" customHeight="1" x14ac:dyDescent="0.25">
      <c r="B6" s="19" t="s">
        <v>71</v>
      </c>
      <c r="C6" s="101">
        <v>0.24197382419738189</v>
      </c>
    </row>
    <row r="7" spans="1:8" ht="15.75" customHeight="1" x14ac:dyDescent="0.25">
      <c r="B7" s="19" t="s">
        <v>72</v>
      </c>
      <c r="C7" s="101">
        <v>0.42879114287911452</v>
      </c>
    </row>
    <row r="8" spans="1:8" ht="15.75" customHeight="1" x14ac:dyDescent="0.25">
      <c r="B8" s="19" t="s">
        <v>73</v>
      </c>
      <c r="C8" s="101">
        <v>1.9423001942300211E-3</v>
      </c>
    </row>
    <row r="9" spans="1:8" ht="15.75" customHeight="1" x14ac:dyDescent="0.25">
      <c r="B9" s="19" t="s">
        <v>74</v>
      </c>
      <c r="C9" s="101">
        <v>7.2365807236580704E-2</v>
      </c>
    </row>
    <row r="10" spans="1:8" ht="15.75" customHeight="1" x14ac:dyDescent="0.25">
      <c r="B10" s="19" t="s">
        <v>75</v>
      </c>
      <c r="C10" s="101">
        <v>0.1097148109714812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82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83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86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87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88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89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8.8581871999999992E-2</v>
      </c>
    </row>
    <row r="27" spans="1:8" ht="15.75" customHeight="1" x14ac:dyDescent="0.25">
      <c r="B27" s="19" t="s">
        <v>92</v>
      </c>
      <c r="C27" s="101">
        <v>8.8641740000000007E-3</v>
      </c>
    </row>
    <row r="28" spans="1:8" ht="15.75" customHeight="1" x14ac:dyDescent="0.25">
      <c r="B28" s="19" t="s">
        <v>93</v>
      </c>
      <c r="C28" s="101">
        <v>0.15728592299999999</v>
      </c>
    </row>
    <row r="29" spans="1:8" ht="15.75" customHeight="1" x14ac:dyDescent="0.25">
      <c r="B29" s="19" t="s">
        <v>94</v>
      </c>
      <c r="C29" s="101">
        <v>0.170055973</v>
      </c>
    </row>
    <row r="30" spans="1:8" ht="15.75" customHeight="1" x14ac:dyDescent="0.25">
      <c r="B30" s="19" t="s">
        <v>95</v>
      </c>
      <c r="C30" s="101">
        <v>0.105793744</v>
      </c>
    </row>
    <row r="31" spans="1:8" ht="15.75" customHeight="1" x14ac:dyDescent="0.25">
      <c r="B31" s="19" t="s">
        <v>96</v>
      </c>
      <c r="C31" s="101">
        <v>0.111206134</v>
      </c>
    </row>
    <row r="32" spans="1:8" ht="15.75" customHeight="1" x14ac:dyDescent="0.25">
      <c r="B32" s="19" t="s">
        <v>97</v>
      </c>
      <c r="C32" s="101">
        <v>1.8849359E-2</v>
      </c>
    </row>
    <row r="33" spans="2:3" ht="15.75" customHeight="1" x14ac:dyDescent="0.25">
      <c r="B33" s="19" t="s">
        <v>98</v>
      </c>
      <c r="C33" s="101">
        <v>8.5214494999999987E-2</v>
      </c>
    </row>
    <row r="34" spans="2:3" ht="15.75" customHeight="1" x14ac:dyDescent="0.25">
      <c r="B34" s="19" t="s">
        <v>99</v>
      </c>
      <c r="C34" s="101">
        <v>0.25414832700000001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104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122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6.5489997999999994E-2</v>
      </c>
      <c r="C2" s="98">
        <v>0.95</v>
      </c>
      <c r="D2" s="56">
        <v>36.540660925828377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47.401530614166028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77.508008463184325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0.42239370577386598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15.06077994466111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15.06077994466111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15.06077994466111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15.06077994466111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15.06077994466111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15.06077994466111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0.13326296228000001</v>
      </c>
      <c r="C16" s="98">
        <v>0.95</v>
      </c>
      <c r="D16" s="56">
        <v>0.26336840749810442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1.888235787121497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1.888235787121497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0.6041609</v>
      </c>
      <c r="C21" s="98">
        <v>0.95</v>
      </c>
      <c r="D21" s="56">
        <v>2.9482071390190878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25.674441615856921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8.7560000000000003E-4</v>
      </c>
      <c r="C23" s="98">
        <v>0.95</v>
      </c>
      <c r="D23" s="56">
        <v>4.9386229663401986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0.40842643134578599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7.2826847399999992E-2</v>
      </c>
      <c r="C27" s="98">
        <v>0.95</v>
      </c>
      <c r="D27" s="56">
        <v>21.771690430316362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0.37546259999999998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64.60318420710658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0.25009999999999999</v>
      </c>
      <c r="C31" s="98">
        <v>0.95</v>
      </c>
      <c r="D31" s="56">
        <v>1.490832642559617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0.10688060000000001</v>
      </c>
      <c r="C32" s="98">
        <v>0.95</v>
      </c>
      <c r="D32" s="56">
        <v>0.50363021046247736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0.35906680000000002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4.2044999999999999E-3</v>
      </c>
      <c r="C38" s="98">
        <v>0.95</v>
      </c>
      <c r="D38" s="56">
        <v>4.52511708702849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0.21526239999999999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205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0.89116238572050488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2024-03-28T03:03:52Z</dcterms:modified>
</cp:coreProperties>
</file>