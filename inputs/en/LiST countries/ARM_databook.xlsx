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3FA971C-47F8-4310-BEB6-B4113C6AA95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<sst xmlns="http://schemas.openxmlformats.org/spreadsheetml/2006/main" count="2102" uniqueCount="341">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</sst>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161370.9033203125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0.84843999999999997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30717</v>
      </c>
      <c r="C2" s="49">
        <v>98062.5</v>
      </c>
      <c r="D2" s="49">
        <v>164124</v>
      </c>
      <c r="E2" s="49">
        <v>268326.5</v>
      </c>
      <c r="F2" s="49">
        <v>173916.5</v>
      </c>
      <c r="G2" s="17">
        <f t="shared" ref="G2:G13" si="0">C2+D2+E2+F2</f>
        <v>704429.5</v>
      </c>
      <c r="H2" s="17">
        <f t="shared" ref="H2:H13" si="1">(B2 + stillbirth*B2/(1000-stillbirth))/(1-abortion)</f>
        <v>35287.538505738587</v>
      </c>
      <c r="I2" s="17">
        <f t="shared" ref="I2:I13" si="2">G2-H2</f>
        <v>669141.9614942614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29876</v>
      </c>
      <c r="C3" s="50">
        <v>99728.000000000015</v>
      </c>
      <c r="D3" s="50">
        <v>158995.5</v>
      </c>
      <c r="E3" s="50">
        <v>261005.5</v>
      </c>
      <c r="F3" s="50">
        <v>181866</v>
      </c>
      <c r="G3" s="17">
        <f t="shared" si="0"/>
        <v>701595</v>
      </c>
      <c r="H3" s="17">
        <f t="shared" si="1"/>
        <v>34321.401842544714</v>
      </c>
      <c r="I3" s="17">
        <f t="shared" si="2"/>
        <v>667273.59815745533</v>
      </c>
    </row>
    <row r="4" spans="1:9" ht="15.75" customHeight="1" x14ac:dyDescent="0.25">
      <c r="A4" s="5">
        <f t="shared" si="3"/>
        <v>2026</v>
      </c>
      <c r="B4" s="49">
        <v>29116</v>
      </c>
      <c r="C4" s="50">
        <v>102978.5</v>
      </c>
      <c r="D4" s="50">
        <v>154695.5</v>
      </c>
      <c r="E4" s="50">
        <v>251958.5</v>
      </c>
      <c r="F4" s="50">
        <v>190762.5</v>
      </c>
      <c r="G4" s="17">
        <f t="shared" si="0"/>
        <v>700395</v>
      </c>
      <c r="H4" s="17">
        <f t="shared" si="1"/>
        <v>33448.317580918854</v>
      </c>
      <c r="I4" s="17">
        <f t="shared" si="2"/>
        <v>666946.6824190811</v>
      </c>
    </row>
    <row r="5" spans="1:9" ht="15.75" customHeight="1" x14ac:dyDescent="0.25">
      <c r="A5" s="5">
        <f t="shared" si="3"/>
        <v>2027</v>
      </c>
      <c r="B5" s="49">
        <v>28349</v>
      </c>
      <c r="C5" s="50">
        <v>107276.5</v>
      </c>
      <c r="D5" s="50">
        <v>151149.5</v>
      </c>
      <c r="E5" s="50">
        <v>242140.00000000009</v>
      </c>
      <c r="F5" s="50">
        <v>199980</v>
      </c>
      <c r="G5" s="17">
        <f t="shared" si="0"/>
        <v>700546.00000000012</v>
      </c>
      <c r="H5" s="17">
        <f t="shared" si="1"/>
        <v>32567.191753725398</v>
      </c>
      <c r="I5" s="17">
        <f t="shared" si="2"/>
        <v>667978.80824627471</v>
      </c>
    </row>
    <row r="6" spans="1:9" ht="15.75" customHeight="1" x14ac:dyDescent="0.25">
      <c r="A6" s="5">
        <f t="shared" si="3"/>
        <v>2028</v>
      </c>
      <c r="B6" s="49">
        <v>27815</v>
      </c>
      <c r="C6" s="50">
        <v>111248</v>
      </c>
      <c r="D6" s="50">
        <v>149570</v>
      </c>
      <c r="E6" s="50">
        <v>231088</v>
      </c>
      <c r="F6" s="50">
        <v>208385.5</v>
      </c>
      <c r="G6" s="17">
        <f t="shared" si="0"/>
        <v>700291.5</v>
      </c>
      <c r="H6" s="17">
        <f t="shared" si="1"/>
        <v>31953.735180425127</v>
      </c>
      <c r="I6" s="17">
        <f t="shared" si="2"/>
        <v>668337.76481957489</v>
      </c>
    </row>
    <row r="7" spans="1:9" ht="15.75" customHeight="1" x14ac:dyDescent="0.25">
      <c r="A7" s="5">
        <f t="shared" si="3"/>
        <v>2029</v>
      </c>
      <c r="B7" s="49">
        <v>27329</v>
      </c>
      <c r="C7" s="50">
        <v>113835</v>
      </c>
      <c r="D7" s="50">
        <v>150137.5</v>
      </c>
      <c r="E7" s="50">
        <v>218750.5</v>
      </c>
      <c r="F7" s="50">
        <v>216038.5</v>
      </c>
      <c r="G7" s="17">
        <f t="shared" si="0"/>
        <v>698761.5</v>
      </c>
      <c r="H7" s="17">
        <f t="shared" si="1"/>
        <v>31395.420771017016</v>
      </c>
      <c r="I7" s="17">
        <f t="shared" si="2"/>
        <v>667366.07922898303</v>
      </c>
    </row>
    <row r="8" spans="1:9" ht="15.75" customHeight="1" x14ac:dyDescent="0.25">
      <c r="A8" s="5">
        <f t="shared" si="3"/>
        <v>2030</v>
      </c>
      <c r="B8" s="49">
        <v>26888</v>
      </c>
      <c r="C8" s="50">
        <v>114962</v>
      </c>
      <c r="D8" s="50">
        <v>152183</v>
      </c>
      <c r="E8" s="50">
        <v>204469</v>
      </c>
      <c r="F8" s="50">
        <v>222916.5</v>
      </c>
      <c r="G8" s="17">
        <f t="shared" si="0"/>
        <v>694530.5</v>
      </c>
      <c r="H8" s="17">
        <f t="shared" si="1"/>
        <v>30888.802140257802</v>
      </c>
      <c r="I8" s="17">
        <f t="shared" si="2"/>
        <v>663641.69785974221</v>
      </c>
    </row>
    <row r="9" spans="1:9" ht="15.75" customHeight="1" x14ac:dyDescent="0.25">
      <c r="A9" s="5">
        <f t="shared" si="3"/>
        <v>2031</v>
      </c>
      <c r="B9" s="49">
        <v>26464</v>
      </c>
      <c r="C9" s="50">
        <v>115547.5</v>
      </c>
      <c r="D9" s="50">
        <v>154760</v>
      </c>
      <c r="E9" s="50">
        <v>189288.5</v>
      </c>
      <c r="F9" s="50">
        <v>229960.5</v>
      </c>
      <c r="G9" s="17">
        <f t="shared" si="0"/>
        <v>689556.5</v>
      </c>
      <c r="H9" s="17">
        <f t="shared" si="1"/>
        <v>30401.713025877063</v>
      </c>
      <c r="I9" s="17">
        <f t="shared" si="2"/>
        <v>659154.78697412298</v>
      </c>
    </row>
    <row r="10" spans="1:9" ht="15.75" customHeight="1" x14ac:dyDescent="0.25">
      <c r="A10" s="5">
        <f t="shared" si="3"/>
        <v>2032</v>
      </c>
      <c r="B10" s="49">
        <v>26297</v>
      </c>
      <c r="C10" s="50">
        <v>114466</v>
      </c>
      <c r="D10" s="50">
        <v>158382</v>
      </c>
      <c r="E10" s="50">
        <v>175009</v>
      </c>
      <c r="F10" s="50">
        <v>236814.5</v>
      </c>
      <c r="G10" s="17">
        <f t="shared" si="0"/>
        <v>684671.5</v>
      </c>
      <c r="H10" s="17">
        <f t="shared" si="1"/>
        <v>30209.864247335594</v>
      </c>
      <c r="I10" s="17">
        <f t="shared" si="2"/>
        <v>654461.63575266441</v>
      </c>
    </row>
    <row r="11" spans="1:9" ht="15.75" customHeight="1" x14ac:dyDescent="0.25">
      <c r="A11" s="5">
        <f t="shared" si="3"/>
        <v>2033</v>
      </c>
      <c r="B11" s="49">
        <v>26157</v>
      </c>
      <c r="C11" s="50">
        <v>112122</v>
      </c>
      <c r="D11" s="50">
        <v>162558.5</v>
      </c>
      <c r="E11" s="50">
        <v>163555</v>
      </c>
      <c r="F11" s="50">
        <v>241103.5</v>
      </c>
      <c r="G11" s="17">
        <f t="shared" si="0"/>
        <v>679339</v>
      </c>
      <c r="H11" s="17">
        <f t="shared" si="1"/>
        <v>30049.032935983461</v>
      </c>
      <c r="I11" s="17">
        <f t="shared" si="2"/>
        <v>649289.9670640165</v>
      </c>
    </row>
    <row r="12" spans="1:9" ht="15.75" customHeight="1" x14ac:dyDescent="0.25">
      <c r="A12" s="5">
        <f t="shared" si="3"/>
        <v>2034</v>
      </c>
      <c r="B12" s="49">
        <v>26036</v>
      </c>
      <c r="C12" s="50">
        <v>108557</v>
      </c>
      <c r="D12" s="50">
        <v>166873</v>
      </c>
      <c r="E12" s="50">
        <v>155835</v>
      </c>
      <c r="F12" s="50">
        <v>240850.5</v>
      </c>
      <c r="G12" s="17">
        <f t="shared" si="0"/>
        <v>672115.5</v>
      </c>
      <c r="H12" s="17">
        <f t="shared" si="1"/>
        <v>29910.02873117198</v>
      </c>
      <c r="I12" s="17">
        <f t="shared" si="2"/>
        <v>642205.47126882803</v>
      </c>
    </row>
    <row r="13" spans="1:9" ht="15.75" customHeight="1" x14ac:dyDescent="0.25">
      <c r="A13" s="5">
        <f t="shared" si="3"/>
        <v>2035</v>
      </c>
      <c r="B13" s="49">
        <v>26039</v>
      </c>
      <c r="C13" s="50">
        <v>104549.5</v>
      </c>
      <c r="D13" s="50">
        <v>170580.5</v>
      </c>
      <c r="E13" s="50">
        <v>150733.5</v>
      </c>
      <c r="F13" s="50">
        <v>235790.5</v>
      </c>
      <c r="G13" s="17">
        <f t="shared" si="0"/>
        <v>661654</v>
      </c>
      <c r="H13" s="17">
        <f t="shared" si="1"/>
        <v>29913.47511641524</v>
      </c>
      <c r="I13" s="17">
        <f t="shared" si="2"/>
        <v>631740.52488358482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6.6593800000000078E-2</v>
      </c>
    </row>
    <row r="5" spans="1:8" ht="15.75" customHeight="1" x14ac:dyDescent="0.25">
      <c r="B5" s="19" t="s">
        <v>70</v>
      </c>
      <c r="C5" s="101">
        <v>3.3228800000000072E-2</v>
      </c>
    </row>
    <row r="6" spans="1:8" ht="15.75" customHeight="1" x14ac:dyDescent="0.25">
      <c r="B6" s="19" t="s">
        <v>71</v>
      </c>
      <c r="C6" s="101">
        <v>0.15369620000000031</v>
      </c>
    </row>
    <row r="7" spans="1:8" ht="15.75" customHeight="1" x14ac:dyDescent="0.25">
      <c r="B7" s="19" t="s">
        <v>72</v>
      </c>
      <c r="C7" s="101">
        <v>0.39472369999999951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0.25617429999999969</v>
      </c>
    </row>
    <row r="10" spans="1:8" ht="15.75" customHeight="1" x14ac:dyDescent="0.25">
      <c r="B10" s="19" t="s">
        <v>75</v>
      </c>
      <c r="C10" s="101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83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87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89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101">
        <v>5.9724672999999999E-2</v>
      </c>
    </row>
    <row r="28" spans="1:8" ht="15.75" customHeight="1" x14ac:dyDescent="0.25">
      <c r="B28" s="19" t="s">
        <v>93</v>
      </c>
      <c r="C28" s="101">
        <v>0.12066906600000001</v>
      </c>
    </row>
    <row r="29" spans="1:8" ht="15.75" customHeight="1" x14ac:dyDescent="0.25">
      <c r="B29" s="19" t="s">
        <v>94</v>
      </c>
      <c r="C29" s="101">
        <v>0.1353181</v>
      </c>
    </row>
    <row r="30" spans="1:8" ht="15.75" customHeight="1" x14ac:dyDescent="0.25">
      <c r="B30" s="19" t="s">
        <v>95</v>
      </c>
      <c r="C30" s="101">
        <v>8.1906013999999999E-2</v>
      </c>
    </row>
    <row r="31" spans="1:8" ht="15.75" customHeight="1" x14ac:dyDescent="0.25">
      <c r="B31" s="19" t="s">
        <v>96</v>
      </c>
      <c r="C31" s="101">
        <v>6.5112185000000003E-2</v>
      </c>
    </row>
    <row r="32" spans="1:8" ht="15.75" customHeight="1" x14ac:dyDescent="0.25">
      <c r="B32" s="19" t="s">
        <v>97</v>
      </c>
      <c r="C32" s="101">
        <v>0.130658369</v>
      </c>
    </row>
    <row r="33" spans="2:3" ht="15.75" customHeight="1" x14ac:dyDescent="0.25">
      <c r="B33" s="19" t="s">
        <v>98</v>
      </c>
      <c r="C33" s="101">
        <v>0.127118964</v>
      </c>
    </row>
    <row r="34" spans="2:3" ht="15.75" customHeight="1" x14ac:dyDescent="0.25">
      <c r="B34" s="19" t="s">
        <v>99</v>
      </c>
      <c r="C34" s="101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v>6.8789199999999995E-2</v>
      </c>
      <c r="D5" s="52">
        <v>0.16475770000000001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54.653082799861807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0.24204309631134699</v>
      </c>
      <c r="C3" s="98">
        <v>0.95</v>
      </c>
      <c r="D3" s="56">
        <v>39.804453792134552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361.46883569981048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5.5247082862578214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4.5260500000000002E-2</v>
      </c>
      <c r="C10" s="98">
        <v>0.95</v>
      </c>
      <c r="D10" s="56">
        <v>12.93675323593046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4.5260500000000002E-2</v>
      </c>
      <c r="C11" s="98">
        <v>0.95</v>
      </c>
      <c r="D11" s="56">
        <v>12.93675323593046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4.5260500000000002E-2</v>
      </c>
      <c r="C12" s="98">
        <v>0.95</v>
      </c>
      <c r="D12" s="56">
        <v>12.93675323593046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4.5260500000000002E-2</v>
      </c>
      <c r="C13" s="98">
        <v>0.95</v>
      </c>
      <c r="D13" s="56">
        <v>12.93675323593046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4.5260500000000002E-2</v>
      </c>
      <c r="C14" s="98">
        <v>0.95</v>
      </c>
      <c r="D14" s="56">
        <v>12.93675323593046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4.5260500000000002E-2</v>
      </c>
      <c r="C15" s="98">
        <v>0.95</v>
      </c>
      <c r="D15" s="56">
        <v>12.93675323593046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0.64351903582580905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0.40240117381545898</v>
      </c>
      <c r="C18" s="98">
        <v>0.95</v>
      </c>
      <c r="D18" s="56">
        <v>8.3490838120479509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0.93979709999999994</v>
      </c>
      <c r="C19" s="98">
        <v>0.95</v>
      </c>
      <c r="D19" s="56">
        <v>8.3490838120479509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48.402555773686338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22.285157611304289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4.2321962823102757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0.96616626263960892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4.5260500000000002E-2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18.478532540848281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0.82294700032909207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105.9420671559127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1.943813180751375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1.373975774619224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0.36308820000000003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0.36939440000000001</v>
      </c>
      <c r="C38" s="98">
        <v>0.95</v>
      </c>
      <c r="D38" s="56">
        <v>2.4094410013032479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205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2.1000000000000001E-2</v>
      </c>
      <c r="E2" s="60">
        <f>food_insecure</f>
        <v>2.1000000000000001E-2</v>
      </c>
      <c r="F2" s="60">
        <f>food_insecure</f>
        <v>2.1000000000000001E-2</v>
      </c>
      <c r="G2" s="60">
        <f>food_insecure</f>
        <v>2.1000000000000001E-2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2.1000000000000001E-2</v>
      </c>
      <c r="I15" s="60">
        <f>food_insecure</f>
        <v>2.1000000000000001E-2</v>
      </c>
      <c r="J15" s="60">
        <f>food_insecure</f>
        <v>2.1000000000000001E-2</v>
      </c>
      <c r="K15" s="60">
        <f>food_insecure</f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2024-05-09T01:45:51Z</dcterms:modified>
</cp:coreProperties>
</file>