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2814D225-E5FE-40AB-9A1B-DF816E1826CD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52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I40" i="2" s="1"/>
  <c r="H39" i="2"/>
  <c r="G39" i="2"/>
  <c r="I39" i="2" s="1"/>
  <c r="A39" i="2"/>
  <c r="H38" i="2"/>
  <c r="G38" i="2"/>
  <c r="I38" i="2" s="1"/>
  <c r="A37" i="2"/>
  <c r="A36" i="2"/>
  <c r="A35" i="2"/>
  <c r="A34" i="2"/>
  <c r="A33" i="2"/>
  <c r="A32" i="2"/>
  <c r="A31" i="2"/>
  <c r="A29" i="2"/>
  <c r="A28" i="2"/>
  <c r="A27" i="2"/>
  <c r="A26" i="2"/>
  <c r="A25" i="2"/>
  <c r="A24" i="2"/>
  <c r="A23" i="2"/>
  <c r="A21" i="2"/>
  <c r="A20" i="2"/>
  <c r="A19" i="2"/>
  <c r="A18" i="2"/>
  <c r="A17" i="2"/>
  <c r="A16" i="2"/>
  <c r="A15" i="2"/>
  <c r="H13" i="2"/>
  <c r="G13" i="2"/>
  <c r="I13" i="2" s="1"/>
  <c r="H12" i="2"/>
  <c r="G12" i="2"/>
  <c r="I12" i="2" s="1"/>
  <c r="H11" i="2"/>
  <c r="G11" i="2"/>
  <c r="I11" i="2" s="1"/>
  <c r="H10" i="2"/>
  <c r="G10" i="2"/>
  <c r="I10" i="2" s="1"/>
  <c r="H9" i="2"/>
  <c r="G9" i="2"/>
  <c r="I9" i="2" s="1"/>
  <c r="H8" i="2"/>
  <c r="G8" i="2"/>
  <c r="I8" i="2" s="1"/>
  <c r="H7" i="2"/>
  <c r="G7" i="2"/>
  <c r="I7" i="2" s="1"/>
  <c r="H6" i="2"/>
  <c r="G6" i="2"/>
  <c r="I6" i="2" s="1"/>
  <c r="H5" i="2"/>
  <c r="G5" i="2"/>
  <c r="I5" i="2" s="1"/>
  <c r="H4" i="2"/>
  <c r="G4" i="2"/>
  <c r="I4" i="2" s="1"/>
  <c r="H3" i="2"/>
  <c r="G3" i="2"/>
  <c r="I3" i="2" s="1"/>
  <c r="A3" i="2"/>
  <c r="H2" i="2"/>
  <c r="G2" i="2"/>
  <c r="I2" i="2" s="1"/>
  <c r="A2" i="2"/>
  <c r="A40" i="2" s="1"/>
  <c r="C33" i="1"/>
  <c r="C20" i="1"/>
  <c r="A4" i="2" l="1"/>
  <c r="A5" i="2" s="1"/>
  <c r="A6" i="2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B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6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7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9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A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B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C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D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E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61" authorId="0" shapeId="0" xr:uid="{00000000-0006-0000-1600-000020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1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2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3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4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A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6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6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6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6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6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7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7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7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7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7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8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8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7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9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9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9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9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A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B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1D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1E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1F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0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2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3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4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5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7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8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9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A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2C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2D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2E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2F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1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4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B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3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3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3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3F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1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3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5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8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49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4A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4B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4C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4D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4E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4F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0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1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2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3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4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5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6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7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58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59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5A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5B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5C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5D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5E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5F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0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1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2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3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4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5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6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68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69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6A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6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6C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6D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6E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6F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0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1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2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3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4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7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7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7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7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79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7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7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7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7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7E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7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3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8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8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8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8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88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89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<sst xmlns="http://schemas.openxmlformats.org/spreadsheetml/2006/main" count="2103" uniqueCount="341">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</sst>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161370.9033203125</v>
      </c>
    </row>
    <row r="8" spans="1:3" ht="15" customHeight="1" x14ac:dyDescent="0.25">
      <c r="B8" s="5" t="s">
        <v>8</v>
      </c>
      <c r="C8" s="44">
        <v>2.1000000000000001E-2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0.88051116943359409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0.59799999999999998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0.11559999999999999</v>
      </c>
    </row>
    <row r="24" spans="1:3" ht="15" customHeight="1" x14ac:dyDescent="0.25">
      <c r="B24" s="15" t="s">
        <v>22</v>
      </c>
      <c r="C24" s="45">
        <v>0.64219999999999999</v>
      </c>
    </row>
    <row r="25" spans="1:3" ht="15" customHeight="1" x14ac:dyDescent="0.25">
      <c r="B25" s="15" t="s">
        <v>23</v>
      </c>
      <c r="C25" s="45">
        <v>0.23319999999999999</v>
      </c>
    </row>
    <row r="26" spans="1:3" ht="15" customHeight="1" x14ac:dyDescent="0.25">
      <c r="B26" s="15" t="s">
        <v>24</v>
      </c>
      <c r="C26" s="45">
        <v>9.0000000000000011E-3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0.443381353500297</v>
      </c>
    </row>
    <row r="30" spans="1:3" ht="14.25" customHeight="1" x14ac:dyDescent="0.25">
      <c r="B30" s="25" t="s">
        <v>27</v>
      </c>
      <c r="C30" s="99">
        <v>5.9529082105141198E-2</v>
      </c>
    </row>
    <row r="31" spans="1:3" ht="14.25" customHeight="1" x14ac:dyDescent="0.25">
      <c r="B31" s="25" t="s">
        <v>28</v>
      </c>
      <c r="C31" s="99">
        <v>6.7946136004371396E-2</v>
      </c>
    </row>
    <row r="32" spans="1:3" ht="14.25" customHeight="1" x14ac:dyDescent="0.25">
      <c r="B32" s="25" t="s">
        <v>29</v>
      </c>
      <c r="C32" s="99">
        <v>0.42914342839018998</v>
      </c>
    </row>
    <row r="33" spans="1:5" ht="13" customHeight="1" x14ac:dyDescent="0.25">
      <c r="B33" s="27" t="s">
        <v>30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5.6370300000000002</v>
      </c>
    </row>
    <row r="38" spans="1:5" ht="15" customHeight="1" x14ac:dyDescent="0.25">
      <c r="B38" s="11" t="s">
        <v>34</v>
      </c>
      <c r="C38" s="43">
        <v>9.5448000000000004</v>
      </c>
      <c r="D38" s="12"/>
      <c r="E38" s="13"/>
    </row>
    <row r="39" spans="1:5" ht="15" customHeight="1" x14ac:dyDescent="0.25">
      <c r="B39" s="11" t="s">
        <v>35</v>
      </c>
      <c r="C39" s="43">
        <v>10.72114</v>
      </c>
      <c r="D39" s="12"/>
      <c r="E39" s="12"/>
    </row>
    <row r="40" spans="1:5" ht="15" customHeight="1" x14ac:dyDescent="0.25">
      <c r="B40" s="11" t="s">
        <v>36</v>
      </c>
      <c r="C40" s="100">
        <v>0.27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10.821289999999999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6.5369E-3</v>
      </c>
      <c r="D45" s="12"/>
    </row>
    <row r="46" spans="1:5" ht="15.75" customHeight="1" x14ac:dyDescent="0.25">
      <c r="B46" s="11" t="s">
        <v>41</v>
      </c>
      <c r="C46" s="45">
        <v>7.0238399999999993E-2</v>
      </c>
      <c r="D46" s="12"/>
    </row>
    <row r="47" spans="1:5" ht="15.75" customHeight="1" x14ac:dyDescent="0.25">
      <c r="B47" s="11" t="s">
        <v>42</v>
      </c>
      <c r="C47" s="45">
        <v>7.4784699999999996E-2</v>
      </c>
      <c r="D47" s="12"/>
      <c r="E47" s="13"/>
    </row>
    <row r="48" spans="1:5" ht="15" customHeight="1" x14ac:dyDescent="0.25">
      <c r="B48" s="11" t="s">
        <v>43</v>
      </c>
      <c r="C48" s="46">
        <v>0.84843999999999997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2.8</v>
      </c>
      <c r="D51" s="12"/>
    </row>
    <row r="52" spans="1:4" ht="15" customHeight="1" x14ac:dyDescent="0.25">
      <c r="B52" s="11" t="s">
        <v>46</v>
      </c>
      <c r="C52" s="100">
        <v>2.8</v>
      </c>
    </row>
    <row r="53" spans="1:4" ht="15.75" customHeight="1" x14ac:dyDescent="0.25">
      <c r="B53" s="11" t="s">
        <v>47</v>
      </c>
      <c r="C53" s="100">
        <v>2.8</v>
      </c>
    </row>
    <row r="54" spans="1:4" ht="15.75" customHeight="1" x14ac:dyDescent="0.25">
      <c r="B54" s="11" t="s">
        <v>48</v>
      </c>
      <c r="C54" s="100">
        <v>2.8</v>
      </c>
    </row>
    <row r="55" spans="1:4" ht="15.75" customHeight="1" x14ac:dyDescent="0.25">
      <c r="B55" s="11" t="s">
        <v>49</v>
      </c>
      <c r="C55" s="100">
        <v>2.8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1.6428571428571431E-2</v>
      </c>
    </row>
    <row r="59" spans="1:4" ht="15.75" customHeight="1" x14ac:dyDescent="0.25">
      <c r="B59" s="11" t="s">
        <v>52</v>
      </c>
      <c r="C59" s="45">
        <v>0.60118799999999994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8.9790992999999902E-2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30717</v>
      </c>
      <c r="C2" s="49">
        <v>98062.5</v>
      </c>
      <c r="D2" s="49">
        <v>164124</v>
      </c>
      <c r="E2" s="49">
        <v>268326.5</v>
      </c>
      <c r="F2" s="49">
        <v>173916.5</v>
      </c>
      <c r="G2" s="17">
        <f t="shared" ref="G2:G13" si="0">C2+D2+E2+F2</f>
        <v>704429.5</v>
      </c>
      <c r="H2" s="17">
        <f t="shared" ref="H2:H13" si="1">(B2 + stillbirth*B2/(1000-stillbirth))/(1-abortion)</f>
        <v>35287.538505738587</v>
      </c>
      <c r="I2" s="17">
        <f t="shared" ref="I2:I13" si="2">G2-H2</f>
        <v>669141.9614942614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29876</v>
      </c>
      <c r="C3" s="50">
        <v>99728.000000000015</v>
      </c>
      <c r="D3" s="50">
        <v>158995.5</v>
      </c>
      <c r="E3" s="50">
        <v>261005.5</v>
      </c>
      <c r="F3" s="50">
        <v>181866</v>
      </c>
      <c r="G3" s="17">
        <f t="shared" si="0"/>
        <v>701595</v>
      </c>
      <c r="H3" s="17">
        <f t="shared" si="1"/>
        <v>34321.401842544714</v>
      </c>
      <c r="I3" s="17">
        <f t="shared" si="2"/>
        <v>667273.59815745533</v>
      </c>
    </row>
    <row r="4" spans="1:9" ht="15.75" customHeight="1" x14ac:dyDescent="0.25">
      <c r="A4" s="5">
        <f t="shared" si="3"/>
        <v>2026</v>
      </c>
      <c r="B4" s="49">
        <v>29116</v>
      </c>
      <c r="C4" s="50">
        <v>102978.5</v>
      </c>
      <c r="D4" s="50">
        <v>154695.5</v>
      </c>
      <c r="E4" s="50">
        <v>251958.5</v>
      </c>
      <c r="F4" s="50">
        <v>190762.5</v>
      </c>
      <c r="G4" s="17">
        <f t="shared" si="0"/>
        <v>700395</v>
      </c>
      <c r="H4" s="17">
        <f t="shared" si="1"/>
        <v>33448.317580918854</v>
      </c>
      <c r="I4" s="17">
        <f t="shared" si="2"/>
        <v>666946.6824190811</v>
      </c>
    </row>
    <row r="5" spans="1:9" ht="15.75" customHeight="1" x14ac:dyDescent="0.25">
      <c r="A5" s="5">
        <f t="shared" si="3"/>
        <v>2027</v>
      </c>
      <c r="B5" s="49">
        <v>28349</v>
      </c>
      <c r="C5" s="50">
        <v>107276.5</v>
      </c>
      <c r="D5" s="50">
        <v>151149.5</v>
      </c>
      <c r="E5" s="50">
        <v>242140.00000000009</v>
      </c>
      <c r="F5" s="50">
        <v>199980</v>
      </c>
      <c r="G5" s="17">
        <f t="shared" si="0"/>
        <v>700546.00000000012</v>
      </c>
      <c r="H5" s="17">
        <f t="shared" si="1"/>
        <v>32567.191753725398</v>
      </c>
      <c r="I5" s="17">
        <f t="shared" si="2"/>
        <v>667978.80824627471</v>
      </c>
    </row>
    <row r="6" spans="1:9" ht="15.75" customHeight="1" x14ac:dyDescent="0.25">
      <c r="A6" s="5">
        <f t="shared" si="3"/>
        <v>2028</v>
      </c>
      <c r="B6" s="49">
        <v>27815</v>
      </c>
      <c r="C6" s="50">
        <v>111248</v>
      </c>
      <c r="D6" s="50">
        <v>149570</v>
      </c>
      <c r="E6" s="50">
        <v>231088</v>
      </c>
      <c r="F6" s="50">
        <v>208385.5</v>
      </c>
      <c r="G6" s="17">
        <f t="shared" si="0"/>
        <v>700291.5</v>
      </c>
      <c r="H6" s="17">
        <f t="shared" si="1"/>
        <v>31953.735180425127</v>
      </c>
      <c r="I6" s="17">
        <f t="shared" si="2"/>
        <v>668337.76481957489</v>
      </c>
    </row>
    <row r="7" spans="1:9" ht="15.75" customHeight="1" x14ac:dyDescent="0.25">
      <c r="A7" s="5">
        <f t="shared" si="3"/>
        <v>2029</v>
      </c>
      <c r="B7" s="49">
        <v>27329</v>
      </c>
      <c r="C7" s="50">
        <v>113835</v>
      </c>
      <c r="D7" s="50">
        <v>150137.5</v>
      </c>
      <c r="E7" s="50">
        <v>218750.5</v>
      </c>
      <c r="F7" s="50">
        <v>216038.5</v>
      </c>
      <c r="G7" s="17">
        <f t="shared" si="0"/>
        <v>698761.5</v>
      </c>
      <c r="H7" s="17">
        <f t="shared" si="1"/>
        <v>31395.420771017016</v>
      </c>
      <c r="I7" s="17">
        <f t="shared" si="2"/>
        <v>667366.07922898303</v>
      </c>
    </row>
    <row r="8" spans="1:9" ht="15.75" customHeight="1" x14ac:dyDescent="0.25">
      <c r="A8" s="5">
        <f t="shared" si="3"/>
        <v>2030</v>
      </c>
      <c r="B8" s="49">
        <v>26888</v>
      </c>
      <c r="C8" s="50">
        <v>114962</v>
      </c>
      <c r="D8" s="50">
        <v>152183</v>
      </c>
      <c r="E8" s="50">
        <v>204469</v>
      </c>
      <c r="F8" s="50">
        <v>222916.5</v>
      </c>
      <c r="G8" s="17">
        <f t="shared" si="0"/>
        <v>694530.5</v>
      </c>
      <c r="H8" s="17">
        <f t="shared" si="1"/>
        <v>30888.802140257802</v>
      </c>
      <c r="I8" s="17">
        <f t="shared" si="2"/>
        <v>663641.69785974221</v>
      </c>
    </row>
    <row r="9" spans="1:9" ht="15.75" customHeight="1" x14ac:dyDescent="0.25">
      <c r="A9" s="5">
        <f t="shared" si="3"/>
        <v>2031</v>
      </c>
      <c r="B9" s="49">
        <v>26464</v>
      </c>
      <c r="C9" s="50">
        <v>115547.5</v>
      </c>
      <c r="D9" s="50">
        <v>154760</v>
      </c>
      <c r="E9" s="50">
        <v>189288.5</v>
      </c>
      <c r="F9" s="50">
        <v>229960.5</v>
      </c>
      <c r="G9" s="17">
        <f t="shared" si="0"/>
        <v>689556.5</v>
      </c>
      <c r="H9" s="17">
        <f t="shared" si="1"/>
        <v>30401.713025877063</v>
      </c>
      <c r="I9" s="17">
        <f t="shared" si="2"/>
        <v>659154.78697412298</v>
      </c>
    </row>
    <row r="10" spans="1:9" ht="15.75" customHeight="1" x14ac:dyDescent="0.25">
      <c r="A10" s="5">
        <f t="shared" si="3"/>
        <v>2032</v>
      </c>
      <c r="B10" s="49">
        <v>26297</v>
      </c>
      <c r="C10" s="50">
        <v>114466</v>
      </c>
      <c r="D10" s="50">
        <v>158382</v>
      </c>
      <c r="E10" s="50">
        <v>175009</v>
      </c>
      <c r="F10" s="50">
        <v>236814.5</v>
      </c>
      <c r="G10" s="17">
        <f t="shared" si="0"/>
        <v>684671.5</v>
      </c>
      <c r="H10" s="17">
        <f t="shared" si="1"/>
        <v>30209.864247335594</v>
      </c>
      <c r="I10" s="17">
        <f t="shared" si="2"/>
        <v>654461.63575266441</v>
      </c>
    </row>
    <row r="11" spans="1:9" ht="15.75" customHeight="1" x14ac:dyDescent="0.25">
      <c r="A11" s="5">
        <f t="shared" si="3"/>
        <v>2033</v>
      </c>
      <c r="B11" s="49">
        <v>26157</v>
      </c>
      <c r="C11" s="50">
        <v>112122</v>
      </c>
      <c r="D11" s="50">
        <v>162558.5</v>
      </c>
      <c r="E11" s="50">
        <v>163555</v>
      </c>
      <c r="F11" s="50">
        <v>241103.5</v>
      </c>
      <c r="G11" s="17">
        <f t="shared" si="0"/>
        <v>679339</v>
      </c>
      <c r="H11" s="17">
        <f t="shared" si="1"/>
        <v>30049.032935983461</v>
      </c>
      <c r="I11" s="17">
        <f t="shared" si="2"/>
        <v>649289.9670640165</v>
      </c>
    </row>
    <row r="12" spans="1:9" ht="15.75" customHeight="1" x14ac:dyDescent="0.25">
      <c r="A12" s="5">
        <f t="shared" si="3"/>
        <v>2034</v>
      </c>
      <c r="B12" s="49">
        <v>26036</v>
      </c>
      <c r="C12" s="50">
        <v>108557</v>
      </c>
      <c r="D12" s="50">
        <v>166873</v>
      </c>
      <c r="E12" s="50">
        <v>155835</v>
      </c>
      <c r="F12" s="50">
        <v>240850.5</v>
      </c>
      <c r="G12" s="17">
        <f t="shared" si="0"/>
        <v>672115.5</v>
      </c>
      <c r="H12" s="17">
        <f t="shared" si="1"/>
        <v>29910.02873117198</v>
      </c>
      <c r="I12" s="17">
        <f t="shared" si="2"/>
        <v>642205.47126882803</v>
      </c>
    </row>
    <row r="13" spans="1:9" ht="15.75" customHeight="1" x14ac:dyDescent="0.25">
      <c r="A13" s="5">
        <f t="shared" si="3"/>
        <v>2035</v>
      </c>
      <c r="B13" s="49">
        <v>26039</v>
      </c>
      <c r="C13" s="50">
        <v>104549.5</v>
      </c>
      <c r="D13" s="50">
        <v>170580.5</v>
      </c>
      <c r="E13" s="50">
        <v>150733.5</v>
      </c>
      <c r="F13" s="50">
        <v>235790.5</v>
      </c>
      <c r="G13" s="17">
        <f t="shared" si="0"/>
        <v>661654</v>
      </c>
      <c r="H13" s="17">
        <f t="shared" si="1"/>
        <v>29913.47511641524</v>
      </c>
      <c r="I13" s="17">
        <f t="shared" si="2"/>
        <v>631740.52488358482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6.6593800000000078E-2</v>
      </c>
    </row>
    <row r="5" spans="1:8" ht="15.75" customHeight="1" x14ac:dyDescent="0.25">
      <c r="B5" s="19" t="s">
        <v>70</v>
      </c>
      <c r="C5" s="101">
        <v>3.3228800000000072E-2</v>
      </c>
    </row>
    <row r="6" spans="1:8" ht="15.75" customHeight="1" x14ac:dyDescent="0.25">
      <c r="B6" s="19" t="s">
        <v>71</v>
      </c>
      <c r="C6" s="101">
        <v>0.15369620000000031</v>
      </c>
    </row>
    <row r="7" spans="1:8" ht="15.75" customHeight="1" x14ac:dyDescent="0.25">
      <c r="B7" s="19" t="s">
        <v>72</v>
      </c>
      <c r="C7" s="101">
        <v>0.39472369999999951</v>
      </c>
    </row>
    <row r="8" spans="1:8" ht="15.75" customHeight="1" x14ac:dyDescent="0.25">
      <c r="B8" s="19" t="s">
        <v>73</v>
      </c>
      <c r="C8" s="101">
        <v>0</v>
      </c>
    </row>
    <row r="9" spans="1:8" ht="15.75" customHeight="1" x14ac:dyDescent="0.25">
      <c r="B9" s="19" t="s">
        <v>74</v>
      </c>
      <c r="C9" s="101">
        <v>0.25617429999999969</v>
      </c>
    </row>
    <row r="10" spans="1:8" ht="15.75" customHeight="1" x14ac:dyDescent="0.25">
      <c r="B10" s="19" t="s">
        <v>75</v>
      </c>
      <c r="C10" s="101">
        <v>9.5583200000000174E-2</v>
      </c>
    </row>
    <row r="11" spans="1:8" ht="15.75" customHeight="1" x14ac:dyDescent="0.25">
      <c r="B11" s="27" t="s">
        <v>30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3.7245204329117688E-2</v>
      </c>
      <c r="D14" s="55">
        <v>3.7245204329117688E-2</v>
      </c>
      <c r="E14" s="55">
        <v>3.7245204329117688E-2</v>
      </c>
      <c r="F14" s="55">
        <v>3.7245204329117688E-2</v>
      </c>
    </row>
    <row r="15" spans="1:8" ht="15.75" customHeight="1" x14ac:dyDescent="0.25">
      <c r="B15" s="19" t="s">
        <v>82</v>
      </c>
      <c r="C15" s="101">
        <v>0.40951930746254001</v>
      </c>
      <c r="D15" s="101">
        <v>0.40951930746254001</v>
      </c>
      <c r="E15" s="101">
        <v>0.40951930746254001</v>
      </c>
      <c r="F15" s="101">
        <v>0.40951930746254001</v>
      </c>
    </row>
    <row r="16" spans="1:8" ht="15.75" customHeight="1" x14ac:dyDescent="0.25">
      <c r="B16" s="19" t="s">
        <v>83</v>
      </c>
      <c r="C16" s="101">
        <v>4.8813235664483597E-2</v>
      </c>
      <c r="D16" s="101">
        <v>4.8813235664483597E-2</v>
      </c>
      <c r="E16" s="101">
        <v>4.8813235664483597E-2</v>
      </c>
      <c r="F16" s="101">
        <v>4.8813235664483597E-2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1.220727114635429E-2</v>
      </c>
      <c r="D19" s="101">
        <v>1.220727114635429E-2</v>
      </c>
      <c r="E19" s="101">
        <v>1.220727114635429E-2</v>
      </c>
      <c r="F19" s="101">
        <v>1.220727114635429E-2</v>
      </c>
    </row>
    <row r="20" spans="1:8" ht="15.75" customHeight="1" x14ac:dyDescent="0.25">
      <c r="B20" s="19" t="s">
        <v>87</v>
      </c>
      <c r="C20" s="101">
        <v>1.6875345432903501E-2</v>
      </c>
      <c r="D20" s="101">
        <v>1.6875345432903501E-2</v>
      </c>
      <c r="E20" s="101">
        <v>1.6875345432903501E-2</v>
      </c>
      <c r="F20" s="101">
        <v>1.6875345432903501E-2</v>
      </c>
    </row>
    <row r="21" spans="1:8" ht="15.75" customHeight="1" x14ac:dyDescent="0.25">
      <c r="B21" s="19" t="s">
        <v>88</v>
      </c>
      <c r="C21" s="101">
        <v>0.40032068980674668</v>
      </c>
      <c r="D21" s="101">
        <v>0.40032068980674668</v>
      </c>
      <c r="E21" s="101">
        <v>0.40032068980674668</v>
      </c>
      <c r="F21" s="101">
        <v>0.40032068980674668</v>
      </c>
    </row>
    <row r="22" spans="1:8" ht="15.75" customHeight="1" x14ac:dyDescent="0.25">
      <c r="B22" s="19" t="s">
        <v>89</v>
      </c>
      <c r="C22" s="101">
        <v>7.5018946157854288E-2</v>
      </c>
      <c r="D22" s="101">
        <v>7.5018946157854288E-2</v>
      </c>
      <c r="E22" s="101">
        <v>7.5018946157854288E-2</v>
      </c>
      <c r="F22" s="101">
        <v>7.5018946157854288E-2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5.5148427E-2</v>
      </c>
    </row>
    <row r="27" spans="1:8" ht="15.75" customHeight="1" x14ac:dyDescent="0.25">
      <c r="B27" s="19" t="s">
        <v>92</v>
      </c>
      <c r="C27" s="101">
        <v>5.9724672999999999E-2</v>
      </c>
    </row>
    <row r="28" spans="1:8" ht="15.75" customHeight="1" x14ac:dyDescent="0.25">
      <c r="B28" s="19" t="s">
        <v>93</v>
      </c>
      <c r="C28" s="101">
        <v>0.12066906600000001</v>
      </c>
    </row>
    <row r="29" spans="1:8" ht="15.75" customHeight="1" x14ac:dyDescent="0.25">
      <c r="B29" s="19" t="s">
        <v>94</v>
      </c>
      <c r="C29" s="101">
        <v>0.1353181</v>
      </c>
    </row>
    <row r="30" spans="1:8" ht="15.75" customHeight="1" x14ac:dyDescent="0.25">
      <c r="B30" s="19" t="s">
        <v>95</v>
      </c>
      <c r="C30" s="101">
        <v>8.1906013999999999E-2</v>
      </c>
    </row>
    <row r="31" spans="1:8" ht="15.75" customHeight="1" x14ac:dyDescent="0.25">
      <c r="B31" s="19" t="s">
        <v>96</v>
      </c>
      <c r="C31" s="101">
        <v>6.5112185000000003E-2</v>
      </c>
    </row>
    <row r="32" spans="1:8" ht="15.75" customHeight="1" x14ac:dyDescent="0.25">
      <c r="B32" s="19" t="s">
        <v>97</v>
      </c>
      <c r="C32" s="101">
        <v>0.130658369</v>
      </c>
    </row>
    <row r="33" spans="2:3" ht="15.75" customHeight="1" x14ac:dyDescent="0.25">
      <c r="B33" s="19" t="s">
        <v>98</v>
      </c>
      <c r="C33" s="101">
        <v>0.127118964</v>
      </c>
    </row>
    <row r="34" spans="2:3" ht="15.75" customHeight="1" x14ac:dyDescent="0.25">
      <c r="B34" s="19" t="s">
        <v>99</v>
      </c>
      <c r="C34" s="101">
        <v>0.22434420299999999</v>
      </c>
    </row>
    <row r="35" spans="2:3" ht="15.75" customHeight="1" x14ac:dyDescent="0.25">
      <c r="B35" s="27" t="s">
        <v>30</v>
      </c>
      <c r="C35" s="48">
        <f>SUM(C26:C34)</f>
        <v>1.0000000009999999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0.50786787087998775</v>
      </c>
      <c r="D2" s="52">
        <f>IFERROR(1-_xlfn.NORM.DIST(_xlfn.NORM.INV(SUM(D4:D5), 0, 1) + 1, 0, 1, TRUE), "")</f>
        <v>0.50786787087998775</v>
      </c>
      <c r="E2" s="52">
        <f>IFERROR(1-_xlfn.NORM.DIST(_xlfn.NORM.INV(SUM(E4:E5), 0, 1) + 1, 0, 1, TRUE), "")</f>
        <v>0.52868011666033976</v>
      </c>
      <c r="F2" s="52">
        <f>IFERROR(1-_xlfn.NORM.DIST(_xlfn.NORM.INV(SUM(F4:F5), 0, 1) + 1, 0, 1, TRUE), "")</f>
        <v>0.58702505645453118</v>
      </c>
      <c r="G2" s="52">
        <f>IFERROR(1-_xlfn.NORM.DIST(_xlfn.NORM.INV(SUM(G4:G5), 0, 1) + 1, 0, 1, TRUE), "")</f>
        <v>0.68142940936982244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0.33820222912001224</v>
      </c>
      <c r="D3" s="52">
        <f>IFERROR(_xlfn.NORM.DIST(_xlfn.NORM.INV(SUM(D4:D5), 0, 1) + 1, 0, 1, TRUE) - SUM(D4:D5), "")</f>
        <v>0.33820222912001224</v>
      </c>
      <c r="E3" s="52">
        <f>IFERROR(_xlfn.NORM.DIST(_xlfn.NORM.INV(SUM(E4:E5), 0, 1) + 1, 0, 1, TRUE) - SUM(E4:E5), "")</f>
        <v>0.32944918333966022</v>
      </c>
      <c r="F3" s="52">
        <f>IFERROR(_xlfn.NORM.DIST(_xlfn.NORM.INV(SUM(F4:F5), 0, 1) + 1, 0, 1, TRUE) - SUM(F4:F5), "")</f>
        <v>0.30172334354546876</v>
      </c>
      <c r="G3" s="52">
        <f>IFERROR(_xlfn.NORM.DIST(_xlfn.NORM.INV(SUM(G4:G5), 0, 1) + 1, 0, 1, TRUE) - SUM(G4:G5), "")</f>
        <v>0.24801959063017756</v>
      </c>
    </row>
    <row r="4" spans="1:15" ht="15.75" customHeight="1" x14ac:dyDescent="0.25">
      <c r="B4" s="5" t="s">
        <v>104</v>
      </c>
      <c r="C4" s="45">
        <v>0.11207780000000001</v>
      </c>
      <c r="D4" s="53">
        <v>0.11207780000000001</v>
      </c>
      <c r="E4" s="53">
        <v>3.4042200000000002E-2</v>
      </c>
      <c r="F4" s="53">
        <v>6.6427E-2</v>
      </c>
      <c r="G4" s="53">
        <v>4.76018E-2</v>
      </c>
    </row>
    <row r="5" spans="1:15" ht="15.75" customHeight="1" x14ac:dyDescent="0.25">
      <c r="B5" s="5" t="s">
        <v>105</v>
      </c>
      <c r="C5" s="45">
        <v>4.1852100000000003E-2</v>
      </c>
      <c r="D5" s="53">
        <v>4.1852100000000003E-2</v>
      </c>
      <c r="E5" s="53">
        <v>0.10782849999999999</v>
      </c>
      <c r="F5" s="53">
        <v>4.4824599999999999E-2</v>
      </c>
      <c r="G5" s="53">
        <v>2.2949199999999999E-2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0.70194925713081202</v>
      </c>
      <c r="D8" s="52">
        <f>IFERROR(1-_xlfn.NORM.DIST(_xlfn.NORM.INV(SUM(D10:D11), 0, 1) + 1, 0, 1, TRUE), "")</f>
        <v>0.70194925713081202</v>
      </c>
      <c r="E8" s="52">
        <f>IFERROR(1-_xlfn.NORM.DIST(_xlfn.NORM.INV(SUM(E10:E11), 0, 1) + 1, 0, 1, TRUE), "")</f>
        <v>0.79687118231056908</v>
      </c>
      <c r="F8" s="52">
        <f>IFERROR(1-_xlfn.NORM.DIST(_xlfn.NORM.INV(SUM(F10:F11), 0, 1) + 1, 0, 1, TRUE), "")</f>
        <v>0.87353422346659504</v>
      </c>
      <c r="G8" s="52">
        <f>IFERROR(1-_xlfn.NORM.DIST(_xlfn.NORM.INV(SUM(G10:G11), 0, 1) + 1, 0, 1, TRUE), "")</f>
        <v>0.73184326679917455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0.23504424286918796</v>
      </c>
      <c r="D9" s="52">
        <f>IFERROR(_xlfn.NORM.DIST(_xlfn.NORM.INV(SUM(D10:D11), 0, 1) + 1, 0, 1, TRUE) - SUM(D10:D11), "")</f>
        <v>0.23504424286918796</v>
      </c>
      <c r="E9" s="52">
        <f>IFERROR(_xlfn.NORM.DIST(_xlfn.NORM.INV(SUM(E10:E11), 0, 1) + 1, 0, 1, TRUE) - SUM(E10:E11), "")</f>
        <v>0.16954101768943095</v>
      </c>
      <c r="F9" s="52">
        <f>IFERROR(_xlfn.NORM.DIST(_xlfn.NORM.INV(SUM(F10:F11), 0, 1) + 1, 0, 1, TRUE) - SUM(F10:F11), "")</f>
        <v>0.11041957653340496</v>
      </c>
      <c r="G9" s="52">
        <f>IFERROR(_xlfn.NORM.DIST(_xlfn.NORM.INV(SUM(G10:G11), 0, 1) + 1, 0, 1, TRUE) - SUM(G10:G11), "")</f>
        <v>0.21536823320082538</v>
      </c>
    </row>
    <row r="10" spans="1:15" ht="15.75" customHeight="1" x14ac:dyDescent="0.25">
      <c r="B10" s="5" t="s">
        <v>109</v>
      </c>
      <c r="C10" s="45">
        <v>4.6006400000000003E-2</v>
      </c>
      <c r="D10" s="53">
        <v>4.6006400000000003E-2</v>
      </c>
      <c r="E10" s="53">
        <v>1.9333199999999998E-2</v>
      </c>
      <c r="F10" s="53">
        <v>1.0537700000000001E-2</v>
      </c>
      <c r="G10" s="53">
        <v>3.05753E-2</v>
      </c>
    </row>
    <row r="11" spans="1:15" ht="15.75" customHeight="1" x14ac:dyDescent="0.25">
      <c r="B11" s="5" t="s">
        <v>110</v>
      </c>
      <c r="C11" s="45">
        <v>1.7000100000000001E-2</v>
      </c>
      <c r="D11" s="53">
        <v>1.7000100000000001E-2</v>
      </c>
      <c r="E11" s="53">
        <v>1.4254599999999999E-2</v>
      </c>
      <c r="F11" s="53">
        <v>5.5085000000000004E-3</v>
      </c>
      <c r="G11" s="53">
        <v>2.2213199999999999E-2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0.62407766624999994</v>
      </c>
      <c r="D14" s="54">
        <v>0.59355650138799998</v>
      </c>
      <c r="E14" s="54">
        <v>0.59355650138799998</v>
      </c>
      <c r="F14" s="54">
        <v>0.38795445540500001</v>
      </c>
      <c r="G14" s="54">
        <v>0.38795445540500001</v>
      </c>
      <c r="H14" s="45">
        <v>0.35499999999999998</v>
      </c>
      <c r="I14" s="55">
        <v>0.35499999999999998</v>
      </c>
      <c r="J14" s="55">
        <v>0.35499999999999998</v>
      </c>
      <c r="K14" s="55">
        <v>0.35499999999999998</v>
      </c>
      <c r="L14" s="45">
        <v>0.29199999999999998</v>
      </c>
      <c r="M14" s="55">
        <v>0.29199999999999998</v>
      </c>
      <c r="N14" s="55">
        <v>0.29199999999999998</v>
      </c>
      <c r="O14" s="55">
        <v>0.29199999999999998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0.37518800401750491</v>
      </c>
      <c r="D15" s="52">
        <f t="shared" si="0"/>
        <v>0.35683904595644889</v>
      </c>
      <c r="E15" s="52">
        <f t="shared" si="0"/>
        <v>0.35683904595644889</v>
      </c>
      <c r="F15" s="52">
        <f t="shared" si="0"/>
        <v>0.23323356313602112</v>
      </c>
      <c r="G15" s="52">
        <f t="shared" si="0"/>
        <v>0.23323356313602112</v>
      </c>
      <c r="H15" s="52">
        <f t="shared" si="0"/>
        <v>0.21342173999999997</v>
      </c>
      <c r="I15" s="52">
        <f t="shared" si="0"/>
        <v>0.21342173999999997</v>
      </c>
      <c r="J15" s="52">
        <f t="shared" si="0"/>
        <v>0.21342173999999997</v>
      </c>
      <c r="K15" s="52">
        <f t="shared" si="0"/>
        <v>0.21342173999999997</v>
      </c>
      <c r="L15" s="52">
        <f t="shared" si="0"/>
        <v>0.17554689599999998</v>
      </c>
      <c r="M15" s="52">
        <f t="shared" si="0"/>
        <v>0.17554689599999998</v>
      </c>
      <c r="N15" s="52">
        <f t="shared" si="0"/>
        <v>0.17554689599999998</v>
      </c>
      <c r="O15" s="52">
        <f t="shared" si="0"/>
        <v>0.17554689599999998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0.79653980000000002</v>
      </c>
      <c r="D2" s="53">
        <v>0.40002630000000011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7.6248999999999997E-2</v>
      </c>
      <c r="D3" s="53">
        <v>0.16771440000000001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5.8421900000000013E-2</v>
      </c>
      <c r="D4" s="53">
        <v>0.2675015</v>
      </c>
      <c r="E4" s="53">
        <v>0.70920899999999998</v>
      </c>
      <c r="F4" s="53">
        <v>0.28720590000000001</v>
      </c>
      <c r="G4" s="53">
        <v>0</v>
      </c>
    </row>
    <row r="5" spans="1:7" x14ac:dyDescent="0.25">
      <c r="B5" s="3" t="s">
        <v>122</v>
      </c>
      <c r="C5" s="52">
        <v>6.8789199999999995E-2</v>
      </c>
      <c r="D5" s="52">
        <v>0.16475770000000001</v>
      </c>
      <c r="E5" s="52">
        <f>1-SUM(E2:E4)</f>
        <v>0.29079100000000002</v>
      </c>
      <c r="F5" s="52">
        <f>1-SUM(F2:F4)</f>
        <v>0.71279409999999999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ht="13.25" customHeight="1" x14ac:dyDescent="0.25">
      <c r="A2" s="8" t="s">
        <v>137</v>
      </c>
      <c r="B2" s="41">
        <v>10</v>
      </c>
    </row>
    <row r="3" spans="1:2" ht="13.25" customHeight="1" x14ac:dyDescent="0.25">
      <c r="A3" s="8" t="s">
        <v>138</v>
      </c>
      <c r="B3" s="41">
        <v>10</v>
      </c>
    </row>
    <row r="4" spans="1:2" ht="13.25" customHeight="1" x14ac:dyDescent="0.25">
      <c r="A4" s="8" t="s">
        <v>139</v>
      </c>
      <c r="B4" s="41">
        <v>10</v>
      </c>
    </row>
    <row r="5" spans="1:2" ht="13.25" customHeight="1" x14ac:dyDescent="0.25">
      <c r="A5" s="8" t="s">
        <v>140</v>
      </c>
      <c r="B5" s="41">
        <v>10</v>
      </c>
    </row>
    <row r="6" spans="1:2" ht="13.25" customHeight="1" x14ac:dyDescent="0.25">
      <c r="A6" s="8" t="s">
        <v>141</v>
      </c>
      <c r="B6" s="41">
        <v>10</v>
      </c>
    </row>
    <row r="7" spans="1:2" ht="13.25" customHeight="1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ht="13.25" customHeight="1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ht="13.25" customHeight="1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ht="13.25" customHeight="1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ht="13.25" customHeight="1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67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77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ht="13.25" customHeight="1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ht="13.25" customHeight="1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6"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54.653082799861807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39.804453792134552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361.46883569981048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5.5247082862578214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4.5260500000000002E-2</v>
      </c>
      <c r="C10" s="98">
        <v>0.95</v>
      </c>
      <c r="D10" s="56">
        <v>12.93675323593046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12.93675323593046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12.93675323593046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12.93675323593046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4.5260500000000002E-2</v>
      </c>
      <c r="C14" s="98">
        <v>0.95</v>
      </c>
      <c r="D14" s="56">
        <v>12.93675323593046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12.93675323593046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</v>
      </c>
      <c r="C16" s="98">
        <v>0.95</v>
      </c>
      <c r="D16" s="56">
        <v>0.64351903582580905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0.40002630000000011</v>
      </c>
      <c r="C18" s="98">
        <v>0.95</v>
      </c>
      <c r="D18" s="56">
        <v>8.3490838120479509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0.40002630000000011</v>
      </c>
      <c r="C19" s="98">
        <v>0.95</v>
      </c>
      <c r="D19" s="56">
        <v>8.3490838120479509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</v>
      </c>
      <c r="C21" s="98">
        <v>0.95</v>
      </c>
      <c r="D21" s="56">
        <v>48.402555773686338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22.285157611304289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4.2321962823102757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0.79985384621333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4.5260500000000002E-2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18.478532540848281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0.36939440000000001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0.36308820000000003</v>
      </c>
      <c r="C29" s="98">
        <v>0.95</v>
      </c>
      <c r="D29" s="56">
        <v>105.9420671559127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1.943813180751375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1.373975774619224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0.94423659999999998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0.43367780000000011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1.2278000000000001E-2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0.99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3.6618100000000001E-2</v>
      </c>
      <c r="C38" s="98">
        <v>0.95</v>
      </c>
      <c r="D38" s="56">
        <v>2.4094410013032479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C8" sqref="C8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ht="13.25" customHeight="1" x14ac:dyDescent="0.25">
      <c r="A2" s="57" t="s">
        <v>179</v>
      </c>
      <c r="B2" s="47" t="s">
        <v>189</v>
      </c>
      <c r="C2" s="47"/>
    </row>
    <row r="3" spans="1:3" ht="13.25" customHeight="1" x14ac:dyDescent="0.25">
      <c r="A3" s="57" t="s">
        <v>180</v>
      </c>
      <c r="B3" s="47" t="s">
        <v>189</v>
      </c>
      <c r="C3" s="47"/>
    </row>
    <row r="4" spans="1:3" ht="13.25" customHeight="1" x14ac:dyDescent="0.25">
      <c r="A4" s="57" t="s">
        <v>191</v>
      </c>
      <c r="B4" s="47" t="s">
        <v>184</v>
      </c>
      <c r="C4" s="47"/>
    </row>
    <row r="5" spans="1:3" ht="13.25" customHeight="1" x14ac:dyDescent="0.25">
      <c r="A5" s="57" t="s">
        <v>188</v>
      </c>
      <c r="B5" s="47" t="s">
        <v>184</v>
      </c>
      <c r="C5" s="47"/>
    </row>
    <row r="6" spans="1:3" ht="13.25" customHeight="1" x14ac:dyDescent="0.25">
      <c r="A6" s="57" t="s">
        <v>191</v>
      </c>
      <c r="B6" s="58" t="s">
        <v>192</v>
      </c>
      <c r="C6" s="58"/>
    </row>
    <row r="7" spans="1:3" ht="13.25" customHeight="1" x14ac:dyDescent="0.25">
      <c r="A7" s="57" t="s">
        <v>188</v>
      </c>
      <c r="B7" s="58" t="s">
        <v>192</v>
      </c>
      <c r="C7" s="58"/>
    </row>
    <row r="8" spans="1:3" ht="13.25" customHeight="1" x14ac:dyDescent="0.25">
      <c r="A8" s="57" t="s">
        <v>200</v>
      </c>
      <c r="B8" s="58" t="s">
        <v>192</v>
      </c>
      <c r="C8" s="58"/>
    </row>
    <row r="9" spans="1:3" ht="13.25" customHeight="1" x14ac:dyDescent="0.25">
      <c r="A9" s="57" t="s">
        <v>193</v>
      </c>
      <c r="B9" s="58" t="s">
        <v>192</v>
      </c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ht="13.25" customHeight="1" x14ac:dyDescent="0.25">
      <c r="A2" s="33" t="s">
        <v>171</v>
      </c>
    </row>
    <row r="3" spans="1:1" ht="13.25" customHeight="1" x14ac:dyDescent="0.25">
      <c r="A3" s="33" t="s">
        <v>181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157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2.8</v>
      </c>
      <c r="C2" s="21">
        <f>'Baseline year population inputs'!C52</f>
        <v>2.8</v>
      </c>
      <c r="D2" s="21">
        <f>'Baseline year population inputs'!C53</f>
        <v>2.8</v>
      </c>
      <c r="E2" s="21">
        <f>'Baseline year population inputs'!C54</f>
        <v>2.8</v>
      </c>
      <c r="F2" s="21">
        <f>'Baseline year population inputs'!C55</f>
        <v>2.8</v>
      </c>
    </row>
    <row r="3" spans="1:6" ht="15.75" customHeight="1" x14ac:dyDescent="0.25">
      <c r="A3" s="3" t="s">
        <v>204</v>
      </c>
      <c r="B3" s="21">
        <f>frac_mam_1month * 2.6</f>
        <v>0.11961664000000001</v>
      </c>
      <c r="C3" s="21">
        <f>frac_mam_1_5months * 2.6</f>
        <v>0.11961664000000001</v>
      </c>
      <c r="D3" s="21">
        <f>frac_mam_6_11months * 2.6</f>
        <v>5.0266319999999996E-2</v>
      </c>
      <c r="E3" s="21">
        <f>frac_mam_12_23months * 2.6</f>
        <v>2.7398020000000002E-2</v>
      </c>
      <c r="F3" s="21">
        <f>frac_mam_24_59months * 2.6</f>
        <v>7.9495780000000002E-2</v>
      </c>
    </row>
    <row r="4" spans="1:6" ht="15.75" customHeight="1" x14ac:dyDescent="0.25">
      <c r="A4" s="3" t="s">
        <v>205</v>
      </c>
      <c r="B4" s="21">
        <f>frac_sam_1month * 2.6</f>
        <v>4.4200260000000005E-2</v>
      </c>
      <c r="C4" s="21">
        <f>frac_sam_1_5months * 2.6</f>
        <v>4.4200260000000005E-2</v>
      </c>
      <c r="D4" s="21">
        <f>frac_sam_6_11months * 2.6</f>
        <v>3.7061959999999998E-2</v>
      </c>
      <c r="E4" s="21">
        <f>frac_sam_12_23months * 2.6</f>
        <v>1.4322100000000001E-2</v>
      </c>
      <c r="F4" s="21">
        <f>frac_sam_24_59months * 2.6</f>
        <v>5.7754319999999998E-2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2.1000000000000001E-2</v>
      </c>
      <c r="E2" s="60">
        <f>food_insecure</f>
        <v>2.1000000000000001E-2</v>
      </c>
      <c r="F2" s="60">
        <f>food_insecure</f>
        <v>2.1000000000000001E-2</v>
      </c>
      <c r="G2" s="60">
        <f>food_insecure</f>
        <v>2.1000000000000001E-2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2.1000000000000001E-2</v>
      </c>
      <c r="F5" s="60">
        <f>food_insecure</f>
        <v>2.1000000000000001E-2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2.1000000000000001E-2</v>
      </c>
      <c r="F8" s="60">
        <f>food_insecure</f>
        <v>2.1000000000000001E-2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2.1000000000000001E-2</v>
      </c>
      <c r="F9" s="60">
        <f>food_insecure</f>
        <v>2.1000000000000001E-2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2.1000000000000001E-2</v>
      </c>
      <c r="I15" s="60">
        <f>food_insecure</f>
        <v>2.1000000000000001E-2</v>
      </c>
      <c r="J15" s="60">
        <f>food_insecure</f>
        <v>2.1000000000000001E-2</v>
      </c>
      <c r="K15" s="60">
        <f>food_insecure</f>
        <v>2.1000000000000001E-2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0.59799999999999998</v>
      </c>
      <c r="M24" s="60">
        <f>famplan_unmet_need</f>
        <v>0.59799999999999998</v>
      </c>
      <c r="N24" s="60">
        <f>famplan_unmet_need</f>
        <v>0.59799999999999998</v>
      </c>
      <c r="O24" s="60">
        <f>famplan_unmet_need</f>
        <v>0.59799999999999998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5.907647272033674E-2</v>
      </c>
      <c r="M25" s="60">
        <f>(1-food_insecure)*(0.49)+food_insecure*(0.7)</f>
        <v>0.49440999999999996</v>
      </c>
      <c r="N25" s="60">
        <f>(1-food_insecure)*(0.49)+food_insecure*(0.7)</f>
        <v>0.49440999999999996</v>
      </c>
      <c r="O25" s="60">
        <f>(1-food_insecure)*(0.49)+food_insecure*(0.7)</f>
        <v>0.49440999999999996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2.5318488308715748E-2</v>
      </c>
      <c r="M26" s="60">
        <f>(1-food_insecure)*(0.21)+food_insecure*(0.3)</f>
        <v>0.21189</v>
      </c>
      <c r="N26" s="60">
        <f>(1-food_insecure)*(0.21)+food_insecure*(0.3)</f>
        <v>0.21189</v>
      </c>
      <c r="O26" s="60">
        <f>(1-food_insecure)*(0.21)+food_insecure*(0.3)</f>
        <v>0.21189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3.5093869537353412E-2</v>
      </c>
      <c r="M27" s="60">
        <f>(1-food_insecure)*(0.3)</f>
        <v>0.29369999999999996</v>
      </c>
      <c r="N27" s="60">
        <f>(1-food_insecure)*(0.3)</f>
        <v>0.29369999999999996</v>
      </c>
      <c r="O27" s="60">
        <f>(1-food_insecure)*(0.3)</f>
        <v>0.29369999999999996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0.88051116943359409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ht="13.25" customHeight="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ht="13.25" customHeight="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ht="13.25" customHeight="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ht="13.25" customHeight="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ht="13.25" customHeight="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ht="13.25" customHeight="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ht="13.25" customHeight="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ht="13.25" customHeight="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ht="13.25" customHeight="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ht="13.25" customHeight="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ht="13.25" customHeight="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ht="13.25" customHeight="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ht="13.25" customHeight="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ht="13.25" customHeight="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ht="13.25" customHeight="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ht="13.25" customHeight="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ht="13.25" customHeight="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ht="13.25" customHeight="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ht="13.25" customHeight="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ht="13.25" customHeight="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5" zoomScale="85" zoomScaleNormal="85" workbookViewId="0">
      <selection activeCell="C61" sqref="C61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ht="13.25" customHeight="1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ht="13.25" customHeight="1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61" sqref="C6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C61" sqref="C61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43" zoomScale="70" zoomScaleNormal="70" workbookViewId="0">
      <selection activeCell="C61" sqref="C61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289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302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111</v>
      </c>
      <c r="B40" s="11" t="s">
        <v>303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307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316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111</v>
      </c>
      <c r="B63" s="11" t="s">
        <v>317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61" sqref="C61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49" sqref="C49:O61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0">IF(E3=1,1,E3*0.9)</f>
        <v>1</v>
      </c>
      <c r="F26" s="90">
        <f t="shared" si="0"/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9">IF(E3=1,1,E3*1.05)</f>
        <v>1</v>
      </c>
      <c r="F49" s="90">
        <f t="shared" si="9"/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175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ht="13.25" customHeight="1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ht="13.25" customHeight="1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ht="13.25" customHeight="1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zoomScale="80" zoomScaleNormal="80" workbookViewId="0">
      <selection activeCell="C49" sqref="C49:O61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ht="13.25" customHeight="1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340</v>
      </c>
      <c r="D18" s="90">
        <v>0</v>
      </c>
      <c r="E18" s="90">
        <v>0</v>
      </c>
      <c r="F18" s="90">
        <f>MIN(MAX(1-0.89/(1-frac_sam_6_11months+(frac_sam_6_11months*0.89)),0),1)</f>
        <v>0.10860228303140695</v>
      </c>
      <c r="G18" s="90">
        <f>MIN(MAX(1-0.89/(1-frac_sam_12_23months+(frac_sam_12_23months*0.89)),0),1)</f>
        <v>0.10946039088194903</v>
      </c>
      <c r="H18" s="90">
        <f>MIN(MAX(1-0.89/(1-frac_sam_24_59months+(frac_sam_24_59months*0.89)),0),1)</f>
        <v>0.10782000099707623</v>
      </c>
    </row>
    <row r="19" spans="1:8" ht="13.25" customHeight="1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340</v>
      </c>
      <c r="D20" s="90">
        <v>0</v>
      </c>
      <c r="E20" s="90">
        <v>0</v>
      </c>
      <c r="F20" s="90">
        <f>MIN(MAX(1-0.89/(1-frac_mam_6_11months+(frac_mam_6_11months*0.89)),0),1)</f>
        <v>0.1081032459842789</v>
      </c>
      <c r="G20" s="90">
        <f>MIN(MAX(1-0.89/(1-frac_mam_12_23months+(frac_mam_12_23months*0.89)),0),1)</f>
        <v>0.10896716195888312</v>
      </c>
      <c r="H20" s="90">
        <f>MIN(MAX(1-0.89/(1-frac_mam_24_59months+(frac_mam_24_59months*0.89)),0),1)</f>
        <v>0.10699657676770102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9.8588593409636438E-3</v>
      </c>
      <c r="G73" s="90">
        <f>MIN(MAX(1-0.99/(1-frac_sam_12_23months+(frac_sam_12_23months*0.99)),0),1)</f>
        <v>9.9454628458207628E-3</v>
      </c>
      <c r="H73" s="90">
        <f>MIN(MAX(1-0.99/(1-frac_sam_24_59months+(frac_sam_24_59months*0.99)),0),1)</f>
        <v>9.7800404599474033E-3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9.8085643093550612E-3</v>
      </c>
      <c r="G75" s="90">
        <f>MIN(MAX(1-0.99/(1-frac_mam_12_23months+(frac_mam_12_23months*0.99)),0),1)</f>
        <v>9.8956657755724375E-3</v>
      </c>
      <c r="H75" s="90">
        <f>MIN(MAX(1-0.99/(1-frac_mam_24_59months+(frac_mam_24_59months*0.99)),0),1)</f>
        <v>9.6972119516458566E-3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0.19771274321388332</v>
      </c>
      <c r="G128" s="90">
        <f>MIN(MAX(1-0.8/(1-frac_sam_12_23months+(frac_sam_12_23months*0.8)),0),1)</f>
        <v>0.19911766793476371</v>
      </c>
      <c r="H128" s="90">
        <f>MIN(MAX(1-0.8/(1-frac_sam_24_59months+(frac_sam_24_59months*0.8)),0),1)</f>
        <v>0.19643002789914576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0.19689468084875694</v>
      </c>
      <c r="G130" s="90">
        <f>MIN(MAX(1-0.8/(1-frac_mam_12_23months+(frac_mam_12_23months*0.8)),0),1)</f>
        <v>0.19831040711541192</v>
      </c>
      <c r="H130" s="90">
        <f>MIN(MAX(1-0.8/(1-frac_mam_24_59months+(frac_mam_24_59months*0.8)),0),1)</f>
        <v>0.1950778527743865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ht="13.25" customHeight="1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ht="13.25" customHeight="1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2024-06-18T06:54:04Z</dcterms:modified>
</cp:coreProperties>
</file>