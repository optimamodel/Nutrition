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5457888-0CE6-4C57-BDE0-DFF210C4872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H8" i="2"/>
  <c r="G8" i="2"/>
  <c r="I8" i="2" s="1"/>
  <c r="H7" i="2"/>
  <c r="G7" i="2"/>
  <c r="I7" i="2" s="1"/>
  <c r="I6" i="2"/>
  <c r="H6" i="2"/>
  <c r="G6" i="2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40" i="2"/>
  <c r="A14" i="2"/>
  <c r="A38" i="2"/>
  <c r="A15" i="2"/>
  <c r="A23" i="2"/>
  <c r="A31" i="2"/>
  <c r="A16" i="2"/>
  <c r="A24" i="2"/>
  <c r="A32" i="2"/>
  <c r="A22" i="2"/>
  <c r="A17" i="2"/>
  <c r="A25" i="2"/>
  <c r="A33" i="2"/>
  <c r="A4" i="2"/>
  <c r="A30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<sst xmlns="http://schemas.openxmlformats.org/spreadsheetml/2006/main" count="2092" uniqueCount="341">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</sst>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161370.9033203125</v>
      </c>
    </row>
    <row r="8" spans="1:3" ht="15" customHeight="1" x14ac:dyDescent="0.25">
      <c r="B8" s="5" t="s">
        <v>8</v>
      </c>
      <c r="C8" s="44">
        <v>2.1000000000000001E-2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0.88051116943359409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0.11559999999999999</v>
      </c>
    </row>
    <row r="24" spans="1:3" ht="15" customHeight="1" x14ac:dyDescent="0.25">
      <c r="B24" s="15" t="s">
        <v>22</v>
      </c>
      <c r="C24" s="45">
        <v>0.64219999999999999</v>
      </c>
    </row>
    <row r="25" spans="1:3" ht="15" customHeight="1" x14ac:dyDescent="0.25">
      <c r="B25" s="15" t="s">
        <v>23</v>
      </c>
      <c r="C25" s="45">
        <v>0.23319999999999999</v>
      </c>
    </row>
    <row r="26" spans="1:3" ht="15" customHeight="1" x14ac:dyDescent="0.25">
      <c r="B26" s="15" t="s">
        <v>24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5.6370300000000002</v>
      </c>
    </row>
    <row r="38" spans="1:5" ht="15" customHeight="1" x14ac:dyDescent="0.25">
      <c r="B38" s="11" t="s">
        <v>34</v>
      </c>
      <c r="C38" s="43">
        <v>9.5448000000000004</v>
      </c>
      <c r="D38" s="12"/>
      <c r="E38" s="13"/>
    </row>
    <row r="39" spans="1:5" ht="15" customHeight="1" x14ac:dyDescent="0.25">
      <c r="B39" s="11" t="s">
        <v>35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100">
        <v>0.27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6.5369E-3</v>
      </c>
      <c r="D45" s="12"/>
    </row>
    <row r="46" spans="1:5" ht="15.75" customHeight="1" x14ac:dyDescent="0.25">
      <c r="B46" s="11" t="s">
        <v>41</v>
      </c>
      <c r="C46" s="45">
        <v>7.0238399999999993E-2</v>
      </c>
      <c r="D46" s="12"/>
    </row>
    <row r="47" spans="1:5" ht="15.75" customHeight="1" x14ac:dyDescent="0.25">
      <c r="B47" s="11" t="s">
        <v>42</v>
      </c>
      <c r="C47" s="45">
        <v>7.4784699999999996E-2</v>
      </c>
      <c r="D47" s="12"/>
      <c r="E47" s="13"/>
    </row>
    <row r="48" spans="1:5" ht="15" customHeight="1" x14ac:dyDescent="0.25">
      <c r="B48" s="11" t="s">
        <v>43</v>
      </c>
      <c r="C48" s="46">
        <v>0.84843999999999997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0.60118799999999994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31683.768599999989</v>
      </c>
      <c r="C2" s="49">
        <v>89000</v>
      </c>
      <c r="D2" s="49">
        <v>164000</v>
      </c>
      <c r="E2" s="49">
        <v>266000</v>
      </c>
      <c r="F2" s="49">
        <v>222000</v>
      </c>
      <c r="G2" s="17">
        <f t="shared" ref="G2:G13" si="0">C2+D2+E2+F2</f>
        <v>741000</v>
      </c>
      <c r="H2" s="17">
        <f t="shared" ref="H2:H13" si="1">(B2 + stillbirth*B2/(1000-stillbirth))/(1-abortion)</f>
        <v>36398.157517967593</v>
      </c>
      <c r="I2" s="17">
        <f t="shared" ref="I2:I13" si="2">G2-H2</f>
        <v>704601.84248203237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30760.056</v>
      </c>
      <c r="C3" s="50">
        <v>91000</v>
      </c>
      <c r="D3" s="50">
        <v>159000</v>
      </c>
      <c r="E3" s="50">
        <v>260000</v>
      </c>
      <c r="F3" s="50">
        <v>230000</v>
      </c>
      <c r="G3" s="17">
        <f t="shared" si="0"/>
        <v>740000</v>
      </c>
      <c r="H3" s="17">
        <f t="shared" si="1"/>
        <v>35337.001026749851</v>
      </c>
      <c r="I3" s="17">
        <f t="shared" si="2"/>
        <v>704662.99897325016</v>
      </c>
    </row>
    <row r="4" spans="1:9" ht="15.75" customHeight="1" x14ac:dyDescent="0.25">
      <c r="A4" s="5">
        <f t="shared" si="3"/>
        <v>2026</v>
      </c>
      <c r="B4" s="49">
        <v>30223.299599999998</v>
      </c>
      <c r="C4" s="50">
        <v>93000</v>
      </c>
      <c r="D4" s="50">
        <v>157000</v>
      </c>
      <c r="E4" s="50">
        <v>250000</v>
      </c>
      <c r="F4" s="50">
        <v>238000</v>
      </c>
      <c r="G4" s="17">
        <f t="shared" si="0"/>
        <v>738000</v>
      </c>
      <c r="H4" s="17">
        <f t="shared" si="1"/>
        <v>34720.37791468807</v>
      </c>
      <c r="I4" s="17">
        <f t="shared" si="2"/>
        <v>703279.62208531192</v>
      </c>
    </row>
    <row r="5" spans="1:9" ht="15.75" customHeight="1" x14ac:dyDescent="0.25">
      <c r="A5" s="5">
        <f t="shared" si="3"/>
        <v>2027</v>
      </c>
      <c r="B5" s="49">
        <v>29667.299200000001</v>
      </c>
      <c r="C5" s="50">
        <v>94000</v>
      </c>
      <c r="D5" s="50">
        <v>157000</v>
      </c>
      <c r="E5" s="50">
        <v>238000</v>
      </c>
      <c r="F5" s="50">
        <v>247000</v>
      </c>
      <c r="G5" s="17">
        <f t="shared" si="0"/>
        <v>736000</v>
      </c>
      <c r="H5" s="17">
        <f t="shared" si="1"/>
        <v>34081.647390085862</v>
      </c>
      <c r="I5" s="17">
        <f t="shared" si="2"/>
        <v>701918.35260991415</v>
      </c>
    </row>
    <row r="6" spans="1:9" ht="15.75" customHeight="1" x14ac:dyDescent="0.25">
      <c r="A6" s="5">
        <f t="shared" si="3"/>
        <v>2028</v>
      </c>
      <c r="B6" s="49">
        <v>29103.056</v>
      </c>
      <c r="C6" s="50">
        <v>95000</v>
      </c>
      <c r="D6" s="50">
        <v>159000</v>
      </c>
      <c r="E6" s="50">
        <v>226000</v>
      </c>
      <c r="F6" s="50">
        <v>254000</v>
      </c>
      <c r="G6" s="17">
        <f t="shared" si="0"/>
        <v>734000</v>
      </c>
      <c r="H6" s="17">
        <f t="shared" si="1"/>
        <v>33433.44757738927</v>
      </c>
      <c r="I6" s="17">
        <f t="shared" si="2"/>
        <v>700566.55242261069</v>
      </c>
    </row>
    <row r="7" spans="1:9" ht="15.75" customHeight="1" x14ac:dyDescent="0.25">
      <c r="A7" s="5">
        <f t="shared" si="3"/>
        <v>2029</v>
      </c>
      <c r="B7" s="49">
        <v>28540.881600000001</v>
      </c>
      <c r="C7" s="50">
        <v>95000</v>
      </c>
      <c r="D7" s="50">
        <v>162000</v>
      </c>
      <c r="E7" s="50">
        <v>212000</v>
      </c>
      <c r="F7" s="50">
        <v>260000</v>
      </c>
      <c r="G7" s="17">
        <f t="shared" si="0"/>
        <v>729000</v>
      </c>
      <c r="H7" s="17">
        <f t="shared" si="1"/>
        <v>32787.624391956429</v>
      </c>
      <c r="I7" s="17">
        <f t="shared" si="2"/>
        <v>696212.37560804351</v>
      </c>
    </row>
    <row r="8" spans="1:9" ht="15.75" customHeight="1" x14ac:dyDescent="0.25">
      <c r="A8" s="5">
        <f t="shared" si="3"/>
        <v>2030</v>
      </c>
      <c r="B8" s="49">
        <v>27971.153999999999</v>
      </c>
      <c r="C8" s="50">
        <v>95000</v>
      </c>
      <c r="D8" s="50">
        <v>166000</v>
      </c>
      <c r="E8" s="50">
        <v>200000</v>
      </c>
      <c r="F8" s="50">
        <v>264000</v>
      </c>
      <c r="G8" s="17">
        <f t="shared" si="0"/>
        <v>725000</v>
      </c>
      <c r="H8" s="17">
        <f t="shared" si="1"/>
        <v>32133.124127517134</v>
      </c>
      <c r="I8" s="17">
        <f t="shared" si="2"/>
        <v>692866.87587248289</v>
      </c>
    </row>
    <row r="9" spans="1:9" ht="15.75" customHeight="1" x14ac:dyDescent="0.25">
      <c r="A9" s="5">
        <f t="shared" si="3"/>
        <v>2031</v>
      </c>
      <c r="B9" s="49">
        <v>27440.780485714291</v>
      </c>
      <c r="C9" s="50">
        <v>95857.142857142855</v>
      </c>
      <c r="D9" s="50">
        <v>166285.71428571429</v>
      </c>
      <c r="E9" s="50">
        <v>190571.42857142861</v>
      </c>
      <c r="F9" s="50">
        <v>270000</v>
      </c>
      <c r="G9" s="17">
        <f t="shared" si="0"/>
        <v>722714.2857142858</v>
      </c>
      <c r="H9" s="17">
        <f t="shared" si="1"/>
        <v>31523.833643167072</v>
      </c>
      <c r="I9" s="17">
        <f t="shared" si="2"/>
        <v>691190.45207111875</v>
      </c>
    </row>
    <row r="10" spans="1:9" ht="15.75" customHeight="1" x14ac:dyDescent="0.25">
      <c r="A10" s="5">
        <f t="shared" si="3"/>
        <v>2032</v>
      </c>
      <c r="B10" s="49">
        <v>26966.59826938776</v>
      </c>
      <c r="C10" s="50">
        <v>96551.020408163269</v>
      </c>
      <c r="D10" s="50">
        <v>167326.53061224491</v>
      </c>
      <c r="E10" s="50">
        <v>180653.06122448979</v>
      </c>
      <c r="F10" s="50">
        <v>275714.28571428568</v>
      </c>
      <c r="G10" s="17">
        <f t="shared" si="0"/>
        <v>720244.89795918367</v>
      </c>
      <c r="H10" s="17">
        <f t="shared" si="1"/>
        <v>30979.095445512387</v>
      </c>
      <c r="I10" s="17">
        <f t="shared" si="2"/>
        <v>689265.80251367134</v>
      </c>
    </row>
    <row r="11" spans="1:9" ht="15.75" customHeight="1" x14ac:dyDescent="0.25">
      <c r="A11" s="5">
        <f t="shared" si="3"/>
        <v>2033</v>
      </c>
      <c r="B11" s="49">
        <v>26501.355222157439</v>
      </c>
      <c r="C11" s="50">
        <v>97058.309037900879</v>
      </c>
      <c r="D11" s="50">
        <v>168801.749271137</v>
      </c>
      <c r="E11" s="50">
        <v>170746.35568513119</v>
      </c>
      <c r="F11" s="50">
        <v>281102.04081632663</v>
      </c>
      <c r="G11" s="17">
        <f t="shared" si="0"/>
        <v>717708.45481049572</v>
      </c>
      <c r="H11" s="17">
        <f t="shared" si="1"/>
        <v>30444.626521344431</v>
      </c>
      <c r="I11" s="17">
        <f t="shared" si="2"/>
        <v>687263.82828915131</v>
      </c>
    </row>
    <row r="12" spans="1:9" ht="15.75" customHeight="1" x14ac:dyDescent="0.25">
      <c r="A12" s="5">
        <f t="shared" si="3"/>
        <v>2034</v>
      </c>
      <c r="B12" s="49">
        <v>26049.077511037071</v>
      </c>
      <c r="C12" s="50">
        <v>97495.210329029578</v>
      </c>
      <c r="D12" s="50">
        <v>170487.713452728</v>
      </c>
      <c r="E12" s="50">
        <v>161138.69221157851</v>
      </c>
      <c r="F12" s="50">
        <v>285973.76093294472</v>
      </c>
      <c r="G12" s="17">
        <f t="shared" si="0"/>
        <v>715095.37692628079</v>
      </c>
      <c r="H12" s="17">
        <f t="shared" si="1"/>
        <v>29925.052111524223</v>
      </c>
      <c r="I12" s="17">
        <f t="shared" si="2"/>
        <v>685170.32481475652</v>
      </c>
    </row>
    <row r="13" spans="1:9" ht="15.75" customHeight="1" x14ac:dyDescent="0.25">
      <c r="A13" s="5">
        <f t="shared" si="3"/>
        <v>2035</v>
      </c>
      <c r="B13" s="49">
        <v>25612.79486975665</v>
      </c>
      <c r="C13" s="50">
        <v>97851.668947462371</v>
      </c>
      <c r="D13" s="50">
        <v>172128.81537454631</v>
      </c>
      <c r="E13" s="50">
        <v>151872.79109894691</v>
      </c>
      <c r="F13" s="50">
        <v>290541.44106622238</v>
      </c>
      <c r="G13" s="17">
        <f t="shared" si="0"/>
        <v>712394.716487178</v>
      </c>
      <c r="H13" s="17">
        <f t="shared" si="1"/>
        <v>29423.852759257785</v>
      </c>
      <c r="I13" s="17">
        <f t="shared" si="2"/>
        <v>682970.86372792022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6.6593800000000078E-2</v>
      </c>
    </row>
    <row r="5" spans="1:8" ht="15.75" customHeight="1" x14ac:dyDescent="0.25">
      <c r="B5" s="19" t="s">
        <v>70</v>
      </c>
      <c r="C5" s="101">
        <v>3.3228800000000072E-2</v>
      </c>
    </row>
    <row r="6" spans="1:8" ht="15.75" customHeight="1" x14ac:dyDescent="0.25">
      <c r="B6" s="19" t="s">
        <v>71</v>
      </c>
      <c r="C6" s="101">
        <v>0.15369620000000031</v>
      </c>
    </row>
    <row r="7" spans="1:8" ht="15.75" customHeight="1" x14ac:dyDescent="0.25">
      <c r="B7" s="19" t="s">
        <v>72</v>
      </c>
      <c r="C7" s="101">
        <v>0.39472369999999951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0.25617429999999969</v>
      </c>
    </row>
    <row r="10" spans="1:8" ht="15.75" customHeight="1" x14ac:dyDescent="0.25">
      <c r="B10" s="19" t="s">
        <v>75</v>
      </c>
      <c r="C10" s="101">
        <v>9.5583200000000174E-2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82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83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87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88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89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5.5148427E-2</v>
      </c>
    </row>
    <row r="27" spans="1:8" ht="15.75" customHeight="1" x14ac:dyDescent="0.25">
      <c r="B27" s="19" t="s">
        <v>92</v>
      </c>
      <c r="C27" s="101">
        <v>5.9724672999999999E-2</v>
      </c>
    </row>
    <row r="28" spans="1:8" ht="15.75" customHeight="1" x14ac:dyDescent="0.25">
      <c r="B28" s="19" t="s">
        <v>93</v>
      </c>
      <c r="C28" s="101">
        <v>0.12066906600000001</v>
      </c>
    </row>
    <row r="29" spans="1:8" ht="15.75" customHeight="1" x14ac:dyDescent="0.25">
      <c r="B29" s="19" t="s">
        <v>94</v>
      </c>
      <c r="C29" s="101">
        <v>0.1353181</v>
      </c>
    </row>
    <row r="30" spans="1:8" ht="15.75" customHeight="1" x14ac:dyDescent="0.25">
      <c r="B30" s="19" t="s">
        <v>95</v>
      </c>
      <c r="C30" s="101">
        <v>8.1906013999999999E-2</v>
      </c>
    </row>
    <row r="31" spans="1:8" ht="15.75" customHeight="1" x14ac:dyDescent="0.25">
      <c r="B31" s="19" t="s">
        <v>96</v>
      </c>
      <c r="C31" s="101">
        <v>6.5112185000000003E-2</v>
      </c>
    </row>
    <row r="32" spans="1:8" ht="15.75" customHeight="1" x14ac:dyDescent="0.25">
      <c r="B32" s="19" t="s">
        <v>97</v>
      </c>
      <c r="C32" s="101">
        <v>0.130658369</v>
      </c>
    </row>
    <row r="33" spans="2:3" ht="15.75" customHeight="1" x14ac:dyDescent="0.25">
      <c r="B33" s="19" t="s">
        <v>98</v>
      </c>
      <c r="C33" s="101">
        <v>0.127118964</v>
      </c>
    </row>
    <row r="34" spans="2:3" ht="15.75" customHeight="1" x14ac:dyDescent="0.25">
      <c r="B34" s="19" t="s">
        <v>99</v>
      </c>
      <c r="C34" s="101">
        <v>0.22434420299999999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104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122</v>
      </c>
      <c r="C5" s="52">
        <v>6.8789199999999995E-2</v>
      </c>
      <c r="D5" s="52">
        <v>0.16475770000000001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0.177329100558314</v>
      </c>
      <c r="C2" s="98">
        <v>0.95</v>
      </c>
      <c r="D2" s="56">
        <v>54.653082799861807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39.804453792134552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361.46883569981048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5.2075674297839774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12.93675323593046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12.93675323593046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12.93675323593046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12.93675323593046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12.93675323593046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12.93675323593046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0.24204309631134699</v>
      </c>
      <c r="C16" s="98">
        <v>0.95</v>
      </c>
      <c r="D16" s="56">
        <v>0.64351903582580905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8.3490838120479509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8.3490838120479509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0.43367780000000011</v>
      </c>
      <c r="C21" s="98">
        <v>0.95</v>
      </c>
      <c r="D21" s="56">
        <v>48.402555773686338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22.285157611304289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1.2278000000000001E-2</v>
      </c>
      <c r="C23" s="98">
        <v>0.95</v>
      </c>
      <c r="D23" s="56">
        <v>4.2321962823102757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0.82294700032909207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0.22741297359373799</v>
      </c>
      <c r="C27" s="98">
        <v>0.95</v>
      </c>
      <c r="D27" s="56">
        <v>18.478532540848281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0.36939440000000001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105.9420671559127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1.943813180751375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0.40002630000000011</v>
      </c>
      <c r="C32" s="98">
        <v>0.95</v>
      </c>
      <c r="D32" s="56">
        <v>1.373975774619224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0.93979709999999994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3.6618100000000001E-2</v>
      </c>
      <c r="C38" s="98">
        <v>0.95</v>
      </c>
      <c r="D38" s="56">
        <v>2.4094410013032479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0.36308820000000003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205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2.1000000000000001E-2</v>
      </c>
      <c r="E2" s="60">
        <f>food_insecure</f>
        <v>2.1000000000000001E-2</v>
      </c>
      <c r="F2" s="60">
        <f>food_insecure</f>
        <v>2.1000000000000001E-2</v>
      </c>
      <c r="G2" s="60">
        <f>food_insecure</f>
        <v>2.1000000000000001E-2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2.1000000000000001E-2</v>
      </c>
      <c r="I15" s="60">
        <f>food_insecure</f>
        <v>2.1000000000000001E-2</v>
      </c>
      <c r="J15" s="60">
        <f>food_insecure</f>
        <v>2.1000000000000001E-2</v>
      </c>
      <c r="K15" s="60">
        <f>food_insecure</f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0.89061474513235617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2024-03-28T03:03:40Z</dcterms:modified>
</cp:coreProperties>
</file>