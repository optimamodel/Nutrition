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DA9C01B-6A89-46AE-B1D3-EF63B10831A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27" i="2"/>
  <c r="A26" i="2"/>
  <c r="A25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<sst xmlns="http://schemas.openxmlformats.org/spreadsheetml/2006/main" count="2103" uniqueCount="341">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</sst>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4534012.28125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101">
        <v>4.3378791324241689E-2</v>
      </c>
    </row>
    <row r="5" spans="1:8" ht="15.75" customHeight="1" x14ac:dyDescent="0.25">
      <c r="B5" s="19" t="s">
        <v>70</v>
      </c>
      <c r="C5" s="101">
        <v>4.3428391314321607E-2</v>
      </c>
    </row>
    <row r="6" spans="1:8" ht="15.75" customHeight="1" x14ac:dyDescent="0.25">
      <c r="B6" s="19" t="s">
        <v>71</v>
      </c>
      <c r="C6" s="101">
        <v>0.20442915911416809</v>
      </c>
    </row>
    <row r="7" spans="1:8" ht="15.75" customHeight="1" x14ac:dyDescent="0.25">
      <c r="B7" s="19" t="s">
        <v>72</v>
      </c>
      <c r="C7" s="101">
        <v>0.44831191033761802</v>
      </c>
    </row>
    <row r="8" spans="1:8" ht="15.75" customHeight="1" x14ac:dyDescent="0.25">
      <c r="B8" s="19" t="s">
        <v>73</v>
      </c>
      <c r="C8" s="101">
        <v>6.1679987664002426E-4</v>
      </c>
    </row>
    <row r="9" spans="1:8" ht="15.75" customHeight="1" x14ac:dyDescent="0.25">
      <c r="B9" s="19" t="s">
        <v>74</v>
      </c>
      <c r="C9" s="101">
        <v>0.16549056690188679</v>
      </c>
    </row>
    <row r="10" spans="1:8" ht="15.75" customHeight="1" x14ac:dyDescent="0.25">
      <c r="B10" s="19" t="s">
        <v>75</v>
      </c>
      <c r="C10" s="101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83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84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87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89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101">
        <v>2.7233671000000001E-2</v>
      </c>
    </row>
    <row r="28" spans="1:8" ht="15.75" customHeight="1" x14ac:dyDescent="0.25">
      <c r="B28" s="19" t="s">
        <v>93</v>
      </c>
      <c r="C28" s="101">
        <v>0.19299803300000001</v>
      </c>
    </row>
    <row r="29" spans="1:8" ht="15.75" customHeight="1" x14ac:dyDescent="0.25">
      <c r="B29" s="19" t="s">
        <v>94</v>
      </c>
      <c r="C29" s="101">
        <v>0.151217407</v>
      </c>
    </row>
    <row r="30" spans="1:8" ht="15.75" customHeight="1" x14ac:dyDescent="0.25">
      <c r="B30" s="19" t="s">
        <v>95</v>
      </c>
      <c r="C30" s="101">
        <v>5.0257797E-2</v>
      </c>
    </row>
    <row r="31" spans="1:8" ht="15.75" customHeight="1" x14ac:dyDescent="0.25">
      <c r="B31" s="19" t="s">
        <v>96</v>
      </c>
      <c r="C31" s="101">
        <v>3.0332997E-2</v>
      </c>
    </row>
    <row r="32" spans="1:8" ht="15.75" customHeight="1" x14ac:dyDescent="0.25">
      <c r="B32" s="19" t="s">
        <v>97</v>
      </c>
      <c r="C32" s="101">
        <v>8.4368242999999996E-2</v>
      </c>
    </row>
    <row r="33" spans="2:3" ht="15.75" customHeight="1" x14ac:dyDescent="0.25">
      <c r="B33" s="19" t="s">
        <v>98</v>
      </c>
      <c r="C33" s="101">
        <v>0.169902637</v>
      </c>
    </row>
    <row r="34" spans="2:3" ht="15.75" customHeight="1" x14ac:dyDescent="0.25">
      <c r="B34" s="19" t="s">
        <v>99</v>
      </c>
      <c r="C34" s="101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56.580620140373682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39.847657223635643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391.6881570886265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1.4605051036841139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12.97995666743156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12.97995666743156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12.97995666743156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12.97995666743156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12.97995666743156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12.97995666743156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0.68672246732690645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0.25397140000000001</v>
      </c>
      <c r="C18" s="98">
        <v>0.95</v>
      </c>
      <c r="D18" s="56">
        <v>9.0366520404178896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0.25397140000000001</v>
      </c>
      <c r="C19" s="98">
        <v>0.95</v>
      </c>
      <c r="D19" s="56">
        <v>9.0366520404178896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18.09265788699528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0.91598738953471892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18.540655838323278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0.27308949999999999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0.39997139999999998</v>
      </c>
      <c r="C29" s="98">
        <v>0.95</v>
      </c>
      <c r="D29" s="56">
        <v>110.3413816734874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0.92241108658405979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0.84804100000000004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0.1809837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2.0029000000000002E-3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0.71388839999999998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3.7098806669089082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205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0.10765353034070746</v>
      </c>
      <c r="G18" s="90">
        <f>MIN(MAX(1-0.89/(1-frac_sam_12_23months+(frac_sam_12_23months*0.89)),0),1)</f>
        <v>0.10862877869186749</v>
      </c>
      <c r="H18" s="90">
        <f>MIN(MAX(1-0.89/(1-frac_sam_24_59months+(frac_sam_24_59months*0.89)),0),1)</f>
        <v>0.10944498206783926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0.10728668805237962</v>
      </c>
      <c r="G20" s="90">
        <f>MIN(MAX(1-0.89/(1-frac_mam_12_23months+(frac_mam_12_23months*0.89)),0),1)</f>
        <v>0.10911737942484812</v>
      </c>
      <c r="H20" s="90">
        <f>MIN(MAX(1-0.89/(1-frac_mam_24_59months+(frac_mam_24_59months*0.89)),0),1)</f>
        <v>0.10894210934047222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9.7632839130195048E-3</v>
      </c>
      <c r="G73" s="90">
        <f>MIN(MAX(1-0.99/(1-frac_sam_12_23months+(frac_sam_12_23months*0.99)),0),1)</f>
        <v>9.8615311154034435E-3</v>
      </c>
      <c r="H73" s="90">
        <f>MIN(MAX(1-0.99/(1-frac_sam_24_59months+(frac_sam_24_59months*0.99)),0),1)</f>
        <v>9.9439063919044557E-3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9.7263784859130675E-3</v>
      </c>
      <c r="G75" s="90">
        <f>MIN(MAX(1-0.99/(1-frac_mam_12_23months+(frac_mam_12_23months*0.99)),0),1)</f>
        <v>9.9108266285111712E-3</v>
      </c>
      <c r="H75" s="90">
        <f>MIN(MAX(1-0.99/(1-frac_mam_24_59months+(frac_mam_24_59months*0.99)),0),1)</f>
        <v>9.8931377663590281E-3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0.19615682578407367</v>
      </c>
      <c r="G128" s="90">
        <f>MIN(MAX(1-0.8/(1-frac_sam_12_23months+(frac_sam_12_23months*0.8)),0),1)</f>
        <v>0.19775615605824859</v>
      </c>
      <c r="H128" s="90">
        <f>MIN(MAX(1-0.8/(1-frac_sam_24_59months+(frac_sam_24_59months*0.8)),0),1)</f>
        <v>0.19909245962970479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0.19555448930772246</v>
      </c>
      <c r="G130" s="90">
        <f>MIN(MAX(1-0.8/(1-frac_mam_12_23months+(frac_mam_12_23months*0.8)),0),1)</f>
        <v>0.19855634351269624</v>
      </c>
      <c r="H130" s="90">
        <f>MIN(MAX(1-0.8/(1-frac_mam_24_59months+(frac_mam_24_59months*0.8)),0),1)</f>
        <v>0.19826938429293472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2024-06-18T06:54:00Z</dcterms:modified>
</cp:coreProperties>
</file>