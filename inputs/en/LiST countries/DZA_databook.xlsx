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A413417-54C5-4189-972F-39110D194A9F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6" i="2"/>
  <c r="A25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31" i="2"/>
  <c r="I2" i="2"/>
  <c r="I6" i="2"/>
  <c r="A19" i="2"/>
  <c r="A35" i="2"/>
  <c r="A40" i="2"/>
  <c r="A22" i="2"/>
  <c r="A36" i="2"/>
  <c r="A34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<sst xmlns="http://schemas.openxmlformats.org/spreadsheetml/2006/main" count="2159" uniqueCount="372">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</sst>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4632995.5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2.9899999999999999E-2</v>
      </c>
    </row>
    <row r="24" spans="1:3" ht="15" customHeight="1" x14ac:dyDescent="0.25">
      <c r="B24" s="15" t="s">
        <v>22</v>
      </c>
      <c r="C24" s="45">
        <v>0.41</v>
      </c>
    </row>
    <row r="25" spans="1:3" ht="15" customHeight="1" x14ac:dyDescent="0.25">
      <c r="B25" s="15" t="s">
        <v>23</v>
      </c>
      <c r="C25" s="45">
        <v>0.46339999999999998</v>
      </c>
    </row>
    <row r="26" spans="1:3" ht="15" customHeight="1" x14ac:dyDescent="0.25">
      <c r="B26" s="15" t="s">
        <v>24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15.6492</v>
      </c>
    </row>
    <row r="38" spans="1:5" ht="15" customHeight="1" x14ac:dyDescent="0.25">
      <c r="B38" s="11" t="s">
        <v>34</v>
      </c>
      <c r="C38" s="43">
        <v>19.16029</v>
      </c>
      <c r="D38" s="12"/>
      <c r="E38" s="13"/>
    </row>
    <row r="39" spans="1:5" ht="15" customHeight="1" x14ac:dyDescent="0.25">
      <c r="B39" s="11" t="s">
        <v>35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7.5297000000000003E-3</v>
      </c>
      <c r="D45" s="12"/>
    </row>
    <row r="46" spans="1:5" ht="15.75" customHeight="1" x14ac:dyDescent="0.25">
      <c r="B46" s="11" t="s">
        <v>41</v>
      </c>
      <c r="C46" s="45">
        <v>8.0905199999999997E-2</v>
      </c>
      <c r="D46" s="12"/>
    </row>
    <row r="47" spans="1:5" ht="15.75" customHeight="1" x14ac:dyDescent="0.25">
      <c r="B47" s="11" t="s">
        <v>42</v>
      </c>
      <c r="C47" s="45">
        <v>7.3840299999999998E-2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0.57310400000000006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881823</v>
      </c>
      <c r="C2" s="49">
        <v>1788486</v>
      </c>
      <c r="D2" s="49">
        <v>2903103</v>
      </c>
      <c r="E2" s="49">
        <v>3496855</v>
      </c>
      <c r="F2" s="49">
        <v>3176006.5</v>
      </c>
      <c r="G2" s="17">
        <f t="shared" ref="G2:G13" si="0">C2+D2+E2+F2</f>
        <v>11364450.5</v>
      </c>
      <c r="H2" s="17">
        <f t="shared" ref="H2:H13" si="1">(B2 + stillbirth*B2/(1000-stillbirth))/(1-abortion)</f>
        <v>1012008.5023940986</v>
      </c>
      <c r="I2" s="17">
        <f t="shared" ref="I2:I13" si="2">G2-H2</f>
        <v>10352441.997605901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855432</v>
      </c>
      <c r="C3" s="50">
        <v>1880737.5</v>
      </c>
      <c r="D3" s="50">
        <v>2896263</v>
      </c>
      <c r="E3" s="50">
        <v>3447368.0000000005</v>
      </c>
      <c r="F3" s="50">
        <v>3265149</v>
      </c>
      <c r="G3" s="17">
        <f t="shared" si="0"/>
        <v>11489517.5</v>
      </c>
      <c r="H3" s="17">
        <f t="shared" si="1"/>
        <v>981721.34001946938</v>
      </c>
      <c r="I3" s="17">
        <f t="shared" si="2"/>
        <v>10507796.15998053</v>
      </c>
    </row>
    <row r="4" spans="1:9" ht="15.75" customHeight="1" x14ac:dyDescent="0.25">
      <c r="A4" s="5">
        <f t="shared" si="3"/>
        <v>2026</v>
      </c>
      <c r="B4" s="49">
        <v>832197</v>
      </c>
      <c r="C4" s="50">
        <v>1968716.5</v>
      </c>
      <c r="D4" s="50">
        <v>2916550</v>
      </c>
      <c r="E4" s="50">
        <v>3388261.4999999995</v>
      </c>
      <c r="F4" s="50">
        <v>3345870</v>
      </c>
      <c r="G4" s="17">
        <f t="shared" si="0"/>
        <v>11619398</v>
      </c>
      <c r="H4" s="17">
        <f t="shared" si="1"/>
        <v>955056.10498576425</v>
      </c>
      <c r="I4" s="17">
        <f t="shared" si="2"/>
        <v>10664341.895014236</v>
      </c>
    </row>
    <row r="5" spans="1:9" ht="15.75" customHeight="1" x14ac:dyDescent="0.25">
      <c r="A5" s="5">
        <f t="shared" si="3"/>
        <v>2027</v>
      </c>
      <c r="B5" s="49">
        <v>811548</v>
      </c>
      <c r="C5" s="50">
        <v>2055652.5000000002</v>
      </c>
      <c r="D5" s="50">
        <v>2965857.5</v>
      </c>
      <c r="E5" s="50">
        <v>3320935.5</v>
      </c>
      <c r="F5" s="50">
        <v>3414471.9999999995</v>
      </c>
      <c r="G5" s="17">
        <f t="shared" si="0"/>
        <v>11756917.5</v>
      </c>
      <c r="H5" s="17">
        <f t="shared" si="1"/>
        <v>931358.64691772149</v>
      </c>
      <c r="I5" s="17">
        <f t="shared" si="2"/>
        <v>10825558.853082279</v>
      </c>
    </row>
    <row r="6" spans="1:9" ht="15.75" customHeight="1" x14ac:dyDescent="0.25">
      <c r="A6" s="5">
        <f t="shared" si="3"/>
        <v>2028</v>
      </c>
      <c r="B6" s="49">
        <v>794567</v>
      </c>
      <c r="C6" s="50">
        <v>2137849</v>
      </c>
      <c r="D6" s="50">
        <v>3053031</v>
      </c>
      <c r="E6" s="50">
        <v>3240166</v>
      </c>
      <c r="F6" s="50">
        <v>3467769.5</v>
      </c>
      <c r="G6" s="17">
        <f t="shared" si="0"/>
        <v>11898815.5</v>
      </c>
      <c r="H6" s="17">
        <f t="shared" si="1"/>
        <v>911870.70389610121</v>
      </c>
      <c r="I6" s="17">
        <f t="shared" si="2"/>
        <v>10986944.796103898</v>
      </c>
    </row>
    <row r="7" spans="1:9" ht="15.75" customHeight="1" x14ac:dyDescent="0.25">
      <c r="A7" s="5">
        <f t="shared" si="3"/>
        <v>2029</v>
      </c>
      <c r="B7" s="49">
        <v>781454</v>
      </c>
      <c r="C7" s="50">
        <v>2215097</v>
      </c>
      <c r="D7" s="50">
        <v>3169618.9999999995</v>
      </c>
      <c r="E7" s="50">
        <v>3152711.0000000005</v>
      </c>
      <c r="F7" s="50">
        <v>3503781.5</v>
      </c>
      <c r="G7" s="17">
        <f t="shared" si="0"/>
        <v>12041208.5</v>
      </c>
      <c r="H7" s="17">
        <f t="shared" si="1"/>
        <v>896821.80236836406</v>
      </c>
      <c r="I7" s="17">
        <f t="shared" si="2"/>
        <v>11144386.697631637</v>
      </c>
    </row>
    <row r="8" spans="1:9" ht="15.75" customHeight="1" x14ac:dyDescent="0.25">
      <c r="A8" s="5">
        <f t="shared" si="3"/>
        <v>2030</v>
      </c>
      <c r="B8" s="49">
        <v>771716</v>
      </c>
      <c r="C8" s="50">
        <v>2289872</v>
      </c>
      <c r="D8" s="50">
        <v>3297386.9999999995</v>
      </c>
      <c r="E8" s="50">
        <v>3073944</v>
      </c>
      <c r="F8" s="50">
        <v>3522340</v>
      </c>
      <c r="G8" s="17">
        <f t="shared" si="0"/>
        <v>12183543</v>
      </c>
      <c r="H8" s="17">
        <f t="shared" si="1"/>
        <v>885646.15964152012</v>
      </c>
      <c r="I8" s="17">
        <f t="shared" si="2"/>
        <v>11297896.840358481</v>
      </c>
    </row>
    <row r="9" spans="1:9" ht="15.75" customHeight="1" x14ac:dyDescent="0.25">
      <c r="A9" s="5">
        <f t="shared" si="3"/>
        <v>2031</v>
      </c>
      <c r="B9" s="49">
        <v>764881</v>
      </c>
      <c r="C9" s="50">
        <v>2355492.5</v>
      </c>
      <c r="D9" s="50">
        <v>3435498</v>
      </c>
      <c r="E9" s="50">
        <v>3004677.5</v>
      </c>
      <c r="F9" s="50">
        <v>3524365</v>
      </c>
      <c r="G9" s="17">
        <f t="shared" si="0"/>
        <v>12320033</v>
      </c>
      <c r="H9" s="17">
        <f t="shared" si="1"/>
        <v>877802.09329956293</v>
      </c>
      <c r="I9" s="17">
        <f t="shared" si="2"/>
        <v>11442230.906700438</v>
      </c>
    </row>
    <row r="10" spans="1:9" ht="15.75" customHeight="1" x14ac:dyDescent="0.25">
      <c r="A10" s="5">
        <f t="shared" si="3"/>
        <v>2032</v>
      </c>
      <c r="B10" s="49">
        <v>761645</v>
      </c>
      <c r="C10" s="50">
        <v>2405038</v>
      </c>
      <c r="D10" s="50">
        <v>3593161.5</v>
      </c>
      <c r="E10" s="50">
        <v>2942028.5000000005</v>
      </c>
      <c r="F10" s="50">
        <v>3512143</v>
      </c>
      <c r="G10" s="17">
        <f t="shared" si="0"/>
        <v>12452371</v>
      </c>
      <c r="H10" s="17">
        <f t="shared" si="1"/>
        <v>874088.35537965468</v>
      </c>
      <c r="I10" s="17">
        <f t="shared" si="2"/>
        <v>11578282.644620346</v>
      </c>
    </row>
    <row r="11" spans="1:9" ht="15.75" customHeight="1" x14ac:dyDescent="0.25">
      <c r="A11" s="5">
        <f t="shared" si="3"/>
        <v>2033</v>
      </c>
      <c r="B11" s="49">
        <v>762903</v>
      </c>
      <c r="C11" s="50">
        <v>2434536.5</v>
      </c>
      <c r="D11" s="50">
        <v>3762397.5</v>
      </c>
      <c r="E11" s="50">
        <v>2890836.5</v>
      </c>
      <c r="F11" s="50">
        <v>3487440.4999999995</v>
      </c>
      <c r="G11" s="17">
        <f t="shared" si="0"/>
        <v>12575211</v>
      </c>
      <c r="H11" s="17">
        <f t="shared" si="1"/>
        <v>875532.07673418021</v>
      </c>
      <c r="I11" s="17">
        <f t="shared" si="2"/>
        <v>11699678.92326582</v>
      </c>
    </row>
    <row r="12" spans="1:9" ht="15.75" customHeight="1" x14ac:dyDescent="0.25">
      <c r="A12" s="5">
        <f t="shared" si="3"/>
        <v>2034</v>
      </c>
      <c r="B12" s="49">
        <v>768066</v>
      </c>
      <c r="C12" s="50">
        <v>2442917.5</v>
      </c>
      <c r="D12" s="50">
        <v>3931813</v>
      </c>
      <c r="E12" s="50">
        <v>2859976.4999999995</v>
      </c>
      <c r="F12" s="50">
        <v>3450396.5</v>
      </c>
      <c r="G12" s="17">
        <f t="shared" si="0"/>
        <v>12685103.5</v>
      </c>
      <c r="H12" s="17">
        <f t="shared" si="1"/>
        <v>881457.30197536887</v>
      </c>
      <c r="I12" s="17">
        <f t="shared" si="2"/>
        <v>11803646.198024631</v>
      </c>
    </row>
    <row r="13" spans="1:9" ht="15.75" customHeight="1" x14ac:dyDescent="0.25">
      <c r="A13" s="5">
        <f t="shared" si="3"/>
        <v>2035</v>
      </c>
      <c r="B13" s="49">
        <v>774693</v>
      </c>
      <c r="C13" s="50">
        <v>2430334</v>
      </c>
      <c r="D13" s="50">
        <v>4099318.5000000005</v>
      </c>
      <c r="E13" s="50">
        <v>2854082.0000000005</v>
      </c>
      <c r="F13" s="50">
        <v>3402393</v>
      </c>
      <c r="G13" s="17">
        <f t="shared" si="0"/>
        <v>12786127.5</v>
      </c>
      <c r="H13" s="17">
        <f t="shared" si="1"/>
        <v>889062.66081196733</v>
      </c>
      <c r="I13" s="17">
        <f t="shared" si="2"/>
        <v>11897064.839188032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5.0001989999601919E-3</v>
      </c>
    </row>
    <row r="4" spans="1:8" ht="15.75" customHeight="1" x14ac:dyDescent="0.25">
      <c r="B4" s="19" t="s">
        <v>69</v>
      </c>
      <c r="C4" s="101">
        <v>4.3378791324241689E-2</v>
      </c>
    </row>
    <row r="5" spans="1:8" ht="15.75" customHeight="1" x14ac:dyDescent="0.25">
      <c r="B5" s="19" t="s">
        <v>70</v>
      </c>
      <c r="C5" s="101">
        <v>4.3428391314321607E-2</v>
      </c>
    </row>
    <row r="6" spans="1:8" ht="15.75" customHeight="1" x14ac:dyDescent="0.25">
      <c r="B6" s="19" t="s">
        <v>71</v>
      </c>
      <c r="C6" s="101">
        <v>0.20442915911416809</v>
      </c>
    </row>
    <row r="7" spans="1:8" ht="15.75" customHeight="1" x14ac:dyDescent="0.25">
      <c r="B7" s="19" t="s">
        <v>72</v>
      </c>
      <c r="C7" s="101">
        <v>0.44831191033761802</v>
      </c>
    </row>
    <row r="8" spans="1:8" ht="15.75" customHeight="1" x14ac:dyDescent="0.25">
      <c r="B8" s="19" t="s">
        <v>73</v>
      </c>
      <c r="C8" s="101">
        <v>6.1679987664002426E-4</v>
      </c>
    </row>
    <row r="9" spans="1:8" ht="15.75" customHeight="1" x14ac:dyDescent="0.25">
      <c r="B9" s="19" t="s">
        <v>74</v>
      </c>
      <c r="C9" s="101">
        <v>0.16549056690188679</v>
      </c>
    </row>
    <row r="10" spans="1:8" ht="15.75" customHeight="1" x14ac:dyDescent="0.25">
      <c r="B10" s="19" t="s">
        <v>75</v>
      </c>
      <c r="C10" s="101">
        <v>8.9344182131163408E-2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82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83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84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87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88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89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4.6172718000000001E-2</v>
      </c>
    </row>
    <row r="27" spans="1:8" ht="15.75" customHeight="1" x14ac:dyDescent="0.25">
      <c r="B27" s="19" t="s">
        <v>92</v>
      </c>
      <c r="C27" s="101">
        <v>2.7233671000000001E-2</v>
      </c>
    </row>
    <row r="28" spans="1:8" ht="15.75" customHeight="1" x14ac:dyDescent="0.25">
      <c r="B28" s="19" t="s">
        <v>93</v>
      </c>
      <c r="C28" s="101">
        <v>0.19299803300000001</v>
      </c>
    </row>
    <row r="29" spans="1:8" ht="15.75" customHeight="1" x14ac:dyDescent="0.25">
      <c r="B29" s="19" t="s">
        <v>94</v>
      </c>
      <c r="C29" s="101">
        <v>0.151217407</v>
      </c>
    </row>
    <row r="30" spans="1:8" ht="15.75" customHeight="1" x14ac:dyDescent="0.25">
      <c r="B30" s="19" t="s">
        <v>95</v>
      </c>
      <c r="C30" s="101">
        <v>5.0257797E-2</v>
      </c>
    </row>
    <row r="31" spans="1:8" ht="15.75" customHeight="1" x14ac:dyDescent="0.25">
      <c r="B31" s="19" t="s">
        <v>96</v>
      </c>
      <c r="C31" s="101">
        <v>3.0332997E-2</v>
      </c>
    </row>
    <row r="32" spans="1:8" ht="15.75" customHeight="1" x14ac:dyDescent="0.25">
      <c r="B32" s="19" t="s">
        <v>97</v>
      </c>
      <c r="C32" s="101">
        <v>8.4368242999999996E-2</v>
      </c>
    </row>
    <row r="33" spans="2:3" ht="15.75" customHeight="1" x14ac:dyDescent="0.25">
      <c r="B33" s="19" t="s">
        <v>98</v>
      </c>
      <c r="C33" s="101">
        <v>0.169902637</v>
      </c>
    </row>
    <row r="34" spans="2:3" ht="15.75" customHeight="1" x14ac:dyDescent="0.25">
      <c r="B34" s="19" t="s">
        <v>99</v>
      </c>
      <c r="C34" s="101">
        <v>0.247516497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104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9.0072400000000052E-2</v>
      </c>
      <c r="D5" s="52">
        <f t="shared" si="0"/>
        <v>0.21559660000000003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4342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0.35038000000000002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0.18049999999999999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1.5064160944352943E-2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97717.044450000001</v>
      </c>
      <c r="C22" s="109">
        <v>97553.420639999997</v>
      </c>
      <c r="D22" s="109">
        <v>97389.974860000002</v>
      </c>
      <c r="E22" s="109">
        <v>97144.307820000002</v>
      </c>
      <c r="F22" s="109">
        <v>96805.3891</v>
      </c>
      <c r="G22" s="109">
        <v>96441.235690000001</v>
      </c>
      <c r="H22" s="109">
        <v>95999.837249999997</v>
      </c>
      <c r="I22" s="109">
        <v>95427.389970000004</v>
      </c>
      <c r="J22" s="109">
        <v>94651.594500000007</v>
      </c>
      <c r="K22" s="109">
        <v>93544.66128</v>
      </c>
      <c r="L22" s="109">
        <v>91886.019469999999</v>
      </c>
      <c r="M22" s="109">
        <v>89439.137149999995</v>
      </c>
      <c r="N22" s="109">
        <v>85459.144130000001</v>
      </c>
      <c r="O22" s="109">
        <v>79760.902249999999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12.97995666743156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12.97995666743156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12.97995666743156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12.97995666743156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12.97995666743156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12.97995666743156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0.25397140000000001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0.25397140000000001</v>
      </c>
      <c r="C19" s="98">
        <v>0.95</v>
      </c>
      <c r="D19" s="56">
        <v>9.0366520404178896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4.259198426998462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0.91598738953471903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0.27308949999999999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0.39997139999999998</v>
      </c>
      <c r="C29" s="98">
        <v>0.95</v>
      </c>
      <c r="D29" s="56">
        <v>110.3413816734874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0.84804100000000004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0.1809837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2.0029000000000002E-3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0.71388839999999998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198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