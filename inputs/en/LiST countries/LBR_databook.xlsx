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003FA4D-E110-42C0-A458-CACBA6BF031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A26" i="2"/>
  <c r="A25" i="2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39" i="2" l="1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<sst xmlns="http://schemas.openxmlformats.org/spreadsheetml/2006/main" count="2169" uniqueCount="373">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</sst>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781517</v>
      </c>
    </row>
    <row r="8" spans="1:3" ht="15" customHeight="1" x14ac:dyDescent="0.25">
      <c r="B8" s="5" t="s">
        <v>8</v>
      </c>
      <c r="C8" s="44">
        <v>0.79700000000000004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0.15341930000000001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0.1414</v>
      </c>
    </row>
    <row r="24" spans="1:3" ht="15" customHeight="1" x14ac:dyDescent="0.25">
      <c r="B24" s="15" t="s">
        <v>22</v>
      </c>
      <c r="C24" s="45">
        <v>0.44040000000000012</v>
      </c>
    </row>
    <row r="25" spans="1:3" ht="15" customHeight="1" x14ac:dyDescent="0.25">
      <c r="B25" s="15" t="s">
        <v>23</v>
      </c>
      <c r="C25" s="45">
        <v>0.33069999999999999</v>
      </c>
    </row>
    <row r="26" spans="1:3" ht="15" customHeight="1" x14ac:dyDescent="0.25">
      <c r="B26" s="15" t="s">
        <v>24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7">
        <v>4.10301351064883E-2</v>
      </c>
    </row>
    <row r="31" spans="1:3" ht="14.25" customHeight="1" x14ac:dyDescent="0.25">
      <c r="B31" s="25" t="s">
        <v>28</v>
      </c>
      <c r="C31" s="97">
        <v>6.6332842080041601E-2</v>
      </c>
    </row>
    <row r="32" spans="1:3" ht="14.25" customHeight="1" x14ac:dyDescent="0.25">
      <c r="B32" s="25" t="s">
        <v>29</v>
      </c>
      <c r="C32" s="97">
        <v>0.62351325083781095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98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3.016</v>
      </c>
      <c r="D51" s="12"/>
    </row>
    <row r="52" spans="1:4" ht="15" customHeight="1" x14ac:dyDescent="0.25">
      <c r="B52" s="11" t="s">
        <v>46</v>
      </c>
      <c r="C52" s="98">
        <v>3.016</v>
      </c>
    </row>
    <row r="53" spans="1:4" ht="15.75" customHeight="1" x14ac:dyDescent="0.25">
      <c r="B53" s="11" t="s">
        <v>47</v>
      </c>
      <c r="C53" s="98">
        <v>6.0060000000000002</v>
      </c>
    </row>
    <row r="54" spans="1:4" ht="15.75" customHeight="1" x14ac:dyDescent="0.25">
      <c r="B54" s="11" t="s">
        <v>48</v>
      </c>
      <c r="C54" s="98">
        <v>6.5780000000000003</v>
      </c>
    </row>
    <row r="55" spans="1:4" ht="15.75" customHeight="1" x14ac:dyDescent="0.25">
      <c r="B55" s="11" t="s">
        <v>49</v>
      </c>
      <c r="C55" s="98">
        <v>3.145999999999999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171626</v>
      </c>
      <c r="C2" s="49">
        <v>317001.5</v>
      </c>
      <c r="D2" s="49">
        <v>476691.5</v>
      </c>
      <c r="E2" s="49">
        <v>337709.5</v>
      </c>
      <c r="F2" s="49">
        <v>255728.99999999997</v>
      </c>
      <c r="G2" s="17">
        <f t="shared" ref="G2:G13" si="0">C2+D2+E2+F2</f>
        <v>1387131.5</v>
      </c>
      <c r="H2" s="17">
        <f t="shared" ref="H2:H13" si="1">(B2 + stillbirth*B2/(1000-stillbirth))/(1-abortion)</f>
        <v>199592.6526384305</v>
      </c>
      <c r="I2" s="17">
        <f t="shared" ref="I2:I13" si="2">G2-H2</f>
        <v>1187538.8473615695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173467</v>
      </c>
      <c r="C3" s="50">
        <v>324259.5</v>
      </c>
      <c r="D3" s="50">
        <v>493995.5</v>
      </c>
      <c r="E3" s="50">
        <v>344190</v>
      </c>
      <c r="F3" s="50">
        <v>263221.5</v>
      </c>
      <c r="G3" s="17">
        <f t="shared" si="0"/>
        <v>1425666.5</v>
      </c>
      <c r="H3" s="17">
        <f t="shared" si="1"/>
        <v>201733.64569022541</v>
      </c>
      <c r="I3" s="17">
        <f t="shared" si="2"/>
        <v>1223932.8543097745</v>
      </c>
    </row>
    <row r="4" spans="1:9" ht="15.75" customHeight="1" x14ac:dyDescent="0.25">
      <c r="A4" s="5">
        <f t="shared" si="3"/>
        <v>2026</v>
      </c>
      <c r="B4" s="49">
        <v>174971</v>
      </c>
      <c r="C4" s="50">
        <v>329935</v>
      </c>
      <c r="D4" s="50">
        <v>512843.49999999994</v>
      </c>
      <c r="E4" s="50">
        <v>351873.5</v>
      </c>
      <c r="F4" s="50">
        <v>270637</v>
      </c>
      <c r="G4" s="17">
        <f t="shared" si="0"/>
        <v>1465289</v>
      </c>
      <c r="H4" s="17">
        <f t="shared" si="1"/>
        <v>203482.72420728108</v>
      </c>
      <c r="I4" s="17">
        <f t="shared" si="2"/>
        <v>1261806.2757927189</v>
      </c>
    </row>
    <row r="5" spans="1:9" ht="15.75" customHeight="1" x14ac:dyDescent="0.25">
      <c r="A5" s="5">
        <f t="shared" si="3"/>
        <v>2027</v>
      </c>
      <c r="B5" s="49">
        <v>176887</v>
      </c>
      <c r="C5" s="50">
        <v>335682</v>
      </c>
      <c r="D5" s="50">
        <v>533512.5</v>
      </c>
      <c r="E5" s="50">
        <v>361717</v>
      </c>
      <c r="F5" s="50">
        <v>278018</v>
      </c>
      <c r="G5" s="17">
        <f t="shared" si="0"/>
        <v>1508929.5</v>
      </c>
      <c r="H5" s="17">
        <f t="shared" si="1"/>
        <v>205710.93859470042</v>
      </c>
      <c r="I5" s="17">
        <f t="shared" si="2"/>
        <v>1303218.5614052997</v>
      </c>
    </row>
    <row r="6" spans="1:9" ht="15.75" customHeight="1" x14ac:dyDescent="0.25">
      <c r="A6" s="5">
        <f t="shared" si="3"/>
        <v>2028</v>
      </c>
      <c r="B6" s="49">
        <v>178928</v>
      </c>
      <c r="C6" s="50">
        <v>341282</v>
      </c>
      <c r="D6" s="50">
        <v>553132.5</v>
      </c>
      <c r="E6" s="50">
        <v>372842.5</v>
      </c>
      <c r="F6" s="50">
        <v>284808.5</v>
      </c>
      <c r="G6" s="17">
        <f t="shared" si="0"/>
        <v>1552065.5</v>
      </c>
      <c r="H6" s="17">
        <f t="shared" si="1"/>
        <v>208084.52187482722</v>
      </c>
      <c r="I6" s="17">
        <f t="shared" si="2"/>
        <v>1343980.9781251727</v>
      </c>
    </row>
    <row r="7" spans="1:9" ht="15.75" customHeight="1" x14ac:dyDescent="0.25">
      <c r="A7" s="5">
        <f t="shared" si="3"/>
        <v>2029</v>
      </c>
      <c r="B7" s="49">
        <v>180597</v>
      </c>
      <c r="C7" s="50">
        <v>345459.5</v>
      </c>
      <c r="D7" s="50">
        <v>570489.5</v>
      </c>
      <c r="E7" s="50">
        <v>384780.5</v>
      </c>
      <c r="F7" s="50">
        <v>290828</v>
      </c>
      <c r="G7" s="17">
        <f t="shared" si="0"/>
        <v>1591557.5</v>
      </c>
      <c r="H7" s="17">
        <f t="shared" si="1"/>
        <v>210025.4873302567</v>
      </c>
      <c r="I7" s="17">
        <f t="shared" si="2"/>
        <v>1381532.0126697433</v>
      </c>
    </row>
    <row r="8" spans="1:9" ht="15.75" customHeight="1" x14ac:dyDescent="0.25">
      <c r="A8" s="5">
        <f t="shared" si="3"/>
        <v>2030</v>
      </c>
      <c r="B8" s="49">
        <v>181051</v>
      </c>
      <c r="C8" s="50">
        <v>348561</v>
      </c>
      <c r="D8" s="50">
        <v>585856.5</v>
      </c>
      <c r="E8" s="50">
        <v>397487.5</v>
      </c>
      <c r="F8" s="50">
        <v>296323.5</v>
      </c>
      <c r="G8" s="17">
        <f t="shared" si="0"/>
        <v>1628228.5</v>
      </c>
      <c r="H8" s="17">
        <f t="shared" si="1"/>
        <v>210553.46714857005</v>
      </c>
      <c r="I8" s="17">
        <f t="shared" si="2"/>
        <v>1417675.0328514299</v>
      </c>
    </row>
    <row r="9" spans="1:9" ht="15.75" customHeight="1" x14ac:dyDescent="0.25">
      <c r="A9" s="5">
        <f t="shared" si="3"/>
        <v>2031</v>
      </c>
      <c r="B9" s="49">
        <v>182507</v>
      </c>
      <c r="C9" s="50">
        <v>351262.5</v>
      </c>
      <c r="D9" s="50">
        <v>600147.5</v>
      </c>
      <c r="E9" s="50">
        <v>411126</v>
      </c>
      <c r="F9" s="50">
        <v>301738</v>
      </c>
      <c r="G9" s="17">
        <f t="shared" si="0"/>
        <v>1664274</v>
      </c>
      <c r="H9" s="17">
        <f t="shared" si="1"/>
        <v>212246.72401082606</v>
      </c>
      <c r="I9" s="17">
        <f t="shared" si="2"/>
        <v>1452027.2759891739</v>
      </c>
    </row>
    <row r="10" spans="1:9" ht="15.75" customHeight="1" x14ac:dyDescent="0.25">
      <c r="A10" s="5">
        <f t="shared" si="3"/>
        <v>2032</v>
      </c>
      <c r="B10" s="49">
        <v>182944</v>
      </c>
      <c r="C10" s="50">
        <v>353018.5</v>
      </c>
      <c r="D10" s="50">
        <v>615842.5</v>
      </c>
      <c r="E10" s="50">
        <v>426237.5</v>
      </c>
      <c r="F10" s="50">
        <v>307516.49999999994</v>
      </c>
      <c r="G10" s="17">
        <f t="shared" si="0"/>
        <v>1702615</v>
      </c>
      <c r="H10" s="17">
        <f t="shared" si="1"/>
        <v>212754.93365973121</v>
      </c>
      <c r="I10" s="17">
        <f t="shared" si="2"/>
        <v>1489860.0663402688</v>
      </c>
    </row>
    <row r="11" spans="1:9" ht="15.75" customHeight="1" x14ac:dyDescent="0.25">
      <c r="A11" s="5">
        <f t="shared" si="3"/>
        <v>2033</v>
      </c>
      <c r="B11" s="49">
        <v>184206</v>
      </c>
      <c r="C11" s="50">
        <v>354340</v>
      </c>
      <c r="D11" s="50">
        <v>631648.5</v>
      </c>
      <c r="E11" s="50">
        <v>442359.00000000006</v>
      </c>
      <c r="F11" s="50">
        <v>313631.49999999994</v>
      </c>
      <c r="G11" s="17">
        <f t="shared" si="0"/>
        <v>1741979</v>
      </c>
      <c r="H11" s="17">
        <f t="shared" si="1"/>
        <v>214222.57800050534</v>
      </c>
      <c r="I11" s="17">
        <f t="shared" si="2"/>
        <v>1527756.4219994945</v>
      </c>
    </row>
    <row r="12" spans="1:9" ht="15.75" customHeight="1" x14ac:dyDescent="0.25">
      <c r="A12" s="5">
        <f t="shared" si="3"/>
        <v>2034</v>
      </c>
      <c r="B12" s="49">
        <v>185412</v>
      </c>
      <c r="C12" s="50">
        <v>356590.5</v>
      </c>
      <c r="D12" s="50">
        <v>644829.5</v>
      </c>
      <c r="E12" s="50">
        <v>459105.5</v>
      </c>
      <c r="F12" s="50">
        <v>319953.99999999994</v>
      </c>
      <c r="G12" s="17">
        <f t="shared" si="0"/>
        <v>1780479.5</v>
      </c>
      <c r="H12" s="17">
        <f t="shared" si="1"/>
        <v>215625.09707734652</v>
      </c>
      <c r="I12" s="17">
        <f t="shared" si="2"/>
        <v>1564854.4029226536</v>
      </c>
    </row>
    <row r="13" spans="1:9" ht="15.75" customHeight="1" x14ac:dyDescent="0.25">
      <c r="A13" s="5">
        <f t="shared" si="3"/>
        <v>2035</v>
      </c>
      <c r="B13" s="49">
        <v>186345</v>
      </c>
      <c r="C13" s="50">
        <v>359562</v>
      </c>
      <c r="D13" s="50">
        <v>655714</v>
      </c>
      <c r="E13" s="50">
        <v>476956.5</v>
      </c>
      <c r="F13" s="50">
        <v>326860</v>
      </c>
      <c r="G13" s="17">
        <f t="shared" si="0"/>
        <v>1819092.5</v>
      </c>
      <c r="H13" s="17">
        <f t="shared" si="1"/>
        <v>216710.13049251473</v>
      </c>
      <c r="I13" s="17">
        <f t="shared" si="2"/>
        <v>1602382.3695074853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99">
        <v>6.5774706577470685E-2</v>
      </c>
    </row>
    <row r="5" spans="1:8" ht="15.75" customHeight="1" x14ac:dyDescent="0.25">
      <c r="B5" s="19" t="s">
        <v>70</v>
      </c>
      <c r="C5" s="99">
        <v>9.6632509663250973E-2</v>
      </c>
    </row>
    <row r="6" spans="1:8" ht="15.75" customHeight="1" x14ac:dyDescent="0.25">
      <c r="B6" s="19" t="s">
        <v>71</v>
      </c>
      <c r="C6" s="99">
        <v>0.25245662524566231</v>
      </c>
    </row>
    <row r="7" spans="1:8" ht="15.75" customHeight="1" x14ac:dyDescent="0.25">
      <c r="B7" s="19" t="s">
        <v>72</v>
      </c>
      <c r="C7" s="99">
        <v>0.39333373933337429</v>
      </c>
    </row>
    <row r="8" spans="1:8" ht="15.75" customHeight="1" x14ac:dyDescent="0.25">
      <c r="B8" s="19" t="s">
        <v>73</v>
      </c>
      <c r="C8" s="99">
        <v>3.4550003455000359E-3</v>
      </c>
    </row>
    <row r="9" spans="1:8" ht="15.75" customHeight="1" x14ac:dyDescent="0.25">
      <c r="B9" s="19" t="s">
        <v>74</v>
      </c>
      <c r="C9" s="99">
        <v>5.8309405830940547E-2</v>
      </c>
    </row>
    <row r="10" spans="1:8" ht="15.75" customHeight="1" x14ac:dyDescent="0.25">
      <c r="B10" s="19" t="s">
        <v>75</v>
      </c>
      <c r="C10" s="99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83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84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85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86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87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88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89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99">
        <v>8.6621349999999996E-3</v>
      </c>
    </row>
    <row r="28" spans="1:8" ht="15.75" customHeight="1" x14ac:dyDescent="0.25">
      <c r="B28" s="19" t="s">
        <v>93</v>
      </c>
      <c r="C28" s="99">
        <v>0.15441808500000001</v>
      </c>
    </row>
    <row r="29" spans="1:8" ht="15.75" customHeight="1" x14ac:dyDescent="0.25">
      <c r="B29" s="19" t="s">
        <v>94</v>
      </c>
      <c r="C29" s="99">
        <v>0.167759189</v>
      </c>
    </row>
    <row r="30" spans="1:8" ht="15.75" customHeight="1" x14ac:dyDescent="0.25">
      <c r="B30" s="19" t="s">
        <v>95</v>
      </c>
      <c r="C30" s="99">
        <v>0.10583751800000001</v>
      </c>
    </row>
    <row r="31" spans="1:8" ht="15.75" customHeight="1" x14ac:dyDescent="0.25">
      <c r="B31" s="19" t="s">
        <v>96</v>
      </c>
      <c r="C31" s="99">
        <v>0.109709026</v>
      </c>
    </row>
    <row r="32" spans="1:8" ht="15.75" customHeight="1" x14ac:dyDescent="0.25">
      <c r="B32" s="19" t="s">
        <v>97</v>
      </c>
      <c r="C32" s="99">
        <v>1.8596574000000001E-2</v>
      </c>
    </row>
    <row r="33" spans="2:3" ht="15.75" customHeight="1" x14ac:dyDescent="0.25">
      <c r="B33" s="19" t="s">
        <v>98</v>
      </c>
      <c r="C33" s="99">
        <v>8.3747772999999998E-2</v>
      </c>
    </row>
    <row r="34" spans="2:3" ht="15.75" customHeight="1" x14ac:dyDescent="0.25">
      <c r="B34" s="19" t="s">
        <v>99</v>
      </c>
      <c r="C34" s="99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754.53284291474404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0.39844999999999997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0.73531000000000002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2.3899071641163953E-2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91565.717640000003</v>
      </c>
      <c r="C22" s="107">
        <v>90821.913159999996</v>
      </c>
      <c r="D22" s="107">
        <v>90132.274969999999</v>
      </c>
      <c r="E22" s="107">
        <v>89606.024999999994</v>
      </c>
      <c r="F22" s="107">
        <v>88845.469490000003</v>
      </c>
      <c r="G22" s="107">
        <v>87880.782089999993</v>
      </c>
      <c r="H22" s="107">
        <v>86616.095069999996</v>
      </c>
      <c r="I22" s="107">
        <v>84932.765799999994</v>
      </c>
      <c r="J22" s="107">
        <v>82642.282040000006</v>
      </c>
      <c r="K22" s="107">
        <v>79701.512959999993</v>
      </c>
      <c r="L22" s="107">
        <v>75747.550289999999</v>
      </c>
      <c r="M22" s="107">
        <v>70563.858980000005</v>
      </c>
      <c r="N22" s="107">
        <v>63329.288569999997</v>
      </c>
      <c r="O22" s="107">
        <v>54198.057650000002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0.23003335421429147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0.42978100000000002</v>
      </c>
      <c r="C10" s="96">
        <v>0.95</v>
      </c>
      <c r="D10" s="56">
        <v>15.01507229777283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15.01507229777283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15.01507229777283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15.01507229777283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0.42978100000000002</v>
      </c>
      <c r="C14" s="96">
        <v>0.95</v>
      </c>
      <c r="D14" s="56">
        <v>15.01507229777283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15.01507229777283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0.69226200000000004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0.157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0.39400000000000002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0.51254100000000002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0.53483530000000001</v>
      </c>
      <c r="C23" s="96">
        <v>0.95</v>
      </c>
      <c r="D23" s="56">
        <v>4.9100556870350216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0.57084762680907997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0.42978100000000002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0.54128999999999994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8.6074300000000006E-2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0.15140000000000001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7.0000000000000007E-2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3.4401889360660999E-2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0.1875019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1.9946800000000001E-2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5.4970400000000003E-2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0.2335767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3.016</v>
      </c>
      <c r="C2" s="21">
        <f>'Baseline year population inputs'!C52</f>
        <v>3.016</v>
      </c>
      <c r="D2" s="21">
        <f>'Baseline year population inputs'!C53</f>
        <v>6.0060000000000002</v>
      </c>
      <c r="E2" s="21">
        <f>'Baseline year population inputs'!C54</f>
        <v>6.5780000000000003</v>
      </c>
      <c r="F2" s="21">
        <f>'Baseline year population inputs'!C55</f>
        <v>3.145999999999999</v>
      </c>
    </row>
    <row r="3" spans="1:6" ht="15.75" customHeight="1" x14ac:dyDescent="0.25">
      <c r="A3" s="3" t="s">
        <v>197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198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0.79700000000000004</v>
      </c>
      <c r="F2" s="60">
        <f>food_insecure</f>
        <v>0.79700000000000004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0.79700000000000004</v>
      </c>
      <c r="F5" s="60">
        <f>food_insecure</f>
        <v>0.79700000000000004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6.580363636363637E-2</v>
      </c>
      <c r="D7" s="60">
        <f>diarrhoea_1_5mo*frac_diarrhea_severe</f>
        <v>6.580363636363637E-2</v>
      </c>
      <c r="E7" s="60">
        <f>diarrhoea_6_11mo*frac_diarrhea_severe</f>
        <v>0.13104000000000002</v>
      </c>
      <c r="F7" s="60">
        <f>diarrhoea_12_23mo*frac_diarrhea_severe</f>
        <v>0.14352000000000001</v>
      </c>
      <c r="G7" s="60">
        <f>diarrhoea_24_59mo*frac_diarrhea_severe</f>
        <v>6.8639999999999979E-2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0.79700000000000004</v>
      </c>
      <c r="F8" s="60">
        <f>food_insecure</f>
        <v>0.79700000000000004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0.79700000000000004</v>
      </c>
      <c r="F9" s="60">
        <f>food_insecure</f>
        <v>0.79700000000000004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6.580363636363637E-2</v>
      </c>
      <c r="D12" s="60">
        <f>diarrhoea_1_5mo*frac_diarrhea_severe</f>
        <v>6.580363636363637E-2</v>
      </c>
      <c r="E12" s="60">
        <f>diarrhoea_6_11mo*frac_diarrhea_severe</f>
        <v>0.13104000000000002</v>
      </c>
      <c r="F12" s="60">
        <f>diarrhoea_12_23mo*frac_diarrhea_severe</f>
        <v>0.14352000000000001</v>
      </c>
      <c r="G12" s="60">
        <f>diarrhoea_24_59mo*frac_diarrhea_severe</f>
        <v>6.8639999999999979E-2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0.79700000000000004</v>
      </c>
      <c r="I15" s="60">
        <f t="shared" si="0"/>
        <v>0.79700000000000004</v>
      </c>
      <c r="J15" s="60">
        <f t="shared" si="0"/>
        <v>0.79700000000000004</v>
      </c>
      <c r="K15" s="60">
        <f t="shared" si="0"/>
        <v>0.79700000000000004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0.79700000000000004</v>
      </c>
      <c r="I16" s="60">
        <f t="shared" si="0"/>
        <v>0.79700000000000004</v>
      </c>
      <c r="J16" s="60">
        <f t="shared" si="0"/>
        <v>0.79700000000000004</v>
      </c>
      <c r="K16" s="60">
        <f t="shared" si="0"/>
        <v>0.79700000000000004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0.55651675475899987</v>
      </c>
      <c r="M25" s="60">
        <f>(1-food_insecure)*(0.49)+food_insecure*(0.7)</f>
        <v>0.6573699999999999</v>
      </c>
      <c r="N25" s="60">
        <f>(1-food_insecure)*(0.49)+food_insecure*(0.7)</f>
        <v>0.6573699999999999</v>
      </c>
      <c r="O25" s="60">
        <f>(1-food_insecure)*(0.49)+food_insecure*(0.7)</f>
        <v>0.6573699999999999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0.23850718061099999</v>
      </c>
      <c r="M26" s="60">
        <f>(1-food_insecure)*(0.21)+food_insecure*(0.3)</f>
        <v>0.28172999999999998</v>
      </c>
      <c r="N26" s="60">
        <f>(1-food_insecure)*(0.21)+food_insecure*(0.3)</f>
        <v>0.28172999999999998</v>
      </c>
      <c r="O26" s="60">
        <f>(1-food_insecure)*(0.21)+food_insecure*(0.3)</f>
        <v>0.28172999999999998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5.1556764629999981E-2</v>
      </c>
      <c r="M27" s="60">
        <f>(1-food_insecure)*(0.3)</f>
        <v>6.0899999999999982E-2</v>
      </c>
      <c r="N27" s="60">
        <f>(1-food_insecure)*(0.3)</f>
        <v>6.0899999999999982E-2</v>
      </c>
      <c r="O27" s="60">
        <f>(1-food_insecure)*(0.3)</f>
        <v>6.0899999999999982E-2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0.15341930000000001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