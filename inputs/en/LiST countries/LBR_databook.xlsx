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CEF763C-8558-4C5C-8703-535A60E3D79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2" i="2"/>
  <c r="A31" i="2"/>
  <c r="A29" i="2"/>
  <c r="A28" i="2"/>
  <c r="A27" i="2"/>
  <c r="A26" i="2"/>
  <c r="A24" i="2"/>
  <c r="A23" i="2"/>
  <c r="A21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7" i="2" l="1"/>
  <c r="A25" i="2"/>
  <c r="A33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<sst xmlns="http://schemas.openxmlformats.org/spreadsheetml/2006/main" count="2103" uniqueCount="341">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</sst>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0.14480130195617699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0.1414</v>
      </c>
    </row>
    <row r="24" spans="1:3" ht="15" customHeight="1" x14ac:dyDescent="0.25">
      <c r="B24" s="15" t="s">
        <v>22</v>
      </c>
      <c r="C24" s="45">
        <v>0.44040000000000012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169153</v>
      </c>
      <c r="C2" s="49">
        <v>382821.00000000012</v>
      </c>
      <c r="D2" s="49">
        <v>472523.49999999988</v>
      </c>
      <c r="E2" s="49">
        <v>323920.5</v>
      </c>
      <c r="F2" s="49">
        <v>234066.5</v>
      </c>
      <c r="G2" s="17">
        <f t="shared" ref="G2:G13" si="0">C2+D2+E2+F2</f>
        <v>1413331.5</v>
      </c>
      <c r="H2" s="17">
        <f t="shared" ref="H2:H13" si="1">(B2 + stillbirth*B2/(1000-stillbirth))/(1-abortion)</f>
        <v>196716.67446510692</v>
      </c>
      <c r="I2" s="17">
        <f t="shared" ref="I2:I13" si="2">G2-H2</f>
        <v>1216614.8255348932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171399</v>
      </c>
      <c r="C3" s="50">
        <v>390611</v>
      </c>
      <c r="D3" s="50">
        <v>491532.5</v>
      </c>
      <c r="E3" s="50">
        <v>330684</v>
      </c>
      <c r="F3" s="50">
        <v>239174.5</v>
      </c>
      <c r="G3" s="17">
        <f t="shared" si="0"/>
        <v>1452002</v>
      </c>
      <c r="H3" s="17">
        <f t="shared" si="1"/>
        <v>199328.66272927384</v>
      </c>
      <c r="I3" s="17">
        <f t="shared" si="2"/>
        <v>1252673.3372707262</v>
      </c>
    </row>
    <row r="4" spans="1:9" ht="15.75" customHeight="1" x14ac:dyDescent="0.25">
      <c r="A4" s="5">
        <f t="shared" si="3"/>
        <v>2026</v>
      </c>
      <c r="B4" s="49">
        <v>173760</v>
      </c>
      <c r="C4" s="50">
        <v>397795.99999999988</v>
      </c>
      <c r="D4" s="50">
        <v>511237</v>
      </c>
      <c r="E4" s="50">
        <v>338550</v>
      </c>
      <c r="F4" s="50">
        <v>243178.5</v>
      </c>
      <c r="G4" s="17">
        <f t="shared" si="0"/>
        <v>1490761.5</v>
      </c>
      <c r="H4" s="17">
        <f t="shared" si="1"/>
        <v>202074.39037473159</v>
      </c>
      <c r="I4" s="17">
        <f t="shared" si="2"/>
        <v>1288687.1096252685</v>
      </c>
    </row>
    <row r="5" spans="1:9" ht="15.75" customHeight="1" x14ac:dyDescent="0.25">
      <c r="A5" s="5">
        <f t="shared" si="3"/>
        <v>2027</v>
      </c>
      <c r="B5" s="49">
        <v>175391</v>
      </c>
      <c r="C5" s="50">
        <v>404068</v>
      </c>
      <c r="D5" s="50">
        <v>531125</v>
      </c>
      <c r="E5" s="50">
        <v>347821</v>
      </c>
      <c r="F5" s="50">
        <v>246979</v>
      </c>
      <c r="G5" s="17">
        <f t="shared" si="0"/>
        <v>1529993</v>
      </c>
      <c r="H5" s="17">
        <f t="shared" si="1"/>
        <v>203971.16368677802</v>
      </c>
      <c r="I5" s="17">
        <f t="shared" si="2"/>
        <v>1326021.8363132221</v>
      </c>
    </row>
    <row r="6" spans="1:9" ht="15.75" customHeight="1" x14ac:dyDescent="0.25">
      <c r="A6" s="5">
        <f t="shared" si="3"/>
        <v>2028</v>
      </c>
      <c r="B6" s="49">
        <v>178075</v>
      </c>
      <c r="C6" s="50">
        <v>408664.99999999988</v>
      </c>
      <c r="D6" s="50">
        <v>550282</v>
      </c>
      <c r="E6" s="50">
        <v>358717.5</v>
      </c>
      <c r="F6" s="50">
        <v>250378</v>
      </c>
      <c r="G6" s="17">
        <f t="shared" si="0"/>
        <v>1568042.5</v>
      </c>
      <c r="H6" s="17">
        <f t="shared" si="1"/>
        <v>207092.52455099177</v>
      </c>
      <c r="I6" s="17">
        <f t="shared" si="2"/>
        <v>1360949.9754490082</v>
      </c>
    </row>
    <row r="7" spans="1:9" ht="15.75" customHeight="1" x14ac:dyDescent="0.25">
      <c r="A7" s="5">
        <f t="shared" si="3"/>
        <v>2029</v>
      </c>
      <c r="B7" s="49">
        <v>179087</v>
      </c>
      <c r="C7" s="50">
        <v>412270.5</v>
      </c>
      <c r="D7" s="50">
        <v>568148.5</v>
      </c>
      <c r="E7" s="50">
        <v>371268.5</v>
      </c>
      <c r="F7" s="50">
        <v>253421</v>
      </c>
      <c r="G7" s="17">
        <f t="shared" si="0"/>
        <v>1605108.5</v>
      </c>
      <c r="H7" s="17">
        <f t="shared" si="1"/>
        <v>208269.43110635105</v>
      </c>
      <c r="I7" s="17">
        <f t="shared" si="2"/>
        <v>1396839.0688936489</v>
      </c>
    </row>
    <row r="8" spans="1:9" ht="15.75" customHeight="1" x14ac:dyDescent="0.25">
      <c r="A8" s="5">
        <f t="shared" si="3"/>
        <v>2030</v>
      </c>
      <c r="B8" s="49">
        <v>181355</v>
      </c>
      <c r="C8" s="50">
        <v>415449.50000000012</v>
      </c>
      <c r="D8" s="50">
        <v>584742</v>
      </c>
      <c r="E8" s="50">
        <v>385327</v>
      </c>
      <c r="F8" s="50">
        <v>256292</v>
      </c>
      <c r="G8" s="17">
        <f t="shared" si="0"/>
        <v>1641810.5</v>
      </c>
      <c r="H8" s="17">
        <f t="shared" si="1"/>
        <v>210907.00429563448</v>
      </c>
      <c r="I8" s="17">
        <f t="shared" si="2"/>
        <v>1430903.4957043654</v>
      </c>
    </row>
    <row r="9" spans="1:9" ht="15.75" customHeight="1" x14ac:dyDescent="0.25">
      <c r="A9" s="5">
        <f t="shared" si="3"/>
        <v>2031</v>
      </c>
      <c r="B9" s="49">
        <v>182201</v>
      </c>
      <c r="C9" s="50">
        <v>418424.49999999988</v>
      </c>
      <c r="D9" s="50">
        <v>600198</v>
      </c>
      <c r="E9" s="50">
        <v>400597</v>
      </c>
      <c r="F9" s="50">
        <v>259297.5</v>
      </c>
      <c r="G9" s="17">
        <f t="shared" si="0"/>
        <v>1678517</v>
      </c>
      <c r="H9" s="17">
        <f t="shared" si="1"/>
        <v>211890.86096147832</v>
      </c>
      <c r="I9" s="17">
        <f t="shared" si="2"/>
        <v>1466626.1390385218</v>
      </c>
    </row>
    <row r="10" spans="1:9" ht="15.75" customHeight="1" x14ac:dyDescent="0.25">
      <c r="A10" s="5">
        <f t="shared" si="3"/>
        <v>2032</v>
      </c>
      <c r="B10" s="49">
        <v>183848</v>
      </c>
      <c r="C10" s="50">
        <v>420197.50000000012</v>
      </c>
      <c r="D10" s="50">
        <v>615657</v>
      </c>
      <c r="E10" s="50">
        <v>416837.5</v>
      </c>
      <c r="F10" s="50">
        <v>262673.5</v>
      </c>
      <c r="G10" s="17">
        <f t="shared" si="0"/>
        <v>1715365.5</v>
      </c>
      <c r="H10" s="17">
        <f t="shared" si="1"/>
        <v>213806.2414917913</v>
      </c>
      <c r="I10" s="17">
        <f t="shared" si="2"/>
        <v>1501559.2585082087</v>
      </c>
    </row>
    <row r="11" spans="1:9" ht="15.75" customHeight="1" x14ac:dyDescent="0.25">
      <c r="A11" s="5">
        <f t="shared" si="3"/>
        <v>2033</v>
      </c>
      <c r="B11" s="49">
        <v>185439</v>
      </c>
      <c r="C11" s="50">
        <v>421504.5</v>
      </c>
      <c r="D11" s="50">
        <v>630481.00000000012</v>
      </c>
      <c r="E11" s="50">
        <v>433871.5</v>
      </c>
      <c r="F11" s="50">
        <v>266074.5</v>
      </c>
      <c r="G11" s="17">
        <f t="shared" si="0"/>
        <v>1751931.5</v>
      </c>
      <c r="H11" s="17">
        <f t="shared" si="1"/>
        <v>215656.49675817136</v>
      </c>
      <c r="I11" s="17">
        <f t="shared" si="2"/>
        <v>1536275.0032418286</v>
      </c>
    </row>
    <row r="12" spans="1:9" ht="15.75" customHeight="1" x14ac:dyDescent="0.25">
      <c r="A12" s="5">
        <f t="shared" si="3"/>
        <v>2034</v>
      </c>
      <c r="B12" s="49">
        <v>186189</v>
      </c>
      <c r="C12" s="50">
        <v>423814.5</v>
      </c>
      <c r="D12" s="50">
        <v>642914</v>
      </c>
      <c r="E12" s="50">
        <v>451732.5</v>
      </c>
      <c r="F12" s="50">
        <v>270213.5</v>
      </c>
      <c r="G12" s="17">
        <f t="shared" si="0"/>
        <v>1788674.5</v>
      </c>
      <c r="H12" s="17">
        <f t="shared" si="1"/>
        <v>216528.71011441588</v>
      </c>
      <c r="I12" s="17">
        <f t="shared" si="2"/>
        <v>1572145.789885584</v>
      </c>
    </row>
    <row r="13" spans="1:9" ht="15.75" customHeight="1" x14ac:dyDescent="0.25">
      <c r="A13" s="5">
        <f t="shared" si="3"/>
        <v>2035</v>
      </c>
      <c r="B13" s="49">
        <v>187959</v>
      </c>
      <c r="C13" s="50">
        <v>426969.5</v>
      </c>
      <c r="D13" s="50">
        <v>652854.5</v>
      </c>
      <c r="E13" s="50">
        <v>470486.5</v>
      </c>
      <c r="F13" s="50">
        <v>275574.5</v>
      </c>
      <c r="G13" s="17">
        <f t="shared" si="0"/>
        <v>1825885</v>
      </c>
      <c r="H13" s="17">
        <f t="shared" si="1"/>
        <v>218587.13363515295</v>
      </c>
      <c r="I13" s="17">
        <f t="shared" si="2"/>
        <v>1607297.8663648469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34.501397074255429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47.355822967277753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45.537074135700493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0.20940006975754699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0.42978100000000002</v>
      </c>
      <c r="C10" s="98">
        <v>0.95</v>
      </c>
      <c r="D10" s="56">
        <v>15.01507229777283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15.01507229777283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15.01507229777283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15.01507229777283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0.42978100000000002</v>
      </c>
      <c r="C14" s="98">
        <v>0.95</v>
      </c>
      <c r="D14" s="56">
        <v>15.01507229777283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15.01507229777283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0.69226200000000004</v>
      </c>
      <c r="C16" s="98">
        <v>0.95</v>
      </c>
      <c r="D16" s="56">
        <v>0.21765422515374999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0.157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0.51254100000000002</v>
      </c>
      <c r="C18" s="98">
        <v>0.95</v>
      </c>
      <c r="D18" s="56">
        <v>1.160813804607514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0.51254100000000002</v>
      </c>
      <c r="C19" s="98">
        <v>0.95</v>
      </c>
      <c r="D19" s="56">
        <v>1.160813804607514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1.6155396039007119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25.571599410358289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0.53483530000000001</v>
      </c>
      <c r="C23" s="98">
        <v>0.95</v>
      </c>
      <c r="D23" s="56">
        <v>4.9100556870350216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0.57084762680907997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0.42978100000000002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21.725060175997658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0.54128999999999994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8.6074300000000006E-2</v>
      </c>
      <c r="C29" s="98">
        <v>0.95</v>
      </c>
      <c r="D29" s="56">
        <v>59.948870706228909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0.15140000000000001</v>
      </c>
      <c r="C31" s="98">
        <v>0.95</v>
      </c>
      <c r="D31" s="56">
        <v>1.2819039793957061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</v>
      </c>
      <c r="C32" s="98">
        <v>0.95</v>
      </c>
      <c r="D32" s="56">
        <v>0.40073342145631469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3.4401899999999999E-2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0.1875019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1.9946800000000001E-2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5.4970400000000003E-2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7.1322114997143746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0.49250037821645715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0.21107159066419592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0.1516267291631698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0.14480130195617696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0.10878363582238137</v>
      </c>
      <c r="G18" s="90">
        <f>MIN(MAX(1-0.89/(1-frac_sam_12_23months+(frac_sam_12_23months*0.89)),0),1)</f>
        <v>0.10900210374013841</v>
      </c>
      <c r="H18" s="90">
        <f>MIN(MAX(1-0.89/(1-frac_sam_24_59months+(frac_sam_24_59months*0.89)),0),1)</f>
        <v>0.10982432293995648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0.10457663107893689</v>
      </c>
      <c r="G20" s="90">
        <f>MIN(MAX(1-0.89/(1-frac_mam_12_23months+(frac_mam_12_23months*0.89)),0),1)</f>
        <v>0.10510405021068525</v>
      </c>
      <c r="H20" s="90">
        <f>MIN(MAX(1-0.89/(1-frac_mam_24_59months+(frac_mam_24_59months*0.89)),0),1)</f>
        <v>0.10831478538751438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9.8771495172035317E-3</v>
      </c>
      <c r="G73" s="90">
        <f>MIN(MAX(1-0.99/(1-frac_sam_12_23months+(frac_sam_12_23months*0.99)),0),1)</f>
        <v>9.8991918961220948E-3</v>
      </c>
      <c r="H73" s="90">
        <f>MIN(MAX(1-0.99/(1-frac_sam_24_59months+(frac_sam_24_59months*0.99)),0),1)</f>
        <v>9.982238091333584E-3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9.4545908395351486E-3</v>
      </c>
      <c r="G75" s="90">
        <f>MIN(MAX(1-0.99/(1-frac_mam_12_23months+(frac_mam_12_23months*0.99)),0),1)</f>
        <v>9.5073675938538438E-3</v>
      </c>
      <c r="H75" s="90">
        <f>MIN(MAX(1-0.99/(1-frac_mam_24_59months+(frac_mam_24_59months*0.99)),0),1)</f>
        <v>9.8298778811486409E-3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0.19800984539153599</v>
      </c>
      <c r="G128" s="90">
        <f>MIN(MAX(1-0.8/(1-frac_sam_12_23months+(frac_sam_12_23months*0.8)),0),1)</f>
        <v>0.19836761995186036</v>
      </c>
      <c r="H128" s="90">
        <f>MIN(MAX(1-0.8/(1-frac_sam_24_59months+(frac_sam_24_59months*0.8)),0),1)</f>
        <v>0.19971284096159381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0.19109206312677096</v>
      </c>
      <c r="G130" s="90">
        <f>MIN(MAX(1-0.8/(1-frac_mam_12_23months+(frac_mam_12_23months*0.8)),0),1)</f>
        <v>0.19196227094074725</v>
      </c>
      <c r="H130" s="90">
        <f>MIN(MAX(1-0.8/(1-frac_mam_24_59months+(frac_mam_24_59months*0.8)),0),1)</f>
        <v>0.19724154534293825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2024-06-18T06:55:57Z</dcterms:modified>
</cp:coreProperties>
</file>