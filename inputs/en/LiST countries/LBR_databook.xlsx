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C115053C-E18C-4C9D-9A84-2BCECE05EB42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G97" i="27"/>
  <c r="G152" i="27" s="1"/>
  <c r="F97" i="27"/>
  <c r="F152" i="27" s="1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H129" i="27" s="1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I39" i="2"/>
  <c r="H39" i="2"/>
  <c r="G39" i="2"/>
  <c r="A39" i="2"/>
  <c r="H38" i="2"/>
  <c r="I38" i="2" s="1"/>
  <c r="G38" i="2"/>
  <c r="A37" i="2"/>
  <c r="A36" i="2"/>
  <c r="A35" i="2"/>
  <c r="A34" i="2"/>
  <c r="A33" i="2"/>
  <c r="A32" i="2"/>
  <c r="A29" i="2"/>
  <c r="A28" i="2"/>
  <c r="A27" i="2"/>
  <c r="A26" i="2"/>
  <c r="A25" i="2"/>
  <c r="A24" i="2"/>
  <c r="A21" i="2"/>
  <c r="A20" i="2"/>
  <c r="A19" i="2"/>
  <c r="A18" i="2"/>
  <c r="A17" i="2"/>
  <c r="A16" i="2"/>
  <c r="I13" i="2"/>
  <c r="H13" i="2"/>
  <c r="G13" i="2"/>
  <c r="H12" i="2"/>
  <c r="I12" i="2" s="1"/>
  <c r="G12" i="2"/>
  <c r="I11" i="2"/>
  <c r="H11" i="2"/>
  <c r="G11" i="2"/>
  <c r="H10" i="2"/>
  <c r="I10" i="2" s="1"/>
  <c r="G10" i="2"/>
  <c r="I9" i="2"/>
  <c r="H9" i="2"/>
  <c r="G9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I4" i="2" s="1"/>
  <c r="G4" i="2"/>
  <c r="I3" i="2"/>
  <c r="H3" i="2"/>
  <c r="G3" i="2"/>
  <c r="A3" i="2"/>
  <c r="H2" i="2"/>
  <c r="I2" i="2" s="1"/>
  <c r="G2" i="2"/>
  <c r="A2" i="2"/>
  <c r="A31" i="2" s="1"/>
  <c r="C33" i="1"/>
  <c r="C20" i="1"/>
  <c r="A4" i="2" l="1"/>
  <c r="A5" i="2" s="1"/>
  <c r="A22" i="2"/>
  <c r="A38" i="2"/>
  <c r="A6" i="2"/>
  <c r="A7" i="2" s="1"/>
  <c r="A8" i="2" s="1"/>
  <c r="A9" i="2" s="1"/>
  <c r="A10" i="2" s="1"/>
  <c r="A11" i="2" s="1"/>
  <c r="A12" i="2" s="1"/>
  <c r="A13" i="2" s="1"/>
  <c r="A14" i="2"/>
  <c r="A30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<sst xmlns="http://schemas.openxmlformats.org/spreadsheetml/2006/main" count="2094" uniqueCount="341">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</sst>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775167.515625</v>
      </c>
    </row>
    <row r="8" spans="1:3" ht="15" customHeight="1" x14ac:dyDescent="0.25">
      <c r="B8" s="5" t="s">
        <v>8</v>
      </c>
      <c r="C8" s="44">
        <v>0.40899999999999997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0.14480130195617699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0.628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0.1414</v>
      </c>
    </row>
    <row r="24" spans="1:3" ht="15" customHeight="1" x14ac:dyDescent="0.25">
      <c r="B24" s="15" t="s">
        <v>22</v>
      </c>
      <c r="C24" s="45">
        <v>0.44040000000000012</v>
      </c>
    </row>
    <row r="25" spans="1:3" ht="15" customHeight="1" x14ac:dyDescent="0.25">
      <c r="B25" s="15" t="s">
        <v>23</v>
      </c>
      <c r="C25" s="45">
        <v>0.33069999999999999</v>
      </c>
    </row>
    <row r="26" spans="1:3" ht="15" customHeight="1" x14ac:dyDescent="0.25">
      <c r="B26" s="15" t="s">
        <v>24</v>
      </c>
      <c r="C26" s="45">
        <v>8.7499999999999994E-2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0.26912377197565901</v>
      </c>
    </row>
    <row r="30" spans="1:3" ht="14.25" customHeight="1" x14ac:dyDescent="0.25">
      <c r="B30" s="25" t="s">
        <v>27</v>
      </c>
      <c r="C30" s="99">
        <v>4.10301351064883E-2</v>
      </c>
    </row>
    <row r="31" spans="1:3" ht="14.25" customHeight="1" x14ac:dyDescent="0.25">
      <c r="B31" s="25" t="s">
        <v>28</v>
      </c>
      <c r="C31" s="99">
        <v>6.6332842080041601E-2</v>
      </c>
    </row>
    <row r="32" spans="1:3" ht="14.25" customHeight="1" x14ac:dyDescent="0.25">
      <c r="B32" s="25" t="s">
        <v>29</v>
      </c>
      <c r="C32" s="99">
        <v>0.62351325083781095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29.927250000000001</v>
      </c>
    </row>
    <row r="38" spans="1:5" ht="15" customHeight="1" x14ac:dyDescent="0.25">
      <c r="B38" s="11" t="s">
        <v>34</v>
      </c>
      <c r="C38" s="43">
        <v>56.723050000000001</v>
      </c>
      <c r="D38" s="12"/>
      <c r="E38" s="13"/>
    </row>
    <row r="39" spans="1:5" ht="15" customHeight="1" x14ac:dyDescent="0.25">
      <c r="B39" s="11" t="s">
        <v>35</v>
      </c>
      <c r="C39" s="43">
        <v>76.040170000000003</v>
      </c>
      <c r="D39" s="12"/>
      <c r="E39" s="12"/>
    </row>
    <row r="40" spans="1:5" ht="15" customHeight="1" x14ac:dyDescent="0.25">
      <c r="B40" s="11" t="s">
        <v>36</v>
      </c>
      <c r="C40" s="100">
        <v>6.52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7.9130999999999993E-3</v>
      </c>
      <c r="D45" s="12"/>
    </row>
    <row r="46" spans="1:5" ht="15.75" customHeight="1" x14ac:dyDescent="0.25">
      <c r="B46" s="11" t="s">
        <v>41</v>
      </c>
      <c r="C46" s="45">
        <v>8.50249E-2</v>
      </c>
      <c r="D46" s="12"/>
    </row>
    <row r="47" spans="1:5" ht="15.75" customHeight="1" x14ac:dyDescent="0.25">
      <c r="B47" s="11" t="s">
        <v>42</v>
      </c>
      <c r="C47" s="45">
        <v>7.3475499999999999E-2</v>
      </c>
      <c r="D47" s="12"/>
      <c r="E47" s="13"/>
    </row>
    <row r="48" spans="1:5" ht="15" customHeight="1" x14ac:dyDescent="0.25">
      <c r="B48" s="11" t="s">
        <v>43</v>
      </c>
      <c r="C48" s="46">
        <v>0.83358650000000001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0.44132399999999999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0.14607059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169153</v>
      </c>
      <c r="C2" s="49">
        <v>382821.00000000012</v>
      </c>
      <c r="D2" s="49">
        <v>472523.49999999988</v>
      </c>
      <c r="E2" s="49">
        <v>323920.5</v>
      </c>
      <c r="F2" s="49">
        <v>234066.5</v>
      </c>
      <c r="G2" s="17">
        <f t="shared" ref="G2:G13" si="0">C2+D2+E2+F2</f>
        <v>1413331.5</v>
      </c>
      <c r="H2" s="17">
        <f t="shared" ref="H2:H13" si="1">(B2 + stillbirth*B2/(1000-stillbirth))/(1-abortion)</f>
        <v>196716.67446510692</v>
      </c>
      <c r="I2" s="17">
        <f t="shared" ref="I2:I13" si="2">G2-H2</f>
        <v>1216614.8255348932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171399</v>
      </c>
      <c r="C3" s="50">
        <v>390611</v>
      </c>
      <c r="D3" s="50">
        <v>491532.5</v>
      </c>
      <c r="E3" s="50">
        <v>330684</v>
      </c>
      <c r="F3" s="50">
        <v>239174.5</v>
      </c>
      <c r="G3" s="17">
        <f t="shared" si="0"/>
        <v>1452002</v>
      </c>
      <c r="H3" s="17">
        <f t="shared" si="1"/>
        <v>199328.66272927384</v>
      </c>
      <c r="I3" s="17">
        <f t="shared" si="2"/>
        <v>1252673.3372707262</v>
      </c>
    </row>
    <row r="4" spans="1:9" ht="15.75" customHeight="1" x14ac:dyDescent="0.25">
      <c r="A4" s="5">
        <f t="shared" si="3"/>
        <v>2026</v>
      </c>
      <c r="B4" s="49">
        <v>173760</v>
      </c>
      <c r="C4" s="50">
        <v>397795.99999999988</v>
      </c>
      <c r="D4" s="50">
        <v>511237</v>
      </c>
      <c r="E4" s="50">
        <v>338550</v>
      </c>
      <c r="F4" s="50">
        <v>243178.5</v>
      </c>
      <c r="G4" s="17">
        <f t="shared" si="0"/>
        <v>1490761.5</v>
      </c>
      <c r="H4" s="17">
        <f t="shared" si="1"/>
        <v>202074.39037473159</v>
      </c>
      <c r="I4" s="17">
        <f t="shared" si="2"/>
        <v>1288687.1096252685</v>
      </c>
    </row>
    <row r="5" spans="1:9" ht="15.75" customHeight="1" x14ac:dyDescent="0.25">
      <c r="A5" s="5">
        <f t="shared" si="3"/>
        <v>2027</v>
      </c>
      <c r="B5" s="49">
        <v>175391</v>
      </c>
      <c r="C5" s="50">
        <v>404068</v>
      </c>
      <c r="D5" s="50">
        <v>531125</v>
      </c>
      <c r="E5" s="50">
        <v>347821</v>
      </c>
      <c r="F5" s="50">
        <v>246979</v>
      </c>
      <c r="G5" s="17">
        <f t="shared" si="0"/>
        <v>1529993</v>
      </c>
      <c r="H5" s="17">
        <f t="shared" si="1"/>
        <v>203971.16368677802</v>
      </c>
      <c r="I5" s="17">
        <f t="shared" si="2"/>
        <v>1326021.8363132221</v>
      </c>
    </row>
    <row r="6" spans="1:9" ht="15.75" customHeight="1" x14ac:dyDescent="0.25">
      <c r="A6" s="5">
        <f t="shared" si="3"/>
        <v>2028</v>
      </c>
      <c r="B6" s="49">
        <v>178075</v>
      </c>
      <c r="C6" s="50">
        <v>408664.99999999988</v>
      </c>
      <c r="D6" s="50">
        <v>550282</v>
      </c>
      <c r="E6" s="50">
        <v>358717.5</v>
      </c>
      <c r="F6" s="50">
        <v>250378</v>
      </c>
      <c r="G6" s="17">
        <f t="shared" si="0"/>
        <v>1568042.5</v>
      </c>
      <c r="H6" s="17">
        <f t="shared" si="1"/>
        <v>207092.52455099177</v>
      </c>
      <c r="I6" s="17">
        <f t="shared" si="2"/>
        <v>1360949.9754490082</v>
      </c>
    </row>
    <row r="7" spans="1:9" ht="15.75" customHeight="1" x14ac:dyDescent="0.25">
      <c r="A7" s="5">
        <f t="shared" si="3"/>
        <v>2029</v>
      </c>
      <c r="B7" s="49">
        <v>179087</v>
      </c>
      <c r="C7" s="50">
        <v>412270.5</v>
      </c>
      <c r="D7" s="50">
        <v>568148.5</v>
      </c>
      <c r="E7" s="50">
        <v>371268.5</v>
      </c>
      <c r="F7" s="50">
        <v>253421</v>
      </c>
      <c r="G7" s="17">
        <f t="shared" si="0"/>
        <v>1605108.5</v>
      </c>
      <c r="H7" s="17">
        <f t="shared" si="1"/>
        <v>208269.43110635105</v>
      </c>
      <c r="I7" s="17">
        <f t="shared" si="2"/>
        <v>1396839.0688936489</v>
      </c>
    </row>
    <row r="8" spans="1:9" ht="15.75" customHeight="1" x14ac:dyDescent="0.25">
      <c r="A8" s="5">
        <f t="shared" si="3"/>
        <v>2030</v>
      </c>
      <c r="B8" s="49">
        <v>181355</v>
      </c>
      <c r="C8" s="50">
        <v>415449.50000000012</v>
      </c>
      <c r="D8" s="50">
        <v>584742</v>
      </c>
      <c r="E8" s="50">
        <v>385327</v>
      </c>
      <c r="F8" s="50">
        <v>256292</v>
      </c>
      <c r="G8" s="17">
        <f t="shared" si="0"/>
        <v>1641810.5</v>
      </c>
      <c r="H8" s="17">
        <f t="shared" si="1"/>
        <v>210907.00429563448</v>
      </c>
      <c r="I8" s="17">
        <f t="shared" si="2"/>
        <v>1430903.4957043654</v>
      </c>
    </row>
    <row r="9" spans="1:9" ht="15.75" customHeight="1" x14ac:dyDescent="0.25">
      <c r="A9" s="5">
        <f t="shared" si="3"/>
        <v>2031</v>
      </c>
      <c r="B9" s="49">
        <v>182201</v>
      </c>
      <c r="C9" s="50">
        <v>418424.49999999988</v>
      </c>
      <c r="D9" s="50">
        <v>600198</v>
      </c>
      <c r="E9" s="50">
        <v>400597</v>
      </c>
      <c r="F9" s="50">
        <v>259297.5</v>
      </c>
      <c r="G9" s="17">
        <f t="shared" si="0"/>
        <v>1678517</v>
      </c>
      <c r="H9" s="17">
        <f t="shared" si="1"/>
        <v>211890.86096147832</v>
      </c>
      <c r="I9" s="17">
        <f t="shared" si="2"/>
        <v>1466626.1390385218</v>
      </c>
    </row>
    <row r="10" spans="1:9" ht="15.75" customHeight="1" x14ac:dyDescent="0.25">
      <c r="A10" s="5">
        <f t="shared" si="3"/>
        <v>2032</v>
      </c>
      <c r="B10" s="49">
        <v>183848</v>
      </c>
      <c r="C10" s="50">
        <v>420197.50000000012</v>
      </c>
      <c r="D10" s="50">
        <v>615657</v>
      </c>
      <c r="E10" s="50">
        <v>416837.5</v>
      </c>
      <c r="F10" s="50">
        <v>262673.5</v>
      </c>
      <c r="G10" s="17">
        <f t="shared" si="0"/>
        <v>1715365.5</v>
      </c>
      <c r="H10" s="17">
        <f t="shared" si="1"/>
        <v>213806.2414917913</v>
      </c>
      <c r="I10" s="17">
        <f t="shared" si="2"/>
        <v>1501559.2585082087</v>
      </c>
    </row>
    <row r="11" spans="1:9" ht="15.75" customHeight="1" x14ac:dyDescent="0.25">
      <c r="A11" s="5">
        <f t="shared" si="3"/>
        <v>2033</v>
      </c>
      <c r="B11" s="49">
        <v>185439</v>
      </c>
      <c r="C11" s="50">
        <v>421504.5</v>
      </c>
      <c r="D11" s="50">
        <v>630481.00000000012</v>
      </c>
      <c r="E11" s="50">
        <v>433871.5</v>
      </c>
      <c r="F11" s="50">
        <v>266074.5</v>
      </c>
      <c r="G11" s="17">
        <f t="shared" si="0"/>
        <v>1751931.5</v>
      </c>
      <c r="H11" s="17">
        <f t="shared" si="1"/>
        <v>215656.49675817136</v>
      </c>
      <c r="I11" s="17">
        <f t="shared" si="2"/>
        <v>1536275.0032418286</v>
      </c>
    </row>
    <row r="12" spans="1:9" ht="15.75" customHeight="1" x14ac:dyDescent="0.25">
      <c r="A12" s="5">
        <f t="shared" si="3"/>
        <v>2034</v>
      </c>
      <c r="B12" s="49">
        <v>186189</v>
      </c>
      <c r="C12" s="50">
        <v>423814.5</v>
      </c>
      <c r="D12" s="50">
        <v>642914</v>
      </c>
      <c r="E12" s="50">
        <v>451732.5</v>
      </c>
      <c r="F12" s="50">
        <v>270213.5</v>
      </c>
      <c r="G12" s="17">
        <f t="shared" si="0"/>
        <v>1788674.5</v>
      </c>
      <c r="H12" s="17">
        <f t="shared" si="1"/>
        <v>216528.71011441588</v>
      </c>
      <c r="I12" s="17">
        <f t="shared" si="2"/>
        <v>1572145.789885584</v>
      </c>
    </row>
    <row r="13" spans="1:9" ht="15.75" customHeight="1" x14ac:dyDescent="0.25">
      <c r="A13" s="5">
        <f t="shared" si="3"/>
        <v>2035</v>
      </c>
      <c r="B13" s="49">
        <v>187959</v>
      </c>
      <c r="C13" s="50">
        <v>426969.5</v>
      </c>
      <c r="D13" s="50">
        <v>652854.5</v>
      </c>
      <c r="E13" s="50">
        <v>470486.5</v>
      </c>
      <c r="F13" s="50">
        <v>275574.5</v>
      </c>
      <c r="G13" s="17">
        <f t="shared" si="0"/>
        <v>1825885</v>
      </c>
      <c r="H13" s="17">
        <f t="shared" si="1"/>
        <v>218587.13363515295</v>
      </c>
      <c r="I13" s="17">
        <f t="shared" si="2"/>
        <v>1607297.8663648469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2.0916002091600189E-2</v>
      </c>
    </row>
    <row r="4" spans="1:8" ht="15.75" customHeight="1" x14ac:dyDescent="0.25">
      <c r="B4" s="19" t="s">
        <v>69</v>
      </c>
      <c r="C4" s="101">
        <v>6.5774706577470685E-2</v>
      </c>
    </row>
    <row r="5" spans="1:8" ht="15.75" customHeight="1" x14ac:dyDescent="0.25">
      <c r="B5" s="19" t="s">
        <v>70</v>
      </c>
      <c r="C5" s="101">
        <v>9.6632509663250973E-2</v>
      </c>
    </row>
    <row r="6" spans="1:8" ht="15.75" customHeight="1" x14ac:dyDescent="0.25">
      <c r="B6" s="19" t="s">
        <v>71</v>
      </c>
      <c r="C6" s="101">
        <v>0.25245662524566231</v>
      </c>
    </row>
    <row r="7" spans="1:8" ht="15.75" customHeight="1" x14ac:dyDescent="0.25">
      <c r="B7" s="19" t="s">
        <v>72</v>
      </c>
      <c r="C7" s="101">
        <v>0.39333373933337429</v>
      </c>
    </row>
    <row r="8" spans="1:8" ht="15.75" customHeight="1" x14ac:dyDescent="0.25">
      <c r="B8" s="19" t="s">
        <v>73</v>
      </c>
      <c r="C8" s="101">
        <v>3.4550003455000359E-3</v>
      </c>
    </row>
    <row r="9" spans="1:8" ht="15.75" customHeight="1" x14ac:dyDescent="0.25">
      <c r="B9" s="19" t="s">
        <v>74</v>
      </c>
      <c r="C9" s="101">
        <v>5.8309405830940547E-2</v>
      </c>
    </row>
    <row r="10" spans="1:8" ht="15.75" customHeight="1" x14ac:dyDescent="0.25">
      <c r="B10" s="19" t="s">
        <v>75</v>
      </c>
      <c r="C10" s="101">
        <v>0.1091220109122009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82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83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84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85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86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87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88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89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8.7635818000000004E-2</v>
      </c>
    </row>
    <row r="27" spans="1:8" ht="15.75" customHeight="1" x14ac:dyDescent="0.25">
      <c r="B27" s="19" t="s">
        <v>92</v>
      </c>
      <c r="C27" s="101">
        <v>8.6621349999999996E-3</v>
      </c>
    </row>
    <row r="28" spans="1:8" ht="15.75" customHeight="1" x14ac:dyDescent="0.25">
      <c r="B28" s="19" t="s">
        <v>93</v>
      </c>
      <c r="C28" s="101">
        <v>0.15441808500000001</v>
      </c>
    </row>
    <row r="29" spans="1:8" ht="15.75" customHeight="1" x14ac:dyDescent="0.25">
      <c r="B29" s="19" t="s">
        <v>94</v>
      </c>
      <c r="C29" s="101">
        <v>0.167759189</v>
      </c>
    </row>
    <row r="30" spans="1:8" ht="15.75" customHeight="1" x14ac:dyDescent="0.25">
      <c r="B30" s="19" t="s">
        <v>95</v>
      </c>
      <c r="C30" s="101">
        <v>0.10583751800000001</v>
      </c>
    </row>
    <row r="31" spans="1:8" ht="15.75" customHeight="1" x14ac:dyDescent="0.25">
      <c r="B31" s="19" t="s">
        <v>96</v>
      </c>
      <c r="C31" s="101">
        <v>0.109709026</v>
      </c>
    </row>
    <row r="32" spans="1:8" ht="15.75" customHeight="1" x14ac:dyDescent="0.25">
      <c r="B32" s="19" t="s">
        <v>97</v>
      </c>
      <c r="C32" s="101">
        <v>1.8596574000000001E-2</v>
      </c>
    </row>
    <row r="33" spans="2:3" ht="15.75" customHeight="1" x14ac:dyDescent="0.25">
      <c r="B33" s="19" t="s">
        <v>98</v>
      </c>
      <c r="C33" s="101">
        <v>8.3747772999999998E-2</v>
      </c>
    </row>
    <row r="34" spans="2:3" ht="15.75" customHeight="1" x14ac:dyDescent="0.25">
      <c r="B34" s="19" t="s">
        <v>99</v>
      </c>
      <c r="C34" s="101">
        <v>0.26363388300000001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104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105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109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110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0.82655271499999994</v>
      </c>
      <c r="D14" s="54">
        <v>0.80329964035300006</v>
      </c>
      <c r="E14" s="54">
        <v>0.80329964035300006</v>
      </c>
      <c r="F14" s="54">
        <v>0.753420550957</v>
      </c>
      <c r="G14" s="54">
        <v>0.753420550957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0.36477755039465998</v>
      </c>
      <c r="D15" s="52">
        <f t="shared" si="0"/>
        <v>0.35451541047914742</v>
      </c>
      <c r="E15" s="52">
        <f t="shared" si="0"/>
        <v>0.35451541047914742</v>
      </c>
      <c r="F15" s="52">
        <f t="shared" si="0"/>
        <v>0.33250257123054705</v>
      </c>
      <c r="G15" s="52">
        <f t="shared" si="0"/>
        <v>0.33250257123054705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122</v>
      </c>
      <c r="C5" s="52">
        <v>2.17007E-2</v>
      </c>
      <c r="D5" s="52">
        <v>6.7366499999999996E-2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34.501397074255429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0.24251285881340001</v>
      </c>
      <c r="C3" s="98">
        <v>0.95</v>
      </c>
      <c r="D3" s="56">
        <v>47.355822967277753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45.537074135700493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0.20940006975754699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0.42978100000000002</v>
      </c>
      <c r="C10" s="98">
        <v>0.95</v>
      </c>
      <c r="D10" s="56">
        <v>15.01507229777283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0.42978100000000002</v>
      </c>
      <c r="C11" s="98">
        <v>0.95</v>
      </c>
      <c r="D11" s="56">
        <v>15.01507229777283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0.42978100000000002</v>
      </c>
      <c r="C12" s="98">
        <v>0.95</v>
      </c>
      <c r="D12" s="56">
        <v>15.01507229777283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0.42978100000000002</v>
      </c>
      <c r="C13" s="98">
        <v>0.95</v>
      </c>
      <c r="D13" s="56">
        <v>15.01507229777283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0.42978100000000002</v>
      </c>
      <c r="C14" s="98">
        <v>0.95</v>
      </c>
      <c r="D14" s="56">
        <v>15.01507229777283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0.42978100000000002</v>
      </c>
      <c r="C15" s="98">
        <v>0.95</v>
      </c>
      <c r="D15" s="56">
        <v>15.01507229777283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0.21765422515374999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0.157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0.10053224801422</v>
      </c>
      <c r="C18" s="98">
        <v>0.95</v>
      </c>
      <c r="D18" s="56">
        <v>1.160813804607514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0.22523380000000001</v>
      </c>
      <c r="C19" s="98">
        <v>0.95</v>
      </c>
      <c r="D19" s="56">
        <v>1.160813804607514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5.4970400000000003E-2</v>
      </c>
      <c r="C21" s="98">
        <v>0.95</v>
      </c>
      <c r="D21" s="56">
        <v>1.6155396039007119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25.571599410358289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4.9100556870350216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0.76180022919064005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0.42978100000000002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21.725060175997658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0.59740204517642004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59.948870706228909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0.5</v>
      </c>
      <c r="C31" s="98">
        <v>0.95</v>
      </c>
      <c r="D31" s="56">
        <v>1.2819039793957061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0.40073342145631469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8.6074300000000006E-2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0.54128999999999994</v>
      </c>
      <c r="C38" s="98">
        <v>0.95</v>
      </c>
      <c r="D38" s="56">
        <v>7.1322114997143746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205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0.40899999999999997</v>
      </c>
      <c r="E2" s="60">
        <f>food_insecure</f>
        <v>0.40899999999999997</v>
      </c>
      <c r="F2" s="60">
        <f>food_insecure</f>
        <v>0.40899999999999997</v>
      </c>
      <c r="G2" s="60">
        <f>food_insecure</f>
        <v>0.40899999999999997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0.40899999999999997</v>
      </c>
      <c r="I15" s="60">
        <f>food_insecure</f>
        <v>0.40899999999999997</v>
      </c>
      <c r="J15" s="60">
        <f>food_insecure</f>
        <v>0.40899999999999997</v>
      </c>
      <c r="K15" s="60">
        <f>food_insecure</f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0.628</v>
      </c>
      <c r="M24" s="60">
        <f>famplan_unmet_need</f>
        <v>0.628</v>
      </c>
      <c r="N24" s="60">
        <f>famplan_unmet_need</f>
        <v>0.628</v>
      </c>
      <c r="O24" s="60">
        <f>famplan_unmet_need</f>
        <v>0.628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0.49250037821645715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0.21107159066419592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0.1516267291631698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0.14480130195617696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C55634-FB59-4529-9428-BA97D3F214DE}"/>
</file>

<file path=customXml/itemProps2.xml><?xml version="1.0" encoding="utf-8"?>
<ds:datastoreItem xmlns:ds="http://schemas.openxmlformats.org/officeDocument/2006/customXml" ds:itemID="{0FE85C49-D306-43F5-9CB1-5F9F8FF58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2024-04-11T00:41:04Z</dcterms:modified>
</cp:coreProperties>
</file>