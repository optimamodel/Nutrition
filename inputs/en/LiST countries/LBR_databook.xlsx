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4318CD6-79A8-4F96-B47F-016E39F78B70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5" i="2"/>
  <c r="A34" i="2"/>
  <c r="A33" i="2"/>
  <c r="A32" i="2"/>
  <c r="A27" i="2"/>
  <c r="A26" i="2"/>
  <c r="A25" i="2"/>
  <c r="A24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21" i="2"/>
  <c r="A29" i="2"/>
  <c r="A37" i="2"/>
  <c r="A4" i="2"/>
  <c r="A5" i="2" s="1"/>
  <c r="A6" i="2"/>
  <c r="A7" i="2" s="1"/>
  <c r="A8" i="2"/>
  <c r="A9" i="2" s="1"/>
  <c r="A10" i="2"/>
  <c r="A11" i="2" s="1"/>
  <c r="A12" i="2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<sst xmlns="http://schemas.openxmlformats.org/spreadsheetml/2006/main" count="2092" uniqueCount="341">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</sst>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0.14480130195617699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0.1414</v>
      </c>
    </row>
    <row r="24" spans="1:3" ht="15" customHeight="1" x14ac:dyDescent="0.25">
      <c r="B24" s="15" t="s">
        <v>22</v>
      </c>
      <c r="C24" s="45">
        <v>0.44040000000000012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177538.6624</v>
      </c>
      <c r="C2" s="49">
        <v>298000</v>
      </c>
      <c r="D2" s="49">
        <v>480000</v>
      </c>
      <c r="E2" s="49">
        <v>340000</v>
      </c>
      <c r="F2" s="49">
        <v>252000</v>
      </c>
      <c r="G2" s="17">
        <f t="shared" ref="G2:G13" si="0">C2+D2+E2+F2</f>
        <v>1370000</v>
      </c>
      <c r="H2" s="17">
        <f t="shared" ref="H2:H13" si="1">(B2 + stillbirth*B2/(1000-stillbirth))/(1-abortion)</f>
        <v>206468.79012675691</v>
      </c>
      <c r="I2" s="17">
        <f t="shared" ref="I2:I13" si="2">G2-H2</f>
        <v>1163531.209873243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179948.99</v>
      </c>
      <c r="C3" s="50">
        <v>304000</v>
      </c>
      <c r="D3" s="50">
        <v>495000</v>
      </c>
      <c r="E3" s="50">
        <v>348000</v>
      </c>
      <c r="F3" s="50">
        <v>260000</v>
      </c>
      <c r="G3" s="17">
        <f t="shared" si="0"/>
        <v>1407000</v>
      </c>
      <c r="H3" s="17">
        <f t="shared" si="1"/>
        <v>209271.88336095001</v>
      </c>
      <c r="I3" s="17">
        <f t="shared" si="2"/>
        <v>1197728.11663905</v>
      </c>
    </row>
    <row r="4" spans="1:9" ht="15.75" customHeight="1" x14ac:dyDescent="0.25">
      <c r="A4" s="5">
        <f t="shared" si="3"/>
        <v>2026</v>
      </c>
      <c r="B4" s="49">
        <v>182367.3542</v>
      </c>
      <c r="C4" s="50">
        <v>309000</v>
      </c>
      <c r="D4" s="50">
        <v>510000</v>
      </c>
      <c r="E4" s="50">
        <v>357000</v>
      </c>
      <c r="F4" s="50">
        <v>268000</v>
      </c>
      <c r="G4" s="17">
        <f t="shared" si="0"/>
        <v>1444000</v>
      </c>
      <c r="H4" s="17">
        <f t="shared" si="1"/>
        <v>212084.32276828817</v>
      </c>
      <c r="I4" s="17">
        <f t="shared" si="2"/>
        <v>1231915.6772317118</v>
      </c>
    </row>
    <row r="5" spans="1:9" ht="15.75" customHeight="1" x14ac:dyDescent="0.25">
      <c r="A5" s="5">
        <f t="shared" si="3"/>
        <v>2027</v>
      </c>
      <c r="B5" s="49">
        <v>184752.33960000001</v>
      </c>
      <c r="C5" s="50">
        <v>314000</v>
      </c>
      <c r="D5" s="50">
        <v>525000</v>
      </c>
      <c r="E5" s="50">
        <v>367000</v>
      </c>
      <c r="F5" s="50">
        <v>277000</v>
      </c>
      <c r="G5" s="17">
        <f t="shared" si="0"/>
        <v>1483000</v>
      </c>
      <c r="H5" s="17">
        <f t="shared" si="1"/>
        <v>214857.94426205909</v>
      </c>
      <c r="I5" s="17">
        <f t="shared" si="2"/>
        <v>1268142.0557379408</v>
      </c>
    </row>
    <row r="6" spans="1:9" ht="15.75" customHeight="1" x14ac:dyDescent="0.25">
      <c r="A6" s="5">
        <f t="shared" si="3"/>
        <v>2028</v>
      </c>
      <c r="B6" s="49">
        <v>187101.9374</v>
      </c>
      <c r="C6" s="50">
        <v>319000</v>
      </c>
      <c r="D6" s="50">
        <v>540000</v>
      </c>
      <c r="E6" s="50">
        <v>378000</v>
      </c>
      <c r="F6" s="50">
        <v>284000</v>
      </c>
      <c r="G6" s="17">
        <f t="shared" si="0"/>
        <v>1521000</v>
      </c>
      <c r="H6" s="17">
        <f t="shared" si="1"/>
        <v>217590.41170600938</v>
      </c>
      <c r="I6" s="17">
        <f t="shared" si="2"/>
        <v>1303409.5882939906</v>
      </c>
    </row>
    <row r="7" spans="1:9" ht="15.75" customHeight="1" x14ac:dyDescent="0.25">
      <c r="A7" s="5">
        <f t="shared" si="3"/>
        <v>2029</v>
      </c>
      <c r="B7" s="49">
        <v>189414.13879999999</v>
      </c>
      <c r="C7" s="50">
        <v>325000</v>
      </c>
      <c r="D7" s="50">
        <v>552000</v>
      </c>
      <c r="E7" s="50">
        <v>391000</v>
      </c>
      <c r="F7" s="50">
        <v>292000</v>
      </c>
      <c r="G7" s="17">
        <f t="shared" si="0"/>
        <v>1560000</v>
      </c>
      <c r="H7" s="17">
        <f t="shared" si="1"/>
        <v>220279.38896388578</v>
      </c>
      <c r="I7" s="17">
        <f t="shared" si="2"/>
        <v>1339720.6110361142</v>
      </c>
    </row>
    <row r="8" spans="1:9" ht="15.75" customHeight="1" x14ac:dyDescent="0.25">
      <c r="A8" s="5">
        <f t="shared" si="3"/>
        <v>2030</v>
      </c>
      <c r="B8" s="49">
        <v>191686.935</v>
      </c>
      <c r="C8" s="50">
        <v>330000</v>
      </c>
      <c r="D8" s="50">
        <v>566000</v>
      </c>
      <c r="E8" s="50">
        <v>405000</v>
      </c>
      <c r="F8" s="50">
        <v>299000</v>
      </c>
      <c r="G8" s="17">
        <f t="shared" si="0"/>
        <v>1600000</v>
      </c>
      <c r="H8" s="17">
        <f t="shared" si="1"/>
        <v>222922.53989943487</v>
      </c>
      <c r="I8" s="17">
        <f t="shared" si="2"/>
        <v>1377077.4601005651</v>
      </c>
    </row>
    <row r="9" spans="1:9" ht="15.75" customHeight="1" x14ac:dyDescent="0.25">
      <c r="A9" s="5">
        <f t="shared" si="3"/>
        <v>2031</v>
      </c>
      <c r="B9" s="49">
        <v>193708.11679999999</v>
      </c>
      <c r="C9" s="50">
        <v>334571.42857142858</v>
      </c>
      <c r="D9" s="50">
        <v>578285.71428571432</v>
      </c>
      <c r="E9" s="50">
        <v>414285.71428571432</v>
      </c>
      <c r="F9" s="50">
        <v>305714.28571428568</v>
      </c>
      <c r="G9" s="17">
        <f t="shared" si="0"/>
        <v>1632857.142857143</v>
      </c>
      <c r="H9" s="17">
        <f t="shared" si="1"/>
        <v>225273.075581246</v>
      </c>
      <c r="I9" s="17">
        <f t="shared" si="2"/>
        <v>1407584.0672758969</v>
      </c>
    </row>
    <row r="10" spans="1:9" ht="15.75" customHeight="1" x14ac:dyDescent="0.25">
      <c r="A10" s="5">
        <f t="shared" si="3"/>
        <v>2032</v>
      </c>
      <c r="B10" s="49">
        <v>195673.7063428571</v>
      </c>
      <c r="C10" s="50">
        <v>338938.77551020408</v>
      </c>
      <c r="D10" s="50">
        <v>590183.67346938781</v>
      </c>
      <c r="E10" s="50">
        <v>423755.10204081627</v>
      </c>
      <c r="F10" s="50">
        <v>312244.89795918373</v>
      </c>
      <c r="G10" s="17">
        <f t="shared" si="0"/>
        <v>1665122.448979592</v>
      </c>
      <c r="H10" s="17">
        <f t="shared" si="1"/>
        <v>227558.9601841454</v>
      </c>
      <c r="I10" s="17">
        <f t="shared" si="2"/>
        <v>1437563.4887954465</v>
      </c>
    </row>
    <row r="11" spans="1:9" ht="15.75" customHeight="1" x14ac:dyDescent="0.25">
      <c r="A11" s="5">
        <f t="shared" si="3"/>
        <v>2033</v>
      </c>
      <c r="B11" s="49">
        <v>197574.61379183669</v>
      </c>
      <c r="C11" s="50">
        <v>343215.74344023317</v>
      </c>
      <c r="D11" s="50">
        <v>601638.48396501469</v>
      </c>
      <c r="E11" s="50">
        <v>433291.54518950428</v>
      </c>
      <c r="F11" s="50">
        <v>318565.59766763862</v>
      </c>
      <c r="G11" s="17">
        <f t="shared" si="0"/>
        <v>1696711.3702623909</v>
      </c>
      <c r="H11" s="17">
        <f t="shared" si="1"/>
        <v>229769.62267212497</v>
      </c>
      <c r="I11" s="17">
        <f t="shared" si="2"/>
        <v>1466941.7475902659</v>
      </c>
    </row>
    <row r="12" spans="1:9" ht="15.75" customHeight="1" x14ac:dyDescent="0.25">
      <c r="A12" s="5">
        <f t="shared" si="3"/>
        <v>2034</v>
      </c>
      <c r="B12" s="49">
        <v>199406.36724781341</v>
      </c>
      <c r="C12" s="50">
        <v>347389.42107455229</v>
      </c>
      <c r="D12" s="50">
        <v>612586.83881715965</v>
      </c>
      <c r="E12" s="50">
        <v>442761.76593086211</v>
      </c>
      <c r="F12" s="50">
        <v>324503.54019158689</v>
      </c>
      <c r="G12" s="17">
        <f t="shared" si="0"/>
        <v>1727241.5660141609</v>
      </c>
      <c r="H12" s="17">
        <f t="shared" si="1"/>
        <v>231899.8624449916</v>
      </c>
      <c r="I12" s="17">
        <f t="shared" si="2"/>
        <v>1495341.7035691692</v>
      </c>
    </row>
    <row r="13" spans="1:9" ht="15.75" customHeight="1" x14ac:dyDescent="0.25">
      <c r="A13" s="5">
        <f t="shared" si="3"/>
        <v>2035</v>
      </c>
      <c r="B13" s="49">
        <v>201164.14294035811</v>
      </c>
      <c r="C13" s="50">
        <v>351445.05265663122</v>
      </c>
      <c r="D13" s="50">
        <v>622956.38721961097</v>
      </c>
      <c r="E13" s="50">
        <v>452013.4467781281</v>
      </c>
      <c r="F13" s="50">
        <v>330289.76021895651</v>
      </c>
      <c r="G13" s="17">
        <f t="shared" si="0"/>
        <v>1756704.6468733267</v>
      </c>
      <c r="H13" s="17">
        <f t="shared" si="1"/>
        <v>233944.06969341755</v>
      </c>
      <c r="I13" s="17">
        <f t="shared" si="2"/>
        <v>1522760.5771799092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0.16341938603013001</v>
      </c>
      <c r="C2" s="98">
        <v>0.95</v>
      </c>
      <c r="D2" s="56">
        <v>34.501397074255429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47.355822967277753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45.537074135700493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0.19737964912578659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15.01507229777283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15.01507229777283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15.01507229777283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15.01507229777283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15.01507229777283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15.01507229777283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0.24251285881340001</v>
      </c>
      <c r="C16" s="98">
        <v>0.95</v>
      </c>
      <c r="D16" s="56">
        <v>0.21765422515374999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1.160813804607514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1.160813804607514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0.1875019</v>
      </c>
      <c r="C21" s="98">
        <v>0.95</v>
      </c>
      <c r="D21" s="56">
        <v>1.6155396039007119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25.571599410358289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1.9946800000000001E-2</v>
      </c>
      <c r="C23" s="98">
        <v>0.95</v>
      </c>
      <c r="D23" s="56">
        <v>4.9100556870350216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0.59740204517642004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0.20952881255868</v>
      </c>
      <c r="C27" s="98">
        <v>0.95</v>
      </c>
      <c r="D27" s="56">
        <v>21.725060175997658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59.948870706228909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1.2819039793957061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0.51254100000000002</v>
      </c>
      <c r="C32" s="98">
        <v>0.95</v>
      </c>
      <c r="D32" s="56">
        <v>0.40073342145631469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0.22523380000000001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7.1322114997143746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8.6074300000000006E-2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0.49250037821645715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0.21107159066419592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0.1516267291631698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0.14480130195617696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0.88295880149812733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2024-03-28T03:04:17Z</dcterms:modified>
</cp:coreProperties>
</file>