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7E482FF9-D5B4-4CF6-866F-9087A0D28933}" xr6:coauthVersionLast="47" xr6:coauthVersionMax="47" xr10:uidLastSave="{00000000-0000-0000-0000-000000000000}"/>
  <bookViews>
    <workbookView xWindow="-110" yWindow="-110" windowWidth="19420" windowHeight="1042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" i="27" l="1"/>
  <c r="G159" i="27"/>
  <c r="F159" i="27"/>
  <c r="E159" i="27"/>
  <c r="D159" i="27"/>
  <c r="H158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I38" i="2" s="1"/>
  <c r="A37" i="2"/>
  <c r="A36" i="2"/>
  <c r="A31" i="2"/>
  <c r="A24" i="2"/>
  <c r="A23" i="2"/>
  <c r="A22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6" i="2" l="1"/>
  <c r="I39" i="2"/>
  <c r="A34" i="2"/>
  <c r="A40" i="2"/>
  <c r="I2" i="2"/>
  <c r="I6" i="2"/>
  <c r="A19" i="2"/>
  <c r="A35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<sst xmlns="http://schemas.openxmlformats.org/spreadsheetml/2006/main" count="2169" uniqueCount="373">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</sst>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715928</v>
      </c>
    </row>
    <row r="8" spans="1:3" ht="15" customHeight="1" x14ac:dyDescent="0.25">
      <c r="B8" s="5" t="s">
        <v>8</v>
      </c>
      <c r="C8" s="44">
        <v>3.9E-2</v>
      </c>
    </row>
    <row r="9" spans="1:3" ht="15" customHeight="1" x14ac:dyDescent="0.25">
      <c r="B9" s="5" t="s">
        <v>9</v>
      </c>
      <c r="C9" s="45">
        <v>2.1600000000000001E-2</v>
      </c>
    </row>
    <row r="10" spans="1:3" ht="15" customHeight="1" x14ac:dyDescent="0.25">
      <c r="B10" s="5" t="s">
        <v>10</v>
      </c>
      <c r="C10" s="45">
        <v>0.89200000000000002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8.3599999999999994E-2</v>
      </c>
    </row>
    <row r="24" spans="1:3" ht="15" customHeight="1" x14ac:dyDescent="0.25">
      <c r="B24" s="15" t="s">
        <v>22</v>
      </c>
      <c r="C24" s="45">
        <v>0.50800000000000001</v>
      </c>
    </row>
    <row r="25" spans="1:3" ht="15" customHeight="1" x14ac:dyDescent="0.25">
      <c r="B25" s="15" t="s">
        <v>23</v>
      </c>
      <c r="C25" s="45">
        <v>0.35120000000000012</v>
      </c>
    </row>
    <row r="26" spans="1:3" ht="15" customHeight="1" x14ac:dyDescent="0.25">
      <c r="B26" s="15" t="s">
        <v>24</v>
      </c>
      <c r="C26" s="45">
        <v>5.7200000000000001E-2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0.24354971332209699</v>
      </c>
    </row>
    <row r="30" spans="1:3" ht="14.25" customHeight="1" x14ac:dyDescent="0.25">
      <c r="B30" s="25" t="s">
        <v>27</v>
      </c>
      <c r="C30" s="97">
        <v>0.13757511584770599</v>
      </c>
    </row>
    <row r="31" spans="1:3" ht="14.25" customHeight="1" x14ac:dyDescent="0.25">
      <c r="B31" s="25" t="s">
        <v>28</v>
      </c>
      <c r="C31" s="97">
        <v>0.13914799772598499</v>
      </c>
    </row>
    <row r="32" spans="1:3" ht="14.25" customHeight="1" x14ac:dyDescent="0.25">
      <c r="B32" s="25" t="s">
        <v>29</v>
      </c>
      <c r="C32" s="97">
        <v>0.47972717310421198</v>
      </c>
    </row>
    <row r="33" spans="1:5" ht="13.25" customHeight="1" x14ac:dyDescent="0.25">
      <c r="B33" s="27" t="s">
        <v>30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39.443519999999999</v>
      </c>
    </row>
    <row r="38" spans="1:5" ht="15" customHeight="1" x14ac:dyDescent="0.25">
      <c r="B38" s="11" t="s">
        <v>34</v>
      </c>
      <c r="C38" s="43">
        <v>52.780679999999997</v>
      </c>
      <c r="D38" s="12"/>
      <c r="E38" s="13"/>
    </row>
    <row r="39" spans="1:5" ht="15" customHeight="1" x14ac:dyDescent="0.25">
      <c r="B39" s="11" t="s">
        <v>35</v>
      </c>
      <c r="C39" s="43">
        <v>63.332549999999998</v>
      </c>
      <c r="D39" s="12"/>
      <c r="E39" s="12"/>
    </row>
    <row r="40" spans="1:5" ht="15" customHeight="1" x14ac:dyDescent="0.25">
      <c r="B40" s="11" t="s">
        <v>36</v>
      </c>
      <c r="C40" s="98">
        <v>1.54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30.916810000000002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2.2391600000000001E-2</v>
      </c>
      <c r="D45" s="12"/>
    </row>
    <row r="46" spans="1:5" ht="15.75" customHeight="1" x14ac:dyDescent="0.25">
      <c r="B46" s="11" t="s">
        <v>41</v>
      </c>
      <c r="C46" s="45">
        <v>0.12125619999999999</v>
      </c>
      <c r="D46" s="12"/>
    </row>
    <row r="47" spans="1:5" ht="15.75" customHeight="1" x14ac:dyDescent="0.25">
      <c r="B47" s="11" t="s">
        <v>42</v>
      </c>
      <c r="C47" s="45">
        <v>0.39803450000000001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2.2000000000000002</v>
      </c>
      <c r="D51" s="12"/>
    </row>
    <row r="52" spans="1:4" ht="15" customHeight="1" x14ac:dyDescent="0.25">
      <c r="B52" s="11" t="s">
        <v>46</v>
      </c>
      <c r="C52" s="98">
        <v>2.2000000000000002</v>
      </c>
    </row>
    <row r="53" spans="1:4" ht="15.75" customHeight="1" x14ac:dyDescent="0.25">
      <c r="B53" s="11" t="s">
        <v>47</v>
      </c>
      <c r="C53" s="98">
        <v>2.2000000000000002</v>
      </c>
    </row>
    <row r="54" spans="1:4" ht="15.75" customHeight="1" x14ac:dyDescent="0.25">
      <c r="B54" s="11" t="s">
        <v>48</v>
      </c>
      <c r="C54" s="98">
        <v>2.2000000000000002</v>
      </c>
    </row>
    <row r="55" spans="1:4" ht="15.75" customHeight="1" x14ac:dyDescent="0.25">
      <c r="B55" s="11" t="s">
        <v>49</v>
      </c>
      <c r="C55" s="98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0.43655699999999997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145440</v>
      </c>
      <c r="C2" s="49">
        <v>283857.5</v>
      </c>
      <c r="D2" s="49">
        <v>475690</v>
      </c>
      <c r="E2" s="49">
        <v>388408.5</v>
      </c>
      <c r="F2" s="49">
        <v>251001</v>
      </c>
      <c r="G2" s="17">
        <f t="shared" ref="G2:G13" si="0">C2+D2+E2+F2</f>
        <v>1398957</v>
      </c>
      <c r="H2" s="17">
        <f t="shared" ref="H2:H13" si="1">(B2 + stillbirth*B2/(1000-stillbirth))/(1-abortion)</f>
        <v>170545.44850037826</v>
      </c>
      <c r="I2" s="17">
        <f t="shared" ref="I2:I13" si="2">G2-H2</f>
        <v>1228411.5514996217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144890</v>
      </c>
      <c r="C3" s="50">
        <v>291757</v>
      </c>
      <c r="D3" s="50">
        <v>480193.99999999994</v>
      </c>
      <c r="E3" s="50">
        <v>399241.99999999994</v>
      </c>
      <c r="F3" s="50">
        <v>260778.00000000003</v>
      </c>
      <c r="G3" s="17">
        <f t="shared" si="0"/>
        <v>1431971</v>
      </c>
      <c r="H3" s="17">
        <f t="shared" si="1"/>
        <v>169900.50902928907</v>
      </c>
      <c r="I3" s="17">
        <f t="shared" si="2"/>
        <v>1262070.490970711</v>
      </c>
    </row>
    <row r="4" spans="1:9" ht="15.75" customHeight="1" x14ac:dyDescent="0.25">
      <c r="A4" s="5">
        <f t="shared" si="3"/>
        <v>2026</v>
      </c>
      <c r="B4" s="49">
        <v>144467</v>
      </c>
      <c r="C4" s="50">
        <v>300363</v>
      </c>
      <c r="D4" s="50">
        <v>486356</v>
      </c>
      <c r="E4" s="50">
        <v>408930.5</v>
      </c>
      <c r="F4" s="50">
        <v>271228.5</v>
      </c>
      <c r="G4" s="17">
        <f t="shared" si="0"/>
        <v>1466878</v>
      </c>
      <c r="H4" s="17">
        <f t="shared" si="1"/>
        <v>169404.49194516049</v>
      </c>
      <c r="I4" s="17">
        <f t="shared" si="2"/>
        <v>1297473.5080548394</v>
      </c>
    </row>
    <row r="5" spans="1:9" ht="15.75" customHeight="1" x14ac:dyDescent="0.25">
      <c r="A5" s="5">
        <f t="shared" si="3"/>
        <v>2027</v>
      </c>
      <c r="B5" s="49">
        <v>144381</v>
      </c>
      <c r="C5" s="50">
        <v>308517</v>
      </c>
      <c r="D5" s="50">
        <v>494175.5</v>
      </c>
      <c r="E5" s="50">
        <v>416972.99999999994</v>
      </c>
      <c r="F5" s="50">
        <v>282393.5</v>
      </c>
      <c r="G5" s="17">
        <f t="shared" si="0"/>
        <v>1502059</v>
      </c>
      <c r="H5" s="17">
        <f t="shared" si="1"/>
        <v>169303.64686422658</v>
      </c>
      <c r="I5" s="17">
        <f t="shared" si="2"/>
        <v>1332755.3531357734</v>
      </c>
    </row>
    <row r="6" spans="1:9" ht="15.75" customHeight="1" x14ac:dyDescent="0.25">
      <c r="A6" s="5">
        <f t="shared" si="3"/>
        <v>2028</v>
      </c>
      <c r="B6" s="49">
        <v>144654</v>
      </c>
      <c r="C6" s="50">
        <v>315825</v>
      </c>
      <c r="D6" s="50">
        <v>503311.5</v>
      </c>
      <c r="E6" s="50">
        <v>423405.49999999994</v>
      </c>
      <c r="F6" s="50">
        <v>294200</v>
      </c>
      <c r="G6" s="17">
        <f t="shared" si="0"/>
        <v>1536742</v>
      </c>
      <c r="H6" s="17">
        <f t="shared" si="1"/>
        <v>169623.77136533082</v>
      </c>
      <c r="I6" s="17">
        <f t="shared" si="2"/>
        <v>1367118.2286346692</v>
      </c>
    </row>
    <row r="7" spans="1:9" ht="15.75" customHeight="1" x14ac:dyDescent="0.25">
      <c r="A7" s="5">
        <f t="shared" si="3"/>
        <v>2029</v>
      </c>
      <c r="B7" s="49">
        <v>145015</v>
      </c>
      <c r="C7" s="50">
        <v>322341.5</v>
      </c>
      <c r="D7" s="50">
        <v>513845</v>
      </c>
      <c r="E7" s="50">
        <v>428926.50000000006</v>
      </c>
      <c r="F7" s="50">
        <v>306646</v>
      </c>
      <c r="G7" s="17">
        <f t="shared" si="0"/>
        <v>1571759</v>
      </c>
      <c r="H7" s="17">
        <f t="shared" si="1"/>
        <v>170047.08618180934</v>
      </c>
      <c r="I7" s="17">
        <f t="shared" si="2"/>
        <v>1401711.9138181906</v>
      </c>
    </row>
    <row r="8" spans="1:9" ht="15.75" customHeight="1" x14ac:dyDescent="0.25">
      <c r="A8" s="5">
        <f t="shared" si="3"/>
        <v>2030</v>
      </c>
      <c r="B8" s="49">
        <v>145600</v>
      </c>
      <c r="C8" s="50">
        <v>328041.5</v>
      </c>
      <c r="D8" s="50">
        <v>526715.5</v>
      </c>
      <c r="E8" s="50">
        <v>433414.5</v>
      </c>
      <c r="F8" s="50">
        <v>319844.50000000006</v>
      </c>
      <c r="G8" s="17">
        <f t="shared" si="0"/>
        <v>1608016</v>
      </c>
      <c r="H8" s="17">
        <f t="shared" si="1"/>
        <v>170733.0672556042</v>
      </c>
      <c r="I8" s="17">
        <f t="shared" si="2"/>
        <v>1437282.9327443959</v>
      </c>
    </row>
    <row r="9" spans="1:9" ht="15.75" customHeight="1" x14ac:dyDescent="0.25">
      <c r="A9" s="5">
        <f t="shared" si="3"/>
        <v>2031</v>
      </c>
      <c r="B9" s="49">
        <v>146485</v>
      </c>
      <c r="C9" s="50">
        <v>333175.5</v>
      </c>
      <c r="D9" s="50">
        <v>541299</v>
      </c>
      <c r="E9" s="50">
        <v>437008.00000000006</v>
      </c>
      <c r="F9" s="50">
        <v>333621.49999999994</v>
      </c>
      <c r="G9" s="17">
        <f t="shared" si="0"/>
        <v>1645104</v>
      </c>
      <c r="H9" s="17">
        <f t="shared" si="1"/>
        <v>171770.83349544767</v>
      </c>
      <c r="I9" s="17">
        <f t="shared" si="2"/>
        <v>1473333.1665045524</v>
      </c>
    </row>
    <row r="10" spans="1:9" ht="15.75" customHeight="1" x14ac:dyDescent="0.25">
      <c r="A10" s="5">
        <f t="shared" si="3"/>
        <v>2032</v>
      </c>
      <c r="B10" s="49">
        <v>147579</v>
      </c>
      <c r="C10" s="50">
        <v>337937.5</v>
      </c>
      <c r="D10" s="50">
        <v>555775.5</v>
      </c>
      <c r="E10" s="50">
        <v>440359.00000000006</v>
      </c>
      <c r="F10" s="50">
        <v>347485.5</v>
      </c>
      <c r="G10" s="17">
        <f t="shared" si="0"/>
        <v>1681557.5</v>
      </c>
      <c r="H10" s="17">
        <f t="shared" si="1"/>
        <v>173053.67673430502</v>
      </c>
      <c r="I10" s="17">
        <f t="shared" si="2"/>
        <v>1508503.823265695</v>
      </c>
    </row>
    <row r="11" spans="1:9" ht="15.75" customHeight="1" x14ac:dyDescent="0.25">
      <c r="A11" s="5">
        <f t="shared" si="3"/>
        <v>2033</v>
      </c>
      <c r="B11" s="49">
        <v>148904</v>
      </c>
      <c r="C11" s="50">
        <v>341893.5</v>
      </c>
      <c r="D11" s="50">
        <v>570141.5</v>
      </c>
      <c r="E11" s="50">
        <v>444057.5</v>
      </c>
      <c r="F11" s="50">
        <v>360997</v>
      </c>
      <c r="G11" s="17">
        <f t="shared" si="0"/>
        <v>1717089.5</v>
      </c>
      <c r="H11" s="17">
        <f t="shared" si="1"/>
        <v>174607.39455101982</v>
      </c>
      <c r="I11" s="17">
        <f t="shared" si="2"/>
        <v>1542482.1054489801</v>
      </c>
    </row>
    <row r="12" spans="1:9" ht="15.75" customHeight="1" x14ac:dyDescent="0.25">
      <c r="A12" s="5">
        <f t="shared" si="3"/>
        <v>2034</v>
      </c>
      <c r="B12" s="49">
        <v>150469</v>
      </c>
      <c r="C12" s="50">
        <v>344432.5</v>
      </c>
      <c r="D12" s="50">
        <v>584584.49999999988</v>
      </c>
      <c r="E12" s="50">
        <v>448728.5</v>
      </c>
      <c r="F12" s="50">
        <v>373691.5</v>
      </c>
      <c r="G12" s="17">
        <f t="shared" si="0"/>
        <v>1751437</v>
      </c>
      <c r="H12" s="17">
        <f t="shared" si="1"/>
        <v>176442.54050057352</v>
      </c>
      <c r="I12" s="17">
        <f t="shared" si="2"/>
        <v>1574994.4594994264</v>
      </c>
    </row>
    <row r="13" spans="1:9" ht="15.75" customHeight="1" x14ac:dyDescent="0.25">
      <c r="A13" s="5">
        <f t="shared" si="3"/>
        <v>2035</v>
      </c>
      <c r="B13" s="49">
        <v>152051</v>
      </c>
      <c r="C13" s="50">
        <v>344959.5</v>
      </c>
      <c r="D13" s="50">
        <v>599233.5</v>
      </c>
      <c r="E13" s="50">
        <v>454865</v>
      </c>
      <c r="F13" s="50">
        <v>385305.5</v>
      </c>
      <c r="G13" s="17">
        <f t="shared" si="0"/>
        <v>1784363.5</v>
      </c>
      <c r="H13" s="17">
        <f t="shared" si="1"/>
        <v>178297.62094287001</v>
      </c>
      <c r="I13" s="17">
        <f t="shared" si="2"/>
        <v>1606065.8790571301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1.944252351986717E-2</v>
      </c>
    </row>
    <row r="4" spans="1:8" ht="15.75" customHeight="1" x14ac:dyDescent="0.25">
      <c r="B4" s="19" t="s">
        <v>69</v>
      </c>
      <c r="C4" s="99">
        <v>7.3235278675737148E-2</v>
      </c>
    </row>
    <row r="5" spans="1:8" ht="15.75" customHeight="1" x14ac:dyDescent="0.25">
      <c r="B5" s="19" t="s">
        <v>70</v>
      </c>
      <c r="C5" s="99">
        <v>6.0525674969561093E-2</v>
      </c>
    </row>
    <row r="6" spans="1:8" ht="15.75" customHeight="1" x14ac:dyDescent="0.25">
      <c r="B6" s="19" t="s">
        <v>71</v>
      </c>
      <c r="C6" s="99">
        <v>0.3183471214882706</v>
      </c>
    </row>
    <row r="7" spans="1:8" ht="15.75" customHeight="1" x14ac:dyDescent="0.25">
      <c r="B7" s="19" t="s">
        <v>72</v>
      </c>
      <c r="C7" s="99">
        <v>0.3406088789217484</v>
      </c>
    </row>
    <row r="8" spans="1:8" ht="15.75" customHeight="1" x14ac:dyDescent="0.25">
      <c r="B8" s="19" t="s">
        <v>73</v>
      </c>
      <c r="C8" s="99">
        <v>2.8573357234468609E-3</v>
      </c>
    </row>
    <row r="9" spans="1:8" ht="15.75" customHeight="1" x14ac:dyDescent="0.25">
      <c r="B9" s="19" t="s">
        <v>74</v>
      </c>
      <c r="C9" s="99">
        <v>9.1026223745628063E-2</v>
      </c>
    </row>
    <row r="10" spans="1:8" ht="15.75" customHeight="1" x14ac:dyDescent="0.25">
      <c r="B10" s="19" t="s">
        <v>75</v>
      </c>
      <c r="C10" s="99">
        <v>9.3956962955740589E-2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0.21278952881859881</v>
      </c>
      <c r="D14" s="55">
        <v>0.21278952881859881</v>
      </c>
      <c r="E14" s="55">
        <v>0.21278952881859881</v>
      </c>
      <c r="F14" s="55">
        <v>0.21278952881859881</v>
      </c>
    </row>
    <row r="15" spans="1:8" ht="15.75" customHeight="1" x14ac:dyDescent="0.25">
      <c r="B15" s="19" t="s">
        <v>82</v>
      </c>
      <c r="C15" s="99">
        <v>0.25469599219282613</v>
      </c>
      <c r="D15" s="99">
        <v>0.25469599219282613</v>
      </c>
      <c r="E15" s="99">
        <v>0.25469599219282613</v>
      </c>
      <c r="F15" s="99">
        <v>0.25469599219282613</v>
      </c>
    </row>
    <row r="16" spans="1:8" ht="15.75" customHeight="1" x14ac:dyDescent="0.25">
      <c r="B16" s="19" t="s">
        <v>83</v>
      </c>
      <c r="C16" s="99">
        <v>4.4329835998382708E-2</v>
      </c>
      <c r="D16" s="99">
        <v>4.4329835998382708E-2</v>
      </c>
      <c r="E16" s="99">
        <v>4.4329835998382708E-2</v>
      </c>
      <c r="F16" s="99">
        <v>4.4329835998382708E-2</v>
      </c>
    </row>
    <row r="17" spans="1:8" ht="15.75" customHeight="1" x14ac:dyDescent="0.25">
      <c r="B17" s="19" t="s">
        <v>84</v>
      </c>
      <c r="C17" s="99">
        <v>1.624506748778283E-2</v>
      </c>
      <c r="D17" s="99">
        <v>1.624506748778283E-2</v>
      </c>
      <c r="E17" s="99">
        <v>1.624506748778283E-2</v>
      </c>
      <c r="F17" s="99">
        <v>1.624506748778283E-2</v>
      </c>
    </row>
    <row r="18" spans="1:8" ht="15.75" customHeight="1" x14ac:dyDescent="0.25">
      <c r="B18" s="19" t="s">
        <v>85</v>
      </c>
      <c r="C18" s="99">
        <v>1.0885857198653019E-3</v>
      </c>
      <c r="D18" s="99">
        <v>1.0885857198653019E-3</v>
      </c>
      <c r="E18" s="99">
        <v>1.0885857198653019E-3</v>
      </c>
      <c r="F18" s="99">
        <v>1.0885857198653019E-3</v>
      </c>
    </row>
    <row r="19" spans="1:8" ht="15.75" customHeight="1" x14ac:dyDescent="0.25">
      <c r="B19" s="19" t="s">
        <v>86</v>
      </c>
      <c r="C19" s="99">
        <v>5.4722176235299548E-2</v>
      </c>
      <c r="D19" s="99">
        <v>5.4722176235299548E-2</v>
      </c>
      <c r="E19" s="99">
        <v>5.4722176235299548E-2</v>
      </c>
      <c r="F19" s="99">
        <v>5.4722176235299548E-2</v>
      </c>
    </row>
    <row r="20" spans="1:8" ht="15.75" customHeight="1" x14ac:dyDescent="0.25">
      <c r="B20" s="19" t="s">
        <v>87</v>
      </c>
      <c r="C20" s="99">
        <v>5.8387503878920381E-3</v>
      </c>
      <c r="D20" s="99">
        <v>5.8387503878920381E-3</v>
      </c>
      <c r="E20" s="99">
        <v>5.8387503878920381E-3</v>
      </c>
      <c r="F20" s="99">
        <v>5.8387503878920381E-3</v>
      </c>
    </row>
    <row r="21" spans="1:8" ht="15.75" customHeight="1" x14ac:dyDescent="0.25">
      <c r="B21" s="19" t="s">
        <v>88</v>
      </c>
      <c r="C21" s="99">
        <v>0.17162996652247201</v>
      </c>
      <c r="D21" s="99">
        <v>0.17162996652247201</v>
      </c>
      <c r="E21" s="99">
        <v>0.17162996652247201</v>
      </c>
      <c r="F21" s="99">
        <v>0.17162996652247201</v>
      </c>
    </row>
    <row r="22" spans="1:8" ht="15.75" customHeight="1" x14ac:dyDescent="0.25">
      <c r="B22" s="19" t="s">
        <v>89</v>
      </c>
      <c r="C22" s="99">
        <v>0.23866009663688079</v>
      </c>
      <c r="D22" s="99">
        <v>0.23866009663688079</v>
      </c>
      <c r="E22" s="99">
        <v>0.23866009663688079</v>
      </c>
      <c r="F22" s="99">
        <v>0.23866009663688079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5.2819977999999997E-2</v>
      </c>
    </row>
    <row r="27" spans="1:8" ht="15.75" customHeight="1" x14ac:dyDescent="0.25">
      <c r="B27" s="19" t="s">
        <v>92</v>
      </c>
      <c r="C27" s="99">
        <v>7.1861679999999997E-3</v>
      </c>
    </row>
    <row r="28" spans="1:8" ht="15.75" customHeight="1" x14ac:dyDescent="0.25">
      <c r="B28" s="19" t="s">
        <v>93</v>
      </c>
      <c r="C28" s="99">
        <v>0.250016285</v>
      </c>
    </row>
    <row r="29" spans="1:8" ht="15.75" customHeight="1" x14ac:dyDescent="0.25">
      <c r="B29" s="19" t="s">
        <v>94</v>
      </c>
      <c r="C29" s="99">
        <v>9.3256678999999995E-2</v>
      </c>
    </row>
    <row r="30" spans="1:8" ht="15.75" customHeight="1" x14ac:dyDescent="0.25">
      <c r="B30" s="19" t="s">
        <v>95</v>
      </c>
      <c r="C30" s="99">
        <v>0.12997281799999999</v>
      </c>
    </row>
    <row r="31" spans="1:8" ht="15.75" customHeight="1" x14ac:dyDescent="0.25">
      <c r="B31" s="19" t="s">
        <v>96</v>
      </c>
      <c r="C31" s="99">
        <v>6.0292912999999997E-2</v>
      </c>
    </row>
    <row r="32" spans="1:8" ht="15.75" customHeight="1" x14ac:dyDescent="0.25">
      <c r="B32" s="19" t="s">
        <v>97</v>
      </c>
      <c r="C32" s="99">
        <v>6.2887368999999999E-2</v>
      </c>
    </row>
    <row r="33" spans="2:3" ht="15.75" customHeight="1" x14ac:dyDescent="0.25">
      <c r="B33" s="19" t="s">
        <v>98</v>
      </c>
      <c r="C33" s="99">
        <v>0.164273895</v>
      </c>
    </row>
    <row r="34" spans="2:3" ht="15.75" customHeight="1" x14ac:dyDescent="0.25">
      <c r="B34" s="19" t="s">
        <v>99</v>
      </c>
      <c r="C34" s="99">
        <v>0.17929389600000001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0.41705131269026019</v>
      </c>
      <c r="D2" s="52">
        <f>IFERROR(1-_xlfn.NORM.DIST(_xlfn.NORM.INV(SUM(D4:D5), 0, 1) + 1, 0, 1, TRUE), "")</f>
        <v>0.41705131269026019</v>
      </c>
      <c r="E2" s="52">
        <f>IFERROR(1-_xlfn.NORM.DIST(_xlfn.NORM.INV(SUM(E4:E5), 0, 1) + 1, 0, 1, TRUE), "")</f>
        <v>0.44075973747061548</v>
      </c>
      <c r="F2" s="52">
        <f>IFERROR(1-_xlfn.NORM.DIST(_xlfn.NORM.INV(SUM(F4:F5), 0, 1) + 1, 0, 1, TRUE), "")</f>
        <v>0.28837293990705826</v>
      </c>
      <c r="G2" s="52">
        <f>IFERROR(1-_xlfn.NORM.DIST(_xlfn.NORM.INV(SUM(G4:G5), 0, 1) + 1, 0, 1, TRUE), "")</f>
        <v>0.19299323818434622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0.36834748730973982</v>
      </c>
      <c r="D3" s="52">
        <f>IFERROR(_xlfn.NORM.DIST(_xlfn.NORM.INV(SUM(D4:D5), 0, 1) + 1, 0, 1, TRUE) - SUM(D4:D5), "")</f>
        <v>0.36834748730973982</v>
      </c>
      <c r="E3" s="52">
        <f>IFERROR(_xlfn.NORM.DIST(_xlfn.NORM.INV(SUM(E4:E5), 0, 1) + 1, 0, 1, TRUE) - SUM(E4:E5), "")</f>
        <v>0.36184356252938454</v>
      </c>
      <c r="F3" s="52">
        <f>IFERROR(_xlfn.NORM.DIST(_xlfn.NORM.INV(SUM(F4:F5), 0, 1) + 1, 0, 1, TRUE) - SUM(F4:F5), "")</f>
        <v>0.38233026009294174</v>
      </c>
      <c r="G3" s="52">
        <f>IFERROR(_xlfn.NORM.DIST(_xlfn.NORM.INV(SUM(G4:G5), 0, 1) + 1, 0, 1, TRUE) - SUM(G4:G5), "")</f>
        <v>0.35994216181565375</v>
      </c>
    </row>
    <row r="4" spans="1:15" ht="15.75" customHeight="1" x14ac:dyDescent="0.25">
      <c r="B4" s="5" t="s">
        <v>104</v>
      </c>
      <c r="C4" s="45">
        <v>0.12829170000000001</v>
      </c>
      <c r="D4" s="53">
        <v>0.12829170000000001</v>
      </c>
      <c r="E4" s="53">
        <v>0.1032455</v>
      </c>
      <c r="F4" s="53">
        <v>0.2108437</v>
      </c>
      <c r="G4" s="53">
        <v>0.22724630000000001</v>
      </c>
    </row>
    <row r="5" spans="1:15" ht="15.75" customHeight="1" x14ac:dyDescent="0.25">
      <c r="B5" s="5" t="s">
        <v>105</v>
      </c>
      <c r="C5" s="45">
        <v>8.6309499999999997E-2</v>
      </c>
      <c r="D5" s="53">
        <v>8.6309499999999997E-2</v>
      </c>
      <c r="E5" s="53">
        <v>9.4151200000000004E-2</v>
      </c>
      <c r="F5" s="53">
        <v>0.11845310000000001</v>
      </c>
      <c r="G5" s="53">
        <v>0.21981829999999999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0.5134015973375885</v>
      </c>
      <c r="D8" s="52">
        <f>IFERROR(1-_xlfn.NORM.DIST(_xlfn.NORM.INV(SUM(D10:D11), 0, 1) + 1, 0, 1, TRUE), "")</f>
        <v>0.5134015973375885</v>
      </c>
      <c r="E8" s="52">
        <f>IFERROR(1-_xlfn.NORM.DIST(_xlfn.NORM.INV(SUM(E10:E11), 0, 1) + 1, 0, 1, TRUE), "")</f>
        <v>0.55643170273416376</v>
      </c>
      <c r="F8" s="52">
        <f>IFERROR(1-_xlfn.NORM.DIST(_xlfn.NORM.INV(SUM(F10:F11), 0, 1) + 1, 0, 1, TRUE), "")</f>
        <v>0.67909007608984928</v>
      </c>
      <c r="G8" s="52">
        <f>IFERROR(1-_xlfn.NORM.DIST(_xlfn.NORM.INV(SUM(G10:G11), 0, 1) + 1, 0, 1, TRUE), "")</f>
        <v>0.74648615272006946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0.33593660266241143</v>
      </c>
      <c r="D9" s="52">
        <f>IFERROR(_xlfn.NORM.DIST(_xlfn.NORM.INV(SUM(D10:D11), 0, 1) + 1, 0, 1, TRUE) - SUM(D10:D11), "")</f>
        <v>0.33593660266241143</v>
      </c>
      <c r="E9" s="52">
        <f>IFERROR(_xlfn.NORM.DIST(_xlfn.NORM.INV(SUM(E10:E11), 0, 1) + 1, 0, 1, TRUE) - SUM(E10:E11), "")</f>
        <v>0.31682639726583628</v>
      </c>
      <c r="F9" s="52">
        <f>IFERROR(_xlfn.NORM.DIST(_xlfn.NORM.INV(SUM(F10:F11), 0, 1) + 1, 0, 1, TRUE) - SUM(F10:F11), "")</f>
        <v>0.24947072391015079</v>
      </c>
      <c r="G9" s="52">
        <f>IFERROR(_xlfn.NORM.DIST(_xlfn.NORM.INV(SUM(G10:G11), 0, 1) + 1, 0, 1, TRUE) - SUM(G10:G11), "")</f>
        <v>0.20540494727993053</v>
      </c>
    </row>
    <row r="10" spans="1:15" ht="15.75" customHeight="1" x14ac:dyDescent="0.25">
      <c r="B10" s="5" t="s">
        <v>109</v>
      </c>
      <c r="C10" s="45">
        <v>7.5895299999999999E-2</v>
      </c>
      <c r="D10" s="53">
        <v>7.5895299999999999E-2</v>
      </c>
      <c r="E10" s="53">
        <v>8.0317399999999997E-2</v>
      </c>
      <c r="F10" s="53">
        <v>5.0868499999999997E-2</v>
      </c>
      <c r="G10" s="53">
        <v>3.5111900000000001E-2</v>
      </c>
    </row>
    <row r="11" spans="1:15" ht="15.75" customHeight="1" x14ac:dyDescent="0.25">
      <c r="B11" s="5" t="s">
        <v>110</v>
      </c>
      <c r="C11" s="45">
        <v>7.47665E-2</v>
      </c>
      <c r="D11" s="53">
        <v>7.47665E-2</v>
      </c>
      <c r="E11" s="53">
        <v>4.64245E-2</v>
      </c>
      <c r="F11" s="53">
        <v>2.0570700000000001E-2</v>
      </c>
      <c r="G11" s="53">
        <v>1.2997E-2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0.38510173949999998</v>
      </c>
      <c r="D14" s="54">
        <v>0.38329127910900002</v>
      </c>
      <c r="E14" s="54">
        <v>0.38329127910900002</v>
      </c>
      <c r="F14" s="54">
        <v>0.26921571210599998</v>
      </c>
      <c r="G14" s="54">
        <v>0.26921571210599998</v>
      </c>
      <c r="H14" s="45">
        <v>0.51300000000000001</v>
      </c>
      <c r="I14" s="55">
        <v>0.51300000000000001</v>
      </c>
      <c r="J14" s="55">
        <v>0.51300000000000001</v>
      </c>
      <c r="K14" s="55">
        <v>0.51300000000000001</v>
      </c>
      <c r="L14" s="45">
        <v>0.52200000000000002</v>
      </c>
      <c r="M14" s="55">
        <v>0.52200000000000002</v>
      </c>
      <c r="N14" s="55">
        <v>0.52200000000000002</v>
      </c>
      <c r="O14" s="55">
        <v>0.52200000000000002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0.16811886009090149</v>
      </c>
      <c r="D15" s="52">
        <f t="shared" si="0"/>
        <v>0.16732849093398772</v>
      </c>
      <c r="E15" s="52">
        <f t="shared" si="0"/>
        <v>0.16732849093398772</v>
      </c>
      <c r="F15" s="52">
        <f t="shared" si="0"/>
        <v>0.11752800362985903</v>
      </c>
      <c r="G15" s="52">
        <f t="shared" si="0"/>
        <v>0.11752800362985903</v>
      </c>
      <c r="H15" s="52">
        <f t="shared" si="0"/>
        <v>0.22395374099999998</v>
      </c>
      <c r="I15" s="52">
        <f t="shared" si="0"/>
        <v>0.22395374099999998</v>
      </c>
      <c r="J15" s="52">
        <f t="shared" si="0"/>
        <v>0.22395374099999998</v>
      </c>
      <c r="K15" s="52">
        <f t="shared" si="0"/>
        <v>0.22395374099999998</v>
      </c>
      <c r="L15" s="52">
        <f t="shared" si="0"/>
        <v>0.22788275399999999</v>
      </c>
      <c r="M15" s="52">
        <f t="shared" si="0"/>
        <v>0.22788275399999999</v>
      </c>
      <c r="N15" s="52">
        <f t="shared" si="0"/>
        <v>0.22788275399999999</v>
      </c>
      <c r="O15" s="52">
        <f t="shared" si="0"/>
        <v>0.22788275399999999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0.5593456</v>
      </c>
      <c r="D2" s="53">
        <v>0.46563719999999997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7.8223000000000001E-2</v>
      </c>
      <c r="D3" s="53">
        <v>0.1007064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0.32265949999999999</v>
      </c>
      <c r="D4" s="53">
        <v>0.35786780000000001</v>
      </c>
      <c r="E4" s="53">
        <v>0.78967549999999997</v>
      </c>
      <c r="F4" s="53">
        <v>0.63183219999999995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3.9771899999999971E-2</v>
      </c>
      <c r="D5" s="52">
        <f t="shared" si="0"/>
        <v>7.5788600000000095E-2</v>
      </c>
      <c r="E5" s="52">
        <f>1-SUM(E2:E4)</f>
        <v>0.21032450000000003</v>
      </c>
      <c r="F5" s="52">
        <f>1-SUM(F2:F4)</f>
        <v>0.36816780000000005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3789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0.44990000000000002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0.2006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1.7707414577834226E-2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98375.218500000003</v>
      </c>
      <c r="C22" s="107">
        <v>98201.370869999999</v>
      </c>
      <c r="D22" s="107">
        <v>98038.988530000002</v>
      </c>
      <c r="E22" s="107">
        <v>97865.113920000003</v>
      </c>
      <c r="F22" s="107">
        <v>97649.534109999993</v>
      </c>
      <c r="G22" s="107">
        <v>97408.891860000003</v>
      </c>
      <c r="H22" s="107">
        <v>97107.768819999998</v>
      </c>
      <c r="I22" s="107">
        <v>96710.643060000002</v>
      </c>
      <c r="J22" s="107">
        <v>96111.342900000003</v>
      </c>
      <c r="K22" s="107">
        <v>95137.663050000003</v>
      </c>
      <c r="L22" s="107">
        <v>93522.521410000001</v>
      </c>
      <c r="M22" s="107">
        <v>90922.550220000005</v>
      </c>
      <c r="N22" s="107">
        <v>86532.69412</v>
      </c>
      <c r="O22" s="107">
        <v>86532.69412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19.75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19.75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7.4289688625382997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0.79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0.4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0.29442049999999997</v>
      </c>
      <c r="C10" s="96">
        <v>0.95</v>
      </c>
      <c r="D10" s="56">
        <v>12.84078230295372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12.84078230295372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12.84078230295372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12.84078230295372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0.29442049999999997</v>
      </c>
      <c r="C14" s="96">
        <v>0.95</v>
      </c>
      <c r="D14" s="56">
        <v>12.84078230295372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12.84078230295372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</v>
      </c>
      <c r="C16" s="96">
        <v>0.95</v>
      </c>
      <c r="D16" s="56">
        <v>2.5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7.992352075384429E-2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0.46563719999999997</v>
      </c>
      <c r="C18" s="96">
        <v>0.95</v>
      </c>
      <c r="D18" s="56">
        <v>7.4289688625382997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0.46563719999999997</v>
      </c>
      <c r="C19" s="96">
        <v>0.95</v>
      </c>
      <c r="D19" s="56">
        <v>6.8217383658846993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7.4289688625382997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3.5702999999999999E-2</v>
      </c>
      <c r="C23" s="96">
        <v>0.95</v>
      </c>
      <c r="D23" s="56">
        <v>4.1722144491998137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0.47122926211659999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0.29442049999999997</v>
      </c>
      <c r="C26" s="96">
        <v>0.95</v>
      </c>
      <c r="D26" s="56">
        <v>2.9567118730808599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17.846880984952122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0.37447279999999999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0.1497243</v>
      </c>
      <c r="C29" s="96">
        <v>0.95</v>
      </c>
      <c r="D29" s="56">
        <v>96.169549000750962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173.50469037871034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</v>
      </c>
      <c r="C32" s="96">
        <v>0.95</v>
      </c>
      <c r="D32" s="56">
        <v>0.53033228587019021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0.84691320000000003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0.35662080000000002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1.1231400000000001E-2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0.25330259999999999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</v>
      </c>
      <c r="C38" s="96">
        <v>0.95</v>
      </c>
      <c r="D38" s="56">
        <v>2.6612563971340846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197</v>
      </c>
      <c r="B3" s="21">
        <f>frac_mam_1month * 2.6</f>
        <v>0.19732778000000001</v>
      </c>
      <c r="C3" s="21">
        <f>frac_mam_1_5months * 2.6</f>
        <v>0.19732778000000001</v>
      </c>
      <c r="D3" s="21">
        <f>frac_mam_6_11months * 2.6</f>
        <v>0.20882524</v>
      </c>
      <c r="E3" s="21">
        <f>frac_mam_12_23months * 2.6</f>
        <v>0.13225809999999999</v>
      </c>
      <c r="F3" s="21">
        <f>frac_mam_24_59months * 2.6</f>
        <v>9.1290940000000001E-2</v>
      </c>
    </row>
    <row r="4" spans="1:6" ht="15.75" customHeight="1" x14ac:dyDescent="0.25">
      <c r="A4" s="3" t="s">
        <v>198</v>
      </c>
      <c r="B4" s="21">
        <f>frac_sam_1month * 2.6</f>
        <v>0.19439290000000001</v>
      </c>
      <c r="C4" s="21">
        <f>frac_sam_1_5months * 2.6</f>
        <v>0.19439290000000001</v>
      </c>
      <c r="D4" s="21">
        <f>frac_sam_6_11months * 2.6</f>
        <v>0.12070370000000001</v>
      </c>
      <c r="E4" s="21">
        <f>frac_sam_12_23months * 2.6</f>
        <v>5.3483820000000001E-2</v>
      </c>
      <c r="F4" s="21">
        <f>frac_sam_24_59months * 2.6</f>
        <v>3.3792200000000001E-2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3.9E-2</v>
      </c>
      <c r="F2" s="60">
        <f>food_insecure</f>
        <v>3.9E-2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3.9E-2</v>
      </c>
      <c r="F5" s="60">
        <f>food_insecure</f>
        <v>3.9E-2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3.9E-2</v>
      </c>
      <c r="F8" s="60">
        <f>food_insecure</f>
        <v>3.9E-2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3.9E-2</v>
      </c>
      <c r="F9" s="60">
        <f>food_insecure</f>
        <v>3.9E-2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3.9E-2</v>
      </c>
      <c r="I15" s="60">
        <f t="shared" si="0"/>
        <v>3.9E-2</v>
      </c>
      <c r="J15" s="60">
        <f t="shared" si="0"/>
        <v>3.9E-2</v>
      </c>
      <c r="K15" s="60">
        <f t="shared" si="0"/>
        <v>3.9E-2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3.9E-2</v>
      </c>
      <c r="I16" s="60">
        <f t="shared" si="0"/>
        <v>3.9E-2</v>
      </c>
      <c r="J16" s="60">
        <f t="shared" si="0"/>
        <v>3.9E-2</v>
      </c>
      <c r="K16" s="60">
        <f t="shared" si="0"/>
        <v>3.9E-2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2.1600000000000001E-2</v>
      </c>
      <c r="I19" s="60">
        <f>frac_malaria_risk</f>
        <v>2.1600000000000001E-2</v>
      </c>
      <c r="J19" s="60">
        <f>frac_malaria_risk</f>
        <v>2.1600000000000001E-2</v>
      </c>
      <c r="K19" s="60">
        <f>frac_malaria_risk</f>
        <v>2.1600000000000001E-2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</v>
      </c>
      <c r="M24" s="60">
        <f>famplan_unmet_need</f>
        <v>0.1</v>
      </c>
      <c r="N24" s="60">
        <f>famplan_unmet_need</f>
        <v>0.1</v>
      </c>
      <c r="O24" s="60">
        <f>famplan_unmet_need</f>
        <v>0.1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5.3804519999999988E-2</v>
      </c>
      <c r="M25" s="60">
        <f>(1-food_insecure)*(0.49)+food_insecure*(0.7)</f>
        <v>0.49818999999999997</v>
      </c>
      <c r="N25" s="60">
        <f>(1-food_insecure)*(0.49)+food_insecure*(0.7)</f>
        <v>0.49818999999999997</v>
      </c>
      <c r="O25" s="60">
        <f>(1-food_insecure)*(0.49)+food_insecure*(0.7)</f>
        <v>0.49818999999999997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2.3059079999999996E-2</v>
      </c>
      <c r="M26" s="60">
        <f>(1-food_insecure)*(0.21)+food_insecure*(0.3)</f>
        <v>0.21350999999999998</v>
      </c>
      <c r="N26" s="60">
        <f>(1-food_insecure)*(0.21)+food_insecure*(0.3)</f>
        <v>0.21350999999999998</v>
      </c>
      <c r="O26" s="60">
        <f>(1-food_insecure)*(0.21)+food_insecure*(0.3)</f>
        <v>0.21350999999999998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3.1136399999999995E-2</v>
      </c>
      <c r="M27" s="60">
        <f>(1-food_insecure)*(0.3)</f>
        <v>0.2883</v>
      </c>
      <c r="N27" s="60">
        <f>(1-food_insecure)*(0.3)</f>
        <v>0.2883</v>
      </c>
      <c r="O27" s="60">
        <f>(1-food_insecure)*(0.3)</f>
        <v>0.2883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0.89200000000000002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2.1600000000000001E-2</v>
      </c>
      <c r="D34" s="60">
        <f t="shared" si="4"/>
        <v>2.1600000000000001E-2</v>
      </c>
      <c r="E34" s="60">
        <f t="shared" si="4"/>
        <v>2.1600000000000001E-2</v>
      </c>
      <c r="F34" s="60">
        <f t="shared" si="4"/>
        <v>2.1600000000000001E-2</v>
      </c>
      <c r="G34" s="60">
        <f t="shared" si="4"/>
        <v>2.1600000000000001E-2</v>
      </c>
      <c r="H34" s="60">
        <f t="shared" si="4"/>
        <v>2.1600000000000001E-2</v>
      </c>
      <c r="I34" s="60">
        <f t="shared" si="4"/>
        <v>2.1600000000000001E-2</v>
      </c>
      <c r="J34" s="60">
        <f t="shared" si="4"/>
        <v>2.1600000000000001E-2</v>
      </c>
      <c r="K34" s="60">
        <f t="shared" si="4"/>
        <v>2.1600000000000001E-2</v>
      </c>
      <c r="L34" s="60">
        <f t="shared" si="4"/>
        <v>2.1600000000000001E-2</v>
      </c>
      <c r="M34" s="60">
        <f t="shared" si="4"/>
        <v>2.1600000000000001E-2</v>
      </c>
      <c r="N34" s="60">
        <f t="shared" si="4"/>
        <v>2.1600000000000001E-2</v>
      </c>
      <c r="O34" s="60">
        <f t="shared" si="4"/>
        <v>2.1600000000000001E-2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ZuJBLT18RLClOQpds4MuooJcG/7vFHLggKJjPvPOQAFJAkJ01ilC4kkb2DTiT5pCXWheznDmX2e8pP9U30oZA==" saltValue="StP3eyhH6xyKX3Qyhj6KZ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2025-07-29T06:40:05Z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