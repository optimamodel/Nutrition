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7B263B3-CA3E-400F-B552-0A740EB62A0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I39" i="2"/>
  <c r="H39" i="2"/>
  <c r="G39" i="2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I13" i="2"/>
  <c r="H13" i="2"/>
  <c r="G13" i="2"/>
  <c r="H12" i="2"/>
  <c r="I12" i="2" s="1"/>
  <c r="G12" i="2"/>
  <c r="I11" i="2"/>
  <c r="H11" i="2"/>
  <c r="G11" i="2"/>
  <c r="H10" i="2"/>
  <c r="I10" i="2" s="1"/>
  <c r="G10" i="2"/>
  <c r="I9" i="2"/>
  <c r="H9" i="2"/>
  <c r="G9" i="2"/>
  <c r="H8" i="2"/>
  <c r="I8" i="2" s="1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A3" i="2"/>
  <c r="H2" i="2"/>
  <c r="I2" i="2" s="1"/>
  <c r="G2" i="2"/>
  <c r="A2" i="2"/>
  <c r="A31" i="2" s="1"/>
  <c r="C33" i="1"/>
  <c r="C20" i="1"/>
  <c r="A20" i="2" l="1"/>
  <c r="A28" i="2"/>
  <c r="A36" i="2"/>
  <c r="A22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<sst xmlns="http://schemas.openxmlformats.org/spreadsheetml/2006/main" count="2092" uniqueCount="341">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</sst>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0.89200000000000002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8.3599999999999994E-2</v>
      </c>
    </row>
    <row r="24" spans="1:3" ht="15" customHeight="1" x14ac:dyDescent="0.25">
      <c r="B24" s="15" t="s">
        <v>22</v>
      </c>
      <c r="C24" s="45">
        <v>0.50800000000000001</v>
      </c>
    </row>
    <row r="25" spans="1:3" ht="15" customHeight="1" x14ac:dyDescent="0.25">
      <c r="B25" s="15" t="s">
        <v>23</v>
      </c>
      <c r="C25" s="45">
        <v>0.35120000000000012</v>
      </c>
    </row>
    <row r="26" spans="1:3" ht="15" customHeight="1" x14ac:dyDescent="0.25">
      <c r="B26" s="15" t="s">
        <v>24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158136.48199999999</v>
      </c>
      <c r="C2" s="49">
        <v>278000</v>
      </c>
      <c r="D2" s="49">
        <v>678000</v>
      </c>
      <c r="E2" s="49">
        <v>625000</v>
      </c>
      <c r="F2" s="49">
        <v>501000</v>
      </c>
      <c r="G2" s="17">
        <f t="shared" ref="G2:G13" si="0">C2+D2+E2+F2</f>
        <v>2082000</v>
      </c>
      <c r="H2" s="17">
        <f t="shared" ref="H2:H13" si="1">(B2 + stillbirth*B2/(1000-stillbirth))/(1-abortion)</f>
        <v>185433.5619290566</v>
      </c>
      <c r="I2" s="17">
        <f t="shared" ref="I2:I13" si="2">G2-H2</f>
        <v>1896566.4380709433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159244.962</v>
      </c>
      <c r="C3" s="50">
        <v>284000</v>
      </c>
      <c r="D3" s="50">
        <v>688000</v>
      </c>
      <c r="E3" s="50">
        <v>639000</v>
      </c>
      <c r="F3" s="50">
        <v>512000</v>
      </c>
      <c r="G3" s="17">
        <f t="shared" si="0"/>
        <v>2123000</v>
      </c>
      <c r="H3" s="17">
        <f t="shared" si="1"/>
        <v>186733.3846652619</v>
      </c>
      <c r="I3" s="17">
        <f t="shared" si="2"/>
        <v>1936266.615334738</v>
      </c>
    </row>
    <row r="4" spans="1:9" ht="15.75" customHeight="1" x14ac:dyDescent="0.25">
      <c r="A4" s="5">
        <f t="shared" si="3"/>
        <v>2026</v>
      </c>
      <c r="B4" s="49">
        <v>160433.15299999999</v>
      </c>
      <c r="C4" s="50">
        <v>291000</v>
      </c>
      <c r="D4" s="50">
        <v>698000</v>
      </c>
      <c r="E4" s="50">
        <v>655000</v>
      </c>
      <c r="F4" s="50">
        <v>524000</v>
      </c>
      <c r="G4" s="17">
        <f t="shared" si="0"/>
        <v>2168000</v>
      </c>
      <c r="H4" s="17">
        <f t="shared" si="1"/>
        <v>188126.67789270353</v>
      </c>
      <c r="I4" s="17">
        <f t="shared" si="2"/>
        <v>1979873.3221072964</v>
      </c>
    </row>
    <row r="5" spans="1:9" ht="15.75" customHeight="1" x14ac:dyDescent="0.25">
      <c r="A5" s="5">
        <f t="shared" si="3"/>
        <v>2027</v>
      </c>
      <c r="B5" s="49">
        <v>161532.24</v>
      </c>
      <c r="C5" s="50">
        <v>298000</v>
      </c>
      <c r="D5" s="50">
        <v>710000</v>
      </c>
      <c r="E5" s="50">
        <v>671000</v>
      </c>
      <c r="F5" s="50">
        <v>534000</v>
      </c>
      <c r="G5" s="17">
        <f t="shared" si="0"/>
        <v>2213000</v>
      </c>
      <c r="H5" s="17">
        <f t="shared" si="1"/>
        <v>189415.48623535986</v>
      </c>
      <c r="I5" s="17">
        <f t="shared" si="2"/>
        <v>2023584.5137646401</v>
      </c>
    </row>
    <row r="6" spans="1:9" ht="15.75" customHeight="1" x14ac:dyDescent="0.25">
      <c r="A6" s="5">
        <f t="shared" si="3"/>
        <v>2028</v>
      </c>
      <c r="B6" s="49">
        <v>162540.924</v>
      </c>
      <c r="C6" s="50">
        <v>305000</v>
      </c>
      <c r="D6" s="50">
        <v>722000</v>
      </c>
      <c r="E6" s="50">
        <v>689000</v>
      </c>
      <c r="F6" s="50">
        <v>543000</v>
      </c>
      <c r="G6" s="17">
        <f t="shared" si="0"/>
        <v>2259000</v>
      </c>
      <c r="H6" s="17">
        <f t="shared" si="1"/>
        <v>190598.28646346187</v>
      </c>
      <c r="I6" s="17">
        <f t="shared" si="2"/>
        <v>2068401.7135365382</v>
      </c>
    </row>
    <row r="7" spans="1:9" ht="15.75" customHeight="1" x14ac:dyDescent="0.25">
      <c r="A7" s="5">
        <f t="shared" si="3"/>
        <v>2029</v>
      </c>
      <c r="B7" s="49">
        <v>163431.83199999999</v>
      </c>
      <c r="C7" s="50">
        <v>312000</v>
      </c>
      <c r="D7" s="50">
        <v>735000</v>
      </c>
      <c r="E7" s="50">
        <v>707000</v>
      </c>
      <c r="F7" s="50">
        <v>554000</v>
      </c>
      <c r="G7" s="17">
        <f t="shared" si="0"/>
        <v>2308000</v>
      </c>
      <c r="H7" s="17">
        <f t="shared" si="1"/>
        <v>191642.98052584205</v>
      </c>
      <c r="I7" s="17">
        <f t="shared" si="2"/>
        <v>2116357.0194741581</v>
      </c>
    </row>
    <row r="8" spans="1:9" ht="15.75" customHeight="1" x14ac:dyDescent="0.25">
      <c r="A8" s="5">
        <f t="shared" si="3"/>
        <v>2030</v>
      </c>
      <c r="B8" s="49">
        <v>164230.60500000001</v>
      </c>
      <c r="C8" s="50">
        <v>318000</v>
      </c>
      <c r="D8" s="50">
        <v>746000</v>
      </c>
      <c r="E8" s="50">
        <v>726000</v>
      </c>
      <c r="F8" s="50">
        <v>563000</v>
      </c>
      <c r="G8" s="17">
        <f t="shared" si="0"/>
        <v>2353000</v>
      </c>
      <c r="H8" s="17">
        <f t="shared" si="1"/>
        <v>192579.63550064262</v>
      </c>
      <c r="I8" s="17">
        <f t="shared" si="2"/>
        <v>2160420.3644993575</v>
      </c>
    </row>
    <row r="9" spans="1:9" ht="15.75" customHeight="1" x14ac:dyDescent="0.25">
      <c r="A9" s="5">
        <f t="shared" si="3"/>
        <v>2031</v>
      </c>
      <c r="B9" s="49">
        <v>165101.19399999999</v>
      </c>
      <c r="C9" s="50">
        <v>323714.28571428568</v>
      </c>
      <c r="D9" s="50">
        <v>755714.28571428568</v>
      </c>
      <c r="E9" s="50">
        <v>740428.57142857148</v>
      </c>
      <c r="F9" s="50">
        <v>571857.14285714284</v>
      </c>
      <c r="G9" s="17">
        <f t="shared" si="0"/>
        <v>2391714.2857142854</v>
      </c>
      <c r="H9" s="17">
        <f t="shared" si="1"/>
        <v>193600.50315372631</v>
      </c>
      <c r="I9" s="17">
        <f t="shared" si="2"/>
        <v>2198113.782560559</v>
      </c>
    </row>
    <row r="10" spans="1:9" ht="15.75" customHeight="1" x14ac:dyDescent="0.25">
      <c r="A10" s="5">
        <f t="shared" si="3"/>
        <v>2032</v>
      </c>
      <c r="B10" s="49">
        <v>165937.7985714286</v>
      </c>
      <c r="C10" s="50">
        <v>329387.75510204083</v>
      </c>
      <c r="D10" s="50">
        <v>765387.75510204083</v>
      </c>
      <c r="E10" s="50">
        <v>754918.36734693882</v>
      </c>
      <c r="F10" s="50">
        <v>580408.16326530615</v>
      </c>
      <c r="G10" s="17">
        <f t="shared" si="0"/>
        <v>2430102.0408163266</v>
      </c>
      <c r="H10" s="17">
        <f t="shared" si="1"/>
        <v>194581.52008064988</v>
      </c>
      <c r="I10" s="17">
        <f t="shared" si="2"/>
        <v>2235520.5207356769</v>
      </c>
    </row>
    <row r="11" spans="1:9" ht="15.75" customHeight="1" x14ac:dyDescent="0.25">
      <c r="A11" s="5">
        <f t="shared" si="3"/>
        <v>2033</v>
      </c>
      <c r="B11" s="49">
        <v>166724.1765102041</v>
      </c>
      <c r="C11" s="50">
        <v>334871.72011661809</v>
      </c>
      <c r="D11" s="50">
        <v>775014.57725947525</v>
      </c>
      <c r="E11" s="50">
        <v>769192.41982507298</v>
      </c>
      <c r="F11" s="50">
        <v>588466.47230320703</v>
      </c>
      <c r="G11" s="17">
        <f t="shared" si="0"/>
        <v>2467545.1895043734</v>
      </c>
      <c r="H11" s="17">
        <f t="shared" si="1"/>
        <v>195503.6403932136</v>
      </c>
      <c r="I11" s="17">
        <f t="shared" si="2"/>
        <v>2272041.5491111595</v>
      </c>
    </row>
    <row r="12" spans="1:9" ht="15.75" customHeight="1" x14ac:dyDescent="0.25">
      <c r="A12" s="5">
        <f t="shared" si="3"/>
        <v>2034</v>
      </c>
      <c r="B12" s="49">
        <v>167465.88172594761</v>
      </c>
      <c r="C12" s="50">
        <v>340139.10870470642</v>
      </c>
      <c r="D12" s="50">
        <v>784302.37401082891</v>
      </c>
      <c r="E12" s="50">
        <v>783219.90837151196</v>
      </c>
      <c r="F12" s="50">
        <v>596247.39691795094</v>
      </c>
      <c r="G12" s="17">
        <f t="shared" si="0"/>
        <v>2503908.7880049981</v>
      </c>
      <c r="H12" s="17">
        <f t="shared" si="1"/>
        <v>196373.3767014785</v>
      </c>
      <c r="I12" s="17">
        <f t="shared" si="2"/>
        <v>2307535.4113035197</v>
      </c>
    </row>
    <row r="13" spans="1:9" ht="15.75" customHeight="1" x14ac:dyDescent="0.25">
      <c r="A13" s="5">
        <f t="shared" si="3"/>
        <v>2035</v>
      </c>
      <c r="B13" s="49">
        <v>168169.44711536859</v>
      </c>
      <c r="C13" s="50">
        <v>345158.98137680732</v>
      </c>
      <c r="D13" s="50">
        <v>793202.71315523307</v>
      </c>
      <c r="E13" s="50">
        <v>796679.89528172801</v>
      </c>
      <c r="F13" s="50">
        <v>603854.16790622962</v>
      </c>
      <c r="G13" s="17">
        <f t="shared" si="0"/>
        <v>2538895.7577199982</v>
      </c>
      <c r="H13" s="17">
        <f t="shared" si="1"/>
        <v>197198.38959262363</v>
      </c>
      <c r="I13" s="17">
        <f t="shared" si="2"/>
        <v>2341697.3681273744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9.7885537882349993E-2</v>
      </c>
      <c r="C2" s="98">
        <v>0.95</v>
      </c>
      <c r="D2" s="56">
        <v>50.371303540921957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39.708482859157797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294.34045337363011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1.2222293097752139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12.84078230295372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12.84078230295372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12.84078230295372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12.84078230295372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12.84078230295372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12.84078230295372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0.2156382059286</v>
      </c>
      <c r="C16" s="98">
        <v>0.95</v>
      </c>
      <c r="D16" s="56">
        <v>0.54754810284906963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6.8217383658846993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6.8217383658846993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0.35662080000000002</v>
      </c>
      <c r="C21" s="98">
        <v>0.95</v>
      </c>
      <c r="D21" s="56">
        <v>12.15441108429366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22.06922301210663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1.1231400000000001E-2</v>
      </c>
      <c r="C23" s="98">
        <v>0.95</v>
      </c>
      <c r="D23" s="56">
        <v>4.1722144491998137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0.49314968078089999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0.12550432979459999</v>
      </c>
      <c r="C27" s="98">
        <v>0.95</v>
      </c>
      <c r="D27" s="56">
        <v>18.399477267230779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0.37447279999999999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96.169549000750962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0.34386987590081408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0.46563719999999997</v>
      </c>
      <c r="C32" s="98">
        <v>0.95</v>
      </c>
      <c r="D32" s="56">
        <v>1.1580402463781181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0.70528819999999992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0.1247952</v>
      </c>
      <c r="C38" s="98">
        <v>0.95</v>
      </c>
      <c r="D38" s="56">
        <v>3.7067724725609019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0.1497243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0.84608280744959208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2024-03-28T03:04:31Z</dcterms:modified>
</cp:coreProperties>
</file>