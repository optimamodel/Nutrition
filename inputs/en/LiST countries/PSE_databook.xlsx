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6AE285F-19E1-45BB-B2E2-F06283E7557C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<sst xmlns="http://schemas.openxmlformats.org/spreadsheetml/2006/main" count="2102" uniqueCount="341">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</sst>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30416861</v>
      </c>
    </row>
    <row r="8" spans="1:3" ht="15" customHeight="1" x14ac:dyDescent="0.25">
      <c r="B8" s="5" t="s">
        <v>8</v>
      </c>
      <c r="C8" s="44">
        <v>3.9E-2</v>
      </c>
    </row>
    <row r="9" spans="1:3" ht="15" customHeight="1" x14ac:dyDescent="0.25">
      <c r="B9" s="5" t="s">
        <v>9</v>
      </c>
      <c r="C9" s="45">
        <v>2.1600000000000001E-2</v>
      </c>
    </row>
    <row r="10" spans="1:3" ht="15" customHeight="1" x14ac:dyDescent="0.25">
      <c r="B10" s="5" t="s">
        <v>10</v>
      </c>
      <c r="C10" s="45">
        <v>0.89200000000000002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8.3599999999999994E-2</v>
      </c>
    </row>
    <row r="24" spans="1:3" ht="15" customHeight="1" x14ac:dyDescent="0.25">
      <c r="B24" s="15" t="s">
        <v>22</v>
      </c>
      <c r="C24" s="45">
        <v>0.50800000000000001</v>
      </c>
    </row>
    <row r="25" spans="1:3" ht="15" customHeight="1" x14ac:dyDescent="0.25">
      <c r="B25" s="15" t="s">
        <v>23</v>
      </c>
      <c r="C25" s="45">
        <v>0.35120000000000012</v>
      </c>
    </row>
    <row r="26" spans="1:3" ht="15" customHeight="1" x14ac:dyDescent="0.25">
      <c r="B26" s="15" t="s">
        <v>24</v>
      </c>
      <c r="C26" s="45">
        <v>5.7200000000000001E-2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0.24354971332209699</v>
      </c>
    </row>
    <row r="30" spans="1:3" ht="14.25" customHeight="1" x14ac:dyDescent="0.25">
      <c r="B30" s="25" t="s">
        <v>27</v>
      </c>
      <c r="C30" s="99">
        <v>0.13757511584770599</v>
      </c>
    </row>
    <row r="31" spans="1:3" ht="14.25" customHeight="1" x14ac:dyDescent="0.25">
      <c r="B31" s="25" t="s">
        <v>28</v>
      </c>
      <c r="C31" s="99">
        <v>0.13914799772598499</v>
      </c>
    </row>
    <row r="32" spans="1:3" ht="14.25" customHeight="1" x14ac:dyDescent="0.25">
      <c r="B32" s="25" t="s">
        <v>29</v>
      </c>
      <c r="C32" s="99">
        <v>0.47972717310421198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39.443519999999999</v>
      </c>
    </row>
    <row r="38" spans="1:5" ht="15" customHeight="1" x14ac:dyDescent="0.25">
      <c r="B38" s="11" t="s">
        <v>34</v>
      </c>
      <c r="C38" s="43">
        <v>52.780679999999997</v>
      </c>
      <c r="D38" s="12"/>
      <c r="E38" s="13"/>
    </row>
    <row r="39" spans="1:5" ht="15" customHeight="1" x14ac:dyDescent="0.25">
      <c r="B39" s="11" t="s">
        <v>35</v>
      </c>
      <c r="C39" s="43">
        <v>63.332549999999998</v>
      </c>
      <c r="D39" s="12"/>
      <c r="E39" s="12"/>
    </row>
    <row r="40" spans="1:5" ht="15" customHeight="1" x14ac:dyDescent="0.25">
      <c r="B40" s="11" t="s">
        <v>36</v>
      </c>
      <c r="C40" s="100">
        <v>1.54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2.2391600000000001E-2</v>
      </c>
      <c r="D45" s="12"/>
    </row>
    <row r="46" spans="1:5" ht="15.75" customHeight="1" x14ac:dyDescent="0.25">
      <c r="B46" s="11" t="s">
        <v>41</v>
      </c>
      <c r="C46" s="45">
        <v>0.12125619999999999</v>
      </c>
      <c r="D46" s="12"/>
    </row>
    <row r="47" spans="1:5" ht="15.75" customHeight="1" x14ac:dyDescent="0.25">
      <c r="B47" s="11" t="s">
        <v>42</v>
      </c>
      <c r="C47" s="45">
        <v>0.39803450000000001</v>
      </c>
      <c r="D47" s="12"/>
      <c r="E47" s="13"/>
    </row>
    <row r="48" spans="1:5" ht="15" customHeight="1" x14ac:dyDescent="0.25">
      <c r="B48" s="11" t="s">
        <v>43</v>
      </c>
      <c r="C48" s="46">
        <v>0.45831769999999999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0.43655699999999997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147537</v>
      </c>
      <c r="C2" s="49">
        <v>348597.00000000012</v>
      </c>
      <c r="D2" s="49">
        <v>479371.5</v>
      </c>
      <c r="E2" s="49">
        <v>379314</v>
      </c>
      <c r="F2" s="49">
        <v>218394</v>
      </c>
      <c r="G2" s="17">
        <f t="shared" ref="G2:G13" si="0">C2+D2+E2+F2</f>
        <v>1425676.5</v>
      </c>
      <c r="H2" s="17">
        <f t="shared" ref="H2:H13" si="1">(B2 + stillbirth*B2/(1000-stillbirth))/(1-abortion)</f>
        <v>173004.42681105822</v>
      </c>
      <c r="I2" s="17">
        <f t="shared" ref="I2:I13" si="2">G2-H2</f>
        <v>1252672.0731889417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148529</v>
      </c>
      <c r="C3" s="50">
        <v>357605.49999999988</v>
      </c>
      <c r="D3" s="50">
        <v>488191.5</v>
      </c>
      <c r="E3" s="50">
        <v>391871</v>
      </c>
      <c r="F3" s="50">
        <v>227253.5</v>
      </c>
      <c r="G3" s="17">
        <f t="shared" si="0"/>
        <v>1464921.5</v>
      </c>
      <c r="H3" s="17">
        <f t="shared" si="1"/>
        <v>174167.66309345904</v>
      </c>
      <c r="I3" s="17">
        <f t="shared" si="2"/>
        <v>1290753.8369065409</v>
      </c>
    </row>
    <row r="4" spans="1:9" ht="15.75" customHeight="1" x14ac:dyDescent="0.25">
      <c r="A4" s="5">
        <f t="shared" si="3"/>
        <v>2026</v>
      </c>
      <c r="B4" s="49">
        <v>149180</v>
      </c>
      <c r="C4" s="50">
        <v>366142.5</v>
      </c>
      <c r="D4" s="50">
        <v>498086</v>
      </c>
      <c r="E4" s="50">
        <v>403444.5</v>
      </c>
      <c r="F4" s="50">
        <v>236494</v>
      </c>
      <c r="G4" s="17">
        <f t="shared" si="0"/>
        <v>1504167</v>
      </c>
      <c r="H4" s="17">
        <f t="shared" si="1"/>
        <v>174931.03690378458</v>
      </c>
      <c r="I4" s="17">
        <f t="shared" si="2"/>
        <v>1329235.9630962154</v>
      </c>
    </row>
    <row r="5" spans="1:9" ht="15.75" customHeight="1" x14ac:dyDescent="0.25">
      <c r="A5" s="5">
        <f t="shared" si="3"/>
        <v>2027</v>
      </c>
      <c r="B5" s="49">
        <v>150745</v>
      </c>
      <c r="C5" s="50">
        <v>374461</v>
      </c>
      <c r="D5" s="50">
        <v>508810</v>
      </c>
      <c r="E5" s="50">
        <v>413758</v>
      </c>
      <c r="F5" s="50">
        <v>246139</v>
      </c>
      <c r="G5" s="17">
        <f t="shared" si="0"/>
        <v>1543168</v>
      </c>
      <c r="H5" s="17">
        <f t="shared" si="1"/>
        <v>176766.18285333828</v>
      </c>
      <c r="I5" s="17">
        <f t="shared" si="2"/>
        <v>1366401.8171466617</v>
      </c>
    </row>
    <row r="6" spans="1:9" ht="15.75" customHeight="1" x14ac:dyDescent="0.25">
      <c r="A6" s="5">
        <f t="shared" si="3"/>
        <v>2028</v>
      </c>
      <c r="B6" s="49">
        <v>151802</v>
      </c>
      <c r="C6" s="50">
        <v>382734.00000000012</v>
      </c>
      <c r="D6" s="50">
        <v>520209</v>
      </c>
      <c r="E6" s="50">
        <v>423109</v>
      </c>
      <c r="F6" s="50">
        <v>256364</v>
      </c>
      <c r="G6" s="17">
        <f t="shared" si="0"/>
        <v>1582416</v>
      </c>
      <c r="H6" s="17">
        <f t="shared" si="1"/>
        <v>178005.63925504961</v>
      </c>
      <c r="I6" s="17">
        <f t="shared" si="2"/>
        <v>1404410.3607449504</v>
      </c>
    </row>
    <row r="7" spans="1:9" ht="15.75" customHeight="1" x14ac:dyDescent="0.25">
      <c r="A7" s="5">
        <f t="shared" si="3"/>
        <v>2029</v>
      </c>
      <c r="B7" s="49">
        <v>152525</v>
      </c>
      <c r="C7" s="50">
        <v>391153.5</v>
      </c>
      <c r="D7" s="50">
        <v>532388.5</v>
      </c>
      <c r="E7" s="50">
        <v>431802.5</v>
      </c>
      <c r="F7" s="50">
        <v>267182.5</v>
      </c>
      <c r="G7" s="17">
        <f t="shared" si="0"/>
        <v>1622527</v>
      </c>
      <c r="H7" s="17">
        <f t="shared" si="1"/>
        <v>178853.44150522683</v>
      </c>
      <c r="I7" s="17">
        <f t="shared" si="2"/>
        <v>1443673.5584947732</v>
      </c>
    </row>
    <row r="8" spans="1:9" ht="15.75" customHeight="1" x14ac:dyDescent="0.25">
      <c r="A8" s="5">
        <f t="shared" si="3"/>
        <v>2030</v>
      </c>
      <c r="B8" s="49">
        <v>153811</v>
      </c>
      <c r="C8" s="50">
        <v>398525</v>
      </c>
      <c r="D8" s="50">
        <v>545781.5</v>
      </c>
      <c r="E8" s="50">
        <v>439693.5</v>
      </c>
      <c r="F8" s="50">
        <v>278566.5</v>
      </c>
      <c r="G8" s="17">
        <f t="shared" si="0"/>
        <v>1662566.5</v>
      </c>
      <c r="H8" s="17">
        <f t="shared" si="1"/>
        <v>180361.42725035534</v>
      </c>
      <c r="I8" s="17">
        <f t="shared" si="2"/>
        <v>1482205.0727496448</v>
      </c>
    </row>
    <row r="9" spans="1:9" ht="15.75" customHeight="1" x14ac:dyDescent="0.25">
      <c r="A9" s="5">
        <f t="shared" si="3"/>
        <v>2031</v>
      </c>
      <c r="B9" s="49">
        <v>154824</v>
      </c>
      <c r="C9" s="50">
        <v>403877</v>
      </c>
      <c r="D9" s="50">
        <v>559878.5</v>
      </c>
      <c r="E9" s="50">
        <v>446997.5</v>
      </c>
      <c r="F9" s="50">
        <v>290555</v>
      </c>
      <c r="G9" s="17">
        <f t="shared" si="0"/>
        <v>1701308</v>
      </c>
      <c r="H9" s="17">
        <f t="shared" si="1"/>
        <v>181549.28849437955</v>
      </c>
      <c r="I9" s="17">
        <f t="shared" si="2"/>
        <v>1519758.7115056205</v>
      </c>
    </row>
    <row r="10" spans="1:9" ht="15.75" customHeight="1" x14ac:dyDescent="0.25">
      <c r="A10" s="5">
        <f t="shared" si="3"/>
        <v>2032</v>
      </c>
      <c r="B10" s="49">
        <v>155906</v>
      </c>
      <c r="C10" s="50">
        <v>407999.99999999988</v>
      </c>
      <c r="D10" s="50">
        <v>573595.5</v>
      </c>
      <c r="E10" s="50">
        <v>454100.5</v>
      </c>
      <c r="F10" s="50">
        <v>303039.5</v>
      </c>
      <c r="G10" s="17">
        <f t="shared" si="0"/>
        <v>1738735.5</v>
      </c>
      <c r="H10" s="17">
        <f t="shared" si="1"/>
        <v>182818.06032659495</v>
      </c>
      <c r="I10" s="17">
        <f t="shared" si="2"/>
        <v>1555917.4396734051</v>
      </c>
    </row>
    <row r="11" spans="1:9" ht="15.75" customHeight="1" x14ac:dyDescent="0.25">
      <c r="A11" s="5">
        <f t="shared" si="3"/>
        <v>2033</v>
      </c>
      <c r="B11" s="49">
        <v>157184</v>
      </c>
      <c r="C11" s="50">
        <v>411270.5</v>
      </c>
      <c r="D11" s="50">
        <v>587039</v>
      </c>
      <c r="E11" s="50">
        <v>461179.5</v>
      </c>
      <c r="F11" s="50">
        <v>315820</v>
      </c>
      <c r="G11" s="17">
        <f t="shared" si="0"/>
        <v>1775309</v>
      </c>
      <c r="H11" s="17">
        <f t="shared" si="1"/>
        <v>184316.66513396215</v>
      </c>
      <c r="I11" s="17">
        <f t="shared" si="2"/>
        <v>1590992.3348660378</v>
      </c>
    </row>
    <row r="12" spans="1:9" ht="15.75" customHeight="1" x14ac:dyDescent="0.25">
      <c r="A12" s="5">
        <f t="shared" si="3"/>
        <v>2034</v>
      </c>
      <c r="B12" s="49">
        <v>158273</v>
      </c>
      <c r="C12" s="50">
        <v>413457.99999999988</v>
      </c>
      <c r="D12" s="50">
        <v>600417.5</v>
      </c>
      <c r="E12" s="50">
        <v>468852.5</v>
      </c>
      <c r="F12" s="50">
        <v>328448</v>
      </c>
      <c r="G12" s="17">
        <f t="shared" si="0"/>
        <v>1811176</v>
      </c>
      <c r="H12" s="17">
        <f t="shared" si="1"/>
        <v>185593.6452867187</v>
      </c>
      <c r="I12" s="17">
        <f t="shared" si="2"/>
        <v>1625582.3547132814</v>
      </c>
    </row>
    <row r="13" spans="1:9" ht="15.75" customHeight="1" x14ac:dyDescent="0.25">
      <c r="A13" s="5">
        <f t="shared" si="3"/>
        <v>2035</v>
      </c>
      <c r="B13" s="49">
        <v>159827</v>
      </c>
      <c r="C13" s="50">
        <v>413984.00000000012</v>
      </c>
      <c r="D13" s="50">
        <v>614031</v>
      </c>
      <c r="E13" s="50">
        <v>477666.5</v>
      </c>
      <c r="F13" s="50">
        <v>340488.5</v>
      </c>
      <c r="G13" s="17">
        <f t="shared" si="0"/>
        <v>1846170</v>
      </c>
      <c r="H13" s="17">
        <f t="shared" si="1"/>
        <v>187415.89244685063</v>
      </c>
      <c r="I13" s="17">
        <f t="shared" si="2"/>
        <v>1658754.1075531493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1.944252351986717E-2</v>
      </c>
    </row>
    <row r="4" spans="1:8" ht="15.75" customHeight="1" x14ac:dyDescent="0.25">
      <c r="B4" s="19" t="s">
        <v>69</v>
      </c>
      <c r="C4" s="101">
        <v>7.3235278675737148E-2</v>
      </c>
    </row>
    <row r="5" spans="1:8" ht="15.75" customHeight="1" x14ac:dyDescent="0.25">
      <c r="B5" s="19" t="s">
        <v>70</v>
      </c>
      <c r="C5" s="101">
        <v>6.0525674969561093E-2</v>
      </c>
    </row>
    <row r="6" spans="1:8" ht="15.75" customHeight="1" x14ac:dyDescent="0.25">
      <c r="B6" s="19" t="s">
        <v>71</v>
      </c>
      <c r="C6" s="101">
        <v>0.3183471214882706</v>
      </c>
    </row>
    <row r="7" spans="1:8" ht="15.75" customHeight="1" x14ac:dyDescent="0.25">
      <c r="B7" s="19" t="s">
        <v>72</v>
      </c>
      <c r="C7" s="101">
        <v>0.3406088789217484</v>
      </c>
    </row>
    <row r="8" spans="1:8" ht="15.75" customHeight="1" x14ac:dyDescent="0.25">
      <c r="B8" s="19" t="s">
        <v>73</v>
      </c>
      <c r="C8" s="101">
        <v>2.8573357234468609E-3</v>
      </c>
    </row>
    <row r="9" spans="1:8" ht="15.75" customHeight="1" x14ac:dyDescent="0.25">
      <c r="B9" s="19" t="s">
        <v>74</v>
      </c>
      <c r="C9" s="101">
        <v>9.1026223745628063E-2</v>
      </c>
    </row>
    <row r="10" spans="1:8" ht="15.75" customHeight="1" x14ac:dyDescent="0.25">
      <c r="B10" s="19" t="s">
        <v>75</v>
      </c>
      <c r="C10" s="101">
        <v>9.3956962955740589E-2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82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83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84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85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86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87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88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89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5.2819977999999997E-2</v>
      </c>
    </row>
    <row r="27" spans="1:8" ht="15.75" customHeight="1" x14ac:dyDescent="0.25">
      <c r="B27" s="19" t="s">
        <v>92</v>
      </c>
      <c r="C27" s="101">
        <v>7.1861679999999997E-3</v>
      </c>
    </row>
    <row r="28" spans="1:8" ht="15.75" customHeight="1" x14ac:dyDescent="0.25">
      <c r="B28" s="19" t="s">
        <v>93</v>
      </c>
      <c r="C28" s="101">
        <v>0.250016285</v>
      </c>
    </row>
    <row r="29" spans="1:8" ht="15.75" customHeight="1" x14ac:dyDescent="0.25">
      <c r="B29" s="19" t="s">
        <v>94</v>
      </c>
      <c r="C29" s="101">
        <v>9.3256678999999995E-2</v>
      </c>
    </row>
    <row r="30" spans="1:8" ht="15.75" customHeight="1" x14ac:dyDescent="0.25">
      <c r="B30" s="19" t="s">
        <v>95</v>
      </c>
      <c r="C30" s="101">
        <v>0.12997281799999999</v>
      </c>
    </row>
    <row r="31" spans="1:8" ht="15.75" customHeight="1" x14ac:dyDescent="0.25">
      <c r="B31" s="19" t="s">
        <v>96</v>
      </c>
      <c r="C31" s="101">
        <v>6.0292912999999997E-2</v>
      </c>
    </row>
    <row r="32" spans="1:8" ht="15.75" customHeight="1" x14ac:dyDescent="0.25">
      <c r="B32" s="19" t="s">
        <v>97</v>
      </c>
      <c r="C32" s="101">
        <v>6.2887368999999999E-2</v>
      </c>
    </row>
    <row r="33" spans="2:3" ht="15.75" customHeight="1" x14ac:dyDescent="0.25">
      <c r="B33" s="19" t="s">
        <v>98</v>
      </c>
      <c r="C33" s="101">
        <v>0.164273895</v>
      </c>
    </row>
    <row r="34" spans="2:3" ht="15.75" customHeight="1" x14ac:dyDescent="0.25">
      <c r="B34" s="19" t="s">
        <v>99</v>
      </c>
      <c r="C34" s="101">
        <v>0.17929389600000001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104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105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109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110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0.38510173949999998</v>
      </c>
      <c r="D14" s="54">
        <v>0.38329127910900002</v>
      </c>
      <c r="E14" s="54">
        <v>0.38329127910900002</v>
      </c>
      <c r="F14" s="54">
        <v>0.26921571210599998</v>
      </c>
      <c r="G14" s="54">
        <v>0.26921571210599998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0.16811886009090149</v>
      </c>
      <c r="D15" s="52">
        <f t="shared" si="0"/>
        <v>0.16732849093398772</v>
      </c>
      <c r="E15" s="52">
        <f t="shared" si="0"/>
        <v>0.16732849093398772</v>
      </c>
      <c r="F15" s="52">
        <f t="shared" si="0"/>
        <v>0.11752800362985903</v>
      </c>
      <c r="G15" s="52">
        <f t="shared" si="0"/>
        <v>0.11752800362985903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122</v>
      </c>
      <c r="C5" s="52">
        <v>3.9772000000000002E-2</v>
      </c>
      <c r="D5" s="52">
        <v>7.5788599999999998E-2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50.371303540921957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0.2156382059286</v>
      </c>
      <c r="C3" s="98">
        <v>0.95</v>
      </c>
      <c r="D3" s="56">
        <v>39.708482859157797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294.34045337363011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1.2966630747405239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0.29442049999999997</v>
      </c>
      <c r="C10" s="98">
        <v>0.95</v>
      </c>
      <c r="D10" s="56">
        <v>12.84078230295372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0.29442049999999997</v>
      </c>
      <c r="C11" s="98">
        <v>0.95</v>
      </c>
      <c r="D11" s="56">
        <v>12.84078230295372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0.29442049999999997</v>
      </c>
      <c r="C12" s="98">
        <v>0.95</v>
      </c>
      <c r="D12" s="56">
        <v>12.84078230295372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0.29442049999999997</v>
      </c>
      <c r="C13" s="98">
        <v>0.95</v>
      </c>
      <c r="D13" s="56">
        <v>12.84078230295372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0.29442049999999997</v>
      </c>
      <c r="C14" s="98">
        <v>0.95</v>
      </c>
      <c r="D14" s="56">
        <v>12.84078230295372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0.29442049999999997</v>
      </c>
      <c r="C15" s="98">
        <v>0.95</v>
      </c>
      <c r="D15" s="56">
        <v>12.84078230295372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0.86</v>
      </c>
      <c r="C16" s="98">
        <v>0.95</v>
      </c>
      <c r="D16" s="56">
        <v>0.54754810284906963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8.2988410261900014E-2</v>
      </c>
      <c r="C18" s="98">
        <v>0.95</v>
      </c>
      <c r="D18" s="56">
        <v>6.8217383658846993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0.70528819999999992</v>
      </c>
      <c r="C19" s="98">
        <v>0.95</v>
      </c>
      <c r="D19" s="56">
        <v>6.8217383658846993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0.25330259999999999</v>
      </c>
      <c r="C21" s="98">
        <v>0.95</v>
      </c>
      <c r="D21" s="56">
        <v>12.15441108429366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22.06922301210663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4.1722144491998137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0.62885881104280006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0.29442049999999997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18.399477267230779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0.49314968078089999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96.169549000750962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0.92</v>
      </c>
      <c r="C31" s="98">
        <v>0.95</v>
      </c>
      <c r="D31" s="56">
        <v>0.34386987590081408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1.1580402463781181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0.1497243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0.37447279999999999</v>
      </c>
      <c r="C38" s="98">
        <v>0.95</v>
      </c>
      <c r="D38" s="56">
        <v>3.7067724725609019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205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3.9E-2</v>
      </c>
      <c r="E2" s="60">
        <f>food_insecure</f>
        <v>3.9E-2</v>
      </c>
      <c r="F2" s="60">
        <f>food_insecure</f>
        <v>3.9E-2</v>
      </c>
      <c r="G2" s="60">
        <f>food_insecure</f>
        <v>3.9E-2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3.9E-2</v>
      </c>
      <c r="I15" s="60">
        <f>food_insecure</f>
        <v>3.9E-2</v>
      </c>
      <c r="J15" s="60">
        <f>food_insecure</f>
        <v>3.9E-2</v>
      </c>
      <c r="K15" s="60">
        <f>food_insecure</f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</v>
      </c>
      <c r="M24" s="60">
        <f>famplan_unmet_need</f>
        <v>0.1</v>
      </c>
      <c r="N24" s="60">
        <f>famplan_unmet_need</f>
        <v>0.1</v>
      </c>
      <c r="O24" s="60">
        <f>famplan_unmet_need</f>
        <v>0.1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5.3804519999999988E-2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2.3059079999999996E-2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3.1136399999999995E-2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0.89200000000000002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2.1600000000000001E-2</v>
      </c>
      <c r="D34" s="60">
        <f t="shared" si="3"/>
        <v>2.1600000000000001E-2</v>
      </c>
      <c r="E34" s="60">
        <f t="shared" si="3"/>
        <v>2.1600000000000001E-2</v>
      </c>
      <c r="F34" s="60">
        <f t="shared" si="3"/>
        <v>2.1600000000000001E-2</v>
      </c>
      <c r="G34" s="60">
        <f t="shared" si="3"/>
        <v>2.1600000000000001E-2</v>
      </c>
      <c r="H34" s="60">
        <f t="shared" si="3"/>
        <v>2.1600000000000001E-2</v>
      </c>
      <c r="I34" s="60">
        <f t="shared" si="3"/>
        <v>2.1600000000000001E-2</v>
      </c>
      <c r="J34" s="60">
        <f t="shared" si="3"/>
        <v>2.1600000000000001E-2</v>
      </c>
      <c r="K34" s="60">
        <f t="shared" si="3"/>
        <v>2.1600000000000001E-2</v>
      </c>
      <c r="L34" s="60">
        <f t="shared" si="3"/>
        <v>2.1600000000000001E-2</v>
      </c>
      <c r="M34" s="60">
        <f t="shared" si="3"/>
        <v>2.1600000000000001E-2</v>
      </c>
      <c r="N34" s="60">
        <f t="shared" si="3"/>
        <v>2.1600000000000001E-2</v>
      </c>
      <c r="O34" s="60">
        <f t="shared" si="3"/>
        <v>2.1600000000000001E-2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2024-05-09T01:46:44Z</dcterms:modified>
</cp:coreProperties>
</file>