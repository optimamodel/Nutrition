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B6CC133-C0F9-4EC1-90E4-BFF0D39DB44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5" i="2"/>
  <c r="A26" i="2"/>
  <c r="A24" i="2"/>
  <c r="A19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4" i="2" l="1"/>
  <c r="I8" i="2"/>
  <c r="I12" i="2"/>
  <c r="A25" i="2"/>
  <c r="I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<sst xmlns="http://schemas.openxmlformats.org/spreadsheetml/2006/main" count="2159" uniqueCount="372">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</sst>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814442</v>
      </c>
    </row>
    <row r="8" spans="1:3" ht="15" customHeight="1" x14ac:dyDescent="0.25">
      <c r="B8" s="5" t="s">
        <v>8</v>
      </c>
      <c r="C8" s="44">
        <v>0.26300000000000001</v>
      </c>
    </row>
    <row r="9" spans="1:3" ht="15" customHeight="1" x14ac:dyDescent="0.25">
      <c r="B9" s="5" t="s">
        <v>9</v>
      </c>
      <c r="C9" s="45">
        <v>0.41</v>
      </c>
    </row>
    <row r="10" spans="1:3" ht="15" customHeight="1" x14ac:dyDescent="0.25">
      <c r="B10" s="5" t="s">
        <v>10</v>
      </c>
      <c r="C10" s="45">
        <v>0.22715460000000001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8.6800000000000002E-2</v>
      </c>
    </row>
    <row r="24" spans="1:3" ht="15" customHeight="1" x14ac:dyDescent="0.25">
      <c r="B24" s="15" t="s">
        <v>22</v>
      </c>
      <c r="C24" s="45">
        <v>0.40960000000000002</v>
      </c>
    </row>
    <row r="25" spans="1:3" ht="15" customHeight="1" x14ac:dyDescent="0.25">
      <c r="B25" s="15" t="s">
        <v>23</v>
      </c>
      <c r="C25" s="45">
        <v>0.3861</v>
      </c>
    </row>
    <row r="26" spans="1:3" ht="15" customHeight="1" x14ac:dyDescent="0.25">
      <c r="B26" s="15" t="s">
        <v>24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0.19753817858252901</v>
      </c>
    </row>
    <row r="30" spans="1:3" ht="14.25" customHeight="1" x14ac:dyDescent="0.25">
      <c r="B30" s="25" t="s">
        <v>27</v>
      </c>
      <c r="C30" s="99">
        <v>8.0206442932605593E-2</v>
      </c>
    </row>
    <row r="31" spans="1:3" ht="14.25" customHeight="1" x14ac:dyDescent="0.25">
      <c r="B31" s="25" t="s">
        <v>28</v>
      </c>
      <c r="C31" s="99">
        <v>0.11863998378949001</v>
      </c>
    </row>
    <row r="32" spans="1:3" ht="14.25" customHeight="1" x14ac:dyDescent="0.25">
      <c r="B32" s="25" t="s">
        <v>29</v>
      </c>
      <c r="C32" s="99">
        <v>0.60361539469537495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22.61336</v>
      </c>
    </row>
    <row r="38" spans="1:5" ht="15" customHeight="1" x14ac:dyDescent="0.25">
      <c r="B38" s="11" t="s">
        <v>34</v>
      </c>
      <c r="C38" s="43">
        <v>32.205010000000001</v>
      </c>
      <c r="D38" s="12"/>
      <c r="E38" s="13"/>
    </row>
    <row r="39" spans="1:5" ht="15" customHeight="1" x14ac:dyDescent="0.25">
      <c r="B39" s="11" t="s">
        <v>35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100">
        <v>4.6399999999999997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7.9477000000000003E-3</v>
      </c>
      <c r="D45" s="12"/>
    </row>
    <row r="46" spans="1:5" ht="15.75" customHeight="1" x14ac:dyDescent="0.25">
      <c r="B46" s="11" t="s">
        <v>41</v>
      </c>
      <c r="C46" s="45">
        <v>8.5397000000000001E-2</v>
      </c>
      <c r="D46" s="12"/>
    </row>
    <row r="47" spans="1:5" ht="15.75" customHeight="1" x14ac:dyDescent="0.25">
      <c r="B47" s="11" t="s">
        <v>42</v>
      </c>
      <c r="C47" s="45">
        <v>7.3442499999999994E-2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2.99</v>
      </c>
      <c r="D51" s="12"/>
    </row>
    <row r="52" spans="1:4" ht="15" customHeight="1" x14ac:dyDescent="0.25">
      <c r="B52" s="11" t="s">
        <v>46</v>
      </c>
      <c r="C52" s="100">
        <v>2.99</v>
      </c>
    </row>
    <row r="53" spans="1:4" ht="15.75" customHeight="1" x14ac:dyDescent="0.25">
      <c r="B53" s="11" t="s">
        <v>47</v>
      </c>
      <c r="C53" s="100">
        <v>4.68</v>
      </c>
    </row>
    <row r="54" spans="1:4" ht="15.75" customHeight="1" x14ac:dyDescent="0.25">
      <c r="B54" s="11" t="s">
        <v>48</v>
      </c>
      <c r="C54" s="100">
        <v>5.1219999999999999</v>
      </c>
    </row>
    <row r="55" spans="1:4" ht="15.75" customHeight="1" x14ac:dyDescent="0.25">
      <c r="B55" s="11" t="s">
        <v>49</v>
      </c>
      <c r="C55" s="100">
        <v>2.487333333333333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0.46489900000000001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1.7122701712270191E-2</v>
      </c>
    </row>
    <row r="4" spans="1:8" ht="15.75" customHeight="1" x14ac:dyDescent="0.25">
      <c r="B4" s="19" t="s">
        <v>69</v>
      </c>
      <c r="C4" s="101">
        <v>6.227920622792063E-2</v>
      </c>
    </row>
    <row r="5" spans="1:8" ht="15.75" customHeight="1" x14ac:dyDescent="0.25">
      <c r="B5" s="19" t="s">
        <v>70</v>
      </c>
      <c r="C5" s="101">
        <v>8.6707408670740976E-2</v>
      </c>
    </row>
    <row r="6" spans="1:8" ht="15.75" customHeight="1" x14ac:dyDescent="0.25">
      <c r="B6" s="19" t="s">
        <v>71</v>
      </c>
      <c r="C6" s="101">
        <v>0.24658692465869211</v>
      </c>
    </row>
    <row r="7" spans="1:8" ht="15.75" customHeight="1" x14ac:dyDescent="0.25">
      <c r="B7" s="19" t="s">
        <v>72</v>
      </c>
      <c r="C7" s="101">
        <v>0.412030341203034</v>
      </c>
    </row>
    <row r="8" spans="1:8" ht="15.75" customHeight="1" x14ac:dyDescent="0.25">
      <c r="B8" s="19" t="s">
        <v>73</v>
      </c>
      <c r="C8" s="101">
        <v>3.2824003282400402E-3</v>
      </c>
    </row>
    <row r="9" spans="1:8" ht="15.75" customHeight="1" x14ac:dyDescent="0.25">
      <c r="B9" s="19" t="s">
        <v>74</v>
      </c>
      <c r="C9" s="101">
        <v>6.1357306135730677E-2</v>
      </c>
    </row>
    <row r="10" spans="1:8" ht="15.75" customHeight="1" x14ac:dyDescent="0.25">
      <c r="B10" s="19" t="s">
        <v>75</v>
      </c>
      <c r="C10" s="101">
        <v>0.1106337110633713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82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83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84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85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86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87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88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89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8.8735101999999996E-2</v>
      </c>
    </row>
    <row r="27" spans="1:8" ht="15.75" customHeight="1" x14ac:dyDescent="0.25">
      <c r="B27" s="19" t="s">
        <v>92</v>
      </c>
      <c r="C27" s="101">
        <v>8.4480660000000006E-3</v>
      </c>
    </row>
    <row r="28" spans="1:8" ht="15.75" customHeight="1" x14ac:dyDescent="0.25">
      <c r="B28" s="19" t="s">
        <v>93</v>
      </c>
      <c r="C28" s="101">
        <v>0.157003631</v>
      </c>
    </row>
    <row r="29" spans="1:8" ht="15.75" customHeight="1" x14ac:dyDescent="0.25">
      <c r="B29" s="19" t="s">
        <v>94</v>
      </c>
      <c r="C29" s="101">
        <v>0.16959068199999999</v>
      </c>
    </row>
    <row r="30" spans="1:8" ht="15.75" customHeight="1" x14ac:dyDescent="0.25">
      <c r="B30" s="19" t="s">
        <v>95</v>
      </c>
      <c r="C30" s="101">
        <v>0.105430197</v>
      </c>
    </row>
    <row r="31" spans="1:8" ht="15.75" customHeight="1" x14ac:dyDescent="0.25">
      <c r="B31" s="19" t="s">
        <v>96</v>
      </c>
      <c r="C31" s="101">
        <v>0.109065357</v>
      </c>
    </row>
    <row r="32" spans="1:8" ht="15.75" customHeight="1" x14ac:dyDescent="0.25">
      <c r="B32" s="19" t="s">
        <v>97</v>
      </c>
      <c r="C32" s="101">
        <v>1.8742332E-2</v>
      </c>
    </row>
    <row r="33" spans="2:3" ht="15.75" customHeight="1" x14ac:dyDescent="0.25">
      <c r="B33" s="19" t="s">
        <v>98</v>
      </c>
      <c r="C33" s="101">
        <v>8.4799848999999997E-2</v>
      </c>
    </row>
    <row r="34" spans="2:3" ht="15.75" customHeight="1" x14ac:dyDescent="0.25">
      <c r="B34" s="19" t="s">
        <v>99</v>
      </c>
      <c r="C34" s="101">
        <v>0.25818478299999997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104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2065.1555157010598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0.38267000000000001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0.27101999999999998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1.7350021408097435E-2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92693.010259999995</v>
      </c>
      <c r="C22" s="109">
        <v>92233.628660000002</v>
      </c>
      <c r="D22" s="109">
        <v>92014.647249999995</v>
      </c>
      <c r="E22" s="109">
        <v>91645.697560000001</v>
      </c>
      <c r="F22" s="109">
        <v>91101.702470000004</v>
      </c>
      <c r="G22" s="109">
        <v>90454.406130000003</v>
      </c>
      <c r="H22" s="109">
        <v>89659.362450000001</v>
      </c>
      <c r="I22" s="109">
        <v>88662.419909999997</v>
      </c>
      <c r="J22" s="109">
        <v>87262.19038</v>
      </c>
      <c r="K22" s="109">
        <v>85330.387520000004</v>
      </c>
      <c r="L22" s="109">
        <v>82447.313829999999</v>
      </c>
      <c r="M22" s="109">
        <v>78289.754029999996</v>
      </c>
      <c r="N22" s="109">
        <v>71929.955610000005</v>
      </c>
      <c r="O22" s="109">
        <v>63292.727919999998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1.812651550310735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0.28576590000000002</v>
      </c>
      <c r="C10" s="98">
        <v>0.95</v>
      </c>
      <c r="D10" s="56">
        <v>13.555007547773389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13.555007547773389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13.555007547773389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13.555007547773389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0.28576590000000002</v>
      </c>
      <c r="C14" s="98">
        <v>0.95</v>
      </c>
      <c r="D14" s="56">
        <v>13.555007547773389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13.555007547773389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0.22889889999999999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0.17599999999999999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0.36570609999999998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0.25781209999999999</v>
      </c>
      <c r="C23" s="98">
        <v>0.95</v>
      </c>
      <c r="D23" s="56">
        <v>4.4706017011529111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0.25720438775447002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0.12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0.19483020000000001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0.1996319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0.22370000000000001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0.41752408704084698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8.6300799999999997E-2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1.0247600000000001E-2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0.61272379999999993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7.0999999999999994E-2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2.99</v>
      </c>
      <c r="C2" s="21">
        <f>'Baseline year population inputs'!C52</f>
        <v>2.99</v>
      </c>
      <c r="D2" s="21">
        <f>'Baseline year population inputs'!C53</f>
        <v>4.68</v>
      </c>
      <c r="E2" s="21">
        <f>'Baseline year population inputs'!C54</f>
        <v>5.1219999999999999</v>
      </c>
      <c r="F2" s="21">
        <f>'Baseline year population inputs'!C55</f>
        <v>2.487333333333333</v>
      </c>
    </row>
    <row r="3" spans="1:6" ht="15.75" customHeight="1" x14ac:dyDescent="0.25">
      <c r="A3" s="3" t="s">
        <v>197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198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