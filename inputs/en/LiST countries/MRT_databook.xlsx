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83782A7-29DF-48AA-B020-0D54D81010D3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32" i="2"/>
  <c r="A31" i="2"/>
  <c r="A27" i="2"/>
  <c r="A26" i="2"/>
  <c r="A24" i="2"/>
  <c r="A23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7" i="2" l="1"/>
  <c r="A25" i="2"/>
  <c r="A33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<sst xmlns="http://schemas.openxmlformats.org/spreadsheetml/2006/main" count="2101" uniqueCount="341">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</sst>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739303.15625</v>
      </c>
    </row>
    <row r="8" spans="1:3" ht="15" customHeight="1" x14ac:dyDescent="0.25">
      <c r="B8" s="5" t="s">
        <v>8</v>
      </c>
      <c r="C8" s="44">
        <v>0.06</v>
      </c>
    </row>
    <row r="9" spans="1:3" ht="15" customHeight="1" x14ac:dyDescent="0.25">
      <c r="B9" s="5" t="s">
        <v>9</v>
      </c>
      <c r="C9" s="45">
        <v>0.41</v>
      </c>
    </row>
    <row r="10" spans="1:3" ht="15" customHeight="1" x14ac:dyDescent="0.25">
      <c r="B10" s="5" t="s">
        <v>10</v>
      </c>
      <c r="C10" s="45">
        <v>0.248721008300781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8.6800000000000002E-2</v>
      </c>
    </row>
    <row r="24" spans="1:3" ht="15" customHeight="1" x14ac:dyDescent="0.25">
      <c r="B24" s="15" t="s">
        <v>22</v>
      </c>
      <c r="C24" s="45">
        <v>0.40960000000000002</v>
      </c>
    </row>
    <row r="25" spans="1:3" ht="15" customHeight="1" x14ac:dyDescent="0.25">
      <c r="B25" s="15" t="s">
        <v>23</v>
      </c>
      <c r="C25" s="45">
        <v>0.3861</v>
      </c>
    </row>
    <row r="26" spans="1:3" ht="15" customHeight="1" x14ac:dyDescent="0.25">
      <c r="B26" s="15" t="s">
        <v>24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0.19753817858252901</v>
      </c>
    </row>
    <row r="30" spans="1:3" ht="14.25" customHeight="1" x14ac:dyDescent="0.25">
      <c r="B30" s="25" t="s">
        <v>27</v>
      </c>
      <c r="C30" s="99">
        <v>8.0206442932605593E-2</v>
      </c>
    </row>
    <row r="31" spans="1:3" ht="14.25" customHeight="1" x14ac:dyDescent="0.25">
      <c r="B31" s="25" t="s">
        <v>28</v>
      </c>
      <c r="C31" s="99">
        <v>0.11863998378949001</v>
      </c>
    </row>
    <row r="32" spans="1:3" ht="14.25" customHeight="1" x14ac:dyDescent="0.25">
      <c r="B32" s="25" t="s">
        <v>29</v>
      </c>
      <c r="C32" s="99">
        <v>0.60361539469537495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22.61336</v>
      </c>
    </row>
    <row r="38" spans="1:5" ht="15" customHeight="1" x14ac:dyDescent="0.25">
      <c r="B38" s="11" t="s">
        <v>34</v>
      </c>
      <c r="C38" s="43">
        <v>32.205010000000001</v>
      </c>
      <c r="D38" s="12"/>
      <c r="E38" s="13"/>
    </row>
    <row r="39" spans="1:5" ht="15" customHeight="1" x14ac:dyDescent="0.25">
      <c r="B39" s="11" t="s">
        <v>35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100">
        <v>4.6399999999999997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7.9477000000000003E-3</v>
      </c>
      <c r="D45" s="12"/>
    </row>
    <row r="46" spans="1:5" ht="15.75" customHeight="1" x14ac:dyDescent="0.25">
      <c r="B46" s="11" t="s">
        <v>41</v>
      </c>
      <c r="C46" s="45">
        <v>8.5397000000000001E-2</v>
      </c>
      <c r="D46" s="12"/>
    </row>
    <row r="47" spans="1:5" ht="15.75" customHeight="1" x14ac:dyDescent="0.25">
      <c r="B47" s="11" t="s">
        <v>42</v>
      </c>
      <c r="C47" s="45">
        <v>7.3442499999999994E-2</v>
      </c>
      <c r="D47" s="12"/>
      <c r="E47" s="13"/>
    </row>
    <row r="48" spans="1:5" ht="15" customHeight="1" x14ac:dyDescent="0.25">
      <c r="B48" s="11" t="s">
        <v>43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0.46489900000000001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160963</v>
      </c>
      <c r="C2" s="49">
        <v>341751</v>
      </c>
      <c r="D2" s="49">
        <v>438274.5</v>
      </c>
      <c r="E2" s="49">
        <v>317962</v>
      </c>
      <c r="F2" s="49">
        <v>194751.5</v>
      </c>
      <c r="G2" s="17">
        <f t="shared" ref="G2:G13" si="0">C2+D2+E2+F2</f>
        <v>1292739</v>
      </c>
      <c r="H2" s="17">
        <f t="shared" ref="H2:H13" si="1">(B2 + stillbirth*B2/(1000-stillbirth))/(1-abortion)</f>
        <v>186021.05506637145</v>
      </c>
      <c r="I2" s="17">
        <f t="shared" ref="I2:I13" si="2">G2-H2</f>
        <v>1106717.9449336287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163590</v>
      </c>
      <c r="C3" s="50">
        <v>352148</v>
      </c>
      <c r="D3" s="50">
        <v>452815</v>
      </c>
      <c r="E3" s="50">
        <v>328481.5</v>
      </c>
      <c r="F3" s="50">
        <v>201807.5</v>
      </c>
      <c r="G3" s="17">
        <f t="shared" si="0"/>
        <v>1335252</v>
      </c>
      <c r="H3" s="17">
        <f t="shared" si="1"/>
        <v>189057.0155769196</v>
      </c>
      <c r="I3" s="17">
        <f t="shared" si="2"/>
        <v>1146194.9844230805</v>
      </c>
    </row>
    <row r="4" spans="1:9" ht="15.75" customHeight="1" x14ac:dyDescent="0.25">
      <c r="A4" s="5">
        <f t="shared" si="3"/>
        <v>2026</v>
      </c>
      <c r="B4" s="49">
        <v>166071</v>
      </c>
      <c r="C4" s="50">
        <v>362061.99999999988</v>
      </c>
      <c r="D4" s="50">
        <v>467980</v>
      </c>
      <c r="E4" s="50">
        <v>339228</v>
      </c>
      <c r="F4" s="50">
        <v>209186.5</v>
      </c>
      <c r="G4" s="17">
        <f t="shared" si="0"/>
        <v>1378456.5</v>
      </c>
      <c r="H4" s="17">
        <f t="shared" si="1"/>
        <v>191924.24741044448</v>
      </c>
      <c r="I4" s="17">
        <f t="shared" si="2"/>
        <v>1186532.2525895555</v>
      </c>
    </row>
    <row r="5" spans="1:9" ht="15.75" customHeight="1" x14ac:dyDescent="0.25">
      <c r="A5" s="5">
        <f t="shared" si="3"/>
        <v>2027</v>
      </c>
      <c r="B5" s="49">
        <v>169012</v>
      </c>
      <c r="C5" s="50">
        <v>368698.49999999988</v>
      </c>
      <c r="D5" s="50">
        <v>483762.99999999988</v>
      </c>
      <c r="E5" s="50">
        <v>350195.5</v>
      </c>
      <c r="F5" s="50">
        <v>216847</v>
      </c>
      <c r="G5" s="17">
        <f t="shared" si="0"/>
        <v>1419503.9999999998</v>
      </c>
      <c r="H5" s="17">
        <f t="shared" si="1"/>
        <v>195323.09014417956</v>
      </c>
      <c r="I5" s="17">
        <f t="shared" si="2"/>
        <v>1224180.9098558202</v>
      </c>
    </row>
    <row r="6" spans="1:9" ht="15.75" customHeight="1" x14ac:dyDescent="0.25">
      <c r="A6" s="5">
        <f t="shared" si="3"/>
        <v>2028</v>
      </c>
      <c r="B6" s="49">
        <v>171220</v>
      </c>
      <c r="C6" s="50">
        <v>372192.5</v>
      </c>
      <c r="D6" s="50">
        <v>500132</v>
      </c>
      <c r="E6" s="50">
        <v>361416</v>
      </c>
      <c r="F6" s="50">
        <v>224750.5</v>
      </c>
      <c r="G6" s="17">
        <f t="shared" si="0"/>
        <v>1458491</v>
      </c>
      <c r="H6" s="17">
        <f t="shared" si="1"/>
        <v>197874.82246518842</v>
      </c>
      <c r="I6" s="17">
        <f t="shared" si="2"/>
        <v>1260616.1775348117</v>
      </c>
    </row>
    <row r="7" spans="1:9" ht="15.75" customHeight="1" x14ac:dyDescent="0.25">
      <c r="A7" s="5">
        <f t="shared" si="3"/>
        <v>2029</v>
      </c>
      <c r="B7" s="49">
        <v>173250</v>
      </c>
      <c r="C7" s="50">
        <v>375223</v>
      </c>
      <c r="D7" s="50">
        <v>516995.5</v>
      </c>
      <c r="E7" s="50">
        <v>372929</v>
      </c>
      <c r="F7" s="50">
        <v>232853.5</v>
      </c>
      <c r="G7" s="17">
        <f t="shared" si="0"/>
        <v>1498001</v>
      </c>
      <c r="H7" s="17">
        <f t="shared" si="1"/>
        <v>200220.84448133333</v>
      </c>
      <c r="I7" s="17">
        <f t="shared" si="2"/>
        <v>1297780.1555186666</v>
      </c>
    </row>
    <row r="8" spans="1:9" ht="15.75" customHeight="1" x14ac:dyDescent="0.25">
      <c r="A8" s="5">
        <f t="shared" si="3"/>
        <v>2030</v>
      </c>
      <c r="B8" s="49">
        <v>175527</v>
      </c>
      <c r="C8" s="50">
        <v>377796.5</v>
      </c>
      <c r="D8" s="50">
        <v>534179</v>
      </c>
      <c r="E8" s="50">
        <v>384804</v>
      </c>
      <c r="F8" s="50">
        <v>241121</v>
      </c>
      <c r="G8" s="17">
        <f t="shared" si="0"/>
        <v>1537900.5</v>
      </c>
      <c r="H8" s="17">
        <f t="shared" si="1"/>
        <v>202852.3184373737</v>
      </c>
      <c r="I8" s="17">
        <f t="shared" si="2"/>
        <v>1335048.1815626263</v>
      </c>
    </row>
    <row r="9" spans="1:9" ht="15.75" customHeight="1" x14ac:dyDescent="0.25">
      <c r="A9" s="5">
        <f t="shared" si="3"/>
        <v>2031</v>
      </c>
      <c r="B9" s="49">
        <v>177527</v>
      </c>
      <c r="C9" s="50">
        <v>379931</v>
      </c>
      <c r="D9" s="50">
        <v>551483</v>
      </c>
      <c r="E9" s="50">
        <v>397112.5</v>
      </c>
      <c r="F9" s="50">
        <v>249530</v>
      </c>
      <c r="G9" s="17">
        <f t="shared" si="0"/>
        <v>1578056.5</v>
      </c>
      <c r="H9" s="17">
        <f t="shared" si="1"/>
        <v>205163.67017741795</v>
      </c>
      <c r="I9" s="17">
        <f t="shared" si="2"/>
        <v>1372892.829822582</v>
      </c>
    </row>
    <row r="10" spans="1:9" ht="15.75" customHeight="1" x14ac:dyDescent="0.25">
      <c r="A10" s="5">
        <f t="shared" si="3"/>
        <v>2032</v>
      </c>
      <c r="B10" s="49">
        <v>180183</v>
      </c>
      <c r="C10" s="50">
        <v>382019</v>
      </c>
      <c r="D10" s="50">
        <v>568514.5</v>
      </c>
      <c r="E10" s="50">
        <v>409900.50000000012</v>
      </c>
      <c r="F10" s="50">
        <v>258078.5</v>
      </c>
      <c r="G10" s="17">
        <f t="shared" si="0"/>
        <v>1618512.5</v>
      </c>
      <c r="H10" s="17">
        <f t="shared" si="1"/>
        <v>208233.14528819674</v>
      </c>
      <c r="I10" s="17">
        <f t="shared" si="2"/>
        <v>1410279.3547118031</v>
      </c>
    </row>
    <row r="11" spans="1:9" ht="15.75" customHeight="1" x14ac:dyDescent="0.25">
      <c r="A11" s="5">
        <f t="shared" si="3"/>
        <v>2033</v>
      </c>
      <c r="B11" s="49">
        <v>182199</v>
      </c>
      <c r="C11" s="50">
        <v>386824.50000000012</v>
      </c>
      <c r="D11" s="50">
        <v>582352</v>
      </c>
      <c r="E11" s="50">
        <v>423191</v>
      </c>
      <c r="F11" s="50">
        <v>266786</v>
      </c>
      <c r="G11" s="17">
        <f t="shared" si="0"/>
        <v>1659153.5</v>
      </c>
      <c r="H11" s="17">
        <f t="shared" si="1"/>
        <v>210562.98784216132</v>
      </c>
      <c r="I11" s="17">
        <f t="shared" si="2"/>
        <v>1448590.5121578388</v>
      </c>
    </row>
    <row r="12" spans="1:9" ht="15.75" customHeight="1" x14ac:dyDescent="0.25">
      <c r="A12" s="5">
        <f t="shared" si="3"/>
        <v>2034</v>
      </c>
      <c r="B12" s="49">
        <v>184776</v>
      </c>
      <c r="C12" s="50">
        <v>394179.00000000012</v>
      </c>
      <c r="D12" s="50">
        <v>593026</v>
      </c>
      <c r="E12" s="50">
        <v>437041.5</v>
      </c>
      <c r="F12" s="50">
        <v>275712.5</v>
      </c>
      <c r="G12" s="17">
        <f t="shared" si="0"/>
        <v>1699959</v>
      </c>
      <c r="H12" s="17">
        <f t="shared" si="1"/>
        <v>213541.16455920835</v>
      </c>
      <c r="I12" s="17">
        <f t="shared" si="2"/>
        <v>1486417.8354407917</v>
      </c>
    </row>
    <row r="13" spans="1:9" ht="15.75" customHeight="1" x14ac:dyDescent="0.25">
      <c r="A13" s="5">
        <f t="shared" si="3"/>
        <v>2035</v>
      </c>
      <c r="B13" s="49">
        <v>186305</v>
      </c>
      <c r="C13" s="50">
        <v>401658.5</v>
      </c>
      <c r="D13" s="50">
        <v>603160.5</v>
      </c>
      <c r="E13" s="50">
        <v>451498.5</v>
      </c>
      <c r="F13" s="50">
        <v>284892.5</v>
      </c>
      <c r="G13" s="17">
        <f t="shared" si="0"/>
        <v>1741210</v>
      </c>
      <c r="H13" s="17">
        <f t="shared" si="1"/>
        <v>215308.1929644722</v>
      </c>
      <c r="I13" s="17">
        <f t="shared" si="2"/>
        <v>1525901.8070355279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1.7122701712270191E-2</v>
      </c>
    </row>
    <row r="4" spans="1:8" ht="15.75" customHeight="1" x14ac:dyDescent="0.25">
      <c r="B4" s="19" t="s">
        <v>69</v>
      </c>
      <c r="C4" s="101">
        <v>6.227920622792063E-2</v>
      </c>
    </row>
    <row r="5" spans="1:8" ht="15.75" customHeight="1" x14ac:dyDescent="0.25">
      <c r="B5" s="19" t="s">
        <v>70</v>
      </c>
      <c r="C5" s="101">
        <v>8.6707408670740976E-2</v>
      </c>
    </row>
    <row r="6" spans="1:8" ht="15.75" customHeight="1" x14ac:dyDescent="0.25">
      <c r="B6" s="19" t="s">
        <v>71</v>
      </c>
      <c r="C6" s="101">
        <v>0.24658692465869211</v>
      </c>
    </row>
    <row r="7" spans="1:8" ht="15.75" customHeight="1" x14ac:dyDescent="0.25">
      <c r="B7" s="19" t="s">
        <v>72</v>
      </c>
      <c r="C7" s="101">
        <v>0.412030341203034</v>
      </c>
    </row>
    <row r="8" spans="1:8" ht="15.75" customHeight="1" x14ac:dyDescent="0.25">
      <c r="B8" s="19" t="s">
        <v>73</v>
      </c>
      <c r="C8" s="101">
        <v>3.2824003282400402E-3</v>
      </c>
    </row>
    <row r="9" spans="1:8" ht="15.75" customHeight="1" x14ac:dyDescent="0.25">
      <c r="B9" s="19" t="s">
        <v>74</v>
      </c>
      <c r="C9" s="101">
        <v>6.1357306135730677E-2</v>
      </c>
    </row>
    <row r="10" spans="1:8" ht="15.75" customHeight="1" x14ac:dyDescent="0.25">
      <c r="B10" s="19" t="s">
        <v>75</v>
      </c>
      <c r="C10" s="101">
        <v>0.1106337110633713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82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83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84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85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86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87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88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89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8.8735101999999996E-2</v>
      </c>
    </row>
    <row r="27" spans="1:8" ht="15.75" customHeight="1" x14ac:dyDescent="0.25">
      <c r="B27" s="19" t="s">
        <v>92</v>
      </c>
      <c r="C27" s="101">
        <v>8.4480660000000006E-3</v>
      </c>
    </row>
    <row r="28" spans="1:8" ht="15.75" customHeight="1" x14ac:dyDescent="0.25">
      <c r="B28" s="19" t="s">
        <v>93</v>
      </c>
      <c r="C28" s="101">
        <v>0.157003631</v>
      </c>
    </row>
    <row r="29" spans="1:8" ht="15.75" customHeight="1" x14ac:dyDescent="0.25">
      <c r="B29" s="19" t="s">
        <v>94</v>
      </c>
      <c r="C29" s="101">
        <v>0.16959068199999999</v>
      </c>
    </row>
    <row r="30" spans="1:8" ht="15.75" customHeight="1" x14ac:dyDescent="0.25">
      <c r="B30" s="19" t="s">
        <v>95</v>
      </c>
      <c r="C30" s="101">
        <v>0.105430197</v>
      </c>
    </row>
    <row r="31" spans="1:8" ht="15.75" customHeight="1" x14ac:dyDescent="0.25">
      <c r="B31" s="19" t="s">
        <v>96</v>
      </c>
      <c r="C31" s="101">
        <v>0.109065357</v>
      </c>
    </row>
    <row r="32" spans="1:8" ht="15.75" customHeight="1" x14ac:dyDescent="0.25">
      <c r="B32" s="19" t="s">
        <v>97</v>
      </c>
      <c r="C32" s="101">
        <v>1.8742332E-2</v>
      </c>
    </row>
    <row r="33" spans="2:3" ht="15.75" customHeight="1" x14ac:dyDescent="0.25">
      <c r="B33" s="19" t="s">
        <v>98</v>
      </c>
      <c r="C33" s="101">
        <v>8.4799848999999997E-2</v>
      </c>
    </row>
    <row r="34" spans="2:3" ht="15.75" customHeight="1" x14ac:dyDescent="0.25">
      <c r="B34" s="19" t="s">
        <v>99</v>
      </c>
      <c r="C34" s="101">
        <v>0.25818478299999997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104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122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0.34300067992433347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0.28576590000000002</v>
      </c>
      <c r="C10" s="98">
        <v>0.95</v>
      </c>
      <c r="D10" s="56">
        <v>13.555007547773389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13.555007547773389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13.555007547773389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13.555007547773389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0.28576590000000002</v>
      </c>
      <c r="C14" s="98">
        <v>0.95</v>
      </c>
      <c r="D14" s="56">
        <v>13.555007547773389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13.555007547773389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0.22889889999999999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0.17599999999999999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0.36570609999999998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23.139270869051948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0.25781209999999999</v>
      </c>
      <c r="C23" s="98">
        <v>0.95</v>
      </c>
      <c r="D23" s="56">
        <v>4.4706017011529111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0.25720438775447002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0.19483020000000001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0.1996319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0.22370000000000001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0.89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0.41752410000000001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8.6300799999999997E-2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1.0247600000000001E-2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0.61272379999999993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7.0999999999999994E-2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205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0.1091539768945472</v>
      </c>
      <c r="G18" s="90">
        <f>MIN(MAX(1-0.89/(1-frac_sam_12_23months+(frac_sam_12_23months*0.89)),0),1)</f>
        <v>0.10855493456546317</v>
      </c>
      <c r="H18" s="90">
        <f>MIN(MAX(1-0.89/(1-frac_sam_24_59months+(frac_sam_24_59months*0.89)),0),1)</f>
        <v>0.10917674212293982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0.10428478516880468</v>
      </c>
      <c r="G20" s="90">
        <f>MIN(MAX(1-0.89/(1-frac_mam_12_23months+(frac_mam_12_23months*0.89)),0),1)</f>
        <v>0.10295435683099874</v>
      </c>
      <c r="H20" s="90">
        <f>MIN(MAX(1-0.89/(1-frac_mam_24_59months+(frac_mam_24_59months*0.89)),0),1)</f>
        <v>0.10507532527191155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9.9145209701679837E-3</v>
      </c>
      <c r="G73" s="90">
        <f>MIN(MAX(1-0.99/(1-frac_sam_12_23months+(frac_sam_12_23months*0.99)),0),1)</f>
        <v>9.854085166968729E-3</v>
      </c>
      <c r="H73" s="90">
        <f>MIN(MAX(1-0.99/(1-frac_sam_24_59months+(frac_sam_24_59months*0.99)),0),1)</f>
        <v>9.9168191516442183E-3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9.4254112663575418E-3</v>
      </c>
      <c r="G75" s="90">
        <f>MIN(MAX(1-0.99/(1-frac_mam_12_23months+(frac_mam_12_23months*0.99)),0),1)</f>
        <v>9.2926101559666074E-3</v>
      </c>
      <c r="H75" s="90">
        <f>MIN(MAX(1-0.99/(1-frac_mam_24_59months+(frac_mam_24_59months*0.99)),0),1)</f>
        <v>9.5044917455541222E-3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0.19861625068004918</v>
      </c>
      <c r="G128" s="90">
        <f>MIN(MAX(1-0.8/(1-frac_sam_12_23months+(frac_sam_12_23months*0.8)),0),1)</f>
        <v>0.19763515800659903</v>
      </c>
      <c r="H128" s="90">
        <f>MIN(MAX(1-0.8/(1-frac_sam_24_59months+(frac_sam_24_59months*0.8)),0),1)</f>
        <v>0.19865351352570693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0.19061017147247272</v>
      </c>
      <c r="G130" s="90">
        <f>MIN(MAX(1-0.8/(1-frac_mam_12_23months+(frac_mam_12_23months*0.8)),0),1)</f>
        <v>0.18841009029444977</v>
      </c>
      <c r="H130" s="90">
        <f>MIN(MAX(1-0.8/(1-frac_mam_24_59months+(frac_mam_24_59months*0.8)),0),1)</f>
        <v>0.19191489845693521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2024-08-06T06:31:53Z</dcterms:modified>
</cp:coreProperties>
</file>