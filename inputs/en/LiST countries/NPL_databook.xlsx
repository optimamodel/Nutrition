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76B1EAD-A19D-4D33-9753-58195585AAA0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13" i="2" l="1"/>
  <c r="A22" i="2"/>
  <c r="I6" i="2"/>
  <c r="I12" i="2"/>
  <c r="A35" i="2"/>
  <c r="I2" i="2"/>
  <c r="I8" i="2"/>
  <c r="A19" i="2"/>
  <c r="A37" i="2"/>
  <c r="A24" i="2"/>
  <c r="A40" i="2"/>
  <c r="A23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<sst xmlns="http://schemas.openxmlformats.org/spreadsheetml/2006/main" count="2169" uniqueCount="373">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</sst>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2717880.5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0.62818479999999999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7">
        <v>4.1696555750580601E-2</v>
      </c>
    </row>
    <row r="31" spans="1:3" ht="14.25" customHeight="1" x14ac:dyDescent="0.25">
      <c r="B31" s="25" t="s">
        <v>28</v>
      </c>
      <c r="C31" s="97">
        <v>7.5022305717839008E-2</v>
      </c>
    </row>
    <row r="32" spans="1:3" ht="14.25" customHeight="1" x14ac:dyDescent="0.25">
      <c r="B32" s="25" t="s">
        <v>29</v>
      </c>
      <c r="C32" s="97">
        <v>0.47100303763738299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98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3.302</v>
      </c>
      <c r="D51" s="12"/>
    </row>
    <row r="52" spans="1:4" ht="15" customHeight="1" x14ac:dyDescent="0.25">
      <c r="B52" s="11" t="s">
        <v>46</v>
      </c>
      <c r="C52" s="98">
        <v>3.302</v>
      </c>
    </row>
    <row r="53" spans="1:4" ht="15.75" customHeight="1" x14ac:dyDescent="0.25">
      <c r="B53" s="11" t="s">
        <v>47</v>
      </c>
      <c r="C53" s="98">
        <v>4.55</v>
      </c>
    </row>
    <row r="54" spans="1:4" ht="15.75" customHeight="1" x14ac:dyDescent="0.25">
      <c r="B54" s="11" t="s">
        <v>48</v>
      </c>
      <c r="C54" s="98">
        <v>3.4319999999999999</v>
      </c>
    </row>
    <row r="55" spans="1:4" ht="15.75" customHeight="1" x14ac:dyDescent="0.25">
      <c r="B55" s="11" t="s">
        <v>49</v>
      </c>
      <c r="C55" s="98">
        <v>2.123333333333334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99">
        <v>6.8189616093901534E-2</v>
      </c>
    </row>
    <row r="5" spans="1:8" ht="15.75" customHeight="1" x14ac:dyDescent="0.25">
      <c r="B5" s="19" t="s">
        <v>70</v>
      </c>
      <c r="C5" s="99">
        <v>0.1000974723100938</v>
      </c>
    </row>
    <row r="6" spans="1:8" ht="15.75" customHeight="1" x14ac:dyDescent="0.25">
      <c r="B6" s="19" t="s">
        <v>71</v>
      </c>
      <c r="C6" s="99">
        <v>0.26534518868097168</v>
      </c>
    </row>
    <row r="7" spans="1:8" ht="15.75" customHeight="1" x14ac:dyDescent="0.25">
      <c r="B7" s="19" t="s">
        <v>72</v>
      </c>
      <c r="C7" s="99">
        <v>0.29945329704313961</v>
      </c>
    </row>
    <row r="8" spans="1:8" ht="15.75" customHeight="1" x14ac:dyDescent="0.25">
      <c r="B8" s="19" t="s">
        <v>73</v>
      </c>
      <c r="C8" s="99">
        <v>1.967746635595265E-3</v>
      </c>
    </row>
    <row r="9" spans="1:8" ht="15.75" customHeight="1" x14ac:dyDescent="0.25">
      <c r="B9" s="19" t="s">
        <v>74</v>
      </c>
      <c r="C9" s="99">
        <v>0.1252214677487857</v>
      </c>
    </row>
    <row r="10" spans="1:8" ht="15.75" customHeight="1" x14ac:dyDescent="0.25">
      <c r="B10" s="19" t="s">
        <v>75</v>
      </c>
      <c r="C10" s="99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99">
        <v>0.32507562913398969</v>
      </c>
      <c r="D15" s="99">
        <v>0.32507562913398969</v>
      </c>
      <c r="E15" s="99">
        <v>0.32507562913398969</v>
      </c>
      <c r="F15" s="99">
        <v>0.32507562913398969</v>
      </c>
    </row>
    <row r="16" spans="1:8" ht="15.75" customHeight="1" x14ac:dyDescent="0.25">
      <c r="B16" s="19" t="s">
        <v>83</v>
      </c>
      <c r="C16" s="99">
        <v>1.52583579249242E-2</v>
      </c>
      <c r="D16" s="99">
        <v>1.52583579249242E-2</v>
      </c>
      <c r="E16" s="99">
        <v>1.52583579249242E-2</v>
      </c>
      <c r="F16" s="99">
        <v>1.52583579249242E-2</v>
      </c>
    </row>
    <row r="17" spans="1:8" ht="15.75" customHeight="1" x14ac:dyDescent="0.25">
      <c r="B17" s="19" t="s">
        <v>84</v>
      </c>
      <c r="C17" s="99">
        <v>9.342367820145225E-3</v>
      </c>
      <c r="D17" s="99">
        <v>9.342367820145225E-3</v>
      </c>
      <c r="E17" s="99">
        <v>9.342367820145225E-3</v>
      </c>
      <c r="F17" s="99">
        <v>9.342367820145225E-3</v>
      </c>
    </row>
    <row r="18" spans="1:8" ht="15.75" customHeight="1" x14ac:dyDescent="0.25">
      <c r="B18" s="19" t="s">
        <v>85</v>
      </c>
      <c r="C18" s="99">
        <v>1.828073548493462E-4</v>
      </c>
      <c r="D18" s="99">
        <v>1.828073548493462E-4</v>
      </c>
      <c r="E18" s="99">
        <v>1.828073548493462E-4</v>
      </c>
      <c r="F18" s="99">
        <v>1.828073548493462E-4</v>
      </c>
    </row>
    <row r="19" spans="1:8" ht="15.75" customHeight="1" x14ac:dyDescent="0.25">
      <c r="B19" s="19" t="s">
        <v>86</v>
      </c>
      <c r="C19" s="99">
        <v>0.12748543941078561</v>
      </c>
      <c r="D19" s="99">
        <v>0.12748543941078561</v>
      </c>
      <c r="E19" s="99">
        <v>0.12748543941078561</v>
      </c>
      <c r="F19" s="99">
        <v>0.12748543941078561</v>
      </c>
    </row>
    <row r="20" spans="1:8" ht="15.75" customHeight="1" x14ac:dyDescent="0.25">
      <c r="B20" s="19" t="s">
        <v>87</v>
      </c>
      <c r="C20" s="99">
        <v>4.5226299892980569E-3</v>
      </c>
      <c r="D20" s="99">
        <v>4.5226299892980569E-3</v>
      </c>
      <c r="E20" s="99">
        <v>4.5226299892980569E-3</v>
      </c>
      <c r="F20" s="99">
        <v>4.5226299892980569E-3</v>
      </c>
    </row>
    <row r="21" spans="1:8" ht="15.75" customHeight="1" x14ac:dyDescent="0.25">
      <c r="B21" s="19" t="s">
        <v>88</v>
      </c>
      <c r="C21" s="99">
        <v>0.15939031250457769</v>
      </c>
      <c r="D21" s="99">
        <v>0.15939031250457769</v>
      </c>
      <c r="E21" s="99">
        <v>0.15939031250457769</v>
      </c>
      <c r="F21" s="99">
        <v>0.15939031250457769</v>
      </c>
    </row>
    <row r="22" spans="1:8" ht="15.75" customHeight="1" x14ac:dyDescent="0.25">
      <c r="B22" s="19" t="s">
        <v>89</v>
      </c>
      <c r="C22" s="99">
        <v>0.1569370897422229</v>
      </c>
      <c r="D22" s="99">
        <v>0.1569370897422229</v>
      </c>
      <c r="E22" s="99">
        <v>0.1569370897422229</v>
      </c>
      <c r="F22" s="99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99">
        <v>1.0367542E-2</v>
      </c>
    </row>
    <row r="28" spans="1:8" ht="15.75" customHeight="1" x14ac:dyDescent="0.25">
      <c r="B28" s="19" t="s">
        <v>93</v>
      </c>
      <c r="C28" s="99">
        <v>0.17293429099999999</v>
      </c>
    </row>
    <row r="29" spans="1:8" ht="15.75" customHeight="1" x14ac:dyDescent="0.25">
      <c r="B29" s="19" t="s">
        <v>94</v>
      </c>
      <c r="C29" s="99">
        <v>0.15789878800000001</v>
      </c>
    </row>
    <row r="30" spans="1:8" ht="15.75" customHeight="1" x14ac:dyDescent="0.25">
      <c r="B30" s="19" t="s">
        <v>95</v>
      </c>
      <c r="C30" s="99">
        <v>5.576656E-2</v>
      </c>
    </row>
    <row r="31" spans="1:8" ht="15.75" customHeight="1" x14ac:dyDescent="0.25">
      <c r="B31" s="19" t="s">
        <v>96</v>
      </c>
      <c r="C31" s="99">
        <v>6.3201558000000005E-2</v>
      </c>
    </row>
    <row r="32" spans="1:8" ht="15.75" customHeight="1" x14ac:dyDescent="0.25">
      <c r="B32" s="19" t="s">
        <v>97</v>
      </c>
      <c r="C32" s="99">
        <v>1.0057959E-2</v>
      </c>
    </row>
    <row r="33" spans="2:3" ht="15.75" customHeight="1" x14ac:dyDescent="0.25">
      <c r="B33" s="19" t="s">
        <v>98</v>
      </c>
      <c r="C33" s="99">
        <v>0.165459261</v>
      </c>
    </row>
    <row r="34" spans="2:3" ht="15.75" customHeight="1" x14ac:dyDescent="0.25">
      <c r="B34" s="19" t="s">
        <v>99</v>
      </c>
      <c r="C34" s="99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1336.5460472984701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0.44085000000000002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0.30329999999999996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1.9631895417119349E-2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96909.39129</v>
      </c>
      <c r="C22" s="107">
        <v>96618.065000000002</v>
      </c>
      <c r="D22" s="107">
        <v>96396.876780000006</v>
      </c>
      <c r="E22" s="107">
        <v>96007.266570000007</v>
      </c>
      <c r="F22" s="107">
        <v>95500.03499</v>
      </c>
      <c r="G22" s="107">
        <v>94971.390209999998</v>
      </c>
      <c r="H22" s="107">
        <v>94329.785730000003</v>
      </c>
      <c r="I22" s="107">
        <v>93431.989069999996</v>
      </c>
      <c r="J22" s="107">
        <v>92077.744720000002</v>
      </c>
      <c r="K22" s="107">
        <v>89987.683520000006</v>
      </c>
      <c r="L22" s="107">
        <v>86734.672309999994</v>
      </c>
      <c r="M22" s="107">
        <v>81890.059389999995</v>
      </c>
      <c r="N22" s="107">
        <v>74666.415420000005</v>
      </c>
      <c r="O22" s="107">
        <v>64611.690329999998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0.86284800000000006</v>
      </c>
      <c r="C10" s="96">
        <v>0.95</v>
      </c>
      <c r="D10" s="56">
        <v>14.191711276470389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14.191711276470389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14.191711276470389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14.191711276470389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0.86284800000000006</v>
      </c>
      <c r="C14" s="96">
        <v>0.95</v>
      </c>
      <c r="D14" s="56">
        <v>14.191711276470389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14.191711276470389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2.02589E-2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2.41416666666667E-2</v>
      </c>
      <c r="C17" s="96">
        <v>0.95</v>
      </c>
      <c r="D17" s="56">
        <v>9.7330203637492063E-2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0.52100000000000002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0.53241950000000005</v>
      </c>
      <c r="C19" s="96">
        <v>0.95</v>
      </c>
      <c r="D19" s="56">
        <v>1.783669753024828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4.6601859455142458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0.71992641902920995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0.27900000000000003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0.38404090000000002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0.48240959999999999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9.1000000000000004E-3</v>
      </c>
      <c r="C31" s="96">
        <v>0.95</v>
      </c>
      <c r="D31" s="56">
        <v>175.48809161556471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</v>
      </c>
      <c r="C32" s="96">
        <v>0.95</v>
      </c>
      <c r="D32" s="56">
        <v>0.45463218100922231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0.6354284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0.44971359999999999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0.14526700000000001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0.50166370000000005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0.107</v>
      </c>
      <c r="C38" s="96">
        <v>0.95</v>
      </c>
      <c r="D38" s="56">
        <v>1.6798709086682517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3.302</v>
      </c>
      <c r="C2" s="21">
        <f>'Baseline year population inputs'!C52</f>
        <v>3.302</v>
      </c>
      <c r="D2" s="21">
        <f>'Baseline year population inputs'!C53</f>
        <v>4.55</v>
      </c>
      <c r="E2" s="21">
        <f>'Baseline year population inputs'!C54</f>
        <v>3.4319999999999999</v>
      </c>
      <c r="F2" s="21">
        <f>'Baseline year population inputs'!C55</f>
        <v>2.123333333333334</v>
      </c>
    </row>
    <row r="3" spans="1:6" ht="15.75" customHeight="1" x14ac:dyDescent="0.25">
      <c r="A3" s="3" t="s">
        <v>197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198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