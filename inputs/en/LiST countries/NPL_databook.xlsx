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942E7828-2F3D-4B9E-9D6D-CEEF45F180F1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1" i="2"/>
  <c r="A25" i="2"/>
  <c r="A23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<sst xmlns="http://schemas.openxmlformats.org/spreadsheetml/2006/main" count="2169" uniqueCount="373">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</sst>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2717880.5</v>
      </c>
    </row>
    <row r="8" spans="1:3" ht="15" customHeight="1" x14ac:dyDescent="0.25">
      <c r="B8" s="5" t="s">
        <v>8</v>
      </c>
      <c r="C8" s="44">
        <v>0.15</v>
      </c>
    </row>
    <row r="9" spans="1:3" ht="15" customHeight="1" x14ac:dyDescent="0.25">
      <c r="B9" s="5" t="s">
        <v>9</v>
      </c>
      <c r="C9" s="45">
        <v>2.5600000000000001E-2</v>
      </c>
    </row>
    <row r="10" spans="1:3" ht="15" customHeight="1" x14ac:dyDescent="0.25">
      <c r="B10" s="5" t="s">
        <v>10</v>
      </c>
      <c r="C10" s="45">
        <v>0.62818479999999999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0.24715611858834899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0.1673</v>
      </c>
    </row>
    <row r="24" spans="1:3" ht="15" customHeight="1" x14ac:dyDescent="0.25">
      <c r="B24" s="15" t="s">
        <v>22</v>
      </c>
      <c r="C24" s="45">
        <v>0.62609999999999999</v>
      </c>
    </row>
    <row r="25" spans="1:3" ht="15" customHeight="1" x14ac:dyDescent="0.25">
      <c r="B25" s="15" t="s">
        <v>23</v>
      </c>
      <c r="C25" s="45">
        <v>0.1709</v>
      </c>
    </row>
    <row r="26" spans="1:3" ht="15" customHeight="1" x14ac:dyDescent="0.25">
      <c r="B26" s="15" t="s">
        <v>24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0.41227810089419697</v>
      </c>
    </row>
    <row r="30" spans="1:3" ht="14.25" customHeight="1" x14ac:dyDescent="0.25">
      <c r="B30" s="25" t="s">
        <v>27</v>
      </c>
      <c r="C30" s="97">
        <v>4.1696555750580601E-2</v>
      </c>
    </row>
    <row r="31" spans="1:3" ht="14.25" customHeight="1" x14ac:dyDescent="0.25">
      <c r="B31" s="25" t="s">
        <v>28</v>
      </c>
      <c r="C31" s="97">
        <v>7.5022305717839008E-2</v>
      </c>
    </row>
    <row r="32" spans="1:3" ht="14.25" customHeight="1" x14ac:dyDescent="0.25">
      <c r="B32" s="25" t="s">
        <v>29</v>
      </c>
      <c r="C32" s="97">
        <v>0.47100303763738299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16.166080000000001</v>
      </c>
    </row>
    <row r="38" spans="1:5" ht="15" customHeight="1" x14ac:dyDescent="0.25">
      <c r="B38" s="11" t="s">
        <v>34</v>
      </c>
      <c r="C38" s="43">
        <v>22.820869999999999</v>
      </c>
      <c r="D38" s="12"/>
      <c r="E38" s="13"/>
    </row>
    <row r="39" spans="1:5" ht="15" customHeight="1" x14ac:dyDescent="0.25">
      <c r="B39" s="11" t="s">
        <v>35</v>
      </c>
      <c r="C39" s="43">
        <v>27.16347</v>
      </c>
      <c r="D39" s="12"/>
      <c r="E39" s="12"/>
    </row>
    <row r="40" spans="1:5" ht="15" customHeight="1" x14ac:dyDescent="0.25">
      <c r="B40" s="11" t="s">
        <v>36</v>
      </c>
      <c r="C40" s="98">
        <v>1.74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1.6335800000000001E-2</v>
      </c>
      <c r="D45" s="12"/>
    </row>
    <row r="46" spans="1:5" ht="15.75" customHeight="1" x14ac:dyDescent="0.25">
      <c r="B46" s="11" t="s">
        <v>41</v>
      </c>
      <c r="C46" s="45">
        <v>9.5621299999999992E-2</v>
      </c>
      <c r="D46" s="12"/>
    </row>
    <row r="47" spans="1:5" ht="15.75" customHeight="1" x14ac:dyDescent="0.25">
      <c r="B47" s="11" t="s">
        <v>42</v>
      </c>
      <c r="C47" s="45">
        <v>0.41425559999999989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3.302</v>
      </c>
      <c r="D51" s="12"/>
    </row>
    <row r="52" spans="1:4" ht="15" customHeight="1" x14ac:dyDescent="0.25">
      <c r="B52" s="11" t="s">
        <v>46</v>
      </c>
      <c r="C52" s="98">
        <v>3.302</v>
      </c>
    </row>
    <row r="53" spans="1:4" ht="15.75" customHeight="1" x14ac:dyDescent="0.25">
      <c r="B53" s="11" t="s">
        <v>47</v>
      </c>
      <c r="C53" s="98">
        <v>4.55</v>
      </c>
    </row>
    <row r="54" spans="1:4" ht="15.75" customHeight="1" x14ac:dyDescent="0.25">
      <c r="B54" s="11" t="s">
        <v>48</v>
      </c>
      <c r="C54" s="98">
        <v>3.4319999999999999</v>
      </c>
    </row>
    <row r="55" spans="1:4" ht="15.75" customHeight="1" x14ac:dyDescent="0.25">
      <c r="B55" s="11" t="s">
        <v>49</v>
      </c>
      <c r="C55" s="98">
        <v>2.123333333333334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0.50705099999999992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0.19731512449999999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562232</v>
      </c>
      <c r="C2" s="49">
        <v>1463584.5</v>
      </c>
      <c r="D2" s="49">
        <v>2929652</v>
      </c>
      <c r="E2" s="49">
        <v>2379703.5</v>
      </c>
      <c r="F2" s="49">
        <v>1790674.5</v>
      </c>
      <c r="G2" s="17">
        <f t="shared" ref="G2:G13" si="0">C2+D2+E2+F2</f>
        <v>8563614.5</v>
      </c>
      <c r="H2" s="17">
        <f t="shared" ref="H2:H13" si="1">(B2 + stillbirth*B2/(1000-stillbirth))/(1-abortion)</f>
        <v>649104.14433540311</v>
      </c>
      <c r="I2" s="17">
        <f t="shared" ref="I2:I13" si="2">G2-H2</f>
        <v>7914510.3556645969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551647</v>
      </c>
      <c r="C3" s="50">
        <v>1436917</v>
      </c>
      <c r="D3" s="50">
        <v>2904319</v>
      </c>
      <c r="E3" s="50">
        <v>2411922.4999999995</v>
      </c>
      <c r="F3" s="50">
        <v>1833491.5</v>
      </c>
      <c r="G3" s="17">
        <f t="shared" si="0"/>
        <v>8586650</v>
      </c>
      <c r="H3" s="17">
        <f t="shared" si="1"/>
        <v>636883.62439383043</v>
      </c>
      <c r="I3" s="17">
        <f t="shared" si="2"/>
        <v>7949766.3756061699</v>
      </c>
    </row>
    <row r="4" spans="1:9" ht="15.75" customHeight="1" x14ac:dyDescent="0.25">
      <c r="A4" s="5">
        <f t="shared" si="3"/>
        <v>2026</v>
      </c>
      <c r="B4" s="49">
        <v>542047</v>
      </c>
      <c r="C4" s="50">
        <v>1412655.5</v>
      </c>
      <c r="D4" s="50">
        <v>2877354.5</v>
      </c>
      <c r="E4" s="50">
        <v>2448086.5</v>
      </c>
      <c r="F4" s="50">
        <v>1877447.5</v>
      </c>
      <c r="G4" s="17">
        <f t="shared" si="0"/>
        <v>8615544</v>
      </c>
      <c r="H4" s="17">
        <f t="shared" si="1"/>
        <v>625800.29974204989</v>
      </c>
      <c r="I4" s="17">
        <f t="shared" si="2"/>
        <v>7989743.7002579505</v>
      </c>
    </row>
    <row r="5" spans="1:9" ht="15.75" customHeight="1" x14ac:dyDescent="0.25">
      <c r="A5" s="5">
        <f t="shared" si="3"/>
        <v>2027</v>
      </c>
      <c r="B5" s="49">
        <v>533762</v>
      </c>
      <c r="C5" s="50">
        <v>1392307</v>
      </c>
      <c r="D5" s="50">
        <v>2857756.0000000005</v>
      </c>
      <c r="E5" s="50">
        <v>2488309.5000000005</v>
      </c>
      <c r="F5" s="50">
        <v>1922755.4999999998</v>
      </c>
      <c r="G5" s="17">
        <f t="shared" si="0"/>
        <v>8661128</v>
      </c>
      <c r="H5" s="17">
        <f t="shared" si="1"/>
        <v>616235.15966496652</v>
      </c>
      <c r="I5" s="17">
        <f t="shared" si="2"/>
        <v>8044892.8403350338</v>
      </c>
    </row>
    <row r="6" spans="1:9" ht="15.75" customHeight="1" x14ac:dyDescent="0.25">
      <c r="A6" s="5">
        <f t="shared" si="3"/>
        <v>2028</v>
      </c>
      <c r="B6" s="49">
        <v>527550</v>
      </c>
      <c r="C6" s="50">
        <v>1377727.5</v>
      </c>
      <c r="D6" s="50">
        <v>2849162.5</v>
      </c>
      <c r="E6" s="50">
        <v>2534803.5</v>
      </c>
      <c r="F6" s="50">
        <v>1970888.0000000002</v>
      </c>
      <c r="G6" s="17">
        <f t="shared" si="0"/>
        <v>8732581.5</v>
      </c>
      <c r="H6" s="17">
        <f t="shared" si="1"/>
        <v>609063.32500487682</v>
      </c>
      <c r="I6" s="17">
        <f t="shared" si="2"/>
        <v>8123518.1749951234</v>
      </c>
    </row>
    <row r="7" spans="1:9" ht="15.75" customHeight="1" x14ac:dyDescent="0.25">
      <c r="A7" s="5">
        <f t="shared" si="3"/>
        <v>2029</v>
      </c>
      <c r="B7" s="49">
        <v>523168</v>
      </c>
      <c r="C7" s="50">
        <v>1367541</v>
      </c>
      <c r="D7" s="50">
        <v>2841938</v>
      </c>
      <c r="E7" s="50">
        <v>2583932</v>
      </c>
      <c r="F7" s="50">
        <v>2020828.5</v>
      </c>
      <c r="G7" s="17">
        <f t="shared" si="0"/>
        <v>8814239.5</v>
      </c>
      <c r="H7" s="17">
        <f t="shared" si="1"/>
        <v>604004.24910653278</v>
      </c>
      <c r="I7" s="17">
        <f t="shared" si="2"/>
        <v>8210235.2508934671</v>
      </c>
    </row>
    <row r="8" spans="1:9" ht="15.75" customHeight="1" x14ac:dyDescent="0.25">
      <c r="A8" s="5">
        <f t="shared" si="3"/>
        <v>2030</v>
      </c>
      <c r="B8" s="49">
        <v>517956</v>
      </c>
      <c r="C8" s="50">
        <v>1358918</v>
      </c>
      <c r="D8" s="50">
        <v>2828960.5</v>
      </c>
      <c r="E8" s="50">
        <v>2630414.5</v>
      </c>
      <c r="F8" s="50">
        <v>2070914.4999999998</v>
      </c>
      <c r="G8" s="17">
        <f t="shared" si="0"/>
        <v>8889207.5</v>
      </c>
      <c r="H8" s="17">
        <f t="shared" si="1"/>
        <v>597986.92743100366</v>
      </c>
      <c r="I8" s="17">
        <f t="shared" si="2"/>
        <v>8291220.5725689959</v>
      </c>
    </row>
    <row r="9" spans="1:9" ht="15.75" customHeight="1" x14ac:dyDescent="0.25">
      <c r="A9" s="5">
        <f t="shared" si="3"/>
        <v>2031</v>
      </c>
      <c r="B9" s="49">
        <v>512429</v>
      </c>
      <c r="C9" s="50">
        <v>1350943.5</v>
      </c>
      <c r="D9" s="50">
        <v>2811587.0000000005</v>
      </c>
      <c r="E9" s="50">
        <v>2673129.5</v>
      </c>
      <c r="F9" s="50">
        <v>2119794</v>
      </c>
      <c r="G9" s="17">
        <f t="shared" si="0"/>
        <v>8955454</v>
      </c>
      <c r="H9" s="17">
        <f t="shared" si="1"/>
        <v>591605.93416533794</v>
      </c>
      <c r="I9" s="17">
        <f t="shared" si="2"/>
        <v>8363848.0658346619</v>
      </c>
    </row>
    <row r="10" spans="1:9" ht="15.75" customHeight="1" x14ac:dyDescent="0.25">
      <c r="A10" s="5">
        <f t="shared" si="3"/>
        <v>2032</v>
      </c>
      <c r="B10" s="49">
        <v>507575</v>
      </c>
      <c r="C10" s="50">
        <v>1341644.5</v>
      </c>
      <c r="D10" s="50">
        <v>2792366</v>
      </c>
      <c r="E10" s="50">
        <v>2711082.9999999995</v>
      </c>
      <c r="F10" s="50">
        <v>2166866</v>
      </c>
      <c r="G10" s="17">
        <f t="shared" si="0"/>
        <v>9011959.5</v>
      </c>
      <c r="H10" s="17">
        <f t="shared" si="1"/>
        <v>586001.92813828134</v>
      </c>
      <c r="I10" s="17">
        <f t="shared" si="2"/>
        <v>8425957.5718617178</v>
      </c>
    </row>
    <row r="11" spans="1:9" ht="15.75" customHeight="1" x14ac:dyDescent="0.25">
      <c r="A11" s="5">
        <f t="shared" si="3"/>
        <v>2033</v>
      </c>
      <c r="B11" s="49">
        <v>502269</v>
      </c>
      <c r="C11" s="50">
        <v>1329789.5</v>
      </c>
      <c r="D11" s="50">
        <v>2772229.5000000005</v>
      </c>
      <c r="E11" s="50">
        <v>2742805.0000000005</v>
      </c>
      <c r="F11" s="50">
        <v>2214974</v>
      </c>
      <c r="G11" s="17">
        <f t="shared" si="0"/>
        <v>9059798</v>
      </c>
      <c r="H11" s="17">
        <f t="shared" si="1"/>
        <v>579876.08224220353</v>
      </c>
      <c r="I11" s="17">
        <f t="shared" si="2"/>
        <v>8479921.9177577961</v>
      </c>
    </row>
    <row r="12" spans="1:9" ht="15.75" customHeight="1" x14ac:dyDescent="0.25">
      <c r="A12" s="5">
        <f t="shared" si="3"/>
        <v>2034</v>
      </c>
      <c r="B12" s="49">
        <v>497079</v>
      </c>
      <c r="C12" s="50">
        <v>1317464</v>
      </c>
      <c r="D12" s="50">
        <v>2750749</v>
      </c>
      <c r="E12" s="50">
        <v>2767072.5</v>
      </c>
      <c r="F12" s="50">
        <v>2265380</v>
      </c>
      <c r="G12" s="17">
        <f t="shared" si="0"/>
        <v>9100665.5</v>
      </c>
      <c r="H12" s="17">
        <f t="shared" si="1"/>
        <v>573884.15985233465</v>
      </c>
      <c r="I12" s="17">
        <f t="shared" si="2"/>
        <v>8526781.3401476648</v>
      </c>
    </row>
    <row r="13" spans="1:9" ht="15.75" customHeight="1" x14ac:dyDescent="0.25">
      <c r="A13" s="5">
        <f t="shared" si="3"/>
        <v>2035</v>
      </c>
      <c r="B13" s="49">
        <v>491103</v>
      </c>
      <c r="C13" s="50">
        <v>1308048.5</v>
      </c>
      <c r="D13" s="50">
        <v>2728879</v>
      </c>
      <c r="E13" s="50">
        <v>2783236.5</v>
      </c>
      <c r="F13" s="50">
        <v>2318475.9999999995</v>
      </c>
      <c r="G13" s="17">
        <f t="shared" si="0"/>
        <v>9138640</v>
      </c>
      <c r="H13" s="17">
        <f t="shared" si="1"/>
        <v>566984.79025660129</v>
      </c>
      <c r="I13" s="17">
        <f t="shared" si="2"/>
        <v>8571655.2097433992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1.473504922066653E-2</v>
      </c>
    </row>
    <row r="4" spans="1:8" ht="15.75" customHeight="1" x14ac:dyDescent="0.25">
      <c r="B4" s="19" t="s">
        <v>69</v>
      </c>
      <c r="C4" s="99">
        <v>6.8189616093901534E-2</v>
      </c>
    </row>
    <row r="5" spans="1:8" ht="15.75" customHeight="1" x14ac:dyDescent="0.25">
      <c r="B5" s="19" t="s">
        <v>70</v>
      </c>
      <c r="C5" s="99">
        <v>0.1000974723100938</v>
      </c>
    </row>
    <row r="6" spans="1:8" ht="15.75" customHeight="1" x14ac:dyDescent="0.25">
      <c r="B6" s="19" t="s">
        <v>71</v>
      </c>
      <c r="C6" s="99">
        <v>0.26534518868097168</v>
      </c>
    </row>
    <row r="7" spans="1:8" ht="15.75" customHeight="1" x14ac:dyDescent="0.25">
      <c r="B7" s="19" t="s">
        <v>72</v>
      </c>
      <c r="C7" s="99">
        <v>0.29945329704313961</v>
      </c>
    </row>
    <row r="8" spans="1:8" ht="15.75" customHeight="1" x14ac:dyDescent="0.25">
      <c r="B8" s="19" t="s">
        <v>73</v>
      </c>
      <c r="C8" s="99">
        <v>1.967746635595265E-3</v>
      </c>
    </row>
    <row r="9" spans="1:8" ht="15.75" customHeight="1" x14ac:dyDescent="0.25">
      <c r="B9" s="19" t="s">
        <v>74</v>
      </c>
      <c r="C9" s="99">
        <v>0.1252214677487857</v>
      </c>
    </row>
    <row r="10" spans="1:8" ht="15.75" customHeight="1" x14ac:dyDescent="0.25">
      <c r="B10" s="19" t="s">
        <v>75</v>
      </c>
      <c r="C10" s="99">
        <v>0.12499016226684589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82</v>
      </c>
      <c r="C15" s="99">
        <v>0.32507562913398969</v>
      </c>
      <c r="D15" s="99">
        <v>0.32507562913398969</v>
      </c>
      <c r="E15" s="99">
        <v>0.32507562913398969</v>
      </c>
      <c r="F15" s="99">
        <v>0.32507562913398969</v>
      </c>
    </row>
    <row r="16" spans="1:8" ht="15.75" customHeight="1" x14ac:dyDescent="0.25">
      <c r="B16" s="19" t="s">
        <v>83</v>
      </c>
      <c r="C16" s="99">
        <v>1.52583579249242E-2</v>
      </c>
      <c r="D16" s="99">
        <v>1.52583579249242E-2</v>
      </c>
      <c r="E16" s="99">
        <v>1.52583579249242E-2</v>
      </c>
      <c r="F16" s="99">
        <v>1.52583579249242E-2</v>
      </c>
    </row>
    <row r="17" spans="1:8" ht="15.75" customHeight="1" x14ac:dyDescent="0.25">
      <c r="B17" s="19" t="s">
        <v>84</v>
      </c>
      <c r="C17" s="99">
        <v>9.342367820145225E-3</v>
      </c>
      <c r="D17" s="99">
        <v>9.342367820145225E-3</v>
      </c>
      <c r="E17" s="99">
        <v>9.342367820145225E-3</v>
      </c>
      <c r="F17" s="99">
        <v>9.342367820145225E-3</v>
      </c>
    </row>
    <row r="18" spans="1:8" ht="15.75" customHeight="1" x14ac:dyDescent="0.25">
      <c r="B18" s="19" t="s">
        <v>85</v>
      </c>
      <c r="C18" s="99">
        <v>1.828073548493462E-4</v>
      </c>
      <c r="D18" s="99">
        <v>1.828073548493462E-4</v>
      </c>
      <c r="E18" s="99">
        <v>1.828073548493462E-4</v>
      </c>
      <c r="F18" s="99">
        <v>1.828073548493462E-4</v>
      </c>
    </row>
    <row r="19" spans="1:8" ht="15.75" customHeight="1" x14ac:dyDescent="0.25">
      <c r="B19" s="19" t="s">
        <v>86</v>
      </c>
      <c r="C19" s="99">
        <v>0.12748543941078561</v>
      </c>
      <c r="D19" s="99">
        <v>0.12748543941078561</v>
      </c>
      <c r="E19" s="99">
        <v>0.12748543941078561</v>
      </c>
      <c r="F19" s="99">
        <v>0.12748543941078561</v>
      </c>
    </row>
    <row r="20" spans="1:8" ht="15.75" customHeight="1" x14ac:dyDescent="0.25">
      <c r="B20" s="19" t="s">
        <v>87</v>
      </c>
      <c r="C20" s="99">
        <v>4.5226299892980569E-3</v>
      </c>
      <c r="D20" s="99">
        <v>4.5226299892980569E-3</v>
      </c>
      <c r="E20" s="99">
        <v>4.5226299892980569E-3</v>
      </c>
      <c r="F20" s="99">
        <v>4.5226299892980569E-3</v>
      </c>
    </row>
    <row r="21" spans="1:8" ht="15.75" customHeight="1" x14ac:dyDescent="0.25">
      <c r="B21" s="19" t="s">
        <v>88</v>
      </c>
      <c r="C21" s="99">
        <v>0.15939031250457769</v>
      </c>
      <c r="D21" s="99">
        <v>0.15939031250457769</v>
      </c>
      <c r="E21" s="99">
        <v>0.15939031250457769</v>
      </c>
      <c r="F21" s="99">
        <v>0.15939031250457769</v>
      </c>
    </row>
    <row r="22" spans="1:8" ht="15.75" customHeight="1" x14ac:dyDescent="0.25">
      <c r="B22" s="19" t="s">
        <v>89</v>
      </c>
      <c r="C22" s="99">
        <v>0.1569370897422229</v>
      </c>
      <c r="D22" s="99">
        <v>0.1569370897422229</v>
      </c>
      <c r="E22" s="99">
        <v>0.1569370897422229</v>
      </c>
      <c r="F22" s="99">
        <v>0.1569370897422229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4.7503243000000001E-2</v>
      </c>
    </row>
    <row r="27" spans="1:8" ht="15.75" customHeight="1" x14ac:dyDescent="0.25">
      <c r="B27" s="19" t="s">
        <v>92</v>
      </c>
      <c r="C27" s="99">
        <v>1.0367542E-2</v>
      </c>
    </row>
    <row r="28" spans="1:8" ht="15.75" customHeight="1" x14ac:dyDescent="0.25">
      <c r="B28" s="19" t="s">
        <v>93</v>
      </c>
      <c r="C28" s="99">
        <v>0.17293429099999999</v>
      </c>
    </row>
    <row r="29" spans="1:8" ht="15.75" customHeight="1" x14ac:dyDescent="0.25">
      <c r="B29" s="19" t="s">
        <v>94</v>
      </c>
      <c r="C29" s="99">
        <v>0.15789878800000001</v>
      </c>
    </row>
    <row r="30" spans="1:8" ht="15.75" customHeight="1" x14ac:dyDescent="0.25">
      <c r="B30" s="19" t="s">
        <v>95</v>
      </c>
      <c r="C30" s="99">
        <v>5.576656E-2</v>
      </c>
    </row>
    <row r="31" spans="1:8" ht="15.75" customHeight="1" x14ac:dyDescent="0.25">
      <c r="B31" s="19" t="s">
        <v>96</v>
      </c>
      <c r="C31" s="99">
        <v>6.3201558000000005E-2</v>
      </c>
    </row>
    <row r="32" spans="1:8" ht="15.75" customHeight="1" x14ac:dyDescent="0.25">
      <c r="B32" s="19" t="s">
        <v>97</v>
      </c>
      <c r="C32" s="99">
        <v>1.0057959E-2</v>
      </c>
    </row>
    <row r="33" spans="2:3" ht="15.75" customHeight="1" x14ac:dyDescent="0.25">
      <c r="B33" s="19" t="s">
        <v>98</v>
      </c>
      <c r="C33" s="99">
        <v>0.165459261</v>
      </c>
    </row>
    <row r="34" spans="2:3" ht="15.75" customHeight="1" x14ac:dyDescent="0.25">
      <c r="B34" s="19" t="s">
        <v>99</v>
      </c>
      <c r="C34" s="99">
        <v>0.316810798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104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105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109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110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</v>
      </c>
      <c r="D5" s="52">
        <f t="shared" si="0"/>
        <v>1.6097599999999934E-2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1336.5460472984701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0.44085000000000002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0.30329999999999996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1.9631895417119349E-2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96909.39129</v>
      </c>
      <c r="C22" s="107">
        <v>96618.065000000002</v>
      </c>
      <c r="D22" s="107">
        <v>96396.876780000006</v>
      </c>
      <c r="E22" s="107">
        <v>96007.266570000007</v>
      </c>
      <c r="F22" s="107">
        <v>95500.03499</v>
      </c>
      <c r="G22" s="107">
        <v>94971.390209999998</v>
      </c>
      <c r="H22" s="107">
        <v>94329.785730000003</v>
      </c>
      <c r="I22" s="107">
        <v>93431.989069999996</v>
      </c>
      <c r="J22" s="107">
        <v>92077.744720000002</v>
      </c>
      <c r="K22" s="107">
        <v>89987.683520000006</v>
      </c>
      <c r="L22" s="107">
        <v>86734.672309999994</v>
      </c>
      <c r="M22" s="107">
        <v>81890.059389999995</v>
      </c>
      <c r="N22" s="107">
        <v>74666.415420000005</v>
      </c>
      <c r="O22" s="107">
        <v>64611.690329999998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17.026484135107474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17.026484135107474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8.0705350947424606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0.61278763993956276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0.24171699078812695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0.86284800000000006</v>
      </c>
      <c r="C10" s="96">
        <v>0.95</v>
      </c>
      <c r="D10" s="56">
        <v>14.191711276470389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14.191711276470389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14.191711276470389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14.191711276470389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0.86284800000000006</v>
      </c>
      <c r="C14" s="96">
        <v>0.95</v>
      </c>
      <c r="D14" s="56">
        <v>14.191711276470389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14.191711276470389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2.02589E-2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2.41416666666667E-2</v>
      </c>
      <c r="C17" s="96">
        <v>0.95</v>
      </c>
      <c r="D17" s="56">
        <v>9.7330203637492063E-2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0.52100000000000002</v>
      </c>
      <c r="C18" s="96">
        <v>0.95</v>
      </c>
      <c r="D18" s="56">
        <v>8.0705350947424606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0.53241950000000005</v>
      </c>
      <c r="C19" s="96">
        <v>0.95</v>
      </c>
      <c r="D19" s="56">
        <v>1.783669753024828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8.0705350947424606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4.6601859455142458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0.71992641902920995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0.27900000000000003</v>
      </c>
      <c r="C26" s="96">
        <v>0.95</v>
      </c>
      <c r="D26" s="56">
        <v>4.7229528222409431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0.38404090000000002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0.48240959999999999</v>
      </c>
      <c r="C29" s="96">
        <v>0.95</v>
      </c>
      <c r="D29" s="56">
        <v>26.81689264396762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9.1000000000000004E-3</v>
      </c>
      <c r="C31" s="96">
        <v>0.95</v>
      </c>
      <c r="D31" s="56">
        <v>175.48809161556471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</v>
      </c>
      <c r="C32" s="96">
        <v>0.95</v>
      </c>
      <c r="D32" s="56">
        <v>0.45463218100922231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0.6354284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0.44971359999999999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0.14526700000000001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0.50166370000000005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0.107</v>
      </c>
      <c r="C38" s="96">
        <v>0.95</v>
      </c>
      <c r="D38" s="56">
        <v>1.6798709086682517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3.302</v>
      </c>
      <c r="C2" s="21">
        <f>'Baseline year population inputs'!C52</f>
        <v>3.302</v>
      </c>
      <c r="D2" s="21">
        <f>'Baseline year population inputs'!C53</f>
        <v>4.55</v>
      </c>
      <c r="E2" s="21">
        <f>'Baseline year population inputs'!C54</f>
        <v>3.4319999999999999</v>
      </c>
      <c r="F2" s="21">
        <f>'Baseline year population inputs'!C55</f>
        <v>2.123333333333334</v>
      </c>
    </row>
    <row r="3" spans="1:6" ht="15.75" customHeight="1" x14ac:dyDescent="0.25">
      <c r="A3" s="3" t="s">
        <v>197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198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0.15</v>
      </c>
      <c r="F2" s="60">
        <f>food_insecure</f>
        <v>0.15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7.1543333333333348E-2</v>
      </c>
      <c r="D7" s="60">
        <f>diarrhoea_1_5mo*frac_diarrhea_severe</f>
        <v>7.1543333333333348E-2</v>
      </c>
      <c r="E7" s="60">
        <f>diarrhoea_6_11mo*frac_diarrhea_severe</f>
        <v>9.8583333333333342E-2</v>
      </c>
      <c r="F7" s="60">
        <f>diarrhoea_12_23mo*frac_diarrhea_severe</f>
        <v>7.4360000000000009E-2</v>
      </c>
      <c r="G7" s="60">
        <f>diarrhoea_24_59mo*frac_diarrhea_severe</f>
        <v>4.6005555555555577E-2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7.1543333333333348E-2</v>
      </c>
      <c r="D12" s="60">
        <f>diarrhoea_1_5mo*frac_diarrhea_severe</f>
        <v>7.1543333333333348E-2</v>
      </c>
      <c r="E12" s="60">
        <f>diarrhoea_6_11mo*frac_diarrhea_severe</f>
        <v>9.8583333333333342E-2</v>
      </c>
      <c r="F12" s="60">
        <f>diarrhoea_12_23mo*frac_diarrhea_severe</f>
        <v>7.4360000000000009E-2</v>
      </c>
      <c r="G12" s="60">
        <f>diarrhoea_24_59mo*frac_diarrhea_severe</f>
        <v>4.6005555555555577E-2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</v>
      </c>
      <c r="I15" s="60">
        <f t="shared" si="0"/>
        <v>0.15</v>
      </c>
      <c r="J15" s="60">
        <f t="shared" si="0"/>
        <v>0.15</v>
      </c>
      <c r="K15" s="60">
        <f t="shared" si="0"/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</v>
      </c>
      <c r="I16" s="60">
        <f t="shared" si="0"/>
        <v>0.15</v>
      </c>
      <c r="J16" s="60">
        <f t="shared" si="0"/>
        <v>0.15</v>
      </c>
      <c r="K16" s="60">
        <f t="shared" si="0"/>
        <v>0.15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0.24715611858834899</v>
      </c>
      <c r="M24" s="60">
        <f>famplan_unmet_need</f>
        <v>0.24715611858834899</v>
      </c>
      <c r="N24" s="60">
        <f>famplan_unmet_need</f>
        <v>0.24715611858834899</v>
      </c>
      <c r="O24" s="60">
        <f>famplan_unmet_need</f>
        <v>0.24715611858834899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0.1939016268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8.310069719999999E-2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9.4812876000000004E-2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0.62818479999999999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2.5600000000000001E-2</v>
      </c>
      <c r="D34" s="60">
        <f t="shared" si="4"/>
        <v>2.5600000000000001E-2</v>
      </c>
      <c r="E34" s="60">
        <f t="shared" si="4"/>
        <v>2.5600000000000001E-2</v>
      </c>
      <c r="F34" s="60">
        <f t="shared" si="4"/>
        <v>2.5600000000000001E-2</v>
      </c>
      <c r="G34" s="60">
        <f t="shared" si="4"/>
        <v>2.5600000000000001E-2</v>
      </c>
      <c r="H34" s="60">
        <f t="shared" si="4"/>
        <v>2.5600000000000001E-2</v>
      </c>
      <c r="I34" s="60">
        <f t="shared" si="4"/>
        <v>2.5600000000000001E-2</v>
      </c>
      <c r="J34" s="60">
        <f t="shared" si="4"/>
        <v>2.5600000000000001E-2</v>
      </c>
      <c r="K34" s="60">
        <f t="shared" si="4"/>
        <v>2.5600000000000001E-2</v>
      </c>
      <c r="L34" s="60">
        <f t="shared" si="4"/>
        <v>2.5600000000000001E-2</v>
      </c>
      <c r="M34" s="60">
        <f t="shared" si="4"/>
        <v>2.5600000000000001E-2</v>
      </c>
      <c r="N34" s="60">
        <f t="shared" si="4"/>
        <v>2.5600000000000001E-2</v>
      </c>
      <c r="O34" s="60">
        <f t="shared" si="4"/>
        <v>2.5600000000000001E-2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