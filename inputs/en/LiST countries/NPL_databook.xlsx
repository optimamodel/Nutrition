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A9A833D-C017-4E6B-9E10-A720379E5CA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<sst xmlns="http://schemas.openxmlformats.org/spreadsheetml/2006/main" count="2103" uniqueCount="341">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</sst>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2974281.03125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0.57262748718261702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100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101">
        <v>6.8189616093901534E-2</v>
      </c>
    </row>
    <row r="5" spans="1:8" ht="15.75" customHeight="1" x14ac:dyDescent="0.25">
      <c r="B5" s="19" t="s">
        <v>70</v>
      </c>
      <c r="C5" s="101">
        <v>0.1000974723100938</v>
      </c>
    </row>
    <row r="6" spans="1:8" ht="15.75" customHeight="1" x14ac:dyDescent="0.25">
      <c r="B6" s="19" t="s">
        <v>71</v>
      </c>
      <c r="C6" s="101">
        <v>0.26534518868097168</v>
      </c>
    </row>
    <row r="7" spans="1:8" ht="15.75" customHeight="1" x14ac:dyDescent="0.25">
      <c r="B7" s="19" t="s">
        <v>72</v>
      </c>
      <c r="C7" s="101">
        <v>0.29945329704313961</v>
      </c>
    </row>
    <row r="8" spans="1:8" ht="15.75" customHeight="1" x14ac:dyDescent="0.25">
      <c r="B8" s="19" t="s">
        <v>73</v>
      </c>
      <c r="C8" s="101">
        <v>1.967746635595265E-3</v>
      </c>
    </row>
    <row r="9" spans="1:8" ht="15.75" customHeight="1" x14ac:dyDescent="0.25">
      <c r="B9" s="19" t="s">
        <v>74</v>
      </c>
      <c r="C9" s="101">
        <v>0.1252214677487857</v>
      </c>
    </row>
    <row r="10" spans="1:8" ht="15.75" customHeight="1" x14ac:dyDescent="0.25">
      <c r="B10" s="19" t="s">
        <v>75</v>
      </c>
      <c r="C10" s="101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83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84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85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86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87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88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89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101">
        <v>1.0367542E-2</v>
      </c>
    </row>
    <row r="28" spans="1:8" ht="15.75" customHeight="1" x14ac:dyDescent="0.25">
      <c r="B28" s="19" t="s">
        <v>93</v>
      </c>
      <c r="C28" s="101">
        <v>0.17293429099999999</v>
      </c>
    </row>
    <row r="29" spans="1:8" ht="15.75" customHeight="1" x14ac:dyDescent="0.25">
      <c r="B29" s="19" t="s">
        <v>94</v>
      </c>
      <c r="C29" s="101">
        <v>0.15789878800000001</v>
      </c>
    </row>
    <row r="30" spans="1:8" ht="15.75" customHeight="1" x14ac:dyDescent="0.25">
      <c r="B30" s="19" t="s">
        <v>95</v>
      </c>
      <c r="C30" s="101">
        <v>5.576656E-2</v>
      </c>
    </row>
    <row r="31" spans="1:8" ht="15.75" customHeight="1" x14ac:dyDescent="0.25">
      <c r="B31" s="19" t="s">
        <v>96</v>
      </c>
      <c r="C31" s="101">
        <v>6.3201558000000005E-2</v>
      </c>
    </row>
    <row r="32" spans="1:8" ht="15.75" customHeight="1" x14ac:dyDescent="0.25">
      <c r="B32" s="19" t="s">
        <v>97</v>
      </c>
      <c r="C32" s="101">
        <v>1.0057959E-2</v>
      </c>
    </row>
    <row r="33" spans="2:3" ht="15.75" customHeight="1" x14ac:dyDescent="0.25">
      <c r="B33" s="19" t="s">
        <v>98</v>
      </c>
      <c r="C33" s="101">
        <v>0.165459261</v>
      </c>
    </row>
    <row r="34" spans="2:3" ht="15.75" customHeight="1" x14ac:dyDescent="0.25">
      <c r="B34" s="19" t="s">
        <v>99</v>
      </c>
      <c r="C34" s="101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36.247519202644909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44.666649407350029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72.912225149850372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1.2981701784564781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0.86284800000000006</v>
      </c>
      <c r="C10" s="98">
        <v>0.95</v>
      </c>
      <c r="D10" s="56">
        <v>14.191711276470389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14.191711276470389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14.191711276470389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14.191711276470389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0.86284800000000006</v>
      </c>
      <c r="C14" s="98">
        <v>0.95</v>
      </c>
      <c r="D14" s="56">
        <v>14.191711276470389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14.191711276470389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2.02589E-2</v>
      </c>
      <c r="C16" s="98">
        <v>0.95</v>
      </c>
      <c r="D16" s="56">
        <v>0.2479965587591009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2.41416666666667E-2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0.53241950000000005</v>
      </c>
      <c r="C18" s="98">
        <v>0.95</v>
      </c>
      <c r="D18" s="56">
        <v>1.783669753024828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0.53241950000000005</v>
      </c>
      <c r="C19" s="98">
        <v>0.95</v>
      </c>
      <c r="D19" s="56">
        <v>1.783669753024828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9.0332234091804775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24.192824415868039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4.6601859455142458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0.71992641902920995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0.86284800000000006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20.497190899555481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0.38404090000000002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0.48240959999999999</v>
      </c>
      <c r="C29" s="98">
        <v>0.95</v>
      </c>
      <c r="D29" s="56">
        <v>63.934132245620098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9.1000000000000004E-3</v>
      </c>
      <c r="C31" s="98">
        <v>0.95</v>
      </c>
      <c r="D31" s="56">
        <v>1.2528760783438719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</v>
      </c>
      <c r="C32" s="98">
        <v>0.95</v>
      </c>
      <c r="D32" s="56">
        <v>0.47412256872115971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0.6354284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0.44971359999999999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0.14526700000000001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0.50166370000000005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0.17940590000000001</v>
      </c>
      <c r="C38" s="98">
        <v>0.95</v>
      </c>
      <c r="D38" s="56">
        <v>2.060337016073285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205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0.10893577972512025</v>
      </c>
      <c r="G18" s="90">
        <f>MIN(MAX(1-0.89/(1-frac_sam_12_23months+(frac_sam_12_23months*0.89)),0),1)</f>
        <v>0.10890478784526347</v>
      </c>
      <c r="H18" s="90">
        <f>MIN(MAX(1-0.89/(1-frac_sam_24_59months+(frac_sam_24_59months*0.89)),0),1)</f>
        <v>0.10938258660310196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0.10270915023746696</v>
      </c>
      <c r="G20" s="90">
        <f>MIN(MAX(1-0.89/(1-frac_mam_12_23months+(frac_mam_12_23months*0.89)),0),1)</f>
        <v>0.10164156622752718</v>
      </c>
      <c r="H20" s="90">
        <f>MIN(MAX(1-0.89/(1-frac_mam_24_59months+(frac_mam_24_59months*0.89)),0),1)</f>
        <v>0.10463070492418569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9.8924990780874245E-3</v>
      </c>
      <c r="G73" s="90">
        <f>MIN(MAX(1-0.99/(1-frac_sam_12_23months+(frac_sam_12_23months*0.99)),0),1)</f>
        <v>9.8893719691982573E-3</v>
      </c>
      <c r="H73" s="90">
        <f>MIN(MAX(1-0.99/(1-frac_sam_24_59months+(frac_sam_24_59months*0.99)),0),1)</f>
        <v>9.9376042876972992E-3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9.2681731492647579E-3</v>
      </c>
      <c r="G75" s="90">
        <f>MIN(MAX(1-0.99/(1-frac_mam_12_23months+(frac_mam_12_23months*0.99)),0),1)</f>
        <v>9.1619204179852476E-3</v>
      </c>
      <c r="H75" s="90">
        <f>MIN(MAX(1-0.99/(1-frac_mam_24_59months+(frac_mam_24_59months*0.99)),0),1)</f>
        <v>9.4599991942407868E-3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0.19825901946075897</v>
      </c>
      <c r="G128" s="90">
        <f>MIN(MAX(1-0.8/(1-frac_sam_12_23months+(frac_sam_12_23months*0.8)),0),1)</f>
        <v>0.19820826808836622</v>
      </c>
      <c r="H128" s="90">
        <f>MIN(MAX(1-0.8/(1-frac_sam_24_59months+(frac_sam_24_59months*0.8)),0),1)</f>
        <v>0.19899037542880538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0.18800400971739961</v>
      </c>
      <c r="G130" s="90">
        <f>MIN(MAX(1-0.8/(1-frac_mam_12_23months+(frac_mam_12_23months*0.8)),0),1)</f>
        <v>0.18623385999125075</v>
      </c>
      <c r="H130" s="90">
        <f>MIN(MAX(1-0.8/(1-frac_mam_24_59months+(frac_mam_24_59months*0.8)),0),1)</f>
        <v>0.19118132052671399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2024-06-18T06:56:31Z</dcterms:modified>
</cp:coreProperties>
</file>