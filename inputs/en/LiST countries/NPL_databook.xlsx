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A6BA801-52B1-4D1B-8348-9F6D6E093D67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<sst xmlns="http://schemas.openxmlformats.org/spreadsheetml/2006/main" count="2102" uniqueCount="341">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</sst>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2974281.03125</v>
      </c>
    </row>
    <row r="8" spans="1:3" ht="15" customHeight="1" x14ac:dyDescent="0.25">
      <c r="B8" s="5" t="s">
        <v>8</v>
      </c>
      <c r="C8" s="44">
        <v>0.15</v>
      </c>
    </row>
    <row r="9" spans="1:3" ht="15" customHeight="1" x14ac:dyDescent="0.25">
      <c r="B9" s="5" t="s">
        <v>9</v>
      </c>
      <c r="C9" s="45">
        <v>2.5600000000000001E-2</v>
      </c>
    </row>
    <row r="10" spans="1:3" ht="15" customHeight="1" x14ac:dyDescent="0.25">
      <c r="B10" s="5" t="s">
        <v>10</v>
      </c>
      <c r="C10" s="45">
        <v>0.57262748718261702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0.1673</v>
      </c>
    </row>
    <row r="24" spans="1:3" ht="15" customHeight="1" x14ac:dyDescent="0.25">
      <c r="B24" s="15" t="s">
        <v>22</v>
      </c>
      <c r="C24" s="45">
        <v>0.62609999999999999</v>
      </c>
    </row>
    <row r="25" spans="1:3" ht="15" customHeight="1" x14ac:dyDescent="0.25">
      <c r="B25" s="15" t="s">
        <v>23</v>
      </c>
      <c r="C25" s="45">
        <v>0.1709</v>
      </c>
    </row>
    <row r="26" spans="1:3" ht="15" customHeight="1" x14ac:dyDescent="0.25">
      <c r="B26" s="15" t="s">
        <v>24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16.166080000000001</v>
      </c>
    </row>
    <row r="38" spans="1:5" ht="15" customHeight="1" x14ac:dyDescent="0.25">
      <c r="B38" s="11" t="s">
        <v>34</v>
      </c>
      <c r="C38" s="43">
        <v>22.820869999999999</v>
      </c>
      <c r="D38" s="12"/>
      <c r="E38" s="13"/>
    </row>
    <row r="39" spans="1:5" ht="15" customHeight="1" x14ac:dyDescent="0.25">
      <c r="B39" s="11" t="s">
        <v>35</v>
      </c>
      <c r="C39" s="43">
        <v>27.16347</v>
      </c>
      <c r="D39" s="12"/>
      <c r="E39" s="12"/>
    </row>
    <row r="40" spans="1:5" ht="15" customHeight="1" x14ac:dyDescent="0.25">
      <c r="B40" s="11" t="s">
        <v>36</v>
      </c>
      <c r="C40" s="100">
        <v>1.74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1.6335800000000001E-2</v>
      </c>
      <c r="D45" s="12"/>
    </row>
    <row r="46" spans="1:5" ht="15.75" customHeight="1" x14ac:dyDescent="0.25">
      <c r="B46" s="11" t="s">
        <v>41</v>
      </c>
      <c r="C46" s="45">
        <v>9.5621299999999992E-2</v>
      </c>
      <c r="D46" s="12"/>
    </row>
    <row r="47" spans="1:5" ht="15.75" customHeight="1" x14ac:dyDescent="0.25">
      <c r="B47" s="11" t="s">
        <v>42</v>
      </c>
      <c r="C47" s="45">
        <v>0.41425559999999989</v>
      </c>
      <c r="D47" s="12"/>
      <c r="E47" s="13"/>
    </row>
    <row r="48" spans="1:5" ht="15" customHeight="1" x14ac:dyDescent="0.25">
      <c r="B48" s="11" t="s">
        <v>43</v>
      </c>
      <c r="C48" s="46">
        <v>0.47378730000000002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0.50705099999999992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0.21813127999999901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608426</v>
      </c>
      <c r="C2" s="49">
        <v>1786424</v>
      </c>
      <c r="D2" s="49">
        <v>3228717</v>
      </c>
      <c r="E2" s="49">
        <v>2633684.5</v>
      </c>
      <c r="F2" s="49">
        <v>1585960.5</v>
      </c>
      <c r="G2" s="17">
        <f t="shared" ref="G2:G13" si="0">C2+D2+E2+F2</f>
        <v>9234786</v>
      </c>
      <c r="H2" s="17">
        <f t="shared" ref="H2:H13" si="1">(B2 + stillbirth*B2/(1000-stillbirth))/(1-abortion)</f>
        <v>702435.71714418952</v>
      </c>
      <c r="I2" s="17">
        <f t="shared" ref="I2:I13" si="2">G2-H2</f>
        <v>8532350.2828558106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602506</v>
      </c>
      <c r="C3" s="50">
        <v>1752200.5</v>
      </c>
      <c r="D3" s="50">
        <v>3215647.5</v>
      </c>
      <c r="E3" s="50">
        <v>2717887</v>
      </c>
      <c r="F3" s="50">
        <v>1643646.5</v>
      </c>
      <c r="G3" s="17">
        <f t="shared" si="0"/>
        <v>9329381.5</v>
      </c>
      <c r="H3" s="17">
        <f t="shared" si="1"/>
        <v>695601.0002755915</v>
      </c>
      <c r="I3" s="17">
        <f t="shared" si="2"/>
        <v>8633780.4997244086</v>
      </c>
    </row>
    <row r="4" spans="1:9" ht="15.75" customHeight="1" x14ac:dyDescent="0.25">
      <c r="A4" s="5">
        <f t="shared" si="3"/>
        <v>2026</v>
      </c>
      <c r="B4" s="49">
        <v>596660</v>
      </c>
      <c r="C4" s="50">
        <v>1727583.5</v>
      </c>
      <c r="D4" s="50">
        <v>3190963.5</v>
      </c>
      <c r="E4" s="50">
        <v>2798086</v>
      </c>
      <c r="F4" s="50">
        <v>1703668</v>
      </c>
      <c r="G4" s="17">
        <f t="shared" si="0"/>
        <v>9420301</v>
      </c>
      <c r="H4" s="17">
        <f t="shared" si="1"/>
        <v>688851.71736785094</v>
      </c>
      <c r="I4" s="17">
        <f t="shared" si="2"/>
        <v>8731449.2826321498</v>
      </c>
    </row>
    <row r="5" spans="1:9" ht="15.75" customHeight="1" x14ac:dyDescent="0.25">
      <c r="A5" s="5">
        <f t="shared" si="3"/>
        <v>2027</v>
      </c>
      <c r="B5" s="49">
        <v>589140</v>
      </c>
      <c r="C5" s="50">
        <v>1712446.5</v>
      </c>
      <c r="D5" s="50">
        <v>3158563.5</v>
      </c>
      <c r="E5" s="50">
        <v>2870601.5</v>
      </c>
      <c r="F5" s="50">
        <v>1765151.5</v>
      </c>
      <c r="G5" s="17">
        <f t="shared" si="0"/>
        <v>9506763</v>
      </c>
      <c r="H5" s="17">
        <f t="shared" si="1"/>
        <v>680169.77972395625</v>
      </c>
      <c r="I5" s="17">
        <f t="shared" si="2"/>
        <v>8826593.2202760428</v>
      </c>
    </row>
    <row r="6" spans="1:9" ht="15.75" customHeight="1" x14ac:dyDescent="0.25">
      <c r="A6" s="5">
        <f t="shared" si="3"/>
        <v>2028</v>
      </c>
      <c r="B6" s="49">
        <v>580528</v>
      </c>
      <c r="C6" s="50">
        <v>1704565</v>
      </c>
      <c r="D6" s="50">
        <v>3119257</v>
      </c>
      <c r="E6" s="50">
        <v>2935861.5</v>
      </c>
      <c r="F6" s="50">
        <v>1828254</v>
      </c>
      <c r="G6" s="17">
        <f t="shared" si="0"/>
        <v>9587937.5</v>
      </c>
      <c r="H6" s="17">
        <f t="shared" si="1"/>
        <v>670227.11390092142</v>
      </c>
      <c r="I6" s="17">
        <f t="shared" si="2"/>
        <v>8917710.3860990778</v>
      </c>
    </row>
    <row r="7" spans="1:9" ht="15.75" customHeight="1" x14ac:dyDescent="0.25">
      <c r="A7" s="5">
        <f t="shared" si="3"/>
        <v>2029</v>
      </c>
      <c r="B7" s="49">
        <v>571094</v>
      </c>
      <c r="C7" s="50">
        <v>1702285</v>
      </c>
      <c r="D7" s="50">
        <v>3072971</v>
      </c>
      <c r="E7" s="50">
        <v>2994810.5</v>
      </c>
      <c r="F7" s="50">
        <v>1893267.5</v>
      </c>
      <c r="G7" s="17">
        <f t="shared" si="0"/>
        <v>9663334</v>
      </c>
      <c r="H7" s="17">
        <f t="shared" si="1"/>
        <v>659335.4384045779</v>
      </c>
      <c r="I7" s="17">
        <f t="shared" si="2"/>
        <v>9003998.5615954213</v>
      </c>
    </row>
    <row r="8" spans="1:9" ht="15.75" customHeight="1" x14ac:dyDescent="0.25">
      <c r="A8" s="5">
        <f t="shared" si="3"/>
        <v>2030</v>
      </c>
      <c r="B8" s="49">
        <v>563309</v>
      </c>
      <c r="C8" s="50">
        <v>1703300</v>
      </c>
      <c r="D8" s="50">
        <v>3021745.5</v>
      </c>
      <c r="E8" s="50">
        <v>3046201</v>
      </c>
      <c r="F8" s="50">
        <v>1961193.5</v>
      </c>
      <c r="G8" s="17">
        <f t="shared" si="0"/>
        <v>9732440</v>
      </c>
      <c r="H8" s="17">
        <f t="shared" si="1"/>
        <v>650347.5548197747</v>
      </c>
      <c r="I8" s="17">
        <f t="shared" si="2"/>
        <v>9082092.4451802261</v>
      </c>
    </row>
    <row r="9" spans="1:9" ht="15.75" customHeight="1" x14ac:dyDescent="0.25">
      <c r="A9" s="5">
        <f t="shared" si="3"/>
        <v>2031</v>
      </c>
      <c r="B9" s="49">
        <v>554231</v>
      </c>
      <c r="C9" s="50">
        <v>1705130</v>
      </c>
      <c r="D9" s="50">
        <v>2970172.5</v>
      </c>
      <c r="E9" s="50">
        <v>3087473.5</v>
      </c>
      <c r="F9" s="50">
        <v>2031959.5</v>
      </c>
      <c r="G9" s="17">
        <f t="shared" si="0"/>
        <v>9794735.5</v>
      </c>
      <c r="H9" s="17">
        <f t="shared" si="1"/>
        <v>639866.88594593469</v>
      </c>
      <c r="I9" s="17">
        <f t="shared" si="2"/>
        <v>9154868.6140540652</v>
      </c>
    </row>
    <row r="10" spans="1:9" ht="15.75" customHeight="1" x14ac:dyDescent="0.25">
      <c r="A10" s="5">
        <f t="shared" si="3"/>
        <v>2032</v>
      </c>
      <c r="B10" s="49">
        <v>547825</v>
      </c>
      <c r="C10" s="50">
        <v>1705636</v>
      </c>
      <c r="D10" s="50">
        <v>2923724.5</v>
      </c>
      <c r="E10" s="50">
        <v>3115719.5</v>
      </c>
      <c r="F10" s="50">
        <v>2104133</v>
      </c>
      <c r="G10" s="17">
        <f t="shared" si="0"/>
        <v>9849213</v>
      </c>
      <c r="H10" s="17">
        <f t="shared" si="1"/>
        <v>632471.07576684037</v>
      </c>
      <c r="I10" s="17">
        <f t="shared" si="2"/>
        <v>9216741.9242331591</v>
      </c>
    </row>
    <row r="11" spans="1:9" ht="15.75" customHeight="1" x14ac:dyDescent="0.25">
      <c r="A11" s="5">
        <f t="shared" si="3"/>
        <v>2033</v>
      </c>
      <c r="B11" s="49">
        <v>538918</v>
      </c>
      <c r="C11" s="50">
        <v>1705750.5</v>
      </c>
      <c r="D11" s="50">
        <v>2881851</v>
      </c>
      <c r="E11" s="50">
        <v>3129153</v>
      </c>
      <c r="F11" s="50">
        <v>2176796</v>
      </c>
      <c r="G11" s="17">
        <f t="shared" si="0"/>
        <v>9893550.5</v>
      </c>
      <c r="H11" s="17">
        <f t="shared" si="1"/>
        <v>622187.82861336018</v>
      </c>
      <c r="I11" s="17">
        <f t="shared" si="2"/>
        <v>9271362.6713866405</v>
      </c>
    </row>
    <row r="12" spans="1:9" ht="15.75" customHeight="1" x14ac:dyDescent="0.25">
      <c r="A12" s="5">
        <f t="shared" si="3"/>
        <v>2034</v>
      </c>
      <c r="B12" s="49">
        <v>533574</v>
      </c>
      <c r="C12" s="50">
        <v>1706219.5</v>
      </c>
      <c r="D12" s="50">
        <v>2844242</v>
      </c>
      <c r="E12" s="50">
        <v>3129355.5</v>
      </c>
      <c r="F12" s="50">
        <v>2252416</v>
      </c>
      <c r="G12" s="17">
        <f t="shared" si="0"/>
        <v>9932233</v>
      </c>
      <c r="H12" s="17">
        <f t="shared" si="1"/>
        <v>616018.11122386903</v>
      </c>
      <c r="I12" s="17">
        <f t="shared" si="2"/>
        <v>9316214.888776131</v>
      </c>
    </row>
    <row r="13" spans="1:9" ht="15.75" customHeight="1" x14ac:dyDescent="0.25">
      <c r="A13" s="5">
        <f t="shared" si="3"/>
        <v>2035</v>
      </c>
      <c r="B13" s="49">
        <v>528263</v>
      </c>
      <c r="C13" s="50">
        <v>1707593</v>
      </c>
      <c r="D13" s="50">
        <v>2813828.5</v>
      </c>
      <c r="E13" s="50">
        <v>3117383.5</v>
      </c>
      <c r="F13" s="50">
        <v>2330563.5</v>
      </c>
      <c r="G13" s="17">
        <f t="shared" si="0"/>
        <v>9969368.5</v>
      </c>
      <c r="H13" s="17">
        <f t="shared" si="1"/>
        <v>609886.49276286829</v>
      </c>
      <c r="I13" s="17">
        <f t="shared" si="2"/>
        <v>9359482.0072371326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1.473504922066653E-2</v>
      </c>
    </row>
    <row r="4" spans="1:8" ht="15.75" customHeight="1" x14ac:dyDescent="0.25">
      <c r="B4" s="19" t="s">
        <v>69</v>
      </c>
      <c r="C4" s="101">
        <v>6.8189616093901534E-2</v>
      </c>
    </row>
    <row r="5" spans="1:8" ht="15.75" customHeight="1" x14ac:dyDescent="0.25">
      <c r="B5" s="19" t="s">
        <v>70</v>
      </c>
      <c r="C5" s="101">
        <v>0.1000974723100938</v>
      </c>
    </row>
    <row r="6" spans="1:8" ht="15.75" customHeight="1" x14ac:dyDescent="0.25">
      <c r="B6" s="19" t="s">
        <v>71</v>
      </c>
      <c r="C6" s="101">
        <v>0.26534518868097168</v>
      </c>
    </row>
    <row r="7" spans="1:8" ht="15.75" customHeight="1" x14ac:dyDescent="0.25">
      <c r="B7" s="19" t="s">
        <v>72</v>
      </c>
      <c r="C7" s="101">
        <v>0.29945329704313961</v>
      </c>
    </row>
    <row r="8" spans="1:8" ht="15.75" customHeight="1" x14ac:dyDescent="0.25">
      <c r="B8" s="19" t="s">
        <v>73</v>
      </c>
      <c r="C8" s="101">
        <v>1.967746635595265E-3</v>
      </c>
    </row>
    <row r="9" spans="1:8" ht="15.75" customHeight="1" x14ac:dyDescent="0.25">
      <c r="B9" s="19" t="s">
        <v>74</v>
      </c>
      <c r="C9" s="101">
        <v>0.1252214677487857</v>
      </c>
    </row>
    <row r="10" spans="1:8" ht="15.75" customHeight="1" x14ac:dyDescent="0.25">
      <c r="B10" s="19" t="s">
        <v>75</v>
      </c>
      <c r="C10" s="101">
        <v>0.12499016226684589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82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83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84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85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86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87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88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89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4.7503243000000001E-2</v>
      </c>
    </row>
    <row r="27" spans="1:8" ht="15.75" customHeight="1" x14ac:dyDescent="0.25">
      <c r="B27" s="19" t="s">
        <v>92</v>
      </c>
      <c r="C27" s="101">
        <v>1.0367542E-2</v>
      </c>
    </row>
    <row r="28" spans="1:8" ht="15.75" customHeight="1" x14ac:dyDescent="0.25">
      <c r="B28" s="19" t="s">
        <v>93</v>
      </c>
      <c r="C28" s="101">
        <v>0.17293429099999999</v>
      </c>
    </row>
    <row r="29" spans="1:8" ht="15.75" customHeight="1" x14ac:dyDescent="0.25">
      <c r="B29" s="19" t="s">
        <v>94</v>
      </c>
      <c r="C29" s="101">
        <v>0.15789878800000001</v>
      </c>
    </row>
    <row r="30" spans="1:8" ht="15.75" customHeight="1" x14ac:dyDescent="0.25">
      <c r="B30" s="19" t="s">
        <v>95</v>
      </c>
      <c r="C30" s="101">
        <v>5.576656E-2</v>
      </c>
    </row>
    <row r="31" spans="1:8" ht="15.75" customHeight="1" x14ac:dyDescent="0.25">
      <c r="B31" s="19" t="s">
        <v>96</v>
      </c>
      <c r="C31" s="101">
        <v>6.3201558000000005E-2</v>
      </c>
    </row>
    <row r="32" spans="1:8" ht="15.75" customHeight="1" x14ac:dyDescent="0.25">
      <c r="B32" s="19" t="s">
        <v>97</v>
      </c>
      <c r="C32" s="101">
        <v>1.0057959E-2</v>
      </c>
    </row>
    <row r="33" spans="2:3" ht="15.75" customHeight="1" x14ac:dyDescent="0.25">
      <c r="B33" s="19" t="s">
        <v>98</v>
      </c>
      <c r="C33" s="101">
        <v>0.165459261</v>
      </c>
    </row>
    <row r="34" spans="2:3" ht="15.75" customHeight="1" x14ac:dyDescent="0.25">
      <c r="B34" s="19" t="s">
        <v>99</v>
      </c>
      <c r="C34" s="101">
        <v>0.316810798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104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105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109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110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122</v>
      </c>
      <c r="C5" s="52">
        <v>1.7358100000000001E-2</v>
      </c>
      <c r="D5" s="52">
        <v>1.60976E-2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36.247519202644909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8.9994845662715997E-2</v>
      </c>
      <c r="C3" s="98">
        <v>0.95</v>
      </c>
      <c r="D3" s="56">
        <v>44.666649407350029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72.912225149850372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1.2981701784564781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0.86284800000000006</v>
      </c>
      <c r="C10" s="98">
        <v>0.95</v>
      </c>
      <c r="D10" s="56">
        <v>14.191711276470389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0.86284800000000006</v>
      </c>
      <c r="C11" s="98">
        <v>0.95</v>
      </c>
      <c r="D11" s="56">
        <v>14.191711276470389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0.86284800000000006</v>
      </c>
      <c r="C12" s="98">
        <v>0.95</v>
      </c>
      <c r="D12" s="56">
        <v>14.191711276470389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0.86284800000000006</v>
      </c>
      <c r="C13" s="98">
        <v>0.95</v>
      </c>
      <c r="D13" s="56">
        <v>14.191711276470389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0.86284800000000006</v>
      </c>
      <c r="C14" s="98">
        <v>0.95</v>
      </c>
      <c r="D14" s="56">
        <v>14.191711276470389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0.86284800000000006</v>
      </c>
      <c r="C15" s="98">
        <v>0.95</v>
      </c>
      <c r="D15" s="56">
        <v>14.191711276470389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0.91</v>
      </c>
      <c r="C16" s="98">
        <v>0.95</v>
      </c>
      <c r="D16" s="56">
        <v>0.2479965587591009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2.41416666666667E-2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0.18800752200842</v>
      </c>
      <c r="C18" s="98">
        <v>0.95</v>
      </c>
      <c r="D18" s="56">
        <v>1.783669753024828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0.80392700000000006</v>
      </c>
      <c r="C19" s="98">
        <v>0.95</v>
      </c>
      <c r="D19" s="56">
        <v>1.783669753024828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0.50166370000000005</v>
      </c>
      <c r="C21" s="98">
        <v>0.95</v>
      </c>
      <c r="D21" s="56">
        <v>9.0332234091804775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24.192824415868039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4.6601859455142458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0.77205202140585005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0.86284800000000006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20.497190899555481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0.60409406024046997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63.934132245620098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</v>
      </c>
      <c r="C31" s="98">
        <v>0.95</v>
      </c>
      <c r="D31" s="56">
        <v>1.2528760783438719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0.47412256872115971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0.48240959999999999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0.38404090000000002</v>
      </c>
      <c r="C38" s="98">
        <v>0.95</v>
      </c>
      <c r="D38" s="56">
        <v>2.060337016073285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205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0.15</v>
      </c>
      <c r="E2" s="60">
        <f>food_insecure</f>
        <v>0.15</v>
      </c>
      <c r="F2" s="60">
        <f>food_insecure</f>
        <v>0.15</v>
      </c>
      <c r="G2" s="60">
        <f>food_insecure</f>
        <v>0.15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0.15</v>
      </c>
      <c r="I15" s="60">
        <f>food_insecure</f>
        <v>0.15</v>
      </c>
      <c r="J15" s="60">
        <f>food_insecure</f>
        <v>0.15</v>
      </c>
      <c r="K15" s="60">
        <f>food_insecure</f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0.439</v>
      </c>
      <c r="M24" s="60">
        <f>famplan_unmet_need</f>
        <v>0.439</v>
      </c>
      <c r="N24" s="60">
        <f>famplan_unmet_need</f>
        <v>0.439</v>
      </c>
      <c r="O24" s="60">
        <f>famplan_unmet_need</f>
        <v>0.439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0.22287476543426521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9.551775661468509E-2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0.10897999076843266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0.57262748718261702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2.5600000000000001E-2</v>
      </c>
      <c r="D34" s="60">
        <f t="shared" si="3"/>
        <v>2.5600000000000001E-2</v>
      </c>
      <c r="E34" s="60">
        <f t="shared" si="3"/>
        <v>2.5600000000000001E-2</v>
      </c>
      <c r="F34" s="60">
        <f t="shared" si="3"/>
        <v>2.5600000000000001E-2</v>
      </c>
      <c r="G34" s="60">
        <f t="shared" si="3"/>
        <v>2.5600000000000001E-2</v>
      </c>
      <c r="H34" s="60">
        <f t="shared" si="3"/>
        <v>2.5600000000000001E-2</v>
      </c>
      <c r="I34" s="60">
        <f t="shared" si="3"/>
        <v>2.5600000000000001E-2</v>
      </c>
      <c r="J34" s="60">
        <f t="shared" si="3"/>
        <v>2.5600000000000001E-2</v>
      </c>
      <c r="K34" s="60">
        <f t="shared" si="3"/>
        <v>2.5600000000000001E-2</v>
      </c>
      <c r="L34" s="60">
        <f t="shared" si="3"/>
        <v>2.5600000000000001E-2</v>
      </c>
      <c r="M34" s="60">
        <f t="shared" si="3"/>
        <v>2.5600000000000001E-2</v>
      </c>
      <c r="N34" s="60">
        <f t="shared" si="3"/>
        <v>2.5600000000000001E-2</v>
      </c>
      <c r="O34" s="60">
        <f t="shared" si="3"/>
        <v>2.5600000000000001E-2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2024-05-09T01:46:41Z</dcterms:modified>
</cp:coreProperties>
</file>