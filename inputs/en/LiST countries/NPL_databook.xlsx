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Testing June 2025\Databooks\"/>
    </mc:Choice>
  </mc:AlternateContent>
  <xr:revisionPtr revIDLastSave="0" documentId="8_{A22CDE0B-CCEF-403E-ABC9-F79576773825}" xr6:coauthVersionLast="47" xr6:coauthVersionMax="47" xr10:uidLastSave="{00000000-0000-0000-0000-000000000000}"/>
  <bookViews>
    <workbookView xWindow="-110" yWindow="-110" windowWidth="19420" windowHeight="10420" tabRatio="961" firstSheet="5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input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Odds ratios" sheetId="23" state="hidden" r:id="rId21"/>
    <sheet name="Programs birth outcomes" sheetId="24" state="hidden" r:id="rId22"/>
    <sheet name="Birth outcome risks" sheetId="21" state="hidden" r:id="rId23"/>
    <sheet name="Relative risks" sheetId="22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14" l="1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G152" i="27"/>
  <c r="F152" i="27"/>
  <c r="H136" i="27"/>
  <c r="G136" i="27"/>
  <c r="F136" i="27"/>
  <c r="E136" i="27"/>
  <c r="H135" i="27"/>
  <c r="G135" i="27"/>
  <c r="F135" i="27"/>
  <c r="E135" i="27"/>
  <c r="D135" i="27"/>
  <c r="H134" i="27"/>
  <c r="G134" i="27"/>
  <c r="F134" i="27"/>
  <c r="E134" i="27"/>
  <c r="H133" i="27"/>
  <c r="G133" i="27"/>
  <c r="F133" i="27"/>
  <c r="E133" i="27"/>
  <c r="D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F97" i="27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H79" i="27"/>
  <c r="G79" i="27"/>
  <c r="F79" i="27"/>
  <c r="E79" i="27"/>
  <c r="H78" i="27"/>
  <c r="G78" i="27"/>
  <c r="F78" i="27"/>
  <c r="E78" i="27"/>
  <c r="D78" i="27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G40" i="2"/>
  <c r="H39" i="2"/>
  <c r="G39" i="2"/>
  <c r="H38" i="2"/>
  <c r="G38" i="2"/>
  <c r="H13" i="2"/>
  <c r="G13" i="2"/>
  <c r="I13" i="2" s="1"/>
  <c r="H12" i="2"/>
  <c r="G12" i="2"/>
  <c r="I12" i="2" s="1"/>
  <c r="H11" i="2"/>
  <c r="G11" i="2"/>
  <c r="I11" i="2" s="1"/>
  <c r="H10" i="2"/>
  <c r="G10" i="2"/>
  <c r="H9" i="2"/>
  <c r="G9" i="2"/>
  <c r="I9" i="2" s="1"/>
  <c r="H8" i="2"/>
  <c r="G8" i="2"/>
  <c r="H7" i="2"/>
  <c r="G7" i="2"/>
  <c r="H6" i="2"/>
  <c r="G6" i="2"/>
  <c r="H5" i="2"/>
  <c r="G5" i="2"/>
  <c r="H4" i="2"/>
  <c r="G4" i="2"/>
  <c r="H3" i="2"/>
  <c r="G3" i="2"/>
  <c r="H2" i="2"/>
  <c r="G2" i="2"/>
  <c r="A2" i="2"/>
  <c r="A39" i="2" s="1"/>
  <c r="C33" i="1"/>
  <c r="C20" i="1"/>
  <c r="I4" i="2" l="1"/>
  <c r="I8" i="2"/>
  <c r="A25" i="2"/>
  <c r="A26" i="2"/>
  <c r="I39" i="2"/>
  <c r="A31" i="2"/>
  <c r="A34" i="2"/>
  <c r="A40" i="2"/>
  <c r="I2" i="2"/>
  <c r="I6" i="2"/>
  <c r="A19" i="2"/>
  <c r="A35" i="2"/>
  <c r="A22" i="2"/>
  <c r="A36" i="2"/>
  <c r="I3" i="2"/>
  <c r="I7" i="2"/>
  <c r="A23" i="2"/>
  <c r="A37" i="2"/>
  <c r="A24" i="2"/>
  <c r="I38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<sst xmlns="http://schemas.openxmlformats.org/spreadsheetml/2006/main" count="2159" uniqueCount="372">
  <si>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</si>
  <si>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</si>
  <si>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</si>
  <si>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</si>
  <si>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</si>
  <si>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</si>
  <si>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</si>
  <si>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</si>
  <si>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</si>
  <si>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</si>
  <si>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</si>
  <si>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</si>
  <si>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</si>
  <si>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</si>
  <si>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</si>
  <si>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</si>
  <si>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</si>
  <si>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</si>
  <si>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</si>
  <si>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</si>
  <si>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</si>
  <si>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</si>
  <si>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</si>
  <si>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</si>
  <si>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</si>
  <si>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</si>
  <si>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</si>
  <si>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</si>
  <si>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</si>
  <si>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</si>
  <si>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</si>
  <si>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</si>
  <si>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</si>
  <si>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</si>
  <si>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</si>
  <si>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</si>
  <si>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</si>
  <si>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</si>
  <si>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</si>
  <si>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</si>
  <si>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</si>
  <si>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</si>
  <si>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</si>
  <si>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</si>
  <si>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</si>
  <si>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</si>
  <si>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</si>
  <si>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</si>
  <si>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</si>
  <si>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</si>
  <si>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</si>
  <si>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</si>
  <si>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</si>
  <si>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</si>
  <si>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</si>
  <si>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</si>
  <si>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</si>
  <si>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</si>
  <si>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</si>
  <si>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</si>
  <si>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</si>
  <si>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</si>
  <si>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</si>
  <si>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</si>
  <si>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</si>
  <si>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</si>
  <si>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</si>
  <si>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</si>
  <si>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</si>
  <si>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</si>
  <si>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</si>
  <si>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</si>
  <si>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</si>
  <si>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</si>
  <si>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</si>
  <si>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</si>
  <si>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</si>
  <si>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</si>
  <si>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</si>
  <si>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</si>
  <si>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</si>
  <si>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</si>
  <si>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</si>
  <si>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</si>
  <si>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</si>
  <si>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</si>
  <si>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</si>
  <si>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</si>
  <si>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</si>
  <si>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</si>
  <si>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</si>
  <si>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</si>
  <si>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</si>
  <si>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</si>
  <si>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</si>
  <si>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</si>
  <si>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</si>
  <si>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</si>
  <si>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</si>
  <si>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</si>
  <si>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</si>
  <si>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</si>
  <si>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</si>
  <si>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</si>
  <si>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</si>
  <si>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</si>
  <si>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</si>
  <si>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</si>
  <si>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</si>
  <si>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</si>
  <si>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</si>
  <si>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</si>
  <si>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</si>
  <si>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</si>
  <si>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</si>
  <si>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</si>
  <si>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</si>
  <si>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</si>
  <si>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</si>
  <si>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</si>
  <si>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</si>
  <si>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</si>
  <si>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</si>
  <si>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</si>
  <si>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</si>
  <si>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</si>
  <si>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</si>
  <si>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</si>
  <si>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</si>
  <si>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</si>
  <si>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</si>
  <si>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</si>
  <si>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</si>
  <si>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</si>
  <si>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</si>
  <si>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Cost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</si>
  <si>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</si>
  <si>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</si>
  <si>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</si>
  <si>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</si>
  <si>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</si>
  <si>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</si>
  <si>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</si>
  <si>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</si>
  <si>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</si>
  <si>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</si>
  <si>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</si>
  <si>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</si>
  <si>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</si>
  <si>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</si>
  <si>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</si>
  <si>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</si>
  <si>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</si>
  <si>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</si>
  <si>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</si>
  <si>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</si>
  <si>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</si>
  <si>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</si>
  <si>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</si>
  <si>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</si>
  <si>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</si>
  <si>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</si>
  <si>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</si>
  <si>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</si>
  <si>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</si>
  <si>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</si>
  <si>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</si>
  <si>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</si>
  <si>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</si>
  <si>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</si>
  <si>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</si>
  <si>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</si>
  <si>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</si>
  <si>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</si>
  <si>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</si>
  <si>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</si>
  <si>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</si>
  <si>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</si>
  <si>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</si>
  <si>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</si>
  <si>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</si>
  <si>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</si>
  <si>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</si>
  <si>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</si>
  <si>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</si>
  <si>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</si>
  <si>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</si>
  <si>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</si>
  <si>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</si>
  <si>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</si>
  <si>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</si>
  <si>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</si>
  <si>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</si>
  <si>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</si>
  <si>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</si>
  <si>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</si>
  <si>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</si>
  <si>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</si>
  <si>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</si>
  <si>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</si>
  <si>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</si>
  <si>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</si>
  <si>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</si>
  <si>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</si>
  <si>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</si>
  <si>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</si>
  <si>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</si>
  <si>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</si>
  <si>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</si>
  <si>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</si>
  <si>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</si>
  <si>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</si>
  <si>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</si>
  <si>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</si>
  <si>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</si>
  <si>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</si>
  <si>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</si>
  <si>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</si>
  <si>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</si>
  <si>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</si>
  <si>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</si>
  <si>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</si>
  <si>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</si>
  <si>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</si>
  <si>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</si>
  <si>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</si>
  <si>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</si>
  <si>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</si>
  <si>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</si>
  <si>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</si>
  <si>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</si>
  <si>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</si>
  <si>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</si>
  <si>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</si>
  <si>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</si>
  <si>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</si>
  <si>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</si>
  <si>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</si>
  <si>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</si>
  <si>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</si>
  <si>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</si>
  <si>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</si>
  <si>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</si>
  <si>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</si>
  <si>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</si>
  <si>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</si>
  <si>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</si>
  <si>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</si>
  <si>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</si>
  <si>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</si>
  <si>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</si>
  <si>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</si>
  <si>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</si>
  <si>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</si>
  <si>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</si>
  <si>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</si>
  <si>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</si>
  <si>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</si>
  <si>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</si>
  <si>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</si>
  <si>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</si>
  <si>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</si>
  <si>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</si>
  <si>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</si>
  <si>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</si>
  <si>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</si>
  <si>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</si>
  <si>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</si>
  <si>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</si>
  <si>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</si>
  <si>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</si>
  <si>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</si>
  <si>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</si>
  <si>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</si>
  <si>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</si>
  <si>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</si>
  <si>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</si>
  <si>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</si>
  <si>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</si>
  <si>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</si>
  <si>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</si>
  <si>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</si>
  <si>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</si>
  <si>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</si>
  <si>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</si>
  <si>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</si>
  <si>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</si>
  <si>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</si>
  <si>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</si>
  <si>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</si>
  <si>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</si>
  <si>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</si>
  <si>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</si>
  <si>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</si>
  <si>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</si>
  <si>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</si>
  <si>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</si>
  <si>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</si>
  <si>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</si>
  <si>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</si>
  <si>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</si>
  <si>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</si>
  <si>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</si>
  <si>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</si>
  <si>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</si>
  <si>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</si>
  <si>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</si>
  <si>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</si>
  <si>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</si>
  <si>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</si>
  <si>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</si>
  <si>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</si>
  <si>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</si>
  <si>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</si>
  <si>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</si>
  <si>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</si>
  <si>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</si>
  <si>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</si>
  <si>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</si>
  <si>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</si>
  <si>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</si>
  <si>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</si>
  <si>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</si>
  <si>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</si>
  <si>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</si>
  <si>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</si>
  <si>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</si>
  <si>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</si>
  <si>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</si>
  <si>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</si>
  <si>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</si>
  <si>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</si>
  <si>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</si>
  <si>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</si>
  <si>
    <t>Parameter</t>
  </si>
  <si>
    <t>Value</t>
  </si>
  <si>
    <t>GDP per capita</t>
  </si>
  <si>
    <t>GDP growth rate per annum</t>
  </si>
  <si>
    <t>Labor share of GDP</t>
  </si>
  <si>
    <t>Discounting (costs)</t>
  </si>
  <si>
    <t>Discounting (benefits)</t>
  </si>
  <si>
    <t>Starting age for workforce productivity</t>
  </si>
  <si>
    <t>Ending age for workforce productivity</t>
  </si>
  <si>
    <t>Female labor force participation</t>
  </si>
  <si>
    <t>Percentage of lifetime earning actually realized</t>
  </si>
  <si>
    <t>Percentage reduction in lifetime earnings for a stunted individual</t>
  </si>
  <si>
    <t>Percentage loss in productivity due to childhood anemia</t>
  </si>
  <si>
    <t>Percentage loss in productivity due to low birth weight</t>
  </si>
  <si>
    <t>Percentage loss in productivity due to maternal anemia</t>
  </si>
  <si>
    <t>Percentage of pregnancy to apply maternal anemia productivity loss to</t>
  </si>
  <si>
    <t>Increase in IQ points due to early breastfeeding</t>
  </si>
  <si>
    <t>Increase in earnings due per one point increase in IQ</t>
  </si>
  <si>
    <t>Percentage of stillbirths to include in productivity loss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</si>
  <si>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</si>
  <si>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</si>
  <si>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</si>
  <si>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</si>
  <si>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</si>
  <si>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</si>
  <si>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</si>
  <si>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</si>
  <si>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</si>
  <si>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</si>
  <si>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</si>
  <si>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</si>
  <si>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</si>
  <si>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</si>
  <si>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</si>
  <si>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Number of people left alive (starting with 100,000 births)</t>
  </si>
  <si>
    <t>Stillbirths</t>
  </si>
  <si>
    <t>Cash transfers - lower</t>
  </si>
  <si>
    <t>Cash transfers - 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</si>
</sst>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  <numFmt numFmtId="169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6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69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opLeftCell="A22" zoomScaleNormal="100" workbookViewId="0">
      <selection activeCell="E28" sqref="E28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2717880.5</v>
      </c>
    </row>
    <row r="8" spans="1:3" ht="15" customHeight="1" x14ac:dyDescent="0.25">
      <c r="B8" s="5" t="s">
        <v>8</v>
      </c>
      <c r="C8" s="44">
        <v>0.15</v>
      </c>
    </row>
    <row r="9" spans="1:3" ht="15" customHeight="1" x14ac:dyDescent="0.25">
      <c r="B9" s="5" t="s">
        <v>9</v>
      </c>
      <c r="C9" s="45">
        <v>2.5600000000000001E-2</v>
      </c>
    </row>
    <row r="10" spans="1:3" ht="15" customHeight="1" x14ac:dyDescent="0.25">
      <c r="B10" s="5" t="s">
        <v>10</v>
      </c>
      <c r="C10" s="45">
        <v>0.62818479999999999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0.24715611858834899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0.1673</v>
      </c>
    </row>
    <row r="24" spans="1:3" ht="15" customHeight="1" x14ac:dyDescent="0.25">
      <c r="B24" s="15" t="s">
        <v>22</v>
      </c>
      <c r="C24" s="45">
        <v>0.62609999999999999</v>
      </c>
    </row>
    <row r="25" spans="1:3" ht="15" customHeight="1" x14ac:dyDescent="0.25">
      <c r="B25" s="15" t="s">
        <v>23</v>
      </c>
      <c r="C25" s="45">
        <v>0.1709</v>
      </c>
    </row>
    <row r="26" spans="1:3" ht="15" customHeight="1" x14ac:dyDescent="0.25">
      <c r="B26" s="15" t="s">
        <v>24</v>
      </c>
      <c r="C26" s="45">
        <v>3.5700000000000003E-2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0.41227810089419697</v>
      </c>
    </row>
    <row r="30" spans="1:3" ht="14.25" customHeight="1" x14ac:dyDescent="0.25">
      <c r="B30" s="25" t="s">
        <v>27</v>
      </c>
      <c r="C30" s="99">
        <v>4.1696555750580601E-2</v>
      </c>
    </row>
    <row r="31" spans="1:3" ht="14.25" customHeight="1" x14ac:dyDescent="0.25">
      <c r="B31" s="25" t="s">
        <v>28</v>
      </c>
      <c r="C31" s="99">
        <v>7.5022305717839008E-2</v>
      </c>
    </row>
    <row r="32" spans="1:3" ht="14.25" customHeight="1" x14ac:dyDescent="0.25">
      <c r="B32" s="25" t="s">
        <v>29</v>
      </c>
      <c r="C32" s="99">
        <v>0.47100303763738299</v>
      </c>
    </row>
    <row r="33" spans="1:5" ht="13.25" customHeight="1" x14ac:dyDescent="0.25">
      <c r="B33" s="27" t="s">
        <v>30</v>
      </c>
      <c r="C33" s="48">
        <f>SUM(C29:C32)</f>
        <v>0.99999999999999956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16.166080000000001</v>
      </c>
    </row>
    <row r="38" spans="1:5" ht="15" customHeight="1" x14ac:dyDescent="0.25">
      <c r="B38" s="11" t="s">
        <v>34</v>
      </c>
      <c r="C38" s="43">
        <v>22.820869999999999</v>
      </c>
      <c r="D38" s="12"/>
      <c r="E38" s="13"/>
    </row>
    <row r="39" spans="1:5" ht="15" customHeight="1" x14ac:dyDescent="0.25">
      <c r="B39" s="11" t="s">
        <v>35</v>
      </c>
      <c r="C39" s="43">
        <v>27.16347</v>
      </c>
      <c r="D39" s="12"/>
      <c r="E39" s="12"/>
    </row>
    <row r="40" spans="1:5" ht="15" customHeight="1" x14ac:dyDescent="0.25">
      <c r="B40" s="11" t="s">
        <v>36</v>
      </c>
      <c r="C40" s="100">
        <v>1.74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15.72035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1.6335800000000001E-2</v>
      </c>
      <c r="D45" s="12"/>
    </row>
    <row r="46" spans="1:5" ht="15.75" customHeight="1" x14ac:dyDescent="0.25">
      <c r="B46" s="11" t="s">
        <v>41</v>
      </c>
      <c r="C46" s="45">
        <v>9.5621299999999992E-2</v>
      </c>
      <c r="D46" s="12"/>
    </row>
    <row r="47" spans="1:5" ht="15.75" customHeight="1" x14ac:dyDescent="0.25">
      <c r="B47" s="11" t="s">
        <v>42</v>
      </c>
      <c r="C47" s="45">
        <v>0.41425559999999989</v>
      </c>
      <c r="D47" s="12"/>
      <c r="E47" s="13"/>
    </row>
    <row r="48" spans="1:5" ht="15" customHeight="1" x14ac:dyDescent="0.25">
      <c r="B48" s="11" t="s">
        <v>43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3.302</v>
      </c>
      <c r="D51" s="12"/>
    </row>
    <row r="52" spans="1:4" ht="15" customHeight="1" x14ac:dyDescent="0.25">
      <c r="B52" s="11" t="s">
        <v>46</v>
      </c>
      <c r="C52" s="100">
        <v>3.302</v>
      </c>
    </row>
    <row r="53" spans="1:4" ht="15.75" customHeight="1" x14ac:dyDescent="0.25">
      <c r="B53" s="11" t="s">
        <v>47</v>
      </c>
      <c r="C53" s="100">
        <v>4.55</v>
      </c>
    </row>
    <row r="54" spans="1:4" ht="15.75" customHeight="1" x14ac:dyDescent="0.25">
      <c r="B54" s="11" t="s">
        <v>48</v>
      </c>
      <c r="C54" s="100">
        <v>3.4319999999999999</v>
      </c>
    </row>
    <row r="55" spans="1:4" ht="15.75" customHeight="1" x14ac:dyDescent="0.25">
      <c r="B55" s="11" t="s">
        <v>49</v>
      </c>
      <c r="C55" s="100">
        <v>2.123333333333334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2.1666666666666671E-2</v>
      </c>
    </row>
    <row r="59" spans="1:4" ht="15.75" customHeight="1" x14ac:dyDescent="0.25">
      <c r="B59" s="11" t="s">
        <v>52</v>
      </c>
      <c r="C59" s="45">
        <v>0.50705099999999992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0.19731512449999999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562232</v>
      </c>
      <c r="C2" s="49">
        <v>1463584.5</v>
      </c>
      <c r="D2" s="49">
        <v>2929652</v>
      </c>
      <c r="E2" s="49">
        <v>2379703.5</v>
      </c>
      <c r="F2" s="49">
        <v>1790674.5</v>
      </c>
      <c r="G2" s="17">
        <f t="shared" ref="G2:G13" si="0">C2+D2+E2+F2</f>
        <v>8563614.5</v>
      </c>
      <c r="H2" s="17">
        <f t="shared" ref="H2:H13" si="1">(B2 + stillbirth*B2/(1000-stillbirth))/(1-abortion)</f>
        <v>649104.14433540311</v>
      </c>
      <c r="I2" s="17">
        <f t="shared" ref="I2:I13" si="2">G2-H2</f>
        <v>7914510.3556645969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551647</v>
      </c>
      <c r="C3" s="50">
        <v>1436917</v>
      </c>
      <c r="D3" s="50">
        <v>2904319</v>
      </c>
      <c r="E3" s="50">
        <v>2411922.4999999995</v>
      </c>
      <c r="F3" s="50">
        <v>1833491.5</v>
      </c>
      <c r="G3" s="17">
        <f t="shared" si="0"/>
        <v>8586650</v>
      </c>
      <c r="H3" s="17">
        <f t="shared" si="1"/>
        <v>636883.62439383043</v>
      </c>
      <c r="I3" s="17">
        <f t="shared" si="2"/>
        <v>7949766.3756061699</v>
      </c>
    </row>
    <row r="4" spans="1:9" ht="15.75" customHeight="1" x14ac:dyDescent="0.25">
      <c r="A4" s="5">
        <f t="shared" si="3"/>
        <v>2026</v>
      </c>
      <c r="B4" s="49">
        <v>542047</v>
      </c>
      <c r="C4" s="50">
        <v>1412655.5</v>
      </c>
      <c r="D4" s="50">
        <v>2877354.5</v>
      </c>
      <c r="E4" s="50">
        <v>2448086.5</v>
      </c>
      <c r="F4" s="50">
        <v>1877447.5</v>
      </c>
      <c r="G4" s="17">
        <f t="shared" si="0"/>
        <v>8615544</v>
      </c>
      <c r="H4" s="17">
        <f t="shared" si="1"/>
        <v>625800.29974204989</v>
      </c>
      <c r="I4" s="17">
        <f t="shared" si="2"/>
        <v>7989743.7002579505</v>
      </c>
    </row>
    <row r="5" spans="1:9" ht="15.75" customHeight="1" x14ac:dyDescent="0.25">
      <c r="A5" s="5">
        <f t="shared" si="3"/>
        <v>2027</v>
      </c>
      <c r="B5" s="49">
        <v>533762</v>
      </c>
      <c r="C5" s="50">
        <v>1392307</v>
      </c>
      <c r="D5" s="50">
        <v>2857756.0000000005</v>
      </c>
      <c r="E5" s="50">
        <v>2488309.5000000005</v>
      </c>
      <c r="F5" s="50">
        <v>1922755.4999999998</v>
      </c>
      <c r="G5" s="17">
        <f t="shared" si="0"/>
        <v>8661128</v>
      </c>
      <c r="H5" s="17">
        <f t="shared" si="1"/>
        <v>616235.15966496652</v>
      </c>
      <c r="I5" s="17">
        <f t="shared" si="2"/>
        <v>8044892.8403350338</v>
      </c>
    </row>
    <row r="6" spans="1:9" ht="15.75" customHeight="1" x14ac:dyDescent="0.25">
      <c r="A6" s="5">
        <f t="shared" si="3"/>
        <v>2028</v>
      </c>
      <c r="B6" s="49">
        <v>527550</v>
      </c>
      <c r="C6" s="50">
        <v>1377727.5</v>
      </c>
      <c r="D6" s="50">
        <v>2849162.5</v>
      </c>
      <c r="E6" s="50">
        <v>2534803.5</v>
      </c>
      <c r="F6" s="50">
        <v>1970888.0000000002</v>
      </c>
      <c r="G6" s="17">
        <f t="shared" si="0"/>
        <v>8732581.5</v>
      </c>
      <c r="H6" s="17">
        <f t="shared" si="1"/>
        <v>609063.32500487682</v>
      </c>
      <c r="I6" s="17">
        <f t="shared" si="2"/>
        <v>8123518.1749951234</v>
      </c>
    </row>
    <row r="7" spans="1:9" ht="15.75" customHeight="1" x14ac:dyDescent="0.25">
      <c r="A7" s="5">
        <f t="shared" si="3"/>
        <v>2029</v>
      </c>
      <c r="B7" s="49">
        <v>523168</v>
      </c>
      <c r="C7" s="50">
        <v>1367541</v>
      </c>
      <c r="D7" s="50">
        <v>2841938</v>
      </c>
      <c r="E7" s="50">
        <v>2583932</v>
      </c>
      <c r="F7" s="50">
        <v>2020828.5</v>
      </c>
      <c r="G7" s="17">
        <f t="shared" si="0"/>
        <v>8814239.5</v>
      </c>
      <c r="H7" s="17">
        <f t="shared" si="1"/>
        <v>604004.24910653278</v>
      </c>
      <c r="I7" s="17">
        <f t="shared" si="2"/>
        <v>8210235.2508934671</v>
      </c>
    </row>
    <row r="8" spans="1:9" ht="15.75" customHeight="1" x14ac:dyDescent="0.25">
      <c r="A8" s="5">
        <f t="shared" si="3"/>
        <v>2030</v>
      </c>
      <c r="B8" s="49">
        <v>517956</v>
      </c>
      <c r="C8" s="50">
        <v>1358918</v>
      </c>
      <c r="D8" s="50">
        <v>2828960.5</v>
      </c>
      <c r="E8" s="50">
        <v>2630414.5</v>
      </c>
      <c r="F8" s="50">
        <v>2070914.4999999998</v>
      </c>
      <c r="G8" s="17">
        <f t="shared" si="0"/>
        <v>8889207.5</v>
      </c>
      <c r="H8" s="17">
        <f t="shared" si="1"/>
        <v>597986.92743100366</v>
      </c>
      <c r="I8" s="17">
        <f t="shared" si="2"/>
        <v>8291220.5725689959</v>
      </c>
    </row>
    <row r="9" spans="1:9" ht="15.75" customHeight="1" x14ac:dyDescent="0.25">
      <c r="A9" s="5">
        <f t="shared" si="3"/>
        <v>2031</v>
      </c>
      <c r="B9" s="49">
        <v>512429</v>
      </c>
      <c r="C9" s="50">
        <v>1350943.5</v>
      </c>
      <c r="D9" s="50">
        <v>2811587.0000000005</v>
      </c>
      <c r="E9" s="50">
        <v>2673129.5</v>
      </c>
      <c r="F9" s="50">
        <v>2119794</v>
      </c>
      <c r="G9" s="17">
        <f t="shared" si="0"/>
        <v>8955454</v>
      </c>
      <c r="H9" s="17">
        <f t="shared" si="1"/>
        <v>591605.93416533794</v>
      </c>
      <c r="I9" s="17">
        <f t="shared" si="2"/>
        <v>8363848.0658346619</v>
      </c>
    </row>
    <row r="10" spans="1:9" ht="15.75" customHeight="1" x14ac:dyDescent="0.25">
      <c r="A10" s="5">
        <f t="shared" si="3"/>
        <v>2032</v>
      </c>
      <c r="B10" s="49">
        <v>507575</v>
      </c>
      <c r="C10" s="50">
        <v>1341644.5</v>
      </c>
      <c r="D10" s="50">
        <v>2792366</v>
      </c>
      <c r="E10" s="50">
        <v>2711082.9999999995</v>
      </c>
      <c r="F10" s="50">
        <v>2166866</v>
      </c>
      <c r="G10" s="17">
        <f t="shared" si="0"/>
        <v>9011959.5</v>
      </c>
      <c r="H10" s="17">
        <f t="shared" si="1"/>
        <v>586001.92813828134</v>
      </c>
      <c r="I10" s="17">
        <f t="shared" si="2"/>
        <v>8425957.5718617178</v>
      </c>
    </row>
    <row r="11" spans="1:9" ht="15.75" customHeight="1" x14ac:dyDescent="0.25">
      <c r="A11" s="5">
        <f t="shared" si="3"/>
        <v>2033</v>
      </c>
      <c r="B11" s="49">
        <v>502269</v>
      </c>
      <c r="C11" s="50">
        <v>1329789.5</v>
      </c>
      <c r="D11" s="50">
        <v>2772229.5000000005</v>
      </c>
      <c r="E11" s="50">
        <v>2742805.0000000005</v>
      </c>
      <c r="F11" s="50">
        <v>2214974</v>
      </c>
      <c r="G11" s="17">
        <f t="shared" si="0"/>
        <v>9059798</v>
      </c>
      <c r="H11" s="17">
        <f t="shared" si="1"/>
        <v>579876.08224220353</v>
      </c>
      <c r="I11" s="17">
        <f t="shared" si="2"/>
        <v>8479921.9177577961</v>
      </c>
    </row>
    <row r="12" spans="1:9" ht="15.75" customHeight="1" x14ac:dyDescent="0.25">
      <c r="A12" s="5">
        <f t="shared" si="3"/>
        <v>2034</v>
      </c>
      <c r="B12" s="49">
        <v>497079</v>
      </c>
      <c r="C12" s="50">
        <v>1317464</v>
      </c>
      <c r="D12" s="50">
        <v>2750749</v>
      </c>
      <c r="E12" s="50">
        <v>2767072.5</v>
      </c>
      <c r="F12" s="50">
        <v>2265380</v>
      </c>
      <c r="G12" s="17">
        <f t="shared" si="0"/>
        <v>9100665.5</v>
      </c>
      <c r="H12" s="17">
        <f t="shared" si="1"/>
        <v>573884.15985233465</v>
      </c>
      <c r="I12" s="17">
        <f t="shared" si="2"/>
        <v>8526781.3401476648</v>
      </c>
    </row>
    <row r="13" spans="1:9" ht="15.75" customHeight="1" x14ac:dyDescent="0.25">
      <c r="A13" s="5">
        <f t="shared" si="3"/>
        <v>2035</v>
      </c>
      <c r="B13" s="49">
        <v>491103</v>
      </c>
      <c r="C13" s="50">
        <v>1308048.5</v>
      </c>
      <c r="D13" s="50">
        <v>2728879</v>
      </c>
      <c r="E13" s="50">
        <v>2783236.5</v>
      </c>
      <c r="F13" s="50">
        <v>2318475.9999999995</v>
      </c>
      <c r="G13" s="17">
        <f t="shared" si="0"/>
        <v>9138640</v>
      </c>
      <c r="H13" s="17">
        <f t="shared" si="1"/>
        <v>566984.79025660129</v>
      </c>
      <c r="I13" s="17">
        <f t="shared" si="2"/>
        <v>8571655.2097433992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4" zoomScale="115" zoomScaleNormal="115" workbookViewId="0">
      <selection activeCell="E28" sqref="E28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1.473504922066653E-2</v>
      </c>
    </row>
    <row r="4" spans="1:8" ht="15.75" customHeight="1" x14ac:dyDescent="0.25">
      <c r="B4" s="19" t="s">
        <v>69</v>
      </c>
      <c r="C4" s="101">
        <v>6.8189616093901534E-2</v>
      </c>
    </row>
    <row r="5" spans="1:8" ht="15.75" customHeight="1" x14ac:dyDescent="0.25">
      <c r="B5" s="19" t="s">
        <v>70</v>
      </c>
      <c r="C5" s="101">
        <v>0.1000974723100938</v>
      </c>
    </row>
    <row r="6" spans="1:8" ht="15.75" customHeight="1" x14ac:dyDescent="0.25">
      <c r="B6" s="19" t="s">
        <v>71</v>
      </c>
      <c r="C6" s="101">
        <v>0.26534518868097168</v>
      </c>
    </row>
    <row r="7" spans="1:8" ht="15.75" customHeight="1" x14ac:dyDescent="0.25">
      <c r="B7" s="19" t="s">
        <v>72</v>
      </c>
      <c r="C7" s="101">
        <v>0.29945329704313961</v>
      </c>
    </row>
    <row r="8" spans="1:8" ht="15.75" customHeight="1" x14ac:dyDescent="0.25">
      <c r="B8" s="19" t="s">
        <v>73</v>
      </c>
      <c r="C8" s="101">
        <v>1.967746635595265E-3</v>
      </c>
    </row>
    <row r="9" spans="1:8" ht="15.75" customHeight="1" x14ac:dyDescent="0.25">
      <c r="B9" s="19" t="s">
        <v>74</v>
      </c>
      <c r="C9" s="101">
        <v>0.1252214677487857</v>
      </c>
    </row>
    <row r="10" spans="1:8" ht="15.75" customHeight="1" x14ac:dyDescent="0.25">
      <c r="B10" s="19" t="s">
        <v>75</v>
      </c>
      <c r="C10" s="101">
        <v>0.12499016226684589</v>
      </c>
    </row>
    <row r="11" spans="1:8" ht="15.75" customHeight="1" x14ac:dyDescent="0.25">
      <c r="B11" s="27" t="s">
        <v>30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0.20180536611920741</v>
      </c>
      <c r="D14" s="55">
        <v>0.20180536611920741</v>
      </c>
      <c r="E14" s="55">
        <v>0.20180536611920741</v>
      </c>
      <c r="F14" s="55">
        <v>0.20180536611920741</v>
      </c>
    </row>
    <row r="15" spans="1:8" ht="15.75" customHeight="1" x14ac:dyDescent="0.25">
      <c r="B15" s="19" t="s">
        <v>82</v>
      </c>
      <c r="C15" s="101">
        <v>0.32507562913398969</v>
      </c>
      <c r="D15" s="101">
        <v>0.32507562913398969</v>
      </c>
      <c r="E15" s="101">
        <v>0.32507562913398969</v>
      </c>
      <c r="F15" s="101">
        <v>0.32507562913398969</v>
      </c>
    </row>
    <row r="16" spans="1:8" ht="15.75" customHeight="1" x14ac:dyDescent="0.25">
      <c r="B16" s="19" t="s">
        <v>83</v>
      </c>
      <c r="C16" s="101">
        <v>1.52583579249242E-2</v>
      </c>
      <c r="D16" s="101">
        <v>1.52583579249242E-2</v>
      </c>
      <c r="E16" s="101">
        <v>1.52583579249242E-2</v>
      </c>
      <c r="F16" s="101">
        <v>1.52583579249242E-2</v>
      </c>
    </row>
    <row r="17" spans="1:8" ht="15.75" customHeight="1" x14ac:dyDescent="0.25">
      <c r="B17" s="19" t="s">
        <v>84</v>
      </c>
      <c r="C17" s="101">
        <v>9.342367820145225E-3</v>
      </c>
      <c r="D17" s="101">
        <v>9.342367820145225E-3</v>
      </c>
      <c r="E17" s="101">
        <v>9.342367820145225E-3</v>
      </c>
      <c r="F17" s="101">
        <v>9.342367820145225E-3</v>
      </c>
    </row>
    <row r="18" spans="1:8" ht="15.75" customHeight="1" x14ac:dyDescent="0.25">
      <c r="B18" s="19" t="s">
        <v>85</v>
      </c>
      <c r="C18" s="101">
        <v>1.828073548493462E-4</v>
      </c>
      <c r="D18" s="101">
        <v>1.828073548493462E-4</v>
      </c>
      <c r="E18" s="101">
        <v>1.828073548493462E-4</v>
      </c>
      <c r="F18" s="101">
        <v>1.828073548493462E-4</v>
      </c>
    </row>
    <row r="19" spans="1:8" ht="15.75" customHeight="1" x14ac:dyDescent="0.25">
      <c r="B19" s="19" t="s">
        <v>86</v>
      </c>
      <c r="C19" s="101">
        <v>0.12748543941078561</v>
      </c>
      <c r="D19" s="101">
        <v>0.12748543941078561</v>
      </c>
      <c r="E19" s="101">
        <v>0.12748543941078561</v>
      </c>
      <c r="F19" s="101">
        <v>0.12748543941078561</v>
      </c>
    </row>
    <row r="20" spans="1:8" ht="15.75" customHeight="1" x14ac:dyDescent="0.25">
      <c r="B20" s="19" t="s">
        <v>87</v>
      </c>
      <c r="C20" s="101">
        <v>4.5226299892980569E-3</v>
      </c>
      <c r="D20" s="101">
        <v>4.5226299892980569E-3</v>
      </c>
      <c r="E20" s="101">
        <v>4.5226299892980569E-3</v>
      </c>
      <c r="F20" s="101">
        <v>4.5226299892980569E-3</v>
      </c>
    </row>
    <row r="21" spans="1:8" ht="15.75" customHeight="1" x14ac:dyDescent="0.25">
      <c r="B21" s="19" t="s">
        <v>88</v>
      </c>
      <c r="C21" s="101">
        <v>0.15939031250457769</v>
      </c>
      <c r="D21" s="101">
        <v>0.15939031250457769</v>
      </c>
      <c r="E21" s="101">
        <v>0.15939031250457769</v>
      </c>
      <c r="F21" s="101">
        <v>0.15939031250457769</v>
      </c>
    </row>
    <row r="22" spans="1:8" ht="15.75" customHeight="1" x14ac:dyDescent="0.25">
      <c r="B22" s="19" t="s">
        <v>89</v>
      </c>
      <c r="C22" s="101">
        <v>0.1569370897422229</v>
      </c>
      <c r="D22" s="101">
        <v>0.1569370897422229</v>
      </c>
      <c r="E22" s="101">
        <v>0.1569370897422229</v>
      </c>
      <c r="F22" s="101">
        <v>0.1569370897422229</v>
      </c>
    </row>
    <row r="23" spans="1:8" ht="15.75" customHeight="1" x14ac:dyDescent="0.25">
      <c r="B23" s="27" t="s">
        <v>30</v>
      </c>
      <c r="C23" s="48">
        <f>SUM(C14:C22)</f>
        <v>1.0000000000000002</v>
      </c>
      <c r="D23" s="48">
        <f>SUM(D14:D22)</f>
        <v>1.0000000000000002</v>
      </c>
      <c r="E23" s="48">
        <f>SUM(E14:E22)</f>
        <v>1.0000000000000002</v>
      </c>
      <c r="F23" s="48">
        <f>SUM(F14:F22)</f>
        <v>1.0000000000000002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4.7503243000000001E-2</v>
      </c>
    </row>
    <row r="27" spans="1:8" ht="15.75" customHeight="1" x14ac:dyDescent="0.25">
      <c r="B27" s="19" t="s">
        <v>92</v>
      </c>
      <c r="C27" s="101">
        <v>1.0367542E-2</v>
      </c>
    </row>
    <row r="28" spans="1:8" ht="15.75" customHeight="1" x14ac:dyDescent="0.25">
      <c r="B28" s="19" t="s">
        <v>93</v>
      </c>
      <c r="C28" s="101">
        <v>0.17293429099999999</v>
      </c>
    </row>
    <row r="29" spans="1:8" ht="15.75" customHeight="1" x14ac:dyDescent="0.25">
      <c r="B29" s="19" t="s">
        <v>94</v>
      </c>
      <c r="C29" s="101">
        <v>0.15789878800000001</v>
      </c>
    </row>
    <row r="30" spans="1:8" ht="15.75" customHeight="1" x14ac:dyDescent="0.25">
      <c r="B30" s="19" t="s">
        <v>95</v>
      </c>
      <c r="C30" s="101">
        <v>5.576656E-2</v>
      </c>
    </row>
    <row r="31" spans="1:8" ht="15.75" customHeight="1" x14ac:dyDescent="0.25">
      <c r="B31" s="19" t="s">
        <v>96</v>
      </c>
      <c r="C31" s="101">
        <v>6.3201558000000005E-2</v>
      </c>
    </row>
    <row r="32" spans="1:8" ht="15.75" customHeight="1" x14ac:dyDescent="0.25">
      <c r="B32" s="19" t="s">
        <v>97</v>
      </c>
      <c r="C32" s="101">
        <v>1.0057959E-2</v>
      </c>
    </row>
    <row r="33" spans="2:3" ht="15.75" customHeight="1" x14ac:dyDescent="0.25">
      <c r="B33" s="19" t="s">
        <v>98</v>
      </c>
      <c r="C33" s="101">
        <v>0.165459261</v>
      </c>
    </row>
    <row r="34" spans="2:3" ht="15.75" customHeight="1" x14ac:dyDescent="0.25">
      <c r="B34" s="19" t="s">
        <v>99</v>
      </c>
      <c r="C34" s="101">
        <v>0.316810798</v>
      </c>
    </row>
    <row r="35" spans="2:3" ht="15.75" customHeight="1" x14ac:dyDescent="0.25">
      <c r="B35" s="27" t="s">
        <v>30</v>
      </c>
      <c r="C35" s="48">
        <f>SUM(C26:C34)</f>
        <v>1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E28" sqref="E28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0.45756976014314255</v>
      </c>
      <c r="D2" s="52">
        <f>IFERROR(1-_xlfn.NORM.DIST(_xlfn.NORM.INV(SUM(D4:D5), 0, 1) + 1, 0, 1, TRUE), "")</f>
        <v>0.45756976014314255</v>
      </c>
      <c r="E2" s="52">
        <f>IFERROR(1-_xlfn.NORM.DIST(_xlfn.NORM.INV(SUM(E4:E5), 0, 1) + 1, 0, 1, TRUE), "")</f>
        <v>0.60794556372930852</v>
      </c>
      <c r="F2" s="52">
        <f>IFERROR(1-_xlfn.NORM.DIST(_xlfn.NORM.INV(SUM(F4:F5), 0, 1) + 1, 0, 1, TRUE), "")</f>
        <v>0.32472323552934501</v>
      </c>
      <c r="G2" s="52">
        <f>IFERROR(1-_xlfn.NORM.DIST(_xlfn.NORM.INV(SUM(G4:G5), 0, 1) + 1, 0, 1, TRUE), "")</f>
        <v>0.35126204341792744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0.35661993985685747</v>
      </c>
      <c r="D3" s="52">
        <f>IFERROR(_xlfn.NORM.DIST(_xlfn.NORM.INV(SUM(D4:D5), 0, 1) + 1, 0, 1, TRUE) - SUM(D4:D5), "")</f>
        <v>0.35661993985685747</v>
      </c>
      <c r="E3" s="52">
        <f>IFERROR(_xlfn.NORM.DIST(_xlfn.NORM.INV(SUM(E4:E5), 0, 1) + 1, 0, 1, TRUE) - SUM(E4:E5), "")</f>
        <v>0.29071713627069151</v>
      </c>
      <c r="F3" s="52">
        <f>IFERROR(_xlfn.NORM.DIST(_xlfn.NORM.INV(SUM(F4:F5), 0, 1) + 1, 0, 1, TRUE) - SUM(F4:F5), "")</f>
        <v>0.38256116447065502</v>
      </c>
      <c r="G3" s="52">
        <f>IFERROR(_xlfn.NORM.DIST(_xlfn.NORM.INV(SUM(G4:G5), 0, 1) + 1, 0, 1, TRUE) - SUM(G4:G5), "")</f>
        <v>0.38047815658207257</v>
      </c>
    </row>
    <row r="4" spans="1:15" ht="15.75" customHeight="1" x14ac:dyDescent="0.25">
      <c r="B4" s="5" t="s">
        <v>104</v>
      </c>
      <c r="C4" s="45">
        <v>0.13256860000000001</v>
      </c>
      <c r="D4" s="53">
        <v>0.13256860000000001</v>
      </c>
      <c r="E4" s="53">
        <v>7.8875299999999995E-2</v>
      </c>
      <c r="F4" s="53">
        <v>0.2260142</v>
      </c>
      <c r="G4" s="53">
        <v>0.20418720000000001</v>
      </c>
    </row>
    <row r="5" spans="1:15" ht="15.75" customHeight="1" x14ac:dyDescent="0.25">
      <c r="B5" s="5" t="s">
        <v>105</v>
      </c>
      <c r="C5" s="45">
        <v>5.3241700000000003E-2</v>
      </c>
      <c r="D5" s="53">
        <v>5.3241700000000003E-2</v>
      </c>
      <c r="E5" s="53">
        <v>2.2461999999999999E-2</v>
      </c>
      <c r="F5" s="53">
        <v>6.6701399999999994E-2</v>
      </c>
      <c r="G5" s="53">
        <v>6.4072599999999993E-2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0.70040620196535208</v>
      </c>
      <c r="D8" s="52">
        <f>IFERROR(1-_xlfn.NORM.DIST(_xlfn.NORM.INV(SUM(D10:D11), 0, 1) + 1, 0, 1, TRUE), "")</f>
        <v>0.70040620196535208</v>
      </c>
      <c r="E8" s="52">
        <f>IFERROR(1-_xlfn.NORM.DIST(_xlfn.NORM.INV(SUM(E10:E11), 0, 1) + 1, 0, 1, TRUE), "")</f>
        <v>0.64578835488038822</v>
      </c>
      <c r="F8" s="52">
        <f>IFERROR(1-_xlfn.NORM.DIST(_xlfn.NORM.INV(SUM(F10:F11), 0, 1) + 1, 0, 1, TRUE), "")</f>
        <v>0.62024263484849929</v>
      </c>
      <c r="G8" s="52">
        <f>IFERROR(1-_xlfn.NORM.DIST(_xlfn.NORM.INV(SUM(G10:G11), 0, 1) + 1, 0, 1, TRUE), "")</f>
        <v>0.708134508364615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0.2360351980346479</v>
      </c>
      <c r="D9" s="52">
        <f>IFERROR(_xlfn.NORM.DIST(_xlfn.NORM.INV(SUM(D10:D11), 0, 1) + 1, 0, 1, TRUE) - SUM(D10:D11), "")</f>
        <v>0.2360351980346479</v>
      </c>
      <c r="E9" s="52">
        <f>IFERROR(_xlfn.NORM.DIST(_xlfn.NORM.INV(SUM(E10:E11), 0, 1) + 1, 0, 1, TRUE) - SUM(E10:E11), "")</f>
        <v>0.2694868451196118</v>
      </c>
      <c r="F9" s="52">
        <f>IFERROR(_xlfn.NORM.DIST(_xlfn.NORM.INV(SUM(F10:F11), 0, 1) + 1, 0, 1, TRUE) - SUM(F10:F11), "")</f>
        <v>0.2840011651515007</v>
      </c>
      <c r="G9" s="52">
        <f>IFERROR(_xlfn.NORM.DIST(_xlfn.NORM.INV(SUM(G10:G11), 0, 1) + 1, 0, 1, TRUE) - SUM(G10:G11), "")</f>
        <v>0.23104749163538499</v>
      </c>
    </row>
    <row r="10" spans="1:15" ht="15.75" customHeight="1" x14ac:dyDescent="0.25">
      <c r="B10" s="5" t="s">
        <v>109</v>
      </c>
      <c r="C10" s="45">
        <v>5.1987100000000001E-2</v>
      </c>
      <c r="D10" s="53">
        <v>5.1987100000000001E-2</v>
      </c>
      <c r="E10" s="53">
        <v>7.3867299999999997E-2</v>
      </c>
      <c r="F10" s="53">
        <v>8.4582900000000003E-2</v>
      </c>
      <c r="G10" s="53">
        <v>5.4515800000000003E-2</v>
      </c>
    </row>
    <row r="11" spans="1:15" ht="15.75" customHeight="1" x14ac:dyDescent="0.25">
      <c r="B11" s="5" t="s">
        <v>110</v>
      </c>
      <c r="C11" s="45">
        <v>1.15715E-2</v>
      </c>
      <c r="D11" s="53">
        <v>1.15715E-2</v>
      </c>
      <c r="E11" s="53">
        <v>1.0857500000000001E-2</v>
      </c>
      <c r="F11" s="53">
        <v>1.1173300000000001E-2</v>
      </c>
      <c r="G11" s="53">
        <v>6.3022E-3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0.82497910925000018</v>
      </c>
      <c r="D14" s="54">
        <v>0.80162762072500005</v>
      </c>
      <c r="E14" s="54">
        <v>0.80162762072500005</v>
      </c>
      <c r="F14" s="54">
        <v>0.47399307269000007</v>
      </c>
      <c r="G14" s="54">
        <v>0.47399307269000007</v>
      </c>
      <c r="H14" s="45">
        <v>0.4</v>
      </c>
      <c r="I14" s="55">
        <v>0.4</v>
      </c>
      <c r="J14" s="55">
        <v>0.4</v>
      </c>
      <c r="K14" s="55">
        <v>0.4</v>
      </c>
      <c r="L14" s="45">
        <v>0.34899999999999998</v>
      </c>
      <c r="M14" s="55">
        <v>0.34899999999999998</v>
      </c>
      <c r="N14" s="55">
        <v>0.34899999999999998</v>
      </c>
      <c r="O14" s="55">
        <v>0.34899999999999998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0.41830648232432177</v>
      </c>
      <c r="D15" s="52">
        <f t="shared" si="0"/>
        <v>0.40646608671623191</v>
      </c>
      <c r="E15" s="52">
        <f t="shared" si="0"/>
        <v>0.40646608671623191</v>
      </c>
      <c r="F15" s="52">
        <f t="shared" si="0"/>
        <v>0.24033866150053718</v>
      </c>
      <c r="G15" s="52">
        <f t="shared" si="0"/>
        <v>0.24033866150053718</v>
      </c>
      <c r="H15" s="52">
        <f t="shared" si="0"/>
        <v>0.20282039999999998</v>
      </c>
      <c r="I15" s="52">
        <f t="shared" si="0"/>
        <v>0.20282039999999998</v>
      </c>
      <c r="J15" s="52">
        <f t="shared" si="0"/>
        <v>0.20282039999999998</v>
      </c>
      <c r="K15" s="52">
        <f t="shared" si="0"/>
        <v>0.20282039999999998</v>
      </c>
      <c r="L15" s="52">
        <f t="shared" si="0"/>
        <v>0.17696079899999995</v>
      </c>
      <c r="M15" s="52">
        <f t="shared" si="0"/>
        <v>0.17696079899999995</v>
      </c>
      <c r="N15" s="52">
        <f t="shared" si="0"/>
        <v>0.17696079899999995</v>
      </c>
      <c r="O15" s="52">
        <f t="shared" si="0"/>
        <v>0.17696079899999995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E28" sqref="E28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0.70780940000000003</v>
      </c>
      <c r="D2" s="53">
        <v>0.53241950000000005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7.0640400000000006E-2</v>
      </c>
      <c r="D3" s="53">
        <v>0.14118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0.2215502</v>
      </c>
      <c r="D4" s="53">
        <v>0.31030289999999999</v>
      </c>
      <c r="E4" s="53">
        <v>0.96187520000000004</v>
      </c>
      <c r="F4" s="53">
        <v>0.95622889999999994</v>
      </c>
      <c r="G4" s="53">
        <v>0</v>
      </c>
    </row>
    <row r="5" spans="1:7" x14ac:dyDescent="0.25">
      <c r="B5" s="3" t="s">
        <v>122</v>
      </c>
      <c r="C5" s="52">
        <f t="shared" ref="C5:D5" si="0">1-SUM(C2:C4)</f>
        <v>0</v>
      </c>
      <c r="D5" s="52">
        <f t="shared" si="0"/>
        <v>1.6097599999999934E-2</v>
      </c>
      <c r="E5" s="52">
        <f>1-SUM(E2:E4)</f>
        <v>3.8124799999999959E-2</v>
      </c>
      <c r="F5" s="52">
        <f>1-SUM(F2:F4)</f>
        <v>4.3771100000000063E-2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Q18" sqref="Q18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334</v>
      </c>
      <c r="B1" s="105" t="s">
        <v>335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336</v>
      </c>
      <c r="B2" s="109">
        <v>1336.5460472984701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337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338</v>
      </c>
      <c r="B4" s="110">
        <v>0.44085000000000002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339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340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341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342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343</v>
      </c>
      <c r="B9" s="110">
        <v>0.30329999999999996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344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345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346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347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348</v>
      </c>
      <c r="B14" s="112">
        <v>1.9631895417119349E-2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349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350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351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352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353</v>
      </c>
      <c r="B21" s="108" t="s">
        <v>354</v>
      </c>
      <c r="C21" s="108" t="s">
        <v>355</v>
      </c>
      <c r="D21" s="108" t="s">
        <v>356</v>
      </c>
      <c r="E21" s="108" t="s">
        <v>357</v>
      </c>
      <c r="F21" s="108" t="s">
        <v>358</v>
      </c>
      <c r="G21" s="108" t="s">
        <v>359</v>
      </c>
      <c r="H21" s="108" t="s">
        <v>360</v>
      </c>
      <c r="I21" s="108" t="s">
        <v>361</v>
      </c>
      <c r="J21" s="108" t="s">
        <v>362</v>
      </c>
      <c r="K21" s="108" t="s">
        <v>363</v>
      </c>
      <c r="L21" s="108" t="s">
        <v>364</v>
      </c>
      <c r="M21" s="108" t="s">
        <v>365</v>
      </c>
      <c r="N21" s="108" t="s">
        <v>366</v>
      </c>
      <c r="O21" s="108" t="s">
        <v>367</v>
      </c>
    </row>
    <row r="22" spans="1:15" x14ac:dyDescent="0.25">
      <c r="A22" s="108" t="s">
        <v>368</v>
      </c>
      <c r="B22" s="109">
        <v>96909.39129</v>
      </c>
      <c r="C22" s="109">
        <v>96618.065000000002</v>
      </c>
      <c r="D22" s="109">
        <v>96396.876780000006</v>
      </c>
      <c r="E22" s="109">
        <v>96007.266570000007</v>
      </c>
      <c r="F22" s="109">
        <v>95500.03499</v>
      </c>
      <c r="G22" s="109">
        <v>94971.390209999998</v>
      </c>
      <c r="H22" s="109">
        <v>94329.785730000003</v>
      </c>
      <c r="I22" s="109">
        <v>93431.989069999996</v>
      </c>
      <c r="J22" s="109">
        <v>92077.744720000002</v>
      </c>
      <c r="K22" s="109">
        <v>89987.683520000006</v>
      </c>
      <c r="L22" s="109">
        <v>86734.672309999994</v>
      </c>
      <c r="M22" s="109">
        <v>81890.059389999995</v>
      </c>
      <c r="N22" s="109">
        <v>74666.415420000005</v>
      </c>
      <c r="O22" s="109">
        <v>64611.690329999998</v>
      </c>
    </row>
  </sheetData>
  <sheetProtection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E28" sqref="E28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136</v>
      </c>
      <c r="B1" s="36" t="s">
        <v>137</v>
      </c>
      <c r="C1" s="36" t="s">
        <v>138</v>
      </c>
      <c r="D1" s="36" t="s">
        <v>139</v>
      </c>
      <c r="E1" s="36" t="s">
        <v>140</v>
      </c>
    </row>
    <row r="2" spans="1:5" ht="13" x14ac:dyDescent="0.3">
      <c r="A2" s="34" t="s">
        <v>141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142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142</v>
      </c>
      <c r="E4" s="38" t="str">
        <f>IF(E$7="","",E$7)</f>
        <v/>
      </c>
    </row>
    <row r="5" spans="1:5" x14ac:dyDescent="0.25">
      <c r="B5" s="32" t="s">
        <v>78</v>
      </c>
      <c r="C5" s="47"/>
      <c r="D5" s="47" t="s">
        <v>142</v>
      </c>
      <c r="E5" s="38" t="str">
        <f>IF(E$7="","",E$7)</f>
        <v/>
      </c>
    </row>
    <row r="6" spans="1:5" x14ac:dyDescent="0.25">
      <c r="B6" s="32" t="s">
        <v>79</v>
      </c>
      <c r="C6" s="47"/>
      <c r="D6" s="47" t="s">
        <v>142</v>
      </c>
      <c r="E6" s="38" t="str">
        <f>IF(E$7="","",E$7)</f>
        <v/>
      </c>
    </row>
    <row r="7" spans="1:5" x14ac:dyDescent="0.25">
      <c r="B7" s="32" t="s">
        <v>143</v>
      </c>
      <c r="C7" s="31"/>
      <c r="D7" s="30"/>
      <c r="E7" s="47"/>
    </row>
    <row r="9" spans="1:5" ht="13" x14ac:dyDescent="0.3">
      <c r="A9" s="34" t="s">
        <v>144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142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142</v>
      </c>
      <c r="E13" s="38" t="str">
        <f>IF(E$7="","",E$7)</f>
        <v/>
      </c>
    </row>
    <row r="14" spans="1:5" x14ac:dyDescent="0.25">
      <c r="B14" s="32" t="s">
        <v>143</v>
      </c>
      <c r="C14" s="31"/>
      <c r="D14" s="30"/>
      <c r="E14" s="47"/>
    </row>
    <row r="16" spans="1:5" ht="13" x14ac:dyDescent="0.3">
      <c r="A16" s="34" t="s">
        <v>145</v>
      </c>
      <c r="B16" s="32" t="s">
        <v>90</v>
      </c>
      <c r="C16" s="47"/>
      <c r="D16" s="47" t="s">
        <v>142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142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142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142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142</v>
      </c>
      <c r="E20" s="38" t="str">
        <f>IF(E$7="","",E$7)</f>
        <v/>
      </c>
    </row>
    <row r="21" spans="2:5" x14ac:dyDescent="0.25">
      <c r="B21" s="32" t="s">
        <v>143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E28" sqref="E28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1</v>
      </c>
      <c r="B1" s="36" t="s">
        <v>146</v>
      </c>
      <c r="C1" s="40" t="s">
        <v>147</v>
      </c>
      <c r="D1" s="40" t="s">
        <v>148</v>
      </c>
    </row>
    <row r="2" spans="1:4" ht="13" x14ac:dyDescent="0.3">
      <c r="A2" s="40" t="s">
        <v>149</v>
      </c>
      <c r="B2" s="32" t="s">
        <v>150</v>
      </c>
      <c r="C2" s="32" t="s">
        <v>151</v>
      </c>
      <c r="D2" s="47"/>
    </row>
    <row r="3" spans="1:4" ht="13" x14ac:dyDescent="0.3">
      <c r="A3" s="40" t="s">
        <v>152</v>
      </c>
      <c r="B3" s="32" t="s">
        <v>138</v>
      </c>
      <c r="C3" s="32" t="s">
        <v>153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149</v>
      </c>
      <c r="B1" s="22" t="str">
        <f>"Baseline ("&amp;start_year&amp;") coverage"</f>
        <v>Baseline (2024) coverage</v>
      </c>
      <c r="C1" s="22" t="s">
        <v>154</v>
      </c>
      <c r="D1" s="22" t="s">
        <v>155</v>
      </c>
      <c r="E1" s="22" t="s">
        <v>156</v>
      </c>
      <c r="F1" s="22" t="s">
        <v>157</v>
      </c>
      <c r="G1" s="22" t="s">
        <v>158</v>
      </c>
    </row>
    <row r="2" spans="1:7" ht="15.75" customHeight="1" x14ac:dyDescent="0.25">
      <c r="A2" s="5" t="s">
        <v>159</v>
      </c>
      <c r="B2" s="45">
        <v>0</v>
      </c>
      <c r="C2" s="98">
        <v>0.95</v>
      </c>
      <c r="D2" s="56">
        <v>17.026484135107474</v>
      </c>
      <c r="E2" s="56" t="s">
        <v>160</v>
      </c>
      <c r="F2" s="98">
        <v>1</v>
      </c>
      <c r="G2" s="98">
        <v>1</v>
      </c>
    </row>
    <row r="3" spans="1:7" ht="15.75" customHeight="1" x14ac:dyDescent="0.25">
      <c r="A3" s="5" t="s">
        <v>161</v>
      </c>
      <c r="B3" s="45">
        <v>0</v>
      </c>
      <c r="C3" s="98">
        <v>0.95</v>
      </c>
      <c r="D3" s="56">
        <v>17.026484135107474</v>
      </c>
      <c r="E3" s="56" t="s">
        <v>160</v>
      </c>
      <c r="F3" s="98">
        <v>1</v>
      </c>
      <c r="G3" s="98">
        <v>1</v>
      </c>
    </row>
    <row r="4" spans="1:7" ht="15.75" customHeight="1" x14ac:dyDescent="0.25">
      <c r="A4" s="5" t="s">
        <v>162</v>
      </c>
      <c r="B4" s="98">
        <v>0</v>
      </c>
      <c r="C4" s="98">
        <v>0.95</v>
      </c>
      <c r="D4" s="56">
        <v>8.0705350947424606</v>
      </c>
      <c r="E4" s="56" t="s">
        <v>160</v>
      </c>
      <c r="F4" s="98">
        <v>1</v>
      </c>
      <c r="G4" s="98">
        <v>1</v>
      </c>
    </row>
    <row r="5" spans="1:7" ht="15.75" customHeight="1" x14ac:dyDescent="0.25">
      <c r="A5" s="5" t="s">
        <v>163</v>
      </c>
      <c r="B5" s="98">
        <v>0</v>
      </c>
      <c r="C5" s="98">
        <v>0.95</v>
      </c>
      <c r="D5" s="56">
        <v>0.48</v>
      </c>
      <c r="E5" s="56" t="s">
        <v>160</v>
      </c>
      <c r="F5" s="98">
        <v>1</v>
      </c>
      <c r="G5" s="98">
        <v>1</v>
      </c>
    </row>
    <row r="6" spans="1:7" ht="15.75" customHeight="1" x14ac:dyDescent="0.25">
      <c r="A6" s="5" t="s">
        <v>164</v>
      </c>
      <c r="B6" s="98">
        <v>0</v>
      </c>
      <c r="C6" s="98">
        <v>0.95</v>
      </c>
      <c r="D6" s="56">
        <v>99.99</v>
      </c>
      <c r="E6" s="56" t="s">
        <v>160</v>
      </c>
      <c r="F6" s="98">
        <v>1</v>
      </c>
      <c r="G6" s="98">
        <v>1</v>
      </c>
    </row>
    <row r="7" spans="1:7" ht="15.75" customHeight="1" x14ac:dyDescent="0.25">
      <c r="A7" s="5" t="s">
        <v>165</v>
      </c>
      <c r="B7" s="98">
        <v>0</v>
      </c>
      <c r="C7" s="98">
        <v>0.95</v>
      </c>
      <c r="D7" s="56">
        <v>0.19283527130965261</v>
      </c>
      <c r="E7" s="56" t="s">
        <v>160</v>
      </c>
      <c r="F7" s="98">
        <v>1</v>
      </c>
      <c r="G7" s="98">
        <v>1</v>
      </c>
    </row>
    <row r="8" spans="1:7" ht="15.75" customHeight="1" x14ac:dyDescent="0.25">
      <c r="A8" s="5" t="s">
        <v>166</v>
      </c>
      <c r="B8" s="98">
        <v>0</v>
      </c>
      <c r="C8" s="98">
        <v>0.95</v>
      </c>
      <c r="D8" s="56">
        <v>0.61278763993956276</v>
      </c>
      <c r="E8" s="56" t="s">
        <v>160</v>
      </c>
      <c r="F8" s="98">
        <v>1</v>
      </c>
      <c r="G8" s="98">
        <v>1</v>
      </c>
    </row>
    <row r="9" spans="1:7" ht="15.75" customHeight="1" x14ac:dyDescent="0.25">
      <c r="A9" s="5" t="s">
        <v>167</v>
      </c>
      <c r="B9" s="98">
        <v>0.5</v>
      </c>
      <c r="C9" s="98">
        <v>0.95</v>
      </c>
      <c r="D9" s="56">
        <v>0.24171699078812695</v>
      </c>
      <c r="E9" s="56" t="s">
        <v>160</v>
      </c>
      <c r="F9" s="98">
        <v>1</v>
      </c>
      <c r="G9" s="98">
        <v>1</v>
      </c>
    </row>
    <row r="10" spans="1:7" ht="15.75" customHeight="1" x14ac:dyDescent="0.25">
      <c r="A10" s="11" t="s">
        <v>168</v>
      </c>
      <c r="B10" s="45">
        <v>0.86284800000000006</v>
      </c>
      <c r="C10" s="98">
        <v>0.95</v>
      </c>
      <c r="D10" s="56">
        <v>14.191711276470389</v>
      </c>
      <c r="E10" s="56" t="s">
        <v>160</v>
      </c>
      <c r="F10" s="98">
        <v>1</v>
      </c>
      <c r="G10" s="98">
        <v>1</v>
      </c>
    </row>
    <row r="11" spans="1:7" ht="15.75" customHeight="1" x14ac:dyDescent="0.25">
      <c r="A11" s="11" t="s">
        <v>169</v>
      </c>
      <c r="B11" s="98">
        <v>0</v>
      </c>
      <c r="C11" s="98">
        <v>0.95</v>
      </c>
      <c r="D11" s="56">
        <v>14.191711276470389</v>
      </c>
      <c r="E11" s="56" t="s">
        <v>160</v>
      </c>
      <c r="F11" s="98">
        <v>1</v>
      </c>
      <c r="G11" s="98">
        <v>1</v>
      </c>
    </row>
    <row r="12" spans="1:7" ht="15.75" customHeight="1" x14ac:dyDescent="0.25">
      <c r="A12" s="11" t="s">
        <v>170</v>
      </c>
      <c r="B12" s="98">
        <v>0</v>
      </c>
      <c r="C12" s="98">
        <v>0.95</v>
      </c>
      <c r="D12" s="56">
        <v>14.191711276470389</v>
      </c>
      <c r="E12" s="56" t="s">
        <v>160</v>
      </c>
      <c r="F12" s="98">
        <v>1</v>
      </c>
      <c r="G12" s="98">
        <v>1</v>
      </c>
    </row>
    <row r="13" spans="1:7" ht="15.75" customHeight="1" x14ac:dyDescent="0.25">
      <c r="A13" s="11" t="s">
        <v>171</v>
      </c>
      <c r="B13" s="98">
        <v>0</v>
      </c>
      <c r="C13" s="98">
        <v>0.95</v>
      </c>
      <c r="D13" s="56">
        <v>14.191711276470389</v>
      </c>
      <c r="E13" s="56" t="s">
        <v>160</v>
      </c>
      <c r="F13" s="98">
        <v>1</v>
      </c>
      <c r="G13" s="98">
        <v>1</v>
      </c>
    </row>
    <row r="14" spans="1:7" ht="15.75" customHeight="1" x14ac:dyDescent="0.25">
      <c r="A14" s="5" t="s">
        <v>172</v>
      </c>
      <c r="B14" s="45">
        <v>0.86284800000000006</v>
      </c>
      <c r="C14" s="98">
        <v>0.95</v>
      </c>
      <c r="D14" s="56">
        <v>14.191711276470389</v>
      </c>
      <c r="E14" s="56" t="s">
        <v>160</v>
      </c>
      <c r="F14" s="98">
        <v>1</v>
      </c>
      <c r="G14" s="98">
        <v>1</v>
      </c>
    </row>
    <row r="15" spans="1:7" ht="15.75" customHeight="1" x14ac:dyDescent="0.25">
      <c r="A15" s="5" t="s">
        <v>173</v>
      </c>
      <c r="B15" s="98">
        <v>0</v>
      </c>
      <c r="C15" s="98">
        <v>0.95</v>
      </c>
      <c r="D15" s="56">
        <v>14.191711276470389</v>
      </c>
      <c r="E15" s="56" t="s">
        <v>160</v>
      </c>
      <c r="F15" s="98">
        <v>1</v>
      </c>
      <c r="G15" s="98">
        <v>1</v>
      </c>
    </row>
    <row r="16" spans="1:7" ht="15.75" customHeight="1" x14ac:dyDescent="0.25">
      <c r="A16" s="5" t="s">
        <v>174</v>
      </c>
      <c r="B16" s="45">
        <v>2.02589E-2</v>
      </c>
      <c r="C16" s="98">
        <v>0.95</v>
      </c>
      <c r="D16" s="56">
        <v>2.5</v>
      </c>
      <c r="E16" s="56" t="s">
        <v>160</v>
      </c>
      <c r="F16" s="98">
        <v>1</v>
      </c>
      <c r="G16" s="98">
        <v>1</v>
      </c>
    </row>
    <row r="17" spans="1:7" ht="15.75" customHeight="1" x14ac:dyDescent="0.25">
      <c r="A17" s="5" t="s">
        <v>175</v>
      </c>
      <c r="B17" s="98">
        <v>2.41416666666667E-2</v>
      </c>
      <c r="C17" s="98">
        <v>0.95</v>
      </c>
      <c r="D17" s="56">
        <v>9.7330203637492063E-2</v>
      </c>
      <c r="E17" s="56" t="s">
        <v>160</v>
      </c>
      <c r="F17" s="98">
        <v>1</v>
      </c>
      <c r="G17" s="98">
        <v>1</v>
      </c>
    </row>
    <row r="18" spans="1:7" ht="15.9" customHeight="1" x14ac:dyDescent="0.25">
      <c r="A18" s="5" t="s">
        <v>141</v>
      </c>
      <c r="B18" s="98">
        <v>0.52100000000000002</v>
      </c>
      <c r="C18" s="98">
        <v>0.95</v>
      </c>
      <c r="D18" s="56">
        <v>8.0705350947424606</v>
      </c>
      <c r="E18" s="56" t="s">
        <v>160</v>
      </c>
      <c r="F18" s="98">
        <v>1</v>
      </c>
      <c r="G18" s="98">
        <v>1</v>
      </c>
    </row>
    <row r="19" spans="1:7" ht="15.75" customHeight="1" x14ac:dyDescent="0.25">
      <c r="A19" s="5" t="s">
        <v>144</v>
      </c>
      <c r="B19" s="98">
        <v>0.53241950000000005</v>
      </c>
      <c r="C19" s="98">
        <v>0.95</v>
      </c>
      <c r="D19" s="56">
        <v>1.783669753024828</v>
      </c>
      <c r="E19" s="56" t="s">
        <v>160</v>
      </c>
      <c r="F19" s="98">
        <v>1</v>
      </c>
      <c r="G19" s="98">
        <v>1</v>
      </c>
    </row>
    <row r="20" spans="1:7" ht="15.75" customHeight="1" x14ac:dyDescent="0.25">
      <c r="A20" s="5" t="s">
        <v>145</v>
      </c>
      <c r="B20" s="98">
        <v>0</v>
      </c>
      <c r="C20" s="98">
        <v>0.95</v>
      </c>
      <c r="D20" s="56">
        <v>99.99</v>
      </c>
      <c r="E20" s="56" t="s">
        <v>160</v>
      </c>
      <c r="F20" s="98">
        <v>1</v>
      </c>
      <c r="G20" s="98">
        <v>1</v>
      </c>
    </row>
    <row r="21" spans="1:7" ht="15.75" customHeight="1" x14ac:dyDescent="0.25">
      <c r="A21" s="5" t="s">
        <v>176</v>
      </c>
      <c r="B21" s="45">
        <v>0</v>
      </c>
      <c r="C21" s="98">
        <v>0.95</v>
      </c>
      <c r="D21" s="56">
        <v>7.48</v>
      </c>
      <c r="E21" s="56" t="s">
        <v>160</v>
      </c>
      <c r="F21" s="98">
        <v>1</v>
      </c>
      <c r="G21" s="98">
        <v>1</v>
      </c>
    </row>
    <row r="22" spans="1:7" ht="15.75" customHeight="1" x14ac:dyDescent="0.25">
      <c r="A22" s="5" t="s">
        <v>177</v>
      </c>
      <c r="B22" s="98">
        <v>0</v>
      </c>
      <c r="C22" s="98">
        <v>0.95</v>
      </c>
      <c r="D22" s="56">
        <v>8.0705350947424606</v>
      </c>
      <c r="E22" s="56" t="s">
        <v>160</v>
      </c>
      <c r="F22" s="98">
        <v>1</v>
      </c>
      <c r="G22" s="98">
        <v>1</v>
      </c>
    </row>
    <row r="23" spans="1:7" ht="15.75" customHeight="1" x14ac:dyDescent="0.25">
      <c r="A23" s="5" t="s">
        <v>178</v>
      </c>
      <c r="B23" s="98">
        <v>0</v>
      </c>
      <c r="C23" s="98">
        <v>0.95</v>
      </c>
      <c r="D23" s="56">
        <v>4.6601859455142458</v>
      </c>
      <c r="E23" s="56" t="s">
        <v>160</v>
      </c>
      <c r="F23" s="98">
        <v>1</v>
      </c>
      <c r="G23" s="98">
        <v>1</v>
      </c>
    </row>
    <row r="24" spans="1:7" ht="15.75" customHeight="1" x14ac:dyDescent="0.25">
      <c r="A24" s="5" t="s">
        <v>179</v>
      </c>
      <c r="B24" s="45">
        <v>0.71992641902920995</v>
      </c>
      <c r="C24" s="98">
        <v>0.95</v>
      </c>
      <c r="D24" s="56">
        <v>99.99</v>
      </c>
      <c r="E24" s="56" t="s">
        <v>160</v>
      </c>
      <c r="F24" s="98">
        <v>1</v>
      </c>
      <c r="G24" s="98">
        <v>1</v>
      </c>
    </row>
    <row r="25" spans="1:7" ht="15.75" customHeight="1" x14ac:dyDescent="0.25">
      <c r="A25" s="5" t="s">
        <v>180</v>
      </c>
      <c r="B25" s="98">
        <v>0</v>
      </c>
      <c r="C25" s="98">
        <v>0.95</v>
      </c>
      <c r="D25" s="56">
        <v>99.99</v>
      </c>
      <c r="E25" s="56" t="s">
        <v>160</v>
      </c>
      <c r="F25" s="98">
        <v>1</v>
      </c>
      <c r="G25" s="98">
        <v>1</v>
      </c>
    </row>
    <row r="26" spans="1:7" ht="15.75" customHeight="1" x14ac:dyDescent="0.25">
      <c r="A26" s="5" t="s">
        <v>181</v>
      </c>
      <c r="B26" s="45">
        <v>0.27900000000000003</v>
      </c>
      <c r="C26" s="98">
        <v>0.95</v>
      </c>
      <c r="D26" s="56">
        <v>4.7229528222409431</v>
      </c>
      <c r="E26" s="56" t="s">
        <v>160</v>
      </c>
      <c r="F26" s="98">
        <v>1</v>
      </c>
      <c r="G26" s="98">
        <v>1</v>
      </c>
    </row>
    <row r="27" spans="1:7" ht="15.75" customHeight="1" x14ac:dyDescent="0.25">
      <c r="A27" s="5" t="s">
        <v>182</v>
      </c>
      <c r="B27" s="45">
        <v>0</v>
      </c>
      <c r="C27" s="98">
        <v>0.95</v>
      </c>
      <c r="D27" s="56">
        <v>17.846880984952122</v>
      </c>
      <c r="E27" s="56" t="s">
        <v>160</v>
      </c>
      <c r="F27" s="98">
        <v>1</v>
      </c>
      <c r="G27" s="98">
        <v>1</v>
      </c>
    </row>
    <row r="28" spans="1:7" ht="15.75" customHeight="1" x14ac:dyDescent="0.25">
      <c r="A28" s="5" t="s">
        <v>183</v>
      </c>
      <c r="B28" s="45">
        <v>0.38404090000000002</v>
      </c>
      <c r="C28" s="98">
        <v>0.95</v>
      </c>
      <c r="D28" s="56">
        <v>99.99</v>
      </c>
      <c r="E28" s="56" t="s">
        <v>160</v>
      </c>
      <c r="F28" s="98">
        <v>1</v>
      </c>
      <c r="G28" s="98">
        <v>1</v>
      </c>
    </row>
    <row r="29" spans="1:7" ht="15.75" customHeight="1" x14ac:dyDescent="0.25">
      <c r="A29" s="5" t="s">
        <v>184</v>
      </c>
      <c r="B29" s="45">
        <v>0.48240959999999999</v>
      </c>
      <c r="C29" s="98">
        <v>0.95</v>
      </c>
      <c r="D29" s="56">
        <v>26.81689264396762</v>
      </c>
      <c r="E29" s="56" t="s">
        <v>160</v>
      </c>
      <c r="F29" s="98">
        <v>1</v>
      </c>
      <c r="G29" s="98">
        <v>1</v>
      </c>
    </row>
    <row r="30" spans="1:7" ht="15.75" customHeight="1" x14ac:dyDescent="0.25">
      <c r="A30" s="5" t="s">
        <v>185</v>
      </c>
      <c r="B30" s="98">
        <v>0</v>
      </c>
      <c r="C30" s="98">
        <v>0.95</v>
      </c>
      <c r="D30" s="56">
        <v>53.05</v>
      </c>
      <c r="E30" s="56" t="s">
        <v>160</v>
      </c>
      <c r="F30" s="98">
        <v>1</v>
      </c>
      <c r="G30" s="98">
        <v>1</v>
      </c>
    </row>
    <row r="31" spans="1:7" ht="15.75" customHeight="1" x14ac:dyDescent="0.25">
      <c r="A31" s="5" t="s">
        <v>150</v>
      </c>
      <c r="B31" s="45">
        <v>9.1000000000000004E-3</v>
      </c>
      <c r="C31" s="98">
        <v>0.95</v>
      </c>
      <c r="D31" s="56">
        <v>175.48809161556471</v>
      </c>
      <c r="E31" s="56" t="s">
        <v>160</v>
      </c>
      <c r="F31" s="98">
        <v>1</v>
      </c>
      <c r="G31" s="98">
        <v>1</v>
      </c>
    </row>
    <row r="32" spans="1:7" ht="15.75" customHeight="1" x14ac:dyDescent="0.25">
      <c r="A32" s="5" t="s">
        <v>186</v>
      </c>
      <c r="B32" s="45">
        <v>0.9</v>
      </c>
      <c r="C32" s="98">
        <v>0.95</v>
      </c>
      <c r="D32" s="56">
        <v>0.45463218100922231</v>
      </c>
      <c r="E32" s="56" t="s">
        <v>160</v>
      </c>
      <c r="F32" s="98">
        <v>1</v>
      </c>
      <c r="G32" s="98">
        <v>1</v>
      </c>
    </row>
    <row r="33" spans="1:7" ht="15.75" customHeight="1" x14ac:dyDescent="0.25">
      <c r="A33" s="5" t="s">
        <v>187</v>
      </c>
      <c r="B33" s="45">
        <v>0.6354284</v>
      </c>
      <c r="C33" s="98">
        <v>0.95</v>
      </c>
      <c r="D33" s="56">
        <v>99.99</v>
      </c>
      <c r="E33" s="56" t="s">
        <v>160</v>
      </c>
      <c r="F33" s="98">
        <v>1</v>
      </c>
      <c r="G33" s="98">
        <v>1</v>
      </c>
    </row>
    <row r="34" spans="1:7" ht="15.75" customHeight="1" x14ac:dyDescent="0.25">
      <c r="A34" s="5" t="s">
        <v>188</v>
      </c>
      <c r="B34" s="45">
        <v>0.44971359999999999</v>
      </c>
      <c r="C34" s="98">
        <v>0.95</v>
      </c>
      <c r="D34" s="56">
        <v>99.99</v>
      </c>
      <c r="E34" s="56" t="s">
        <v>160</v>
      </c>
      <c r="F34" s="98">
        <v>1</v>
      </c>
      <c r="G34" s="98">
        <v>1</v>
      </c>
    </row>
    <row r="35" spans="1:7" ht="15.75" customHeight="1" x14ac:dyDescent="0.25">
      <c r="A35" s="5" t="s">
        <v>189</v>
      </c>
      <c r="B35" s="98">
        <v>0</v>
      </c>
      <c r="C35" s="98">
        <v>0.95</v>
      </c>
      <c r="D35" s="56">
        <v>99.99</v>
      </c>
      <c r="E35" s="56" t="s">
        <v>160</v>
      </c>
      <c r="F35" s="98">
        <v>1</v>
      </c>
      <c r="G35" s="98">
        <v>1</v>
      </c>
    </row>
    <row r="36" spans="1:7" ht="15.75" customHeight="1" x14ac:dyDescent="0.25">
      <c r="A36" s="5" t="s">
        <v>190</v>
      </c>
      <c r="B36" s="45">
        <v>0.14526700000000001</v>
      </c>
      <c r="C36" s="98">
        <v>0.95</v>
      </c>
      <c r="D36" s="56">
        <v>99.99</v>
      </c>
      <c r="E36" s="56" t="s">
        <v>160</v>
      </c>
      <c r="F36" s="98">
        <v>1</v>
      </c>
      <c r="G36" s="98">
        <v>1</v>
      </c>
    </row>
    <row r="37" spans="1:7" ht="15.75" customHeight="1" x14ac:dyDescent="0.25">
      <c r="A37" s="5" t="s">
        <v>191</v>
      </c>
      <c r="B37" s="45">
        <v>0.50166370000000005</v>
      </c>
      <c r="C37" s="98">
        <v>0.95</v>
      </c>
      <c r="D37" s="56">
        <v>99.99</v>
      </c>
      <c r="E37" s="56" t="s">
        <v>160</v>
      </c>
      <c r="F37" s="98">
        <v>1</v>
      </c>
      <c r="G37" s="98">
        <v>1</v>
      </c>
    </row>
    <row r="38" spans="1:7" ht="15.75" customHeight="1" x14ac:dyDescent="0.25">
      <c r="A38" s="5" t="s">
        <v>192</v>
      </c>
      <c r="B38" s="45">
        <v>0.107</v>
      </c>
      <c r="C38" s="98">
        <v>0.95</v>
      </c>
      <c r="D38" s="56">
        <v>1.6798709086682517</v>
      </c>
      <c r="E38" s="56" t="s">
        <v>160</v>
      </c>
      <c r="F38" s="98">
        <v>1</v>
      </c>
      <c r="G38" s="98">
        <v>1</v>
      </c>
    </row>
    <row r="39" spans="1:7" ht="15.75" customHeight="1" x14ac:dyDescent="0.25">
      <c r="A39" s="5" t="s">
        <v>193</v>
      </c>
      <c r="B39" s="45">
        <v>0</v>
      </c>
      <c r="C39" s="98">
        <v>0.95</v>
      </c>
      <c r="D39" s="56">
        <v>3.43</v>
      </c>
      <c r="E39" s="56" t="s">
        <v>160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tabSelected="1"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149</v>
      </c>
      <c r="B1" s="4" t="s">
        <v>194</v>
      </c>
      <c r="C1" s="4" t="s">
        <v>195</v>
      </c>
    </row>
    <row r="2" spans="1:3" x14ac:dyDescent="0.25">
      <c r="A2" s="57" t="s">
        <v>172</v>
      </c>
      <c r="B2" s="47" t="s">
        <v>182</v>
      </c>
      <c r="C2" s="47"/>
    </row>
    <row r="3" spans="1:3" x14ac:dyDescent="0.25">
      <c r="A3" s="57" t="s">
        <v>173</v>
      </c>
      <c r="B3" s="47" t="s">
        <v>182</v>
      </c>
      <c r="C3" s="47"/>
    </row>
    <row r="4" spans="1:3" x14ac:dyDescent="0.25">
      <c r="A4" s="57" t="s">
        <v>184</v>
      </c>
      <c r="B4" s="47" t="s">
        <v>177</v>
      </c>
      <c r="C4" s="47"/>
    </row>
    <row r="5" spans="1:3" x14ac:dyDescent="0.25">
      <c r="A5" s="57" t="s">
        <v>184</v>
      </c>
      <c r="B5" s="47" t="s">
        <v>185</v>
      </c>
      <c r="C5" s="47"/>
    </row>
    <row r="6" spans="1:3" x14ac:dyDescent="0.25">
      <c r="A6" s="57" t="s">
        <v>181</v>
      </c>
      <c r="B6" s="58" t="s">
        <v>185</v>
      </c>
      <c r="C6" s="58"/>
    </row>
    <row r="7" spans="1:3" x14ac:dyDescent="0.25">
      <c r="A7" s="57" t="s">
        <v>193</v>
      </c>
      <c r="B7" s="58" t="s">
        <v>185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149</v>
      </c>
    </row>
    <row r="2" spans="1:1" x14ac:dyDescent="0.25">
      <c r="A2" s="33" t="s">
        <v>164</v>
      </c>
    </row>
    <row r="3" spans="1:1" x14ac:dyDescent="0.25">
      <c r="A3" s="33" t="s">
        <v>174</v>
      </c>
    </row>
    <row r="4" spans="1:1" x14ac:dyDescent="0.25">
      <c r="A4" s="33" t="s">
        <v>178</v>
      </c>
    </row>
    <row r="5" spans="1:1" x14ac:dyDescent="0.25">
      <c r="A5" s="33" t="s">
        <v>187</v>
      </c>
    </row>
    <row r="6" spans="1:1" x14ac:dyDescent="0.25">
      <c r="A6" s="33" t="s">
        <v>188</v>
      </c>
    </row>
    <row r="7" spans="1:1" x14ac:dyDescent="0.25">
      <c r="A7" s="33" t="s">
        <v>189</v>
      </c>
    </row>
    <row r="8" spans="1:1" x14ac:dyDescent="0.25">
      <c r="A8" s="33" t="s">
        <v>190</v>
      </c>
    </row>
    <row r="9" spans="1:1" x14ac:dyDescent="0.25">
      <c r="A9" s="33" t="s">
        <v>191</v>
      </c>
    </row>
    <row r="10" spans="1:1" x14ac:dyDescent="0.25">
      <c r="A10" s="33" t="s">
        <v>150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196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3.302</v>
      </c>
      <c r="C2" s="21">
        <f>'Baseline year population inputs'!C52</f>
        <v>3.302</v>
      </c>
      <c r="D2" s="21">
        <f>'Baseline year population inputs'!C53</f>
        <v>4.55</v>
      </c>
      <c r="E2" s="21">
        <f>'Baseline year population inputs'!C54</f>
        <v>3.4319999999999999</v>
      </c>
      <c r="F2" s="21">
        <f>'Baseline year population inputs'!C55</f>
        <v>2.123333333333334</v>
      </c>
    </row>
    <row r="3" spans="1:6" ht="15.75" customHeight="1" x14ac:dyDescent="0.25">
      <c r="A3" s="3" t="s">
        <v>197</v>
      </c>
      <c r="B3" s="21">
        <f>frac_mam_1month * 2.6</f>
        <v>0.13516646000000002</v>
      </c>
      <c r="C3" s="21">
        <f>frac_mam_1_5months * 2.6</f>
        <v>0.13516646000000002</v>
      </c>
      <c r="D3" s="21">
        <f>frac_mam_6_11months * 2.6</f>
        <v>0.19205497999999999</v>
      </c>
      <c r="E3" s="21">
        <f>frac_mam_12_23months * 2.6</f>
        <v>0.21991554000000002</v>
      </c>
      <c r="F3" s="21">
        <f>frac_mam_24_59months * 2.6</f>
        <v>0.14174108000000002</v>
      </c>
    </row>
    <row r="4" spans="1:6" ht="15.75" customHeight="1" x14ac:dyDescent="0.25">
      <c r="A4" s="3" t="s">
        <v>198</v>
      </c>
      <c r="B4" s="21">
        <f>frac_sam_1month * 2.6</f>
        <v>3.0085900000000002E-2</v>
      </c>
      <c r="C4" s="21">
        <f>frac_sam_1_5months * 2.6</f>
        <v>3.0085900000000002E-2</v>
      </c>
      <c r="D4" s="21">
        <f>frac_sam_6_11months * 2.6</f>
        <v>2.8229500000000005E-2</v>
      </c>
      <c r="E4" s="21">
        <f>frac_sam_12_23months * 2.6</f>
        <v>2.9050580000000003E-2</v>
      </c>
      <c r="F4" s="21">
        <f>frac_sam_24_59months * 2.6</f>
        <v>1.6385719999999999E-2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162</v>
      </c>
      <c r="C2" s="60">
        <v>0</v>
      </c>
      <c r="D2" s="60">
        <v>0</v>
      </c>
      <c r="E2" s="60">
        <f>food_insecure</f>
        <v>0.15</v>
      </c>
      <c r="F2" s="60">
        <f>food_insecure</f>
        <v>0.15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163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176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177</v>
      </c>
      <c r="C5" s="60">
        <v>0</v>
      </c>
      <c r="D5" s="60">
        <v>0</v>
      </c>
      <c r="E5" s="60">
        <f>food_insecure</f>
        <v>0.15</v>
      </c>
      <c r="F5" s="60">
        <f>food_insecure</f>
        <v>0.15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181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183</v>
      </c>
      <c r="C7" s="60">
        <f>diarrhoea_1mo*frac_diarrhea_severe</f>
        <v>7.1543333333333348E-2</v>
      </c>
      <c r="D7" s="60">
        <f>diarrhoea_1_5mo*frac_diarrhea_severe</f>
        <v>7.1543333333333348E-2</v>
      </c>
      <c r="E7" s="60">
        <f>diarrhoea_6_11mo*frac_diarrhea_severe</f>
        <v>9.8583333333333342E-2</v>
      </c>
      <c r="F7" s="60">
        <f>diarrhoea_12_23mo*frac_diarrhea_severe</f>
        <v>7.4360000000000009E-2</v>
      </c>
      <c r="G7" s="60">
        <f>diarrhoea_24_59mo*frac_diarrhea_severe</f>
        <v>4.6005555555555577E-2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184</v>
      </c>
      <c r="C8" s="60">
        <v>0</v>
      </c>
      <c r="D8" s="60">
        <v>0</v>
      </c>
      <c r="E8" s="60">
        <f>food_insecure</f>
        <v>0.15</v>
      </c>
      <c r="F8" s="60">
        <f>food_insecure</f>
        <v>0.15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185</v>
      </c>
      <c r="C9" s="60">
        <v>0</v>
      </c>
      <c r="D9" s="60">
        <v>0</v>
      </c>
      <c r="E9" s="60">
        <f>food_insecure</f>
        <v>0.15</v>
      </c>
      <c r="F9" s="60">
        <f>food_insecure</f>
        <v>0.15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186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192</v>
      </c>
      <c r="C12" s="60">
        <f>diarrhoea_1mo*frac_diarrhea_severe</f>
        <v>7.1543333333333348E-2</v>
      </c>
      <c r="D12" s="60">
        <f>diarrhoea_1_5mo*frac_diarrhea_severe</f>
        <v>7.1543333333333348E-2</v>
      </c>
      <c r="E12" s="60">
        <f>diarrhoea_6_11mo*frac_diarrhea_severe</f>
        <v>9.8583333333333342E-2</v>
      </c>
      <c r="F12" s="60">
        <f>diarrhoea_12_23mo*frac_diarrhea_severe</f>
        <v>7.4360000000000009E-2</v>
      </c>
      <c r="G12" s="60">
        <f>diarrhoea_24_59mo*frac_diarrhea_severe</f>
        <v>4.6005555555555577E-2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193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159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0.15</v>
      </c>
      <c r="I15" s="60">
        <f t="shared" si="0"/>
        <v>0.15</v>
      </c>
      <c r="J15" s="60">
        <f t="shared" si="0"/>
        <v>0.15</v>
      </c>
      <c r="K15" s="60">
        <f t="shared" si="0"/>
        <v>0.15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161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0.15</v>
      </c>
      <c r="I16" s="60">
        <f t="shared" si="0"/>
        <v>0.15</v>
      </c>
      <c r="J16" s="60">
        <f t="shared" si="0"/>
        <v>0.15</v>
      </c>
      <c r="K16" s="60">
        <f t="shared" si="0"/>
        <v>0.15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172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173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174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2.5600000000000001E-2</v>
      </c>
      <c r="I19" s="60">
        <f>frac_malaria_risk</f>
        <v>2.5600000000000001E-2</v>
      </c>
      <c r="J19" s="60">
        <f>frac_malaria_risk</f>
        <v>2.5600000000000001E-2</v>
      </c>
      <c r="K19" s="60">
        <f>frac_malaria_risk</f>
        <v>2.5600000000000001E-2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179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180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182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200</v>
      </c>
      <c r="B24" s="11" t="s">
        <v>164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0.24715611858834899</v>
      </c>
      <c r="M24" s="60">
        <f>famplan_unmet_need</f>
        <v>0.24715611858834899</v>
      </c>
      <c r="N24" s="60">
        <f>famplan_unmet_need</f>
        <v>0.24715611858834899</v>
      </c>
      <c r="O24" s="60">
        <f>famplan_unmet_need</f>
        <v>0.24715611858834899</v>
      </c>
    </row>
    <row r="25" spans="1:15" ht="15.75" customHeight="1" x14ac:dyDescent="0.25">
      <c r="B25" s="11" t="s">
        <v>168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0.1939016268</v>
      </c>
      <c r="M25" s="60">
        <f>(1-food_insecure)*(0.49)+food_insecure*(0.7)</f>
        <v>0.52149999999999996</v>
      </c>
      <c r="N25" s="60">
        <f>(1-food_insecure)*(0.49)+food_insecure*(0.7)</f>
        <v>0.52149999999999996</v>
      </c>
      <c r="O25" s="60">
        <f>(1-food_insecure)*(0.49)+food_insecure*(0.7)</f>
        <v>0.52149999999999996</v>
      </c>
    </row>
    <row r="26" spans="1:15" ht="15.75" customHeight="1" x14ac:dyDescent="0.25">
      <c r="B26" s="11" t="s">
        <v>169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8.310069719999999E-2</v>
      </c>
      <c r="M26" s="60">
        <f>(1-food_insecure)*(0.21)+food_insecure*(0.3)</f>
        <v>0.22349999999999998</v>
      </c>
      <c r="N26" s="60">
        <f>(1-food_insecure)*(0.21)+food_insecure*(0.3)</f>
        <v>0.22349999999999998</v>
      </c>
      <c r="O26" s="60">
        <f>(1-food_insecure)*(0.21)+food_insecure*(0.3)</f>
        <v>0.22349999999999998</v>
      </c>
    </row>
    <row r="27" spans="1:15" ht="15.75" customHeight="1" x14ac:dyDescent="0.25">
      <c r="B27" s="11" t="s">
        <v>170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9.4812876000000004E-2</v>
      </c>
      <c r="M27" s="60">
        <f>(1-food_insecure)*(0.3)</f>
        <v>0.255</v>
      </c>
      <c r="N27" s="60">
        <f>(1-food_insecure)*(0.3)</f>
        <v>0.255</v>
      </c>
      <c r="O27" s="60">
        <f>(1-food_insecure)*(0.3)</f>
        <v>0.255</v>
      </c>
    </row>
    <row r="28" spans="1:15" ht="15.75" customHeight="1" x14ac:dyDescent="0.25">
      <c r="B28" s="11" t="s">
        <v>171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0.62818479999999999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201</v>
      </c>
      <c r="B30" s="5" t="s">
        <v>165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166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167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175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178</v>
      </c>
      <c r="C34" s="60">
        <f t="shared" ref="C34:O34" si="4">frac_malaria_risk</f>
        <v>2.5600000000000001E-2</v>
      </c>
      <c r="D34" s="60">
        <f t="shared" si="4"/>
        <v>2.5600000000000001E-2</v>
      </c>
      <c r="E34" s="60">
        <f t="shared" si="4"/>
        <v>2.5600000000000001E-2</v>
      </c>
      <c r="F34" s="60">
        <f t="shared" si="4"/>
        <v>2.5600000000000001E-2</v>
      </c>
      <c r="G34" s="60">
        <f t="shared" si="4"/>
        <v>2.5600000000000001E-2</v>
      </c>
      <c r="H34" s="60">
        <f t="shared" si="4"/>
        <v>2.5600000000000001E-2</v>
      </c>
      <c r="I34" s="60">
        <f t="shared" si="4"/>
        <v>2.5600000000000001E-2</v>
      </c>
      <c r="J34" s="60">
        <f t="shared" si="4"/>
        <v>2.5600000000000001E-2</v>
      </c>
      <c r="K34" s="60">
        <f t="shared" si="4"/>
        <v>2.5600000000000001E-2</v>
      </c>
      <c r="L34" s="60">
        <f t="shared" si="4"/>
        <v>2.5600000000000001E-2</v>
      </c>
      <c r="M34" s="60">
        <f t="shared" si="4"/>
        <v>2.5600000000000001E-2</v>
      </c>
      <c r="N34" s="60">
        <f t="shared" si="4"/>
        <v>2.5600000000000001E-2</v>
      </c>
      <c r="O34" s="60">
        <f t="shared" si="4"/>
        <v>2.5600000000000001E-2</v>
      </c>
    </row>
    <row r="35" spans="2:15" ht="15.75" customHeight="1" x14ac:dyDescent="0.25">
      <c r="B35" s="9" t="s">
        <v>187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188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189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wgo7XNr2JxP7Ql6m5BNK+l9KamJ34r23Y5jz1XN8+N7E+d6W6TRCIB4CvUfkpfDjYoTdBm3j/AY5J0WTPLstYw==" saltValue="tqaBG9v2e2aE4iDDli/elQ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160</v>
      </c>
    </row>
    <row r="2" spans="1:1" x14ac:dyDescent="0.25">
      <c r="A2" s="8" t="s">
        <v>202</v>
      </c>
    </row>
    <row r="3" spans="1:1" x14ac:dyDescent="0.25">
      <c r="A3" s="8" t="s">
        <v>203</v>
      </c>
    </row>
    <row r="4" spans="1:1" x14ac:dyDescent="0.25">
      <c r="A4" s="8" t="s">
        <v>204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205</v>
      </c>
      <c r="B1" s="4" t="s">
        <v>206</v>
      </c>
      <c r="C1" s="4" t="s">
        <v>207</v>
      </c>
      <c r="D1" s="4" t="s">
        <v>135</v>
      </c>
      <c r="E1" s="4" t="s">
        <v>208</v>
      </c>
    </row>
    <row r="2" spans="1:5" ht="14" customHeight="1" x14ac:dyDescent="0.3">
      <c r="A2" s="28" t="s">
        <v>209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210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211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212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213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214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215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216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217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162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163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144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145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176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177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181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183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184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185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186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193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159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161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172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173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174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179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180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182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200</v>
      </c>
      <c r="B27" s="5" t="s">
        <v>164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168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169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170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171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201</v>
      </c>
      <c r="B33" s="5" t="s">
        <v>165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166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167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175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178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187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188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189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149</v>
      </c>
      <c r="B1" s="108" t="s">
        <v>218</v>
      </c>
      <c r="C1" s="108" t="s">
        <v>111</v>
      </c>
      <c r="D1" s="108" t="s">
        <v>219</v>
      </c>
      <c r="E1" s="108" t="s">
        <v>220</v>
      </c>
      <c r="F1" s="108" t="s">
        <v>118</v>
      </c>
      <c r="G1" s="108" t="s">
        <v>81</v>
      </c>
      <c r="H1" s="108" t="s">
        <v>32</v>
      </c>
      <c r="I1" s="108" t="s">
        <v>221</v>
      </c>
      <c r="J1" s="108" t="s">
        <v>25</v>
      </c>
      <c r="K1" s="108" t="s">
        <v>222</v>
      </c>
      <c r="L1" s="108" t="s">
        <v>369</v>
      </c>
    </row>
    <row r="2" spans="1:12" x14ac:dyDescent="0.25">
      <c r="A2" s="115" t="s">
        <v>159</v>
      </c>
      <c r="B2" s="116"/>
      <c r="C2" s="116"/>
      <c r="D2" s="116"/>
      <c r="E2" s="116"/>
      <c r="F2" s="116"/>
      <c r="G2" s="116"/>
      <c r="H2" s="116"/>
      <c r="I2" s="116" t="s">
        <v>142</v>
      </c>
      <c r="J2" s="116"/>
      <c r="K2" s="116"/>
      <c r="L2" s="116"/>
    </row>
    <row r="3" spans="1:12" x14ac:dyDescent="0.25">
      <c r="A3" s="115" t="s">
        <v>161</v>
      </c>
      <c r="B3" s="116"/>
      <c r="C3" s="116"/>
      <c r="D3" s="116"/>
      <c r="E3" s="116"/>
      <c r="F3" s="116"/>
      <c r="G3" s="116"/>
      <c r="H3" s="116" t="s">
        <v>142</v>
      </c>
      <c r="I3" s="116" t="s">
        <v>142</v>
      </c>
      <c r="J3" s="116"/>
      <c r="K3" s="116"/>
      <c r="L3" s="116"/>
    </row>
    <row r="4" spans="1:12" x14ac:dyDescent="0.25">
      <c r="A4" s="115" t="s">
        <v>162</v>
      </c>
      <c r="B4" s="116" t="s">
        <v>142</v>
      </c>
      <c r="C4" s="116"/>
      <c r="D4" s="116" t="s">
        <v>142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163</v>
      </c>
      <c r="B5" s="116"/>
      <c r="C5" s="116" t="s">
        <v>142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164</v>
      </c>
      <c r="B6" s="116"/>
      <c r="C6" s="116"/>
      <c r="D6" s="116"/>
      <c r="E6" s="116"/>
      <c r="F6" s="116"/>
      <c r="G6" s="116"/>
      <c r="H6" s="116"/>
      <c r="I6" s="116"/>
      <c r="J6" s="116" t="s">
        <v>142</v>
      </c>
      <c r="K6" s="116" t="s">
        <v>142</v>
      </c>
      <c r="L6" s="116"/>
    </row>
    <row r="7" spans="1:12" x14ac:dyDescent="0.25">
      <c r="A7" s="115" t="s">
        <v>165</v>
      </c>
      <c r="B7" s="116"/>
      <c r="C7" s="116" t="s">
        <v>142</v>
      </c>
      <c r="D7" s="116"/>
      <c r="E7" s="116"/>
      <c r="F7" s="116"/>
      <c r="G7" s="116"/>
      <c r="H7" s="116" t="s">
        <v>142</v>
      </c>
      <c r="I7" s="116"/>
      <c r="J7" s="116"/>
      <c r="K7" s="116"/>
      <c r="L7" s="116"/>
    </row>
    <row r="8" spans="1:12" x14ac:dyDescent="0.25">
      <c r="A8" s="115" t="s">
        <v>166</v>
      </c>
      <c r="B8" s="116"/>
      <c r="C8" s="116" t="s">
        <v>142</v>
      </c>
      <c r="D8" s="116"/>
      <c r="E8" s="116"/>
      <c r="F8" s="116"/>
      <c r="G8" s="116"/>
      <c r="H8" s="116" t="s">
        <v>142</v>
      </c>
      <c r="I8" s="116"/>
      <c r="J8" s="116"/>
      <c r="K8" s="116"/>
      <c r="L8" s="116"/>
    </row>
    <row r="9" spans="1:12" x14ac:dyDescent="0.25">
      <c r="A9" s="115" t="s">
        <v>167</v>
      </c>
      <c r="B9" s="116"/>
      <c r="C9" s="116" t="s">
        <v>142</v>
      </c>
      <c r="D9" s="116"/>
      <c r="E9" s="116"/>
      <c r="F9" s="116"/>
      <c r="G9" s="116"/>
      <c r="H9" s="116" t="s">
        <v>142</v>
      </c>
      <c r="I9" s="116"/>
      <c r="J9" s="116"/>
      <c r="K9" s="116"/>
      <c r="L9" s="116"/>
    </row>
    <row r="10" spans="1:12" x14ac:dyDescent="0.25">
      <c r="A10" s="115" t="s">
        <v>168</v>
      </c>
      <c r="B10" s="116"/>
      <c r="C10" s="116" t="s">
        <v>142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169</v>
      </c>
      <c r="B11" s="116"/>
      <c r="C11" s="116" t="s">
        <v>142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170</v>
      </c>
      <c r="B12" s="116"/>
      <c r="C12" s="116" t="s">
        <v>142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171</v>
      </c>
      <c r="B13" s="116"/>
      <c r="C13" s="116" t="s">
        <v>142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172</v>
      </c>
      <c r="B14" s="116"/>
      <c r="C14" s="116" t="s">
        <v>142</v>
      </c>
      <c r="D14" s="116"/>
      <c r="E14" s="116"/>
      <c r="F14" s="116"/>
      <c r="G14" s="116"/>
      <c r="H14" s="116"/>
      <c r="I14" s="116" t="s">
        <v>142</v>
      </c>
      <c r="J14" s="116"/>
      <c r="K14" s="116"/>
      <c r="L14" s="116"/>
    </row>
    <row r="15" spans="1:12" x14ac:dyDescent="0.25">
      <c r="A15" s="117" t="s">
        <v>173</v>
      </c>
      <c r="B15" s="116"/>
      <c r="C15" s="116" t="s">
        <v>142</v>
      </c>
      <c r="D15" s="116"/>
      <c r="E15" s="116"/>
      <c r="F15" s="116"/>
      <c r="G15" s="116"/>
      <c r="H15" s="116"/>
      <c r="I15" s="116" t="s">
        <v>142</v>
      </c>
      <c r="J15" s="116"/>
      <c r="K15" s="116"/>
      <c r="L15" s="116"/>
    </row>
    <row r="16" spans="1:12" x14ac:dyDescent="0.25">
      <c r="A16" s="115" t="s">
        <v>174</v>
      </c>
      <c r="B16" s="116"/>
      <c r="C16" s="116" t="s">
        <v>142</v>
      </c>
      <c r="D16" s="116"/>
      <c r="E16" s="116"/>
      <c r="F16" s="116"/>
      <c r="G16" s="116"/>
      <c r="H16" s="116" t="s">
        <v>142</v>
      </c>
      <c r="I16" s="116" t="s">
        <v>142</v>
      </c>
      <c r="J16" s="116"/>
      <c r="K16" s="116"/>
      <c r="L16" s="116"/>
    </row>
    <row r="17" spans="1:12" x14ac:dyDescent="0.25">
      <c r="A17" s="115" t="s">
        <v>175</v>
      </c>
      <c r="B17" s="116"/>
      <c r="C17" s="116" t="s">
        <v>142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141</v>
      </c>
      <c r="B18" s="116" t="s">
        <v>142</v>
      </c>
      <c r="C18" s="116"/>
      <c r="D18" s="116"/>
      <c r="E18" s="116"/>
      <c r="F18" s="116" t="s">
        <v>142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144</v>
      </c>
      <c r="B19" s="116" t="s">
        <v>142</v>
      </c>
      <c r="C19" s="116"/>
      <c r="D19" s="116"/>
      <c r="E19" s="116"/>
      <c r="F19" s="116" t="s">
        <v>142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145</v>
      </c>
      <c r="B20" s="116" t="s">
        <v>142</v>
      </c>
      <c r="C20" s="116"/>
      <c r="D20" s="116"/>
      <c r="E20" s="116"/>
      <c r="F20" s="116" t="s">
        <v>142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176</v>
      </c>
      <c r="B21" s="116"/>
      <c r="C21" s="116"/>
      <c r="D21" s="116"/>
      <c r="E21" s="116"/>
      <c r="F21" s="116"/>
      <c r="G21" s="116"/>
      <c r="H21" s="116" t="s">
        <v>142</v>
      </c>
      <c r="I21" s="116" t="s">
        <v>142</v>
      </c>
      <c r="J21" s="116"/>
      <c r="K21" s="116"/>
      <c r="L21" s="116"/>
    </row>
    <row r="22" spans="1:12" x14ac:dyDescent="0.25">
      <c r="A22" s="115" t="s">
        <v>177</v>
      </c>
      <c r="B22" s="116" t="s">
        <v>142</v>
      </c>
      <c r="C22" s="116" t="s">
        <v>142</v>
      </c>
      <c r="D22" s="116" t="s">
        <v>142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178</v>
      </c>
      <c r="B23" s="116"/>
      <c r="C23" s="116" t="s">
        <v>142</v>
      </c>
      <c r="D23" s="116"/>
      <c r="E23" s="116"/>
      <c r="F23" s="116"/>
      <c r="G23" s="116"/>
      <c r="H23" s="116"/>
      <c r="I23" s="116" t="s">
        <v>142</v>
      </c>
      <c r="J23" s="116"/>
      <c r="K23" s="116"/>
      <c r="L23" s="116"/>
    </row>
    <row r="24" spans="1:12" x14ac:dyDescent="0.25">
      <c r="A24" s="115" t="s">
        <v>179</v>
      </c>
      <c r="B24" s="116"/>
      <c r="C24" s="116"/>
      <c r="D24" s="116"/>
      <c r="E24" s="116"/>
      <c r="F24" s="116"/>
      <c r="G24" s="116"/>
      <c r="H24" s="116" t="s">
        <v>142</v>
      </c>
      <c r="I24" s="116"/>
      <c r="J24" s="116"/>
      <c r="K24" s="116"/>
      <c r="L24" s="116"/>
    </row>
    <row r="25" spans="1:12" x14ac:dyDescent="0.25">
      <c r="A25" s="115" t="s">
        <v>180</v>
      </c>
      <c r="B25" s="116"/>
      <c r="C25" s="116"/>
      <c r="D25" s="116"/>
      <c r="E25" s="116"/>
      <c r="F25" s="116"/>
      <c r="G25" s="116"/>
      <c r="H25" s="116" t="s">
        <v>142</v>
      </c>
      <c r="I25" s="116"/>
      <c r="J25" s="116"/>
      <c r="K25" s="116"/>
      <c r="L25" s="116"/>
    </row>
    <row r="26" spans="1:12" x14ac:dyDescent="0.25">
      <c r="A26" s="115" t="s">
        <v>181</v>
      </c>
      <c r="B26" s="116"/>
      <c r="C26" s="116" t="s">
        <v>142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182</v>
      </c>
      <c r="B27" s="116"/>
      <c r="C27" s="116" t="s">
        <v>142</v>
      </c>
      <c r="D27" s="116"/>
      <c r="E27" s="116"/>
      <c r="F27" s="116"/>
      <c r="G27" s="116"/>
      <c r="H27" s="116"/>
      <c r="I27" s="116" t="s">
        <v>142</v>
      </c>
      <c r="J27" s="116"/>
      <c r="K27" s="116"/>
      <c r="L27" s="116" t="s">
        <v>142</v>
      </c>
    </row>
    <row r="28" spans="1:12" x14ac:dyDescent="0.25">
      <c r="A28" s="115" t="s">
        <v>183</v>
      </c>
      <c r="B28" s="116"/>
      <c r="C28" s="116"/>
      <c r="D28" s="116"/>
      <c r="E28" s="116"/>
      <c r="F28" s="116"/>
      <c r="G28" s="116"/>
      <c r="H28" s="116" t="s">
        <v>142</v>
      </c>
      <c r="I28" s="116"/>
      <c r="J28" s="116"/>
      <c r="K28" s="116"/>
      <c r="L28" s="116"/>
    </row>
    <row r="29" spans="1:12" x14ac:dyDescent="0.25">
      <c r="A29" s="115" t="s">
        <v>184</v>
      </c>
      <c r="B29" s="116" t="s">
        <v>142</v>
      </c>
      <c r="C29" s="116"/>
      <c r="D29" s="116" t="s">
        <v>142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185</v>
      </c>
      <c r="B30" s="116" t="s">
        <v>142</v>
      </c>
      <c r="C30" s="116" t="s">
        <v>142</v>
      </c>
      <c r="D30" s="116" t="s">
        <v>142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150</v>
      </c>
      <c r="B31" s="116"/>
      <c r="C31" s="116"/>
      <c r="D31" s="116"/>
      <c r="E31" s="116" t="s">
        <v>142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186</v>
      </c>
      <c r="B32" s="116"/>
      <c r="C32" s="116"/>
      <c r="D32" s="116"/>
      <c r="E32" s="116"/>
      <c r="F32" s="116"/>
      <c r="G32" s="116" t="s">
        <v>142</v>
      </c>
      <c r="H32" s="116" t="s">
        <v>142</v>
      </c>
      <c r="I32" s="116"/>
      <c r="J32" s="116"/>
      <c r="K32" s="116"/>
      <c r="L32" s="116"/>
    </row>
    <row r="33" spans="1:12" x14ac:dyDescent="0.25">
      <c r="A33" s="115" t="s">
        <v>187</v>
      </c>
      <c r="B33" s="116"/>
      <c r="C33" s="116"/>
      <c r="D33" s="116"/>
      <c r="E33" s="116"/>
      <c r="F33" s="116"/>
      <c r="G33" s="116" t="s">
        <v>142</v>
      </c>
      <c r="H33" s="116" t="s">
        <v>142</v>
      </c>
      <c r="I33" s="116"/>
      <c r="J33" s="116"/>
      <c r="K33" s="116"/>
      <c r="L33" s="116"/>
    </row>
    <row r="34" spans="1:12" x14ac:dyDescent="0.25">
      <c r="A34" s="115" t="s">
        <v>188</v>
      </c>
      <c r="B34" s="116"/>
      <c r="C34" s="116"/>
      <c r="D34" s="116"/>
      <c r="E34" s="116"/>
      <c r="F34" s="116"/>
      <c r="G34" s="116" t="s">
        <v>142</v>
      </c>
      <c r="H34" s="116" t="s">
        <v>142</v>
      </c>
      <c r="I34" s="116"/>
      <c r="J34" s="116"/>
      <c r="K34" s="116"/>
      <c r="L34" s="116"/>
    </row>
    <row r="35" spans="1:12" x14ac:dyDescent="0.25">
      <c r="A35" s="115" t="s">
        <v>189</v>
      </c>
      <c r="B35" s="116"/>
      <c r="C35" s="116"/>
      <c r="D35" s="116"/>
      <c r="E35" s="116"/>
      <c r="F35" s="116"/>
      <c r="G35" s="116" t="s">
        <v>142</v>
      </c>
      <c r="H35" s="116" t="s">
        <v>142</v>
      </c>
      <c r="I35" s="116"/>
      <c r="J35" s="116"/>
      <c r="K35" s="116"/>
      <c r="L35" s="116"/>
    </row>
    <row r="36" spans="1:12" x14ac:dyDescent="0.25">
      <c r="A36" s="115" t="s">
        <v>190</v>
      </c>
      <c r="B36" s="116"/>
      <c r="C36" s="116"/>
      <c r="D36" s="116"/>
      <c r="E36" s="116"/>
      <c r="F36" s="116"/>
      <c r="G36" s="116" t="s">
        <v>142</v>
      </c>
      <c r="H36" s="116" t="s">
        <v>142</v>
      </c>
      <c r="I36" s="116"/>
      <c r="J36" s="116"/>
      <c r="K36" s="116"/>
      <c r="L36" s="116"/>
    </row>
    <row r="37" spans="1:12" x14ac:dyDescent="0.25">
      <c r="A37" s="115" t="s">
        <v>191</v>
      </c>
      <c r="B37" s="116"/>
      <c r="C37" s="116"/>
      <c r="D37" s="116"/>
      <c r="E37" s="116"/>
      <c r="F37" s="116"/>
      <c r="G37" s="116" t="s">
        <v>142</v>
      </c>
      <c r="H37" s="116" t="s">
        <v>142</v>
      </c>
      <c r="I37" s="116"/>
      <c r="J37" s="116"/>
      <c r="K37" s="116"/>
      <c r="L37" s="116"/>
    </row>
    <row r="38" spans="1:12" x14ac:dyDescent="0.25">
      <c r="A38" s="115" t="s">
        <v>192</v>
      </c>
      <c r="B38" s="116"/>
      <c r="C38" s="116"/>
      <c r="D38" s="116"/>
      <c r="E38" s="116"/>
      <c r="F38" s="116"/>
      <c r="G38" s="116"/>
      <c r="H38" s="116" t="s">
        <v>142</v>
      </c>
      <c r="I38" s="116"/>
      <c r="J38" s="116"/>
      <c r="K38" s="116"/>
      <c r="L38" s="116"/>
    </row>
    <row r="39" spans="1:12" x14ac:dyDescent="0.25">
      <c r="A39" s="115" t="s">
        <v>193</v>
      </c>
      <c r="B39" s="116" t="s">
        <v>142</v>
      </c>
      <c r="C39" s="116"/>
      <c r="D39" s="116"/>
      <c r="E39" s="116"/>
      <c r="F39" s="116"/>
      <c r="G39" s="116" t="s">
        <v>142</v>
      </c>
      <c r="H39" s="116" t="s">
        <v>142</v>
      </c>
      <c r="I39" s="116"/>
      <c r="J39" s="116"/>
      <c r="K39" s="116"/>
      <c r="L39" s="116"/>
    </row>
  </sheetData>
  <sheetProtection algorithmName="SHA-512" hashValue="PpWpoVdW19iDLvJ4e413CflgKwgDbvZhfHAZSGUGkQQ6+V9HnAOWg+p+gaHwieH6gthkRXdIc9tFKvP2sDftrA==" saltValue="6DJdExNkvnNmcHBrJ/VGB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H15" sqref="H15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223</v>
      </c>
      <c r="B1" s="108" t="s">
        <v>218</v>
      </c>
      <c r="C1" s="108" t="s">
        <v>111</v>
      </c>
      <c r="D1" s="108" t="s">
        <v>219</v>
      </c>
      <c r="E1" s="108" t="s">
        <v>220</v>
      </c>
      <c r="F1" s="108" t="s">
        <v>118</v>
      </c>
      <c r="G1" s="108" t="s">
        <v>81</v>
      </c>
      <c r="H1" s="108" t="s">
        <v>32</v>
      </c>
      <c r="I1" s="108" t="s">
        <v>221</v>
      </c>
      <c r="J1" s="108" t="s">
        <v>25</v>
      </c>
      <c r="K1" s="108" t="s">
        <v>222</v>
      </c>
      <c r="L1" s="108" t="s">
        <v>369</v>
      </c>
    </row>
    <row r="2" spans="1:12" x14ac:dyDescent="0.25">
      <c r="A2" s="108" t="s">
        <v>67</v>
      </c>
      <c r="B2" s="116" t="s">
        <v>142</v>
      </c>
      <c r="C2" s="116" t="s">
        <v>142</v>
      </c>
      <c r="D2" s="116" t="s">
        <v>142</v>
      </c>
      <c r="E2" s="116" t="s">
        <v>142</v>
      </c>
      <c r="F2" s="116" t="s">
        <v>142</v>
      </c>
      <c r="G2" s="116" t="s">
        <v>142</v>
      </c>
      <c r="H2" s="116" t="s">
        <v>142</v>
      </c>
      <c r="I2" s="116"/>
      <c r="J2" s="116"/>
      <c r="K2" s="116"/>
      <c r="L2" s="116"/>
    </row>
    <row r="3" spans="1:12" x14ac:dyDescent="0.25">
      <c r="A3" s="108" t="s">
        <v>77</v>
      </c>
      <c r="B3" s="116" t="s">
        <v>142</v>
      </c>
      <c r="C3" s="116" t="s">
        <v>142</v>
      </c>
      <c r="D3" s="116" t="s">
        <v>142</v>
      </c>
      <c r="E3" s="116" t="s">
        <v>142</v>
      </c>
      <c r="F3" s="116" t="s">
        <v>142</v>
      </c>
      <c r="G3" s="116" t="s">
        <v>142</v>
      </c>
      <c r="H3" s="116" t="s">
        <v>142</v>
      </c>
      <c r="I3" s="116"/>
      <c r="J3" s="116"/>
      <c r="K3" s="116"/>
      <c r="L3" s="116"/>
    </row>
    <row r="4" spans="1:12" x14ac:dyDescent="0.25">
      <c r="A4" s="108" t="s">
        <v>78</v>
      </c>
      <c r="B4" s="116" t="s">
        <v>142</v>
      </c>
      <c r="C4" s="116" t="s">
        <v>142</v>
      </c>
      <c r="D4" s="116" t="s">
        <v>142</v>
      </c>
      <c r="E4" s="116" t="s">
        <v>142</v>
      </c>
      <c r="F4" s="116" t="s">
        <v>142</v>
      </c>
      <c r="G4" s="116" t="s">
        <v>142</v>
      </c>
      <c r="H4" s="116" t="s">
        <v>142</v>
      </c>
      <c r="I4" s="116"/>
      <c r="J4" s="116"/>
      <c r="K4" s="116"/>
      <c r="L4" s="116"/>
    </row>
    <row r="5" spans="1:12" x14ac:dyDescent="0.25">
      <c r="A5" s="108" t="s">
        <v>79</v>
      </c>
      <c r="B5" s="116" t="s">
        <v>142</v>
      </c>
      <c r="C5" s="116" t="s">
        <v>142</v>
      </c>
      <c r="D5" s="116" t="s">
        <v>142</v>
      </c>
      <c r="E5" s="116" t="s">
        <v>142</v>
      </c>
      <c r="F5" s="116" t="s">
        <v>142</v>
      </c>
      <c r="G5" s="116" t="s">
        <v>142</v>
      </c>
      <c r="H5" s="116" t="s">
        <v>142</v>
      </c>
      <c r="I5" s="116"/>
      <c r="J5" s="116"/>
      <c r="K5" s="116"/>
      <c r="L5" s="116"/>
    </row>
    <row r="6" spans="1:12" x14ac:dyDescent="0.25">
      <c r="A6" s="108" t="s">
        <v>80</v>
      </c>
      <c r="B6" s="116" t="s">
        <v>142</v>
      </c>
      <c r="C6" s="116" t="s">
        <v>142</v>
      </c>
      <c r="D6" s="116" t="s">
        <v>142</v>
      </c>
      <c r="E6" s="116" t="s">
        <v>142</v>
      </c>
      <c r="F6" s="116" t="s">
        <v>142</v>
      </c>
      <c r="G6" s="116" t="s">
        <v>142</v>
      </c>
      <c r="H6" s="116" t="s">
        <v>142</v>
      </c>
      <c r="I6" s="116"/>
      <c r="J6" s="116"/>
      <c r="K6" s="116"/>
      <c r="L6" s="116"/>
    </row>
    <row r="7" spans="1:12" x14ac:dyDescent="0.25">
      <c r="A7" s="108" t="s">
        <v>112</v>
      </c>
      <c r="B7" s="116"/>
      <c r="C7" s="116" t="s">
        <v>142</v>
      </c>
      <c r="D7" s="116"/>
      <c r="E7" s="116"/>
      <c r="F7" s="116"/>
      <c r="G7" s="116"/>
      <c r="H7" s="116" t="s">
        <v>142</v>
      </c>
      <c r="I7" s="116" t="s">
        <v>142</v>
      </c>
      <c r="J7" s="116"/>
      <c r="K7" s="116"/>
      <c r="L7" s="116" t="s">
        <v>142</v>
      </c>
    </row>
    <row r="8" spans="1:12" x14ac:dyDescent="0.25">
      <c r="A8" s="108" t="s">
        <v>113</v>
      </c>
      <c r="B8" s="116"/>
      <c r="C8" s="116" t="s">
        <v>142</v>
      </c>
      <c r="D8" s="116"/>
      <c r="E8" s="116"/>
      <c r="F8" s="116"/>
      <c r="G8" s="116"/>
      <c r="H8" s="116" t="s">
        <v>142</v>
      </c>
      <c r="I8" s="116" t="s">
        <v>142</v>
      </c>
      <c r="J8" s="116"/>
      <c r="K8" s="116"/>
      <c r="L8" s="116" t="s">
        <v>142</v>
      </c>
    </row>
    <row r="9" spans="1:12" x14ac:dyDescent="0.25">
      <c r="A9" s="108" t="s">
        <v>114</v>
      </c>
      <c r="B9" s="116"/>
      <c r="C9" s="116" t="s">
        <v>142</v>
      </c>
      <c r="D9" s="116"/>
      <c r="E9" s="116"/>
      <c r="F9" s="116"/>
      <c r="G9" s="116"/>
      <c r="H9" s="116" t="s">
        <v>142</v>
      </c>
      <c r="I9" s="116" t="s">
        <v>142</v>
      </c>
      <c r="J9" s="116"/>
      <c r="K9" s="116"/>
      <c r="L9" s="116" t="s">
        <v>142</v>
      </c>
    </row>
    <row r="10" spans="1:12" x14ac:dyDescent="0.25">
      <c r="A10" s="108" t="s">
        <v>115</v>
      </c>
      <c r="B10" s="116"/>
      <c r="C10" s="116" t="s">
        <v>142</v>
      </c>
      <c r="D10" s="116"/>
      <c r="E10" s="116"/>
      <c r="F10" s="116"/>
      <c r="G10" s="116"/>
      <c r="H10" s="116" t="s">
        <v>142</v>
      </c>
      <c r="I10" s="116" t="s">
        <v>142</v>
      </c>
      <c r="J10" s="116"/>
      <c r="K10" s="116"/>
      <c r="L10" s="116" t="s">
        <v>142</v>
      </c>
    </row>
    <row r="11" spans="1:12" x14ac:dyDescent="0.25">
      <c r="A11" s="108" t="s">
        <v>58</v>
      </c>
      <c r="B11" s="116"/>
      <c r="C11" s="116" t="s">
        <v>142</v>
      </c>
      <c r="D11" s="116"/>
      <c r="E11" s="116"/>
      <c r="F11" s="116"/>
      <c r="G11" s="116"/>
      <c r="H11" s="116"/>
      <c r="I11" s="116"/>
      <c r="J11" s="116" t="s">
        <v>142</v>
      </c>
      <c r="K11" s="116" t="s">
        <v>142</v>
      </c>
      <c r="L11" s="116"/>
    </row>
    <row r="12" spans="1:12" x14ac:dyDescent="0.25">
      <c r="A12" s="108" t="s">
        <v>59</v>
      </c>
      <c r="B12" s="116"/>
      <c r="C12" s="116" t="s">
        <v>142</v>
      </c>
      <c r="D12" s="116"/>
      <c r="E12" s="116"/>
      <c r="F12" s="116"/>
      <c r="G12" s="116"/>
      <c r="H12" s="116"/>
      <c r="I12" s="116"/>
      <c r="J12" s="116"/>
      <c r="K12" s="116" t="s">
        <v>142</v>
      </c>
      <c r="L12" s="116"/>
    </row>
    <row r="13" spans="1:12" x14ac:dyDescent="0.25">
      <c r="A13" s="108" t="s">
        <v>60</v>
      </c>
      <c r="B13" s="116"/>
      <c r="C13" s="116" t="s">
        <v>142</v>
      </c>
      <c r="D13" s="116"/>
      <c r="E13" s="116"/>
      <c r="F13" s="116"/>
      <c r="G13" s="116"/>
      <c r="H13" s="116"/>
      <c r="I13" s="116"/>
      <c r="J13" s="116"/>
      <c r="K13" s="116" t="s">
        <v>142</v>
      </c>
      <c r="L13" s="116"/>
    </row>
    <row r="14" spans="1:12" x14ac:dyDescent="0.25">
      <c r="A14" s="108" t="s">
        <v>61</v>
      </c>
      <c r="B14" s="116"/>
      <c r="C14" s="116" t="s">
        <v>142</v>
      </c>
      <c r="D14" s="116"/>
      <c r="E14" s="116"/>
      <c r="F14" s="116"/>
      <c r="G14" s="116"/>
      <c r="H14" s="116"/>
      <c r="I14" s="116"/>
      <c r="J14" s="116"/>
      <c r="K14" s="116" t="s">
        <v>142</v>
      </c>
      <c r="L14" s="116"/>
    </row>
  </sheetData>
  <sheetProtection algorithmName="SHA-512" hashValue="f7+GSWgBQp+zgIaGbRM8MuvAIXAsNljN3lrWAwu/eaytrp/6A4IYhPB4cLjzfMvTXu/5ocIYRO7yO0TVFGYCnw==" saltValue="wnJyf+RW4qQkik6uRZECIg==" spinCount="100000" sheet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224</v>
      </c>
      <c r="B1" s="4" t="s">
        <v>137</v>
      </c>
      <c r="C1" s="4" t="s">
        <v>152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x14ac:dyDescent="0.3">
      <c r="A2" s="4" t="s">
        <v>225</v>
      </c>
      <c r="B2" s="125" t="s">
        <v>90</v>
      </c>
      <c r="C2" s="8" t="s">
        <v>138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139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140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67</v>
      </c>
      <c r="C5" s="8" t="s">
        <v>138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139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140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77</v>
      </c>
      <c r="C8" s="8" t="s">
        <v>138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139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140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78</v>
      </c>
      <c r="C11" s="8" t="s">
        <v>138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139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140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79</v>
      </c>
      <c r="C14" s="8" t="s">
        <v>138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139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140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143</v>
      </c>
      <c r="C17" s="8" t="s">
        <v>140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226</v>
      </c>
      <c r="B19" s="125" t="s">
        <v>90</v>
      </c>
      <c r="C19" s="8" t="s">
        <v>138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139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140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67</v>
      </c>
      <c r="C22" s="8" t="s">
        <v>138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139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140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77</v>
      </c>
      <c r="C25" s="8" t="s">
        <v>138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139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140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78</v>
      </c>
      <c r="C28" s="8" t="s">
        <v>138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139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140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79</v>
      </c>
      <c r="C31" s="8" t="s">
        <v>138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139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140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143</v>
      </c>
      <c r="C34" s="8" t="s">
        <v>140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227</v>
      </c>
      <c r="B36" s="125" t="s">
        <v>90</v>
      </c>
      <c r="C36" s="8" t="s">
        <v>138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139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140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67</v>
      </c>
      <c r="C39" s="8" t="s">
        <v>138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139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140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77</v>
      </c>
      <c r="C42" s="8" t="s">
        <v>138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139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140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78</v>
      </c>
      <c r="C45" s="8" t="s">
        <v>138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139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140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79</v>
      </c>
      <c r="C48" s="8" t="s">
        <v>138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139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140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143</v>
      </c>
      <c r="C51" s="8" t="s">
        <v>140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228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224</v>
      </c>
      <c r="B54" s="4" t="s">
        <v>137</v>
      </c>
      <c r="C54" s="4" t="s">
        <v>152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x14ac:dyDescent="0.3">
      <c r="A55" s="4" t="s">
        <v>229</v>
      </c>
      <c r="B55" s="125" t="s">
        <v>90</v>
      </c>
      <c r="C55" s="8" t="s">
        <v>138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139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140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67</v>
      </c>
      <c r="C58" s="8" t="s">
        <v>138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139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140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77</v>
      </c>
      <c r="C61" s="8" t="s">
        <v>138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139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140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78</v>
      </c>
      <c r="C64" s="8" t="s">
        <v>138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139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140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79</v>
      </c>
      <c r="C67" s="8" t="s">
        <v>138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139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140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143</v>
      </c>
      <c r="C70" s="8" t="s">
        <v>140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230</v>
      </c>
      <c r="B72" s="125" t="s">
        <v>90</v>
      </c>
      <c r="C72" s="8" t="s">
        <v>138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139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140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67</v>
      </c>
      <c r="C75" s="8" t="s">
        <v>138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139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140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77</v>
      </c>
      <c r="C78" s="8" t="s">
        <v>138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139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140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78</v>
      </c>
      <c r="C81" s="8" t="s">
        <v>138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139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140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79</v>
      </c>
      <c r="C84" s="8" t="s">
        <v>138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139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140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143</v>
      </c>
      <c r="C87" s="8" t="s">
        <v>140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231</v>
      </c>
      <c r="B89" s="125" t="s">
        <v>90</v>
      </c>
      <c r="C89" s="8" t="s">
        <v>138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139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140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67</v>
      </c>
      <c r="C92" s="8" t="s">
        <v>138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139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140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77</v>
      </c>
      <c r="C95" s="8" t="s">
        <v>138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139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140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78</v>
      </c>
      <c r="C98" s="8" t="s">
        <v>138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139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140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79</v>
      </c>
      <c r="C101" s="8" t="s">
        <v>138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139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140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143</v>
      </c>
      <c r="C104" s="8" t="s">
        <v>140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232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224</v>
      </c>
      <c r="B107" s="4" t="s">
        <v>137</v>
      </c>
      <c r="C107" s="4" t="s">
        <v>152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x14ac:dyDescent="0.3">
      <c r="A108" s="4" t="s">
        <v>233</v>
      </c>
      <c r="B108" s="125" t="s">
        <v>90</v>
      </c>
      <c r="C108" s="8" t="s">
        <v>138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139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140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67</v>
      </c>
      <c r="C111" s="8" t="s">
        <v>138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139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140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77</v>
      </c>
      <c r="C114" s="8" t="s">
        <v>138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139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140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78</v>
      </c>
      <c r="C117" s="8" t="s">
        <v>138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139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140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79</v>
      </c>
      <c r="C120" s="8" t="s">
        <v>138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139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140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143</v>
      </c>
      <c r="C123" s="8" t="s">
        <v>140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234</v>
      </c>
      <c r="B125" s="125" t="s">
        <v>90</v>
      </c>
      <c r="C125" s="8" t="s">
        <v>138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139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140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67</v>
      </c>
      <c r="C128" s="8" t="s">
        <v>138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139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140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77</v>
      </c>
      <c r="C131" s="8" t="s">
        <v>138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139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140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78</v>
      </c>
      <c r="C134" s="8" t="s">
        <v>138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139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140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79</v>
      </c>
      <c r="C137" s="8" t="s">
        <v>138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139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140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143</v>
      </c>
      <c r="C140" s="8" t="s">
        <v>140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235</v>
      </c>
      <c r="B142" s="125" t="s">
        <v>90</v>
      </c>
      <c r="C142" s="8" t="s">
        <v>138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139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140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67</v>
      </c>
      <c r="C145" s="8" t="s">
        <v>138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139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140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77</v>
      </c>
      <c r="C148" s="8" t="s">
        <v>138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139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140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78</v>
      </c>
      <c r="C151" s="8" t="s">
        <v>138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139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140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79</v>
      </c>
      <c r="C154" s="8" t="s">
        <v>138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139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140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143</v>
      </c>
      <c r="C157" s="8" t="s">
        <v>140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H15" sqref="H15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274</v>
      </c>
    </row>
    <row r="2" spans="1:7" ht="14.25" customHeight="1" x14ac:dyDescent="0.3">
      <c r="A2" s="122" t="s">
        <v>196</v>
      </c>
      <c r="B2" s="107"/>
      <c r="C2" s="105" t="s">
        <v>67</v>
      </c>
      <c r="D2" s="105" t="s">
        <v>77</v>
      </c>
      <c r="E2" s="105" t="s">
        <v>78</v>
      </c>
      <c r="F2" s="105" t="s">
        <v>79</v>
      </c>
      <c r="G2" s="105" t="s">
        <v>80</v>
      </c>
    </row>
    <row r="3" spans="1:7" ht="14.25" customHeight="1" x14ac:dyDescent="0.25">
      <c r="B3" s="117" t="s">
        <v>275</v>
      </c>
      <c r="C3" s="118" t="s">
        <v>276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277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278</v>
      </c>
    </row>
    <row r="6" spans="1:7" ht="14.25" customHeight="1" x14ac:dyDescent="0.25">
      <c r="B6" s="117" t="s">
        <v>184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177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162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185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193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279</v>
      </c>
    </row>
    <row r="13" spans="1:7" ht="14.25" customHeight="1" x14ac:dyDescent="0.3">
      <c r="A13" s="123"/>
      <c r="B13" s="117" t="s">
        <v>176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280</v>
      </c>
    </row>
    <row r="16" spans="1:7" ht="14.25" customHeight="1" x14ac:dyDescent="0.3">
      <c r="A16" s="122" t="s">
        <v>265</v>
      </c>
      <c r="B16" s="117" t="s">
        <v>281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282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111</v>
      </c>
      <c r="B18" s="117" t="s">
        <v>283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284</v>
      </c>
    </row>
    <row r="21" spans="1:7" s="123" customFormat="1" ht="14.25" customHeight="1" x14ac:dyDescent="0.3">
      <c r="C21" s="124" t="s">
        <v>58</v>
      </c>
      <c r="D21" s="124" t="s">
        <v>59</v>
      </c>
      <c r="E21" s="124" t="s">
        <v>60</v>
      </c>
      <c r="F21" s="124" t="s">
        <v>61</v>
      </c>
    </row>
    <row r="22" spans="1:7" x14ac:dyDescent="0.25">
      <c r="B22" s="117" t="s">
        <v>164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228</v>
      </c>
    </row>
    <row r="25" spans="1:7" ht="13" x14ac:dyDescent="0.3">
      <c r="A25" s="120" t="s">
        <v>274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196</v>
      </c>
      <c r="B26" s="107"/>
      <c r="C26" s="105" t="s">
        <v>67</v>
      </c>
      <c r="D26" s="105" t="s">
        <v>77</v>
      </c>
      <c r="E26" s="105" t="s">
        <v>78</v>
      </c>
      <c r="F26" s="105" t="s">
        <v>79</v>
      </c>
      <c r="G26" s="105" t="s">
        <v>80</v>
      </c>
    </row>
    <row r="27" spans="1:7" x14ac:dyDescent="0.25">
      <c r="B27" s="117" t="s">
        <v>285</v>
      </c>
      <c r="C27" s="118" t="s">
        <v>276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286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287</v>
      </c>
    </row>
    <row r="30" spans="1:7" x14ac:dyDescent="0.25">
      <c r="B30" s="117" t="s">
        <v>288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289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370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290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291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292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293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280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265</v>
      </c>
      <c r="B40" s="117" t="s">
        <v>294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295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111</v>
      </c>
      <c r="B42" s="117" t="s">
        <v>296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297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58</v>
      </c>
      <c r="D45" s="124" t="s">
        <v>59</v>
      </c>
      <c r="E45" s="124" t="s">
        <v>60</v>
      </c>
      <c r="F45" s="124" t="s">
        <v>61</v>
      </c>
      <c r="G45" s="123"/>
    </row>
    <row r="46" spans="1:7" x14ac:dyDescent="0.25">
      <c r="B46" s="117" t="s">
        <v>298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232</v>
      </c>
    </row>
    <row r="49" spans="1:7" ht="13" x14ac:dyDescent="0.3">
      <c r="A49" s="120" t="s">
        <v>274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196</v>
      </c>
      <c r="B50" s="107"/>
      <c r="C50" s="105" t="s">
        <v>67</v>
      </c>
      <c r="D50" s="105" t="s">
        <v>77</v>
      </c>
      <c r="E50" s="105" t="s">
        <v>78</v>
      </c>
      <c r="F50" s="105" t="s">
        <v>79</v>
      </c>
      <c r="G50" s="105" t="s">
        <v>80</v>
      </c>
    </row>
    <row r="51" spans="1:7" x14ac:dyDescent="0.25">
      <c r="B51" s="117" t="s">
        <v>299</v>
      </c>
      <c r="C51" s="118" t="s">
        <v>276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300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301</v>
      </c>
    </row>
    <row r="54" spans="1:7" x14ac:dyDescent="0.25">
      <c r="B54" s="117" t="s">
        <v>302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303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371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304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305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306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307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280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265</v>
      </c>
      <c r="B64" s="117" t="s">
        <v>308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309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111</v>
      </c>
      <c r="B66" s="117" t="s">
        <v>310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311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58</v>
      </c>
      <c r="D69" s="124" t="s">
        <v>59</v>
      </c>
      <c r="E69" s="124" t="s">
        <v>60</v>
      </c>
      <c r="F69" s="124" t="s">
        <v>61</v>
      </c>
      <c r="G69" s="123"/>
    </row>
    <row r="70" spans="1:7" x14ac:dyDescent="0.25">
      <c r="B70" s="117" t="s">
        <v>312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PCqzq1OOUtsic8ocnrXQ8xxuYbKmi8ZJ7Pld9xkgyR+OBHAu/SnU75NY5MNEYJfNv6pIOzYJCmiR0EiwYtlWMw==" saltValue="c4ep8LRP3mzZ6HTD2L1Kj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H15" sqref="H15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149</v>
      </c>
      <c r="B1" s="105"/>
      <c r="C1" s="105" t="s">
        <v>40</v>
      </c>
      <c r="D1" s="105" t="s">
        <v>42</v>
      </c>
      <c r="E1" s="105" t="s">
        <v>41</v>
      </c>
      <c r="F1" s="107" t="s">
        <v>43</v>
      </c>
    </row>
    <row r="2" spans="1:6" ht="15.75" customHeight="1" x14ac:dyDescent="0.25">
      <c r="A2" s="117" t="s">
        <v>159</v>
      </c>
      <c r="B2" s="117" t="s">
        <v>313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314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161</v>
      </c>
      <c r="B4" s="117" t="s">
        <v>313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314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172</v>
      </c>
      <c r="B6" s="117" t="s">
        <v>313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314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173</v>
      </c>
      <c r="B8" s="117" t="s">
        <v>313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314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174</v>
      </c>
      <c r="B10" s="117" t="s">
        <v>313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314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178</v>
      </c>
      <c r="B12" s="117" t="s">
        <v>313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314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182</v>
      </c>
      <c r="B14" s="117" t="s">
        <v>313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314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228</v>
      </c>
    </row>
    <row r="18" spans="1:6" ht="15.75" customHeight="1" x14ac:dyDescent="0.3">
      <c r="A18" s="107" t="s">
        <v>149</v>
      </c>
      <c r="B18" s="105"/>
      <c r="C18" s="105" t="s">
        <v>40</v>
      </c>
      <c r="D18" s="105" t="s">
        <v>42</v>
      </c>
      <c r="E18" s="105" t="s">
        <v>41</v>
      </c>
      <c r="F18" s="107" t="s">
        <v>43</v>
      </c>
    </row>
    <row r="19" spans="1:6" ht="15.75" customHeight="1" x14ac:dyDescent="0.25">
      <c r="A19" s="117" t="s">
        <v>159</v>
      </c>
      <c r="B19" s="117" t="s">
        <v>313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314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161</v>
      </c>
      <c r="B21" s="117" t="s">
        <v>313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314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172</v>
      </c>
      <c r="B23" s="117" t="s">
        <v>313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314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173</v>
      </c>
      <c r="B25" s="117" t="s">
        <v>313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314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174</v>
      </c>
      <c r="B27" s="117" t="s">
        <v>313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314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178</v>
      </c>
      <c r="B29" s="117" t="s">
        <v>313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314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182</v>
      </c>
      <c r="B31" s="117" t="s">
        <v>313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314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232</v>
      </c>
    </row>
    <row r="35" spans="1:6" ht="15.75" customHeight="1" x14ac:dyDescent="0.3">
      <c r="A35" s="107" t="s">
        <v>149</v>
      </c>
      <c r="B35" s="105"/>
      <c r="C35" s="105" t="s">
        <v>40</v>
      </c>
      <c r="D35" s="105" t="s">
        <v>42</v>
      </c>
      <c r="E35" s="105" t="s">
        <v>41</v>
      </c>
      <c r="F35" s="107" t="s">
        <v>43</v>
      </c>
    </row>
    <row r="36" spans="1:6" ht="15.75" customHeight="1" x14ac:dyDescent="0.25">
      <c r="A36" s="117" t="s">
        <v>159</v>
      </c>
      <c r="B36" s="117" t="s">
        <v>313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314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161</v>
      </c>
      <c r="B38" s="117" t="s">
        <v>313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314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172</v>
      </c>
      <c r="B40" s="117" t="s">
        <v>313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314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173</v>
      </c>
      <c r="B42" s="117" t="s">
        <v>313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314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174</v>
      </c>
      <c r="B44" s="117" t="s">
        <v>313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314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178</v>
      </c>
      <c r="B46" s="117" t="s">
        <v>313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314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182</v>
      </c>
      <c r="B48" s="117" t="s">
        <v>313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314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mTJBfDtVD8RS7vF+FLRTdNLzOeUfx+W/IGn0ywVnTUFVxHRPK0jMpUV85xStGAKvVCIherf2LOYrZO35DcOfXA==" saltValue="Ns9bFbdx8mjiboYdwI5AJ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E28" sqref="E28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236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237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238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239</v>
      </c>
      <c r="C11" s="74"/>
      <c r="D11" s="75"/>
      <c r="E11" s="75"/>
      <c r="F11" s="75"/>
    </row>
    <row r="12" spans="1:6" ht="15.75" customHeight="1" x14ac:dyDescent="0.3">
      <c r="A12" s="4" t="s">
        <v>240</v>
      </c>
      <c r="C12" s="73"/>
      <c r="D12" s="64"/>
      <c r="E12" s="64"/>
      <c r="F12" s="64"/>
    </row>
    <row r="13" spans="1:6" ht="15.75" customHeight="1" x14ac:dyDescent="0.25">
      <c r="B13" s="11" t="s">
        <v>241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242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228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236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243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244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239</v>
      </c>
      <c r="B38" s="68"/>
      <c r="C38" s="74"/>
      <c r="D38" s="75"/>
      <c r="E38" s="75"/>
      <c r="F38" s="75"/>
    </row>
    <row r="39" spans="1:6" ht="15.75" customHeight="1" x14ac:dyDescent="0.3">
      <c r="A39" s="4" t="s">
        <v>245</v>
      </c>
      <c r="C39" s="73"/>
      <c r="D39" s="64"/>
      <c r="E39" s="64"/>
      <c r="F39" s="64"/>
    </row>
    <row r="40" spans="1:6" ht="15.75" customHeight="1" x14ac:dyDescent="0.25">
      <c r="B40" s="11" t="s">
        <v>246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248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249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232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236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250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251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239</v>
      </c>
      <c r="B65" s="68"/>
      <c r="C65" s="74"/>
      <c r="D65" s="75"/>
      <c r="E65" s="75"/>
      <c r="F65" s="75"/>
    </row>
    <row r="66" spans="1:6" ht="15.75" customHeight="1" x14ac:dyDescent="0.3">
      <c r="A66" s="4" t="s">
        <v>252</v>
      </c>
      <c r="C66" s="73"/>
      <c r="D66" s="64"/>
      <c r="E66" s="64"/>
      <c r="F66" s="64"/>
    </row>
    <row r="67" spans="1:6" ht="15.75" customHeight="1" x14ac:dyDescent="0.25">
      <c r="B67" s="11" t="s">
        <v>253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254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255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256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E28" sqref="E28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257</v>
      </c>
    </row>
    <row r="2" spans="1:16" ht="13" x14ac:dyDescent="0.3">
      <c r="A2" s="39" t="s">
        <v>218</v>
      </c>
      <c r="B2" s="1" t="s">
        <v>258</v>
      </c>
      <c r="C2" s="1" t="s">
        <v>259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81</v>
      </c>
      <c r="C3" s="3" t="s">
        <v>260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261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262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263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261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262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263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261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262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263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261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262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263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262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263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261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262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263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264</v>
      </c>
    </row>
    <row r="29" spans="1:16" ht="13" x14ac:dyDescent="0.3">
      <c r="A29" s="39" t="s">
        <v>265</v>
      </c>
      <c r="B29" s="4" t="s">
        <v>258</v>
      </c>
      <c r="C29" s="4" t="s">
        <v>266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81</v>
      </c>
      <c r="C30" s="3" t="s">
        <v>260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261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197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198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261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197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198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261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197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198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261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197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198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261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197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198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261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197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198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267</v>
      </c>
    </row>
    <row r="56" spans="1:16" ht="26.4" customHeight="1" x14ac:dyDescent="0.3">
      <c r="A56" s="39" t="s">
        <v>111</v>
      </c>
      <c r="B56" s="4" t="s">
        <v>258</v>
      </c>
      <c r="C56" s="69" t="s">
        <v>268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91</v>
      </c>
      <c r="C57" s="3" t="s">
        <v>269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269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269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271</v>
      </c>
    </row>
    <row r="65" spans="1:16" ht="26.4" customHeight="1" x14ac:dyDescent="0.3">
      <c r="A65" s="39" t="s">
        <v>118</v>
      </c>
      <c r="B65" s="4" t="s">
        <v>258</v>
      </c>
      <c r="C65" s="69" t="s">
        <v>272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68</v>
      </c>
      <c r="C66" s="3" t="s">
        <v>119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273</v>
      </c>
    </row>
    <row r="104" spans="1:16" ht="26.4" customHeight="1" x14ac:dyDescent="0.3">
      <c r="A104" s="39" t="s">
        <v>81</v>
      </c>
      <c r="B104" s="82" t="s">
        <v>122</v>
      </c>
      <c r="C104" s="69" t="s">
        <v>272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228</v>
      </c>
      <c r="H110" s="92"/>
    </row>
    <row r="111" spans="1:16" ht="13" x14ac:dyDescent="0.3">
      <c r="A111" s="67" t="s">
        <v>257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218</v>
      </c>
      <c r="B112" s="1" t="s">
        <v>258</v>
      </c>
      <c r="C112" s="1" t="s">
        <v>259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x14ac:dyDescent="0.3">
      <c r="A113" s="4"/>
      <c r="B113" s="8" t="s">
        <v>81</v>
      </c>
      <c r="C113" s="3" t="s">
        <v>260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261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262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263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261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262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263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261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262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263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261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262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263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261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262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263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261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262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263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264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265</v>
      </c>
      <c r="B139" s="4" t="s">
        <v>258</v>
      </c>
      <c r="C139" s="4" t="s">
        <v>266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x14ac:dyDescent="0.3">
      <c r="A140" s="4"/>
      <c r="B140" s="8" t="s">
        <v>81</v>
      </c>
      <c r="C140" s="3" t="s">
        <v>260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261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197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198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261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197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198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261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197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198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261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197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198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261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197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198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261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197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198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267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111</v>
      </c>
      <c r="B166" s="4" t="s">
        <v>258</v>
      </c>
      <c r="C166" s="69" t="s">
        <v>268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x14ac:dyDescent="0.3">
      <c r="A167" s="4"/>
      <c r="B167" s="8" t="s">
        <v>91</v>
      </c>
      <c r="C167" s="3" t="s">
        <v>269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269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269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271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118</v>
      </c>
      <c r="B175" s="4" t="s">
        <v>258</v>
      </c>
      <c r="C175" s="69" t="s">
        <v>272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273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81</v>
      </c>
      <c r="B214" s="82" t="s">
        <v>122</v>
      </c>
      <c r="C214" s="69" t="s">
        <v>272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232</v>
      </c>
      <c r="H220" s="92"/>
    </row>
    <row r="221" spans="1:9" ht="13" x14ac:dyDescent="0.3">
      <c r="A221" s="67" t="s">
        <v>257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218</v>
      </c>
      <c r="B222" s="1" t="s">
        <v>258</v>
      </c>
      <c r="C222" s="1" t="s">
        <v>259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x14ac:dyDescent="0.3">
      <c r="A223" s="4"/>
      <c r="B223" s="8" t="s">
        <v>81</v>
      </c>
      <c r="C223" s="3" t="s">
        <v>260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261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262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263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261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262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263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261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262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263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261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262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263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261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262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263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261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262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263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264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265</v>
      </c>
      <c r="B249" s="4" t="s">
        <v>258</v>
      </c>
      <c r="C249" s="4" t="s">
        <v>266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x14ac:dyDescent="0.3">
      <c r="A250" s="4"/>
      <c r="B250" s="8" t="s">
        <v>81</v>
      </c>
      <c r="C250" s="3" t="s">
        <v>260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261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197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198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261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197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198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261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197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198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261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197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198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261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197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198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261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197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198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267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111</v>
      </c>
      <c r="B276" s="4" t="s">
        <v>258</v>
      </c>
      <c r="C276" s="69" t="s">
        <v>268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x14ac:dyDescent="0.3">
      <c r="A277" s="4"/>
      <c r="B277" s="8" t="s">
        <v>91</v>
      </c>
      <c r="C277" s="3" t="s">
        <v>269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269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269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271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118</v>
      </c>
      <c r="B285" s="4" t="s">
        <v>258</v>
      </c>
      <c r="C285" s="69" t="s">
        <v>272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273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81</v>
      </c>
      <c r="B324" s="82" t="s">
        <v>122</v>
      </c>
      <c r="C324" s="69" t="s">
        <v>272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PUFmCFtFBVVyEMWX+ufO46C8X+nKRCwHNyDvv7CKg/oO7DPZp1nYnOMxNvnqXsQKuBxQKlHWKOifwOzFAazNA==" saltValue="HCEWU6EJTzcX+etfLOPz7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x14ac:dyDescent="0.3">
      <c r="A2" s="4" t="s">
        <v>315</v>
      </c>
    </row>
    <row r="3" spans="1:15" x14ac:dyDescent="0.25">
      <c r="B3" s="11" t="s">
        <v>163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168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169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170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171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172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174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177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178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181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182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185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316</v>
      </c>
      <c r="B17" s="11"/>
    </row>
    <row r="18" spans="1:15" x14ac:dyDescent="0.25">
      <c r="B18" s="5" t="s">
        <v>165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166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167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175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228</v>
      </c>
    </row>
    <row r="24" spans="1:15" ht="26.4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x14ac:dyDescent="0.3">
      <c r="A25" s="4" t="s">
        <v>317</v>
      </c>
    </row>
    <row r="26" spans="1:15" x14ac:dyDescent="0.25">
      <c r="B26" s="11" t="s">
        <v>163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168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169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170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171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172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173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174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177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178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181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182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185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318</v>
      </c>
      <c r="B40" s="11"/>
    </row>
    <row r="41" spans="1:15" x14ac:dyDescent="0.25">
      <c r="B41" s="5" t="s">
        <v>165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166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167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175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232</v>
      </c>
    </row>
    <row r="47" spans="1:15" ht="26.4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x14ac:dyDescent="0.3">
      <c r="A48" s="4" t="s">
        <v>319</v>
      </c>
    </row>
    <row r="49" spans="1:15" x14ac:dyDescent="0.25">
      <c r="B49" s="11" t="s">
        <v>163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168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169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170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171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172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173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174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177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178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181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182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185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320</v>
      </c>
      <c r="B63" s="11"/>
    </row>
    <row r="64" spans="1:15" x14ac:dyDescent="0.25">
      <c r="B64" s="5" t="s">
        <v>165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166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167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175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TBm5n0F3ZSMKrCjY+AL4slUg0hXT2hO+5shU+GoRiFXJBcHFkYgPBlqs+Fxx6PFsQewttQOR21aj1fXZcoz8ag==" saltValue="SognIhr+7Tvq4ZYvkkpSZ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x14ac:dyDescent="0.3">
      <c r="A2" s="4" t="s">
        <v>321</v>
      </c>
    </row>
    <row r="3" spans="1:7" x14ac:dyDescent="0.25">
      <c r="B3" s="11" t="s">
        <v>150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322</v>
      </c>
      <c r="B4" s="11"/>
      <c r="C4" s="83"/>
      <c r="D4" s="83"/>
      <c r="E4" s="83"/>
      <c r="F4" s="83"/>
      <c r="G4" s="83"/>
    </row>
    <row r="5" spans="1:7" x14ac:dyDescent="0.25">
      <c r="B5" s="5" t="s">
        <v>151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323</v>
      </c>
    </row>
    <row r="8" spans="1:7" ht="13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x14ac:dyDescent="0.3">
      <c r="A9" s="4" t="s">
        <v>324</v>
      </c>
    </row>
    <row r="10" spans="1:7" x14ac:dyDescent="0.25">
      <c r="B10" s="11" t="s">
        <v>150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325</v>
      </c>
      <c r="B11" s="11"/>
      <c r="C11" s="83"/>
      <c r="D11" s="83"/>
      <c r="E11" s="83"/>
      <c r="F11" s="83"/>
      <c r="G11" s="83"/>
    </row>
    <row r="12" spans="1:7" x14ac:dyDescent="0.25">
      <c r="B12" s="5" t="s">
        <v>151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326</v>
      </c>
    </row>
    <row r="15" spans="1:7" ht="13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x14ac:dyDescent="0.3">
      <c r="A16" s="4" t="s">
        <v>327</v>
      </c>
    </row>
    <row r="17" spans="1:7" x14ac:dyDescent="0.25">
      <c r="B17" s="11" t="s">
        <v>150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328</v>
      </c>
      <c r="B18" s="11"/>
      <c r="C18" s="83"/>
      <c r="D18" s="83"/>
      <c r="E18" s="83"/>
      <c r="F18" s="83"/>
      <c r="G18" s="83"/>
    </row>
    <row r="19" spans="1:7" x14ac:dyDescent="0.25">
      <c r="B19" s="5" t="s">
        <v>151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1Mri6mDNakxTN++LYDkrSlnJ4hCf3+16Ur3JzKHbXsgMLeiOx4246djFaBfqw7/DRWYE8TBQn+gwoEULaV5KRw==" saltValue="hCtPYkilVxJaj3uZrBsg0A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149</v>
      </c>
      <c r="B1" s="4" t="s">
        <v>329</v>
      </c>
      <c r="C1" s="82" t="s">
        <v>330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5" t="s">
        <v>186</v>
      </c>
      <c r="B2" s="5" t="s">
        <v>81</v>
      </c>
      <c r="C2" s="5" t="s">
        <v>331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332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333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184</v>
      </c>
      <c r="B5" s="5" t="s">
        <v>198</v>
      </c>
      <c r="C5" s="5" t="s">
        <v>331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333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197</v>
      </c>
      <c r="C7" s="5" t="s">
        <v>331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333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177</v>
      </c>
      <c r="B9" s="5" t="s">
        <v>198</v>
      </c>
      <c r="C9" s="5" t="s">
        <v>331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333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197</v>
      </c>
      <c r="C11" s="5" t="s">
        <v>331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333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185</v>
      </c>
      <c r="B13" s="5" t="s">
        <v>198</v>
      </c>
      <c r="C13" s="5" t="s">
        <v>331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333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197</v>
      </c>
      <c r="C15" s="5" t="s">
        <v>331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333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162</v>
      </c>
      <c r="B17" s="5" t="s">
        <v>198</v>
      </c>
      <c r="C17" s="5" t="s">
        <v>331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333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197</v>
      </c>
      <c r="C19" s="5" t="s">
        <v>331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333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167</v>
      </c>
      <c r="B21" s="5" t="s">
        <v>74</v>
      </c>
      <c r="C21" s="5" t="s">
        <v>331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332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165</v>
      </c>
      <c r="B23" s="5" t="s">
        <v>74</v>
      </c>
      <c r="C23" s="5" t="s">
        <v>331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332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166</v>
      </c>
      <c r="B25" s="5" t="s">
        <v>74</v>
      </c>
      <c r="C25" s="5" t="s">
        <v>331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332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190</v>
      </c>
      <c r="B27" s="5" t="s">
        <v>81</v>
      </c>
      <c r="C27" s="5" t="s">
        <v>331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332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333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191</v>
      </c>
      <c r="B30" s="5" t="s">
        <v>81</v>
      </c>
      <c r="C30" s="5" t="s">
        <v>331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332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333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189</v>
      </c>
      <c r="B33" s="5" t="s">
        <v>81</v>
      </c>
      <c r="C33" s="5" t="s">
        <v>331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332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333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188</v>
      </c>
      <c r="B36" s="5" t="s">
        <v>81</v>
      </c>
      <c r="C36" s="5" t="s">
        <v>331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332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333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187</v>
      </c>
      <c r="B39" s="5" t="s">
        <v>81</v>
      </c>
      <c r="C39" s="5" t="s">
        <v>331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332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333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193</v>
      </c>
      <c r="B42" s="5" t="s">
        <v>81</v>
      </c>
      <c r="C42" s="5" t="s">
        <v>331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332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333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331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332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333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183</v>
      </c>
      <c r="B48" s="5" t="s">
        <v>81</v>
      </c>
      <c r="C48" s="5" t="s">
        <v>331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332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192</v>
      </c>
      <c r="B50" s="5" t="s">
        <v>81</v>
      </c>
      <c r="C50" s="5" t="s">
        <v>331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332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176</v>
      </c>
      <c r="B52" s="5" t="s">
        <v>72</v>
      </c>
      <c r="C52" s="5" t="s">
        <v>331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332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323</v>
      </c>
      <c r="B55" s="97"/>
      <c r="C55" s="97"/>
    </row>
    <row r="56" spans="1:8" ht="13" x14ac:dyDescent="0.3">
      <c r="A56" s="4" t="s">
        <v>149</v>
      </c>
      <c r="B56" s="4" t="s">
        <v>329</v>
      </c>
      <c r="C56" s="82" t="s">
        <v>330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186</v>
      </c>
      <c r="B57" s="5" t="s">
        <v>81</v>
      </c>
      <c r="C57" s="5" t="s">
        <v>331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332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333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184</v>
      </c>
      <c r="B60" s="5" t="s">
        <v>198</v>
      </c>
      <c r="C60" s="5" t="s">
        <v>331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333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197</v>
      </c>
      <c r="C62" s="5" t="s">
        <v>331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333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177</v>
      </c>
      <c r="B64" s="5" t="s">
        <v>198</v>
      </c>
      <c r="C64" s="5" t="s">
        <v>331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333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197</v>
      </c>
      <c r="C66" s="5" t="s">
        <v>331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333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185</v>
      </c>
      <c r="B68" s="5" t="s">
        <v>198</v>
      </c>
      <c r="C68" s="5" t="s">
        <v>331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333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197</v>
      </c>
      <c r="C70" s="5" t="s">
        <v>331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333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162</v>
      </c>
      <c r="B72" s="5" t="s">
        <v>198</v>
      </c>
      <c r="C72" s="5" t="s">
        <v>331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333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197</v>
      </c>
      <c r="C74" s="5" t="s">
        <v>331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333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167</v>
      </c>
      <c r="B76" s="5" t="s">
        <v>74</v>
      </c>
      <c r="C76" s="5" t="s">
        <v>331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332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165</v>
      </c>
      <c r="B78" s="5" t="s">
        <v>74</v>
      </c>
      <c r="C78" s="5" t="s">
        <v>331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332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166</v>
      </c>
      <c r="B80" s="5" t="s">
        <v>74</v>
      </c>
      <c r="C80" s="5" t="s">
        <v>331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332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190</v>
      </c>
      <c r="B82" s="5" t="s">
        <v>81</v>
      </c>
      <c r="C82" s="5" t="s">
        <v>331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332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333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191</v>
      </c>
      <c r="B85" s="5" t="s">
        <v>81</v>
      </c>
      <c r="C85" s="5" t="s">
        <v>331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332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333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189</v>
      </c>
      <c r="B88" s="5" t="s">
        <v>81</v>
      </c>
      <c r="C88" s="5" t="s">
        <v>331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332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333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188</v>
      </c>
      <c r="B91" s="5" t="s">
        <v>81</v>
      </c>
      <c r="C91" s="5" t="s">
        <v>331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332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333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187</v>
      </c>
      <c r="B94" s="5" t="s">
        <v>81</v>
      </c>
      <c r="C94" s="5" t="s">
        <v>331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332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333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193</v>
      </c>
      <c r="B97" s="5" t="s">
        <v>81</v>
      </c>
      <c r="C97" s="5" t="s">
        <v>331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332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333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331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332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333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183</v>
      </c>
      <c r="B103" s="5" t="s">
        <v>81</v>
      </c>
      <c r="C103" s="5" t="s">
        <v>331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332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192</v>
      </c>
      <c r="B105" s="5" t="s">
        <v>81</v>
      </c>
      <c r="C105" s="5" t="s">
        <v>331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332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176</v>
      </c>
      <c r="B107" s="5" t="s">
        <v>72</v>
      </c>
      <c r="C107" s="5" t="s">
        <v>331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332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326</v>
      </c>
      <c r="B110" s="97"/>
      <c r="C110" s="97"/>
    </row>
    <row r="111" spans="1:8" ht="13" x14ac:dyDescent="0.3">
      <c r="A111" s="4" t="s">
        <v>149</v>
      </c>
      <c r="B111" s="4" t="s">
        <v>329</v>
      </c>
      <c r="C111" s="82" t="s">
        <v>330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186</v>
      </c>
      <c r="B112" s="5" t="s">
        <v>81</v>
      </c>
      <c r="C112" s="5" t="s">
        <v>331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332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333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184</v>
      </c>
      <c r="B115" s="5" t="s">
        <v>198</v>
      </c>
      <c r="C115" s="5" t="s">
        <v>331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333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197</v>
      </c>
      <c r="C117" s="5" t="s">
        <v>331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333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177</v>
      </c>
      <c r="B119" s="5" t="s">
        <v>198</v>
      </c>
      <c r="C119" s="5" t="s">
        <v>331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333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197</v>
      </c>
      <c r="C121" s="5" t="s">
        <v>331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333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185</v>
      </c>
      <c r="B123" s="5" t="s">
        <v>198</v>
      </c>
      <c r="C123" s="5" t="s">
        <v>331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333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197</v>
      </c>
      <c r="C125" s="5" t="s">
        <v>331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333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162</v>
      </c>
      <c r="B127" s="5" t="s">
        <v>198</v>
      </c>
      <c r="C127" s="5" t="s">
        <v>331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333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197</v>
      </c>
      <c r="C129" s="5" t="s">
        <v>331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333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167</v>
      </c>
      <c r="B131" s="5" t="s">
        <v>74</v>
      </c>
      <c r="C131" s="5" t="s">
        <v>331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332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165</v>
      </c>
      <c r="B133" s="5" t="s">
        <v>74</v>
      </c>
      <c r="C133" s="5" t="s">
        <v>331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332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166</v>
      </c>
      <c r="B135" s="5" t="s">
        <v>74</v>
      </c>
      <c r="C135" s="5" t="s">
        <v>331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332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190</v>
      </c>
      <c r="B137" s="5" t="s">
        <v>81</v>
      </c>
      <c r="C137" s="5" t="s">
        <v>331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332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333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191</v>
      </c>
      <c r="B140" s="5" t="s">
        <v>81</v>
      </c>
      <c r="C140" s="5" t="s">
        <v>331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332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333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189</v>
      </c>
      <c r="B143" s="5" t="s">
        <v>81</v>
      </c>
      <c r="C143" s="5" t="s">
        <v>331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332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333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188</v>
      </c>
      <c r="B146" s="5" t="s">
        <v>81</v>
      </c>
      <c r="C146" s="5" t="s">
        <v>331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332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333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187</v>
      </c>
      <c r="B149" s="5" t="s">
        <v>81</v>
      </c>
      <c r="C149" s="5" t="s">
        <v>331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332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333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193</v>
      </c>
      <c r="B152" s="5" t="s">
        <v>81</v>
      </c>
      <c r="C152" s="5" t="s">
        <v>331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332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333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331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332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333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183</v>
      </c>
      <c r="B158" s="5" t="s">
        <v>81</v>
      </c>
      <c r="C158" s="5" t="s">
        <v>331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332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192</v>
      </c>
      <c r="B160" s="5" t="s">
        <v>81</v>
      </c>
      <c r="C160" s="5" t="s">
        <v>331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332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176</v>
      </c>
      <c r="B162" s="5" t="s">
        <v>72</v>
      </c>
      <c r="C162" s="5" t="s">
        <v>331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332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DnQD/gzWviUpMnBIjfA5Iky2EK8yRnu6zKg+xR66jz8QwkNDqnWON/KDt1e6t59hPXSaScPm1AiTaVLOVOGxug==" saltValue="rSIHZAEaX/p6sgeAYDFDL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149</v>
      </c>
      <c r="B1" s="1" t="s">
        <v>329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161</v>
      </c>
      <c r="B2" s="8" t="s">
        <v>94</v>
      </c>
      <c r="C2" s="3" t="s">
        <v>331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332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180</v>
      </c>
      <c r="B4" s="8" t="s">
        <v>94</v>
      </c>
      <c r="C4" s="3" t="s">
        <v>331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332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179</v>
      </c>
      <c r="B6" s="8" t="s">
        <v>94</v>
      </c>
      <c r="C6" s="3" t="s">
        <v>331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332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182</v>
      </c>
      <c r="B8" s="3" t="s">
        <v>369</v>
      </c>
      <c r="C8" s="3" t="s">
        <v>331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206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323</v>
      </c>
    </row>
    <row r="12" spans="1:8" ht="13" x14ac:dyDescent="0.3">
      <c r="A12" s="1" t="s">
        <v>149</v>
      </c>
      <c r="B12" s="1" t="s">
        <v>329</v>
      </c>
      <c r="C12" s="1"/>
      <c r="D12" s="4" t="s">
        <v>112</v>
      </c>
      <c r="E12" s="4" t="s">
        <v>113</v>
      </c>
      <c r="F12" s="4" t="s">
        <v>114</v>
      </c>
      <c r="G12" s="4" t="s">
        <v>115</v>
      </c>
    </row>
    <row r="13" spans="1:8" x14ac:dyDescent="0.25">
      <c r="A13" s="3" t="s">
        <v>161</v>
      </c>
      <c r="B13" s="8" t="s">
        <v>94</v>
      </c>
      <c r="C13" s="3" t="s">
        <v>331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332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180</v>
      </c>
      <c r="B15" s="8" t="s">
        <v>94</v>
      </c>
      <c r="C15" s="3" t="s">
        <v>331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332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179</v>
      </c>
      <c r="B17" s="8" t="s">
        <v>94</v>
      </c>
      <c r="C17" s="3" t="s">
        <v>331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332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182</v>
      </c>
      <c r="B19" s="3" t="s">
        <v>369</v>
      </c>
      <c r="C19" s="3" t="s">
        <v>331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206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326</v>
      </c>
    </row>
    <row r="23" spans="1:7" ht="13" x14ac:dyDescent="0.3">
      <c r="A23" s="1" t="s">
        <v>149</v>
      </c>
      <c r="B23" s="1" t="s">
        <v>329</v>
      </c>
      <c r="C23" s="1"/>
      <c r="D23" s="4" t="s">
        <v>112</v>
      </c>
      <c r="E23" s="4" t="s">
        <v>113</v>
      </c>
      <c r="F23" s="4" t="s">
        <v>114</v>
      </c>
      <c r="G23" s="4" t="s">
        <v>115</v>
      </c>
    </row>
    <row r="24" spans="1:7" x14ac:dyDescent="0.25">
      <c r="A24" s="3" t="s">
        <v>161</v>
      </c>
      <c r="B24" s="8" t="s">
        <v>94</v>
      </c>
      <c r="C24" s="3" t="s">
        <v>331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332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180</v>
      </c>
      <c r="B26" s="8" t="s">
        <v>94</v>
      </c>
      <c r="C26" s="3" t="s">
        <v>331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332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179</v>
      </c>
      <c r="B28" s="8" t="s">
        <v>94</v>
      </c>
      <c r="C28" s="3" t="s">
        <v>331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332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182</v>
      </c>
      <c r="B30" s="3" t="s">
        <v>369</v>
      </c>
      <c r="C30" s="3" t="s">
        <v>331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206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rBj4/xhupbkAjC3P8LLaOOabRcINjXHoySh1ckSTSXgOjYOIfIAjJmLR21rEgF+VA5vPMQjl2MeTTNpp+BUspw==" saltValue="QX9aSRqCF7tm0vhyOJqcEw==" spinCount="100000" sheet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2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inputs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Odds ratios</vt:lpstr>
      <vt:lpstr>Programs birth outcomes</vt:lpstr>
      <vt:lpstr>Birth outcome risks</vt:lpstr>
      <vt:lpstr>Relative risks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Scott</dc:creator>
  <cp:keywords/>
  <dc:description/>
  <cp:lastModifiedBy>Tharindu Wickramaarachchi</cp:lastModifiedBy>
  <cp:revision/>
  <dcterms:created xsi:type="dcterms:W3CDTF">2017-08-01T10:42:13Z</dcterms:created>
  <dcterms:modified xsi:type="dcterms:W3CDTF">2025-06-25T23:20:44Z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