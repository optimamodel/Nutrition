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6B437EBA-B3A3-4C3F-AFC0-DB8467E96934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A36" i="2"/>
  <c r="A34" i="2"/>
  <c r="A31" i="2"/>
  <c r="A2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I7" i="2"/>
  <c r="I13" i="2"/>
  <c r="A37" i="2"/>
  <c r="I38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<sst xmlns="http://schemas.openxmlformats.org/spreadsheetml/2006/main" count="2169" uniqueCount="373">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</sst>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22097070.5</v>
      </c>
    </row>
    <row r="8" spans="1:3" ht="15" customHeight="1" x14ac:dyDescent="0.25">
      <c r="B8" s="5" t="s">
        <v>8</v>
      </c>
      <c r="C8" s="44">
        <v>9.5000000000000001E-2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0.79884739999999999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98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2.1579999999999999</v>
      </c>
      <c r="D51" s="12"/>
    </row>
    <row r="52" spans="1:4" ht="15" customHeight="1" x14ac:dyDescent="0.25">
      <c r="B52" s="11" t="s">
        <v>46</v>
      </c>
      <c r="C52" s="98">
        <v>2.1579999999999999</v>
      </c>
    </row>
    <row r="53" spans="1:4" ht="15.75" customHeight="1" x14ac:dyDescent="0.25">
      <c r="B53" s="11" t="s">
        <v>47</v>
      </c>
      <c r="C53" s="98">
        <v>4.992</v>
      </c>
    </row>
    <row r="54" spans="1:4" ht="15.75" customHeight="1" x14ac:dyDescent="0.25">
      <c r="B54" s="11" t="s">
        <v>48</v>
      </c>
      <c r="C54" s="98">
        <v>5.1480000000000006</v>
      </c>
    </row>
    <row r="55" spans="1:4" ht="15.75" customHeight="1" x14ac:dyDescent="0.25">
      <c r="B55" s="11" t="s">
        <v>49</v>
      </c>
      <c r="C55" s="98">
        <v>3.1720000000000002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99">
        <v>5.6959305695930607E-2</v>
      </c>
    </row>
    <row r="5" spans="1:8" ht="15.75" customHeight="1" x14ac:dyDescent="0.25">
      <c r="B5" s="19" t="s">
        <v>70</v>
      </c>
      <c r="C5" s="99">
        <v>3.7975303797530502E-2</v>
      </c>
    </row>
    <row r="6" spans="1:8" ht="15.75" customHeight="1" x14ac:dyDescent="0.25">
      <c r="B6" s="19" t="s">
        <v>71</v>
      </c>
      <c r="C6" s="99">
        <v>0.1868385186838521</v>
      </c>
    </row>
    <row r="7" spans="1:8" ht="15.75" customHeight="1" x14ac:dyDescent="0.25">
      <c r="B7" s="19" t="s">
        <v>72</v>
      </c>
      <c r="C7" s="99">
        <v>0.44315674431567392</v>
      </c>
    </row>
    <row r="8" spans="1:8" ht="15.75" customHeight="1" x14ac:dyDescent="0.25">
      <c r="B8" s="19" t="s">
        <v>73</v>
      </c>
      <c r="C8" s="99">
        <v>4.4720004472000513E-4</v>
      </c>
    </row>
    <row r="9" spans="1:8" ht="15.75" customHeight="1" x14ac:dyDescent="0.25">
      <c r="B9" s="19" t="s">
        <v>74</v>
      </c>
      <c r="C9" s="99">
        <v>0.17596981759698199</v>
      </c>
    </row>
    <row r="10" spans="1:8" ht="15.75" customHeight="1" x14ac:dyDescent="0.25">
      <c r="B10" s="19" t="s">
        <v>75</v>
      </c>
      <c r="C10" s="99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83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84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85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86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87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88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89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99">
        <v>1.9231089E-2</v>
      </c>
    </row>
    <row r="28" spans="1:8" ht="15.75" customHeight="1" x14ac:dyDescent="0.25">
      <c r="B28" s="19" t="s">
        <v>93</v>
      </c>
      <c r="C28" s="99">
        <v>0.23147800700000001</v>
      </c>
    </row>
    <row r="29" spans="1:8" ht="15.75" customHeight="1" x14ac:dyDescent="0.25">
      <c r="B29" s="19" t="s">
        <v>94</v>
      </c>
      <c r="C29" s="99">
        <v>0.13894083700000001</v>
      </c>
    </row>
    <row r="30" spans="1:8" ht="15.75" customHeight="1" x14ac:dyDescent="0.25">
      <c r="B30" s="19" t="s">
        <v>95</v>
      </c>
      <c r="C30" s="99">
        <v>5.0303380000000002E-2</v>
      </c>
    </row>
    <row r="31" spans="1:8" ht="15.75" customHeight="1" x14ac:dyDescent="0.25">
      <c r="B31" s="19" t="s">
        <v>96</v>
      </c>
      <c r="C31" s="99">
        <v>7.028529E-2</v>
      </c>
    </row>
    <row r="32" spans="1:8" ht="15.75" customHeight="1" x14ac:dyDescent="0.25">
      <c r="B32" s="19" t="s">
        <v>97</v>
      </c>
      <c r="C32" s="99">
        <v>0.146633282</v>
      </c>
    </row>
    <row r="33" spans="2:3" ht="15.75" customHeight="1" x14ac:dyDescent="0.25">
      <c r="B33" s="19" t="s">
        <v>98</v>
      </c>
      <c r="C33" s="99">
        <v>0.12525921100000001</v>
      </c>
    </row>
    <row r="34" spans="2:3" ht="15.75" customHeight="1" x14ac:dyDescent="0.25">
      <c r="B34" s="19" t="s">
        <v>99</v>
      </c>
      <c r="C34" s="99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4787.9993077192103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0.58558999999999994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0.54620999999999997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1.9649920343575121E-2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97552.439920000004</v>
      </c>
      <c r="C22" s="107">
        <v>97242.264479999998</v>
      </c>
      <c r="D22" s="107">
        <v>97045.4516</v>
      </c>
      <c r="E22" s="107">
        <v>96658.283670000004</v>
      </c>
      <c r="F22" s="107">
        <v>96160.800499999998</v>
      </c>
      <c r="G22" s="107">
        <v>95643.804409999997</v>
      </c>
      <c r="H22" s="107">
        <v>95018.195890000003</v>
      </c>
      <c r="I22" s="107">
        <v>94132.193899999998</v>
      </c>
      <c r="J22" s="107">
        <v>92778.891050000006</v>
      </c>
      <c r="K22" s="107">
        <v>90662.465649999998</v>
      </c>
      <c r="L22" s="107">
        <v>87359.70392</v>
      </c>
      <c r="M22" s="107">
        <v>82408.556769999996</v>
      </c>
      <c r="N22" s="107">
        <v>75040.667100000006</v>
      </c>
      <c r="O22" s="107">
        <v>64735.990769999997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39.799999999999997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39.799999999999997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1.1399999999999999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1.2116048011525209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0.44054339999999997</v>
      </c>
      <c r="C10" s="96">
        <v>0.95</v>
      </c>
      <c r="D10" s="56">
        <v>12.930406468022619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12.930406468022619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12.930406468022619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12.930406468022619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0.44054339999999997</v>
      </c>
      <c r="C14" s="96">
        <v>0.95</v>
      </c>
      <c r="D14" s="56">
        <v>12.930406468022619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12.930406468022619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1.73413E-2</v>
      </c>
      <c r="C16" s="96">
        <v>0.95</v>
      </c>
      <c r="D16" s="56">
        <v>0.64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0.17784249999999999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0.4996447</v>
      </c>
      <c r="C18" s="96">
        <v>0.95</v>
      </c>
      <c r="D18" s="56">
        <v>8.25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0.4996447</v>
      </c>
      <c r="C19" s="96">
        <v>0.95</v>
      </c>
      <c r="D19" s="56">
        <v>8.2480771138610329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9.15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1.1399999999999999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2.2612899999999998E-2</v>
      </c>
      <c r="C23" s="96">
        <v>0.95</v>
      </c>
      <c r="D23" s="56">
        <v>4.2282295523678748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0.61685007638513001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18.489999999999998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0.36092259999999998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0.53925319999999999</v>
      </c>
      <c r="C29" s="96">
        <v>0.95</v>
      </c>
      <c r="D29" s="56">
        <v>46.280465114316641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0.80400000000000005</v>
      </c>
      <c r="C32" s="96">
        <v>0.95</v>
      </c>
      <c r="D32" s="56">
        <v>1.36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0.7898522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0.45606069999999999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1.5928999999999999E-2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0.22960410000000001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0.17799999999999999</v>
      </c>
      <c r="C38" s="96">
        <v>0.95</v>
      </c>
      <c r="D38" s="56">
        <v>4.4400000000000004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2.1579999999999999</v>
      </c>
      <c r="C2" s="21">
        <f>'Baseline year population inputs'!C52</f>
        <v>2.1579999999999999</v>
      </c>
      <c r="D2" s="21">
        <f>'Baseline year population inputs'!C53</f>
        <v>4.992</v>
      </c>
      <c r="E2" s="21">
        <f>'Baseline year population inputs'!C54</f>
        <v>5.1480000000000006</v>
      </c>
      <c r="F2" s="21">
        <f>'Baseline year population inputs'!C55</f>
        <v>3.1720000000000002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