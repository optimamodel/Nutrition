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5960855-6D88-4AC9-83CC-DB3B9500ACC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5" i="2"/>
  <c r="A34" i="2"/>
  <c r="A33" i="2"/>
  <c r="A32" i="2"/>
  <c r="A27" i="2"/>
  <c r="A26" i="2"/>
  <c r="A25" i="2"/>
  <c r="A24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40" i="2"/>
  <c r="A22" i="2"/>
  <c r="A38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<sst xmlns="http://schemas.openxmlformats.org/spreadsheetml/2006/main" count="2092" uniqueCount="341">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</sst>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0.77582038879394499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0.1095</v>
      </c>
    </row>
    <row r="24" spans="1:3" ht="15" customHeight="1" x14ac:dyDescent="0.25">
      <c r="B24" s="15" t="s">
        <v>22</v>
      </c>
      <c r="C24" s="45">
        <v>0.52049999999999996</v>
      </c>
    </row>
    <row r="25" spans="1:3" ht="15" customHeight="1" x14ac:dyDescent="0.25">
      <c r="B25" s="15" t="s">
        <v>23</v>
      </c>
      <c r="C25" s="45">
        <v>0.32290000000000002</v>
      </c>
    </row>
    <row r="26" spans="1:3" ht="15" customHeight="1" x14ac:dyDescent="0.25">
      <c r="B26" s="15" t="s">
        <v>24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4696437.7885999987</v>
      </c>
      <c r="C2" s="49">
        <v>11438000</v>
      </c>
      <c r="D2" s="49">
        <v>21854000</v>
      </c>
      <c r="E2" s="49">
        <v>20723000</v>
      </c>
      <c r="F2" s="49">
        <v>19510000</v>
      </c>
      <c r="G2" s="17">
        <f t="shared" ref="G2:G13" si="0">C2+D2+E2+F2</f>
        <v>73525000</v>
      </c>
      <c r="H2" s="17">
        <f t="shared" ref="H2:H13" si="1">(B2 + stillbirth*B2/(1000-stillbirth))/(1-abortion)</f>
        <v>5385718.3133750688</v>
      </c>
      <c r="I2" s="17">
        <f t="shared" ref="I2:I13" si="2">G2-H2</f>
        <v>68139281.686624929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4664506.1310000001</v>
      </c>
      <c r="C3" s="50">
        <v>11478000</v>
      </c>
      <c r="D3" s="50">
        <v>21974000</v>
      </c>
      <c r="E3" s="50">
        <v>20709000</v>
      </c>
      <c r="F3" s="50">
        <v>19713000</v>
      </c>
      <c r="G3" s="17">
        <f t="shared" si="0"/>
        <v>73874000</v>
      </c>
      <c r="H3" s="17">
        <f t="shared" si="1"/>
        <v>5349100.1527917041</v>
      </c>
      <c r="I3" s="17">
        <f t="shared" si="2"/>
        <v>68524899.847208291</v>
      </c>
    </row>
    <row r="4" spans="1:9" ht="15.75" customHeight="1" x14ac:dyDescent="0.25">
      <c r="A4" s="5">
        <f t="shared" si="3"/>
        <v>2026</v>
      </c>
      <c r="B4" s="49">
        <v>4650134.9664000003</v>
      </c>
      <c r="C4" s="50">
        <v>11544000</v>
      </c>
      <c r="D4" s="50">
        <v>22099000</v>
      </c>
      <c r="E4" s="50">
        <v>20716000</v>
      </c>
      <c r="F4" s="50">
        <v>19873000</v>
      </c>
      <c r="G4" s="17">
        <f t="shared" si="0"/>
        <v>74232000</v>
      </c>
      <c r="H4" s="17">
        <f t="shared" si="1"/>
        <v>5332619.78025092</v>
      </c>
      <c r="I4" s="17">
        <f t="shared" si="2"/>
        <v>68899380.219749078</v>
      </c>
    </row>
    <row r="5" spans="1:9" ht="15.75" customHeight="1" x14ac:dyDescent="0.25">
      <c r="A5" s="5">
        <f t="shared" si="3"/>
        <v>2027</v>
      </c>
      <c r="B5" s="49">
        <v>4633821.3976000007</v>
      </c>
      <c r="C5" s="50">
        <v>11646000</v>
      </c>
      <c r="D5" s="50">
        <v>22218000</v>
      </c>
      <c r="E5" s="50">
        <v>20745000</v>
      </c>
      <c r="F5" s="50">
        <v>20003000</v>
      </c>
      <c r="G5" s="17">
        <f t="shared" si="0"/>
        <v>74612000</v>
      </c>
      <c r="H5" s="17">
        <f t="shared" si="1"/>
        <v>5313911.9233181765</v>
      </c>
      <c r="I5" s="17">
        <f t="shared" si="2"/>
        <v>69298088.076681823</v>
      </c>
    </row>
    <row r="6" spans="1:9" ht="15.75" customHeight="1" x14ac:dyDescent="0.25">
      <c r="A6" s="5">
        <f t="shared" si="3"/>
        <v>2028</v>
      </c>
      <c r="B6" s="49">
        <v>4615603.0158000002</v>
      </c>
      <c r="C6" s="50">
        <v>11761000</v>
      </c>
      <c r="D6" s="50">
        <v>22331000</v>
      </c>
      <c r="E6" s="50">
        <v>20793000</v>
      </c>
      <c r="F6" s="50">
        <v>20105000</v>
      </c>
      <c r="G6" s="17">
        <f t="shared" si="0"/>
        <v>74990000</v>
      </c>
      <c r="H6" s="17">
        <f t="shared" si="1"/>
        <v>5293019.6903286334</v>
      </c>
      <c r="I6" s="17">
        <f t="shared" si="2"/>
        <v>69696980.309671372</v>
      </c>
    </row>
    <row r="7" spans="1:9" ht="15.75" customHeight="1" x14ac:dyDescent="0.25">
      <c r="A7" s="5">
        <f t="shared" si="3"/>
        <v>2029</v>
      </c>
      <c r="B7" s="49">
        <v>4595564.3760000011</v>
      </c>
      <c r="C7" s="50">
        <v>11847000</v>
      </c>
      <c r="D7" s="50">
        <v>22441000</v>
      </c>
      <c r="E7" s="50">
        <v>20856000</v>
      </c>
      <c r="F7" s="50">
        <v>20176000</v>
      </c>
      <c r="G7" s="17">
        <f t="shared" si="0"/>
        <v>75320000</v>
      </c>
      <c r="H7" s="17">
        <f t="shared" si="1"/>
        <v>5270040.0461378917</v>
      </c>
      <c r="I7" s="17">
        <f t="shared" si="2"/>
        <v>70049959.953862101</v>
      </c>
    </row>
    <row r="8" spans="1:9" ht="15.75" customHeight="1" x14ac:dyDescent="0.25">
      <c r="A8" s="5">
        <f t="shared" si="3"/>
        <v>2030</v>
      </c>
      <c r="B8" s="49">
        <v>4573741.4349999996</v>
      </c>
      <c r="C8" s="50">
        <v>11878000</v>
      </c>
      <c r="D8" s="50">
        <v>22547000</v>
      </c>
      <c r="E8" s="50">
        <v>20931000</v>
      </c>
      <c r="F8" s="50">
        <v>20218000</v>
      </c>
      <c r="G8" s="17">
        <f t="shared" si="0"/>
        <v>75574000</v>
      </c>
      <c r="H8" s="17">
        <f t="shared" si="1"/>
        <v>5245014.2248056671</v>
      </c>
      <c r="I8" s="17">
        <f t="shared" si="2"/>
        <v>70328985.775194332</v>
      </c>
    </row>
    <row r="9" spans="1:9" ht="15.75" customHeight="1" x14ac:dyDescent="0.25">
      <c r="A9" s="5">
        <f t="shared" si="3"/>
        <v>2031</v>
      </c>
      <c r="B9" s="49">
        <v>4556213.3844857141</v>
      </c>
      <c r="C9" s="50">
        <v>11940857.14285714</v>
      </c>
      <c r="D9" s="50">
        <v>22646000</v>
      </c>
      <c r="E9" s="50">
        <v>20960714.285714291</v>
      </c>
      <c r="F9" s="50">
        <v>20319142.857142858</v>
      </c>
      <c r="G9" s="17">
        <f t="shared" si="0"/>
        <v>75866714.285714298</v>
      </c>
      <c r="H9" s="17">
        <f t="shared" si="1"/>
        <v>5224913.6407243246</v>
      </c>
      <c r="I9" s="17">
        <f t="shared" si="2"/>
        <v>70641800.644989967</v>
      </c>
    </row>
    <row r="10" spans="1:9" ht="15.75" customHeight="1" x14ac:dyDescent="0.25">
      <c r="A10" s="5">
        <f t="shared" si="3"/>
        <v>2032</v>
      </c>
      <c r="B10" s="49">
        <v>4540742.99212653</v>
      </c>
      <c r="C10" s="50">
        <v>12006979.591836739</v>
      </c>
      <c r="D10" s="50">
        <v>22742000</v>
      </c>
      <c r="E10" s="50">
        <v>20996673.469387759</v>
      </c>
      <c r="F10" s="50">
        <v>20405734.693877552</v>
      </c>
      <c r="G10" s="17">
        <f t="shared" si="0"/>
        <v>76151387.755102038</v>
      </c>
      <c r="H10" s="17">
        <f t="shared" si="1"/>
        <v>5207172.7104289839</v>
      </c>
      <c r="I10" s="17">
        <f t="shared" si="2"/>
        <v>70944215.044673055</v>
      </c>
    </row>
    <row r="11" spans="1:9" ht="15.75" customHeight="1" x14ac:dyDescent="0.25">
      <c r="A11" s="5">
        <f t="shared" si="3"/>
        <v>2033</v>
      </c>
      <c r="B11" s="49">
        <v>4525115.5672303196</v>
      </c>
      <c r="C11" s="50">
        <v>12073119.5335277</v>
      </c>
      <c r="D11" s="50">
        <v>22833857.142857142</v>
      </c>
      <c r="E11" s="50">
        <v>21036769.679300301</v>
      </c>
      <c r="F11" s="50">
        <v>20481839.650145769</v>
      </c>
      <c r="G11" s="17">
        <f t="shared" si="0"/>
        <v>76425586.005830914</v>
      </c>
      <c r="H11" s="17">
        <f t="shared" si="1"/>
        <v>5189251.7004544213</v>
      </c>
      <c r="I11" s="17">
        <f t="shared" si="2"/>
        <v>71236334.3053765</v>
      </c>
    </row>
    <row r="12" spans="1:9" ht="15.75" customHeight="1" x14ac:dyDescent="0.25">
      <c r="A12" s="5">
        <f t="shared" si="3"/>
        <v>2034</v>
      </c>
      <c r="B12" s="49">
        <v>4509586.162891794</v>
      </c>
      <c r="C12" s="50">
        <v>12134136.60974594</v>
      </c>
      <c r="D12" s="50">
        <v>22921836.734693881</v>
      </c>
      <c r="E12" s="50">
        <v>21078451.06205748</v>
      </c>
      <c r="F12" s="50">
        <v>20550245.314452309</v>
      </c>
      <c r="G12" s="17">
        <f t="shared" si="0"/>
        <v>76684669.720949605</v>
      </c>
      <c r="H12" s="17">
        <f t="shared" si="1"/>
        <v>5171443.097188171</v>
      </c>
      <c r="I12" s="17">
        <f t="shared" si="2"/>
        <v>71513226.62376143</v>
      </c>
    </row>
    <row r="13" spans="1:9" ht="15.75" customHeight="1" x14ac:dyDescent="0.25">
      <c r="A13" s="5">
        <f t="shared" si="3"/>
        <v>2035</v>
      </c>
      <c r="B13" s="49">
        <v>4494440.8981906213</v>
      </c>
      <c r="C13" s="50">
        <v>12187441.839709651</v>
      </c>
      <c r="D13" s="50">
        <v>23006241.982507288</v>
      </c>
      <c r="E13" s="50">
        <v>21119229.785208549</v>
      </c>
      <c r="F13" s="50">
        <v>20613851.787945502</v>
      </c>
      <c r="G13" s="17">
        <f t="shared" si="0"/>
        <v>76926765.39537099</v>
      </c>
      <c r="H13" s="17">
        <f t="shared" si="1"/>
        <v>5154075.0124538187</v>
      </c>
      <c r="I13" s="17">
        <f t="shared" si="2"/>
        <v>71772690.382917166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0.30210936194072202</v>
      </c>
      <c r="C2" s="98">
        <v>0.95</v>
      </c>
      <c r="D2" s="56">
        <v>54.369919363327419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39.798107024226709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357.02948881176422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1.142053729053182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12.930406468022619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12.930406468022619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12.930406468022619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12.930406468022619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12.930406468022619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12.930406468022619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0.37414230687134797</v>
      </c>
      <c r="C16" s="98">
        <v>0.95</v>
      </c>
      <c r="D16" s="56">
        <v>0.63717226791796655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8.2480771138610329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8.2480771138610329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0.45606069999999999</v>
      </c>
      <c r="C21" s="98">
        <v>0.95</v>
      </c>
      <c r="D21" s="56">
        <v>9.1518723376901896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22.27087738351165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1.5928999999999999E-2</v>
      </c>
      <c r="C23" s="98">
        <v>0.95</v>
      </c>
      <c r="D23" s="56">
        <v>4.2282295523678748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0.63748328044507307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0.34111468179224902</v>
      </c>
      <c r="C27" s="98">
        <v>0.95</v>
      </c>
      <c r="D27" s="56">
        <v>18.492233391202259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0.36092259999999998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105.2957891352434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7.4384576847866803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0.4996447</v>
      </c>
      <c r="C32" s="98">
        <v>0.95</v>
      </c>
      <c r="D32" s="56">
        <v>1.3596953000307599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0.88156880000000004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0.37310900000000002</v>
      </c>
      <c r="C38" s="98">
        <v>0.95</v>
      </c>
      <c r="D38" s="56">
        <v>4.4407254381901682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0.53925319999999999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0.89197364156854275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2024-03-28T03:04:09Z</dcterms:modified>
</cp:coreProperties>
</file>