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E93095D-7DBE-4454-A9C2-BAF6921B674B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4" i="2"/>
  <c r="A31" i="2"/>
  <c r="A26" i="2"/>
  <c r="A25" i="2"/>
  <c r="A24" i="2"/>
  <c r="A23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6" i="2" l="1"/>
  <c r="I12" i="2"/>
  <c r="A35" i="2"/>
  <c r="A36" i="2"/>
  <c r="I7" i="2"/>
  <c r="I13" i="2"/>
  <c r="A37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<sst xmlns="http://schemas.openxmlformats.org/spreadsheetml/2006/main" count="2169" uniqueCount="373">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</sst>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16831403.5</v>
      </c>
    </row>
    <row r="8" spans="1:3" ht="15" customHeight="1" x14ac:dyDescent="0.25">
      <c r="B8" s="5" t="s">
        <v>8</v>
      </c>
      <c r="C8" s="44">
        <v>0.187</v>
      </c>
    </row>
    <row r="9" spans="1:3" ht="15" customHeight="1" x14ac:dyDescent="0.25">
      <c r="B9" s="5" t="s">
        <v>9</v>
      </c>
      <c r="C9" s="45">
        <v>0.48840000000000011</v>
      </c>
    </row>
    <row r="10" spans="1:3" ht="15" customHeight="1" x14ac:dyDescent="0.25">
      <c r="B10" s="5" t="s">
        <v>10</v>
      </c>
      <c r="C10" s="45">
        <v>0.72279169999999993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0.136899788914078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0.20180000000000001</v>
      </c>
    </row>
    <row r="24" spans="1:3" ht="15" customHeight="1" x14ac:dyDescent="0.25">
      <c r="B24" s="15" t="s">
        <v>22</v>
      </c>
      <c r="C24" s="45">
        <v>0.58740000000000003</v>
      </c>
    </row>
    <row r="25" spans="1:3" ht="15" customHeight="1" x14ac:dyDescent="0.25">
      <c r="B25" s="15" t="s">
        <v>23</v>
      </c>
      <c r="C25" s="45">
        <v>0.18479999999999999</v>
      </c>
    </row>
    <row r="26" spans="1:3" ht="15" customHeight="1" x14ac:dyDescent="0.25">
      <c r="B26" s="15" t="s">
        <v>24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0.38903520674993503</v>
      </c>
    </row>
    <row r="30" spans="1:3" ht="14.25" customHeight="1" x14ac:dyDescent="0.25">
      <c r="B30" s="25" t="s">
        <v>27</v>
      </c>
      <c r="C30" s="97">
        <v>3.0554486722926998E-2</v>
      </c>
    </row>
    <row r="31" spans="1:3" ht="14.25" customHeight="1" x14ac:dyDescent="0.25">
      <c r="B31" s="25" t="s">
        <v>28</v>
      </c>
      <c r="C31" s="97">
        <v>3.3490630273111603E-2</v>
      </c>
    </row>
    <row r="32" spans="1:3" ht="14.25" customHeight="1" x14ac:dyDescent="0.25">
      <c r="B32" s="25" t="s">
        <v>29</v>
      </c>
      <c r="C32" s="97">
        <v>0.54691967625402593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16.004100000000001</v>
      </c>
    </row>
    <row r="38" spans="1:5" ht="15" customHeight="1" x14ac:dyDescent="0.25">
      <c r="B38" s="11" t="s">
        <v>34</v>
      </c>
      <c r="C38" s="43">
        <v>22.90615</v>
      </c>
      <c r="D38" s="12"/>
      <c r="E38" s="13"/>
    </row>
    <row r="39" spans="1:5" ht="15" customHeight="1" x14ac:dyDescent="0.25">
      <c r="B39" s="11" t="s">
        <v>35</v>
      </c>
      <c r="C39" s="43">
        <v>27.273630000000001</v>
      </c>
      <c r="D39" s="12"/>
      <c r="E39" s="12"/>
    </row>
    <row r="40" spans="1:5" ht="15" customHeight="1" x14ac:dyDescent="0.25">
      <c r="B40" s="11" t="s">
        <v>36</v>
      </c>
      <c r="C40" s="98">
        <v>1.23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2.1753700000000001E-2</v>
      </c>
      <c r="D45" s="12"/>
    </row>
    <row r="46" spans="1:5" ht="15.75" customHeight="1" x14ac:dyDescent="0.25">
      <c r="B46" s="11" t="s">
        <v>41</v>
      </c>
      <c r="C46" s="45">
        <v>0.13988120000000001</v>
      </c>
      <c r="D46" s="12"/>
    </row>
    <row r="47" spans="1:5" ht="15.75" customHeight="1" x14ac:dyDescent="0.25">
      <c r="B47" s="11" t="s">
        <v>42</v>
      </c>
      <c r="C47" s="45">
        <v>0.39040259999999999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0.67600000000000005</v>
      </c>
      <c r="D51" s="12"/>
    </row>
    <row r="52" spans="1:4" ht="15" customHeight="1" x14ac:dyDescent="0.25">
      <c r="B52" s="11" t="s">
        <v>46</v>
      </c>
      <c r="C52" s="98">
        <v>0.67600000000000005</v>
      </c>
    </row>
    <row r="53" spans="1:4" ht="15.75" customHeight="1" x14ac:dyDescent="0.25">
      <c r="B53" s="11" t="s">
        <v>47</v>
      </c>
      <c r="C53" s="98">
        <v>2.3140000000000001</v>
      </c>
    </row>
    <row r="54" spans="1:4" ht="15.75" customHeight="1" x14ac:dyDescent="0.25">
      <c r="B54" s="11" t="s">
        <v>48</v>
      </c>
      <c r="C54" s="98">
        <v>2.34</v>
      </c>
    </row>
    <row r="55" spans="1:4" ht="15.75" customHeight="1" x14ac:dyDescent="0.25">
      <c r="B55" s="11" t="s">
        <v>49</v>
      </c>
      <c r="C55" s="98">
        <v>0.754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0.48978300000000002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0.23046702490000001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3469124</v>
      </c>
      <c r="C2" s="49">
        <v>8453378</v>
      </c>
      <c r="D2" s="49">
        <v>16937138</v>
      </c>
      <c r="E2" s="49">
        <v>13761322.5</v>
      </c>
      <c r="F2" s="49">
        <v>10240900</v>
      </c>
      <c r="G2" s="17">
        <f t="shared" ref="G2:G13" si="0">C2+D2+E2+F2</f>
        <v>49392738.5</v>
      </c>
      <c r="H2" s="17">
        <f t="shared" ref="H2:H13" si="1">(B2 + stillbirth*B2/(1000-stillbirth))/(1-abortion)</f>
        <v>4024693.2596571902</v>
      </c>
      <c r="I2" s="17">
        <f t="shared" ref="I2:I13" si="2">G2-H2</f>
        <v>45368045.240342811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3441259</v>
      </c>
      <c r="C3" s="50">
        <v>8279631.4999999991</v>
      </c>
      <c r="D3" s="50">
        <v>16970987</v>
      </c>
      <c r="E3" s="50">
        <v>13958628</v>
      </c>
      <c r="F3" s="50">
        <v>10722841</v>
      </c>
      <c r="G3" s="17">
        <f t="shared" si="0"/>
        <v>49932087.5</v>
      </c>
      <c r="H3" s="17">
        <f t="shared" si="1"/>
        <v>3992365.7678522426</v>
      </c>
      <c r="I3" s="17">
        <f t="shared" si="2"/>
        <v>45939721.732147761</v>
      </c>
    </row>
    <row r="4" spans="1:9" ht="15.75" customHeight="1" x14ac:dyDescent="0.25">
      <c r="A4" s="5">
        <f t="shared" si="3"/>
        <v>2026</v>
      </c>
      <c r="B4" s="49">
        <v>3407860</v>
      </c>
      <c r="C4" s="50">
        <v>8101045</v>
      </c>
      <c r="D4" s="50">
        <v>16958171.5</v>
      </c>
      <c r="E4" s="50">
        <v>14190044.5</v>
      </c>
      <c r="F4" s="50">
        <v>11194566.5</v>
      </c>
      <c r="G4" s="17">
        <f t="shared" si="0"/>
        <v>50443827.5</v>
      </c>
      <c r="H4" s="17">
        <f t="shared" si="1"/>
        <v>3953618.0234132167</v>
      </c>
      <c r="I4" s="17">
        <f t="shared" si="2"/>
        <v>46490209.476586781</v>
      </c>
    </row>
    <row r="5" spans="1:9" ht="15.75" customHeight="1" x14ac:dyDescent="0.25">
      <c r="A5" s="5">
        <f t="shared" si="3"/>
        <v>2027</v>
      </c>
      <c r="B5" s="49">
        <v>3372729</v>
      </c>
      <c r="C5" s="50">
        <v>7932599.5</v>
      </c>
      <c r="D5" s="50">
        <v>16903946.5</v>
      </c>
      <c r="E5" s="50">
        <v>14467018</v>
      </c>
      <c r="F5" s="50">
        <v>11624708.999999998</v>
      </c>
      <c r="G5" s="17">
        <f t="shared" si="0"/>
        <v>50928273</v>
      </c>
      <c r="H5" s="17">
        <f t="shared" si="1"/>
        <v>3912860.9046405763</v>
      </c>
      <c r="I5" s="17">
        <f t="shared" si="2"/>
        <v>47015412.095359422</v>
      </c>
    </row>
    <row r="6" spans="1:9" ht="15.75" customHeight="1" x14ac:dyDescent="0.25">
      <c r="A6" s="5">
        <f t="shared" si="3"/>
        <v>2028</v>
      </c>
      <c r="B6" s="49">
        <v>3334941</v>
      </c>
      <c r="C6" s="50">
        <v>7786700</v>
      </c>
      <c r="D6" s="50">
        <v>16814577.5</v>
      </c>
      <c r="E6" s="50">
        <v>14789360</v>
      </c>
      <c r="F6" s="50">
        <v>11994985</v>
      </c>
      <c r="G6" s="17">
        <f t="shared" si="0"/>
        <v>51385622.5</v>
      </c>
      <c r="H6" s="17">
        <f t="shared" si="1"/>
        <v>3869021.2757037249</v>
      </c>
      <c r="I6" s="17">
        <f t="shared" si="2"/>
        <v>47516601.224296272</v>
      </c>
    </row>
    <row r="7" spans="1:9" ht="15.75" customHeight="1" x14ac:dyDescent="0.25">
      <c r="A7" s="5">
        <f t="shared" si="3"/>
        <v>2029</v>
      </c>
      <c r="B7" s="49">
        <v>3295324</v>
      </c>
      <c r="C7" s="50">
        <v>7668632.5</v>
      </c>
      <c r="D7" s="50">
        <v>16693067.000000002</v>
      </c>
      <c r="E7" s="50">
        <v>15137868</v>
      </c>
      <c r="F7" s="50">
        <v>12306396.499999998</v>
      </c>
      <c r="G7" s="17">
        <f t="shared" si="0"/>
        <v>51805964</v>
      </c>
      <c r="H7" s="17">
        <f t="shared" si="1"/>
        <v>3823059.7381894016</v>
      </c>
      <c r="I7" s="17">
        <f t="shared" si="2"/>
        <v>47982904.261810601</v>
      </c>
    </row>
    <row r="8" spans="1:9" ht="15.75" customHeight="1" x14ac:dyDescent="0.25">
      <c r="A8" s="5">
        <f t="shared" si="3"/>
        <v>2030</v>
      </c>
      <c r="B8" s="49">
        <v>3252257</v>
      </c>
      <c r="C8" s="50">
        <v>7580187.5</v>
      </c>
      <c r="D8" s="50">
        <v>16538421.999999998</v>
      </c>
      <c r="E8" s="50">
        <v>15485830</v>
      </c>
      <c r="F8" s="50">
        <v>12569925.500000002</v>
      </c>
      <c r="G8" s="17">
        <f t="shared" si="0"/>
        <v>52174365</v>
      </c>
      <c r="H8" s="17">
        <f t="shared" si="1"/>
        <v>3773095.6940636644</v>
      </c>
      <c r="I8" s="17">
        <f t="shared" si="2"/>
        <v>48401269.305936337</v>
      </c>
    </row>
    <row r="9" spans="1:9" ht="15.75" customHeight="1" x14ac:dyDescent="0.25">
      <c r="A9" s="5">
        <f t="shared" si="3"/>
        <v>2031</v>
      </c>
      <c r="B9" s="49">
        <v>3206837</v>
      </c>
      <c r="C9" s="50">
        <v>7521919</v>
      </c>
      <c r="D9" s="50">
        <v>16349140</v>
      </c>
      <c r="E9" s="50">
        <v>15806139.5</v>
      </c>
      <c r="F9" s="50">
        <v>12796565.5</v>
      </c>
      <c r="G9" s="17">
        <f t="shared" si="0"/>
        <v>52473764</v>
      </c>
      <c r="H9" s="17">
        <f t="shared" si="1"/>
        <v>3720401.824414257</v>
      </c>
      <c r="I9" s="17">
        <f t="shared" si="2"/>
        <v>48753362.175585747</v>
      </c>
    </row>
    <row r="10" spans="1:9" ht="15.75" customHeight="1" x14ac:dyDescent="0.25">
      <c r="A10" s="5">
        <f t="shared" si="3"/>
        <v>2032</v>
      </c>
      <c r="B10" s="49">
        <v>3162889</v>
      </c>
      <c r="C10" s="50">
        <v>7492387</v>
      </c>
      <c r="D10" s="50">
        <v>16125158</v>
      </c>
      <c r="E10" s="50">
        <v>16071354</v>
      </c>
      <c r="F10" s="50">
        <v>12997844.5</v>
      </c>
      <c r="G10" s="17">
        <f t="shared" si="0"/>
        <v>52686743.5</v>
      </c>
      <c r="H10" s="17">
        <f t="shared" si="1"/>
        <v>3669415.6909190537</v>
      </c>
      <c r="I10" s="17">
        <f t="shared" si="2"/>
        <v>49017327.809080943</v>
      </c>
    </row>
    <row r="11" spans="1:9" ht="15.75" customHeight="1" x14ac:dyDescent="0.25">
      <c r="A11" s="5">
        <f t="shared" si="3"/>
        <v>2033</v>
      </c>
      <c r="B11" s="49">
        <v>3113924</v>
      </c>
      <c r="C11" s="50">
        <v>7491639.5</v>
      </c>
      <c r="D11" s="50">
        <v>15875667.5</v>
      </c>
      <c r="E11" s="50">
        <v>16265687.5</v>
      </c>
      <c r="F11" s="50">
        <v>13188261.999999998</v>
      </c>
      <c r="G11" s="17">
        <f t="shared" si="0"/>
        <v>52821256.5</v>
      </c>
      <c r="H11" s="17">
        <f t="shared" si="1"/>
        <v>3612609.1007080623</v>
      </c>
      <c r="I11" s="17">
        <f t="shared" si="2"/>
        <v>49208647.39929194</v>
      </c>
    </row>
    <row r="12" spans="1:9" ht="15.75" customHeight="1" x14ac:dyDescent="0.25">
      <c r="A12" s="5">
        <f t="shared" si="3"/>
        <v>2034</v>
      </c>
      <c r="B12" s="49">
        <v>3066967</v>
      </c>
      <c r="C12" s="50">
        <v>7520415</v>
      </c>
      <c r="D12" s="50">
        <v>15614189.999999998</v>
      </c>
      <c r="E12" s="50">
        <v>16387120.5</v>
      </c>
      <c r="F12" s="50">
        <v>13382414</v>
      </c>
      <c r="G12" s="17">
        <f t="shared" si="0"/>
        <v>52904139.5</v>
      </c>
      <c r="H12" s="17">
        <f t="shared" si="1"/>
        <v>3558132.0853595994</v>
      </c>
      <c r="I12" s="17">
        <f t="shared" si="2"/>
        <v>49346007.414640397</v>
      </c>
    </row>
    <row r="13" spans="1:9" ht="15.75" customHeight="1" x14ac:dyDescent="0.25">
      <c r="A13" s="5">
        <f t="shared" si="3"/>
        <v>2035</v>
      </c>
      <c r="B13" s="49">
        <v>3020759</v>
      </c>
      <c r="C13" s="50">
        <v>7578661</v>
      </c>
      <c r="D13" s="50">
        <v>15356855</v>
      </c>
      <c r="E13" s="50">
        <v>16442654.999999998</v>
      </c>
      <c r="F13" s="50">
        <v>13592612.5</v>
      </c>
      <c r="G13" s="17">
        <f t="shared" si="0"/>
        <v>52970783.5</v>
      </c>
      <c r="H13" s="17">
        <f t="shared" si="1"/>
        <v>3504524.0199972084</v>
      </c>
      <c r="I13" s="17">
        <f t="shared" si="2"/>
        <v>49466259.480002791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1.1453498854650119E-2</v>
      </c>
    </row>
    <row r="4" spans="1:8" ht="15.75" customHeight="1" x14ac:dyDescent="0.25">
      <c r="B4" s="19" t="s">
        <v>69</v>
      </c>
      <c r="C4" s="99">
        <v>9.4447090555290908E-2</v>
      </c>
    </row>
    <row r="5" spans="1:8" ht="15.75" customHeight="1" x14ac:dyDescent="0.25">
      <c r="B5" s="19" t="s">
        <v>70</v>
      </c>
      <c r="C5" s="99">
        <v>8.4743491525650902E-2</v>
      </c>
    </row>
    <row r="6" spans="1:8" ht="15.75" customHeight="1" x14ac:dyDescent="0.25">
      <c r="B6" s="19" t="s">
        <v>71</v>
      </c>
      <c r="C6" s="99">
        <v>0.25140407485959188</v>
      </c>
    </row>
    <row r="7" spans="1:8" ht="15.75" customHeight="1" x14ac:dyDescent="0.25">
      <c r="B7" s="19" t="s">
        <v>72</v>
      </c>
      <c r="C7" s="99">
        <v>0.33003026699697391</v>
      </c>
    </row>
    <row r="8" spans="1:8" ht="15.75" customHeight="1" x14ac:dyDescent="0.25">
      <c r="B8" s="19" t="s">
        <v>73</v>
      </c>
      <c r="C8" s="99">
        <v>1.377999862200013E-3</v>
      </c>
    </row>
    <row r="9" spans="1:8" ht="15.75" customHeight="1" x14ac:dyDescent="0.25">
      <c r="B9" s="19" t="s">
        <v>74</v>
      </c>
      <c r="C9" s="99">
        <v>9.7865990213400936E-2</v>
      </c>
    </row>
    <row r="10" spans="1:8" ht="15.75" customHeight="1" x14ac:dyDescent="0.25">
      <c r="B10" s="19" t="s">
        <v>75</v>
      </c>
      <c r="C10" s="99">
        <v>0.1286775871322412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82</v>
      </c>
      <c r="C15" s="99">
        <v>0.18319874540566811</v>
      </c>
      <c r="D15" s="99">
        <v>0.18319874540566811</v>
      </c>
      <c r="E15" s="99">
        <v>0.18319874540566811</v>
      </c>
      <c r="F15" s="99">
        <v>0.18319874540566811</v>
      </c>
    </row>
    <row r="16" spans="1:8" ht="15.75" customHeight="1" x14ac:dyDescent="0.25">
      <c r="B16" s="19" t="s">
        <v>83</v>
      </c>
      <c r="C16" s="99">
        <v>8.6408669263906192E-3</v>
      </c>
      <c r="D16" s="99">
        <v>8.6408669263906192E-3</v>
      </c>
      <c r="E16" s="99">
        <v>8.6408669263906192E-3</v>
      </c>
      <c r="F16" s="99">
        <v>8.6408669263906192E-3</v>
      </c>
    </row>
    <row r="17" spans="1:8" ht="15.75" customHeight="1" x14ac:dyDescent="0.25">
      <c r="B17" s="19" t="s">
        <v>84</v>
      </c>
      <c r="C17" s="99">
        <v>0.27638773713709541</v>
      </c>
      <c r="D17" s="99">
        <v>0.27638773713709541</v>
      </c>
      <c r="E17" s="99">
        <v>0.27638773713709541</v>
      </c>
      <c r="F17" s="99">
        <v>0.27638773713709541</v>
      </c>
    </row>
    <row r="18" spans="1:8" ht="15.75" customHeight="1" x14ac:dyDescent="0.25">
      <c r="B18" s="19" t="s">
        <v>85</v>
      </c>
      <c r="C18" s="99">
        <v>3.212324045668727E-4</v>
      </c>
      <c r="D18" s="99">
        <v>3.212324045668727E-4</v>
      </c>
      <c r="E18" s="99">
        <v>3.212324045668727E-4</v>
      </c>
      <c r="F18" s="99">
        <v>3.212324045668727E-4</v>
      </c>
    </row>
    <row r="19" spans="1:8" ht="15.75" customHeight="1" x14ac:dyDescent="0.25">
      <c r="B19" s="19" t="s">
        <v>86</v>
      </c>
      <c r="C19" s="99">
        <v>1.9480867300339509E-2</v>
      </c>
      <c r="D19" s="99">
        <v>1.9480867300339509E-2</v>
      </c>
      <c r="E19" s="99">
        <v>1.9480867300339509E-2</v>
      </c>
      <c r="F19" s="99">
        <v>1.9480867300339509E-2</v>
      </c>
    </row>
    <row r="20" spans="1:8" ht="15.75" customHeight="1" x14ac:dyDescent="0.25">
      <c r="B20" s="19" t="s">
        <v>87</v>
      </c>
      <c r="C20" s="99">
        <v>8.3718301442584563E-4</v>
      </c>
      <c r="D20" s="99">
        <v>8.3718301442584563E-4</v>
      </c>
      <c r="E20" s="99">
        <v>8.3718301442584563E-4</v>
      </c>
      <c r="F20" s="99">
        <v>8.3718301442584563E-4</v>
      </c>
    </row>
    <row r="21" spans="1:8" ht="15.75" customHeight="1" x14ac:dyDescent="0.25">
      <c r="B21" s="19" t="s">
        <v>88</v>
      </c>
      <c r="C21" s="99">
        <v>0.14678829307258109</v>
      </c>
      <c r="D21" s="99">
        <v>0.14678829307258109</v>
      </c>
      <c r="E21" s="99">
        <v>0.14678829307258109</v>
      </c>
      <c r="F21" s="99">
        <v>0.14678829307258109</v>
      </c>
    </row>
    <row r="22" spans="1:8" ht="15.75" customHeight="1" x14ac:dyDescent="0.25">
      <c r="B22" s="19" t="s">
        <v>89</v>
      </c>
      <c r="C22" s="99">
        <v>0.1942171931601194</v>
      </c>
      <c r="D22" s="99">
        <v>0.1942171931601194</v>
      </c>
      <c r="E22" s="99">
        <v>0.1942171931601194</v>
      </c>
      <c r="F22" s="99">
        <v>0.1942171931601194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2.5897033999999999E-2</v>
      </c>
    </row>
    <row r="27" spans="1:8" ht="15.75" customHeight="1" x14ac:dyDescent="0.25">
      <c r="B27" s="19" t="s">
        <v>92</v>
      </c>
      <c r="C27" s="99">
        <v>7.1412350000000001E-3</v>
      </c>
    </row>
    <row r="28" spans="1:8" ht="15.75" customHeight="1" x14ac:dyDescent="0.25">
      <c r="B28" s="19" t="s">
        <v>93</v>
      </c>
      <c r="C28" s="99">
        <v>0.25594161900000001</v>
      </c>
    </row>
    <row r="29" spans="1:8" ht="15.75" customHeight="1" x14ac:dyDescent="0.25">
      <c r="B29" s="19" t="s">
        <v>94</v>
      </c>
      <c r="C29" s="99">
        <v>0.146367004</v>
      </c>
    </row>
    <row r="30" spans="1:8" ht="15.75" customHeight="1" x14ac:dyDescent="0.25">
      <c r="B30" s="19" t="s">
        <v>95</v>
      </c>
      <c r="C30" s="99">
        <v>1.7554395E-2</v>
      </c>
    </row>
    <row r="31" spans="1:8" ht="15.75" customHeight="1" x14ac:dyDescent="0.25">
      <c r="B31" s="19" t="s">
        <v>96</v>
      </c>
      <c r="C31" s="99">
        <v>1.8078031000000001E-2</v>
      </c>
    </row>
    <row r="32" spans="1:8" ht="15.75" customHeight="1" x14ac:dyDescent="0.25">
      <c r="B32" s="19" t="s">
        <v>97</v>
      </c>
      <c r="C32" s="99">
        <v>1.1440346000000001E-2</v>
      </c>
    </row>
    <row r="33" spans="2:3" ht="15.75" customHeight="1" x14ac:dyDescent="0.25">
      <c r="B33" s="19" t="s">
        <v>98</v>
      </c>
      <c r="C33" s="99">
        <v>0.15128762500000001</v>
      </c>
    </row>
    <row r="34" spans="2:3" ht="15.75" customHeight="1" x14ac:dyDescent="0.25">
      <c r="B34" s="19" t="s">
        <v>99</v>
      </c>
      <c r="C34" s="99">
        <v>0.36629271099999999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104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105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109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110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3.6194000000000504E-3</v>
      </c>
      <c r="D5" s="52">
        <f t="shared" si="0"/>
        <v>2.2722900000000101E-2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2688.3055009073801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0.40860999999999997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0.39543999999999996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1.5421000531693801E-2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96938.719570000001</v>
      </c>
      <c r="C22" s="107">
        <v>96592.95723</v>
      </c>
      <c r="D22" s="107">
        <v>96271.086960000001</v>
      </c>
      <c r="E22" s="107">
        <v>95953.980410000004</v>
      </c>
      <c r="F22" s="107">
        <v>95595.973689999999</v>
      </c>
      <c r="G22" s="107">
        <v>95180.252269999997</v>
      </c>
      <c r="H22" s="107">
        <v>94714.145340000003</v>
      </c>
      <c r="I22" s="107">
        <v>94085.984020000004</v>
      </c>
      <c r="J22" s="107">
        <v>93117.233439999996</v>
      </c>
      <c r="K22" s="107">
        <v>91579.037930000006</v>
      </c>
      <c r="L22" s="107">
        <v>88759.600539999999</v>
      </c>
      <c r="M22" s="107">
        <v>85058.565000000002</v>
      </c>
      <c r="N22" s="107">
        <v>79439.731530000005</v>
      </c>
      <c r="O22" s="107">
        <v>71636.774720000001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17.026484135107474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17.026484135107474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8.851070189484922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0.19283527130965261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0.24171699078812695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0.45950000000000002</v>
      </c>
      <c r="C10" s="96">
        <v>0.95</v>
      </c>
      <c r="D10" s="56">
        <v>13.591732347475441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13.591732347475441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13.591732347475441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13.591732347475441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0.45950000000000002</v>
      </c>
      <c r="C14" s="96">
        <v>0.95</v>
      </c>
      <c r="D14" s="56">
        <v>13.591732347475441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13.591732347475441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1.31943922222222E-2</v>
      </c>
      <c r="C17" s="96">
        <v>0.95</v>
      </c>
      <c r="D17" s="56">
        <v>4.9725113424072598E-2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0.32600000000000001</v>
      </c>
      <c r="C18" s="96">
        <v>0.95</v>
      </c>
      <c r="D18" s="56">
        <v>8.851070189484922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0.59965789999999997</v>
      </c>
      <c r="C19" s="96">
        <v>0.95</v>
      </c>
      <c r="D19" s="56">
        <v>3.2163028334016039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8.851070189484922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4.4935547009666941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0.456700457953225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5.9759056444818865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0.72358090000000008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0.33847410000000011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2.8E-3</v>
      </c>
      <c r="C31" s="96">
        <v>0.95</v>
      </c>
      <c r="D31" s="56">
        <v>212.53756605284229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0.96</v>
      </c>
      <c r="C32" s="96">
        <v>0.95</v>
      </c>
      <c r="D32" s="56">
        <v>0.43509474246063523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0.61728539999999998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0.49194979999999999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6.1071800000000002E-2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0.14936920000000001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0.43</v>
      </c>
      <c r="C38" s="96">
        <v>0.95</v>
      </c>
      <c r="D38" s="56">
        <v>1.0566586602615426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0.67600000000000005</v>
      </c>
      <c r="C2" s="21">
        <f>'Baseline year population inputs'!C52</f>
        <v>0.67600000000000005</v>
      </c>
      <c r="D2" s="21">
        <f>'Baseline year population inputs'!C53</f>
        <v>2.3140000000000001</v>
      </c>
      <c r="E2" s="21">
        <f>'Baseline year population inputs'!C54</f>
        <v>2.34</v>
      </c>
      <c r="F2" s="21">
        <f>'Baseline year population inputs'!C55</f>
        <v>0.754</v>
      </c>
    </row>
    <row r="3" spans="1:6" ht="15.75" customHeight="1" x14ac:dyDescent="0.25">
      <c r="A3" s="3" t="s">
        <v>197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198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0.187</v>
      </c>
      <c r="F2" s="60">
        <f>food_insecure</f>
        <v>0.187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0.187</v>
      </c>
      <c r="F5" s="60">
        <f>food_insecure</f>
        <v>0.187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1.4646666666666671E-2</v>
      </c>
      <c r="D7" s="60">
        <f>diarrhoea_1_5mo*frac_diarrhea_severe</f>
        <v>1.4646666666666671E-2</v>
      </c>
      <c r="E7" s="60">
        <f>diarrhoea_6_11mo*frac_diarrhea_severe</f>
        <v>5.0136666666666677E-2</v>
      </c>
      <c r="F7" s="60">
        <f>diarrhoea_12_23mo*frac_diarrhea_severe</f>
        <v>5.0700000000000009E-2</v>
      </c>
      <c r="G7" s="60">
        <f>diarrhoea_24_59mo*frac_diarrhea_severe</f>
        <v>1.6336666666666669E-2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0.187</v>
      </c>
      <c r="F8" s="60">
        <f>food_insecure</f>
        <v>0.187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0.187</v>
      </c>
      <c r="F9" s="60">
        <f>food_insecure</f>
        <v>0.187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1.4646666666666671E-2</v>
      </c>
      <c r="D12" s="60">
        <f>diarrhoea_1_5mo*frac_diarrhea_severe</f>
        <v>1.4646666666666671E-2</v>
      </c>
      <c r="E12" s="60">
        <f>diarrhoea_6_11mo*frac_diarrhea_severe</f>
        <v>5.0136666666666677E-2</v>
      </c>
      <c r="F12" s="60">
        <f>diarrhoea_12_23mo*frac_diarrhea_severe</f>
        <v>5.0700000000000009E-2</v>
      </c>
      <c r="G12" s="60">
        <f>diarrhoea_24_59mo*frac_diarrhea_severe</f>
        <v>1.6336666666666669E-2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0.187</v>
      </c>
      <c r="I15" s="60">
        <f t="shared" si="0"/>
        <v>0.187</v>
      </c>
      <c r="J15" s="60">
        <f t="shared" si="0"/>
        <v>0.187</v>
      </c>
      <c r="K15" s="60">
        <f t="shared" si="0"/>
        <v>0.187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0.187</v>
      </c>
      <c r="I16" s="60">
        <f t="shared" si="0"/>
        <v>0.187</v>
      </c>
      <c r="J16" s="60">
        <f t="shared" si="0"/>
        <v>0.187</v>
      </c>
      <c r="K16" s="60">
        <f t="shared" si="0"/>
        <v>0.187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0.136899788914078</v>
      </c>
      <c r="M24" s="60">
        <f>famplan_unmet_need</f>
        <v>0.136899788914078</v>
      </c>
      <c r="N24" s="60">
        <f>famplan_unmet_need</f>
        <v>0.136899788914078</v>
      </c>
      <c r="O24" s="60">
        <f>famplan_unmet_need</f>
        <v>0.136899788914078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0.14671803694100002</v>
      </c>
      <c r="M25" s="60">
        <f>(1-food_insecure)*(0.49)+food_insecure*(0.7)</f>
        <v>0.52926999999999991</v>
      </c>
      <c r="N25" s="60">
        <f>(1-food_insecure)*(0.49)+food_insecure*(0.7)</f>
        <v>0.52926999999999991</v>
      </c>
      <c r="O25" s="60">
        <f>(1-food_insecure)*(0.49)+food_insecure*(0.7)</f>
        <v>0.52926999999999991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6.2879158689000014E-2</v>
      </c>
      <c r="M26" s="60">
        <f>(1-food_insecure)*(0.21)+food_insecure*(0.3)</f>
        <v>0.22682999999999998</v>
      </c>
      <c r="N26" s="60">
        <f>(1-food_insecure)*(0.21)+food_insecure*(0.3)</f>
        <v>0.22682999999999998</v>
      </c>
      <c r="O26" s="60">
        <f>(1-food_insecure)*(0.21)+food_insecure*(0.3)</f>
        <v>0.22682999999999998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6.7611104370000008E-2</v>
      </c>
      <c r="M27" s="60">
        <f>(1-food_insecure)*(0.3)</f>
        <v>0.24389999999999998</v>
      </c>
      <c r="N27" s="60">
        <f>(1-food_insecure)*(0.3)</f>
        <v>0.24389999999999998</v>
      </c>
      <c r="O27" s="60">
        <f>(1-food_insecure)*(0.3)</f>
        <v>0.24389999999999998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0.72279169999999993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0.48840000000000011</v>
      </c>
      <c r="D34" s="60">
        <f t="shared" si="4"/>
        <v>0.48840000000000011</v>
      </c>
      <c r="E34" s="60">
        <f t="shared" si="4"/>
        <v>0.48840000000000011</v>
      </c>
      <c r="F34" s="60">
        <f t="shared" si="4"/>
        <v>0.48840000000000011</v>
      </c>
      <c r="G34" s="60">
        <f t="shared" si="4"/>
        <v>0.48840000000000011</v>
      </c>
      <c r="H34" s="60">
        <f t="shared" si="4"/>
        <v>0.48840000000000011</v>
      </c>
      <c r="I34" s="60">
        <f t="shared" si="4"/>
        <v>0.48840000000000011</v>
      </c>
      <c r="J34" s="60">
        <f t="shared" si="4"/>
        <v>0.48840000000000011</v>
      </c>
      <c r="K34" s="60">
        <f t="shared" si="4"/>
        <v>0.48840000000000011</v>
      </c>
      <c r="L34" s="60">
        <f t="shared" si="4"/>
        <v>0.48840000000000011</v>
      </c>
      <c r="M34" s="60">
        <f t="shared" si="4"/>
        <v>0.48840000000000011</v>
      </c>
      <c r="N34" s="60">
        <f t="shared" si="4"/>
        <v>0.48840000000000011</v>
      </c>
      <c r="O34" s="60">
        <f t="shared" si="4"/>
        <v>0.48840000000000011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