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655D8BE-668F-4923-AC4E-599844E704A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<sst xmlns="http://schemas.openxmlformats.org/spreadsheetml/2006/main" count="2159" uniqueCount="372">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</sst>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16831403.5</v>
      </c>
    </row>
    <row r="8" spans="1:3" ht="15" customHeight="1" x14ac:dyDescent="0.25">
      <c r="B8" s="5" t="s">
        <v>8</v>
      </c>
      <c r="C8" s="44">
        <v>0.187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0.72279169999999993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9">
        <v>3.0554486722926998E-2</v>
      </c>
    </row>
    <row r="31" spans="1:3" ht="14.25" customHeight="1" x14ac:dyDescent="0.25">
      <c r="B31" s="25" t="s">
        <v>28</v>
      </c>
      <c r="C31" s="99">
        <v>3.3490630273111603E-2</v>
      </c>
    </row>
    <row r="32" spans="1:3" ht="14.25" customHeight="1" x14ac:dyDescent="0.25">
      <c r="B32" s="25" t="s">
        <v>29</v>
      </c>
      <c r="C32" s="99">
        <v>0.54691967625402593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0.67600000000000005</v>
      </c>
      <c r="D51" s="12"/>
    </row>
    <row r="52" spans="1:4" ht="15" customHeight="1" x14ac:dyDescent="0.25">
      <c r="B52" s="11" t="s">
        <v>46</v>
      </c>
      <c r="C52" s="100">
        <v>0.67600000000000005</v>
      </c>
    </row>
    <row r="53" spans="1:4" ht="15.75" customHeight="1" x14ac:dyDescent="0.25">
      <c r="B53" s="11" t="s">
        <v>47</v>
      </c>
      <c r="C53" s="100">
        <v>2.3140000000000001</v>
      </c>
    </row>
    <row r="54" spans="1:4" ht="15.75" customHeight="1" x14ac:dyDescent="0.25">
      <c r="B54" s="11" t="s">
        <v>48</v>
      </c>
      <c r="C54" s="100">
        <v>2.34</v>
      </c>
    </row>
    <row r="55" spans="1:4" ht="15.75" customHeight="1" x14ac:dyDescent="0.25">
      <c r="B55" s="11" t="s">
        <v>49</v>
      </c>
      <c r="C55" s="100">
        <v>0.754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101">
        <v>9.4447090555290908E-2</v>
      </c>
    </row>
    <row r="5" spans="1:8" ht="15.75" customHeight="1" x14ac:dyDescent="0.25">
      <c r="B5" s="19" t="s">
        <v>70</v>
      </c>
      <c r="C5" s="101">
        <v>8.4743491525650902E-2</v>
      </c>
    </row>
    <row r="6" spans="1:8" ht="15.75" customHeight="1" x14ac:dyDescent="0.25">
      <c r="B6" s="19" t="s">
        <v>71</v>
      </c>
      <c r="C6" s="101">
        <v>0.25140407485959188</v>
      </c>
    </row>
    <row r="7" spans="1:8" ht="15.75" customHeight="1" x14ac:dyDescent="0.25">
      <c r="B7" s="19" t="s">
        <v>72</v>
      </c>
      <c r="C7" s="101">
        <v>0.33003026699697391</v>
      </c>
    </row>
    <row r="8" spans="1:8" ht="15.75" customHeight="1" x14ac:dyDescent="0.25">
      <c r="B8" s="19" t="s">
        <v>73</v>
      </c>
      <c r="C8" s="101">
        <v>1.377999862200013E-3</v>
      </c>
    </row>
    <row r="9" spans="1:8" ht="15.75" customHeight="1" x14ac:dyDescent="0.25">
      <c r="B9" s="19" t="s">
        <v>74</v>
      </c>
      <c r="C9" s="101">
        <v>9.7865990213400936E-2</v>
      </c>
    </row>
    <row r="10" spans="1:8" ht="15.75" customHeight="1" x14ac:dyDescent="0.25">
      <c r="B10" s="19" t="s">
        <v>75</v>
      </c>
      <c r="C10" s="101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83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84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85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86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87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89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101">
        <v>7.1412350000000001E-3</v>
      </c>
    </row>
    <row r="28" spans="1:8" ht="15.75" customHeight="1" x14ac:dyDescent="0.25">
      <c r="B28" s="19" t="s">
        <v>93</v>
      </c>
      <c r="C28" s="101">
        <v>0.25594161900000001</v>
      </c>
    </row>
    <row r="29" spans="1:8" ht="15.75" customHeight="1" x14ac:dyDescent="0.25">
      <c r="B29" s="19" t="s">
        <v>94</v>
      </c>
      <c r="C29" s="101">
        <v>0.146367004</v>
      </c>
    </row>
    <row r="30" spans="1:8" ht="15.75" customHeight="1" x14ac:dyDescent="0.25">
      <c r="B30" s="19" t="s">
        <v>95</v>
      </c>
      <c r="C30" s="101">
        <v>1.7554395E-2</v>
      </c>
    </row>
    <row r="31" spans="1:8" ht="15.75" customHeight="1" x14ac:dyDescent="0.25">
      <c r="B31" s="19" t="s">
        <v>96</v>
      </c>
      <c r="C31" s="101">
        <v>1.8078031000000001E-2</v>
      </c>
    </row>
    <row r="32" spans="1:8" ht="15.75" customHeight="1" x14ac:dyDescent="0.25">
      <c r="B32" s="19" t="s">
        <v>97</v>
      </c>
      <c r="C32" s="101">
        <v>1.1440346000000001E-2</v>
      </c>
    </row>
    <row r="33" spans="2:3" ht="15.75" customHeight="1" x14ac:dyDescent="0.25">
      <c r="B33" s="19" t="s">
        <v>98</v>
      </c>
      <c r="C33" s="101">
        <v>0.15128762500000001</v>
      </c>
    </row>
    <row r="34" spans="2:3" ht="15.75" customHeight="1" x14ac:dyDescent="0.25">
      <c r="B34" s="19" t="s">
        <v>99</v>
      </c>
      <c r="C34" s="101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2688.3055009073801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0.40860999999999997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0.39543999999999996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1.5421000531693801E-2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96938.719570000001</v>
      </c>
      <c r="C22" s="109">
        <v>96592.95723</v>
      </c>
      <c r="D22" s="109">
        <v>96271.086960000001</v>
      </c>
      <c r="E22" s="109">
        <v>95953.980410000004</v>
      </c>
      <c r="F22" s="109">
        <v>95595.973689999999</v>
      </c>
      <c r="G22" s="109">
        <v>95180.252269999997</v>
      </c>
      <c r="H22" s="109">
        <v>94714.145340000003</v>
      </c>
      <c r="I22" s="109">
        <v>94085.984020000004</v>
      </c>
      <c r="J22" s="109">
        <v>93117.233439999996</v>
      </c>
      <c r="K22" s="109">
        <v>91579.037930000006</v>
      </c>
      <c r="L22" s="109">
        <v>88759.600539999999</v>
      </c>
      <c r="M22" s="109">
        <v>85058.565000000002</v>
      </c>
      <c r="N22" s="109">
        <v>79439.731530000005</v>
      </c>
      <c r="O22" s="109">
        <v>71636.774720000001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17.026484135107474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17.026484135107474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8.851070189484922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0.19283527130965261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0.24171699078812695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0.45950000000000002</v>
      </c>
      <c r="C10" s="98">
        <v>0.95</v>
      </c>
      <c r="D10" s="56">
        <v>13.591732347475441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13.591732347475441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13.591732347475441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13.591732347475441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0.45950000000000002</v>
      </c>
      <c r="C14" s="98">
        <v>0.95</v>
      </c>
      <c r="D14" s="56">
        <v>13.591732347475441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13.591732347475441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1.31943922222222E-2</v>
      </c>
      <c r="C17" s="98">
        <v>0.95</v>
      </c>
      <c r="D17" s="56">
        <v>4.9725113424072598E-2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0.32600000000000001</v>
      </c>
      <c r="C18" s="98">
        <v>0.95</v>
      </c>
      <c r="D18" s="56">
        <v>8.851070189484922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0.59965789999999997</v>
      </c>
      <c r="C19" s="98">
        <v>0.95</v>
      </c>
      <c r="D19" s="56">
        <v>3.2163028334016039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8.851070189484922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4.4935547009666941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0.456700457953225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5.9759056444818865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0.72358090000000008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0.33847410000000011</v>
      </c>
      <c r="C29" s="98">
        <v>0.95</v>
      </c>
      <c r="D29" s="56">
        <v>26.81689264396762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2.8E-3</v>
      </c>
      <c r="C31" s="98">
        <v>0.95</v>
      </c>
      <c r="D31" s="56">
        <v>212.53756605284229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0.96</v>
      </c>
      <c r="C32" s="98">
        <v>0.95</v>
      </c>
      <c r="D32" s="56">
        <v>0.43509474246063523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0.61728539999999998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0.49194979999999999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6.1071800000000002E-2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0.14936920000000001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0.43</v>
      </c>
      <c r="C38" s="98">
        <v>0.95</v>
      </c>
      <c r="D38" s="56">
        <v>1.0566586602615426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0.67600000000000005</v>
      </c>
      <c r="C2" s="21">
        <f>'Baseline year population inputs'!C52</f>
        <v>0.67600000000000005</v>
      </c>
      <c r="D2" s="21">
        <f>'Baseline year population inputs'!C53</f>
        <v>2.3140000000000001</v>
      </c>
      <c r="E2" s="21">
        <f>'Baseline year population inputs'!C54</f>
        <v>2.34</v>
      </c>
      <c r="F2" s="21">
        <f>'Baseline year population inputs'!C55</f>
        <v>0.754</v>
      </c>
    </row>
    <row r="3" spans="1:6" ht="15.75" customHeight="1" x14ac:dyDescent="0.25">
      <c r="A3" s="3" t="s">
        <v>197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198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