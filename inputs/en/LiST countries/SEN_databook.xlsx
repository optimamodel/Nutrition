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832D3459-A9B7-4E53-85D3-9321DBE84168}" xr6:coauthVersionLast="47" xr6:coauthVersionMax="47" xr10:uidLastSave="{00000000-0000-0000-0000-000000000000}"/>
  <bookViews>
    <workbookView xWindow="0" yWindow="3670" windowWidth="19200" windowHeight="6530" tabRatio="961" firstSheet="4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state="hidden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G152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O67" i="25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O60" i="25"/>
  <c r="N60" i="25"/>
  <c r="M60" i="25"/>
  <c r="L60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9" i="25"/>
  <c r="N19" i="25"/>
  <c r="M19" i="25"/>
  <c r="L19" i="25"/>
  <c r="K19" i="25"/>
  <c r="J19" i="25"/>
  <c r="I19" i="25"/>
  <c r="H19" i="25"/>
  <c r="G19" i="25"/>
  <c r="F19" i="25"/>
  <c r="E19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H38" i="2"/>
  <c r="G38" i="2"/>
  <c r="I38" i="2" s="1"/>
  <c r="A37" i="2"/>
  <c r="A36" i="2"/>
  <c r="A35" i="2"/>
  <c r="A29" i="2"/>
  <c r="A28" i="2"/>
  <c r="A27" i="2"/>
  <c r="A21" i="2"/>
  <c r="A20" i="2"/>
  <c r="A19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H2" i="2"/>
  <c r="G2" i="2"/>
  <c r="I2" i="2" s="1"/>
  <c r="A2" i="2"/>
  <c r="A39" i="2" s="1"/>
  <c r="C33" i="1"/>
  <c r="C20" i="1"/>
  <c r="A14" i="2" l="1"/>
  <c r="A22" i="2"/>
  <c r="A40" i="2"/>
  <c r="A15" i="2"/>
  <c r="A31" i="2"/>
  <c r="A38" i="2"/>
  <c r="A23" i="2"/>
  <c r="A16" i="2"/>
  <c r="A24" i="2"/>
  <c r="A32" i="2"/>
  <c r="A17" i="2"/>
  <c r="A25" i="2"/>
  <c r="A33" i="2"/>
  <c r="A30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26" i="2"/>
  <c r="A3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29" authorId="1" shapeId="0" xr:uid="{00000000-0006-0000-1600-00000E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29" authorId="1" shapeId="0" xr:uid="{00000000-0006-0000-1600-00000F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30" authorId="0" shapeId="0" xr:uid="{00000000-0006-0000-1600-000010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1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2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4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6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7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52" authorId="1" shapeId="0" xr:uid="{00000000-0006-0000-1600-000018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52" authorId="1" shapeId="0" xr:uid="{00000000-0006-0000-1600-000019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53" authorId="0" shapeId="0" xr:uid="{00000000-0006-0000-1600-00001A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B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C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Peña‐Rosas et al 2019, anemia RR 0.72 (0.54-0.97)
If no data for anaemia prev. the use RR otherwise convert RR to OR using prev.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Larson et al 2021, RR 0.80 (0.70-0.92)
If no data for anaemia prev. the use RR otherwise convert RR to OR using prev.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C49" authorId="0" shapeId="0" xr:uid="{00000000-0006-0000-1800-000052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50" authorId="0" shapeId="0" xr:uid="{00000000-0006-0000-1800-00005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6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<sst xmlns="http://schemas.openxmlformats.org/spreadsheetml/2006/main" count="2092" uniqueCount="341">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</sst>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2707529.75</v>
      </c>
    </row>
    <row r="8" spans="1:3" ht="15" customHeight="1" x14ac:dyDescent="0.25">
      <c r="B8" s="5" t="s">
        <v>8</v>
      </c>
      <c r="C8" s="44">
        <v>0.38</v>
      </c>
    </row>
    <row r="9" spans="1:3" ht="15" customHeight="1" x14ac:dyDescent="0.25">
      <c r="B9" s="5" t="s">
        <v>9</v>
      </c>
      <c r="C9" s="45">
        <v>0.97</v>
      </c>
    </row>
    <row r="10" spans="1:3" ht="15" customHeight="1" x14ac:dyDescent="0.25">
      <c r="B10" s="5" t="s">
        <v>10</v>
      </c>
      <c r="C10" s="45">
        <v>0.38866821289062498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0.52600000000000002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7.9199999999999993E-2</v>
      </c>
    </row>
    <row r="24" spans="1:3" ht="15" customHeight="1" x14ac:dyDescent="0.25">
      <c r="B24" s="15" t="s">
        <v>22</v>
      </c>
      <c r="C24" s="45">
        <v>0.43070000000000003</v>
      </c>
    </row>
    <row r="25" spans="1:3" ht="15" customHeight="1" x14ac:dyDescent="0.25">
      <c r="B25" s="15" t="s">
        <v>23</v>
      </c>
      <c r="C25" s="45">
        <v>0.37840000000000001</v>
      </c>
    </row>
    <row r="26" spans="1:3" ht="15" customHeight="1" x14ac:dyDescent="0.25">
      <c r="B26" s="15" t="s">
        <v>24</v>
      </c>
      <c r="C26" s="45">
        <v>0.11169999999999999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0.242578564948118</v>
      </c>
    </row>
    <row r="30" spans="1:3" ht="14.25" customHeight="1" x14ac:dyDescent="0.25">
      <c r="B30" s="25" t="s">
        <v>27</v>
      </c>
      <c r="C30" s="99">
        <v>2.9913637194387301E-2</v>
      </c>
    </row>
    <row r="31" spans="1:3" ht="14.25" customHeight="1" x14ac:dyDescent="0.25">
      <c r="B31" s="25" t="s">
        <v>28</v>
      </c>
      <c r="C31" s="99">
        <v>7.7460320403722499E-2</v>
      </c>
    </row>
    <row r="32" spans="1:3" ht="14.25" customHeight="1" x14ac:dyDescent="0.25">
      <c r="B32" s="25" t="s">
        <v>29</v>
      </c>
      <c r="C32" s="99">
        <v>0.650047477453772</v>
      </c>
    </row>
    <row r="33" spans="1:5" ht="13" customHeight="1" x14ac:dyDescent="0.25">
      <c r="B33" s="27" t="s">
        <v>30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21.085819999999998</v>
      </c>
    </row>
    <row r="38" spans="1:5" ht="15" customHeight="1" x14ac:dyDescent="0.25">
      <c r="B38" s="11" t="s">
        <v>34</v>
      </c>
      <c r="C38" s="43">
        <v>29.13533</v>
      </c>
      <c r="D38" s="12"/>
      <c r="E38" s="13"/>
    </row>
    <row r="39" spans="1:5" ht="15" customHeight="1" x14ac:dyDescent="0.25">
      <c r="B39" s="11" t="s">
        <v>35</v>
      </c>
      <c r="C39" s="43">
        <v>38.59986</v>
      </c>
      <c r="D39" s="12"/>
      <c r="E39" s="12"/>
    </row>
    <row r="40" spans="1:5" ht="15" customHeight="1" x14ac:dyDescent="0.25">
      <c r="B40" s="11" t="s">
        <v>36</v>
      </c>
      <c r="C40" s="100">
        <v>2.61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19.10577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7.9200999999999994E-3</v>
      </c>
      <c r="D45" s="12"/>
    </row>
    <row r="46" spans="1:5" ht="15.75" customHeight="1" x14ac:dyDescent="0.25">
      <c r="B46" s="11" t="s">
        <v>41</v>
      </c>
      <c r="C46" s="45">
        <v>8.5099999999999995E-2</v>
      </c>
      <c r="D46" s="12"/>
    </row>
    <row r="47" spans="1:5" ht="15.75" customHeight="1" x14ac:dyDescent="0.25">
      <c r="B47" s="11" t="s">
        <v>42</v>
      </c>
      <c r="C47" s="45">
        <v>7.3468800000000001E-2</v>
      </c>
      <c r="D47" s="12"/>
      <c r="E47" s="13"/>
    </row>
    <row r="48" spans="1:5" ht="15" customHeight="1" x14ac:dyDescent="0.25">
      <c r="B48" s="11" t="s">
        <v>43</v>
      </c>
      <c r="C48" s="46">
        <v>0.83351110000000006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0.39979100000000012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0.18459738000000001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599948.18099999998</v>
      </c>
      <c r="C2" s="49">
        <v>1014000</v>
      </c>
      <c r="D2" s="49">
        <v>1592000</v>
      </c>
      <c r="E2" s="49">
        <v>451000</v>
      </c>
      <c r="F2" s="49">
        <v>472000</v>
      </c>
      <c r="G2" s="17">
        <f t="shared" ref="G2:G13" si="0">C2+D2+E2+F2</f>
        <v>3529000</v>
      </c>
      <c r="H2" s="17">
        <f t="shared" ref="H2:H13" si="1">(B2 + stillbirth*B2/(1000-stillbirth))/(1-abortion)</f>
        <v>695038.54313722393</v>
      </c>
      <c r="I2" s="17">
        <f t="shared" ref="I2:I13" si="2">G2-H2</f>
        <v>2833961.4568627761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606495.46</v>
      </c>
      <c r="C3" s="50">
        <v>1048000</v>
      </c>
      <c r="D3" s="50">
        <v>1635000</v>
      </c>
      <c r="E3" s="50">
        <v>446000</v>
      </c>
      <c r="F3" s="50">
        <v>469000</v>
      </c>
      <c r="G3" s="17">
        <f t="shared" si="0"/>
        <v>3598000</v>
      </c>
      <c r="H3" s="17">
        <f t="shared" si="1"/>
        <v>702623.55031249009</v>
      </c>
      <c r="I3" s="17">
        <f t="shared" si="2"/>
        <v>2895376.4496875098</v>
      </c>
    </row>
    <row r="4" spans="1:9" ht="15.75" customHeight="1" x14ac:dyDescent="0.25">
      <c r="A4" s="5">
        <f t="shared" si="3"/>
        <v>2026</v>
      </c>
      <c r="B4" s="49">
        <v>615254.97279999999</v>
      </c>
      <c r="C4" s="50">
        <v>1082000</v>
      </c>
      <c r="D4" s="50">
        <v>1683000</v>
      </c>
      <c r="E4" s="50">
        <v>438000</v>
      </c>
      <c r="F4" s="50">
        <v>465000</v>
      </c>
      <c r="G4" s="17">
        <f t="shared" si="0"/>
        <v>3668000</v>
      </c>
      <c r="H4" s="17">
        <f t="shared" si="1"/>
        <v>712771.42509220203</v>
      </c>
      <c r="I4" s="17">
        <f t="shared" si="2"/>
        <v>2955228.5749077979</v>
      </c>
    </row>
    <row r="5" spans="1:9" ht="15.75" customHeight="1" x14ac:dyDescent="0.25">
      <c r="A5" s="5">
        <f t="shared" si="3"/>
        <v>2027</v>
      </c>
      <c r="B5" s="49">
        <v>623902.43520000007</v>
      </c>
      <c r="C5" s="50">
        <v>1116000</v>
      </c>
      <c r="D5" s="50">
        <v>1734000</v>
      </c>
      <c r="E5" s="50">
        <v>431000</v>
      </c>
      <c r="F5" s="50">
        <v>461000</v>
      </c>
      <c r="G5" s="17">
        <f t="shared" si="0"/>
        <v>3742000</v>
      </c>
      <c r="H5" s="17">
        <f t="shared" si="1"/>
        <v>722789.48974957271</v>
      </c>
      <c r="I5" s="17">
        <f t="shared" si="2"/>
        <v>3019210.5102504273</v>
      </c>
    </row>
    <row r="6" spans="1:9" ht="15.75" customHeight="1" x14ac:dyDescent="0.25">
      <c r="A6" s="5">
        <f t="shared" si="3"/>
        <v>2028</v>
      </c>
      <c r="B6" s="49">
        <v>632430.96759999997</v>
      </c>
      <c r="C6" s="50">
        <v>1149000</v>
      </c>
      <c r="D6" s="50">
        <v>1787000</v>
      </c>
      <c r="E6" s="50">
        <v>423000</v>
      </c>
      <c r="F6" s="50">
        <v>458000</v>
      </c>
      <c r="G6" s="17">
        <f t="shared" si="0"/>
        <v>3817000</v>
      </c>
      <c r="H6" s="17">
        <f t="shared" si="1"/>
        <v>732669.77428433741</v>
      </c>
      <c r="I6" s="17">
        <f t="shared" si="2"/>
        <v>3084330.2257156624</v>
      </c>
    </row>
    <row r="7" spans="1:9" ht="15.75" customHeight="1" x14ac:dyDescent="0.25">
      <c r="A7" s="5">
        <f t="shared" si="3"/>
        <v>2029</v>
      </c>
      <c r="B7" s="49">
        <v>640833.69039999996</v>
      </c>
      <c r="C7" s="50">
        <v>1180000</v>
      </c>
      <c r="D7" s="50">
        <v>1844000</v>
      </c>
      <c r="E7" s="50">
        <v>415000</v>
      </c>
      <c r="F7" s="50">
        <v>456000</v>
      </c>
      <c r="G7" s="17">
        <f t="shared" si="0"/>
        <v>3895000</v>
      </c>
      <c r="H7" s="17">
        <f t="shared" si="1"/>
        <v>742404.30869623192</v>
      </c>
      <c r="I7" s="17">
        <f t="shared" si="2"/>
        <v>3152595.6913037682</v>
      </c>
    </row>
    <row r="8" spans="1:9" ht="15.75" customHeight="1" x14ac:dyDescent="0.25">
      <c r="A8" s="5">
        <f t="shared" si="3"/>
        <v>2030</v>
      </c>
      <c r="B8" s="49">
        <v>649133.06599999999</v>
      </c>
      <c r="C8" s="50">
        <v>1207000</v>
      </c>
      <c r="D8" s="50">
        <v>1904000</v>
      </c>
      <c r="E8" s="50">
        <v>407000</v>
      </c>
      <c r="F8" s="50">
        <v>452000</v>
      </c>
      <c r="G8" s="17">
        <f t="shared" si="0"/>
        <v>3970000</v>
      </c>
      <c r="H8" s="17">
        <f t="shared" si="1"/>
        <v>752019.11562231975</v>
      </c>
      <c r="I8" s="17">
        <f t="shared" si="2"/>
        <v>3217980.8843776803</v>
      </c>
    </row>
    <row r="9" spans="1:9" ht="15.75" customHeight="1" x14ac:dyDescent="0.25">
      <c r="A9" s="5">
        <f t="shared" si="3"/>
        <v>2031</v>
      </c>
      <c r="B9" s="49">
        <v>656159.47814285709</v>
      </c>
      <c r="C9" s="50">
        <v>1234571.4285714291</v>
      </c>
      <c r="D9" s="50">
        <v>1948571.4285714291</v>
      </c>
      <c r="E9" s="50">
        <v>400714.28571428568</v>
      </c>
      <c r="F9" s="50">
        <v>449142.85714285722</v>
      </c>
      <c r="G9" s="17">
        <f t="shared" si="0"/>
        <v>4033000.0000000009</v>
      </c>
      <c r="H9" s="17">
        <f t="shared" si="1"/>
        <v>760159.19740590488</v>
      </c>
      <c r="I9" s="17">
        <f t="shared" si="2"/>
        <v>3272840.8025940959</v>
      </c>
    </row>
    <row r="10" spans="1:9" ht="15.75" customHeight="1" x14ac:dyDescent="0.25">
      <c r="A10" s="5">
        <f t="shared" si="3"/>
        <v>2032</v>
      </c>
      <c r="B10" s="49">
        <v>663254.33787755098</v>
      </c>
      <c r="C10" s="50">
        <v>1261224.4897959181</v>
      </c>
      <c r="D10" s="50">
        <v>1993367.3469387761</v>
      </c>
      <c r="E10" s="50">
        <v>394244.89795918373</v>
      </c>
      <c r="F10" s="50">
        <v>446306.12244897959</v>
      </c>
      <c r="G10" s="17">
        <f t="shared" si="0"/>
        <v>4095142.8571428577</v>
      </c>
      <c r="H10" s="17">
        <f t="shared" si="1"/>
        <v>768378.57556210691</v>
      </c>
      <c r="I10" s="17">
        <f t="shared" si="2"/>
        <v>3326764.2815807508</v>
      </c>
    </row>
    <row r="11" spans="1:9" ht="15.75" customHeight="1" x14ac:dyDescent="0.25">
      <c r="A11" s="5">
        <f t="shared" si="3"/>
        <v>2033</v>
      </c>
      <c r="B11" s="49">
        <v>670111.39003148687</v>
      </c>
      <c r="C11" s="50">
        <v>1286827.988338192</v>
      </c>
      <c r="D11" s="50">
        <v>2037705.539358601</v>
      </c>
      <c r="E11" s="50">
        <v>387994.16909620998</v>
      </c>
      <c r="F11" s="50">
        <v>443635.56851311948</v>
      </c>
      <c r="G11" s="17">
        <f t="shared" si="0"/>
        <v>4156163.2653061226</v>
      </c>
      <c r="H11" s="17">
        <f t="shared" si="1"/>
        <v>776322.45420066488</v>
      </c>
      <c r="I11" s="17">
        <f t="shared" si="2"/>
        <v>3379840.8111054576</v>
      </c>
    </row>
    <row r="12" spans="1:9" ht="15.75" customHeight="1" x14ac:dyDescent="0.25">
      <c r="A12" s="5">
        <f t="shared" si="3"/>
        <v>2034</v>
      </c>
      <c r="B12" s="49">
        <v>676712.66929312784</v>
      </c>
      <c r="C12" s="50">
        <v>1311231.9866722201</v>
      </c>
      <c r="D12" s="50">
        <v>2081092.044981258</v>
      </c>
      <c r="E12" s="50">
        <v>381850.47896709712</v>
      </c>
      <c r="F12" s="50">
        <v>441154.93544356519</v>
      </c>
      <c r="G12" s="17">
        <f t="shared" si="0"/>
        <v>4215329.4460641397</v>
      </c>
      <c r="H12" s="17">
        <f t="shared" si="1"/>
        <v>783970.02055082098</v>
      </c>
      <c r="I12" s="17">
        <f t="shared" si="2"/>
        <v>3431359.4255133187</v>
      </c>
    </row>
    <row r="13" spans="1:9" ht="15.75" customHeight="1" x14ac:dyDescent="0.25">
      <c r="A13" s="5">
        <f t="shared" si="3"/>
        <v>2035</v>
      </c>
      <c r="B13" s="49">
        <v>683038.62667786039</v>
      </c>
      <c r="C13" s="50">
        <v>1334407.984768251</v>
      </c>
      <c r="D13" s="50">
        <v>2123105.194264295</v>
      </c>
      <c r="E13" s="50">
        <v>375971.97596239671</v>
      </c>
      <c r="F13" s="50">
        <v>438748.4976497888</v>
      </c>
      <c r="G13" s="17">
        <f t="shared" si="0"/>
        <v>4272233.6526447311</v>
      </c>
      <c r="H13" s="17">
        <f t="shared" si="1"/>
        <v>791298.62716031855</v>
      </c>
      <c r="I13" s="17">
        <f t="shared" si="2"/>
        <v>3480935.0254844124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1.9163107671874811E-2</v>
      </c>
    </row>
    <row r="4" spans="1:8" ht="15.75" customHeight="1" x14ac:dyDescent="0.25">
      <c r="B4" s="19" t="s">
        <v>69</v>
      </c>
      <c r="C4" s="101">
        <v>6.6585652585627084E-2</v>
      </c>
    </row>
    <row r="5" spans="1:8" ht="15.75" customHeight="1" x14ac:dyDescent="0.25">
      <c r="B5" s="19" t="s">
        <v>70</v>
      </c>
      <c r="C5" s="101">
        <v>9.5974679115321399E-2</v>
      </c>
    </row>
    <row r="6" spans="1:8" ht="15.75" customHeight="1" x14ac:dyDescent="0.25">
      <c r="B6" s="19" t="s">
        <v>71</v>
      </c>
      <c r="C6" s="101">
        <v>0.2538181028161321</v>
      </c>
    </row>
    <row r="7" spans="1:8" ht="15.75" customHeight="1" x14ac:dyDescent="0.25">
      <c r="B7" s="19" t="s">
        <v>72</v>
      </c>
      <c r="C7" s="101">
        <v>0.38359173784406131</v>
      </c>
    </row>
    <row r="8" spans="1:8" ht="15.75" customHeight="1" x14ac:dyDescent="0.25">
      <c r="B8" s="19" t="s">
        <v>73</v>
      </c>
      <c r="C8" s="101">
        <v>2.9726612985585608E-3</v>
      </c>
    </row>
    <row r="9" spans="1:8" ht="15.75" customHeight="1" x14ac:dyDescent="0.25">
      <c r="B9" s="19" t="s">
        <v>74</v>
      </c>
      <c r="C9" s="101">
        <v>6.6210256446675886E-2</v>
      </c>
    </row>
    <row r="10" spans="1:8" ht="15.75" customHeight="1" x14ac:dyDescent="0.25">
      <c r="B10" s="19" t="s">
        <v>75</v>
      </c>
      <c r="C10" s="101">
        <v>0.1116838022217489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0.1857196729069864</v>
      </c>
      <c r="D14" s="55">
        <v>0.1857196729069864</v>
      </c>
      <c r="E14" s="55">
        <v>0.1857196729069864</v>
      </c>
      <c r="F14" s="55">
        <v>0.1857196729069864</v>
      </c>
    </row>
    <row r="15" spans="1:8" ht="15.75" customHeight="1" x14ac:dyDescent="0.25">
      <c r="B15" s="19" t="s">
        <v>82</v>
      </c>
      <c r="C15" s="101">
        <v>0.26208816969300658</v>
      </c>
      <c r="D15" s="101">
        <v>0.26208816969300658</v>
      </c>
      <c r="E15" s="101">
        <v>0.26208816969300658</v>
      </c>
      <c r="F15" s="101">
        <v>0.26208816969300658</v>
      </c>
    </row>
    <row r="16" spans="1:8" ht="15.75" customHeight="1" x14ac:dyDescent="0.25">
      <c r="B16" s="19" t="s">
        <v>83</v>
      </c>
      <c r="C16" s="101">
        <v>2.3929564889798131E-2</v>
      </c>
      <c r="D16" s="101">
        <v>2.3929564889798131E-2</v>
      </c>
      <c r="E16" s="101">
        <v>2.3929564889798131E-2</v>
      </c>
      <c r="F16" s="101">
        <v>2.3929564889798131E-2</v>
      </c>
    </row>
    <row r="17" spans="1:8" ht="15.75" customHeight="1" x14ac:dyDescent="0.25">
      <c r="B17" s="19" t="s">
        <v>84</v>
      </c>
      <c r="C17" s="101">
        <v>1.366540706556877E-2</v>
      </c>
      <c r="D17" s="101">
        <v>1.366540706556877E-2</v>
      </c>
      <c r="E17" s="101">
        <v>1.366540706556877E-2</v>
      </c>
      <c r="F17" s="101">
        <v>1.366540706556877E-2</v>
      </c>
    </row>
    <row r="18" spans="1:8" ht="15.75" customHeight="1" x14ac:dyDescent="0.25">
      <c r="B18" s="19" t="s">
        <v>85</v>
      </c>
      <c r="C18" s="101">
        <v>0.1121344881000229</v>
      </c>
      <c r="D18" s="101">
        <v>0.1121344881000229</v>
      </c>
      <c r="E18" s="101">
        <v>0.1121344881000229</v>
      </c>
      <c r="F18" s="101">
        <v>0.1121344881000229</v>
      </c>
    </row>
    <row r="19" spans="1:8" ht="15.75" customHeight="1" x14ac:dyDescent="0.25">
      <c r="B19" s="19" t="s">
        <v>86</v>
      </c>
      <c r="C19" s="101">
        <v>4.3931608499606992E-2</v>
      </c>
      <c r="D19" s="101">
        <v>4.3931608499606992E-2</v>
      </c>
      <c r="E19" s="101">
        <v>4.3931608499606992E-2</v>
      </c>
      <c r="F19" s="101">
        <v>4.3931608499606992E-2</v>
      </c>
    </row>
    <row r="20" spans="1:8" ht="15.75" customHeight="1" x14ac:dyDescent="0.25">
      <c r="B20" s="19" t="s">
        <v>87</v>
      </c>
      <c r="C20" s="101">
        <v>1.9269942667465779E-2</v>
      </c>
      <c r="D20" s="101">
        <v>1.9269942667465779E-2</v>
      </c>
      <c r="E20" s="101">
        <v>1.9269942667465779E-2</v>
      </c>
      <c r="F20" s="101">
        <v>1.9269942667465779E-2</v>
      </c>
    </row>
    <row r="21" spans="1:8" ht="15.75" customHeight="1" x14ac:dyDescent="0.25">
      <c r="B21" s="19" t="s">
        <v>88</v>
      </c>
      <c r="C21" s="101">
        <v>0.1453562135370326</v>
      </c>
      <c r="D21" s="101">
        <v>0.1453562135370326</v>
      </c>
      <c r="E21" s="101">
        <v>0.1453562135370326</v>
      </c>
      <c r="F21" s="101">
        <v>0.1453562135370326</v>
      </c>
    </row>
    <row r="22" spans="1:8" ht="15.75" customHeight="1" x14ac:dyDescent="0.25">
      <c r="B22" s="19" t="s">
        <v>89</v>
      </c>
      <c r="C22" s="101">
        <v>0.1939049326405119</v>
      </c>
      <c r="D22" s="101">
        <v>0.1939049326405119</v>
      </c>
      <c r="E22" s="101">
        <v>0.1939049326405119</v>
      </c>
      <c r="F22" s="101">
        <v>0.1939049326405119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8.8209145000000003E-2</v>
      </c>
    </row>
    <row r="27" spans="1:8" ht="15.75" customHeight="1" x14ac:dyDescent="0.25">
      <c r="B27" s="19" t="s">
        <v>92</v>
      </c>
      <c r="C27" s="101">
        <v>8.6061309999999995E-3</v>
      </c>
    </row>
    <row r="28" spans="1:8" ht="15.75" customHeight="1" x14ac:dyDescent="0.25">
      <c r="B28" s="19" t="s">
        <v>93</v>
      </c>
      <c r="C28" s="101">
        <v>0.158177228</v>
      </c>
    </row>
    <row r="29" spans="1:8" ht="15.75" customHeight="1" x14ac:dyDescent="0.25">
      <c r="B29" s="19" t="s">
        <v>94</v>
      </c>
      <c r="C29" s="101">
        <v>0.16895537699999999</v>
      </c>
    </row>
    <row r="30" spans="1:8" ht="15.75" customHeight="1" x14ac:dyDescent="0.25">
      <c r="B30" s="19" t="s">
        <v>95</v>
      </c>
      <c r="C30" s="101">
        <v>0.10501387</v>
      </c>
    </row>
    <row r="31" spans="1:8" ht="15.75" customHeight="1" x14ac:dyDescent="0.25">
      <c r="B31" s="19" t="s">
        <v>96</v>
      </c>
      <c r="C31" s="101">
        <v>0.110556312</v>
      </c>
    </row>
    <row r="32" spans="1:8" ht="15.75" customHeight="1" x14ac:dyDescent="0.25">
      <c r="B32" s="19" t="s">
        <v>97</v>
      </c>
      <c r="C32" s="101">
        <v>1.8813532000000001E-2</v>
      </c>
    </row>
    <row r="33" spans="2:3" ht="15.75" customHeight="1" x14ac:dyDescent="0.25">
      <c r="B33" s="19" t="s">
        <v>98</v>
      </c>
      <c r="C33" s="101">
        <v>8.3149402999999997E-2</v>
      </c>
    </row>
    <row r="34" spans="2:3" ht="15.75" customHeight="1" x14ac:dyDescent="0.25">
      <c r="B34" s="19" t="s">
        <v>99</v>
      </c>
      <c r="C34" s="101">
        <v>0.25851900100000003</v>
      </c>
    </row>
    <row r="35" spans="2:3" ht="15.75" customHeight="1" x14ac:dyDescent="0.25">
      <c r="B35" s="27" t="s">
        <v>30</v>
      </c>
      <c r="C35" s="48">
        <f>SUM(C26:C34)</f>
        <v>0.99999999900000003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0.53948153243197172</v>
      </c>
      <c r="D2" s="52">
        <f>IFERROR(1-_xlfn.NORM.DIST(_xlfn.NORM.INV(SUM(D4:D5), 0, 1) + 1, 0, 1, TRUE), "")</f>
        <v>0.53948153243197172</v>
      </c>
      <c r="E2" s="52">
        <f>IFERROR(1-_xlfn.NORM.DIST(_xlfn.NORM.INV(SUM(E4:E5), 0, 1) + 1, 0, 1, TRUE), "")</f>
        <v>0.5696752209710203</v>
      </c>
      <c r="F2" s="52">
        <f>IFERROR(1-_xlfn.NORM.DIST(_xlfn.NORM.INV(SUM(F4:F5), 0, 1) + 1, 0, 1, TRUE), "")</f>
        <v>0.38974161566414511</v>
      </c>
      <c r="G2" s="52">
        <f>IFERROR(1-_xlfn.NORM.DIST(_xlfn.NORM.INV(SUM(G4:G5), 0, 1) + 1, 0, 1, TRUE), "")</f>
        <v>0.46954204448859327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0.32466226756802835</v>
      </c>
      <c r="D3" s="52">
        <f>IFERROR(_xlfn.NORM.DIST(_xlfn.NORM.INV(SUM(D4:D5), 0, 1) + 1, 0, 1, TRUE) - SUM(D4:D5), "")</f>
        <v>0.32466226756802835</v>
      </c>
      <c r="E3" s="52">
        <f>IFERROR(_xlfn.NORM.DIST(_xlfn.NORM.INV(SUM(E4:E5), 0, 1) + 1, 0, 1, TRUE) - SUM(E4:E5), "")</f>
        <v>0.31043687902897965</v>
      </c>
      <c r="F3" s="52">
        <f>IFERROR(_xlfn.NORM.DIST(_xlfn.NORM.INV(SUM(F4:F5), 0, 1) + 1, 0, 1, TRUE) - SUM(F4:F5), "")</f>
        <v>0.37449818433585491</v>
      </c>
      <c r="G3" s="52">
        <f>IFERROR(_xlfn.NORM.DIST(_xlfn.NORM.INV(SUM(G4:G5), 0, 1) + 1, 0, 1, TRUE) - SUM(G4:G5), "")</f>
        <v>0.3526051555114067</v>
      </c>
    </row>
    <row r="4" spans="1:15" ht="15.75" customHeight="1" x14ac:dyDescent="0.25">
      <c r="B4" s="5" t="s">
        <v>104</v>
      </c>
      <c r="C4" s="45">
        <v>7.6703599999999997E-2</v>
      </c>
      <c r="D4" s="53">
        <v>7.6703599999999997E-2</v>
      </c>
      <c r="E4" s="53">
        <v>9.0018600000000004E-2</v>
      </c>
      <c r="F4" s="53">
        <v>0.17188490000000001</v>
      </c>
      <c r="G4" s="53">
        <v>0.13089200000000001</v>
      </c>
    </row>
    <row r="5" spans="1:15" ht="15.75" customHeight="1" x14ac:dyDescent="0.25">
      <c r="B5" s="5" t="s">
        <v>105</v>
      </c>
      <c r="C5" s="45">
        <v>5.91526E-2</v>
      </c>
      <c r="D5" s="53">
        <v>5.91526E-2</v>
      </c>
      <c r="E5" s="53">
        <v>2.9869300000000001E-2</v>
      </c>
      <c r="F5" s="53">
        <v>6.3875299999999996E-2</v>
      </c>
      <c r="G5" s="53">
        <v>4.6960799999999997E-2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0.70350174372810925</v>
      </c>
      <c r="D8" s="52">
        <f>IFERROR(1-_xlfn.NORM.DIST(_xlfn.NORM.INV(SUM(D10:D11), 0, 1) + 1, 0, 1, TRUE), "")</f>
        <v>0.70350174372810925</v>
      </c>
      <c r="E8" s="52">
        <f>IFERROR(1-_xlfn.NORM.DIST(_xlfn.NORM.INV(SUM(E10:E11), 0, 1) + 1, 0, 1, TRUE), "")</f>
        <v>0.65058349310231678</v>
      </c>
      <c r="F8" s="52">
        <f>IFERROR(1-_xlfn.NORM.DIST(_xlfn.NORM.INV(SUM(F10:F11), 0, 1) + 1, 0, 1, TRUE), "")</f>
        <v>0.65667966159705382</v>
      </c>
      <c r="G8" s="52">
        <f>IFERROR(1-_xlfn.NORM.DIST(_xlfn.NORM.INV(SUM(G10:G11), 0, 1) + 1, 0, 1, TRUE), "")</f>
        <v>0.64544367026514549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0.23404475627189075</v>
      </c>
      <c r="D9" s="52">
        <f>IFERROR(_xlfn.NORM.DIST(_xlfn.NORM.INV(SUM(D10:D11), 0, 1) + 1, 0, 1, TRUE) - SUM(D10:D11), "")</f>
        <v>0.23404475627189075</v>
      </c>
      <c r="E9" s="52">
        <f>IFERROR(_xlfn.NORM.DIST(_xlfn.NORM.INV(SUM(E10:E11), 0, 1) + 1, 0, 1, TRUE) - SUM(E10:E11), "")</f>
        <v>0.26667980689768322</v>
      </c>
      <c r="F9" s="52">
        <f>IFERROR(_xlfn.NORM.DIST(_xlfn.NORM.INV(SUM(F10:F11), 0, 1) + 1, 0, 1, TRUE) - SUM(F10:F11), "")</f>
        <v>0.26307423840294619</v>
      </c>
      <c r="G9" s="52">
        <f>IFERROR(_xlfn.NORM.DIST(_xlfn.NORM.INV(SUM(G10:G11), 0, 1) + 1, 0, 1, TRUE) - SUM(G10:G11), "")</f>
        <v>0.26968762973485449</v>
      </c>
    </row>
    <row r="10" spans="1:15" ht="15.75" customHeight="1" x14ac:dyDescent="0.25">
      <c r="B10" s="5" t="s">
        <v>109</v>
      </c>
      <c r="C10" s="45">
        <v>4.6631199999999998E-2</v>
      </c>
      <c r="D10" s="53">
        <v>4.6631199999999998E-2</v>
      </c>
      <c r="E10" s="53">
        <v>7.1761199999999997E-2</v>
      </c>
      <c r="F10" s="53">
        <v>6.1308799999999997E-2</v>
      </c>
      <c r="G10" s="53">
        <v>7.5502899999999998E-2</v>
      </c>
    </row>
    <row r="11" spans="1:15" ht="15.75" customHeight="1" x14ac:dyDescent="0.25">
      <c r="B11" s="5" t="s">
        <v>110</v>
      </c>
      <c r="C11" s="45">
        <v>1.5822300000000001E-2</v>
      </c>
      <c r="D11" s="53">
        <v>1.5822300000000001E-2</v>
      </c>
      <c r="E11" s="53">
        <v>1.0975499999999999E-2</v>
      </c>
      <c r="F11" s="53">
        <v>1.8937300000000001E-2</v>
      </c>
      <c r="G11" s="53">
        <v>9.3658000000000005E-3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0.89921624824999991</v>
      </c>
      <c r="D14" s="54">
        <v>0.88454178175099996</v>
      </c>
      <c r="E14" s="54">
        <v>0.88454178175099996</v>
      </c>
      <c r="F14" s="54">
        <v>0.71638189990300005</v>
      </c>
      <c r="G14" s="54">
        <v>0.71638189990300005</v>
      </c>
      <c r="H14" s="45">
        <v>0.58099999999999985</v>
      </c>
      <c r="I14" s="55">
        <v>0.58099999999999985</v>
      </c>
      <c r="J14" s="55">
        <v>0.58099999999999985</v>
      </c>
      <c r="K14" s="55">
        <v>0.58099999999999985</v>
      </c>
      <c r="L14" s="45">
        <v>0.49099999999999999</v>
      </c>
      <c r="M14" s="55">
        <v>0.49099999999999999</v>
      </c>
      <c r="N14" s="55">
        <v>0.49099999999999999</v>
      </c>
      <c r="O14" s="55">
        <v>0.49099999999999999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0.35949856310411582</v>
      </c>
      <c r="D15" s="52">
        <f t="shared" si="0"/>
        <v>0.35363184346801413</v>
      </c>
      <c r="E15" s="52">
        <f t="shared" si="0"/>
        <v>0.35363184346801413</v>
      </c>
      <c r="F15" s="52">
        <f t="shared" si="0"/>
        <v>0.28640303614412038</v>
      </c>
      <c r="G15" s="52">
        <f t="shared" si="0"/>
        <v>0.28640303614412038</v>
      </c>
      <c r="H15" s="52">
        <f t="shared" si="0"/>
        <v>0.23227857100000002</v>
      </c>
      <c r="I15" s="52">
        <f t="shared" si="0"/>
        <v>0.23227857100000002</v>
      </c>
      <c r="J15" s="52">
        <f t="shared" si="0"/>
        <v>0.23227857100000002</v>
      </c>
      <c r="K15" s="52">
        <f t="shared" si="0"/>
        <v>0.23227857100000002</v>
      </c>
      <c r="L15" s="52">
        <f t="shared" si="0"/>
        <v>0.19629738100000005</v>
      </c>
      <c r="M15" s="52">
        <f t="shared" si="0"/>
        <v>0.19629738100000005</v>
      </c>
      <c r="N15" s="52">
        <f t="shared" si="0"/>
        <v>0.19629738100000005</v>
      </c>
      <c r="O15" s="52">
        <f t="shared" si="0"/>
        <v>0.19629738100000005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0.60487789999999997</v>
      </c>
      <c r="D2" s="53">
        <v>0.34281080000000003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0.27744210000000002</v>
      </c>
      <c r="D3" s="53">
        <v>0.48379250000000001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9.1609400000000007E-2</v>
      </c>
      <c r="D4" s="53">
        <v>0.1704386</v>
      </c>
      <c r="E4" s="53">
        <v>0.99060590000000004</v>
      </c>
      <c r="F4" s="53">
        <v>0.71512950000000008</v>
      </c>
      <c r="G4" s="53">
        <v>0</v>
      </c>
    </row>
    <row r="5" spans="1:7" x14ac:dyDescent="0.25">
      <c r="B5" s="3" t="s">
        <v>122</v>
      </c>
      <c r="C5" s="52">
        <v>2.6070599999999999E-2</v>
      </c>
      <c r="D5" s="52">
        <v>2.9581999999999998E-3</v>
      </c>
      <c r="E5" s="52">
        <f>1-SUM(E2:E4)</f>
        <v>9.3940999999999608E-3</v>
      </c>
      <c r="F5" s="52">
        <f>1-SUM(F2:F4)</f>
        <v>0.28487049999999992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opLeftCell="A3" zoomScale="115" zoomScaleNormal="115" workbookViewId="0">
      <selection activeCell="D12" sqref="D12:D13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/>
      <c r="E5" s="38" t="str">
        <f>IF(E$7="","",E$7)</f>
        <v/>
      </c>
    </row>
    <row r="6" spans="1:5" x14ac:dyDescent="0.25">
      <c r="B6" s="32" t="s">
        <v>79</v>
      </c>
      <c r="C6" s="47"/>
      <c r="D6" s="47"/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0.32237180338910998</v>
      </c>
      <c r="C2" s="98">
        <v>0.95</v>
      </c>
      <c r="D2" s="56">
        <v>37.674044136829657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42.515974618172699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95.276832335016849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0.18599349155663891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13.53368651819329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13.53368651819329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13.53368651819329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13.53368651819329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13.53368651819329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13.53368651819329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5.9676509207220001E-2</v>
      </c>
      <c r="C16" s="98">
        <v>0.95</v>
      </c>
      <c r="D16" s="56">
        <v>0.27292212746013211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0.96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2.29252278591211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2.29252278591211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0.59753959999999995</v>
      </c>
      <c r="C21" s="98">
        <v>0.95</v>
      </c>
      <c r="D21" s="56">
        <v>2.058189912020167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23.091298552496731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7.8305000000000007E-3</v>
      </c>
      <c r="C23" s="98">
        <v>0.95</v>
      </c>
      <c r="D23" s="56">
        <v>4.4572760576653501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0.60106267744160002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3.3357569224358999E-3</v>
      </c>
      <c r="C27" s="98">
        <v>0.95</v>
      </c>
      <c r="D27" s="56">
        <v>19.533413866398011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0.25979029999999997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67.189961183789833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0.97081733578609719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0.34281080000000003</v>
      </c>
      <c r="C32" s="98">
        <v>0.95</v>
      </c>
      <c r="D32" s="56">
        <v>0.53432972574311388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0.60183909999999996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0.56999999999999995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0.3147993</v>
      </c>
      <c r="C38" s="98">
        <v>0.95</v>
      </c>
      <c r="D38" s="56">
        <v>5.5246864466378502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0.1933213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C13" sqref="C13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0.12124111999999999</v>
      </c>
      <c r="C3" s="21">
        <f>frac_mam_1_5months * 2.6</f>
        <v>0.12124111999999999</v>
      </c>
      <c r="D3" s="21">
        <f>frac_mam_6_11months * 2.6</f>
        <v>0.18657911999999999</v>
      </c>
      <c r="E3" s="21">
        <f>frac_mam_12_23months * 2.6</f>
        <v>0.15940288</v>
      </c>
      <c r="F3" s="21">
        <f>frac_mam_24_59months * 2.6</f>
        <v>0.19630754</v>
      </c>
    </row>
    <row r="4" spans="1:6" ht="15.75" customHeight="1" x14ac:dyDescent="0.25">
      <c r="A4" s="3" t="s">
        <v>205</v>
      </c>
      <c r="B4" s="21">
        <f>frac_sam_1month * 2.6</f>
        <v>4.1137980000000005E-2</v>
      </c>
      <c r="C4" s="21">
        <f>frac_sam_1_5months * 2.6</f>
        <v>4.1137980000000005E-2</v>
      </c>
      <c r="D4" s="21">
        <f>frac_sam_6_11months * 2.6</f>
        <v>2.8536299999999997E-2</v>
      </c>
      <c r="E4" s="21">
        <f>frac_sam_12_23months * 2.6</f>
        <v>4.9236980000000007E-2</v>
      </c>
      <c r="F4" s="21">
        <f>frac_sam_24_59months * 2.6</f>
        <v>2.4351080000000001E-2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0.38</v>
      </c>
      <c r="E2" s="60">
        <f>food_insecure</f>
        <v>0.38</v>
      </c>
      <c r="F2" s="60">
        <f>food_insecure</f>
        <v>0.38</v>
      </c>
      <c r="G2" s="60">
        <f>food_insecure</f>
        <v>0.38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0.38</v>
      </c>
      <c r="F5" s="60">
        <f>food_insecure</f>
        <v>0.38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0.38</v>
      </c>
      <c r="F8" s="60">
        <f>food_insecure</f>
        <v>0.38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0.38</v>
      </c>
      <c r="F9" s="60">
        <f>food_insecure</f>
        <v>0.38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0.38</v>
      </c>
      <c r="I15" s="60">
        <f>food_insecure</f>
        <v>0.38</v>
      </c>
      <c r="J15" s="60">
        <f>food_insecure</f>
        <v>0.38</v>
      </c>
      <c r="K15" s="60">
        <f>food_insecure</f>
        <v>0.38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0.97</v>
      </c>
      <c r="I19" s="60">
        <f>frac_malaria_risk</f>
        <v>0.97</v>
      </c>
      <c r="J19" s="60">
        <f>frac_malaria_risk</f>
        <v>0.97</v>
      </c>
      <c r="K19" s="60">
        <f>frac_malaria_risk</f>
        <v>0.97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0.52600000000000002</v>
      </c>
      <c r="M24" s="60">
        <f>famplan_unmet_need</f>
        <v>0.52600000000000002</v>
      </c>
      <c r="N24" s="60">
        <f>famplan_unmet_need</f>
        <v>0.52600000000000002</v>
      </c>
      <c r="O24" s="60">
        <f>famplan_unmet_need</f>
        <v>0.52600000000000002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0.34833685229492195</v>
      </c>
      <c r="M25" s="60">
        <f>(1-food_insecure)*(0.49)+food_insecure*(0.7)</f>
        <v>0.56979999999999997</v>
      </c>
      <c r="N25" s="60">
        <f>(1-food_insecure)*(0.49)+food_insecure*(0.7)</f>
        <v>0.56979999999999997</v>
      </c>
      <c r="O25" s="60">
        <f>(1-food_insecure)*(0.49)+food_insecure*(0.7)</f>
        <v>0.56979999999999997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0.1492872224121094</v>
      </c>
      <c r="M26" s="60">
        <f>(1-food_insecure)*(0.21)+food_insecure*(0.3)</f>
        <v>0.24419999999999997</v>
      </c>
      <c r="N26" s="60">
        <f>(1-food_insecure)*(0.21)+food_insecure*(0.3)</f>
        <v>0.24419999999999997</v>
      </c>
      <c r="O26" s="60">
        <f>(1-food_insecure)*(0.21)+food_insecure*(0.3)</f>
        <v>0.24419999999999997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0.11370771240234376</v>
      </c>
      <c r="M27" s="60">
        <f>(1-food_insecure)*(0.3)</f>
        <v>0.186</v>
      </c>
      <c r="N27" s="60">
        <f>(1-food_insecure)*(0.3)</f>
        <v>0.186</v>
      </c>
      <c r="O27" s="60">
        <f>(1-food_insecure)*(0.3)</f>
        <v>0.186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0.38866821289062498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0.97</v>
      </c>
      <c r="D34" s="60">
        <f t="shared" si="3"/>
        <v>0.97</v>
      </c>
      <c r="E34" s="60">
        <f t="shared" si="3"/>
        <v>0.97</v>
      </c>
      <c r="F34" s="60">
        <f t="shared" si="3"/>
        <v>0.97</v>
      </c>
      <c r="G34" s="60">
        <f t="shared" si="3"/>
        <v>0.97</v>
      </c>
      <c r="H34" s="60">
        <f t="shared" si="3"/>
        <v>0.97</v>
      </c>
      <c r="I34" s="60">
        <f t="shared" si="3"/>
        <v>0.97</v>
      </c>
      <c r="J34" s="60">
        <f t="shared" si="3"/>
        <v>0.97</v>
      </c>
      <c r="K34" s="60">
        <f t="shared" si="3"/>
        <v>0.97</v>
      </c>
      <c r="L34" s="60">
        <f t="shared" si="3"/>
        <v>0.97</v>
      </c>
      <c r="M34" s="60">
        <f t="shared" si="3"/>
        <v>0.97</v>
      </c>
      <c r="N34" s="60">
        <f t="shared" si="3"/>
        <v>0.97</v>
      </c>
      <c r="O34" s="60">
        <f t="shared" si="3"/>
        <v>0.97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1.56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1.56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1.56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1.56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1.37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1.37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1.37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1.37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1.77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1.77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1.77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1.77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riIqDHxQDNIc95k8WEEMlpv2yK5yRhEl3GZr9d21PG7QnhNwxgtjaWmZN+9widROwyhXiwQ4XZiTM/cZ2Cl95g==" saltValue="b1Xx0XPjIcbtdUQJGdoNkQ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31" zoomScale="85" zoomScaleNormal="85" workbookViewId="0">
      <selection activeCell="D5" sqref="D5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Ea5xq8Dht0iRzVx1fQ1EOJdDm09uSIzQRujIfp/VJ8GNGNECqE8Uut2U6j1omy5Y9ajcKxMUHwzsTWrCb+nAw==" saltValue="Poj67khbkyqhF7WVYd6Cs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topLeftCell="A54" zoomScaleNormal="100" workbookViewId="0">
      <selection activeCell="D5" sqref="D5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zjjr+eUY+zLxtgvRuigrXBCYk8ZjZeKkvy/Wu7lqFGhk7GKsrVngS9i2Jt2gxX9Fn0pC2b9tyB7+BxRGGivEA==" saltValue="vsQDJsypwJz22iUc18xJ6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6"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0.64</v>
      </c>
      <c r="F6" s="90">
        <v>0.64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v>0.44</v>
      </c>
      <c r="F29" s="90">
        <v>0.44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v>0.92</v>
      </c>
      <c r="F52" s="90">
        <v>0.92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uxH3qxfpHv3MxEVFpMF959vuuHVMbjUY0YDJlIXIgHOAA25UaRTm/IIjRx7RzEUfWaTP3eP7cZpYIm+m6J8PbA==" saltValue="wm1A0TwV/0DyOIoqtNvf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10" zoomScale="70" zoomScaleNormal="70" workbookViewId="0">
      <selection activeCell="D5" sqref="D5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Evf/7Nn9p0s2t120JFgJzNA1BIMAO9h8EmTziKGX5ZA7K3Y+rQ77oXfzNqKwsdbYQwCY96ujjsdxuDmqt1luA==" saltValue="pZcegXbvW/wKpwHEQP8p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D5" sqref="D5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0.53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0.51</v>
      </c>
      <c r="M14" s="90">
        <v>0.51</v>
      </c>
      <c r="N14" s="90">
        <v>0.51</v>
      </c>
      <c r="O14" s="90"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f t="shared" ref="E19:O19" si="0">0.72</f>
        <v>0.72</v>
      </c>
      <c r="F19" s="90">
        <f t="shared" si="0"/>
        <v>0.72</v>
      </c>
      <c r="G19" s="90">
        <f t="shared" si="0"/>
        <v>0.72</v>
      </c>
      <c r="H19" s="90">
        <f t="shared" si="0"/>
        <v>0.72</v>
      </c>
      <c r="I19" s="90">
        <f t="shared" si="0"/>
        <v>0.72</v>
      </c>
      <c r="J19" s="90">
        <f t="shared" si="0"/>
        <v>0.72</v>
      </c>
      <c r="K19" s="90">
        <f t="shared" si="0"/>
        <v>0.72</v>
      </c>
      <c r="L19" s="90">
        <f t="shared" si="0"/>
        <v>0.72</v>
      </c>
      <c r="M19" s="90">
        <f t="shared" si="0"/>
        <v>0.72</v>
      </c>
      <c r="N19" s="90">
        <f t="shared" si="0"/>
        <v>0.72</v>
      </c>
      <c r="O19" s="90">
        <f t="shared" si="0"/>
        <v>0.72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0.8</v>
      </c>
      <c r="F21" s="90">
        <v>0.8</v>
      </c>
      <c r="G21" s="90">
        <v>0.8</v>
      </c>
      <c r="H21" s="90">
        <v>0.8</v>
      </c>
      <c r="I21" s="90">
        <v>0.8</v>
      </c>
      <c r="J21" s="90">
        <v>0.8</v>
      </c>
      <c r="K21" s="90">
        <v>0.8</v>
      </c>
      <c r="L21" s="90">
        <v>0.8</v>
      </c>
      <c r="M21" s="90">
        <v>0.8</v>
      </c>
      <c r="N21" s="90">
        <v>0.8</v>
      </c>
      <c r="O21" s="90">
        <v>0.8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0.4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f>L32</f>
        <v>0.38</v>
      </c>
      <c r="M37" s="90">
        <f>M32</f>
        <v>0.38</v>
      </c>
      <c r="N37" s="90">
        <f>N32</f>
        <v>0.38</v>
      </c>
      <c r="O37" s="90">
        <f>O32</f>
        <v>0.38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0.54</v>
      </c>
      <c r="F42" s="90">
        <v>0.54</v>
      </c>
      <c r="G42" s="90">
        <v>0.54</v>
      </c>
      <c r="H42" s="90">
        <v>0.54</v>
      </c>
      <c r="I42" s="90">
        <v>0.54</v>
      </c>
      <c r="J42" s="90">
        <v>0.54</v>
      </c>
      <c r="K42" s="90">
        <v>0.54</v>
      </c>
      <c r="L42" s="90">
        <v>0.54</v>
      </c>
      <c r="M42" s="90">
        <v>0.54</v>
      </c>
      <c r="N42" s="90">
        <v>0.54</v>
      </c>
      <c r="O42" s="90">
        <v>0.54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1</v>
      </c>
      <c r="F43" s="90">
        <f t="shared" si="11"/>
        <v>1</v>
      </c>
      <c r="G43" s="90">
        <f t="shared" si="11"/>
        <v>1</v>
      </c>
      <c r="H43" s="90">
        <f t="shared" si="11"/>
        <v>1</v>
      </c>
      <c r="I43" s="90">
        <f t="shared" si="11"/>
        <v>1</v>
      </c>
      <c r="J43" s="90">
        <f t="shared" si="11"/>
        <v>1</v>
      </c>
      <c r="K43" s="90">
        <f t="shared" si="11"/>
        <v>1</v>
      </c>
      <c r="L43" s="90">
        <f t="shared" si="11"/>
        <v>1</v>
      </c>
      <c r="M43" s="90">
        <f t="shared" si="11"/>
        <v>1</v>
      </c>
      <c r="N43" s="90">
        <f t="shared" si="11"/>
        <v>1</v>
      </c>
      <c r="O43" s="90">
        <f t="shared" si="11"/>
        <v>1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0.7</v>
      </c>
      <c r="F44" s="90">
        <v>0.7</v>
      </c>
      <c r="G44" s="90">
        <v>0.7</v>
      </c>
      <c r="H44" s="90">
        <v>0.7</v>
      </c>
      <c r="I44" s="90">
        <v>0.7</v>
      </c>
      <c r="J44" s="90">
        <v>0.7</v>
      </c>
      <c r="K44" s="90">
        <v>0.7</v>
      </c>
      <c r="L44" s="90">
        <v>0.7</v>
      </c>
      <c r="M44" s="90">
        <v>0.7</v>
      </c>
      <c r="N44" s="90">
        <v>0.7</v>
      </c>
      <c r="O44" s="90">
        <v>0.7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0.7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f>L54</f>
        <v>0.7</v>
      </c>
      <c r="M60" s="90">
        <f>M54</f>
        <v>0.7</v>
      </c>
      <c r="N60" s="90">
        <f>N54</f>
        <v>0.7</v>
      </c>
      <c r="O60" s="90">
        <f>O54</f>
        <v>0.7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</v>
      </c>
      <c r="F65" s="90">
        <v>0.97</v>
      </c>
      <c r="G65" s="90">
        <v>0.97</v>
      </c>
      <c r="H65" s="90">
        <v>0.97</v>
      </c>
      <c r="I65" s="90">
        <v>0.97</v>
      </c>
      <c r="J65" s="90">
        <v>0.97</v>
      </c>
      <c r="K65" s="90">
        <v>0.97</v>
      </c>
      <c r="L65" s="90">
        <v>0.97</v>
      </c>
      <c r="M65" s="90">
        <v>0.97</v>
      </c>
      <c r="N65" s="90">
        <v>0.97</v>
      </c>
      <c r="O65" s="90">
        <v>0.97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</v>
      </c>
      <c r="F66" s="90">
        <f t="shared" si="22"/>
        <v>1</v>
      </c>
      <c r="G66" s="90">
        <f t="shared" si="22"/>
        <v>1</v>
      </c>
      <c r="H66" s="90">
        <f t="shared" si="22"/>
        <v>1</v>
      </c>
      <c r="I66" s="90">
        <f t="shared" si="22"/>
        <v>1</v>
      </c>
      <c r="J66" s="90">
        <f t="shared" si="22"/>
        <v>1</v>
      </c>
      <c r="K66" s="90">
        <f t="shared" si="22"/>
        <v>1</v>
      </c>
      <c r="L66" s="90">
        <f t="shared" si="22"/>
        <v>1</v>
      </c>
      <c r="M66" s="90">
        <f t="shared" si="22"/>
        <v>1</v>
      </c>
      <c r="N66" s="90">
        <f t="shared" si="22"/>
        <v>1</v>
      </c>
      <c r="O66" s="90">
        <f t="shared" si="22"/>
        <v>1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0.92</v>
      </c>
      <c r="F67" s="90">
        <v>0.92</v>
      </c>
      <c r="G67" s="90">
        <v>0.92</v>
      </c>
      <c r="H67" s="90">
        <v>0.92</v>
      </c>
      <c r="I67" s="90">
        <v>0.92</v>
      </c>
      <c r="J67" s="90">
        <v>0.92</v>
      </c>
      <c r="K67" s="90">
        <v>0.92</v>
      </c>
      <c r="L67" s="90">
        <v>0.92</v>
      </c>
      <c r="M67" s="90">
        <v>0.92</v>
      </c>
      <c r="N67" s="90">
        <v>0.92</v>
      </c>
      <c r="O67" s="90">
        <f>IF(ISBLANK('Nutritional status distribution'!O$14),0.92,(0.92*'Nutritional status distribution'!O$14/(1-0.92*'Nutritional status distribution'!O$14))
/ ('Nutritional status distribution'!O$14/(1-'Nutritional status distribution'!O$14)))</f>
        <v>0.85408915152841614</v>
      </c>
    </row>
  </sheetData>
  <sheetProtection algorithmName="SHA-512" hashValue="QTNrTNcX0LQnvnw9OcFIuF8iiKsb7nBsadUCrO1kCxqB4CvEkER3v8YCwNBmR8txM/1IAuOQ/zC/vA8HLWjOhA==" saltValue="f5+QlQPEjGE24L/HhPaCM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Ijv20oIFeX8hEAP3JXu7+FjYQdIWvRgXIH4IkxRsMm14MAW5JMg2x9QOPJ7rc+IAMFEDvKO0XCydnz4Atw3VA==" saltValue="eIHIWivrA2mRyU/FI0KAAQ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53" zoomScale="80" zoomScaleNormal="80" workbookViewId="0">
      <selection activeCell="D5" sqref="D5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gIF3gzcRwMevsVP9JM+eFJliWIfkjL6RYnVy29HH1zFwKTB/eJc1NVFGROY84dwrfqcI+B8KpOZ1waT1qDgCXQ==" saltValue="0Itsi1W8Rg+oXl6coWpo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SSCu+FR+SN+siPEoAiap+3g3Z0SGqFtJklZqGSbEJvGKfBY2J7BHBpfevFvAYPx8Hf15tBeGKZdJ4ehQEpyLRg==" saltValue="A0PmMaoo+OfazXy7x4UxV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2024-03-28T03:04:38Z</dcterms:modified>
</cp:coreProperties>
</file>