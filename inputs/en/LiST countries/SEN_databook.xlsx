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E41793A-DD00-4B60-8443-FF98DA6C5172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<sst xmlns="http://schemas.openxmlformats.org/spreadsheetml/2006/main" count="2101" uniqueCount="341">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</sst>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2707529.75</v>
      </c>
    </row>
    <row r="8" spans="1:3" ht="15" customHeight="1" x14ac:dyDescent="0.25">
      <c r="B8" s="5" t="s">
        <v>8</v>
      </c>
      <c r="C8" s="44">
        <v>0.38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0.38866821289062498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7.9199999999999993E-2</v>
      </c>
    </row>
    <row r="24" spans="1:3" ht="15" customHeight="1" x14ac:dyDescent="0.25">
      <c r="B24" s="15" t="s">
        <v>22</v>
      </c>
      <c r="C24" s="45">
        <v>0.43070000000000003</v>
      </c>
    </row>
    <row r="25" spans="1:3" ht="15" customHeight="1" x14ac:dyDescent="0.25">
      <c r="B25" s="15" t="s">
        <v>23</v>
      </c>
      <c r="C25" s="45">
        <v>0.37840000000000001</v>
      </c>
    </row>
    <row r="26" spans="1:3" ht="15" customHeight="1" x14ac:dyDescent="0.25">
      <c r="B26" s="15" t="s">
        <v>24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0.242578564948118</v>
      </c>
    </row>
    <row r="30" spans="1:3" ht="14.25" customHeight="1" x14ac:dyDescent="0.25">
      <c r="B30" s="25" t="s">
        <v>27</v>
      </c>
      <c r="C30" s="99">
        <v>2.9913637194387301E-2</v>
      </c>
    </row>
    <row r="31" spans="1:3" ht="14.25" customHeight="1" x14ac:dyDescent="0.25">
      <c r="B31" s="25" t="s">
        <v>28</v>
      </c>
      <c r="C31" s="99">
        <v>7.7460320403722499E-2</v>
      </c>
    </row>
    <row r="32" spans="1:3" ht="14.25" customHeight="1" x14ac:dyDescent="0.25">
      <c r="B32" s="25" t="s">
        <v>29</v>
      </c>
      <c r="C32" s="99">
        <v>0.650047477453772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21.085819999999998</v>
      </c>
    </row>
    <row r="38" spans="1:5" ht="15" customHeight="1" x14ac:dyDescent="0.25">
      <c r="B38" s="11" t="s">
        <v>34</v>
      </c>
      <c r="C38" s="43">
        <v>29.13533</v>
      </c>
      <c r="D38" s="12"/>
      <c r="E38" s="13"/>
    </row>
    <row r="39" spans="1:5" ht="15" customHeight="1" x14ac:dyDescent="0.25">
      <c r="B39" s="11" t="s">
        <v>35</v>
      </c>
      <c r="C39" s="43">
        <v>38.59986</v>
      </c>
      <c r="D39" s="12"/>
      <c r="E39" s="12"/>
    </row>
    <row r="40" spans="1:5" ht="15" customHeight="1" x14ac:dyDescent="0.25">
      <c r="B40" s="11" t="s">
        <v>36</v>
      </c>
      <c r="C40" s="100">
        <v>2.61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7.9200999999999994E-3</v>
      </c>
      <c r="D45" s="12"/>
    </row>
    <row r="46" spans="1:5" ht="15.75" customHeight="1" x14ac:dyDescent="0.25">
      <c r="B46" s="11" t="s">
        <v>41</v>
      </c>
      <c r="C46" s="45">
        <v>8.5099999999999995E-2</v>
      </c>
      <c r="D46" s="12"/>
    </row>
    <row r="47" spans="1:5" ht="15.75" customHeight="1" x14ac:dyDescent="0.25">
      <c r="B47" s="11" t="s">
        <v>42</v>
      </c>
      <c r="C47" s="45">
        <v>7.3468800000000001E-2</v>
      </c>
      <c r="D47" s="12"/>
      <c r="E47" s="13"/>
    </row>
    <row r="48" spans="1:5" ht="15" customHeight="1" x14ac:dyDescent="0.25">
      <c r="B48" s="11" t="s">
        <v>43</v>
      </c>
      <c r="C48" s="46">
        <v>0.83351110000000006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0.39979100000000012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568369</v>
      </c>
      <c r="C2" s="49">
        <v>1193688</v>
      </c>
      <c r="D2" s="49">
        <v>1536297.5</v>
      </c>
      <c r="E2" s="49">
        <v>1166455</v>
      </c>
      <c r="F2" s="49">
        <v>747466</v>
      </c>
      <c r="G2" s="17">
        <f t="shared" ref="G2:G13" si="0">C2+D2+E2+F2</f>
        <v>4643906.5</v>
      </c>
      <c r="H2" s="17">
        <f t="shared" ref="H2:H13" si="1">(B2 + stillbirth*B2/(1000-stillbirth))/(1-abortion)</f>
        <v>658454.13693213754</v>
      </c>
      <c r="I2" s="17">
        <f t="shared" ref="I2:I13" si="2">G2-H2</f>
        <v>3985452.3630678626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575820</v>
      </c>
      <c r="C3" s="50">
        <v>1228319.5</v>
      </c>
      <c r="D3" s="50">
        <v>1582704.5</v>
      </c>
      <c r="E3" s="50">
        <v>1192000.5</v>
      </c>
      <c r="F3" s="50">
        <v>775600</v>
      </c>
      <c r="G3" s="17">
        <f t="shared" si="0"/>
        <v>4778624.5</v>
      </c>
      <c r="H3" s="17">
        <f t="shared" si="1"/>
        <v>667086.10274005705</v>
      </c>
      <c r="I3" s="17">
        <f t="shared" si="2"/>
        <v>4111538.3972599432</v>
      </c>
    </row>
    <row r="4" spans="1:9" ht="15.75" customHeight="1" x14ac:dyDescent="0.25">
      <c r="A4" s="5">
        <f t="shared" si="3"/>
        <v>2026</v>
      </c>
      <c r="B4" s="49">
        <v>583961</v>
      </c>
      <c r="C4" s="50">
        <v>1261445.5</v>
      </c>
      <c r="D4" s="50">
        <v>1632829</v>
      </c>
      <c r="E4" s="50">
        <v>1217909.5</v>
      </c>
      <c r="F4" s="50">
        <v>803381.5</v>
      </c>
      <c r="G4" s="17">
        <f t="shared" si="0"/>
        <v>4915565.5</v>
      </c>
      <c r="H4" s="17">
        <f t="shared" si="1"/>
        <v>676517.43190960097</v>
      </c>
      <c r="I4" s="17">
        <f t="shared" si="2"/>
        <v>4239048.0680903988</v>
      </c>
    </row>
    <row r="5" spans="1:9" ht="15.75" customHeight="1" x14ac:dyDescent="0.25">
      <c r="A5" s="5">
        <f t="shared" si="3"/>
        <v>2027</v>
      </c>
      <c r="B5" s="49">
        <v>590692</v>
      </c>
      <c r="C5" s="50">
        <v>1293988</v>
      </c>
      <c r="D5" s="50">
        <v>1684916.5</v>
      </c>
      <c r="E5" s="50">
        <v>1244900.5</v>
      </c>
      <c r="F5" s="50">
        <v>830565.5</v>
      </c>
      <c r="G5" s="17">
        <f t="shared" si="0"/>
        <v>5054370.5</v>
      </c>
      <c r="H5" s="17">
        <f t="shared" si="1"/>
        <v>684315.27942712966</v>
      </c>
      <c r="I5" s="17">
        <f t="shared" si="2"/>
        <v>4370055.2205728702</v>
      </c>
    </row>
    <row r="6" spans="1:9" ht="15.75" customHeight="1" x14ac:dyDescent="0.25">
      <c r="A6" s="5">
        <f t="shared" si="3"/>
        <v>2028</v>
      </c>
      <c r="B6" s="49">
        <v>600396</v>
      </c>
      <c r="C6" s="50">
        <v>1326578.5</v>
      </c>
      <c r="D6" s="50">
        <v>1737096</v>
      </c>
      <c r="E6" s="50">
        <v>1273991</v>
      </c>
      <c r="F6" s="50">
        <v>857386.5</v>
      </c>
      <c r="G6" s="17">
        <f t="shared" si="0"/>
        <v>5195052</v>
      </c>
      <c r="H6" s="17">
        <f t="shared" si="1"/>
        <v>695557.34038539696</v>
      </c>
      <c r="I6" s="17">
        <f t="shared" si="2"/>
        <v>4499494.659614603</v>
      </c>
    </row>
    <row r="7" spans="1:9" ht="15.75" customHeight="1" x14ac:dyDescent="0.25">
      <c r="A7" s="5">
        <f t="shared" si="3"/>
        <v>2029</v>
      </c>
      <c r="B7" s="49">
        <v>608007</v>
      </c>
      <c r="C7" s="50">
        <v>1355306.5</v>
      </c>
      <c r="D7" s="50">
        <v>1790461.5</v>
      </c>
      <c r="E7" s="50">
        <v>1306065</v>
      </c>
      <c r="F7" s="50">
        <v>883700.5</v>
      </c>
      <c r="G7" s="17">
        <f t="shared" si="0"/>
        <v>5335533.5</v>
      </c>
      <c r="H7" s="17">
        <f t="shared" si="1"/>
        <v>704374.6658134032</v>
      </c>
      <c r="I7" s="17">
        <f t="shared" si="2"/>
        <v>4631158.8341865968</v>
      </c>
    </row>
    <row r="8" spans="1:9" ht="15.75" customHeight="1" x14ac:dyDescent="0.25">
      <c r="A8" s="5">
        <f t="shared" si="3"/>
        <v>2030</v>
      </c>
      <c r="B8" s="49">
        <v>616648</v>
      </c>
      <c r="C8" s="50">
        <v>1379598</v>
      </c>
      <c r="D8" s="50">
        <v>1844950.5</v>
      </c>
      <c r="E8" s="50">
        <v>1340106.5</v>
      </c>
      <c r="F8" s="50">
        <v>909370</v>
      </c>
      <c r="G8" s="17">
        <f t="shared" si="0"/>
        <v>5474025</v>
      </c>
      <c r="H8" s="17">
        <f t="shared" si="1"/>
        <v>714385.24379571865</v>
      </c>
      <c r="I8" s="17">
        <f t="shared" si="2"/>
        <v>4759639.756204281</v>
      </c>
    </row>
    <row r="9" spans="1:9" ht="15.75" customHeight="1" x14ac:dyDescent="0.25">
      <c r="A9" s="5">
        <f t="shared" si="3"/>
        <v>2031</v>
      </c>
      <c r="B9" s="49">
        <v>625158</v>
      </c>
      <c r="C9" s="50">
        <v>1402222.5</v>
      </c>
      <c r="D9" s="50">
        <v>1900260.5</v>
      </c>
      <c r="E9" s="50">
        <v>1375736.5</v>
      </c>
      <c r="F9" s="50">
        <v>935104</v>
      </c>
      <c r="G9" s="17">
        <f t="shared" si="0"/>
        <v>5613323.5</v>
      </c>
      <c r="H9" s="17">
        <f t="shared" si="1"/>
        <v>724244.05858908792</v>
      </c>
      <c r="I9" s="17">
        <f t="shared" si="2"/>
        <v>4889079.4414109122</v>
      </c>
    </row>
    <row r="10" spans="1:9" ht="15.75" customHeight="1" x14ac:dyDescent="0.25">
      <c r="A10" s="5">
        <f t="shared" si="3"/>
        <v>2032</v>
      </c>
      <c r="B10" s="49">
        <v>635036</v>
      </c>
      <c r="C10" s="50">
        <v>1424217</v>
      </c>
      <c r="D10" s="50">
        <v>1956476.5</v>
      </c>
      <c r="E10" s="50">
        <v>1413708.5</v>
      </c>
      <c r="F10" s="50">
        <v>960405</v>
      </c>
      <c r="G10" s="17">
        <f t="shared" si="0"/>
        <v>5754807</v>
      </c>
      <c r="H10" s="17">
        <f t="shared" si="1"/>
        <v>735687.6981341996</v>
      </c>
      <c r="I10" s="17">
        <f t="shared" si="2"/>
        <v>5019119.3018658003</v>
      </c>
    </row>
    <row r="11" spans="1:9" ht="15.75" customHeight="1" x14ac:dyDescent="0.25">
      <c r="A11" s="5">
        <f t="shared" si="3"/>
        <v>2033</v>
      </c>
      <c r="B11" s="49">
        <v>643044</v>
      </c>
      <c r="C11" s="50">
        <v>1445749.5</v>
      </c>
      <c r="D11" s="50">
        <v>2012521.5</v>
      </c>
      <c r="E11" s="50">
        <v>1454283</v>
      </c>
      <c r="F11" s="50">
        <v>984746.5</v>
      </c>
      <c r="G11" s="17">
        <f t="shared" si="0"/>
        <v>5897300.5</v>
      </c>
      <c r="H11" s="17">
        <f t="shared" si="1"/>
        <v>744964.94711954636</v>
      </c>
      <c r="I11" s="17">
        <f t="shared" si="2"/>
        <v>5152335.5528804539</v>
      </c>
    </row>
    <row r="12" spans="1:9" ht="15.75" customHeight="1" x14ac:dyDescent="0.25">
      <c r="A12" s="5">
        <f t="shared" si="3"/>
        <v>2034</v>
      </c>
      <c r="B12" s="49">
        <v>652722</v>
      </c>
      <c r="C12" s="50">
        <v>1466753</v>
      </c>
      <c r="D12" s="50">
        <v>2067762</v>
      </c>
      <c r="E12" s="50">
        <v>1497735</v>
      </c>
      <c r="F12" s="50">
        <v>1008633.5</v>
      </c>
      <c r="G12" s="17">
        <f t="shared" si="0"/>
        <v>6040883.5</v>
      </c>
      <c r="H12" s="17">
        <f t="shared" si="1"/>
        <v>756176.88713954971</v>
      </c>
      <c r="I12" s="17">
        <f t="shared" si="2"/>
        <v>5284706.6128604505</v>
      </c>
    </row>
    <row r="13" spans="1:9" ht="15.75" customHeight="1" x14ac:dyDescent="0.25">
      <c r="A13" s="5">
        <f t="shared" si="3"/>
        <v>2035</v>
      </c>
      <c r="B13" s="49">
        <v>662728</v>
      </c>
      <c r="C13" s="50">
        <v>1489166</v>
      </c>
      <c r="D13" s="50">
        <v>2119928</v>
      </c>
      <c r="E13" s="50">
        <v>1544206</v>
      </c>
      <c r="F13" s="50">
        <v>1031778.5</v>
      </c>
      <c r="G13" s="17">
        <f t="shared" si="0"/>
        <v>6185078.5</v>
      </c>
      <c r="H13" s="17">
        <f t="shared" si="1"/>
        <v>767768.81438073097</v>
      </c>
      <c r="I13" s="17">
        <f t="shared" si="2"/>
        <v>5417309.6856192686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1.9163107671874811E-2</v>
      </c>
    </row>
    <row r="4" spans="1:8" ht="15.75" customHeight="1" x14ac:dyDescent="0.25">
      <c r="B4" s="19" t="s">
        <v>69</v>
      </c>
      <c r="C4" s="101">
        <v>6.6585652585627084E-2</v>
      </c>
    </row>
    <row r="5" spans="1:8" ht="15.75" customHeight="1" x14ac:dyDescent="0.25">
      <c r="B5" s="19" t="s">
        <v>70</v>
      </c>
      <c r="C5" s="101">
        <v>9.5974679115321399E-2</v>
      </c>
    </row>
    <row r="6" spans="1:8" ht="15.75" customHeight="1" x14ac:dyDescent="0.25">
      <c r="B6" s="19" t="s">
        <v>71</v>
      </c>
      <c r="C6" s="101">
        <v>0.2538181028161321</v>
      </c>
    </row>
    <row r="7" spans="1:8" ht="15.75" customHeight="1" x14ac:dyDescent="0.25">
      <c r="B7" s="19" t="s">
        <v>72</v>
      </c>
      <c r="C7" s="101">
        <v>0.38359173784406131</v>
      </c>
    </row>
    <row r="8" spans="1:8" ht="15.75" customHeight="1" x14ac:dyDescent="0.25">
      <c r="B8" s="19" t="s">
        <v>73</v>
      </c>
      <c r="C8" s="101">
        <v>2.9726612985585608E-3</v>
      </c>
    </row>
    <row r="9" spans="1:8" ht="15.75" customHeight="1" x14ac:dyDescent="0.25">
      <c r="B9" s="19" t="s">
        <v>74</v>
      </c>
      <c r="C9" s="101">
        <v>6.6210256446675886E-2</v>
      </c>
    </row>
    <row r="10" spans="1:8" ht="15.75" customHeight="1" x14ac:dyDescent="0.25">
      <c r="B10" s="19" t="s">
        <v>75</v>
      </c>
      <c r="C10" s="101">
        <v>0.1116838022217489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82</v>
      </c>
      <c r="C15" s="101">
        <v>0.26208816969300658</v>
      </c>
      <c r="D15" s="101">
        <v>0.26208816969300658</v>
      </c>
      <c r="E15" s="101">
        <v>0.26208816969300658</v>
      </c>
      <c r="F15" s="101">
        <v>0.26208816969300658</v>
      </c>
    </row>
    <row r="16" spans="1:8" ht="15.75" customHeight="1" x14ac:dyDescent="0.25">
      <c r="B16" s="19" t="s">
        <v>83</v>
      </c>
      <c r="C16" s="101">
        <v>2.3929564889798131E-2</v>
      </c>
      <c r="D16" s="101">
        <v>2.3929564889798131E-2</v>
      </c>
      <c r="E16" s="101">
        <v>2.3929564889798131E-2</v>
      </c>
      <c r="F16" s="101">
        <v>2.3929564889798131E-2</v>
      </c>
    </row>
    <row r="17" spans="1:8" ht="15.75" customHeight="1" x14ac:dyDescent="0.25">
      <c r="B17" s="19" t="s">
        <v>84</v>
      </c>
      <c r="C17" s="101">
        <v>1.366540706556877E-2</v>
      </c>
      <c r="D17" s="101">
        <v>1.366540706556877E-2</v>
      </c>
      <c r="E17" s="101">
        <v>1.366540706556877E-2</v>
      </c>
      <c r="F17" s="101">
        <v>1.366540706556877E-2</v>
      </c>
    </row>
    <row r="18" spans="1:8" ht="15.75" customHeight="1" x14ac:dyDescent="0.25">
      <c r="B18" s="19" t="s">
        <v>85</v>
      </c>
      <c r="C18" s="101">
        <v>0.1121344881000229</v>
      </c>
      <c r="D18" s="101">
        <v>0.1121344881000229</v>
      </c>
      <c r="E18" s="101">
        <v>0.1121344881000229</v>
      </c>
      <c r="F18" s="101">
        <v>0.1121344881000229</v>
      </c>
    </row>
    <row r="19" spans="1:8" ht="15.75" customHeight="1" x14ac:dyDescent="0.25">
      <c r="B19" s="19" t="s">
        <v>86</v>
      </c>
      <c r="C19" s="101">
        <v>4.3931608499606992E-2</v>
      </c>
      <c r="D19" s="101">
        <v>4.3931608499606992E-2</v>
      </c>
      <c r="E19" s="101">
        <v>4.3931608499606992E-2</v>
      </c>
      <c r="F19" s="101">
        <v>4.3931608499606992E-2</v>
      </c>
    </row>
    <row r="20" spans="1:8" ht="15.75" customHeight="1" x14ac:dyDescent="0.25">
      <c r="B20" s="19" t="s">
        <v>87</v>
      </c>
      <c r="C20" s="101">
        <v>1.9269942667465779E-2</v>
      </c>
      <c r="D20" s="101">
        <v>1.9269942667465779E-2</v>
      </c>
      <c r="E20" s="101">
        <v>1.9269942667465779E-2</v>
      </c>
      <c r="F20" s="101">
        <v>1.9269942667465779E-2</v>
      </c>
    </row>
    <row r="21" spans="1:8" ht="15.75" customHeight="1" x14ac:dyDescent="0.25">
      <c r="B21" s="19" t="s">
        <v>88</v>
      </c>
      <c r="C21" s="101">
        <v>0.1453562135370326</v>
      </c>
      <c r="D21" s="101">
        <v>0.1453562135370326</v>
      </c>
      <c r="E21" s="101">
        <v>0.1453562135370326</v>
      </c>
      <c r="F21" s="101">
        <v>0.1453562135370326</v>
      </c>
    </row>
    <row r="22" spans="1:8" ht="15.75" customHeight="1" x14ac:dyDescent="0.25">
      <c r="B22" s="19" t="s">
        <v>89</v>
      </c>
      <c r="C22" s="101">
        <v>0.1939049326405119</v>
      </c>
      <c r="D22" s="101">
        <v>0.1939049326405119</v>
      </c>
      <c r="E22" s="101">
        <v>0.1939049326405119</v>
      </c>
      <c r="F22" s="101">
        <v>0.1939049326405119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8.8209145000000003E-2</v>
      </c>
    </row>
    <row r="27" spans="1:8" ht="15.75" customHeight="1" x14ac:dyDescent="0.25">
      <c r="B27" s="19" t="s">
        <v>92</v>
      </c>
      <c r="C27" s="101">
        <v>8.6061309999999995E-3</v>
      </c>
    </row>
    <row r="28" spans="1:8" ht="15.75" customHeight="1" x14ac:dyDescent="0.25">
      <c r="B28" s="19" t="s">
        <v>93</v>
      </c>
      <c r="C28" s="101">
        <v>0.158177228</v>
      </c>
    </row>
    <row r="29" spans="1:8" ht="15.75" customHeight="1" x14ac:dyDescent="0.25">
      <c r="B29" s="19" t="s">
        <v>94</v>
      </c>
      <c r="C29" s="101">
        <v>0.16895537699999999</v>
      </c>
    </row>
    <row r="30" spans="1:8" ht="15.75" customHeight="1" x14ac:dyDescent="0.25">
      <c r="B30" s="19" t="s">
        <v>95</v>
      </c>
      <c r="C30" s="101">
        <v>0.10501387</v>
      </c>
    </row>
    <row r="31" spans="1:8" ht="15.75" customHeight="1" x14ac:dyDescent="0.25">
      <c r="B31" s="19" t="s">
        <v>96</v>
      </c>
      <c r="C31" s="101">
        <v>0.110556312</v>
      </c>
    </row>
    <row r="32" spans="1:8" ht="15.75" customHeight="1" x14ac:dyDescent="0.25">
      <c r="B32" s="19" t="s">
        <v>97</v>
      </c>
      <c r="C32" s="101">
        <v>1.8813532000000001E-2</v>
      </c>
    </row>
    <row r="33" spans="2:3" ht="15.75" customHeight="1" x14ac:dyDescent="0.25">
      <c r="B33" s="19" t="s">
        <v>98</v>
      </c>
      <c r="C33" s="101">
        <v>8.3149402999999997E-2</v>
      </c>
    </row>
    <row r="34" spans="2:3" ht="15.75" customHeight="1" x14ac:dyDescent="0.25">
      <c r="B34" s="19" t="s">
        <v>99</v>
      </c>
      <c r="C34" s="101">
        <v>0.25851900100000003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104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105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109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110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122</v>
      </c>
      <c r="C5" s="52">
        <v>2.6070599999999999E-2</v>
      </c>
      <c r="D5" s="52">
        <v>2.9581999999999998E-3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0.19732049519243819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0.70706266146872643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0.33424780360339801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0.64956370000000008</v>
      </c>
      <c r="C10" s="98">
        <v>0.95</v>
      </c>
      <c r="D10" s="56">
        <v>13.53368651819329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13.53368651819329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13.53368651819329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13.53368651819329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0.64956370000000008</v>
      </c>
      <c r="C14" s="98">
        <v>0.95</v>
      </c>
      <c r="D14" s="56">
        <v>13.53368651819329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13.53368651819329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0.68053489999999994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0.36730000000000002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0.60699999999999998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0.34281080000000003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23.091298552496731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0.80976389999999998</v>
      </c>
      <c r="C23" s="98">
        <v>0.95</v>
      </c>
      <c r="D23" s="56">
        <v>4.4572760576653501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0.67986386987520009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2.9000000000000001E-2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0.25979029999999997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0.1933213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0.56999999999999995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0.22246009999999999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0.59753959999999995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7.8305000000000007E-3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0.77336490000000002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205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0.52600000000000002</v>
      </c>
      <c r="M24" s="60">
        <f>famplan_unmet_need</f>
        <v>0.52600000000000002</v>
      </c>
      <c r="N24" s="60">
        <f>famplan_unmet_need</f>
        <v>0.52600000000000002</v>
      </c>
      <c r="O24" s="60">
        <f>famplan_unmet_need</f>
        <v>0.52600000000000002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0.34833685229492195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0.1492872224121094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0.11370771240234376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0.38866821289062498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0.10892419973095613</v>
      </c>
      <c r="G18" s="90">
        <f>MIN(MAX(1-0.89/(1-frac_sam_12_23months+(frac_sam_12_23months*0.89)),0),1)</f>
        <v>0.10814216827516043</v>
      </c>
      <c r="H18" s="90">
        <f>MIN(MAX(1-0.89/(1-frac_sam_24_59months+(frac_sam_24_59months*0.89)),0),1)</f>
        <v>0.10908214256839532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0.10291868048151476</v>
      </c>
      <c r="G20" s="90">
        <f>MIN(MAX(1-0.89/(1-frac_mam_12_23months+(frac_mam_12_23months*0.89)),0),1)</f>
        <v>0.10395711546003472</v>
      </c>
      <c r="H20" s="90">
        <f>MIN(MAX(1-0.89/(1-frac_mam_24_59months+(frac_mam_24_59months*0.89)),0),1)</f>
        <v>0.10254636124240735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9.8913306229925224E-3</v>
      </c>
      <c r="G73" s="90">
        <f>MIN(MAX(1-0.99/(1-frac_sam_12_23months+(frac_sam_12_23months*0.99)),0),1)</f>
        <v>9.8124852197635226E-3</v>
      </c>
      <c r="H73" s="90">
        <f>MIN(MAX(1-0.99/(1-frac_sam_24_59months+(frac_sam_24_59months*0.99)),0),1)</f>
        <v>9.9072698950839477E-3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9.2890539365735325E-3</v>
      </c>
      <c r="G75" s="90">
        <f>MIN(MAX(1-0.99/(1-frac_mam_12_23months+(frac_mam_12_23months*0.99)),0),1)</f>
        <v>9.3926705335921623E-3</v>
      </c>
      <c r="H75" s="90">
        <f>MIN(MAX(1-0.99/(1-frac_mam_24_59months+(frac_mam_24_59months*0.99)),0),1)</f>
        <v>9.2519564954608446E-3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0.1982400567485687</v>
      </c>
      <c r="G128" s="90">
        <f>MIN(MAX(1-0.8/(1-frac_sam_12_23months+(frac_sam_12_23months*0.8)),0),1)</f>
        <v>0.19695851248770657</v>
      </c>
      <c r="H128" s="90">
        <f>MIN(MAX(1-0.8/(1-frac_sam_24_59months+(frac_sam_24_59months*0.8)),0),1)</f>
        <v>0.19849865974949643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0.18835101902935381</v>
      </c>
      <c r="G130" s="90">
        <f>MIN(MAX(1-0.8/(1-frac_mam_12_23months+(frac_mam_12_23months*0.8)),0),1)</f>
        <v>0.19006881823265243</v>
      </c>
      <c r="H130" s="90">
        <f>MIN(MAX(1-0.8/(1-frac_mam_24_59months+(frac_mam_24_59months*0.8)),0),1)</f>
        <v>0.18773431707371691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2024-08-06T06:32:15Z</dcterms:modified>
</cp:coreProperties>
</file>