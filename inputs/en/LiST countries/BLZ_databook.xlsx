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667FFBB-D3D4-4378-8518-15E5C6447EC5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I2" i="2"/>
  <c r="I6" i="2"/>
  <c r="A19" i="2"/>
  <c r="A35" i="2"/>
  <c r="A22" i="2"/>
  <c r="A36" i="2"/>
  <c r="I3" i="2"/>
  <c r="I7" i="2"/>
  <c r="A23" i="2"/>
  <c r="A37" i="2"/>
  <c r="A40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<sst xmlns="http://schemas.openxmlformats.org/spreadsheetml/2006/main" count="2169" uniqueCount="373">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</sst>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35704.5</v>
      </c>
    </row>
    <row r="8" spans="1:3" ht="15" customHeight="1" x14ac:dyDescent="0.25">
      <c r="B8" s="5" t="s">
        <v>8</v>
      </c>
      <c r="C8" s="44">
        <v>0.13900000000000001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0.72714500427246098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0.1298</v>
      </c>
    </row>
    <row r="24" spans="1:3" ht="15" customHeight="1" x14ac:dyDescent="0.25">
      <c r="B24" s="15" t="s">
        <v>22</v>
      </c>
      <c r="C24" s="45">
        <v>0.56009999999999993</v>
      </c>
    </row>
    <row r="25" spans="1:3" ht="15" customHeight="1" x14ac:dyDescent="0.25">
      <c r="B25" s="15" t="s">
        <v>23</v>
      </c>
      <c r="C25" s="45">
        <v>0.27879999999999999</v>
      </c>
    </row>
    <row r="26" spans="1:3" ht="15" customHeight="1" x14ac:dyDescent="0.25">
      <c r="B26" s="15" t="s">
        <v>24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0.23843800000000001</v>
      </c>
    </row>
    <row r="30" spans="1:3" ht="14.25" customHeight="1" x14ac:dyDescent="0.25">
      <c r="B30" s="25" t="s">
        <v>27</v>
      </c>
      <c r="C30" s="97">
        <v>0.13178809999999999</v>
      </c>
    </row>
    <row r="31" spans="1:3" ht="14.25" customHeight="1" x14ac:dyDescent="0.25">
      <c r="B31" s="25" t="s">
        <v>28</v>
      </c>
      <c r="C31" s="97">
        <v>0.1250917</v>
      </c>
    </row>
    <row r="32" spans="1:3" ht="14.25" customHeight="1" x14ac:dyDescent="0.25">
      <c r="B32" s="25" t="s">
        <v>29</v>
      </c>
      <c r="C32" s="97">
        <v>0.50468219999999997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7.4189699999999998</v>
      </c>
    </row>
    <row r="38" spans="1:5" ht="15" customHeight="1" x14ac:dyDescent="0.25">
      <c r="B38" s="11" t="s">
        <v>34</v>
      </c>
      <c r="C38" s="43">
        <v>9.6127500000000001</v>
      </c>
      <c r="D38" s="12"/>
      <c r="E38" s="13"/>
    </row>
    <row r="39" spans="1:5" ht="15" customHeight="1" x14ac:dyDescent="0.25">
      <c r="B39" s="11" t="s">
        <v>35</v>
      </c>
      <c r="C39" s="43">
        <v>11.18662</v>
      </c>
      <c r="D39" s="12"/>
      <c r="E39" s="12"/>
    </row>
    <row r="40" spans="1:5" ht="15" customHeight="1" x14ac:dyDescent="0.25">
      <c r="B40" s="11" t="s">
        <v>36</v>
      </c>
      <c r="C40" s="98">
        <v>1.3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7.1999000000000004E-3</v>
      </c>
      <c r="D45" s="12"/>
    </row>
    <row r="46" spans="1:5" ht="15.75" customHeight="1" x14ac:dyDescent="0.25">
      <c r="B46" s="11" t="s">
        <v>41</v>
      </c>
      <c r="C46" s="45">
        <v>7.7361899999999997E-2</v>
      </c>
      <c r="D46" s="12"/>
    </row>
    <row r="47" spans="1:5" ht="15.75" customHeight="1" x14ac:dyDescent="0.25">
      <c r="B47" s="11" t="s">
        <v>42</v>
      </c>
      <c r="C47" s="45">
        <v>7.4153999999999998E-2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0.56960999999999995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7529</v>
      </c>
      <c r="C2" s="49">
        <v>18949.5</v>
      </c>
      <c r="D2" s="49">
        <v>38905.5</v>
      </c>
      <c r="E2" s="49">
        <v>34037</v>
      </c>
      <c r="F2" s="49">
        <v>25297</v>
      </c>
      <c r="G2" s="17">
        <f t="shared" ref="G2:G13" si="0">C2+D2+E2+F2</f>
        <v>117189</v>
      </c>
      <c r="H2" s="17">
        <f t="shared" ref="H2:H13" si="1">(B2 + stillbirth*B2/(1000-stillbirth))/(1-abortion)</f>
        <v>8615.0511509307853</v>
      </c>
      <c r="I2" s="17">
        <f t="shared" ref="I2:I13" si="2">G2-H2</f>
        <v>108573.94884906922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7518</v>
      </c>
      <c r="C3" s="50">
        <v>18555.5</v>
      </c>
      <c r="D3" s="50">
        <v>38902.5</v>
      </c>
      <c r="E3" s="50">
        <v>34909</v>
      </c>
      <c r="F3" s="50">
        <v>26132.5</v>
      </c>
      <c r="G3" s="17">
        <f t="shared" si="0"/>
        <v>118499.5</v>
      </c>
      <c r="H3" s="17">
        <f t="shared" si="1"/>
        <v>8602.4644113026498</v>
      </c>
      <c r="I3" s="17">
        <f t="shared" si="2"/>
        <v>109897.03558869736</v>
      </c>
    </row>
    <row r="4" spans="1:9" ht="15.75" customHeight="1" x14ac:dyDescent="0.25">
      <c r="A4" s="5">
        <f t="shared" si="3"/>
        <v>2026</v>
      </c>
      <c r="B4" s="49">
        <v>7471</v>
      </c>
      <c r="C4" s="50">
        <v>18127.5</v>
      </c>
      <c r="D4" s="50">
        <v>38779</v>
      </c>
      <c r="E4" s="50">
        <v>35735.5</v>
      </c>
      <c r="F4" s="50">
        <v>26991.500000000004</v>
      </c>
      <c r="G4" s="17">
        <f t="shared" si="0"/>
        <v>119633.5</v>
      </c>
      <c r="H4" s="17">
        <f t="shared" si="1"/>
        <v>8548.6847056187926</v>
      </c>
      <c r="I4" s="17">
        <f t="shared" si="2"/>
        <v>111084.8152943812</v>
      </c>
    </row>
    <row r="5" spans="1:9" ht="15.75" customHeight="1" x14ac:dyDescent="0.25">
      <c r="A5" s="5">
        <f t="shared" si="3"/>
        <v>2027</v>
      </c>
      <c r="B5" s="49">
        <v>7412</v>
      </c>
      <c r="C5" s="50">
        <v>17845</v>
      </c>
      <c r="D5" s="50">
        <v>38529</v>
      </c>
      <c r="E5" s="50">
        <v>36513.5</v>
      </c>
      <c r="F5" s="50">
        <v>27874</v>
      </c>
      <c r="G5" s="17">
        <f t="shared" si="0"/>
        <v>120761.5</v>
      </c>
      <c r="H5" s="17">
        <f t="shared" si="1"/>
        <v>8481.1740112496991</v>
      </c>
      <c r="I5" s="17">
        <f t="shared" si="2"/>
        <v>112280.32598875029</v>
      </c>
    </row>
    <row r="6" spans="1:9" ht="15.75" customHeight="1" x14ac:dyDescent="0.25">
      <c r="A6" s="5">
        <f t="shared" si="3"/>
        <v>2028</v>
      </c>
      <c r="B6" s="49">
        <v>7340</v>
      </c>
      <c r="C6" s="50">
        <v>17704</v>
      </c>
      <c r="D6" s="50">
        <v>38134.5</v>
      </c>
      <c r="E6" s="50">
        <v>37248.500000000007</v>
      </c>
      <c r="F6" s="50">
        <v>28795.5</v>
      </c>
      <c r="G6" s="17">
        <f t="shared" si="0"/>
        <v>121882.5</v>
      </c>
      <c r="H6" s="17">
        <f t="shared" si="1"/>
        <v>8398.7880791382595</v>
      </c>
      <c r="I6" s="17">
        <f t="shared" si="2"/>
        <v>113483.71192086174</v>
      </c>
    </row>
    <row r="7" spans="1:9" ht="15.75" customHeight="1" x14ac:dyDescent="0.25">
      <c r="A7" s="5">
        <f t="shared" si="3"/>
        <v>2029</v>
      </c>
      <c r="B7" s="49">
        <v>7253</v>
      </c>
      <c r="C7" s="50">
        <v>17684</v>
      </c>
      <c r="D7" s="50">
        <v>37620.999999999993</v>
      </c>
      <c r="E7" s="50">
        <v>37951</v>
      </c>
      <c r="F7" s="50">
        <v>29758.000000000004</v>
      </c>
      <c r="G7" s="17">
        <f t="shared" si="0"/>
        <v>123014</v>
      </c>
      <c r="H7" s="17">
        <f t="shared" si="1"/>
        <v>8299.2384111702722</v>
      </c>
      <c r="I7" s="17">
        <f t="shared" si="2"/>
        <v>114714.76158882973</v>
      </c>
    </row>
    <row r="8" spans="1:9" ht="15.75" customHeight="1" x14ac:dyDescent="0.25">
      <c r="A8" s="5">
        <f t="shared" si="3"/>
        <v>2030</v>
      </c>
      <c r="B8" s="49">
        <v>7176</v>
      </c>
      <c r="C8" s="50">
        <v>17864</v>
      </c>
      <c r="D8" s="50">
        <v>36909.5</v>
      </c>
      <c r="E8" s="50">
        <v>38599.999999999993</v>
      </c>
      <c r="F8" s="50">
        <v>30729</v>
      </c>
      <c r="G8" s="17">
        <f t="shared" si="0"/>
        <v>124102.5</v>
      </c>
      <c r="H8" s="17">
        <f t="shared" si="1"/>
        <v>8211.1312337733179</v>
      </c>
      <c r="I8" s="17">
        <f t="shared" si="2"/>
        <v>115891.36876622669</v>
      </c>
    </row>
    <row r="9" spans="1:9" ht="15.75" customHeight="1" x14ac:dyDescent="0.25">
      <c r="A9" s="5">
        <f t="shared" si="3"/>
        <v>2031</v>
      </c>
      <c r="B9" s="49">
        <v>7101</v>
      </c>
      <c r="C9" s="50">
        <v>18171</v>
      </c>
      <c r="D9" s="50">
        <v>36111.000000000007</v>
      </c>
      <c r="E9" s="50">
        <v>39138.5</v>
      </c>
      <c r="F9" s="50">
        <v>31689</v>
      </c>
      <c r="G9" s="17">
        <f t="shared" si="0"/>
        <v>125109.5</v>
      </c>
      <c r="H9" s="17">
        <f t="shared" si="1"/>
        <v>8125.3125544905697</v>
      </c>
      <c r="I9" s="17">
        <f t="shared" si="2"/>
        <v>116984.18744550944</v>
      </c>
    </row>
    <row r="10" spans="1:9" ht="15.75" customHeight="1" x14ac:dyDescent="0.25">
      <c r="A10" s="5">
        <f t="shared" si="3"/>
        <v>2032</v>
      </c>
      <c r="B10" s="49">
        <v>7033</v>
      </c>
      <c r="C10" s="50">
        <v>18448</v>
      </c>
      <c r="D10" s="50">
        <v>35451</v>
      </c>
      <c r="E10" s="50">
        <v>39532.5</v>
      </c>
      <c r="F10" s="50">
        <v>32625.500000000004</v>
      </c>
      <c r="G10" s="17">
        <f t="shared" si="0"/>
        <v>126057</v>
      </c>
      <c r="H10" s="17">
        <f t="shared" si="1"/>
        <v>8047.5036186075458</v>
      </c>
      <c r="I10" s="17">
        <f t="shared" si="2"/>
        <v>118009.49638139246</v>
      </c>
    </row>
    <row r="11" spans="1:9" ht="15.75" customHeight="1" x14ac:dyDescent="0.25">
      <c r="A11" s="5">
        <f t="shared" si="3"/>
        <v>2033</v>
      </c>
      <c r="B11" s="49">
        <v>6960</v>
      </c>
      <c r="C11" s="50">
        <v>18697</v>
      </c>
      <c r="D11" s="50">
        <v>34953</v>
      </c>
      <c r="E11" s="50">
        <v>39779.5</v>
      </c>
      <c r="F11" s="50">
        <v>33531</v>
      </c>
      <c r="G11" s="17">
        <f t="shared" si="0"/>
        <v>126960.5</v>
      </c>
      <c r="H11" s="17">
        <f t="shared" si="1"/>
        <v>7963.9734374390046</v>
      </c>
      <c r="I11" s="17">
        <f t="shared" si="2"/>
        <v>118996.52656256099</v>
      </c>
    </row>
    <row r="12" spans="1:9" ht="15.75" customHeight="1" x14ac:dyDescent="0.25">
      <c r="A12" s="5">
        <f t="shared" si="3"/>
        <v>2034</v>
      </c>
      <c r="B12" s="49">
        <v>6906</v>
      </c>
      <c r="C12" s="50">
        <v>18755.5</v>
      </c>
      <c r="D12" s="50">
        <v>34604.5</v>
      </c>
      <c r="E12" s="50">
        <v>39884.5</v>
      </c>
      <c r="F12" s="50">
        <v>34415.499999999993</v>
      </c>
      <c r="G12" s="17">
        <f t="shared" si="0"/>
        <v>127660</v>
      </c>
      <c r="H12" s="17">
        <f t="shared" si="1"/>
        <v>7902.1839883554258</v>
      </c>
      <c r="I12" s="17">
        <f t="shared" si="2"/>
        <v>119757.81601164458</v>
      </c>
    </row>
    <row r="13" spans="1:9" ht="15.75" customHeight="1" x14ac:dyDescent="0.25">
      <c r="A13" s="5">
        <f t="shared" si="3"/>
        <v>2035</v>
      </c>
      <c r="B13" s="49">
        <v>6836</v>
      </c>
      <c r="C13" s="50">
        <v>18562</v>
      </c>
      <c r="D13" s="50">
        <v>34354.5</v>
      </c>
      <c r="E13" s="50">
        <v>39857</v>
      </c>
      <c r="F13" s="50">
        <v>35271.5</v>
      </c>
      <c r="G13" s="17">
        <f t="shared" si="0"/>
        <v>128045</v>
      </c>
      <c r="H13" s="17">
        <f t="shared" si="1"/>
        <v>7822.0865543581949</v>
      </c>
      <c r="I13" s="17">
        <f t="shared" si="2"/>
        <v>120222.91344564181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7.087850000000008E-2</v>
      </c>
    </row>
    <row r="5" spans="1:8" ht="15.75" customHeight="1" x14ac:dyDescent="0.25">
      <c r="B5" s="19" t="s">
        <v>70</v>
      </c>
      <c r="C5" s="99">
        <v>2.284790000000006E-2</v>
      </c>
    </row>
    <row r="6" spans="1:8" ht="15.75" customHeight="1" x14ac:dyDescent="0.25">
      <c r="B6" s="19" t="s">
        <v>71</v>
      </c>
      <c r="C6" s="99">
        <v>0.16041219999999951</v>
      </c>
    </row>
    <row r="7" spans="1:8" ht="15.75" customHeight="1" x14ac:dyDescent="0.25">
      <c r="B7" s="19" t="s">
        <v>72</v>
      </c>
      <c r="C7" s="99">
        <v>0.44154420000000061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0.1909217999999997</v>
      </c>
    </row>
    <row r="10" spans="1:8" ht="15.75" customHeight="1" x14ac:dyDescent="0.25">
      <c r="B10" s="19" t="s">
        <v>75</v>
      </c>
      <c r="C10" s="99">
        <v>0.1133954000000001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82</v>
      </c>
      <c r="C15" s="99">
        <v>0.15611618983341141</v>
      </c>
      <c r="D15" s="99">
        <v>0.15611618983341141</v>
      </c>
      <c r="E15" s="99">
        <v>0.15611618983341141</v>
      </c>
      <c r="F15" s="99">
        <v>0.15611618983341141</v>
      </c>
    </row>
    <row r="16" spans="1:8" ht="15.75" customHeight="1" x14ac:dyDescent="0.25">
      <c r="B16" s="19" t="s">
        <v>83</v>
      </c>
      <c r="C16" s="99">
        <v>2.2399666302878589E-2</v>
      </c>
      <c r="D16" s="99">
        <v>2.2399666302878589E-2</v>
      </c>
      <c r="E16" s="99">
        <v>2.2399666302878589E-2</v>
      </c>
      <c r="F16" s="99">
        <v>2.2399666302878589E-2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0.3292969420141898</v>
      </c>
      <c r="D20" s="99">
        <v>0.3292969420141898</v>
      </c>
      <c r="E20" s="99">
        <v>0.3292969420141898</v>
      </c>
      <c r="F20" s="99">
        <v>0.3292969420141898</v>
      </c>
    </row>
    <row r="21" spans="1:8" ht="15.75" customHeight="1" x14ac:dyDescent="0.25">
      <c r="B21" s="19" t="s">
        <v>88</v>
      </c>
      <c r="C21" s="99">
        <v>0.2531630768533944</v>
      </c>
      <c r="D21" s="99">
        <v>0.2531630768533944</v>
      </c>
      <c r="E21" s="99">
        <v>0.2531630768533944</v>
      </c>
      <c r="F21" s="99">
        <v>0.2531630768533944</v>
      </c>
    </row>
    <row r="22" spans="1:8" ht="15.75" customHeight="1" x14ac:dyDescent="0.25">
      <c r="B22" s="19" t="s">
        <v>89</v>
      </c>
      <c r="C22" s="99">
        <v>0.10909491121006711</v>
      </c>
      <c r="D22" s="99">
        <v>0.10909491121006711</v>
      </c>
      <c r="E22" s="99">
        <v>0.10909491121006711</v>
      </c>
      <c r="F22" s="99">
        <v>0.10909491121006711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6.0859322999999993E-2</v>
      </c>
    </row>
    <row r="27" spans="1:8" ht="15.75" customHeight="1" x14ac:dyDescent="0.25">
      <c r="B27" s="19" t="s">
        <v>92</v>
      </c>
      <c r="C27" s="99">
        <v>1.8473204999999999E-2</v>
      </c>
    </row>
    <row r="28" spans="1:8" ht="15.75" customHeight="1" x14ac:dyDescent="0.25">
      <c r="B28" s="19" t="s">
        <v>93</v>
      </c>
      <c r="C28" s="99">
        <v>0.14414038900000001</v>
      </c>
    </row>
    <row r="29" spans="1:8" ht="15.75" customHeight="1" x14ac:dyDescent="0.25">
      <c r="B29" s="19" t="s">
        <v>94</v>
      </c>
      <c r="C29" s="99">
        <v>0.27289618700000001</v>
      </c>
    </row>
    <row r="30" spans="1:8" ht="15.75" customHeight="1" x14ac:dyDescent="0.25">
      <c r="B30" s="19" t="s">
        <v>95</v>
      </c>
      <c r="C30" s="99">
        <v>8.5625018999999997E-2</v>
      </c>
    </row>
    <row r="31" spans="1:8" ht="15.75" customHeight="1" x14ac:dyDescent="0.25">
      <c r="B31" s="19" t="s">
        <v>96</v>
      </c>
      <c r="C31" s="99">
        <v>0.10194423</v>
      </c>
    </row>
    <row r="32" spans="1:8" ht="15.75" customHeight="1" x14ac:dyDescent="0.25">
      <c r="B32" s="19" t="s">
        <v>97</v>
      </c>
      <c r="C32" s="99">
        <v>2.9002987000000001E-2</v>
      </c>
    </row>
    <row r="33" spans="2:3" ht="15.75" customHeight="1" x14ac:dyDescent="0.25">
      <c r="B33" s="19" t="s">
        <v>98</v>
      </c>
      <c r="C33" s="99">
        <v>0.12602046</v>
      </c>
    </row>
    <row r="34" spans="2:3" ht="15.75" customHeight="1" x14ac:dyDescent="0.25">
      <c r="B34" s="19" t="s">
        <v>99</v>
      </c>
      <c r="C34" s="99">
        <v>0.16103819999999999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104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105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109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110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3.9491500000000013E-2</v>
      </c>
      <c r="D5" s="52">
        <f t="shared" si="0"/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6984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0.47397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0.52579999999999993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1.4393902566221941E-2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98776.213210000002</v>
      </c>
      <c r="C22" s="107">
        <v>98657.877819999994</v>
      </c>
      <c r="D22" s="107">
        <v>98510.572889999996</v>
      </c>
      <c r="E22" s="107">
        <v>98031.644239999994</v>
      </c>
      <c r="F22" s="107">
        <v>97225.936730000001</v>
      </c>
      <c r="G22" s="107">
        <v>96110.786420000004</v>
      </c>
      <c r="H22" s="107">
        <v>94781.235709999994</v>
      </c>
      <c r="I22" s="107">
        <v>93437.076799999995</v>
      </c>
      <c r="J22" s="107">
        <v>91828.403890000001</v>
      </c>
      <c r="K22" s="107">
        <v>89598.788320000007</v>
      </c>
      <c r="L22" s="107">
        <v>86548.342120000001</v>
      </c>
      <c r="M22" s="107">
        <v>82214.108099999998</v>
      </c>
      <c r="N22" s="107">
        <v>76578.055120000005</v>
      </c>
      <c r="O22" s="107">
        <v>69486.862789999999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13.098311970098051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13.098311970098051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13.098311970098051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13.098311970098051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13.098311970098051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13.098311970098051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0.45717222222222198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0.2988326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0.2988326</v>
      </c>
      <c r="C19" s="96">
        <v>0.95</v>
      </c>
      <c r="D19" s="56">
        <v>10.92023727763495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4.3331704911650171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0.74404084689872707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0.55214350000000001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0.57829639999999993</v>
      </c>
      <c r="C29" s="96">
        <v>0.95</v>
      </c>
      <c r="D29" s="56">
        <v>122.3932530911411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0.44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0.90288290000000004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0.16361800000000001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1.5806400000000002E-2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0.87191940000000001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9.5506600000000011E-2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198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0.13900000000000001</v>
      </c>
      <c r="F2" s="60">
        <f>food_insecure</f>
        <v>0.13900000000000001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0.13900000000000001</v>
      </c>
      <c r="I15" s="60">
        <f t="shared" si="0"/>
        <v>0.13900000000000001</v>
      </c>
      <c r="J15" s="60">
        <f t="shared" si="0"/>
        <v>0.13900000000000001</v>
      </c>
      <c r="K15" s="60">
        <f t="shared" si="0"/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0.13900000000000001</v>
      </c>
      <c r="I16" s="60">
        <f t="shared" si="0"/>
        <v>0.13900000000000001</v>
      </c>
      <c r="J16" s="60">
        <f t="shared" si="0"/>
        <v>0.13900000000000001</v>
      </c>
      <c r="K16" s="60">
        <f t="shared" si="0"/>
        <v>0.13900000000000001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