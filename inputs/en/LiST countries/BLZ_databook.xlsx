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A1607CD-CE4C-4517-8E4D-81AA7B67D69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<sst xmlns="http://schemas.openxmlformats.org/spreadsheetml/2006/main" count="2092" uniqueCount="341">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</sst>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35537.190429687507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8680.7291999999998</v>
      </c>
      <c r="C2" s="49">
        <v>19000</v>
      </c>
      <c r="D2" s="49">
        <v>40000</v>
      </c>
      <c r="E2" s="49">
        <v>34000</v>
      </c>
      <c r="F2" s="49">
        <v>26000</v>
      </c>
      <c r="G2" s="17">
        <f t="shared" ref="G2:G13" si="0">C2+D2+E2+F2</f>
        <v>119000</v>
      </c>
      <c r="H2" s="17">
        <f t="shared" ref="H2:H13" si="1">(B2 + stillbirth*B2/(1000-stillbirth))/(1-abortion)</f>
        <v>9932.9162020691292</v>
      </c>
      <c r="I2" s="17">
        <f t="shared" ref="I2:I13" si="2">G2-H2</f>
        <v>109067.08379793087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8679.4519999999993</v>
      </c>
      <c r="C3" s="50">
        <v>19000</v>
      </c>
      <c r="D3" s="50">
        <v>40000</v>
      </c>
      <c r="E3" s="50">
        <v>36000</v>
      </c>
      <c r="F3" s="50">
        <v>26000</v>
      </c>
      <c r="G3" s="17">
        <f t="shared" si="0"/>
        <v>121000</v>
      </c>
      <c r="H3" s="17">
        <f t="shared" si="1"/>
        <v>9931.4547671733962</v>
      </c>
      <c r="I3" s="17">
        <f t="shared" si="2"/>
        <v>111068.54523282661</v>
      </c>
    </row>
    <row r="4" spans="1:9" ht="15.75" customHeight="1" x14ac:dyDescent="0.25">
      <c r="A4" s="5">
        <f t="shared" si="3"/>
        <v>2026</v>
      </c>
      <c r="B4" s="49">
        <v>8679.489599999999</v>
      </c>
      <c r="C4" s="50">
        <v>19000</v>
      </c>
      <c r="D4" s="50">
        <v>41000</v>
      </c>
      <c r="E4" s="50">
        <v>36000</v>
      </c>
      <c r="F4" s="50">
        <v>27000</v>
      </c>
      <c r="G4" s="17">
        <f t="shared" si="0"/>
        <v>123000</v>
      </c>
      <c r="H4" s="17">
        <f t="shared" si="1"/>
        <v>9931.4977909379413</v>
      </c>
      <c r="I4" s="17">
        <f t="shared" si="2"/>
        <v>113068.50220906206</v>
      </c>
    </row>
    <row r="5" spans="1:9" ht="15.75" customHeight="1" x14ac:dyDescent="0.25">
      <c r="A5" s="5">
        <f t="shared" si="3"/>
        <v>2027</v>
      </c>
      <c r="B5" s="49">
        <v>8654.5998</v>
      </c>
      <c r="C5" s="50">
        <v>19000</v>
      </c>
      <c r="D5" s="50">
        <v>41000</v>
      </c>
      <c r="E5" s="50">
        <v>38000</v>
      </c>
      <c r="F5" s="50">
        <v>28000</v>
      </c>
      <c r="G5" s="17">
        <f t="shared" si="0"/>
        <v>126000</v>
      </c>
      <c r="H5" s="17">
        <f t="shared" si="1"/>
        <v>9903.0176607564536</v>
      </c>
      <c r="I5" s="17">
        <f t="shared" si="2"/>
        <v>116096.98233924355</v>
      </c>
    </row>
    <row r="6" spans="1:9" ht="15.75" customHeight="1" x14ac:dyDescent="0.25">
      <c r="A6" s="5">
        <f t="shared" si="3"/>
        <v>2028</v>
      </c>
      <c r="B6" s="49">
        <v>8624.6896000000015</v>
      </c>
      <c r="C6" s="50">
        <v>19000</v>
      </c>
      <c r="D6" s="50">
        <v>41000</v>
      </c>
      <c r="E6" s="50">
        <v>38000</v>
      </c>
      <c r="F6" s="50">
        <v>29000</v>
      </c>
      <c r="G6" s="17">
        <f t="shared" si="0"/>
        <v>127000</v>
      </c>
      <c r="H6" s="17">
        <f t="shared" si="1"/>
        <v>9868.792942608683</v>
      </c>
      <c r="I6" s="17">
        <f t="shared" si="2"/>
        <v>117131.20705739132</v>
      </c>
    </row>
    <row r="7" spans="1:9" ht="15.75" customHeight="1" x14ac:dyDescent="0.25">
      <c r="A7" s="5">
        <f t="shared" si="3"/>
        <v>2029</v>
      </c>
      <c r="B7" s="49">
        <v>8608.231600000001</v>
      </c>
      <c r="C7" s="50">
        <v>20000</v>
      </c>
      <c r="D7" s="50">
        <v>41000</v>
      </c>
      <c r="E7" s="50">
        <v>38000</v>
      </c>
      <c r="F7" s="50">
        <v>30000</v>
      </c>
      <c r="G7" s="17">
        <f t="shared" si="0"/>
        <v>129000</v>
      </c>
      <c r="H7" s="17">
        <f t="shared" si="1"/>
        <v>9849.9608916268789</v>
      </c>
      <c r="I7" s="17">
        <f t="shared" si="2"/>
        <v>119150.03910837312</v>
      </c>
    </row>
    <row r="8" spans="1:9" ht="15.75" customHeight="1" x14ac:dyDescent="0.25">
      <c r="A8" s="5">
        <f t="shared" si="3"/>
        <v>2030</v>
      </c>
      <c r="B8" s="49">
        <v>8567.9220000000005</v>
      </c>
      <c r="C8" s="50">
        <v>20000</v>
      </c>
      <c r="D8" s="50">
        <v>40000</v>
      </c>
      <c r="E8" s="50">
        <v>40000</v>
      </c>
      <c r="F8" s="50">
        <v>31000</v>
      </c>
      <c r="G8" s="17">
        <f t="shared" si="0"/>
        <v>131000</v>
      </c>
      <c r="H8" s="17">
        <f t="shared" si="1"/>
        <v>9803.8366698346654</v>
      </c>
      <c r="I8" s="17">
        <f t="shared" si="2"/>
        <v>121196.16333016533</v>
      </c>
    </row>
    <row r="9" spans="1:9" ht="15.75" customHeight="1" x14ac:dyDescent="0.25">
      <c r="A9" s="5">
        <f t="shared" si="3"/>
        <v>2031</v>
      </c>
      <c r="B9" s="49">
        <v>8551.8066857142858</v>
      </c>
      <c r="C9" s="50">
        <v>20142.857142857141</v>
      </c>
      <c r="D9" s="50">
        <v>40000</v>
      </c>
      <c r="E9" s="50">
        <v>40857.142857142862</v>
      </c>
      <c r="F9" s="50">
        <v>31714.28571428571</v>
      </c>
      <c r="G9" s="17">
        <f t="shared" si="0"/>
        <v>132714.28571428571</v>
      </c>
      <c r="H9" s="17">
        <f t="shared" si="1"/>
        <v>9785.3967366583129</v>
      </c>
      <c r="I9" s="17">
        <f t="shared" si="2"/>
        <v>122928.8889776274</v>
      </c>
    </row>
    <row r="10" spans="1:9" ht="15.75" customHeight="1" x14ac:dyDescent="0.25">
      <c r="A10" s="5">
        <f t="shared" si="3"/>
        <v>2032</v>
      </c>
      <c r="B10" s="49">
        <v>8533.5716408163262</v>
      </c>
      <c r="C10" s="50">
        <v>20306.12244897959</v>
      </c>
      <c r="D10" s="50">
        <v>40000</v>
      </c>
      <c r="E10" s="50">
        <v>41551.020408163262</v>
      </c>
      <c r="F10" s="50">
        <v>32530.612244897959</v>
      </c>
      <c r="G10" s="17">
        <f t="shared" si="0"/>
        <v>134387.7551020408</v>
      </c>
      <c r="H10" s="17">
        <f t="shared" si="1"/>
        <v>9764.5313037275846</v>
      </c>
      <c r="I10" s="17">
        <f t="shared" si="2"/>
        <v>124623.22379831321</v>
      </c>
    </row>
    <row r="11" spans="1:9" ht="15.75" customHeight="1" x14ac:dyDescent="0.25">
      <c r="A11" s="5">
        <f t="shared" si="3"/>
        <v>2033</v>
      </c>
      <c r="B11" s="49">
        <v>8512.7262180758007</v>
      </c>
      <c r="C11" s="50">
        <v>20492.71137026239</v>
      </c>
      <c r="D11" s="50">
        <v>39857.142857142862</v>
      </c>
      <c r="E11" s="50">
        <v>42344.023323615147</v>
      </c>
      <c r="F11" s="50">
        <v>33320.699708454813</v>
      </c>
      <c r="G11" s="17">
        <f t="shared" si="0"/>
        <v>136014.57725947522</v>
      </c>
      <c r="H11" s="17">
        <f t="shared" si="1"/>
        <v>9740.6789484118217</v>
      </c>
      <c r="I11" s="17">
        <f t="shared" si="2"/>
        <v>126273.8983110634</v>
      </c>
    </row>
    <row r="12" spans="1:9" ht="15.75" customHeight="1" x14ac:dyDescent="0.25">
      <c r="A12" s="5">
        <f t="shared" si="3"/>
        <v>2034</v>
      </c>
      <c r="B12" s="49">
        <v>8492.4585635152016</v>
      </c>
      <c r="C12" s="50">
        <v>20705.955851728439</v>
      </c>
      <c r="D12" s="50">
        <v>39693.877551020407</v>
      </c>
      <c r="E12" s="50">
        <v>42964.598084131598</v>
      </c>
      <c r="F12" s="50">
        <v>34080.799666805498</v>
      </c>
      <c r="G12" s="17">
        <f t="shared" si="0"/>
        <v>137445.23115368595</v>
      </c>
      <c r="H12" s="17">
        <f t="shared" si="1"/>
        <v>9717.4877037911592</v>
      </c>
      <c r="I12" s="17">
        <f t="shared" si="2"/>
        <v>127727.74344989478</v>
      </c>
    </row>
    <row r="13" spans="1:9" ht="15.75" customHeight="1" x14ac:dyDescent="0.25">
      <c r="A13" s="5">
        <f t="shared" si="3"/>
        <v>2035</v>
      </c>
      <c r="B13" s="49">
        <v>8473.568415445945</v>
      </c>
      <c r="C13" s="50">
        <v>20949.66383054679</v>
      </c>
      <c r="D13" s="50">
        <v>39507.28862973761</v>
      </c>
      <c r="E13" s="50">
        <v>43673.826381864688</v>
      </c>
      <c r="F13" s="50">
        <v>34806.628190634852</v>
      </c>
      <c r="G13" s="17">
        <f t="shared" si="0"/>
        <v>138937.40703278396</v>
      </c>
      <c r="H13" s="17">
        <f t="shared" si="1"/>
        <v>9695.8726696743706</v>
      </c>
      <c r="I13" s="17">
        <f t="shared" si="2"/>
        <v>129241.53436310959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7.087850000000008E-2</v>
      </c>
    </row>
    <row r="5" spans="1:8" ht="15.75" customHeight="1" x14ac:dyDescent="0.25">
      <c r="B5" s="19" t="s">
        <v>70</v>
      </c>
      <c r="C5" s="101">
        <v>2.284790000000006E-2</v>
      </c>
    </row>
    <row r="6" spans="1:8" ht="15.75" customHeight="1" x14ac:dyDescent="0.25">
      <c r="B6" s="19" t="s">
        <v>71</v>
      </c>
      <c r="C6" s="101">
        <v>0.16041219999999951</v>
      </c>
    </row>
    <row r="7" spans="1:8" ht="15.75" customHeight="1" x14ac:dyDescent="0.25">
      <c r="B7" s="19" t="s">
        <v>72</v>
      </c>
      <c r="C7" s="101">
        <v>0.44154420000000061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0.1909217999999997</v>
      </c>
    </row>
    <row r="10" spans="1:8" ht="15.75" customHeight="1" x14ac:dyDescent="0.25">
      <c r="B10" s="19" t="s">
        <v>75</v>
      </c>
      <c r="C10" s="101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83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89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101">
        <v>1.8473204999999999E-2</v>
      </c>
    </row>
    <row r="28" spans="1:8" ht="15.75" customHeight="1" x14ac:dyDescent="0.25">
      <c r="B28" s="19" t="s">
        <v>93</v>
      </c>
      <c r="C28" s="101">
        <v>0.14414038900000001</v>
      </c>
    </row>
    <row r="29" spans="1:8" ht="15.75" customHeight="1" x14ac:dyDescent="0.25">
      <c r="B29" s="19" t="s">
        <v>94</v>
      </c>
      <c r="C29" s="101">
        <v>0.27289618700000001</v>
      </c>
    </row>
    <row r="30" spans="1:8" ht="15.75" customHeight="1" x14ac:dyDescent="0.25">
      <c r="B30" s="19" t="s">
        <v>95</v>
      </c>
      <c r="C30" s="101">
        <v>8.5625018999999997E-2</v>
      </c>
    </row>
    <row r="31" spans="1:8" ht="15.75" customHeight="1" x14ac:dyDescent="0.25">
      <c r="B31" s="19" t="s">
        <v>96</v>
      </c>
      <c r="C31" s="101">
        <v>0.10194423</v>
      </c>
    </row>
    <row r="32" spans="1:8" ht="15.75" customHeight="1" x14ac:dyDescent="0.25">
      <c r="B32" s="19" t="s">
        <v>97</v>
      </c>
      <c r="C32" s="101">
        <v>2.9002987000000001E-2</v>
      </c>
    </row>
    <row r="33" spans="2:3" ht="15.75" customHeight="1" x14ac:dyDescent="0.25">
      <c r="B33" s="19" t="s">
        <v>98</v>
      </c>
      <c r="C33" s="101">
        <v>0.12602046</v>
      </c>
    </row>
    <row r="34" spans="2:3" ht="15.75" customHeight="1" x14ac:dyDescent="0.25">
      <c r="B34" s="19" t="s">
        <v>99</v>
      </c>
      <c r="C34" s="101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0.32330985398220102</v>
      </c>
      <c r="C2" s="98">
        <v>0.95</v>
      </c>
      <c r="D2" s="56">
        <v>61.861086469337543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39.966012526302137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474.4736397477613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1.45725994740313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13.098311970098051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13.098311970098051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13.098311970098051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13.098311970098051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13.098311970098051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13.098311970098051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0.38584710673064498</v>
      </c>
      <c r="C16" s="98">
        <v>0.95</v>
      </c>
      <c r="D16" s="56">
        <v>0.80507776999339498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10.92023727763495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10.92023727763495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0.16361800000000001</v>
      </c>
      <c r="C21" s="98">
        <v>0.95</v>
      </c>
      <c r="D21" s="56">
        <v>15.02309818297103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22.648664763181358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1.5806400000000002E-2</v>
      </c>
      <c r="C23" s="98">
        <v>0.95</v>
      </c>
      <c r="D23" s="56">
        <v>4.3331704911650171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0.76967864302269406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0.36256364878267</v>
      </c>
      <c r="C27" s="98">
        <v>0.95</v>
      </c>
      <c r="D27" s="56">
        <v>18.55694520304651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0.55214350000000001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122.3932530911411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0.61300697415096694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0.2988326</v>
      </c>
      <c r="C32" s="98">
        <v>0.95</v>
      </c>
      <c r="D32" s="56">
        <v>1.737469925830645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0.88251080000000004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9.5506600000000011E-2</v>
      </c>
      <c r="C38" s="98">
        <v>0.95</v>
      </c>
      <c r="D38" s="56">
        <v>1.895773684330621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0.57829639999999993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205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0.90004497975910858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2024-03-28T03:03:42Z</dcterms:modified>
</cp:coreProperties>
</file>