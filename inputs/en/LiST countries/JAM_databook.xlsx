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C6F8CDF-3D14-48CE-88FC-C1B8B4A6BC78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A39" i="2"/>
  <c r="I38" i="2"/>
  <c r="H38" i="2"/>
  <c r="G38" i="2"/>
  <c r="A37" i="2"/>
  <c r="A36" i="2"/>
  <c r="A34" i="2"/>
  <c r="A33" i="2"/>
  <c r="A29" i="2"/>
  <c r="A28" i="2"/>
  <c r="A26" i="2"/>
  <c r="A25" i="2"/>
  <c r="A21" i="2"/>
  <c r="A20" i="2"/>
  <c r="A18" i="2"/>
  <c r="A17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A3" i="2"/>
  <c r="I2" i="2"/>
  <c r="H2" i="2"/>
  <c r="G2" i="2"/>
  <c r="A2" i="2"/>
  <c r="A32" i="2" s="1"/>
  <c r="C33" i="1"/>
  <c r="C20" i="1"/>
  <c r="A19" i="2" l="1"/>
  <c r="A27" i="2"/>
  <c r="A35" i="2"/>
  <c r="A38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40" i="2"/>
  <c r="A30" i="2"/>
  <c r="A15" i="2"/>
  <c r="A23" i="2"/>
  <c r="A31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<sst xmlns="http://schemas.openxmlformats.org/spreadsheetml/2006/main" count="2092" uniqueCount="341">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</sst>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160282.8125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0.77384170532226604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0.17100000000000001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0.13569999999999999</v>
      </c>
    </row>
    <row r="24" spans="1:3" ht="15" customHeight="1" x14ac:dyDescent="0.25">
      <c r="B24" s="15" t="s">
        <v>22</v>
      </c>
      <c r="C24" s="45">
        <v>0.52159999999999995</v>
      </c>
    </row>
    <row r="25" spans="1:3" ht="15" customHeight="1" x14ac:dyDescent="0.25">
      <c r="B25" s="15" t="s">
        <v>23</v>
      </c>
      <c r="C25" s="45">
        <v>0.31040000000000001</v>
      </c>
    </row>
    <row r="26" spans="1:3" ht="15" customHeight="1" x14ac:dyDescent="0.25">
      <c r="B26" s="15" t="s">
        <v>24</v>
      </c>
      <c r="C26" s="45">
        <v>3.2300000000000002E-2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10.305669999999999</v>
      </c>
    </row>
    <row r="38" spans="1:5" ht="15" customHeight="1" x14ac:dyDescent="0.25">
      <c r="B38" s="11" t="s">
        <v>34</v>
      </c>
      <c r="C38" s="43">
        <v>10.669549999999999</v>
      </c>
      <c r="D38" s="12"/>
      <c r="E38" s="13"/>
    </row>
    <row r="39" spans="1:5" ht="15" customHeight="1" x14ac:dyDescent="0.25">
      <c r="B39" s="11" t="s">
        <v>35</v>
      </c>
      <c r="C39" s="43">
        <v>12.398630000000001</v>
      </c>
      <c r="D39" s="12"/>
      <c r="E39" s="12"/>
    </row>
    <row r="40" spans="1:5" ht="15" customHeight="1" x14ac:dyDescent="0.25">
      <c r="B40" s="11" t="s">
        <v>36</v>
      </c>
      <c r="C40" s="100">
        <v>0.99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14.36375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7.1923999999999998E-3</v>
      </c>
      <c r="D45" s="12"/>
    </row>
    <row r="46" spans="1:5" ht="15.75" customHeight="1" x14ac:dyDescent="0.25">
      <c r="B46" s="11" t="s">
        <v>41</v>
      </c>
      <c r="C46" s="45">
        <v>7.7281600000000006E-2</v>
      </c>
      <c r="D46" s="12"/>
    </row>
    <row r="47" spans="1:5" ht="15.75" customHeight="1" x14ac:dyDescent="0.25">
      <c r="B47" s="11" t="s">
        <v>42</v>
      </c>
      <c r="C47" s="45">
        <v>7.4161099999999994E-2</v>
      </c>
      <c r="D47" s="12"/>
      <c r="E47" s="13"/>
    </row>
    <row r="48" spans="1:5" ht="15" customHeight="1" x14ac:dyDescent="0.25">
      <c r="B48" s="11" t="s">
        <v>43</v>
      </c>
      <c r="C48" s="46">
        <v>0.84136489999999997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0.55565200000000003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0.14582914999999999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42459.464800000002</v>
      </c>
      <c r="C2" s="49">
        <v>105000</v>
      </c>
      <c r="D2" s="49">
        <v>228000</v>
      </c>
      <c r="E2" s="49">
        <v>226000</v>
      </c>
      <c r="F2" s="49">
        <v>191000</v>
      </c>
      <c r="G2" s="17">
        <f t="shared" ref="G2:G13" si="0">C2+D2+E2+F2</f>
        <v>750000</v>
      </c>
      <c r="H2" s="17">
        <f t="shared" ref="H2:H13" si="1">(B2 + stillbirth*B2/(1000-stillbirth))/(1-abortion)</f>
        <v>48952.533775195283</v>
      </c>
      <c r="I2" s="17">
        <f t="shared" ref="I2:I13" si="2">G2-H2</f>
        <v>701047.46622480475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41589.449999999997</v>
      </c>
      <c r="C3" s="50">
        <v>104000</v>
      </c>
      <c r="D3" s="50">
        <v>221000</v>
      </c>
      <c r="E3" s="50">
        <v>225000</v>
      </c>
      <c r="F3" s="50">
        <v>193000</v>
      </c>
      <c r="G3" s="17">
        <f t="shared" si="0"/>
        <v>743000</v>
      </c>
      <c r="H3" s="17">
        <f t="shared" si="1"/>
        <v>47949.472877406479</v>
      </c>
      <c r="I3" s="17">
        <f t="shared" si="2"/>
        <v>695050.52712259348</v>
      </c>
    </row>
    <row r="4" spans="1:9" ht="15.75" customHeight="1" x14ac:dyDescent="0.25">
      <c r="A4" s="5">
        <f t="shared" si="3"/>
        <v>2026</v>
      </c>
      <c r="B4" s="49">
        <v>40740.523200000003</v>
      </c>
      <c r="C4" s="50">
        <v>101000</v>
      </c>
      <c r="D4" s="50">
        <v>214000</v>
      </c>
      <c r="E4" s="50">
        <v>226000</v>
      </c>
      <c r="F4" s="50">
        <v>197000</v>
      </c>
      <c r="G4" s="17">
        <f t="shared" si="0"/>
        <v>738000</v>
      </c>
      <c r="H4" s="17">
        <f t="shared" si="1"/>
        <v>46970.724839827162</v>
      </c>
      <c r="I4" s="17">
        <f t="shared" si="2"/>
        <v>691029.27516017284</v>
      </c>
    </row>
    <row r="5" spans="1:9" ht="15.75" customHeight="1" x14ac:dyDescent="0.25">
      <c r="A5" s="5">
        <f t="shared" si="3"/>
        <v>2027</v>
      </c>
      <c r="B5" s="49">
        <v>39863.246400000004</v>
      </c>
      <c r="C5" s="50">
        <v>98000</v>
      </c>
      <c r="D5" s="50">
        <v>208000</v>
      </c>
      <c r="E5" s="50">
        <v>227000</v>
      </c>
      <c r="F5" s="50">
        <v>198000</v>
      </c>
      <c r="G5" s="17">
        <f t="shared" si="0"/>
        <v>731000</v>
      </c>
      <c r="H5" s="17">
        <f t="shared" si="1"/>
        <v>45959.291408330035</v>
      </c>
      <c r="I5" s="17">
        <f t="shared" si="2"/>
        <v>685040.70859166991</v>
      </c>
    </row>
    <row r="6" spans="1:9" ht="15.75" customHeight="1" x14ac:dyDescent="0.25">
      <c r="A6" s="5">
        <f t="shared" si="3"/>
        <v>2028</v>
      </c>
      <c r="B6" s="49">
        <v>38985.969599999997</v>
      </c>
      <c r="C6" s="50">
        <v>95000</v>
      </c>
      <c r="D6" s="50">
        <v>202000</v>
      </c>
      <c r="E6" s="50">
        <v>226000</v>
      </c>
      <c r="F6" s="50">
        <v>201000</v>
      </c>
      <c r="G6" s="17">
        <f t="shared" si="0"/>
        <v>724000</v>
      </c>
      <c r="H6" s="17">
        <f t="shared" si="1"/>
        <v>44947.857976832907</v>
      </c>
      <c r="I6" s="17">
        <f t="shared" si="2"/>
        <v>679052.14202316711</v>
      </c>
    </row>
    <row r="7" spans="1:9" ht="15.75" customHeight="1" x14ac:dyDescent="0.25">
      <c r="A7" s="5">
        <f t="shared" si="3"/>
        <v>2029</v>
      </c>
      <c r="B7" s="49">
        <v>38095.713000000003</v>
      </c>
      <c r="C7" s="50">
        <v>93000</v>
      </c>
      <c r="D7" s="50">
        <v>196000</v>
      </c>
      <c r="E7" s="50">
        <v>225000</v>
      </c>
      <c r="F7" s="50">
        <v>203000</v>
      </c>
      <c r="G7" s="17">
        <f t="shared" si="0"/>
        <v>717000</v>
      </c>
      <c r="H7" s="17">
        <f t="shared" si="1"/>
        <v>43921.459823079211</v>
      </c>
      <c r="I7" s="17">
        <f t="shared" si="2"/>
        <v>673078.54017692083</v>
      </c>
    </row>
    <row r="8" spans="1:9" ht="15.75" customHeight="1" x14ac:dyDescent="0.25">
      <c r="A8" s="5">
        <f t="shared" si="3"/>
        <v>2030</v>
      </c>
      <c r="B8" s="49">
        <v>37193.373</v>
      </c>
      <c r="C8" s="50">
        <v>93000</v>
      </c>
      <c r="D8" s="50">
        <v>190000</v>
      </c>
      <c r="E8" s="50">
        <v>222000</v>
      </c>
      <c r="F8" s="50">
        <v>205000</v>
      </c>
      <c r="G8" s="17">
        <f t="shared" si="0"/>
        <v>710000</v>
      </c>
      <c r="H8" s="17">
        <f t="shared" si="1"/>
        <v>42881.130428095646</v>
      </c>
      <c r="I8" s="17">
        <f t="shared" si="2"/>
        <v>667118.8695719043</v>
      </c>
    </row>
    <row r="9" spans="1:9" ht="15.75" customHeight="1" x14ac:dyDescent="0.25">
      <c r="A9" s="5">
        <f t="shared" si="3"/>
        <v>2031</v>
      </c>
      <c r="B9" s="49">
        <v>36441.074171428569</v>
      </c>
      <c r="C9" s="50">
        <v>91285.71428571429</v>
      </c>
      <c r="D9" s="50">
        <v>184571.42857142861</v>
      </c>
      <c r="E9" s="50">
        <v>221428.57142857139</v>
      </c>
      <c r="F9" s="50">
        <v>207000</v>
      </c>
      <c r="G9" s="17">
        <f t="shared" si="0"/>
        <v>704285.71428571432</v>
      </c>
      <c r="H9" s="17">
        <f t="shared" si="1"/>
        <v>42013.787092795697</v>
      </c>
      <c r="I9" s="17">
        <f t="shared" si="2"/>
        <v>662271.92719291861</v>
      </c>
    </row>
    <row r="10" spans="1:9" ht="15.75" customHeight="1" x14ac:dyDescent="0.25">
      <c r="A10" s="5">
        <f t="shared" si="3"/>
        <v>2032</v>
      </c>
      <c r="B10" s="49">
        <v>35705.591910204079</v>
      </c>
      <c r="C10" s="50">
        <v>89469.387755102041</v>
      </c>
      <c r="D10" s="50">
        <v>179367.3469387755</v>
      </c>
      <c r="E10" s="50">
        <v>220918.36734693879</v>
      </c>
      <c r="F10" s="50">
        <v>209000</v>
      </c>
      <c r="G10" s="17">
        <f t="shared" si="0"/>
        <v>698755.10204081633</v>
      </c>
      <c r="H10" s="17">
        <f t="shared" si="1"/>
        <v>41165.831980708448</v>
      </c>
      <c r="I10" s="17">
        <f t="shared" si="2"/>
        <v>657589.27006010793</v>
      </c>
    </row>
    <row r="11" spans="1:9" ht="15.75" customHeight="1" x14ac:dyDescent="0.25">
      <c r="A11" s="5">
        <f t="shared" si="3"/>
        <v>2033</v>
      </c>
      <c r="B11" s="49">
        <v>34986.316011661802</v>
      </c>
      <c r="C11" s="50">
        <v>87822.157434402339</v>
      </c>
      <c r="D11" s="50">
        <v>174419.82507288631</v>
      </c>
      <c r="E11" s="50">
        <v>220192.4198250729</v>
      </c>
      <c r="F11" s="50">
        <v>210714.28571428571</v>
      </c>
      <c r="G11" s="17">
        <f t="shared" si="0"/>
        <v>693148.68804664724</v>
      </c>
      <c r="H11" s="17">
        <f t="shared" si="1"/>
        <v>40336.561572262915</v>
      </c>
      <c r="I11" s="17">
        <f t="shared" si="2"/>
        <v>652812.12647438433</v>
      </c>
    </row>
    <row r="12" spans="1:9" ht="15.75" customHeight="1" x14ac:dyDescent="0.25">
      <c r="A12" s="5">
        <f t="shared" si="3"/>
        <v>2034</v>
      </c>
      <c r="B12" s="49">
        <v>34289.611670470629</v>
      </c>
      <c r="C12" s="50">
        <v>86368.179925031247</v>
      </c>
      <c r="D12" s="50">
        <v>169622.6572261558</v>
      </c>
      <c r="E12" s="50">
        <v>219219.90837151179</v>
      </c>
      <c r="F12" s="50">
        <v>212530.61224489799</v>
      </c>
      <c r="G12" s="17">
        <f t="shared" si="0"/>
        <v>687741.35776759684</v>
      </c>
      <c r="H12" s="17">
        <f t="shared" si="1"/>
        <v>39533.31445282475</v>
      </c>
      <c r="I12" s="17">
        <f t="shared" si="2"/>
        <v>648208.04331477208</v>
      </c>
    </row>
    <row r="13" spans="1:9" ht="15.75" customHeight="1" x14ac:dyDescent="0.25">
      <c r="A13" s="5">
        <f t="shared" si="3"/>
        <v>2035</v>
      </c>
      <c r="B13" s="49">
        <v>33618.703394823577</v>
      </c>
      <c r="C13" s="50">
        <v>85135.062771464276</v>
      </c>
      <c r="D13" s="50">
        <v>164997.32254417811</v>
      </c>
      <c r="E13" s="50">
        <v>218251.32385315641</v>
      </c>
      <c r="F13" s="50">
        <v>214177.8425655977</v>
      </c>
      <c r="G13" s="17">
        <f t="shared" si="0"/>
        <v>682561.55173439649</v>
      </c>
      <c r="H13" s="17">
        <f t="shared" si="1"/>
        <v>38759.808235109303</v>
      </c>
      <c r="I13" s="17">
        <f t="shared" si="2"/>
        <v>643801.74349928717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0.13613760000000011</v>
      </c>
    </row>
    <row r="5" spans="1:8" ht="15.75" customHeight="1" x14ac:dyDescent="0.25">
      <c r="B5" s="19" t="s">
        <v>70</v>
      </c>
      <c r="C5" s="101">
        <v>2.9634100000000021E-2</v>
      </c>
    </row>
    <row r="6" spans="1:8" ht="15.75" customHeight="1" x14ac:dyDescent="0.25">
      <c r="B6" s="19" t="s">
        <v>71</v>
      </c>
      <c r="C6" s="101">
        <v>0.18144859999999971</v>
      </c>
    </row>
    <row r="7" spans="1:8" ht="15.75" customHeight="1" x14ac:dyDescent="0.25">
      <c r="B7" s="19" t="s">
        <v>72</v>
      </c>
      <c r="C7" s="101">
        <v>0.45895330000000018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0.1178047999999999</v>
      </c>
    </row>
    <row r="10" spans="1:8" ht="15.75" customHeight="1" x14ac:dyDescent="0.25">
      <c r="B10" s="19" t="s">
        <v>75</v>
      </c>
      <c r="C10" s="101">
        <v>7.6021599999999911E-2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0.18295444305434169</v>
      </c>
      <c r="D14" s="55">
        <v>0.18295444305434169</v>
      </c>
      <c r="E14" s="55">
        <v>0.18295444305434169</v>
      </c>
      <c r="F14" s="55">
        <v>0.18295444305434169</v>
      </c>
    </row>
    <row r="15" spans="1:8" ht="15.75" customHeight="1" x14ac:dyDescent="0.25">
      <c r="B15" s="19" t="s">
        <v>82</v>
      </c>
      <c r="C15" s="101">
        <v>0.34734263374847879</v>
      </c>
      <c r="D15" s="101">
        <v>0.34734263374847879</v>
      </c>
      <c r="E15" s="101">
        <v>0.34734263374847879</v>
      </c>
      <c r="F15" s="101">
        <v>0.34734263374847879</v>
      </c>
    </row>
    <row r="16" spans="1:8" ht="15.75" customHeight="1" x14ac:dyDescent="0.25">
      <c r="B16" s="19" t="s">
        <v>83</v>
      </c>
      <c r="C16" s="101">
        <v>3.7147698052948298E-2</v>
      </c>
      <c r="D16" s="101">
        <v>3.7147698052948298E-2</v>
      </c>
      <c r="E16" s="101">
        <v>3.7147698052948298E-2</v>
      </c>
      <c r="F16" s="101">
        <v>3.7147698052948298E-2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0.17484696646779091</v>
      </c>
      <c r="D19" s="101">
        <v>0.17484696646779091</v>
      </c>
      <c r="E19" s="101">
        <v>0.17484696646779091</v>
      </c>
      <c r="F19" s="101">
        <v>0.17484696646779091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0.12466024564999149</v>
      </c>
      <c r="D21" s="101">
        <v>0.12466024564999149</v>
      </c>
      <c r="E21" s="101">
        <v>0.12466024564999149</v>
      </c>
      <c r="F21" s="101">
        <v>0.12466024564999149</v>
      </c>
    </row>
    <row r="22" spans="1:8" ht="15.75" customHeight="1" x14ac:dyDescent="0.25">
      <c r="B22" s="19" t="s">
        <v>89</v>
      </c>
      <c r="C22" s="101">
        <v>0.1330480130264487</v>
      </c>
      <c r="D22" s="101">
        <v>0.1330480130264487</v>
      </c>
      <c r="E22" s="101">
        <v>0.1330480130264487</v>
      </c>
      <c r="F22" s="101">
        <v>0.1330480130264487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2.9141097000000001E-2</v>
      </c>
    </row>
    <row r="27" spans="1:8" ht="15.75" customHeight="1" x14ac:dyDescent="0.25">
      <c r="B27" s="19" t="s">
        <v>92</v>
      </c>
      <c r="C27" s="101">
        <v>1.0659604E-2</v>
      </c>
    </row>
    <row r="28" spans="1:8" ht="15.75" customHeight="1" x14ac:dyDescent="0.25">
      <c r="B28" s="19" t="s">
        <v>93</v>
      </c>
      <c r="C28" s="101">
        <v>5.3942014000000003E-2</v>
      </c>
    </row>
    <row r="29" spans="1:8" ht="15.75" customHeight="1" x14ac:dyDescent="0.25">
      <c r="B29" s="19" t="s">
        <v>94</v>
      </c>
      <c r="C29" s="101">
        <v>0.132460157</v>
      </c>
    </row>
    <row r="30" spans="1:8" ht="15.75" customHeight="1" x14ac:dyDescent="0.25">
      <c r="B30" s="19" t="s">
        <v>95</v>
      </c>
      <c r="C30" s="101">
        <v>4.2099428000000001E-2</v>
      </c>
    </row>
    <row r="31" spans="1:8" ht="15.75" customHeight="1" x14ac:dyDescent="0.25">
      <c r="B31" s="19" t="s">
        <v>96</v>
      </c>
      <c r="C31" s="101">
        <v>9.6696056000000002E-2</v>
      </c>
    </row>
    <row r="32" spans="1:8" ht="15.75" customHeight="1" x14ac:dyDescent="0.25">
      <c r="B32" s="19" t="s">
        <v>97</v>
      </c>
      <c r="C32" s="101">
        <v>6.3757143000000002E-2</v>
      </c>
    </row>
    <row r="33" spans="2:3" ht="15.75" customHeight="1" x14ac:dyDescent="0.25">
      <c r="B33" s="19" t="s">
        <v>98</v>
      </c>
      <c r="C33" s="101">
        <v>0.12090500699999999</v>
      </c>
    </row>
    <row r="34" spans="2:3" ht="15.75" customHeight="1" x14ac:dyDescent="0.25">
      <c r="B34" s="19" t="s">
        <v>99</v>
      </c>
      <c r="C34" s="101">
        <v>0.45033949200000001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0.45710734074999998</v>
      </c>
      <c r="D14" s="54">
        <v>0.43038927098300001</v>
      </c>
      <c r="E14" s="54">
        <v>0.43038927098300001</v>
      </c>
      <c r="F14" s="54">
        <v>0.31946844869300001</v>
      </c>
      <c r="G14" s="54">
        <v>0.31946844869300001</v>
      </c>
      <c r="H14" s="45">
        <v>0.27</v>
      </c>
      <c r="I14" s="55">
        <v>0.27</v>
      </c>
      <c r="J14" s="55">
        <v>0.27</v>
      </c>
      <c r="K14" s="55">
        <v>0.27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0.25399260810241903</v>
      </c>
      <c r="D15" s="52">
        <f t="shared" si="0"/>
        <v>0.23914665920024594</v>
      </c>
      <c r="E15" s="52">
        <f t="shared" si="0"/>
        <v>0.23914665920024594</v>
      </c>
      <c r="F15" s="52">
        <f t="shared" si="0"/>
        <v>0.17751328245316286</v>
      </c>
      <c r="G15" s="52">
        <f t="shared" si="0"/>
        <v>0.17751328245316286</v>
      </c>
      <c r="H15" s="52">
        <f t="shared" si="0"/>
        <v>0.15002604000000003</v>
      </c>
      <c r="I15" s="52">
        <f t="shared" si="0"/>
        <v>0.15002604000000003</v>
      </c>
      <c r="J15" s="52">
        <f t="shared" si="0"/>
        <v>0.15002604000000003</v>
      </c>
      <c r="K15" s="52">
        <f t="shared" si="0"/>
        <v>0.15002604000000003</v>
      </c>
      <c r="L15" s="52">
        <f t="shared" si="0"/>
        <v>0.12446604800000001</v>
      </c>
      <c r="M15" s="52">
        <f t="shared" si="0"/>
        <v>0.12446604800000001</v>
      </c>
      <c r="N15" s="52">
        <f t="shared" si="0"/>
        <v>0.12446604800000001</v>
      </c>
      <c r="O15" s="52">
        <f t="shared" si="0"/>
        <v>0.12446604800000001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0.4584897</v>
      </c>
      <c r="D2" s="53">
        <v>0.17920549999999999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0.1811017</v>
      </c>
      <c r="D3" s="53">
        <v>0.18662980000000001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0.27453680000000003</v>
      </c>
      <c r="D4" s="53">
        <v>0.54415389999999997</v>
      </c>
      <c r="E4" s="53">
        <v>0.69400049999999991</v>
      </c>
      <c r="F4" s="53">
        <v>0.37669950000000002</v>
      </c>
      <c r="G4" s="53">
        <v>0</v>
      </c>
    </row>
    <row r="5" spans="1:7" x14ac:dyDescent="0.25">
      <c r="B5" s="3" t="s">
        <v>122</v>
      </c>
      <c r="C5" s="52">
        <v>8.5871799999999998E-2</v>
      </c>
      <c r="D5" s="52">
        <v>9.0010800000000002E-2</v>
      </c>
      <c r="E5" s="52">
        <f>1-SUM(E2:E4)</f>
        <v>0.30599950000000009</v>
      </c>
      <c r="F5" s="52">
        <f>1-SUM(F2:F4)</f>
        <v>0.62330050000000004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0.28497339944223998</v>
      </c>
      <c r="C2" s="98">
        <v>0.95</v>
      </c>
      <c r="D2" s="56">
        <v>62.714780124614677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39.985147042964151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487.85757913726337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1.6380998871193979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13.117446486760061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13.117446486760061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13.117446486760061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13.117446486760061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13.117446486760061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13.117446486760061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0.51947830035999998</v>
      </c>
      <c r="C16" s="98">
        <v>0.95</v>
      </c>
      <c r="D16" s="56">
        <v>0.82421228665541357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11.224756739744929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11.224756739744929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0.28231899999999999</v>
      </c>
      <c r="C21" s="98">
        <v>0.95</v>
      </c>
      <c r="D21" s="56">
        <v>16.982553632802741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22.691717425670902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3.5551399999999997E-2</v>
      </c>
      <c r="C23" s="98">
        <v>0.95</v>
      </c>
      <c r="D23" s="56">
        <v>4.3451295640787793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0.78155029906684503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0.25279623895775999</v>
      </c>
      <c r="C27" s="98">
        <v>0.95</v>
      </c>
      <c r="D27" s="56">
        <v>18.676662605887799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0.64137739999999999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124.34168065842491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0.50502277771952597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0.17920549999999999</v>
      </c>
      <c r="C32" s="98">
        <v>0.95</v>
      </c>
      <c r="D32" s="56">
        <v>1.780535588985835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0.86552600000000002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1.723279552412311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205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0.17100000000000001</v>
      </c>
      <c r="M24" s="60">
        <f>famplan_unmet_need</f>
        <v>0.17100000000000001</v>
      </c>
      <c r="N24" s="60">
        <f>famplan_unmet_need</f>
        <v>0.17100000000000001</v>
      </c>
      <c r="O24" s="60">
        <f>famplan_unmet_need</f>
        <v>0.17100000000000001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0.11162494950408915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4.7839264073181065E-2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6.6694081100463751E-2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0.77384170532226604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0.89923417976622355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7C1D25-F241-4F64-96A2-CDDA04D0FA63}"/>
</file>

<file path=customXml/itemProps2.xml><?xml version="1.0" encoding="utf-8"?>
<ds:datastoreItem xmlns:ds="http://schemas.openxmlformats.org/officeDocument/2006/customXml" ds:itemID="{F6671C97-2715-4BFE-B9E8-FCB959B09BD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2024-03-28T03:04:12Z</dcterms:modified>
</cp:coreProperties>
</file>