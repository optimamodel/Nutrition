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F079EAA-AD26-4836-9AAD-662DE7925296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<sst xmlns="http://schemas.openxmlformats.org/spreadsheetml/2006/main" count="2169" uniqueCount="373">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</sst>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160697.5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0.77384170532226604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0.13569999999999999</v>
      </c>
    </row>
    <row r="24" spans="1:3" ht="15" customHeight="1" x14ac:dyDescent="0.25">
      <c r="B24" s="15" t="s">
        <v>22</v>
      </c>
      <c r="C24" s="45">
        <v>0.52159999999999995</v>
      </c>
    </row>
    <row r="25" spans="1:3" ht="15" customHeight="1" x14ac:dyDescent="0.25">
      <c r="B25" s="15" t="s">
        <v>23</v>
      </c>
      <c r="C25" s="45">
        <v>0.31040000000000001</v>
      </c>
    </row>
    <row r="26" spans="1:3" ht="15" customHeight="1" x14ac:dyDescent="0.25">
      <c r="B26" s="15" t="s">
        <v>24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10.305669999999999</v>
      </c>
    </row>
    <row r="38" spans="1:5" ht="15" customHeight="1" x14ac:dyDescent="0.25">
      <c r="B38" s="11" t="s">
        <v>34</v>
      </c>
      <c r="C38" s="43">
        <v>10.669549999999999</v>
      </c>
      <c r="D38" s="12"/>
      <c r="E38" s="13"/>
    </row>
    <row r="39" spans="1:5" ht="15" customHeight="1" x14ac:dyDescent="0.25">
      <c r="B39" s="11" t="s">
        <v>35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98">
        <v>0.99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0.55565200000000003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32508.000000000004</v>
      </c>
      <c r="C2" s="49">
        <v>109368</v>
      </c>
      <c r="D2" s="49">
        <v>242756</v>
      </c>
      <c r="E2" s="49">
        <v>245743.5</v>
      </c>
      <c r="F2" s="49">
        <v>200208</v>
      </c>
      <c r="G2" s="17">
        <f t="shared" ref="G2:G13" si="0">C2+D2+E2+F2</f>
        <v>798075.5</v>
      </c>
      <c r="H2" s="17">
        <f t="shared" ref="H2:H13" si="1">(B2 + stillbirth*B2/(1000-stillbirth))/(1-abortion)</f>
        <v>37479.251692405887</v>
      </c>
      <c r="I2" s="17">
        <f t="shared" ref="I2:I13" si="2">G2-H2</f>
        <v>760596.2483075941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31837</v>
      </c>
      <c r="C3" s="50">
        <v>106525.5</v>
      </c>
      <c r="D3" s="50">
        <v>236862.5</v>
      </c>
      <c r="E3" s="50">
        <v>247743.49999999997</v>
      </c>
      <c r="F3" s="50">
        <v>204089</v>
      </c>
      <c r="G3" s="17">
        <f t="shared" si="0"/>
        <v>795220.5</v>
      </c>
      <c r="H3" s="17">
        <f t="shared" si="1"/>
        <v>36705.639723487329</v>
      </c>
      <c r="I3" s="17">
        <f t="shared" si="2"/>
        <v>758514.86027651269</v>
      </c>
    </row>
    <row r="4" spans="1:9" ht="15.75" customHeight="1" x14ac:dyDescent="0.25">
      <c r="A4" s="5">
        <f t="shared" si="3"/>
        <v>2026</v>
      </c>
      <c r="B4" s="49">
        <v>31322</v>
      </c>
      <c r="C4" s="50">
        <v>103421.5</v>
      </c>
      <c r="D4" s="50">
        <v>230973.5</v>
      </c>
      <c r="E4" s="50">
        <v>249231</v>
      </c>
      <c r="F4" s="50">
        <v>207766.00000000003</v>
      </c>
      <c r="G4" s="17">
        <f t="shared" si="0"/>
        <v>791392</v>
      </c>
      <c r="H4" s="17">
        <f t="shared" si="1"/>
        <v>36111.883890412733</v>
      </c>
      <c r="I4" s="17">
        <f t="shared" si="2"/>
        <v>755280.11610958725</v>
      </c>
    </row>
    <row r="5" spans="1:9" ht="15.75" customHeight="1" x14ac:dyDescent="0.25">
      <c r="A5" s="5">
        <f t="shared" si="3"/>
        <v>2027</v>
      </c>
      <c r="B5" s="49">
        <v>30826</v>
      </c>
      <c r="C5" s="50">
        <v>100170</v>
      </c>
      <c r="D5" s="50">
        <v>225185</v>
      </c>
      <c r="E5" s="50">
        <v>250091</v>
      </c>
      <c r="F5" s="50">
        <v>211270.5</v>
      </c>
      <c r="G5" s="17">
        <f t="shared" si="0"/>
        <v>786716.5</v>
      </c>
      <c r="H5" s="17">
        <f t="shared" si="1"/>
        <v>35540.033612344771</v>
      </c>
      <c r="I5" s="17">
        <f t="shared" si="2"/>
        <v>751176.46638765524</v>
      </c>
    </row>
    <row r="6" spans="1:9" ht="15.75" customHeight="1" x14ac:dyDescent="0.25">
      <c r="A6" s="5">
        <f t="shared" si="3"/>
        <v>2028</v>
      </c>
      <c r="B6" s="49">
        <v>30324</v>
      </c>
      <c r="C6" s="50">
        <v>96933.5</v>
      </c>
      <c r="D6" s="50">
        <v>219683</v>
      </c>
      <c r="E6" s="50">
        <v>250012.5</v>
      </c>
      <c r="F6" s="50">
        <v>214718.5</v>
      </c>
      <c r="G6" s="17">
        <f t="shared" si="0"/>
        <v>781347.5</v>
      </c>
      <c r="H6" s="17">
        <f t="shared" si="1"/>
        <v>34961.265790590507</v>
      </c>
      <c r="I6" s="17">
        <f t="shared" si="2"/>
        <v>746386.23420940945</v>
      </c>
    </row>
    <row r="7" spans="1:9" ht="15.75" customHeight="1" x14ac:dyDescent="0.25">
      <c r="A7" s="5">
        <f t="shared" si="3"/>
        <v>2029</v>
      </c>
      <c r="B7" s="49">
        <v>29804</v>
      </c>
      <c r="C7" s="50">
        <v>93829</v>
      </c>
      <c r="D7" s="50">
        <v>214538</v>
      </c>
      <c r="E7" s="50">
        <v>248843.5</v>
      </c>
      <c r="F7" s="50">
        <v>217966.5</v>
      </c>
      <c r="G7" s="17">
        <f t="shared" si="0"/>
        <v>775177</v>
      </c>
      <c r="H7" s="17">
        <f t="shared" si="1"/>
        <v>34361.74533777732</v>
      </c>
      <c r="I7" s="17">
        <f t="shared" si="2"/>
        <v>740815.25466222269</v>
      </c>
    </row>
    <row r="8" spans="1:9" ht="15.75" customHeight="1" x14ac:dyDescent="0.25">
      <c r="A8" s="5">
        <f t="shared" si="3"/>
        <v>2030</v>
      </c>
      <c r="B8" s="49">
        <v>29264</v>
      </c>
      <c r="C8" s="50">
        <v>90961</v>
      </c>
      <c r="D8" s="50">
        <v>209798</v>
      </c>
      <c r="E8" s="50">
        <v>246187</v>
      </c>
      <c r="F8" s="50">
        <v>221216.99999999997</v>
      </c>
      <c r="G8" s="17">
        <f t="shared" si="0"/>
        <v>768163</v>
      </c>
      <c r="H8" s="17">
        <f t="shared" si="1"/>
        <v>33739.166406009776</v>
      </c>
      <c r="I8" s="17">
        <f t="shared" si="2"/>
        <v>734423.83359399019</v>
      </c>
    </row>
    <row r="9" spans="1:9" ht="15.75" customHeight="1" x14ac:dyDescent="0.25">
      <c r="A9" s="5">
        <f t="shared" si="3"/>
        <v>2031</v>
      </c>
      <c r="B9" s="49">
        <v>28690</v>
      </c>
      <c r="C9" s="50">
        <v>88362</v>
      </c>
      <c r="D9" s="50">
        <v>205140</v>
      </c>
      <c r="E9" s="50">
        <v>241942</v>
      </c>
      <c r="F9" s="50">
        <v>224774</v>
      </c>
      <c r="G9" s="17">
        <f t="shared" si="0"/>
        <v>760218</v>
      </c>
      <c r="H9" s="17">
        <f t="shared" si="1"/>
        <v>33077.388060019839</v>
      </c>
      <c r="I9" s="17">
        <f t="shared" si="2"/>
        <v>727140.61193998018</v>
      </c>
    </row>
    <row r="10" spans="1:9" ht="15.75" customHeight="1" x14ac:dyDescent="0.25">
      <c r="A10" s="5">
        <f t="shared" si="3"/>
        <v>2032</v>
      </c>
      <c r="B10" s="49">
        <v>28132</v>
      </c>
      <c r="C10" s="50">
        <v>85949.5</v>
      </c>
      <c r="D10" s="50">
        <v>200083</v>
      </c>
      <c r="E10" s="50">
        <v>236589</v>
      </c>
      <c r="F10" s="50">
        <v>228418</v>
      </c>
      <c r="G10" s="17">
        <f t="shared" si="0"/>
        <v>751039.5</v>
      </c>
      <c r="H10" s="17">
        <f t="shared" si="1"/>
        <v>32434.056497193378</v>
      </c>
      <c r="I10" s="17">
        <f t="shared" si="2"/>
        <v>718605.44350280659</v>
      </c>
    </row>
    <row r="11" spans="1:9" ht="15.75" customHeight="1" x14ac:dyDescent="0.25">
      <c r="A11" s="5">
        <f t="shared" si="3"/>
        <v>2033</v>
      </c>
      <c r="B11" s="49">
        <v>27564</v>
      </c>
      <c r="C11" s="50">
        <v>83665.5</v>
      </c>
      <c r="D11" s="50">
        <v>194593.5</v>
      </c>
      <c r="E11" s="50">
        <v>230727</v>
      </c>
      <c r="F11" s="50">
        <v>231625</v>
      </c>
      <c r="G11" s="17">
        <f t="shared" si="0"/>
        <v>740611</v>
      </c>
      <c r="H11" s="17">
        <f t="shared" si="1"/>
        <v>31779.195694889746</v>
      </c>
      <c r="I11" s="17">
        <f t="shared" si="2"/>
        <v>708831.80430511024</v>
      </c>
    </row>
    <row r="12" spans="1:9" ht="15.75" customHeight="1" x14ac:dyDescent="0.25">
      <c r="A12" s="5">
        <f t="shared" si="3"/>
        <v>2034</v>
      </c>
      <c r="B12" s="49">
        <v>26952</v>
      </c>
      <c r="C12" s="50">
        <v>81562.5</v>
      </c>
      <c r="D12" s="50">
        <v>188872</v>
      </c>
      <c r="E12" s="50">
        <v>224759</v>
      </c>
      <c r="F12" s="50">
        <v>234117</v>
      </c>
      <c r="G12" s="17">
        <f t="shared" si="0"/>
        <v>729310.5</v>
      </c>
      <c r="H12" s="17">
        <f t="shared" si="1"/>
        <v>31073.606238886532</v>
      </c>
      <c r="I12" s="17">
        <f t="shared" si="2"/>
        <v>698236.89376111352</v>
      </c>
    </row>
    <row r="13" spans="1:9" ht="15.75" customHeight="1" x14ac:dyDescent="0.25">
      <c r="A13" s="5">
        <f t="shared" si="3"/>
        <v>2035</v>
      </c>
      <c r="B13" s="49">
        <v>26324</v>
      </c>
      <c r="C13" s="50">
        <v>79677.5</v>
      </c>
      <c r="D13" s="50">
        <v>183130.49999999997</v>
      </c>
      <c r="E13" s="50">
        <v>218801.5</v>
      </c>
      <c r="F13" s="50">
        <v>236071.5</v>
      </c>
      <c r="G13" s="17">
        <f t="shared" si="0"/>
        <v>717681</v>
      </c>
      <c r="H13" s="17">
        <f t="shared" si="1"/>
        <v>30349.569999719843</v>
      </c>
      <c r="I13" s="17">
        <f t="shared" si="2"/>
        <v>687331.43000028015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0.13613760000000011</v>
      </c>
    </row>
    <row r="5" spans="1:8" ht="15.75" customHeight="1" x14ac:dyDescent="0.25">
      <c r="B5" s="19" t="s">
        <v>70</v>
      </c>
      <c r="C5" s="99">
        <v>2.9634100000000021E-2</v>
      </c>
    </row>
    <row r="6" spans="1:8" ht="15.75" customHeight="1" x14ac:dyDescent="0.25">
      <c r="B6" s="19" t="s">
        <v>71</v>
      </c>
      <c r="C6" s="99">
        <v>0.18144859999999971</v>
      </c>
    </row>
    <row r="7" spans="1:8" ht="15.75" customHeight="1" x14ac:dyDescent="0.25">
      <c r="B7" s="19" t="s">
        <v>72</v>
      </c>
      <c r="C7" s="99">
        <v>0.45895330000000018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0.1178047999999999</v>
      </c>
    </row>
    <row r="10" spans="1:8" ht="15.75" customHeight="1" x14ac:dyDescent="0.25">
      <c r="B10" s="19" t="s">
        <v>75</v>
      </c>
      <c r="C10" s="99">
        <v>7.6021599999999911E-2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82</v>
      </c>
      <c r="C15" s="99">
        <v>0.34734263374847879</v>
      </c>
      <c r="D15" s="99">
        <v>0.34734263374847879</v>
      </c>
      <c r="E15" s="99">
        <v>0.34734263374847879</v>
      </c>
      <c r="F15" s="99">
        <v>0.34734263374847879</v>
      </c>
    </row>
    <row r="16" spans="1:8" ht="15.75" customHeight="1" x14ac:dyDescent="0.25">
      <c r="B16" s="19" t="s">
        <v>83</v>
      </c>
      <c r="C16" s="99">
        <v>3.7147698052948298E-2</v>
      </c>
      <c r="D16" s="99">
        <v>3.7147698052948298E-2</v>
      </c>
      <c r="E16" s="99">
        <v>3.7147698052948298E-2</v>
      </c>
      <c r="F16" s="99">
        <v>3.7147698052948298E-2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0.17484696646779091</v>
      </c>
      <c r="D19" s="99">
        <v>0.17484696646779091</v>
      </c>
      <c r="E19" s="99">
        <v>0.17484696646779091</v>
      </c>
      <c r="F19" s="99">
        <v>0.17484696646779091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0.12466024564999149</v>
      </c>
      <c r="D21" s="99">
        <v>0.12466024564999149</v>
      </c>
      <c r="E21" s="99">
        <v>0.12466024564999149</v>
      </c>
      <c r="F21" s="99">
        <v>0.12466024564999149</v>
      </c>
    </row>
    <row r="22" spans="1:8" ht="15.75" customHeight="1" x14ac:dyDescent="0.25">
      <c r="B22" s="19" t="s">
        <v>89</v>
      </c>
      <c r="C22" s="99">
        <v>0.1330480130264487</v>
      </c>
      <c r="D22" s="99">
        <v>0.1330480130264487</v>
      </c>
      <c r="E22" s="99">
        <v>0.1330480130264487</v>
      </c>
      <c r="F22" s="99">
        <v>0.1330480130264487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2.9141097000000001E-2</v>
      </c>
    </row>
    <row r="27" spans="1:8" ht="15.75" customHeight="1" x14ac:dyDescent="0.25">
      <c r="B27" s="19" t="s">
        <v>92</v>
      </c>
      <c r="C27" s="99">
        <v>1.0659604E-2</v>
      </c>
    </row>
    <row r="28" spans="1:8" ht="15.75" customHeight="1" x14ac:dyDescent="0.25">
      <c r="B28" s="19" t="s">
        <v>93</v>
      </c>
      <c r="C28" s="99">
        <v>5.3942014000000003E-2</v>
      </c>
    </row>
    <row r="29" spans="1:8" ht="15.75" customHeight="1" x14ac:dyDescent="0.25">
      <c r="B29" s="19" t="s">
        <v>94</v>
      </c>
      <c r="C29" s="99">
        <v>0.132460157</v>
      </c>
    </row>
    <row r="30" spans="1:8" ht="15.75" customHeight="1" x14ac:dyDescent="0.25">
      <c r="B30" s="19" t="s">
        <v>95</v>
      </c>
      <c r="C30" s="99">
        <v>4.2099428000000001E-2</v>
      </c>
    </row>
    <row r="31" spans="1:8" ht="15.75" customHeight="1" x14ac:dyDescent="0.25">
      <c r="B31" s="19" t="s">
        <v>96</v>
      </c>
      <c r="C31" s="99">
        <v>9.6696056000000002E-2</v>
      </c>
    </row>
    <row r="32" spans="1:8" ht="15.75" customHeight="1" x14ac:dyDescent="0.25">
      <c r="B32" s="19" t="s">
        <v>97</v>
      </c>
      <c r="C32" s="99">
        <v>6.3757143000000002E-2</v>
      </c>
    </row>
    <row r="33" spans="2:3" ht="15.75" customHeight="1" x14ac:dyDescent="0.25">
      <c r="B33" s="19" t="s">
        <v>98</v>
      </c>
      <c r="C33" s="99">
        <v>0.12090500699999999</v>
      </c>
    </row>
    <row r="34" spans="2:3" ht="15.75" customHeight="1" x14ac:dyDescent="0.25">
      <c r="B34" s="19" t="s">
        <v>99</v>
      </c>
      <c r="C34" s="99">
        <v>0.45033949200000001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8.5871799999999943E-2</v>
      </c>
      <c r="D5" s="52">
        <f t="shared" si="0"/>
        <v>9.0010800000000057E-2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6047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0.64080000000000004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1.6430340149821501E-2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98601.419959999999</v>
      </c>
      <c r="C22" s="107">
        <v>98478.629799999995</v>
      </c>
      <c r="D22" s="107">
        <v>98329.648759999996</v>
      </c>
      <c r="E22" s="107">
        <v>98143.708140000002</v>
      </c>
      <c r="F22" s="107">
        <v>97800.862129999994</v>
      </c>
      <c r="G22" s="107">
        <v>97316.469769999996</v>
      </c>
      <c r="H22" s="107">
        <v>96617.720279999994</v>
      </c>
      <c r="I22" s="107">
        <v>95702.277889999998</v>
      </c>
      <c r="J22" s="107">
        <v>94457.786600000007</v>
      </c>
      <c r="K22" s="107">
        <v>92656.658559999996</v>
      </c>
      <c r="L22" s="107">
        <v>90142.07415</v>
      </c>
      <c r="M22" s="107">
        <v>86453.709839999996</v>
      </c>
      <c r="N22" s="107">
        <v>81071.1342</v>
      </c>
      <c r="O22" s="107">
        <v>73457.133719999998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13.117446486760061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13.117446486760061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13.117446486760061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13.117446486760061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13.117446486760061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13.117446486760061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0.35908333333333298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0.17920549999999999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0.17920549999999999</v>
      </c>
      <c r="C19" s="96">
        <v>0.95</v>
      </c>
      <c r="D19" s="56">
        <v>11.224756739744929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4.3451295640787793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0.90661800413877003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0.64137739999999999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124.34168065842491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0.66647509999999999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0.28231899999999999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3.5551399999999997E-2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0.83723100000000006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