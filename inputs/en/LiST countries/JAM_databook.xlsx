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425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LiST Optima bridge\App\en\"/>
    </mc:Choice>
  </mc:AlternateContent>
  <xr:revisionPtr revIDLastSave="0" documentId="13_ncr:1_{14E2B608-D940-4628-ACDB-1AADEEAA5A5A}" xr6:coauthVersionLast="47" xr6:coauthVersionMax="47" xr10:uidLastSave="{00000000-0000-0000-0000-000000000000}"/>
  <bookViews>
    <workbookView xWindow="-110" yWindow="-110" windowWidth="19420" windowHeight="10420" tabRatio="961" firstSheet="3" activeTab="3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r:id="rId6"/>
    <sheet name="Economic los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Birth outcome risks" sheetId="21" state="hidden" r:id="rId21"/>
    <sheet name="Relative risks" sheetId="22" state="hidden" r:id="rId22"/>
    <sheet name="Odds ratios" sheetId="23" state="hidden" r:id="rId23"/>
    <sheet name="Programs birth outcomes" sheetId="24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5" i="28" l="1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H97" i="27"/>
  <c r="H152" i="27"/>
  <c r="G97" i="27"/>
  <c r="G152" i="27"/>
  <c r="F97" i="27"/>
  <c r="F152" i="27"/>
  <c r="E97" i="27"/>
  <c r="E152" i="27"/>
  <c r="D97" i="27"/>
  <c r="D152" i="27"/>
  <c r="H136" i="27"/>
  <c r="G136" i="27"/>
  <c r="F136" i="27"/>
  <c r="E136" i="27"/>
  <c r="H135" i="27"/>
  <c r="G135" i="27"/>
  <c r="F135" i="27"/>
  <c r="E135" i="27"/>
  <c r="D80" i="27"/>
  <c r="D135" i="27"/>
  <c r="H134" i="27"/>
  <c r="G134" i="27"/>
  <c r="F134" i="27"/>
  <c r="E134" i="27"/>
  <c r="H133" i="27"/>
  <c r="G133" i="27"/>
  <c r="F133" i="27"/>
  <c r="E133" i="27"/>
  <c r="D78" i="27"/>
  <c r="D133" i="27"/>
  <c r="H132" i="27"/>
  <c r="G132" i="27"/>
  <c r="F132" i="27"/>
  <c r="E132" i="27"/>
  <c r="H131" i="27"/>
  <c r="G131" i="27"/>
  <c r="F131" i="27"/>
  <c r="E131" i="27"/>
  <c r="D76" i="27"/>
  <c r="D131" i="27"/>
  <c r="E130" i="27"/>
  <c r="D130" i="27"/>
  <c r="H74" i="27"/>
  <c r="H129" i="27"/>
  <c r="G74" i="27"/>
  <c r="G129" i="27"/>
  <c r="F74" i="27"/>
  <c r="F129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57" i="27"/>
  <c r="H112" i="27"/>
  <c r="G57" i="27"/>
  <c r="G112" i="27"/>
  <c r="F57" i="27"/>
  <c r="F112" i="27"/>
  <c r="E112" i="27"/>
  <c r="D112" i="27"/>
  <c r="H81" i="27"/>
  <c r="G81" i="27"/>
  <c r="F81" i="27"/>
  <c r="E81" i="27"/>
  <c r="H80" i="27"/>
  <c r="G80" i="27"/>
  <c r="F80" i="27"/>
  <c r="E80" i="27"/>
  <c r="H79" i="27"/>
  <c r="G79" i="27"/>
  <c r="F79" i="27"/>
  <c r="E79" i="27"/>
  <c r="H78" i="27"/>
  <c r="G78" i="27"/>
  <c r="F78" i="27"/>
  <c r="E78" i="27"/>
  <c r="H77" i="27"/>
  <c r="G77" i="27"/>
  <c r="F77" i="27"/>
  <c r="E77" i="27"/>
  <c r="H76" i="27"/>
  <c r="G76" i="27"/>
  <c r="F76" i="27"/>
  <c r="E76" i="27"/>
  <c r="E75" i="27"/>
  <c r="D75" i="27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O20" i="25"/>
  <c r="O66" i="25"/>
  <c r="N20" i="25"/>
  <c r="N66" i="25"/>
  <c r="M20" i="25"/>
  <c r="M66" i="25"/>
  <c r="L20" i="25"/>
  <c r="L66" i="25"/>
  <c r="K20" i="25"/>
  <c r="K66" i="25"/>
  <c r="J20" i="25"/>
  <c r="J66" i="25"/>
  <c r="I20" i="25"/>
  <c r="I66" i="25"/>
  <c r="H20" i="25"/>
  <c r="H66" i="25"/>
  <c r="G20" i="25"/>
  <c r="G66" i="25"/>
  <c r="F20" i="25"/>
  <c r="F66" i="25"/>
  <c r="E20" i="25"/>
  <c r="E66" i="25"/>
  <c r="D66" i="25"/>
  <c r="C66" i="25"/>
  <c r="D65" i="25"/>
  <c r="C65" i="25"/>
  <c r="O64" i="25"/>
  <c r="N64" i="25"/>
  <c r="M64" i="25"/>
  <c r="L64" i="25"/>
  <c r="K64" i="25"/>
  <c r="J64" i="25"/>
  <c r="I64" i="25"/>
  <c r="H64" i="25"/>
  <c r="G64" i="25"/>
  <c r="F64" i="25"/>
  <c r="E64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E49" i="25"/>
  <c r="D44" i="25"/>
  <c r="C44" i="25"/>
  <c r="O43" i="25"/>
  <c r="N43" i="25"/>
  <c r="M43" i="25"/>
  <c r="L43" i="25"/>
  <c r="K43" i="25"/>
  <c r="J43" i="25"/>
  <c r="I43" i="25"/>
  <c r="H43" i="25"/>
  <c r="G43" i="25"/>
  <c r="F43" i="25"/>
  <c r="E43" i="25"/>
  <c r="D43" i="25"/>
  <c r="C43" i="25"/>
  <c r="D42" i="25"/>
  <c r="C42" i="25"/>
  <c r="O41" i="25"/>
  <c r="N41" i="25"/>
  <c r="M41" i="25"/>
  <c r="L41" i="25"/>
  <c r="K41" i="25"/>
  <c r="J41" i="25"/>
  <c r="I41" i="25"/>
  <c r="H41" i="25"/>
  <c r="G41" i="25"/>
  <c r="F41" i="25"/>
  <c r="E41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E26" i="25"/>
  <c r="O14" i="25"/>
  <c r="N14" i="25"/>
  <c r="M14" i="25"/>
  <c r="L14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62" i="23"/>
  <c r="F62" i="23"/>
  <c r="E62" i="23"/>
  <c r="D62" i="23"/>
  <c r="C62" i="23"/>
  <c r="G61" i="23"/>
  <c r="F61" i="23"/>
  <c r="E61" i="23"/>
  <c r="D61" i="23"/>
  <c r="C61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50" i="23"/>
  <c r="F50" i="23"/>
  <c r="E50" i="23"/>
  <c r="D50" i="23"/>
  <c r="C50" i="23"/>
  <c r="G49" i="23"/>
  <c r="F49" i="23"/>
  <c r="E49" i="23"/>
  <c r="D49" i="23"/>
  <c r="C44" i="23"/>
  <c r="G40" i="23"/>
  <c r="F40" i="23"/>
  <c r="E40" i="23"/>
  <c r="D40" i="23"/>
  <c r="C40" i="23"/>
  <c r="G39" i="23"/>
  <c r="F39" i="23"/>
  <c r="E39" i="23"/>
  <c r="D39" i="23"/>
  <c r="C39" i="23"/>
  <c r="G38" i="23"/>
  <c r="F38" i="23"/>
  <c r="E38" i="23"/>
  <c r="D38" i="23"/>
  <c r="C38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7" i="23"/>
  <c r="F27" i="23"/>
  <c r="E27" i="23"/>
  <c r="D27" i="23"/>
  <c r="C27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F121" i="20"/>
  <c r="E121" i="20"/>
  <c r="D121" i="20"/>
  <c r="H120" i="20"/>
  <c r="F120" i="20"/>
  <c r="E120" i="20"/>
  <c r="D120" i="20"/>
  <c r="H119" i="20"/>
  <c r="G119" i="20"/>
  <c r="F119" i="20"/>
  <c r="E119" i="20"/>
  <c r="D119" i="20"/>
  <c r="H118" i="20"/>
  <c r="G118" i="20"/>
  <c r="E118" i="20"/>
  <c r="D118" i="20"/>
  <c r="H117" i="20"/>
  <c r="G117" i="20"/>
  <c r="E117" i="20"/>
  <c r="D117" i="20"/>
  <c r="H116" i="20"/>
  <c r="G116" i="20"/>
  <c r="F116" i="20"/>
  <c r="E116" i="20"/>
  <c r="D116" i="20"/>
  <c r="H115" i="20"/>
  <c r="G115" i="20"/>
  <c r="F115" i="20"/>
  <c r="D115" i="20"/>
  <c r="H114" i="20"/>
  <c r="G114" i="20"/>
  <c r="F114" i="20"/>
  <c r="D114" i="20"/>
  <c r="H113" i="20"/>
  <c r="G113" i="20"/>
  <c r="F113" i="20"/>
  <c r="E113" i="20"/>
  <c r="D113" i="20"/>
  <c r="H112" i="20"/>
  <c r="G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E68" i="20"/>
  <c r="D68" i="20"/>
  <c r="H67" i="20"/>
  <c r="F67" i="20"/>
  <c r="E67" i="20"/>
  <c r="D67" i="20"/>
  <c r="H66" i="20"/>
  <c r="G66" i="20"/>
  <c r="F66" i="20"/>
  <c r="E66" i="20"/>
  <c r="D66" i="20"/>
  <c r="H65" i="20"/>
  <c r="G65" i="20"/>
  <c r="E65" i="20"/>
  <c r="D65" i="20"/>
  <c r="H64" i="20"/>
  <c r="G64" i="20"/>
  <c r="E64" i="20"/>
  <c r="D64" i="20"/>
  <c r="H63" i="20"/>
  <c r="G63" i="20"/>
  <c r="F63" i="20"/>
  <c r="E63" i="20"/>
  <c r="D63" i="20"/>
  <c r="H62" i="20"/>
  <c r="G62" i="20"/>
  <c r="F62" i="20"/>
  <c r="D62" i="20"/>
  <c r="H61" i="20"/>
  <c r="G61" i="20"/>
  <c r="F61" i="20"/>
  <c r="D61" i="20"/>
  <c r="H60" i="20"/>
  <c r="G60" i="20"/>
  <c r="F60" i="20"/>
  <c r="E60" i="20"/>
  <c r="D60" i="20"/>
  <c r="H59" i="20"/>
  <c r="G59" i="20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G40" i="2"/>
  <c r="H40" i="2"/>
  <c r="I40" i="2"/>
  <c r="A2" i="2"/>
  <c r="A40" i="2"/>
  <c r="G39" i="2"/>
  <c r="H39" i="2"/>
  <c r="I39" i="2"/>
  <c r="A39" i="2"/>
  <c r="G38" i="2"/>
  <c r="H38" i="2"/>
  <c r="I38" i="2"/>
  <c r="A38" i="2"/>
  <c r="A37" i="2"/>
  <c r="A36" i="2"/>
  <c r="A35" i="2"/>
  <c r="A34" i="2"/>
  <c r="A33" i="2"/>
  <c r="A32" i="2"/>
  <c r="A31" i="2"/>
  <c r="A30" i="2"/>
  <c r="A29" i="2"/>
  <c r="A28" i="2"/>
  <c r="A27" i="2"/>
  <c r="A26" i="2"/>
  <c r="A25" i="2"/>
  <c r="A24" i="2"/>
  <c r="A23" i="2"/>
  <c r="A22" i="2"/>
  <c r="A21" i="2"/>
  <c r="A20" i="2"/>
  <c r="A19" i="2"/>
  <c r="A18" i="2"/>
  <c r="A17" i="2"/>
  <c r="A16" i="2"/>
  <c r="A15" i="2"/>
  <c r="A14" i="2"/>
  <c r="G13" i="2"/>
  <c r="H13" i="2"/>
  <c r="I13" i="2"/>
  <c r="A3" i="2"/>
  <c r="A4" i="2"/>
  <c r="A5" i="2"/>
  <c r="A6" i="2"/>
  <c r="A7" i="2"/>
  <c r="A8" i="2"/>
  <c r="A9" i="2"/>
  <c r="A10" i="2"/>
  <c r="A11" i="2"/>
  <c r="A12" i="2"/>
  <c r="A13" i="2"/>
  <c r="G12" i="2"/>
  <c r="H12" i="2"/>
  <c r="I12" i="2"/>
  <c r="G11" i="2"/>
  <c r="H11" i="2"/>
  <c r="I11" i="2"/>
  <c r="G10" i="2"/>
  <c r="H10" i="2"/>
  <c r="I10" i="2"/>
  <c r="G9" i="2"/>
  <c r="H9" i="2"/>
  <c r="I9" i="2"/>
  <c r="G8" i="2"/>
  <c r="H8" i="2"/>
  <c r="I8" i="2"/>
  <c r="G7" i="2"/>
  <c r="H7" i="2"/>
  <c r="I7" i="2"/>
  <c r="G6" i="2"/>
  <c r="H6" i="2"/>
  <c r="I6" i="2"/>
  <c r="G5" i="2"/>
  <c r="H5" i="2"/>
  <c r="I5" i="2"/>
  <c r="G4" i="2"/>
  <c r="H4" i="2"/>
  <c r="I4" i="2"/>
  <c r="G3" i="2"/>
  <c r="H3" i="2"/>
  <c r="I3" i="2"/>
  <c r="G2" i="2"/>
  <c r="H2" i="2"/>
  <c r="I2" i="2"/>
  <c r="C33" i="1"/>
  <c r="C20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28" authorId="0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0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0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0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1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89" authorId="1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125" authorId="0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1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B56" authorId="0" shapeId="0" xr:uid="{00000000-0006-0000-1500-000001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  <comment ref="B65" authorId="0" shapeId="0" xr:uid="{00000000-0006-0000-1500-000002000000}">
      <text>
        <r>
          <rPr>
            <sz val="10"/>
            <color rgb="FF000000"/>
            <rFont val="Arial"/>
          </rPr>
          <t xml:space="preserve">Tharindu Wickramaarachchi:
LiST 6.29
Black RE, Victora CG, Walker SP, et al. Maternal and child undernutrition and overweight in low-income and middle-income countries. Lancet 2013; 382(9890): 427-51. http://www.ncbi.nlm.nih.gov/pubmed/23746772. (Supplementary material - Web Table 17.)
</t>
        </r>
      </text>
    </comment>
    <comment ref="C104" authorId="0" shapeId="0" xr:uid="{00000000-0006-0000-1500-000003000000}">
      <text>
        <r>
          <rPr>
            <sz val="10"/>
            <color rgb="FF000000"/>
            <rFont val="Arial"/>
          </rPr>
          <t>Tharindu Wickramaarachchi:
Spectrum LiST 6.29</t>
        </r>
      </text>
    </comment>
    <comment ref="A220" authorId="0" shapeId="0" xr:uid="{00000000-0006-0000-1500-000004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B6" authorId="0" shapeId="0" xr:uid="{00000000-0006-0000-1600-00000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2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4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5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6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9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1" shapeId="0" xr:uid="{00000000-0006-0000-1600-00000A000000}">
      <text>
        <r>
          <rPr>
            <sz val="10"/>
            <color rgb="FF000000"/>
            <rFont val="Arial"/>
          </rPr>
          <t>Tharindu Wickramaarachchi:
OR = 1.50 (1.26-1.78) for exclusive breastfeeding in children &lt; 1 month.</t>
        </r>
      </text>
    </comment>
    <comment ref="D12" authorId="1" shapeId="0" xr:uid="{00000000-0006-0000-1600-00000B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A28" authorId="1" shapeId="0" xr:uid="{00000000-0006-0000-1600-00000C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0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0E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0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0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1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37" authorId="1" shapeId="0" xr:uid="{00000000-0006-0000-1600-000012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B44" authorId="1" shapeId="0" xr:uid="{00000000-0006-0000-1600-000013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51" authorId="1" shapeId="0" xr:uid="{00000000-0006-0000-1600-000014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5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6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7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18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4" authorId="0" shapeId="0" xr:uid="{00000000-0006-0000-1800-00000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3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4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0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0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2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3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1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2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4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5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A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</t>
        </r>
      </text>
    </comment>
    <comment ref="E19" authorId="0" shapeId="0" xr:uid="{00000000-0006-0000-1800-00002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2C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
Thereofre, set effect of rice = effect of wheat</t>
        </r>
      </text>
    </comment>
    <comment ref="E21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2E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2F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27" authorId="0" shapeId="0" xr:uid="{00000000-0006-0000-1800-00003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3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3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3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3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3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3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3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3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3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3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3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3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3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3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3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4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4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4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4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4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4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4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4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4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4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4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4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4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4D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4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4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50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5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2" authorId="0" shapeId="0" xr:uid="{00000000-0006-0000-1800-00005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5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54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50" authorId="0" shapeId="0" xr:uid="{00000000-0006-0000-1800-00005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5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5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5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5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5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5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5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5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5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5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6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6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6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6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6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6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6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6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6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6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6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6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6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6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6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6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7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7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7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7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7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7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7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7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7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7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7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7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7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7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8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82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5" authorId="0" shapeId="0" xr:uid="{00000000-0006-0000-1800-00008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8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0" shapeId="0" xr:uid="{00000000-0006-0000-1A00-000013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8" authorId="0" shapeId="0" xr:uid="{00000000-0006-0000-1A00-000014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H18" authorId="0" shapeId="0" xr:uid="{00000000-0006-0000-1A00-000015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F20" authorId="0" shapeId="0" xr:uid="{00000000-0006-0000-1A00-000016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20" authorId="0" shapeId="0" xr:uid="{00000000-0006-0000-1A00-000017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H20" authorId="0" shapeId="0" xr:uid="{00000000-0006-0000-1A00-000018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D22" authorId="0" shapeId="0" xr:uid="{00000000-0006-0000-1A00-000019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A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43" authorId="0" shapeId="0" xr:uid="{00000000-0006-0000-1A00-00001C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0" shapeId="0" xr:uid="{00000000-0006-0000-1A00-00004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73" authorId="0" shapeId="0" xr:uid="{00000000-0006-0000-1A00-00004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73" authorId="0" shapeId="0" xr:uid="{00000000-0006-0000-1A00-00004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75" authorId="0" shapeId="0" xr:uid="{00000000-0006-0000-1A00-00004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75" authorId="0" shapeId="0" xr:uid="{00000000-0006-0000-1A00-00004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75" authorId="0" shapeId="0" xr:uid="{00000000-0006-0000-1A00-00004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77" authorId="0" shapeId="0" xr:uid="{00000000-0006-0000-1A00-00004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5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99" authorId="0" shapeId="0" xr:uid="{00000000-0006-0000-1A00-00005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0" shapeId="0" xr:uid="{00000000-0006-0000-1A00-00007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28" authorId="0" shapeId="0" xr:uid="{00000000-0006-0000-1A00-00007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128" authorId="0" shapeId="0" xr:uid="{00000000-0006-0000-1A00-00007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130" authorId="0" shapeId="0" xr:uid="{00000000-0006-0000-1A00-00007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130" authorId="0" shapeId="0" xr:uid="{00000000-0006-0000-1A00-00007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130" authorId="0" shapeId="0" xr:uid="{00000000-0006-0000-1A00-00007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54" authorId="0" shapeId="0" xr:uid="{00000000-0006-0000-1A00-00008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8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0" shapeId="0" xr:uid="{00000000-0006-0000-1B00-00000D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0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0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0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0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0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0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0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<sst xmlns="http://schemas.openxmlformats.org/spreadsheetml/2006/main" count="2102" uniqueCount="341">
  <si>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</si>
  <si>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</si>
  <si>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</si>
  <si>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</si>
  <si>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</si>
  <si>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</si>
  <si>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</si>
  <si>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</si>
  <si>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</si>
  <si>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</si>
  <si>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</si>
  <si>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</si>
  <si>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</si>
  <si>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</si>
  <si>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</si>
  <si>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</si>
  <si>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</si>
  <si>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</si>
  <si>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</si>
  <si>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</si>
  <si>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</si>
  <si>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</si>
  <si>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</si>
  <si>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</si>
  <si>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</si>
  <si>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</si>
  <si>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</si>
  <si>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</si>
  <si>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</si>
  <si>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</si>
  <si>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</si>
  <si>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</si>
  <si>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</si>
  <si>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</si>
  <si>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</si>
  <si>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</si>
  <si>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</si>
  <si>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</si>
  <si>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</si>
  <si>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</si>
  <si>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</si>
  <si>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</si>
  <si>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</si>
  <si>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</si>
  <si>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</si>
  <si>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</si>
  <si>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</si>
  <si>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</si>
  <si>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</si>
  <si>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</si>
  <si>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</si>
  <si>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</si>
  <si>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</si>
  <si>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</si>
  <si>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</si>
  <si>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</si>
  <si>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</si>
  <si>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</si>
  <si>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</si>
  <si>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</si>
  <si>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</si>
  <si>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</si>
  <si>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</si>
  <si>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</si>
  <si>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</si>
  <si>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</si>
  <si>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</si>
  <si>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</si>
  <si>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</si>
  <si>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</si>
  <si>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</si>
  <si>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</si>
  <si>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</si>
  <si>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</si>
  <si>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</si>
  <si>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</si>
  <si>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</si>
  <si>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</si>
  <si>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</si>
  <si>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</si>
  <si>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</si>
  <si>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</si>
  <si>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</si>
  <si>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</si>
  <si>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</si>
  <si>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</si>
  <si>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</si>
  <si>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</si>
  <si>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</si>
  <si>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</si>
  <si>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</si>
  <si>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</si>
  <si>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</si>
  <si>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</si>
  <si>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</si>
  <si>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</si>
  <si>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</si>
  <si>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</si>
  <si>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</si>
  <si>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</si>
  <si>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</si>
  <si>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</si>
  <si>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</si>
  <si>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</si>
  <si>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</si>
  <si>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</si>
  <si>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</si>
  <si>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</si>
  <si>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</si>
  <si>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</si>
  <si>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</si>
  <si>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</si>
  <si>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</si>
  <si>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</si>
  <si>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</si>
  <si>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</si>
  <si>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</si>
  <si>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</si>
  <si>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</si>
  <si>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</si>
  <si>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</si>
  <si>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</si>
  <si>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</si>
  <si>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</si>
  <si>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</si>
  <si>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</si>
  <si>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</si>
  <si>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</si>
  <si>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</si>
  <si>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</si>
  <si>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</si>
  <si>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</si>
  <si>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</si>
  <si>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</si>
  <si>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</si>
  <si>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Type</t>
  </si>
  <si>
    <t>Cost</t>
  </si>
  <si>
    <t>Child wasting episode</t>
  </si>
  <si>
    <t>Child turning age 5 stunted (over lifetime)</t>
  </si>
  <si>
    <t>Child death</t>
  </si>
  <si>
    <t>Maternal death</t>
  </si>
  <si>
    <t>Anaemic child (per year)</t>
  </si>
  <si>
    <t>Anaemic pregnant woman (per pregnancy)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</si>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</sst>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topLeftCell="A38"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160282.8125</v>
      </c>
    </row>
    <row r="8" spans="1:3" ht="15" customHeight="1" x14ac:dyDescent="0.25">
      <c r="B8" s="5" t="s">
        <v>8</v>
      </c>
      <c r="C8" s="44">
        <v>1.7000000000000001E-2</v>
      </c>
    </row>
    <row r="9" spans="1:3" ht="15" customHeight="1" x14ac:dyDescent="0.25">
      <c r="B9" s="5" t="s">
        <v>9</v>
      </c>
      <c r="C9" s="45">
        <v>0.01</v>
      </c>
    </row>
    <row r="10" spans="1:3" ht="15" customHeight="1" x14ac:dyDescent="0.25">
      <c r="B10" s="5" t="s">
        <v>10</v>
      </c>
      <c r="C10" s="45">
        <v>0.77384170532226604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0.17100000000000001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0.01</v>
      </c>
    </row>
    <row r="18" spans="1:3" ht="15" customHeight="1" x14ac:dyDescent="0.25">
      <c r="B18" s="5" t="s">
        <v>17</v>
      </c>
      <c r="C18" s="45">
        <v>0.98</v>
      </c>
    </row>
    <row r="19" spans="1:3" ht="15" customHeight="1" x14ac:dyDescent="0.25">
      <c r="B19" s="5" t="s">
        <v>18</v>
      </c>
      <c r="C19" s="45">
        <v>0.01</v>
      </c>
    </row>
    <row r="20" spans="1:3" ht="15" customHeight="1" x14ac:dyDescent="0.25">
      <c r="B20" s="5" t="s">
        <v>19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0.13569999999999999</v>
      </c>
    </row>
    <row r="24" spans="1:3" ht="15" customHeight="1" x14ac:dyDescent="0.25">
      <c r="B24" s="15" t="s">
        <v>22</v>
      </c>
      <c r="C24" s="45">
        <v>0.52159999999999995</v>
      </c>
    </row>
    <row r="25" spans="1:3" ht="15" customHeight="1" x14ac:dyDescent="0.25">
      <c r="B25" s="15" t="s">
        <v>23</v>
      </c>
      <c r="C25" s="45">
        <v>0.31040000000000001</v>
      </c>
    </row>
    <row r="26" spans="1:3" ht="15" customHeight="1" x14ac:dyDescent="0.25">
      <c r="B26" s="15" t="s">
        <v>24</v>
      </c>
      <c r="C26" s="45">
        <v>3.2300000000000002E-2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0.38027698235904311</v>
      </c>
    </row>
    <row r="30" spans="1:3" ht="14.25" customHeight="1" x14ac:dyDescent="0.25">
      <c r="B30" s="25" t="s">
        <v>27</v>
      </c>
      <c r="C30" s="99">
        <v>5.4660418264349912E-2</v>
      </c>
    </row>
    <row r="31" spans="1:3" ht="14.25" customHeight="1" x14ac:dyDescent="0.25">
      <c r="B31" s="25" t="s">
        <v>28</v>
      </c>
      <c r="C31" s="99">
        <v>6.1967733026657798E-2</v>
      </c>
    </row>
    <row r="32" spans="1:3" ht="14.25" customHeight="1" x14ac:dyDescent="0.25">
      <c r="B32" s="25" t="s">
        <v>29</v>
      </c>
      <c r="C32" s="99">
        <v>0.50309486634994893</v>
      </c>
    </row>
    <row r="33" spans="1:5" ht="13" customHeight="1" x14ac:dyDescent="0.25">
      <c r="B33" s="27" t="s">
        <v>30</v>
      </c>
      <c r="C33" s="48">
        <f>SUM(C29:C32)</f>
        <v>0.99999999999999978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10.305669999999999</v>
      </c>
    </row>
    <row r="38" spans="1:5" ht="15" customHeight="1" x14ac:dyDescent="0.25">
      <c r="B38" s="11" t="s">
        <v>34</v>
      </c>
      <c r="C38" s="43">
        <v>10.669549999999999</v>
      </c>
      <c r="D38" s="12"/>
      <c r="E38" s="13"/>
    </row>
    <row r="39" spans="1:5" ht="15" customHeight="1" x14ac:dyDescent="0.25">
      <c r="B39" s="11" t="s">
        <v>35</v>
      </c>
      <c r="C39" s="43">
        <v>12.398630000000001</v>
      </c>
      <c r="D39" s="12"/>
      <c r="E39" s="12"/>
    </row>
    <row r="40" spans="1:5" ht="15" customHeight="1" x14ac:dyDescent="0.25">
      <c r="B40" s="11" t="s">
        <v>36</v>
      </c>
      <c r="C40" s="100">
        <v>0.99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14.36375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7.1923999999999998E-3</v>
      </c>
      <c r="D45" s="12"/>
    </row>
    <row r="46" spans="1:5" ht="15.75" customHeight="1" x14ac:dyDescent="0.25">
      <c r="B46" s="11" t="s">
        <v>41</v>
      </c>
      <c r="C46" s="45">
        <v>7.7281600000000006E-2</v>
      </c>
      <c r="D46" s="12"/>
    </row>
    <row r="47" spans="1:5" ht="15.75" customHeight="1" x14ac:dyDescent="0.25">
      <c r="B47" s="11" t="s">
        <v>42</v>
      </c>
      <c r="C47" s="45">
        <v>7.4161099999999994E-2</v>
      </c>
      <c r="D47" s="12"/>
      <c r="E47" s="13"/>
    </row>
    <row r="48" spans="1:5" ht="15" customHeight="1" x14ac:dyDescent="0.25">
      <c r="B48" s="11" t="s">
        <v>43</v>
      </c>
      <c r="C48" s="46">
        <v>0.84136489999999997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100">
        <v>3.2</v>
      </c>
      <c r="D51" s="12"/>
    </row>
    <row r="52" spans="1:4" ht="15" customHeight="1" x14ac:dyDescent="0.25">
      <c r="B52" s="11" t="s">
        <v>46</v>
      </c>
      <c r="C52" s="100">
        <v>3.2</v>
      </c>
    </row>
    <row r="53" spans="1:4" ht="15.75" customHeight="1" x14ac:dyDescent="0.25">
      <c r="B53" s="11" t="s">
        <v>47</v>
      </c>
      <c r="C53" s="100">
        <v>3.2</v>
      </c>
    </row>
    <row r="54" spans="1:4" ht="15.75" customHeight="1" x14ac:dyDescent="0.25">
      <c r="B54" s="11" t="s">
        <v>48</v>
      </c>
      <c r="C54" s="100">
        <v>3.2</v>
      </c>
    </row>
    <row r="55" spans="1:4" ht="15.75" customHeight="1" x14ac:dyDescent="0.25">
      <c r="B55" s="11" t="s">
        <v>49</v>
      </c>
      <c r="C55" s="100">
        <v>3.2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1.9375E-2</v>
      </c>
    </row>
    <row r="59" spans="1:4" ht="15.75" customHeight="1" x14ac:dyDescent="0.25">
      <c r="B59" s="11" t="s">
        <v>52</v>
      </c>
      <c r="C59" s="45">
        <v>0.55565200000000003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0.14582914999999999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31863</v>
      </c>
      <c r="C2" s="49">
        <v>127765</v>
      </c>
      <c r="D2" s="49">
        <v>236714</v>
      </c>
      <c r="E2" s="49">
        <v>247166.5</v>
      </c>
      <c r="F2" s="49">
        <v>175535</v>
      </c>
      <c r="G2" s="17">
        <f t="shared" ref="G2:G13" si="0">C2+D2+E2+F2</f>
        <v>787180.5</v>
      </c>
      <c r="H2" s="17">
        <f t="shared" ref="H2:H13" si="1">(B2 + stillbirth*B2/(1000-stillbirth))/(1-abortion)</f>
        <v>36735.615746127994</v>
      </c>
      <c r="I2" s="17">
        <f t="shared" ref="I2:I13" si="2">G2-H2</f>
        <v>750444.88425387198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31494</v>
      </c>
      <c r="C3" s="50">
        <v>124538</v>
      </c>
      <c r="D3" s="50">
        <v>230125.5</v>
      </c>
      <c r="E3" s="50">
        <v>248717.5</v>
      </c>
      <c r="F3" s="50">
        <v>179905</v>
      </c>
      <c r="G3" s="17">
        <f t="shared" si="0"/>
        <v>783286</v>
      </c>
      <c r="H3" s="17">
        <f t="shared" si="1"/>
        <v>36310.186809420171</v>
      </c>
      <c r="I3" s="17">
        <f t="shared" si="2"/>
        <v>746975.81319057988</v>
      </c>
    </row>
    <row r="4" spans="1:9" ht="15.75" customHeight="1" x14ac:dyDescent="0.25">
      <c r="A4" s="5">
        <f t="shared" si="3"/>
        <v>2026</v>
      </c>
      <c r="B4" s="49">
        <v>31067</v>
      </c>
      <c r="C4" s="50">
        <v>121425.5</v>
      </c>
      <c r="D4" s="50">
        <v>224430</v>
      </c>
      <c r="E4" s="50">
        <v>248905</v>
      </c>
      <c r="F4" s="50">
        <v>184844.5</v>
      </c>
      <c r="G4" s="17">
        <f t="shared" si="0"/>
        <v>779605</v>
      </c>
      <c r="H4" s="17">
        <f t="shared" si="1"/>
        <v>35817.888283744731</v>
      </c>
      <c r="I4" s="17">
        <f t="shared" si="2"/>
        <v>743787.11171625531</v>
      </c>
    </row>
    <row r="5" spans="1:9" ht="15.75" customHeight="1" x14ac:dyDescent="0.25">
      <c r="A5" s="5">
        <f t="shared" si="3"/>
        <v>2027</v>
      </c>
      <c r="B5" s="49">
        <v>30866</v>
      </c>
      <c r="C5" s="50">
        <v>118713</v>
      </c>
      <c r="D5" s="50">
        <v>218849.5</v>
      </c>
      <c r="E5" s="50">
        <v>248014.5</v>
      </c>
      <c r="F5" s="50">
        <v>189791</v>
      </c>
      <c r="G5" s="17">
        <f t="shared" si="0"/>
        <v>775368</v>
      </c>
      <c r="H5" s="17">
        <f t="shared" si="1"/>
        <v>35586.150570253478</v>
      </c>
      <c r="I5" s="17">
        <f t="shared" si="2"/>
        <v>739781.84942974651</v>
      </c>
    </row>
    <row r="6" spans="1:9" ht="15.75" customHeight="1" x14ac:dyDescent="0.25">
      <c r="A6" s="5">
        <f t="shared" si="3"/>
        <v>2028</v>
      </c>
      <c r="B6" s="49">
        <v>30386</v>
      </c>
      <c r="C6" s="50">
        <v>116270</v>
      </c>
      <c r="D6" s="50">
        <v>212576</v>
      </c>
      <c r="E6" s="50">
        <v>246826.5</v>
      </c>
      <c r="F6" s="50">
        <v>194311</v>
      </c>
      <c r="G6" s="17">
        <f t="shared" si="0"/>
        <v>769983.5</v>
      </c>
      <c r="H6" s="17">
        <f t="shared" si="1"/>
        <v>35032.747075348998</v>
      </c>
      <c r="I6" s="17">
        <f t="shared" si="2"/>
        <v>734950.75292465102</v>
      </c>
    </row>
    <row r="7" spans="1:9" ht="15.75" customHeight="1" x14ac:dyDescent="0.25">
      <c r="A7" s="5">
        <f t="shared" si="3"/>
        <v>2029</v>
      </c>
      <c r="B7" s="49">
        <v>29993</v>
      </c>
      <c r="C7" s="50">
        <v>113733.5</v>
      </c>
      <c r="D7" s="50">
        <v>207100</v>
      </c>
      <c r="E7" s="50">
        <v>244726.5</v>
      </c>
      <c r="F7" s="50">
        <v>198429.5</v>
      </c>
      <c r="G7" s="17">
        <f t="shared" si="0"/>
        <v>763989.5</v>
      </c>
      <c r="H7" s="17">
        <f t="shared" si="1"/>
        <v>34579.647963895957</v>
      </c>
      <c r="I7" s="17">
        <f t="shared" si="2"/>
        <v>729409.85203610407</v>
      </c>
    </row>
    <row r="8" spans="1:9" ht="15.75" customHeight="1" x14ac:dyDescent="0.25">
      <c r="A8" s="5">
        <f t="shared" si="3"/>
        <v>2030</v>
      </c>
      <c r="B8" s="49">
        <v>29545</v>
      </c>
      <c r="C8" s="50">
        <v>111636.5</v>
      </c>
      <c r="D8" s="50">
        <v>202776</v>
      </c>
      <c r="E8" s="50">
        <v>241240</v>
      </c>
      <c r="F8" s="50">
        <v>201918</v>
      </c>
      <c r="G8" s="17">
        <f t="shared" si="0"/>
        <v>757570.5</v>
      </c>
      <c r="H8" s="17">
        <f t="shared" si="1"/>
        <v>34063.138035318443</v>
      </c>
      <c r="I8" s="17">
        <f t="shared" si="2"/>
        <v>723507.36196468154</v>
      </c>
    </row>
    <row r="9" spans="1:9" ht="15.75" customHeight="1" x14ac:dyDescent="0.25">
      <c r="A9" s="5">
        <f t="shared" si="3"/>
        <v>2031</v>
      </c>
      <c r="B9" s="49">
        <v>29150</v>
      </c>
      <c r="C9" s="50">
        <v>109273</v>
      </c>
      <c r="D9" s="50">
        <v>199149</v>
      </c>
      <c r="E9" s="50">
        <v>236481.5</v>
      </c>
      <c r="F9" s="50">
        <v>204273.5</v>
      </c>
      <c r="G9" s="17">
        <f t="shared" si="0"/>
        <v>749177</v>
      </c>
      <c r="H9" s="17">
        <f t="shared" si="1"/>
        <v>33607.733075969962</v>
      </c>
      <c r="I9" s="17">
        <f t="shared" si="2"/>
        <v>715569.26692403003</v>
      </c>
    </row>
    <row r="10" spans="1:9" ht="15.75" customHeight="1" x14ac:dyDescent="0.25">
      <c r="A10" s="5">
        <f t="shared" si="3"/>
        <v>2032</v>
      </c>
      <c r="B10" s="49">
        <v>28563</v>
      </c>
      <c r="C10" s="50">
        <v>106180</v>
      </c>
      <c r="D10" s="50">
        <v>195647.5</v>
      </c>
      <c r="E10" s="50">
        <v>230749.5</v>
      </c>
      <c r="F10" s="50">
        <v>206015</v>
      </c>
      <c r="G10" s="17">
        <f t="shared" si="0"/>
        <v>738592</v>
      </c>
      <c r="H10" s="17">
        <f t="shared" si="1"/>
        <v>32930.966718659693</v>
      </c>
      <c r="I10" s="17">
        <f t="shared" si="2"/>
        <v>705661.03328134026</v>
      </c>
    </row>
    <row r="11" spans="1:9" ht="15.75" customHeight="1" x14ac:dyDescent="0.25">
      <c r="A11" s="5">
        <f t="shared" si="3"/>
        <v>2033</v>
      </c>
      <c r="B11" s="49">
        <v>28063</v>
      </c>
      <c r="C11" s="50">
        <v>102982.5</v>
      </c>
      <c r="D11" s="50">
        <v>191853</v>
      </c>
      <c r="E11" s="50">
        <v>224427</v>
      </c>
      <c r="F11" s="50">
        <v>207960.5</v>
      </c>
      <c r="G11" s="17">
        <f t="shared" si="0"/>
        <v>727223</v>
      </c>
      <c r="H11" s="17">
        <f t="shared" si="1"/>
        <v>32354.504744800859</v>
      </c>
      <c r="I11" s="17">
        <f t="shared" si="2"/>
        <v>694868.49525519914</v>
      </c>
    </row>
    <row r="12" spans="1:9" ht="15.75" customHeight="1" x14ac:dyDescent="0.25">
      <c r="A12" s="5">
        <f t="shared" si="3"/>
        <v>2034</v>
      </c>
      <c r="B12" s="49">
        <v>27567</v>
      </c>
      <c r="C12" s="50">
        <v>100164</v>
      </c>
      <c r="D12" s="50">
        <v>187381.5</v>
      </c>
      <c r="E12" s="50">
        <v>217974.5</v>
      </c>
      <c r="F12" s="50">
        <v>209907.5</v>
      </c>
      <c r="G12" s="17">
        <f t="shared" si="0"/>
        <v>715427.5</v>
      </c>
      <c r="H12" s="17">
        <f t="shared" si="1"/>
        <v>31782.654466732896</v>
      </c>
      <c r="I12" s="17">
        <f t="shared" si="2"/>
        <v>683644.84553326713</v>
      </c>
    </row>
    <row r="13" spans="1:9" ht="15.75" customHeight="1" x14ac:dyDescent="0.25">
      <c r="A13" s="5">
        <f t="shared" si="3"/>
        <v>2035</v>
      </c>
      <c r="B13" s="49">
        <v>26881</v>
      </c>
      <c r="C13" s="50">
        <v>97352</v>
      </c>
      <c r="D13" s="50">
        <v>182937</v>
      </c>
      <c r="E13" s="50">
        <v>211461</v>
      </c>
      <c r="F13" s="50">
        <v>211633.5</v>
      </c>
      <c r="G13" s="17">
        <f t="shared" si="0"/>
        <v>703383.5</v>
      </c>
      <c r="H13" s="17">
        <f t="shared" si="1"/>
        <v>30991.748638598579</v>
      </c>
      <c r="I13" s="17">
        <f t="shared" si="2"/>
        <v>672391.7513614014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0</v>
      </c>
    </row>
    <row r="4" spans="1:8" ht="15.75" customHeight="1" x14ac:dyDescent="0.25">
      <c r="B4" s="19" t="s">
        <v>69</v>
      </c>
      <c r="C4" s="101">
        <v>0.13613760000000011</v>
      </c>
    </row>
    <row r="5" spans="1:8" ht="15.75" customHeight="1" x14ac:dyDescent="0.25">
      <c r="B5" s="19" t="s">
        <v>70</v>
      </c>
      <c r="C5" s="101">
        <v>2.9634100000000021E-2</v>
      </c>
    </row>
    <row r="6" spans="1:8" ht="15.75" customHeight="1" x14ac:dyDescent="0.25">
      <c r="B6" s="19" t="s">
        <v>71</v>
      </c>
      <c r="C6" s="101">
        <v>0.18144859999999971</v>
      </c>
    </row>
    <row r="7" spans="1:8" ht="15.75" customHeight="1" x14ac:dyDescent="0.25">
      <c r="B7" s="19" t="s">
        <v>72</v>
      </c>
      <c r="C7" s="101">
        <v>0.45895330000000018</v>
      </c>
    </row>
    <row r="8" spans="1:8" ht="15.75" customHeight="1" x14ac:dyDescent="0.25">
      <c r="B8" s="19" t="s">
        <v>73</v>
      </c>
      <c r="C8" s="101">
        <v>0</v>
      </c>
    </row>
    <row r="9" spans="1:8" ht="15.75" customHeight="1" x14ac:dyDescent="0.25">
      <c r="B9" s="19" t="s">
        <v>74</v>
      </c>
      <c r="C9" s="101">
        <v>0.1178047999999999</v>
      </c>
    </row>
    <row r="10" spans="1:8" ht="15.75" customHeight="1" x14ac:dyDescent="0.25">
      <c r="B10" s="19" t="s">
        <v>75</v>
      </c>
      <c r="C10" s="101">
        <v>7.6021599999999911E-2</v>
      </c>
    </row>
    <row r="11" spans="1:8" ht="15.75" customHeight="1" x14ac:dyDescent="0.25">
      <c r="B11" s="27" t="s">
        <v>30</v>
      </c>
      <c r="C11" s="48">
        <f>SUM(C3:C10)</f>
        <v>0.99999999999999978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2" t="s">
        <v>77</v>
      </c>
      <c r="D13" s="102" t="s">
        <v>78</v>
      </c>
      <c r="E13" s="102" t="s">
        <v>79</v>
      </c>
      <c r="F13" s="102" t="s">
        <v>80</v>
      </c>
      <c r="G13" s="19"/>
    </row>
    <row r="14" spans="1:8" ht="15.75" customHeight="1" x14ac:dyDescent="0.25">
      <c r="B14" s="19" t="s">
        <v>81</v>
      </c>
      <c r="C14" s="55">
        <v>0.18295444305434169</v>
      </c>
      <c r="D14" s="55">
        <v>0.18295444305434169</v>
      </c>
      <c r="E14" s="55">
        <v>0.18295444305434169</v>
      </c>
      <c r="F14" s="55">
        <v>0.18295444305434169</v>
      </c>
    </row>
    <row r="15" spans="1:8" ht="15.75" customHeight="1" x14ac:dyDescent="0.25">
      <c r="B15" s="19" t="s">
        <v>82</v>
      </c>
      <c r="C15" s="101">
        <v>0.34734263374847879</v>
      </c>
      <c r="D15" s="101">
        <v>0.34734263374847879</v>
      </c>
      <c r="E15" s="101">
        <v>0.34734263374847879</v>
      </c>
      <c r="F15" s="101">
        <v>0.34734263374847879</v>
      </c>
    </row>
    <row r="16" spans="1:8" ht="15.75" customHeight="1" x14ac:dyDescent="0.25">
      <c r="B16" s="19" t="s">
        <v>83</v>
      </c>
      <c r="C16" s="101">
        <v>3.7147698052948298E-2</v>
      </c>
      <c r="D16" s="101">
        <v>3.7147698052948298E-2</v>
      </c>
      <c r="E16" s="101">
        <v>3.7147698052948298E-2</v>
      </c>
      <c r="F16" s="101">
        <v>3.7147698052948298E-2</v>
      </c>
    </row>
    <row r="17" spans="1:8" ht="15.75" customHeight="1" x14ac:dyDescent="0.25">
      <c r="B17" s="19" t="s">
        <v>84</v>
      </c>
      <c r="C17" s="101">
        <v>0</v>
      </c>
      <c r="D17" s="101">
        <v>0</v>
      </c>
      <c r="E17" s="101">
        <v>0</v>
      </c>
      <c r="F17" s="101">
        <v>0</v>
      </c>
    </row>
    <row r="18" spans="1:8" ht="15.75" customHeight="1" x14ac:dyDescent="0.25">
      <c r="B18" s="19" t="s">
        <v>85</v>
      </c>
      <c r="C18" s="101">
        <v>0</v>
      </c>
      <c r="D18" s="101">
        <v>0</v>
      </c>
      <c r="E18" s="101">
        <v>0</v>
      </c>
      <c r="F18" s="101">
        <v>0</v>
      </c>
    </row>
    <row r="19" spans="1:8" ht="15.75" customHeight="1" x14ac:dyDescent="0.25">
      <c r="B19" s="19" t="s">
        <v>86</v>
      </c>
      <c r="C19" s="101">
        <v>0.17484696646779091</v>
      </c>
      <c r="D19" s="101">
        <v>0.17484696646779091</v>
      </c>
      <c r="E19" s="101">
        <v>0.17484696646779091</v>
      </c>
      <c r="F19" s="101">
        <v>0.17484696646779091</v>
      </c>
    </row>
    <row r="20" spans="1:8" ht="15.75" customHeight="1" x14ac:dyDescent="0.25">
      <c r="B20" s="19" t="s">
        <v>87</v>
      </c>
      <c r="C20" s="101">
        <v>0</v>
      </c>
      <c r="D20" s="101">
        <v>0</v>
      </c>
      <c r="E20" s="101">
        <v>0</v>
      </c>
      <c r="F20" s="101">
        <v>0</v>
      </c>
    </row>
    <row r="21" spans="1:8" ht="15.75" customHeight="1" x14ac:dyDescent="0.25">
      <c r="B21" s="19" t="s">
        <v>88</v>
      </c>
      <c r="C21" s="101">
        <v>0.12466024564999149</v>
      </c>
      <c r="D21" s="101">
        <v>0.12466024564999149</v>
      </c>
      <c r="E21" s="101">
        <v>0.12466024564999149</v>
      </c>
      <c r="F21" s="101">
        <v>0.12466024564999149</v>
      </c>
    </row>
    <row r="22" spans="1:8" ht="15.75" customHeight="1" x14ac:dyDescent="0.25">
      <c r="B22" s="19" t="s">
        <v>89</v>
      </c>
      <c r="C22" s="101">
        <v>0.1330480130264487</v>
      </c>
      <c r="D22" s="101">
        <v>0.1330480130264487</v>
      </c>
      <c r="E22" s="101">
        <v>0.1330480130264487</v>
      </c>
      <c r="F22" s="101">
        <v>0.1330480130264487</v>
      </c>
    </row>
    <row r="23" spans="1:8" ht="15.75" customHeight="1" x14ac:dyDescent="0.25">
      <c r="B23" s="27" t="s">
        <v>30</v>
      </c>
      <c r="C23" s="48">
        <f>SUM(C14:C22)</f>
        <v>0.99999999999999978</v>
      </c>
      <c r="D23" s="48">
        <f>SUM(D14:D22)</f>
        <v>0.99999999999999978</v>
      </c>
      <c r="E23" s="48">
        <f>SUM(E14:E22)</f>
        <v>0.99999999999999978</v>
      </c>
      <c r="F23" s="48">
        <f>SUM(F14:F22)</f>
        <v>0.99999999999999978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2.9141097000000001E-2</v>
      </c>
    </row>
    <row r="27" spans="1:8" ht="15.75" customHeight="1" x14ac:dyDescent="0.25">
      <c r="B27" s="19" t="s">
        <v>92</v>
      </c>
      <c r="C27" s="101">
        <v>1.0659604E-2</v>
      </c>
    </row>
    <row r="28" spans="1:8" ht="15.75" customHeight="1" x14ac:dyDescent="0.25">
      <c r="B28" s="19" t="s">
        <v>93</v>
      </c>
      <c r="C28" s="101">
        <v>5.3942014000000003E-2</v>
      </c>
    </row>
    <row r="29" spans="1:8" ht="15.75" customHeight="1" x14ac:dyDescent="0.25">
      <c r="B29" s="19" t="s">
        <v>94</v>
      </c>
      <c r="C29" s="101">
        <v>0.132460157</v>
      </c>
    </row>
    <row r="30" spans="1:8" ht="15.75" customHeight="1" x14ac:dyDescent="0.25">
      <c r="B30" s="19" t="s">
        <v>95</v>
      </c>
      <c r="C30" s="101">
        <v>4.2099428000000001E-2</v>
      </c>
    </row>
    <row r="31" spans="1:8" ht="15.75" customHeight="1" x14ac:dyDescent="0.25">
      <c r="B31" s="19" t="s">
        <v>96</v>
      </c>
      <c r="C31" s="101">
        <v>9.6696056000000002E-2</v>
      </c>
    </row>
    <row r="32" spans="1:8" ht="15.75" customHeight="1" x14ac:dyDescent="0.25">
      <c r="B32" s="19" t="s">
        <v>97</v>
      </c>
      <c r="C32" s="101">
        <v>6.3757143000000002E-2</v>
      </c>
    </row>
    <row r="33" spans="2:3" ht="15.75" customHeight="1" x14ac:dyDescent="0.25">
      <c r="B33" s="19" t="s">
        <v>98</v>
      </c>
      <c r="C33" s="101">
        <v>0.12090500699999999</v>
      </c>
    </row>
    <row r="34" spans="2:3" ht="15.75" customHeight="1" x14ac:dyDescent="0.25">
      <c r="B34" s="19" t="s">
        <v>99</v>
      </c>
      <c r="C34" s="101">
        <v>0.45033949200000001</v>
      </c>
    </row>
    <row r="35" spans="2:3" ht="15.75" customHeight="1" x14ac:dyDescent="0.25">
      <c r="B35" s="27" t="s">
        <v>30</v>
      </c>
      <c r="C35" s="48">
        <f>SUM(C26:C34)</f>
        <v>0.99999999799999995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tabSelected="1" topLeftCell="A2" zoomScaleNormal="100" workbookViewId="0">
      <selection activeCell="C10" sqref="C10:G11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0.56571320635899591</v>
      </c>
      <c r="D2" s="52">
        <f>IFERROR(1-_xlfn.NORM.DIST(_xlfn.NORM.INV(SUM(D4:D5), 0, 1) + 1, 0, 1, TRUE), "")</f>
        <v>0.56571320635899591</v>
      </c>
      <c r="E2" s="52">
        <f>IFERROR(1-_xlfn.NORM.DIST(_xlfn.NORM.INV(SUM(E4:E5), 0, 1) + 1, 0, 1, TRUE), "")</f>
        <v>0.5489003245052726</v>
      </c>
      <c r="F2" s="52">
        <f>IFERROR(1-_xlfn.NORM.DIST(_xlfn.NORM.INV(SUM(F4:F5), 0, 1) + 1, 0, 1, TRUE), "")</f>
        <v>0.40571757652982099</v>
      </c>
      <c r="G2" s="52">
        <f>IFERROR(1-_xlfn.NORM.DIST(_xlfn.NORM.INV(SUM(G4:G5), 0, 1) + 1, 0, 1, TRUE), "")</f>
        <v>0.42098878903416415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0.31237251692867529</v>
      </c>
      <c r="D3" s="52">
        <f>IFERROR(_xlfn.NORM.DIST(_xlfn.NORM.INV(SUM(D4:D5), 0, 1) + 1, 0, 1, TRUE) - SUM(D4:D5), "")</f>
        <v>0.31237251692867529</v>
      </c>
      <c r="E3" s="52">
        <f>IFERROR(_xlfn.NORM.DIST(_xlfn.NORM.INV(SUM(E4:E5), 0, 1) + 1, 0, 1, TRUE) - SUM(E4:E5), "")</f>
        <v>0.32035618765688967</v>
      </c>
      <c r="F3" s="52">
        <f>IFERROR(_xlfn.NORM.DIST(_xlfn.NORM.INV(SUM(F4:F5), 0, 1) + 1, 0, 1, TRUE) - SUM(F4:F5), "")</f>
        <v>0.37108079374044944</v>
      </c>
      <c r="G3" s="52">
        <f>IFERROR(_xlfn.NORM.DIST(_xlfn.NORM.INV(SUM(G4:G5), 0, 1) + 1, 0, 1, TRUE) - SUM(G4:G5), "")</f>
        <v>0.36733984610097042</v>
      </c>
    </row>
    <row r="4" spans="1:15" ht="15.75" customHeight="1" x14ac:dyDescent="0.25">
      <c r="B4" s="5" t="s">
        <v>104</v>
      </c>
      <c r="C4" s="45">
        <v>7.883543561643841E-2</v>
      </c>
      <c r="D4" s="53">
        <v>7.883543561643841E-2</v>
      </c>
      <c r="E4" s="53">
        <v>9.5080344594594593E-2</v>
      </c>
      <c r="F4" s="53">
        <v>0.15155733108108099</v>
      </c>
      <c r="G4" s="53">
        <v>0.14753636351351401</v>
      </c>
    </row>
    <row r="5" spans="1:15" ht="15.75" customHeight="1" x14ac:dyDescent="0.25">
      <c r="B5" s="5" t="s">
        <v>105</v>
      </c>
      <c r="C5" s="45">
        <v>4.3078841095890399E-2</v>
      </c>
      <c r="D5" s="53">
        <v>4.3078841095890399E-2</v>
      </c>
      <c r="E5" s="53">
        <v>3.5663143243243198E-2</v>
      </c>
      <c r="F5" s="53">
        <v>7.1644298648648602E-2</v>
      </c>
      <c r="G5" s="53">
        <v>6.4135001351351403E-2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0.74829542472685828</v>
      </c>
      <c r="D8" s="52">
        <f>IFERROR(1-_xlfn.NORM.DIST(_xlfn.NORM.INV(SUM(D10:D11), 0, 1) + 1, 0, 1, TRUE), "")</f>
        <v>0.74829542472685828</v>
      </c>
      <c r="E8" s="52">
        <f>IFERROR(1-_xlfn.NORM.DIST(_xlfn.NORM.INV(SUM(E10:E11), 0, 1) + 1, 0, 1, TRUE), "")</f>
        <v>0.78445700575695343</v>
      </c>
      <c r="F8" s="52">
        <f>IFERROR(1-_xlfn.NORM.DIST(_xlfn.NORM.INV(SUM(F10:F11), 0, 1) + 1, 0, 1, TRUE), "")</f>
        <v>0.83285025048157679</v>
      </c>
      <c r="G8" s="52">
        <f>IFERROR(1-_xlfn.NORM.DIST(_xlfn.NORM.INV(SUM(G10:G11), 0, 1) + 1, 0, 1, TRUE), "")</f>
        <v>0.86465701739449596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0.20415929445122397</v>
      </c>
      <c r="D9" s="52">
        <f>IFERROR(_xlfn.NORM.DIST(_xlfn.NORM.INV(SUM(D10:D11), 0, 1) + 1, 0, 1, TRUE) - SUM(D10:D11), "")</f>
        <v>0.20415929445122397</v>
      </c>
      <c r="E9" s="52">
        <f>IFERROR(_xlfn.NORM.DIST(_xlfn.NORM.INV(SUM(E10:E11), 0, 1) + 1, 0, 1, TRUE) - SUM(E10:E11), "")</f>
        <v>0.1786012861349385</v>
      </c>
      <c r="F9" s="52">
        <f>IFERROR(_xlfn.NORM.DIST(_xlfn.NORM.INV(SUM(F10:F11), 0, 1) + 1, 0, 1, TRUE) - SUM(F10:F11), "")</f>
        <v>0.14247096699343242</v>
      </c>
      <c r="G9" s="52">
        <f>IFERROR(_xlfn.NORM.DIST(_xlfn.NORM.INV(SUM(G10:G11), 0, 1) + 1, 0, 1, TRUE) - SUM(G10:G11), "")</f>
        <v>0.11754374206496343</v>
      </c>
    </row>
    <row r="10" spans="1:15" ht="15.75" customHeight="1" x14ac:dyDescent="0.25">
      <c r="B10" s="5" t="s">
        <v>109</v>
      </c>
      <c r="C10" s="45">
        <v>2.9596563013698601E-2</v>
      </c>
      <c r="D10" s="53">
        <v>2.9596563013698601E-2</v>
      </c>
      <c r="E10" s="53">
        <v>2.6053795945945899E-2</v>
      </c>
      <c r="F10" s="53">
        <v>1.7234675675675701E-2</v>
      </c>
      <c r="G10" s="53">
        <v>1.32244202702703E-2</v>
      </c>
    </row>
    <row r="11" spans="1:15" ht="15.75" customHeight="1" x14ac:dyDescent="0.25">
      <c r="B11" s="5" t="s">
        <v>110</v>
      </c>
      <c r="C11" s="45">
        <v>1.7948717808219199E-2</v>
      </c>
      <c r="D11" s="53">
        <v>1.7948717808219199E-2</v>
      </c>
      <c r="E11" s="53">
        <v>1.08879121621622E-2</v>
      </c>
      <c r="F11" s="53">
        <v>7.4441068493150686E-3</v>
      </c>
      <c r="G11" s="53">
        <v>4.57482027027027E-3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0.45710734074999998</v>
      </c>
      <c r="D14" s="54">
        <v>0.43038927098300001</v>
      </c>
      <c r="E14" s="54">
        <v>0.43038927098300001</v>
      </c>
      <c r="F14" s="54">
        <v>0.31946844869300001</v>
      </c>
      <c r="G14" s="54">
        <v>0.31946844869300001</v>
      </c>
      <c r="H14" s="45">
        <v>0.27</v>
      </c>
      <c r="I14" s="55">
        <v>0.27</v>
      </c>
      <c r="J14" s="55">
        <v>0.27</v>
      </c>
      <c r="K14" s="55">
        <v>0.27</v>
      </c>
      <c r="L14" s="45">
        <v>0.224</v>
      </c>
      <c r="M14" s="55">
        <v>0.224</v>
      </c>
      <c r="N14" s="55">
        <v>0.224</v>
      </c>
      <c r="O14" s="55">
        <v>0.224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0.25399260810241903</v>
      </c>
      <c r="D15" s="52">
        <f t="shared" si="0"/>
        <v>0.23914665920024594</v>
      </c>
      <c r="E15" s="52">
        <f t="shared" si="0"/>
        <v>0.23914665920024594</v>
      </c>
      <c r="F15" s="52">
        <f t="shared" si="0"/>
        <v>0.17751328245316286</v>
      </c>
      <c r="G15" s="52">
        <f t="shared" si="0"/>
        <v>0.17751328245316286</v>
      </c>
      <c r="H15" s="52">
        <f t="shared" si="0"/>
        <v>0.15002604000000003</v>
      </c>
      <c r="I15" s="52">
        <f t="shared" si="0"/>
        <v>0.15002604000000003</v>
      </c>
      <c r="J15" s="52">
        <f t="shared" si="0"/>
        <v>0.15002604000000003</v>
      </c>
      <c r="K15" s="52">
        <f t="shared" si="0"/>
        <v>0.15002604000000003</v>
      </c>
      <c r="L15" s="52">
        <f t="shared" si="0"/>
        <v>0.12446604800000001</v>
      </c>
      <c r="M15" s="52">
        <f t="shared" si="0"/>
        <v>0.12446604800000001</v>
      </c>
      <c r="N15" s="52">
        <f t="shared" si="0"/>
        <v>0.12446604800000001</v>
      </c>
      <c r="O15" s="52">
        <f t="shared" si="0"/>
        <v>0.12446604800000001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0.4584897</v>
      </c>
      <c r="D2" s="53">
        <v>0.17920549999999999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0.1811017</v>
      </c>
      <c r="D3" s="53">
        <v>0.18662980000000001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0.27453680000000003</v>
      </c>
      <c r="D4" s="53">
        <v>0.54415389999999997</v>
      </c>
      <c r="E4" s="53">
        <v>0.69400049999999991</v>
      </c>
      <c r="F4" s="53">
        <v>0.37669950000000002</v>
      </c>
      <c r="G4" s="53">
        <v>0</v>
      </c>
    </row>
    <row r="5" spans="1:7" x14ac:dyDescent="0.25">
      <c r="B5" s="3" t="s">
        <v>122</v>
      </c>
      <c r="C5" s="52">
        <v>8.5871799999999998E-2</v>
      </c>
      <c r="D5" s="52">
        <v>9.0010800000000002E-2</v>
      </c>
      <c r="E5" s="52">
        <f>1-SUM(E2:E4)</f>
        <v>0.30599950000000009</v>
      </c>
      <c r="F5" s="52">
        <f>1-SUM(F2:F4)</f>
        <v>0.62330050000000004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135</v>
      </c>
      <c r="B1" s="4" t="s">
        <v>136</v>
      </c>
    </row>
    <row r="2" spans="1:2" x14ac:dyDescent="0.25">
      <c r="A2" s="8" t="s">
        <v>137</v>
      </c>
      <c r="B2" s="41">
        <v>10</v>
      </c>
    </row>
    <row r="3" spans="1:2" x14ac:dyDescent="0.25">
      <c r="A3" s="8" t="s">
        <v>138</v>
      </c>
      <c r="B3" s="41">
        <v>10</v>
      </c>
    </row>
    <row r="4" spans="1:2" x14ac:dyDescent="0.25">
      <c r="A4" s="8" t="s">
        <v>139</v>
      </c>
      <c r="B4" s="41">
        <v>10</v>
      </c>
    </row>
    <row r="5" spans="1:2" x14ac:dyDescent="0.25">
      <c r="A5" s="8" t="s">
        <v>140</v>
      </c>
      <c r="B5" s="41">
        <v>10</v>
      </c>
    </row>
    <row r="6" spans="1:2" x14ac:dyDescent="0.25">
      <c r="A6" s="8" t="s">
        <v>141</v>
      </c>
      <c r="B6" s="41">
        <v>10</v>
      </c>
    </row>
    <row r="7" spans="1:2" x14ac:dyDescent="0.25">
      <c r="A7" s="8" t="s">
        <v>142</v>
      </c>
      <c r="B7" s="41">
        <v>10</v>
      </c>
    </row>
  </sheetData>
  <sheetProtection algorithmName="SHA-512" hashValue="YTrXHsnirT/bsP+7+uMgpWAhdccKC9Qo1FzXrh2XswY271EWOG0bFZHop7LfSCGKI/uyxD63LS8xZgES2J7SsQ==" saltValue="F9kdn6b4UaX+yMB6vvKJXg==" spinCount="100000" sheet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143</v>
      </c>
      <c r="B1" s="36" t="s">
        <v>144</v>
      </c>
      <c r="C1" s="36" t="s">
        <v>145</v>
      </c>
      <c r="D1" s="36" t="s">
        <v>146</v>
      </c>
      <c r="E1" s="36" t="s">
        <v>147</v>
      </c>
    </row>
    <row r="2" spans="1:5" ht="13" customHeight="1" x14ac:dyDescent="0.3">
      <c r="A2" s="34" t="s">
        <v>148</v>
      </c>
      <c r="B2" s="32" t="s">
        <v>90</v>
      </c>
      <c r="C2" s="47"/>
      <c r="D2" s="47"/>
      <c r="E2" s="38" t="str">
        <f>IF(E$7="","",E$7)</f>
        <v/>
      </c>
    </row>
    <row r="3" spans="1:5" x14ac:dyDescent="0.25">
      <c r="B3" s="32" t="s">
        <v>67</v>
      </c>
      <c r="C3" s="47"/>
      <c r="D3" s="47" t="s">
        <v>149</v>
      </c>
      <c r="E3" s="38" t="str">
        <f>IF(E$7="","",E$7)</f>
        <v/>
      </c>
    </row>
    <row r="4" spans="1:5" x14ac:dyDescent="0.25">
      <c r="B4" s="32" t="s">
        <v>77</v>
      </c>
      <c r="C4" s="47"/>
      <c r="D4" s="47" t="s">
        <v>149</v>
      </c>
      <c r="E4" s="38" t="str">
        <f>IF(E$7="","",E$7)</f>
        <v/>
      </c>
    </row>
    <row r="5" spans="1:5" x14ac:dyDescent="0.25">
      <c r="B5" s="32" t="s">
        <v>78</v>
      </c>
      <c r="C5" s="47"/>
      <c r="D5" s="47" t="s">
        <v>149</v>
      </c>
      <c r="E5" s="38" t="str">
        <f>IF(E$7="","",E$7)</f>
        <v/>
      </c>
    </row>
    <row r="6" spans="1:5" x14ac:dyDescent="0.25">
      <c r="B6" s="32" t="s">
        <v>79</v>
      </c>
      <c r="C6" s="47"/>
      <c r="D6" s="47" t="s">
        <v>149</v>
      </c>
      <c r="E6" s="38" t="str">
        <f>IF(E$7="","",E$7)</f>
        <v/>
      </c>
    </row>
    <row r="7" spans="1:5" x14ac:dyDescent="0.25">
      <c r="B7" s="32" t="s">
        <v>150</v>
      </c>
      <c r="C7" s="31"/>
      <c r="D7" s="30"/>
      <c r="E7" s="47"/>
    </row>
    <row r="9" spans="1:5" ht="13" customHeight="1" x14ac:dyDescent="0.3">
      <c r="A9" s="34" t="s">
        <v>151</v>
      </c>
      <c r="B9" s="32" t="s">
        <v>90</v>
      </c>
      <c r="C9" s="47"/>
      <c r="D9" s="47"/>
      <c r="E9" s="38" t="str">
        <f>IF(E$7="","",E$7)</f>
        <v/>
      </c>
    </row>
    <row r="10" spans="1:5" x14ac:dyDescent="0.25">
      <c r="B10" s="32" t="s">
        <v>67</v>
      </c>
      <c r="C10" s="47"/>
      <c r="D10" s="47"/>
      <c r="E10" s="38" t="str">
        <f>IF(E$7="","",E$7)</f>
        <v/>
      </c>
    </row>
    <row r="11" spans="1:5" x14ac:dyDescent="0.25">
      <c r="B11" s="32" t="s">
        <v>77</v>
      </c>
      <c r="C11" s="47"/>
      <c r="D11" s="47"/>
      <c r="E11" s="38" t="str">
        <f>IF(E$7="","",E$7)</f>
        <v/>
      </c>
    </row>
    <row r="12" spans="1:5" x14ac:dyDescent="0.25">
      <c r="B12" s="32" t="s">
        <v>78</v>
      </c>
      <c r="C12" s="47"/>
      <c r="D12" s="47" t="s">
        <v>149</v>
      </c>
      <c r="E12" s="38" t="str">
        <f>IF(E$7="","",E$7)</f>
        <v/>
      </c>
    </row>
    <row r="13" spans="1:5" x14ac:dyDescent="0.25">
      <c r="B13" s="32" t="s">
        <v>79</v>
      </c>
      <c r="C13" s="47"/>
      <c r="D13" s="47" t="s">
        <v>149</v>
      </c>
      <c r="E13" s="38" t="str">
        <f>IF(E$7="","",E$7)</f>
        <v/>
      </c>
    </row>
    <row r="14" spans="1:5" x14ac:dyDescent="0.25">
      <c r="B14" s="32" t="s">
        <v>150</v>
      </c>
      <c r="C14" s="31"/>
      <c r="D14" s="30"/>
      <c r="E14" s="47"/>
    </row>
    <row r="16" spans="1:5" ht="13" customHeight="1" x14ac:dyDescent="0.3">
      <c r="A16" s="34" t="s">
        <v>152</v>
      </c>
      <c r="B16" s="32" t="s">
        <v>90</v>
      </c>
      <c r="C16" s="47"/>
      <c r="D16" s="47" t="s">
        <v>149</v>
      </c>
      <c r="E16" s="38" t="str">
        <f>IF(E$7="","",E$7)</f>
        <v/>
      </c>
    </row>
    <row r="17" spans="2:5" x14ac:dyDescent="0.25">
      <c r="B17" s="32" t="s">
        <v>67</v>
      </c>
      <c r="C17" s="47"/>
      <c r="D17" s="47" t="s">
        <v>149</v>
      </c>
      <c r="E17" s="38" t="str">
        <f>IF(E$7="","",E$7)</f>
        <v/>
      </c>
    </row>
    <row r="18" spans="2:5" x14ac:dyDescent="0.25">
      <c r="B18" s="32" t="s">
        <v>77</v>
      </c>
      <c r="C18" s="47"/>
      <c r="D18" s="47" t="s">
        <v>149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149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149</v>
      </c>
      <c r="E20" s="38" t="str">
        <f>IF(E$7="","",E$7)</f>
        <v/>
      </c>
    </row>
    <row r="21" spans="2:5" x14ac:dyDescent="0.25">
      <c r="B21" s="32" t="s">
        <v>150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1</v>
      </c>
      <c r="B1" s="36" t="s">
        <v>153</v>
      </c>
      <c r="C1" s="40" t="s">
        <v>154</v>
      </c>
      <c r="D1" s="40" t="s">
        <v>155</v>
      </c>
    </row>
    <row r="2" spans="1:4" ht="13" customHeight="1" x14ac:dyDescent="0.3">
      <c r="A2" s="40" t="s">
        <v>156</v>
      </c>
      <c r="B2" s="32" t="s">
        <v>157</v>
      </c>
      <c r="C2" s="32" t="s">
        <v>158</v>
      </c>
      <c r="D2" s="47"/>
    </row>
    <row r="3" spans="1:4" ht="13" customHeight="1" x14ac:dyDescent="0.3">
      <c r="A3" s="40" t="s">
        <v>159</v>
      </c>
      <c r="B3" s="32" t="s">
        <v>145</v>
      </c>
      <c r="C3" s="32" t="s">
        <v>160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topLeftCell="A24" zoomScale="70" zoomScaleNormal="70" workbookViewId="0">
      <selection activeCell="B30" sqref="B30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156</v>
      </c>
      <c r="B1" s="22" t="str">
        <f>"Baseline ("&amp;start_year&amp;") coverage"</f>
        <v>Baseline (2024) coverage</v>
      </c>
      <c r="C1" s="22" t="s">
        <v>161</v>
      </c>
      <c r="D1" s="22" t="s">
        <v>162</v>
      </c>
      <c r="E1" s="22" t="s">
        <v>163</v>
      </c>
      <c r="F1" s="22" t="s">
        <v>164</v>
      </c>
      <c r="G1" s="22" t="s">
        <v>165</v>
      </c>
    </row>
    <row r="2" spans="1:7" ht="15.75" customHeight="1" x14ac:dyDescent="0.25">
      <c r="A2" s="5" t="s">
        <v>166</v>
      </c>
      <c r="B2" s="45">
        <v>0</v>
      </c>
      <c r="C2" s="98">
        <v>0.95</v>
      </c>
      <c r="D2" s="56">
        <v>62.714780124614677</v>
      </c>
      <c r="E2" s="56" t="s">
        <v>167</v>
      </c>
      <c r="F2" s="98">
        <v>1</v>
      </c>
      <c r="G2" s="98">
        <v>1</v>
      </c>
    </row>
    <row r="3" spans="1:7" ht="15.75" customHeight="1" x14ac:dyDescent="0.25">
      <c r="A3" s="5" t="s">
        <v>168</v>
      </c>
      <c r="B3" s="45">
        <v>0.51947830035999998</v>
      </c>
      <c r="C3" s="98">
        <v>0.95</v>
      </c>
      <c r="D3" s="56">
        <v>39.985147042964151</v>
      </c>
      <c r="E3" s="56" t="s">
        <v>167</v>
      </c>
      <c r="F3" s="98">
        <v>1</v>
      </c>
      <c r="G3" s="98">
        <v>1</v>
      </c>
    </row>
    <row r="4" spans="1:7" ht="15.75" customHeight="1" x14ac:dyDescent="0.25">
      <c r="A4" s="5" t="s">
        <v>169</v>
      </c>
      <c r="B4" s="98">
        <v>0</v>
      </c>
      <c r="C4" s="98">
        <v>0.95</v>
      </c>
      <c r="D4" s="56">
        <v>487.85757913726337</v>
      </c>
      <c r="E4" s="56" t="s">
        <v>167</v>
      </c>
      <c r="F4" s="98">
        <v>1</v>
      </c>
      <c r="G4" s="98">
        <v>1</v>
      </c>
    </row>
    <row r="5" spans="1:7" ht="15.75" customHeight="1" x14ac:dyDescent="0.25">
      <c r="A5" s="5" t="s">
        <v>170</v>
      </c>
      <c r="B5" s="98">
        <v>0</v>
      </c>
      <c r="C5" s="98">
        <v>0.95</v>
      </c>
      <c r="D5" s="56">
        <v>1.737860170244969</v>
      </c>
      <c r="E5" s="56" t="s">
        <v>167</v>
      </c>
      <c r="F5" s="98">
        <v>1</v>
      </c>
      <c r="G5" s="98">
        <v>1</v>
      </c>
    </row>
    <row r="6" spans="1:7" ht="15.75" customHeight="1" x14ac:dyDescent="0.25">
      <c r="A6" s="5" t="s">
        <v>171</v>
      </c>
      <c r="B6" s="98">
        <v>0</v>
      </c>
      <c r="C6" s="98">
        <v>0.95</v>
      </c>
      <c r="D6" s="56">
        <v>99.99</v>
      </c>
      <c r="E6" s="56" t="s">
        <v>167</v>
      </c>
      <c r="F6" s="98">
        <v>1</v>
      </c>
      <c r="G6" s="98">
        <v>1</v>
      </c>
    </row>
    <row r="7" spans="1:7" ht="15.75" customHeight="1" x14ac:dyDescent="0.25">
      <c r="A7" s="5" t="s">
        <v>172</v>
      </c>
      <c r="B7" s="98">
        <v>0</v>
      </c>
      <c r="C7" s="98">
        <v>0.95</v>
      </c>
      <c r="D7" s="56">
        <v>99.99</v>
      </c>
      <c r="E7" s="56" t="s">
        <v>167</v>
      </c>
      <c r="F7" s="98">
        <v>1</v>
      </c>
      <c r="G7" s="98">
        <v>1</v>
      </c>
    </row>
    <row r="8" spans="1:7" ht="15.75" customHeight="1" x14ac:dyDescent="0.25">
      <c r="A8" s="5" t="s">
        <v>173</v>
      </c>
      <c r="B8" s="98">
        <v>0</v>
      </c>
      <c r="C8" s="98">
        <v>0.95</v>
      </c>
      <c r="D8" s="56">
        <v>99.99</v>
      </c>
      <c r="E8" s="56" t="s">
        <v>167</v>
      </c>
      <c r="F8" s="98">
        <v>1</v>
      </c>
      <c r="G8" s="98">
        <v>1</v>
      </c>
    </row>
    <row r="9" spans="1:7" ht="15.75" customHeight="1" x14ac:dyDescent="0.25">
      <c r="A9" s="5" t="s">
        <v>174</v>
      </c>
      <c r="B9" s="98">
        <v>0</v>
      </c>
      <c r="C9" s="98">
        <v>0.95</v>
      </c>
      <c r="D9" s="56">
        <v>99.99</v>
      </c>
      <c r="E9" s="56" t="s">
        <v>167</v>
      </c>
      <c r="F9" s="98">
        <v>1</v>
      </c>
      <c r="G9" s="98">
        <v>1</v>
      </c>
    </row>
    <row r="10" spans="1:7" ht="15.75" customHeight="1" x14ac:dyDescent="0.25">
      <c r="A10" s="11" t="s">
        <v>175</v>
      </c>
      <c r="B10" s="45">
        <v>0</v>
      </c>
      <c r="C10" s="98">
        <v>0.95</v>
      </c>
      <c r="D10" s="56">
        <v>13.117446486760061</v>
      </c>
      <c r="E10" s="56" t="s">
        <v>167</v>
      </c>
      <c r="F10" s="98">
        <v>1</v>
      </c>
      <c r="G10" s="98">
        <v>1</v>
      </c>
    </row>
    <row r="11" spans="1:7" ht="15.75" customHeight="1" x14ac:dyDescent="0.25">
      <c r="A11" s="11" t="s">
        <v>176</v>
      </c>
      <c r="B11" s="98">
        <v>0</v>
      </c>
      <c r="C11" s="98">
        <v>0.95</v>
      </c>
      <c r="D11" s="56">
        <v>13.117446486760061</v>
      </c>
      <c r="E11" s="56" t="s">
        <v>167</v>
      </c>
      <c r="F11" s="98">
        <v>1</v>
      </c>
      <c r="G11" s="98">
        <v>1</v>
      </c>
    </row>
    <row r="12" spans="1:7" ht="15.75" customHeight="1" x14ac:dyDescent="0.25">
      <c r="A12" s="11" t="s">
        <v>177</v>
      </c>
      <c r="B12" s="98">
        <v>0</v>
      </c>
      <c r="C12" s="98">
        <v>0.95</v>
      </c>
      <c r="D12" s="56">
        <v>13.117446486760061</v>
      </c>
      <c r="E12" s="56" t="s">
        <v>167</v>
      </c>
      <c r="F12" s="98">
        <v>1</v>
      </c>
      <c r="G12" s="98">
        <v>1</v>
      </c>
    </row>
    <row r="13" spans="1:7" ht="15.75" customHeight="1" x14ac:dyDescent="0.25">
      <c r="A13" s="11" t="s">
        <v>178</v>
      </c>
      <c r="B13" s="98">
        <v>0</v>
      </c>
      <c r="C13" s="98">
        <v>0.95</v>
      </c>
      <c r="D13" s="56">
        <v>13.117446486760061</v>
      </c>
      <c r="E13" s="56" t="s">
        <v>167</v>
      </c>
      <c r="F13" s="98">
        <v>1</v>
      </c>
      <c r="G13" s="98">
        <v>1</v>
      </c>
    </row>
    <row r="14" spans="1:7" ht="15.75" customHeight="1" x14ac:dyDescent="0.25">
      <c r="A14" s="5" t="s">
        <v>179</v>
      </c>
      <c r="B14" s="45">
        <v>0</v>
      </c>
      <c r="C14" s="98">
        <v>0.95</v>
      </c>
      <c r="D14" s="56">
        <v>13.117446486760061</v>
      </c>
      <c r="E14" s="56" t="s">
        <v>167</v>
      </c>
      <c r="F14" s="98">
        <v>1</v>
      </c>
      <c r="G14" s="98">
        <v>1</v>
      </c>
    </row>
    <row r="15" spans="1:7" ht="15.75" customHeight="1" x14ac:dyDescent="0.25">
      <c r="A15" s="5" t="s">
        <v>180</v>
      </c>
      <c r="B15" s="98">
        <v>0</v>
      </c>
      <c r="C15" s="98">
        <v>0.95</v>
      </c>
      <c r="D15" s="56">
        <v>13.117446486760061</v>
      </c>
      <c r="E15" s="56" t="s">
        <v>167</v>
      </c>
      <c r="F15" s="98">
        <v>1</v>
      </c>
      <c r="G15" s="98">
        <v>1</v>
      </c>
    </row>
    <row r="16" spans="1:7" ht="15.75" customHeight="1" x14ac:dyDescent="0.25">
      <c r="A16" s="5" t="s">
        <v>181</v>
      </c>
      <c r="B16" s="45">
        <v>0.93</v>
      </c>
      <c r="C16" s="98">
        <v>0.95</v>
      </c>
      <c r="D16" s="56">
        <v>0.82421228665541357</v>
      </c>
      <c r="E16" s="56" t="s">
        <v>167</v>
      </c>
      <c r="F16" s="98">
        <v>1</v>
      </c>
      <c r="G16" s="98">
        <v>1</v>
      </c>
    </row>
    <row r="17" spans="1:7" ht="15.75" customHeight="1" x14ac:dyDescent="0.25">
      <c r="A17" s="5" t="s">
        <v>182</v>
      </c>
      <c r="B17" s="98">
        <v>0.35908333333333298</v>
      </c>
      <c r="C17" s="98">
        <v>0.95</v>
      </c>
      <c r="D17" s="56">
        <v>0.1369044839662158</v>
      </c>
      <c r="E17" s="56" t="s">
        <v>167</v>
      </c>
      <c r="F17" s="98">
        <v>1</v>
      </c>
      <c r="G17" s="98">
        <v>1</v>
      </c>
    </row>
    <row r="18" spans="1:7" ht="15.9" customHeight="1" x14ac:dyDescent="0.25">
      <c r="A18" s="5" t="s">
        <v>148</v>
      </c>
      <c r="B18" s="98">
        <v>0.21100871715</v>
      </c>
      <c r="C18" s="98">
        <v>0.95</v>
      </c>
      <c r="D18" s="56">
        <v>11.224756739744929</v>
      </c>
      <c r="E18" s="56" t="s">
        <v>167</v>
      </c>
      <c r="F18" s="98">
        <v>1</v>
      </c>
      <c r="G18" s="98">
        <v>1</v>
      </c>
    </row>
    <row r="19" spans="1:7" ht="15.75" customHeight="1" x14ac:dyDescent="0.25">
      <c r="A19" s="5" t="s">
        <v>151</v>
      </c>
      <c r="B19" s="98">
        <v>0.86552600000000002</v>
      </c>
      <c r="C19" s="98">
        <v>0.95</v>
      </c>
      <c r="D19" s="56">
        <v>11.224756739744929</v>
      </c>
      <c r="E19" s="56" t="s">
        <v>167</v>
      </c>
      <c r="F19" s="98">
        <v>1</v>
      </c>
      <c r="G19" s="98">
        <v>1</v>
      </c>
    </row>
    <row r="20" spans="1:7" ht="15.75" customHeight="1" x14ac:dyDescent="0.25">
      <c r="A20" s="5" t="s">
        <v>152</v>
      </c>
      <c r="B20" s="98">
        <v>0</v>
      </c>
      <c r="C20" s="98">
        <v>0.95</v>
      </c>
      <c r="D20" s="56">
        <v>99.99</v>
      </c>
      <c r="E20" s="56" t="s">
        <v>167</v>
      </c>
      <c r="F20" s="98">
        <v>1</v>
      </c>
      <c r="G20" s="98">
        <v>1</v>
      </c>
    </row>
    <row r="21" spans="1:7" ht="15.75" customHeight="1" x14ac:dyDescent="0.25">
      <c r="A21" s="5" t="s">
        <v>183</v>
      </c>
      <c r="B21" s="45">
        <v>0.83723100000000006</v>
      </c>
      <c r="C21" s="98">
        <v>0.95</v>
      </c>
      <c r="D21" s="56">
        <v>16.982553632802741</v>
      </c>
      <c r="E21" s="56" t="s">
        <v>167</v>
      </c>
      <c r="F21" s="98">
        <v>1</v>
      </c>
      <c r="G21" s="98">
        <v>1</v>
      </c>
    </row>
    <row r="22" spans="1:7" ht="15.75" customHeight="1" x14ac:dyDescent="0.25">
      <c r="A22" s="5" t="s">
        <v>184</v>
      </c>
      <c r="B22" s="98">
        <v>0</v>
      </c>
      <c r="C22" s="98">
        <v>0.95</v>
      </c>
      <c r="D22" s="56">
        <v>22.691717425670902</v>
      </c>
      <c r="E22" s="56" t="s">
        <v>167</v>
      </c>
      <c r="F22" s="98">
        <v>1</v>
      </c>
      <c r="G22" s="98">
        <v>1</v>
      </c>
    </row>
    <row r="23" spans="1:7" ht="15.75" customHeight="1" x14ac:dyDescent="0.25">
      <c r="A23" s="5" t="s">
        <v>185</v>
      </c>
      <c r="B23" s="98">
        <v>0</v>
      </c>
      <c r="C23" s="98">
        <v>0.95</v>
      </c>
      <c r="D23" s="56">
        <v>4.3451295640787793</v>
      </c>
      <c r="E23" s="56" t="s">
        <v>167</v>
      </c>
      <c r="F23" s="98">
        <v>1</v>
      </c>
      <c r="G23" s="98">
        <v>1</v>
      </c>
    </row>
    <row r="24" spans="1:7" ht="15.75" customHeight="1" x14ac:dyDescent="0.25">
      <c r="A24" s="5" t="s">
        <v>186</v>
      </c>
      <c r="B24" s="45">
        <v>0.95757159282245996</v>
      </c>
      <c r="C24" s="98">
        <v>0.95</v>
      </c>
      <c r="D24" s="56">
        <v>99.99</v>
      </c>
      <c r="E24" s="56" t="s">
        <v>167</v>
      </c>
      <c r="F24" s="98">
        <v>1</v>
      </c>
      <c r="G24" s="98">
        <v>1</v>
      </c>
    </row>
    <row r="25" spans="1:7" ht="15.75" customHeight="1" x14ac:dyDescent="0.25">
      <c r="A25" s="5" t="s">
        <v>187</v>
      </c>
      <c r="B25" s="98">
        <v>0</v>
      </c>
      <c r="C25" s="98">
        <v>0.95</v>
      </c>
      <c r="D25" s="56">
        <v>99.99</v>
      </c>
      <c r="E25" s="56" t="s">
        <v>167</v>
      </c>
      <c r="F25" s="98">
        <v>1</v>
      </c>
      <c r="G25" s="98">
        <v>1</v>
      </c>
    </row>
    <row r="26" spans="1:7" ht="15.75" customHeight="1" x14ac:dyDescent="0.25">
      <c r="A26" s="5" t="s">
        <v>188</v>
      </c>
      <c r="B26" s="45">
        <v>0</v>
      </c>
      <c r="C26" s="98">
        <v>0.95</v>
      </c>
      <c r="D26" s="56">
        <v>99.99</v>
      </c>
      <c r="E26" s="56" t="s">
        <v>167</v>
      </c>
      <c r="F26" s="98">
        <v>1</v>
      </c>
      <c r="G26" s="98">
        <v>1</v>
      </c>
    </row>
    <row r="27" spans="1:7" ht="15.75" customHeight="1" x14ac:dyDescent="0.25">
      <c r="A27" s="5" t="s">
        <v>189</v>
      </c>
      <c r="B27" s="45">
        <v>0</v>
      </c>
      <c r="C27" s="98">
        <v>0.95</v>
      </c>
      <c r="D27" s="56">
        <v>18.676662605887799</v>
      </c>
      <c r="E27" s="56" t="s">
        <v>167</v>
      </c>
      <c r="F27" s="98">
        <v>1</v>
      </c>
      <c r="G27" s="98">
        <v>1</v>
      </c>
    </row>
    <row r="28" spans="1:7" ht="15.75" customHeight="1" x14ac:dyDescent="0.25">
      <c r="A28" s="5" t="s">
        <v>190</v>
      </c>
      <c r="B28" s="45">
        <v>0.78155029906684503</v>
      </c>
      <c r="C28" s="98">
        <v>0.95</v>
      </c>
      <c r="D28" s="56">
        <v>99.99</v>
      </c>
      <c r="E28" s="56" t="s">
        <v>167</v>
      </c>
      <c r="F28" s="98">
        <v>1</v>
      </c>
      <c r="G28" s="98">
        <v>1</v>
      </c>
    </row>
    <row r="29" spans="1:7" ht="15.75" customHeight="1" x14ac:dyDescent="0.25">
      <c r="A29" s="5" t="s">
        <v>191</v>
      </c>
      <c r="B29" s="45">
        <v>0</v>
      </c>
      <c r="C29" s="98">
        <v>0.95</v>
      </c>
      <c r="D29" s="56">
        <v>124.34168065842491</v>
      </c>
      <c r="E29" s="56" t="s">
        <v>167</v>
      </c>
      <c r="F29" s="98">
        <v>1</v>
      </c>
      <c r="G29" s="98">
        <v>1</v>
      </c>
    </row>
    <row r="30" spans="1:7" ht="15.75" customHeight="1" x14ac:dyDescent="0.25">
      <c r="A30" s="5" t="s">
        <v>192</v>
      </c>
      <c r="B30" s="98">
        <v>0</v>
      </c>
      <c r="C30" s="98">
        <v>0.95</v>
      </c>
      <c r="D30" s="56">
        <v>99</v>
      </c>
      <c r="E30" s="56" t="s">
        <v>167</v>
      </c>
      <c r="F30" s="98">
        <v>1</v>
      </c>
      <c r="G30" s="98">
        <v>1</v>
      </c>
    </row>
    <row r="31" spans="1:7" ht="15.75" customHeight="1" x14ac:dyDescent="0.25">
      <c r="A31" s="5" t="s">
        <v>157</v>
      </c>
      <c r="B31" s="45">
        <v>0</v>
      </c>
      <c r="C31" s="98">
        <v>0.95</v>
      </c>
      <c r="D31" s="56">
        <v>0.50502277771952597</v>
      </c>
      <c r="E31" s="56" t="s">
        <v>167</v>
      </c>
      <c r="F31" s="98">
        <v>1</v>
      </c>
      <c r="G31" s="98">
        <v>1</v>
      </c>
    </row>
    <row r="32" spans="1:7" ht="15.75" customHeight="1" x14ac:dyDescent="0.25">
      <c r="A32" s="5" t="s">
        <v>193</v>
      </c>
      <c r="B32" s="45">
        <v>0</v>
      </c>
      <c r="C32" s="98">
        <v>0.95</v>
      </c>
      <c r="D32" s="56">
        <v>1.780535588985835</v>
      </c>
      <c r="E32" s="56" t="s">
        <v>167</v>
      </c>
      <c r="F32" s="98">
        <v>1</v>
      </c>
      <c r="G32" s="98">
        <v>1</v>
      </c>
    </row>
    <row r="33" spans="1:7" ht="15.75" customHeight="1" x14ac:dyDescent="0.25">
      <c r="A33" s="5" t="s">
        <v>194</v>
      </c>
      <c r="B33" s="45">
        <v>0</v>
      </c>
      <c r="C33" s="98">
        <v>0.95</v>
      </c>
      <c r="D33" s="56">
        <v>99.99</v>
      </c>
      <c r="E33" s="56" t="s">
        <v>167</v>
      </c>
      <c r="F33" s="98">
        <v>1</v>
      </c>
      <c r="G33" s="98">
        <v>1</v>
      </c>
    </row>
    <row r="34" spans="1:7" ht="15.75" customHeight="1" x14ac:dyDescent="0.25">
      <c r="A34" s="5" t="s">
        <v>195</v>
      </c>
      <c r="B34" s="45">
        <v>0</v>
      </c>
      <c r="C34" s="98">
        <v>0.95</v>
      </c>
      <c r="D34" s="56">
        <v>99.99</v>
      </c>
      <c r="E34" s="56" t="s">
        <v>167</v>
      </c>
      <c r="F34" s="98">
        <v>1</v>
      </c>
      <c r="G34" s="98">
        <v>1</v>
      </c>
    </row>
    <row r="35" spans="1:7" ht="15.75" customHeight="1" x14ac:dyDescent="0.25">
      <c r="A35" s="5" t="s">
        <v>196</v>
      </c>
      <c r="B35" s="98">
        <v>0</v>
      </c>
      <c r="C35" s="98">
        <v>0.95</v>
      </c>
      <c r="D35" s="56">
        <v>99.99</v>
      </c>
      <c r="E35" s="56" t="s">
        <v>167</v>
      </c>
      <c r="F35" s="98">
        <v>1</v>
      </c>
      <c r="G35" s="98">
        <v>1</v>
      </c>
    </row>
    <row r="36" spans="1:7" ht="15.75" customHeight="1" x14ac:dyDescent="0.25">
      <c r="A36" s="5" t="s">
        <v>197</v>
      </c>
      <c r="B36" s="45">
        <v>0</v>
      </c>
      <c r="C36" s="98">
        <v>0.95</v>
      </c>
      <c r="D36" s="56">
        <v>99.99</v>
      </c>
      <c r="E36" s="56" t="s">
        <v>167</v>
      </c>
      <c r="F36" s="98">
        <v>1</v>
      </c>
      <c r="G36" s="98">
        <v>1</v>
      </c>
    </row>
    <row r="37" spans="1:7" ht="15.75" customHeight="1" x14ac:dyDescent="0.25">
      <c r="A37" s="5" t="s">
        <v>198</v>
      </c>
      <c r="B37" s="45">
        <v>0</v>
      </c>
      <c r="C37" s="98">
        <v>0.95</v>
      </c>
      <c r="D37" s="56">
        <v>99.99</v>
      </c>
      <c r="E37" s="56" t="s">
        <v>167</v>
      </c>
      <c r="F37" s="98">
        <v>1</v>
      </c>
      <c r="G37" s="98">
        <v>1</v>
      </c>
    </row>
    <row r="38" spans="1:7" ht="15.75" customHeight="1" x14ac:dyDescent="0.25">
      <c r="A38" s="5" t="s">
        <v>199</v>
      </c>
      <c r="B38" s="45">
        <v>0.64137739999999999</v>
      </c>
      <c r="C38" s="98">
        <v>0.95</v>
      </c>
      <c r="D38" s="56">
        <v>1.723279552412311</v>
      </c>
      <c r="E38" s="56" t="s">
        <v>167</v>
      </c>
      <c r="F38" s="98">
        <v>1</v>
      </c>
      <c r="G38" s="98">
        <v>1</v>
      </c>
    </row>
    <row r="39" spans="1:7" ht="15.75" customHeight="1" x14ac:dyDescent="0.25">
      <c r="A39" s="5" t="s">
        <v>200</v>
      </c>
      <c r="B39" s="45">
        <v>0</v>
      </c>
      <c r="C39" s="98">
        <v>0.95</v>
      </c>
      <c r="D39" s="56">
        <v>99.99</v>
      </c>
      <c r="E39" s="56" t="s">
        <v>167</v>
      </c>
      <c r="F39" s="98">
        <v>1</v>
      </c>
      <c r="G39" s="98">
        <v>1</v>
      </c>
    </row>
  </sheetData>
  <sheetProtection algorithmName="SHA-512" hashValue="SwqShMKjZ/Tc3FrdHQz/MjdsWftRTk85s02s32k0tDk98bBhXaGhkqbuII/OivPUJtqXOhQ4ck/oX/RBAeMIgQ==" saltValue="RORLzDUZEp7fquGh4DZ5h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workbookViewId="0">
      <selection activeCell="B12" sqref="B12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156</v>
      </c>
      <c r="B1" s="4" t="s">
        <v>201</v>
      </c>
      <c r="C1" s="4" t="s">
        <v>202</v>
      </c>
    </row>
    <row r="2" spans="1:3" x14ac:dyDescent="0.25">
      <c r="A2" s="57" t="s">
        <v>179</v>
      </c>
      <c r="B2" s="47" t="s">
        <v>189</v>
      </c>
      <c r="C2" s="47"/>
    </row>
    <row r="3" spans="1:3" x14ac:dyDescent="0.25">
      <c r="A3" s="57" t="s">
        <v>180</v>
      </c>
      <c r="B3" s="47" t="s">
        <v>189</v>
      </c>
      <c r="C3" s="47"/>
    </row>
    <row r="4" spans="1:3" x14ac:dyDescent="0.25">
      <c r="A4" s="57" t="s">
        <v>191</v>
      </c>
      <c r="B4" s="47" t="s">
        <v>184</v>
      </c>
      <c r="C4" s="47"/>
    </row>
    <row r="5" spans="1:3" x14ac:dyDescent="0.25">
      <c r="A5" s="57" t="s">
        <v>188</v>
      </c>
      <c r="B5" s="47" t="s">
        <v>184</v>
      </c>
      <c r="C5" s="47"/>
    </row>
    <row r="6" spans="1:3" x14ac:dyDescent="0.25">
      <c r="A6" s="57" t="s">
        <v>191</v>
      </c>
      <c r="B6" s="58" t="s">
        <v>192</v>
      </c>
      <c r="C6" s="58"/>
    </row>
    <row r="7" spans="1:3" x14ac:dyDescent="0.25">
      <c r="A7" s="57" t="s">
        <v>188</v>
      </c>
      <c r="B7" s="58" t="s">
        <v>192</v>
      </c>
      <c r="C7" s="58"/>
    </row>
    <row r="8" spans="1:3" x14ac:dyDescent="0.25">
      <c r="A8" s="57" t="s">
        <v>200</v>
      </c>
      <c r="B8" s="58" t="s">
        <v>192</v>
      </c>
      <c r="C8" s="58"/>
    </row>
    <row r="9" spans="1:3" x14ac:dyDescent="0.25">
      <c r="A9" s="57" t="s">
        <v>193</v>
      </c>
      <c r="B9" s="58" t="s">
        <v>192</v>
      </c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6" sqref="A6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156</v>
      </c>
    </row>
    <row r="2" spans="1:1" x14ac:dyDescent="0.25">
      <c r="A2" s="33" t="s">
        <v>171</v>
      </c>
    </row>
    <row r="3" spans="1:1" x14ac:dyDescent="0.25">
      <c r="A3" s="33" t="s">
        <v>181</v>
      </c>
    </row>
    <row r="4" spans="1:1" x14ac:dyDescent="0.25">
      <c r="A4" s="33" t="s">
        <v>185</v>
      </c>
    </row>
    <row r="5" spans="1:1" x14ac:dyDescent="0.25">
      <c r="A5" s="33" t="s">
        <v>194</v>
      </c>
    </row>
    <row r="6" spans="1:1" x14ac:dyDescent="0.25">
      <c r="A6" s="33" t="s">
        <v>195</v>
      </c>
    </row>
    <row r="7" spans="1:1" x14ac:dyDescent="0.25">
      <c r="A7" s="33" t="s">
        <v>196</v>
      </c>
    </row>
    <row r="8" spans="1:1" x14ac:dyDescent="0.25">
      <c r="A8" s="33" t="s">
        <v>197</v>
      </c>
    </row>
    <row r="9" spans="1:1" x14ac:dyDescent="0.25">
      <c r="A9" s="33" t="s">
        <v>198</v>
      </c>
    </row>
    <row r="10" spans="1:1" x14ac:dyDescent="0.25">
      <c r="A10" s="33"/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workbookViewId="0">
      <selection activeCell="F8" sqref="F8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203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3.2</v>
      </c>
      <c r="C2" s="21">
        <f>'Baseline year population inputs'!C52</f>
        <v>3.2</v>
      </c>
      <c r="D2" s="21">
        <f>'Baseline year population inputs'!C53</f>
        <v>3.2</v>
      </c>
      <c r="E2" s="21">
        <f>'Baseline year population inputs'!C54</f>
        <v>3.2</v>
      </c>
      <c r="F2" s="21">
        <f>'Baseline year population inputs'!C55</f>
        <v>3.2</v>
      </c>
    </row>
    <row r="3" spans="1:6" ht="15.75" customHeight="1" x14ac:dyDescent="0.25">
      <c r="A3" s="3" t="s">
        <v>204</v>
      </c>
      <c r="B3" s="21">
        <f>frac_mam_1month * 2.6</f>
        <v>7.6951063835616368E-2</v>
      </c>
      <c r="C3" s="21">
        <f>frac_mam_1_5months * 2.6</f>
        <v>7.6951063835616368E-2</v>
      </c>
      <c r="D3" s="21">
        <f>frac_mam_6_11months * 2.6</f>
        <v>6.773986945945934E-2</v>
      </c>
      <c r="E3" s="21">
        <f>frac_mam_12_23months * 2.6</f>
        <v>4.4810156756756821E-2</v>
      </c>
      <c r="F3" s="21">
        <f>frac_mam_24_59months * 2.6</f>
        <v>3.438349270270278E-2</v>
      </c>
    </row>
    <row r="4" spans="1:6" ht="15.75" customHeight="1" x14ac:dyDescent="0.25">
      <c r="A4" s="3" t="s">
        <v>205</v>
      </c>
      <c r="B4" s="21">
        <f>frac_sam_1month * 2.6</f>
        <v>4.6666666301369918E-2</v>
      </c>
      <c r="C4" s="21">
        <f>frac_sam_1_5months * 2.6</f>
        <v>4.6666666301369918E-2</v>
      </c>
      <c r="D4" s="21">
        <f>frac_sam_6_11months * 2.6</f>
        <v>2.830857162162172E-2</v>
      </c>
      <c r="E4" s="21">
        <f>frac_sam_12_23months * 2.6</f>
        <v>1.935467780821918E-2</v>
      </c>
      <c r="F4" s="21">
        <f>frac_sam_24_59months * 2.6</f>
        <v>1.1894532702702703E-2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169</v>
      </c>
      <c r="C2" s="60">
        <v>0</v>
      </c>
      <c r="D2" s="60">
        <f>food_insecure</f>
        <v>1.7000000000000001E-2</v>
      </c>
      <c r="E2" s="60">
        <f>food_insecure</f>
        <v>1.7000000000000001E-2</v>
      </c>
      <c r="F2" s="60">
        <f>food_insecure</f>
        <v>1.7000000000000001E-2</v>
      </c>
      <c r="G2" s="60">
        <f>food_insecure</f>
        <v>1.7000000000000001E-2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170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184</v>
      </c>
      <c r="C5" s="60">
        <v>0</v>
      </c>
      <c r="D5" s="60">
        <v>0</v>
      </c>
      <c r="E5" s="60">
        <f>food_insecure</f>
        <v>1.7000000000000001E-2</v>
      </c>
      <c r="F5" s="60">
        <f>food_insecure</f>
        <v>1.7000000000000001E-2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190</v>
      </c>
      <c r="C7" s="60">
        <f>diarrhoea_1mo*frac_diarrhea_severe</f>
        <v>6.2E-2</v>
      </c>
      <c r="D7" s="60">
        <f>diarrhoea_1_5mo*frac_diarrhea_severe</f>
        <v>6.2E-2</v>
      </c>
      <c r="E7" s="60">
        <f>diarrhoea_6_11mo*frac_diarrhea_severe</f>
        <v>6.2E-2</v>
      </c>
      <c r="F7" s="60">
        <f>diarrhoea_12_23mo*frac_diarrhea_severe</f>
        <v>6.2E-2</v>
      </c>
      <c r="G7" s="60">
        <f>diarrhoea_24_59mo*frac_diarrhea_severe</f>
        <v>6.2E-2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191</v>
      </c>
      <c r="C8" s="60">
        <v>0</v>
      </c>
      <c r="D8" s="60">
        <v>0</v>
      </c>
      <c r="E8" s="60">
        <f>food_insecure</f>
        <v>1.7000000000000001E-2</v>
      </c>
      <c r="F8" s="60">
        <f>food_insecure</f>
        <v>1.7000000000000001E-2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192</v>
      </c>
      <c r="C9" s="60">
        <v>0</v>
      </c>
      <c r="D9" s="60">
        <v>0</v>
      </c>
      <c r="E9" s="60">
        <f>food_insecure</f>
        <v>1.7000000000000001E-2</v>
      </c>
      <c r="F9" s="60">
        <f>food_insecure</f>
        <v>1.7000000000000001E-2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157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193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199</v>
      </c>
      <c r="C12" s="60">
        <f>diarrhoea_1mo*frac_diarrhea_severe</f>
        <v>6.2E-2</v>
      </c>
      <c r="D12" s="60">
        <f>diarrhoea_1_5mo*frac_diarrhea_severe</f>
        <v>6.2E-2</v>
      </c>
      <c r="E12" s="60">
        <f>diarrhoea_6_11mo*frac_diarrhea_severe</f>
        <v>6.2E-2</v>
      </c>
      <c r="F12" s="60">
        <f>diarrhoea_12_23mo*frac_diarrhea_severe</f>
        <v>6.2E-2</v>
      </c>
      <c r="G12" s="60">
        <f>diarrhoea_24_59mo*frac_diarrhea_severe</f>
        <v>6.2E-2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200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166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1.7000000000000001E-2</v>
      </c>
      <c r="I15" s="60">
        <f>food_insecure</f>
        <v>1.7000000000000001E-2</v>
      </c>
      <c r="J15" s="60">
        <f>food_insecure</f>
        <v>1.7000000000000001E-2</v>
      </c>
      <c r="K15" s="60">
        <f>food_insecure</f>
        <v>1.7000000000000001E-2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180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207</v>
      </c>
      <c r="B24" s="11" t="s">
        <v>171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0.17100000000000001</v>
      </c>
      <c r="M24" s="60">
        <f>famplan_unmet_need</f>
        <v>0.17100000000000001</v>
      </c>
      <c r="N24" s="60">
        <f>famplan_unmet_need</f>
        <v>0.17100000000000001</v>
      </c>
      <c r="O24" s="60">
        <f>famplan_unmet_need</f>
        <v>0.17100000000000001</v>
      </c>
    </row>
    <row r="25" spans="1:15" ht="15.75" customHeight="1" x14ac:dyDescent="0.25">
      <c r="B25" s="11" t="s">
        <v>175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0.11162494950408915</v>
      </c>
      <c r="M25" s="60">
        <f>(1-food_insecure)*(0.49)+food_insecure*(0.7)</f>
        <v>0.49357000000000001</v>
      </c>
      <c r="N25" s="60">
        <f>(1-food_insecure)*(0.49)+food_insecure*(0.7)</f>
        <v>0.49357000000000001</v>
      </c>
      <c r="O25" s="60">
        <f>(1-food_insecure)*(0.49)+food_insecure*(0.7)</f>
        <v>0.49357000000000001</v>
      </c>
    </row>
    <row r="26" spans="1:15" ht="15.75" customHeight="1" x14ac:dyDescent="0.25">
      <c r="B26" s="11" t="s">
        <v>176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4.7839264073181065E-2</v>
      </c>
      <c r="M26" s="60">
        <f>(1-food_insecure)*(0.21)+food_insecure*(0.3)</f>
        <v>0.21153</v>
      </c>
      <c r="N26" s="60">
        <f>(1-food_insecure)*(0.21)+food_insecure*(0.3)</f>
        <v>0.21153</v>
      </c>
      <c r="O26" s="60">
        <f>(1-food_insecure)*(0.21)+food_insecure*(0.3)</f>
        <v>0.21153</v>
      </c>
    </row>
    <row r="27" spans="1:15" ht="15.75" customHeight="1" x14ac:dyDescent="0.25">
      <c r="B27" s="11" t="s">
        <v>177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6.6694081100463751E-2</v>
      </c>
      <c r="M27" s="60">
        <f>(1-food_insecure)*(0.3)</f>
        <v>0.2949</v>
      </c>
      <c r="N27" s="60">
        <f>(1-food_insecure)*(0.3)</f>
        <v>0.2949</v>
      </c>
      <c r="O27" s="60">
        <f>(1-food_insecure)*(0.3)</f>
        <v>0.2949</v>
      </c>
    </row>
    <row r="28" spans="1:15" ht="15.75" customHeight="1" x14ac:dyDescent="0.25">
      <c r="B28" s="11" t="s">
        <v>178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0.77384170532226604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208</v>
      </c>
      <c r="B30" s="5" t="s">
        <v>172</v>
      </c>
      <c r="C30" s="60">
        <v>0</v>
      </c>
      <c r="D30" s="60">
        <v>0</v>
      </c>
      <c r="E30" s="60">
        <f t="shared" ref="E30:O30" si="0">frac_maize</f>
        <v>0.01</v>
      </c>
      <c r="F30" s="60">
        <f t="shared" si="0"/>
        <v>0.01</v>
      </c>
      <c r="G30" s="60">
        <f t="shared" si="0"/>
        <v>0.01</v>
      </c>
      <c r="H30" s="60">
        <f t="shared" si="0"/>
        <v>0.01</v>
      </c>
      <c r="I30" s="60">
        <f t="shared" si="0"/>
        <v>0.01</v>
      </c>
      <c r="J30" s="60">
        <f t="shared" si="0"/>
        <v>0.01</v>
      </c>
      <c r="K30" s="60">
        <f t="shared" si="0"/>
        <v>0.01</v>
      </c>
      <c r="L30" s="60">
        <f t="shared" si="0"/>
        <v>0.01</v>
      </c>
      <c r="M30" s="60">
        <f t="shared" si="0"/>
        <v>0.01</v>
      </c>
      <c r="N30" s="60">
        <f t="shared" si="0"/>
        <v>0.01</v>
      </c>
      <c r="O30" s="60">
        <f t="shared" si="0"/>
        <v>0.01</v>
      </c>
    </row>
    <row r="31" spans="1:15" ht="15.75" customHeight="1" x14ac:dyDescent="0.25">
      <c r="B31" s="5" t="s">
        <v>173</v>
      </c>
      <c r="C31" s="60">
        <v>0</v>
      </c>
      <c r="D31" s="60">
        <v>0</v>
      </c>
      <c r="E31" s="60">
        <f t="shared" ref="E31:O31" si="1">frac_rice</f>
        <v>0.01</v>
      </c>
      <c r="F31" s="60">
        <f t="shared" si="1"/>
        <v>0.01</v>
      </c>
      <c r="G31" s="60">
        <f t="shared" si="1"/>
        <v>0.01</v>
      </c>
      <c r="H31" s="60">
        <f t="shared" si="1"/>
        <v>0.01</v>
      </c>
      <c r="I31" s="60">
        <f t="shared" si="1"/>
        <v>0.01</v>
      </c>
      <c r="J31" s="60">
        <f t="shared" si="1"/>
        <v>0.01</v>
      </c>
      <c r="K31" s="60">
        <f t="shared" si="1"/>
        <v>0.01</v>
      </c>
      <c r="L31" s="60">
        <f t="shared" si="1"/>
        <v>0.01</v>
      </c>
      <c r="M31" s="60">
        <f t="shared" si="1"/>
        <v>0.01</v>
      </c>
      <c r="N31" s="60">
        <f t="shared" si="1"/>
        <v>0.01</v>
      </c>
      <c r="O31" s="60">
        <f t="shared" si="1"/>
        <v>0.01</v>
      </c>
    </row>
    <row r="32" spans="1:15" ht="15.75" customHeight="1" x14ac:dyDescent="0.25">
      <c r="B32" s="5" t="s">
        <v>174</v>
      </c>
      <c r="C32" s="60">
        <v>0</v>
      </c>
      <c r="D32" s="60">
        <v>0</v>
      </c>
      <c r="E32" s="60">
        <f t="shared" ref="E32:O32" si="2">frac_wheat</f>
        <v>0.98</v>
      </c>
      <c r="F32" s="60">
        <f t="shared" si="2"/>
        <v>0.98</v>
      </c>
      <c r="G32" s="60">
        <f t="shared" si="2"/>
        <v>0.98</v>
      </c>
      <c r="H32" s="60">
        <f t="shared" si="2"/>
        <v>0.98</v>
      </c>
      <c r="I32" s="60">
        <f t="shared" si="2"/>
        <v>0.98</v>
      </c>
      <c r="J32" s="60">
        <f t="shared" si="2"/>
        <v>0.98</v>
      </c>
      <c r="K32" s="60">
        <f t="shared" si="2"/>
        <v>0.98</v>
      </c>
      <c r="L32" s="60">
        <f t="shared" si="2"/>
        <v>0.98</v>
      </c>
      <c r="M32" s="60">
        <f t="shared" si="2"/>
        <v>0.98</v>
      </c>
      <c r="N32" s="60">
        <f t="shared" si="2"/>
        <v>0.98</v>
      </c>
      <c r="O32" s="60">
        <f t="shared" si="2"/>
        <v>0.98</v>
      </c>
    </row>
    <row r="33" spans="2:15" ht="15.75" customHeight="1" x14ac:dyDescent="0.25">
      <c r="B33" s="5" t="s">
        <v>182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185</v>
      </c>
      <c r="C34" s="60">
        <f t="shared" ref="C34:O34" si="3">frac_malaria_risk</f>
        <v>0.01</v>
      </c>
      <c r="D34" s="60">
        <f t="shared" si="3"/>
        <v>0.01</v>
      </c>
      <c r="E34" s="60">
        <f t="shared" si="3"/>
        <v>0.01</v>
      </c>
      <c r="F34" s="60">
        <f t="shared" si="3"/>
        <v>0.01</v>
      </c>
      <c r="G34" s="60">
        <f t="shared" si="3"/>
        <v>0.01</v>
      </c>
      <c r="H34" s="60">
        <f t="shared" si="3"/>
        <v>0.01</v>
      </c>
      <c r="I34" s="60">
        <f t="shared" si="3"/>
        <v>0.01</v>
      </c>
      <c r="J34" s="60">
        <f t="shared" si="3"/>
        <v>0.01</v>
      </c>
      <c r="K34" s="60">
        <f t="shared" si="3"/>
        <v>0.01</v>
      </c>
      <c r="L34" s="60">
        <f t="shared" si="3"/>
        <v>0.01</v>
      </c>
      <c r="M34" s="60">
        <f t="shared" si="3"/>
        <v>0.01</v>
      </c>
      <c r="N34" s="60">
        <f t="shared" si="3"/>
        <v>0.01</v>
      </c>
      <c r="O34" s="60">
        <f t="shared" si="3"/>
        <v>0.01</v>
      </c>
    </row>
    <row r="35" spans="2:15" ht="15.75" customHeight="1" x14ac:dyDescent="0.25">
      <c r="B35" s="9" t="s">
        <v>194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195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196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197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198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c/rGyVZgGkhUAqOYeQhEdKJohJnZwMlPtVcOZvPWAG/LEg5Gne9k7nZtnui0huHfripADE6dYtqDmtQbZr0eCA==" saltValue="B8YmPLaFBUBxrPCcmxl/Fg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167</v>
      </c>
    </row>
    <row r="2" spans="1:1" x14ac:dyDescent="0.25">
      <c r="A2" s="8" t="s">
        <v>209</v>
      </c>
    </row>
    <row r="3" spans="1:1" x14ac:dyDescent="0.25">
      <c r="A3" s="8" t="s">
        <v>210</v>
      </c>
    </row>
    <row r="4" spans="1:1" x14ac:dyDescent="0.25">
      <c r="A4" s="8" t="s">
        <v>211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212</v>
      </c>
      <c r="B1" s="4" t="s">
        <v>213</v>
      </c>
      <c r="C1" s="4" t="s">
        <v>214</v>
      </c>
      <c r="D1" s="4" t="s">
        <v>136</v>
      </c>
      <c r="E1" s="4" t="s">
        <v>215</v>
      </c>
    </row>
    <row r="2" spans="1:5" ht="14" customHeight="1" x14ac:dyDescent="0.3">
      <c r="A2" s="28" t="s">
        <v>216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220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221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222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223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224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A12" sqref="A12:XFD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169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170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148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192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157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193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199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200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166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180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207</v>
      </c>
      <c r="B27" s="5" t="s">
        <v>171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208</v>
      </c>
      <c r="B33" s="5" t="s">
        <v>172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194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195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196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197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198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156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x14ac:dyDescent="0.25">
      <c r="A2" s="5" t="s">
        <v>166</v>
      </c>
      <c r="B2" s="87"/>
      <c r="C2" s="87"/>
      <c r="D2" s="87"/>
      <c r="E2" s="87"/>
      <c r="F2" s="87"/>
      <c r="G2" s="87"/>
      <c r="H2" s="87"/>
      <c r="I2" s="87" t="s">
        <v>149</v>
      </c>
      <c r="J2" s="87"/>
      <c r="K2" s="87"/>
    </row>
    <row r="3" spans="1:11" x14ac:dyDescent="0.25">
      <c r="A3" s="5" t="s">
        <v>168</v>
      </c>
      <c r="B3" s="87"/>
      <c r="C3" s="87"/>
      <c r="D3" s="87"/>
      <c r="E3" s="87"/>
      <c r="F3" s="87"/>
      <c r="G3" s="87"/>
      <c r="H3" s="87" t="s">
        <v>149</v>
      </c>
      <c r="I3" s="87"/>
      <c r="J3" s="87"/>
      <c r="K3" s="87"/>
    </row>
    <row r="4" spans="1:11" x14ac:dyDescent="0.25">
      <c r="A4" s="5" t="s">
        <v>169</v>
      </c>
      <c r="B4" s="87"/>
      <c r="C4" s="87"/>
      <c r="D4" s="87" t="s">
        <v>149</v>
      </c>
      <c r="E4" s="87"/>
      <c r="F4" s="87"/>
      <c r="G4" s="87"/>
      <c r="H4" s="87"/>
      <c r="I4" s="87"/>
      <c r="J4" s="87"/>
      <c r="K4" s="87"/>
    </row>
    <row r="5" spans="1:11" x14ac:dyDescent="0.25">
      <c r="A5" s="5" t="s">
        <v>170</v>
      </c>
      <c r="B5" s="87"/>
      <c r="C5" s="87" t="s">
        <v>149</v>
      </c>
      <c r="D5" s="87"/>
      <c r="E5" s="87"/>
      <c r="F5" s="87"/>
      <c r="G5" s="87"/>
      <c r="H5" s="87"/>
      <c r="I5" s="87"/>
      <c r="J5" s="87"/>
      <c r="K5" s="87"/>
    </row>
    <row r="6" spans="1:11" x14ac:dyDescent="0.25">
      <c r="A6" s="5" t="s">
        <v>171</v>
      </c>
      <c r="B6" s="87"/>
      <c r="C6" s="87"/>
      <c r="D6" s="87"/>
      <c r="E6" s="87"/>
      <c r="F6" s="87"/>
      <c r="G6" s="87"/>
      <c r="H6" s="87"/>
      <c r="I6" s="87"/>
      <c r="J6" s="87" t="s">
        <v>149</v>
      </c>
      <c r="K6" s="87" t="s">
        <v>149</v>
      </c>
    </row>
    <row r="7" spans="1:11" x14ac:dyDescent="0.25">
      <c r="A7" s="5" t="s">
        <v>172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/>
      <c r="J7" s="87"/>
      <c r="K7" s="87"/>
    </row>
    <row r="8" spans="1:11" x14ac:dyDescent="0.25">
      <c r="A8" s="5" t="s">
        <v>173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/>
      <c r="J8" s="87"/>
      <c r="K8" s="87"/>
    </row>
    <row r="9" spans="1:11" x14ac:dyDescent="0.25">
      <c r="A9" s="5" t="s">
        <v>174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/>
      <c r="J9" s="87"/>
      <c r="K9" s="87"/>
    </row>
    <row r="10" spans="1:11" x14ac:dyDescent="0.25">
      <c r="A10" s="11" t="s">
        <v>175</v>
      </c>
      <c r="B10" s="87"/>
      <c r="C10" s="87" t="s">
        <v>149</v>
      </c>
      <c r="D10" s="87"/>
      <c r="E10" s="87"/>
      <c r="F10" s="87"/>
      <c r="G10" s="87"/>
      <c r="H10" s="87"/>
      <c r="I10" s="87"/>
      <c r="J10" s="87"/>
      <c r="K10" s="87"/>
    </row>
    <row r="11" spans="1:11" x14ac:dyDescent="0.25">
      <c r="A11" s="11" t="s">
        <v>176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/>
      <c r="K11" s="87"/>
    </row>
    <row r="12" spans="1:11" x14ac:dyDescent="0.25">
      <c r="A12" s="11" t="s">
        <v>177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/>
    </row>
    <row r="13" spans="1:11" x14ac:dyDescent="0.25">
      <c r="A13" s="11" t="s">
        <v>178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/>
    </row>
    <row r="14" spans="1:11" x14ac:dyDescent="0.25">
      <c r="A14" s="5" t="s">
        <v>179</v>
      </c>
      <c r="B14" s="87"/>
      <c r="C14" s="87" t="s">
        <v>149</v>
      </c>
      <c r="D14" s="87"/>
      <c r="E14" s="87"/>
      <c r="F14" s="87"/>
      <c r="G14" s="87"/>
      <c r="H14" s="87"/>
      <c r="I14" s="87" t="s">
        <v>149</v>
      </c>
      <c r="J14" s="87"/>
      <c r="K14" s="87"/>
    </row>
    <row r="15" spans="1:11" x14ac:dyDescent="0.25">
      <c r="A15" s="5" t="s">
        <v>180</v>
      </c>
      <c r="B15" s="87"/>
      <c r="C15" s="87" t="s">
        <v>149</v>
      </c>
      <c r="D15" s="87"/>
      <c r="E15" s="87"/>
      <c r="F15" s="87"/>
      <c r="G15" s="87"/>
      <c r="H15" s="87"/>
      <c r="I15" s="87" t="s">
        <v>149</v>
      </c>
      <c r="J15" s="87"/>
      <c r="K15" s="87"/>
    </row>
    <row r="16" spans="1:11" x14ac:dyDescent="0.25">
      <c r="A16" s="5" t="s">
        <v>181</v>
      </c>
      <c r="B16" s="87"/>
      <c r="C16" s="87" t="s">
        <v>149</v>
      </c>
      <c r="D16" s="87"/>
      <c r="E16" s="87"/>
      <c r="F16" s="87"/>
      <c r="G16" s="87"/>
      <c r="H16" s="87" t="s">
        <v>149</v>
      </c>
      <c r="I16" s="87" t="s">
        <v>149</v>
      </c>
      <c r="J16" s="87"/>
      <c r="K16" s="87"/>
    </row>
    <row r="17" spans="1:11" x14ac:dyDescent="0.25">
      <c r="A17" s="5" t="s">
        <v>182</v>
      </c>
      <c r="B17" s="87"/>
      <c r="C17" s="87" t="s">
        <v>149</v>
      </c>
      <c r="D17" s="87"/>
      <c r="E17" s="87"/>
      <c r="F17" s="87"/>
      <c r="G17" s="87"/>
      <c r="H17" s="87"/>
      <c r="I17" s="87"/>
      <c r="J17" s="87"/>
      <c r="K17" s="87"/>
    </row>
    <row r="18" spans="1:11" x14ac:dyDescent="0.25">
      <c r="A18" s="5" t="s">
        <v>148</v>
      </c>
      <c r="B18" s="87" t="s">
        <v>149</v>
      </c>
      <c r="C18" s="87"/>
      <c r="D18" s="87"/>
      <c r="E18" s="87"/>
      <c r="F18" s="87" t="s">
        <v>149</v>
      </c>
      <c r="G18" s="87"/>
      <c r="H18" s="87"/>
      <c r="I18" s="87"/>
      <c r="J18" s="87"/>
      <c r="K18" s="87"/>
    </row>
    <row r="19" spans="1:11" x14ac:dyDescent="0.25">
      <c r="A19" s="5" t="s">
        <v>151</v>
      </c>
      <c r="B19" s="87" t="s">
        <v>149</v>
      </c>
      <c r="C19" s="87"/>
      <c r="D19" s="87"/>
      <c r="E19" s="87"/>
      <c r="F19" s="87" t="s">
        <v>149</v>
      </c>
      <c r="G19" s="87"/>
      <c r="H19" s="87"/>
      <c r="I19" s="87"/>
      <c r="J19" s="87"/>
      <c r="K19" s="87"/>
    </row>
    <row r="20" spans="1:11" x14ac:dyDescent="0.25">
      <c r="A20" s="5" t="s">
        <v>152</v>
      </c>
      <c r="B20" s="87" t="s">
        <v>149</v>
      </c>
      <c r="C20" s="87"/>
      <c r="D20" s="87"/>
      <c r="E20" s="87"/>
      <c r="F20" s="87" t="s">
        <v>149</v>
      </c>
      <c r="G20" s="87"/>
      <c r="H20" s="87"/>
      <c r="I20" s="87"/>
      <c r="J20" s="87"/>
      <c r="K20" s="87"/>
    </row>
    <row r="21" spans="1:11" x14ac:dyDescent="0.25">
      <c r="A21" s="5" t="s">
        <v>183</v>
      </c>
      <c r="B21" s="87"/>
      <c r="C21" s="87"/>
      <c r="D21" s="87"/>
      <c r="E21" s="87"/>
      <c r="F21" s="87"/>
      <c r="G21" s="87"/>
      <c r="H21" s="87" t="s">
        <v>149</v>
      </c>
      <c r="I21" s="87" t="s">
        <v>149</v>
      </c>
      <c r="J21" s="87"/>
      <c r="K21" s="87"/>
    </row>
    <row r="22" spans="1:11" x14ac:dyDescent="0.25">
      <c r="A22" s="5" t="s">
        <v>184</v>
      </c>
      <c r="B22" s="87" t="s">
        <v>149</v>
      </c>
      <c r="C22" s="87" t="s">
        <v>149</v>
      </c>
      <c r="D22" s="87" t="s">
        <v>149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185</v>
      </c>
      <c r="B23" s="87"/>
      <c r="C23" s="87" t="s">
        <v>149</v>
      </c>
      <c r="D23" s="87"/>
      <c r="E23" s="87"/>
      <c r="F23" s="87"/>
      <c r="G23" s="87"/>
      <c r="H23" s="87"/>
      <c r="I23" s="87" t="s">
        <v>149</v>
      </c>
      <c r="J23" s="87"/>
      <c r="K23" s="87"/>
    </row>
    <row r="24" spans="1:11" x14ac:dyDescent="0.25">
      <c r="A24" s="5" t="s">
        <v>186</v>
      </c>
      <c r="B24" s="87"/>
      <c r="C24" s="87"/>
      <c r="D24" s="87"/>
      <c r="E24" s="87"/>
      <c r="F24" s="87"/>
      <c r="G24" s="87"/>
      <c r="H24" s="87" t="s">
        <v>149</v>
      </c>
      <c r="I24" s="87"/>
      <c r="J24" s="87"/>
      <c r="K24" s="87"/>
    </row>
    <row r="25" spans="1:11" x14ac:dyDescent="0.25">
      <c r="A25" s="5" t="s">
        <v>187</v>
      </c>
      <c r="B25" s="87"/>
      <c r="C25" s="87"/>
      <c r="D25" s="87"/>
      <c r="E25" s="87"/>
      <c r="F25" s="87"/>
      <c r="G25" s="87"/>
      <c r="H25" s="87" t="s">
        <v>149</v>
      </c>
      <c r="I25" s="87"/>
      <c r="J25" s="87"/>
      <c r="K25" s="87"/>
    </row>
    <row r="26" spans="1:11" x14ac:dyDescent="0.25">
      <c r="A26" s="5" t="s">
        <v>188</v>
      </c>
      <c r="B26" s="87"/>
      <c r="C26" s="87" t="s">
        <v>149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189</v>
      </c>
      <c r="B27" s="87"/>
      <c r="C27" s="87" t="s">
        <v>149</v>
      </c>
      <c r="D27" s="87"/>
      <c r="E27" s="87"/>
      <c r="F27" s="87"/>
      <c r="G27" s="87"/>
      <c r="H27" s="87"/>
      <c r="I27" s="87" t="s">
        <v>149</v>
      </c>
      <c r="J27" s="87"/>
      <c r="K27" s="87"/>
    </row>
    <row r="28" spans="1:11" x14ac:dyDescent="0.25">
      <c r="A28" s="5" t="s">
        <v>190</v>
      </c>
      <c r="B28" s="87"/>
      <c r="C28" s="87"/>
      <c r="D28" s="87"/>
      <c r="E28" s="87"/>
      <c r="F28" s="87"/>
      <c r="G28" s="87"/>
      <c r="H28" s="87" t="s">
        <v>149</v>
      </c>
      <c r="I28" s="87"/>
      <c r="J28" s="87"/>
      <c r="K28" s="87"/>
    </row>
    <row r="29" spans="1:11" x14ac:dyDescent="0.25">
      <c r="A29" s="5" t="s">
        <v>191</v>
      </c>
      <c r="B29" s="87" t="s">
        <v>149</v>
      </c>
      <c r="C29" s="87"/>
      <c r="D29" s="87" t="s">
        <v>149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192</v>
      </c>
      <c r="B30" s="87" t="s">
        <v>149</v>
      </c>
      <c r="C30" s="87" t="s">
        <v>149</v>
      </c>
      <c r="D30" s="87" t="s">
        <v>149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157</v>
      </c>
      <c r="B31" s="87"/>
      <c r="C31" s="87"/>
      <c r="D31" s="87"/>
      <c r="E31" s="87" t="s">
        <v>149</v>
      </c>
      <c r="F31" s="87"/>
      <c r="G31" s="87"/>
      <c r="H31" s="87"/>
      <c r="I31" s="87"/>
      <c r="J31" s="87"/>
      <c r="K31" s="87"/>
    </row>
    <row r="32" spans="1:11" x14ac:dyDescent="0.25">
      <c r="A32" s="5" t="s">
        <v>193</v>
      </c>
      <c r="B32" s="87"/>
      <c r="C32" s="87"/>
      <c r="D32" s="87"/>
      <c r="E32" s="87"/>
      <c r="F32" s="87"/>
      <c r="G32" s="87" t="s">
        <v>149</v>
      </c>
      <c r="H32" s="87" t="s">
        <v>149</v>
      </c>
      <c r="I32" s="87"/>
      <c r="J32" s="87"/>
      <c r="K32" s="87"/>
    </row>
    <row r="33" spans="1:11" x14ac:dyDescent="0.25">
      <c r="A33" s="5" t="s">
        <v>194</v>
      </c>
      <c r="B33" s="87"/>
      <c r="C33" s="87"/>
      <c r="D33" s="87"/>
      <c r="E33" s="87"/>
      <c r="F33" s="87"/>
      <c r="G33" s="87" t="s">
        <v>149</v>
      </c>
      <c r="H33" s="87" t="s">
        <v>149</v>
      </c>
      <c r="I33" s="87"/>
      <c r="J33" s="87"/>
      <c r="K33" s="87"/>
    </row>
    <row r="34" spans="1:11" x14ac:dyDescent="0.25">
      <c r="A34" s="5" t="s">
        <v>195</v>
      </c>
      <c r="B34" s="87"/>
      <c r="C34" s="87"/>
      <c r="D34" s="87"/>
      <c r="E34" s="87"/>
      <c r="F34" s="87"/>
      <c r="G34" s="87" t="s">
        <v>149</v>
      </c>
      <c r="H34" s="87" t="s">
        <v>149</v>
      </c>
      <c r="I34" s="87"/>
      <c r="J34" s="87"/>
      <c r="K34" s="87"/>
    </row>
    <row r="35" spans="1:11" x14ac:dyDescent="0.25">
      <c r="A35" s="5" t="s">
        <v>196</v>
      </c>
      <c r="B35" s="87"/>
      <c r="C35" s="87"/>
      <c r="D35" s="87"/>
      <c r="E35" s="87"/>
      <c r="F35" s="87"/>
      <c r="G35" s="87" t="s">
        <v>149</v>
      </c>
      <c r="H35" s="87" t="s">
        <v>149</v>
      </c>
      <c r="I35" s="87"/>
      <c r="J35" s="87"/>
      <c r="K35" s="87"/>
    </row>
    <row r="36" spans="1:11" x14ac:dyDescent="0.25">
      <c r="A36" s="5" t="s">
        <v>197</v>
      </c>
      <c r="B36" s="87"/>
      <c r="C36" s="87"/>
      <c r="D36" s="87"/>
      <c r="E36" s="87"/>
      <c r="F36" s="87"/>
      <c r="G36" s="87" t="s">
        <v>149</v>
      </c>
      <c r="H36" s="87" t="s">
        <v>149</v>
      </c>
      <c r="I36" s="87"/>
      <c r="J36" s="87"/>
      <c r="K36" s="87"/>
    </row>
    <row r="37" spans="1:11" x14ac:dyDescent="0.25">
      <c r="A37" s="5" t="s">
        <v>198</v>
      </c>
      <c r="B37" s="87"/>
      <c r="C37" s="87"/>
      <c r="D37" s="87"/>
      <c r="E37" s="87"/>
      <c r="F37" s="87"/>
      <c r="G37" s="87" t="s">
        <v>149</v>
      </c>
      <c r="H37" s="87" t="s">
        <v>149</v>
      </c>
      <c r="I37" s="87"/>
      <c r="J37" s="87"/>
      <c r="K37" s="87"/>
    </row>
    <row r="38" spans="1:11" x14ac:dyDescent="0.25">
      <c r="A38" s="5" t="s">
        <v>199</v>
      </c>
      <c r="B38" s="87"/>
      <c r="C38" s="87"/>
      <c r="D38" s="87"/>
      <c r="E38" s="87"/>
      <c r="F38" s="87"/>
      <c r="G38" s="87"/>
      <c r="H38" s="87" t="s">
        <v>149</v>
      </c>
      <c r="I38" s="87"/>
      <c r="J38" s="87"/>
      <c r="K38" s="87"/>
    </row>
    <row r="39" spans="1:11" x14ac:dyDescent="0.25">
      <c r="A39" s="5" t="s">
        <v>200</v>
      </c>
      <c r="B39" s="87" t="s">
        <v>149</v>
      </c>
      <c r="C39" s="87"/>
      <c r="D39" s="87"/>
      <c r="E39" s="87"/>
      <c r="F39" s="87"/>
      <c r="G39" s="87" t="s">
        <v>149</v>
      </c>
      <c r="H39" s="87" t="s">
        <v>149</v>
      </c>
      <c r="I39" s="87"/>
      <c r="J39" s="87"/>
      <c r="K39" s="87"/>
    </row>
  </sheetData>
  <sheetProtection algorithmName="SHA-512" hashValue="IvQDIxW99fzq1Zy0EhkbKUzL+Oo6JppYFJRusT7f1RK58axANCQbQrXBA4I5Zda1hiQSlfJ6FnKfxlkgJRWRpg==" saltValue="tOfPnYqP3Wy6+yrctBxWk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230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x14ac:dyDescent="0.25">
      <c r="A2" s="8" t="s">
        <v>67</v>
      </c>
      <c r="B2" s="87" t="s">
        <v>149</v>
      </c>
      <c r="C2" s="87" t="s">
        <v>149</v>
      </c>
      <c r="D2" s="87" t="s">
        <v>149</v>
      </c>
      <c r="E2" s="87" t="s">
        <v>149</v>
      </c>
      <c r="F2" s="87" t="s">
        <v>149</v>
      </c>
      <c r="G2" s="87" t="s">
        <v>149</v>
      </c>
      <c r="H2" s="87" t="s">
        <v>149</v>
      </c>
      <c r="I2" s="87"/>
      <c r="J2" s="87"/>
      <c r="K2" s="87"/>
    </row>
    <row r="3" spans="1:11" x14ac:dyDescent="0.25">
      <c r="A3" s="8" t="s">
        <v>77</v>
      </c>
      <c r="B3" s="87" t="s">
        <v>149</v>
      </c>
      <c r="C3" s="87" t="s">
        <v>149</v>
      </c>
      <c r="D3" s="87" t="s">
        <v>149</v>
      </c>
      <c r="E3" s="87" t="s">
        <v>149</v>
      </c>
      <c r="F3" s="87" t="s">
        <v>149</v>
      </c>
      <c r="G3" s="87" t="s">
        <v>149</v>
      </c>
      <c r="H3" s="87" t="s">
        <v>149</v>
      </c>
      <c r="I3" s="87"/>
      <c r="J3" s="87"/>
      <c r="K3" s="87"/>
    </row>
    <row r="4" spans="1:11" x14ac:dyDescent="0.25">
      <c r="A4" s="8" t="s">
        <v>78</v>
      </c>
      <c r="B4" s="87" t="s">
        <v>149</v>
      </c>
      <c r="C4" s="87" t="s">
        <v>149</v>
      </c>
      <c r="D4" s="87" t="s">
        <v>149</v>
      </c>
      <c r="E4" s="87" t="s">
        <v>149</v>
      </c>
      <c r="F4" s="87" t="s">
        <v>149</v>
      </c>
      <c r="G4" s="87" t="s">
        <v>149</v>
      </c>
      <c r="H4" s="87" t="s">
        <v>149</v>
      </c>
      <c r="I4" s="87"/>
      <c r="J4" s="87"/>
      <c r="K4" s="87"/>
    </row>
    <row r="5" spans="1:11" x14ac:dyDescent="0.25">
      <c r="A5" s="8" t="s">
        <v>79</v>
      </c>
      <c r="B5" s="87" t="s">
        <v>149</v>
      </c>
      <c r="C5" s="87" t="s">
        <v>149</v>
      </c>
      <c r="D5" s="87" t="s">
        <v>149</v>
      </c>
      <c r="E5" s="87" t="s">
        <v>149</v>
      </c>
      <c r="F5" s="87" t="s">
        <v>149</v>
      </c>
      <c r="G5" s="87" t="s">
        <v>149</v>
      </c>
      <c r="H5" s="87" t="s">
        <v>149</v>
      </c>
      <c r="I5" s="87"/>
      <c r="J5" s="87"/>
      <c r="K5" s="87"/>
    </row>
    <row r="6" spans="1:11" x14ac:dyDescent="0.25">
      <c r="A6" s="8" t="s">
        <v>80</v>
      </c>
      <c r="B6" s="87" t="s">
        <v>149</v>
      </c>
      <c r="C6" s="87" t="s">
        <v>149</v>
      </c>
      <c r="D6" s="87" t="s">
        <v>149</v>
      </c>
      <c r="E6" s="87" t="s">
        <v>149</v>
      </c>
      <c r="F6" s="87" t="s">
        <v>149</v>
      </c>
      <c r="G6" s="87" t="s">
        <v>149</v>
      </c>
      <c r="H6" s="87" t="s">
        <v>149</v>
      </c>
      <c r="I6" s="87"/>
      <c r="J6" s="87"/>
      <c r="K6" s="87"/>
    </row>
    <row r="7" spans="1:11" x14ac:dyDescent="0.25">
      <c r="A7" s="8" t="s">
        <v>112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 t="s">
        <v>149</v>
      </c>
      <c r="J7" s="87"/>
      <c r="K7" s="87"/>
    </row>
    <row r="8" spans="1:11" x14ac:dyDescent="0.25">
      <c r="A8" s="8" t="s">
        <v>113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 t="s">
        <v>149</v>
      </c>
      <c r="J8" s="87"/>
      <c r="K8" s="87"/>
    </row>
    <row r="9" spans="1:11" x14ac:dyDescent="0.25">
      <c r="A9" s="8" t="s">
        <v>114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 t="s">
        <v>149</v>
      </c>
      <c r="J9" s="87"/>
      <c r="K9" s="87"/>
    </row>
    <row r="10" spans="1:11" x14ac:dyDescent="0.25">
      <c r="A10" s="8" t="s">
        <v>115</v>
      </c>
      <c r="B10" s="87"/>
      <c r="C10" s="87" t="s">
        <v>149</v>
      </c>
      <c r="D10" s="87"/>
      <c r="E10" s="87"/>
      <c r="F10" s="87"/>
      <c r="G10" s="87"/>
      <c r="H10" s="87" t="s">
        <v>149</v>
      </c>
      <c r="I10" s="87" t="s">
        <v>149</v>
      </c>
      <c r="J10" s="87"/>
      <c r="K10" s="87"/>
    </row>
    <row r="11" spans="1:11" x14ac:dyDescent="0.25">
      <c r="A11" s="8" t="s">
        <v>58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 t="s">
        <v>149</v>
      </c>
      <c r="K11" s="87" t="s">
        <v>149</v>
      </c>
    </row>
    <row r="12" spans="1:11" x14ac:dyDescent="0.25">
      <c r="A12" s="8" t="s">
        <v>59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 t="s">
        <v>149</v>
      </c>
    </row>
    <row r="13" spans="1:11" x14ac:dyDescent="0.25">
      <c r="A13" s="8" t="s">
        <v>60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 t="s">
        <v>149</v>
      </c>
    </row>
    <row r="14" spans="1:11" x14ac:dyDescent="0.25">
      <c r="A14" s="8" t="s">
        <v>61</v>
      </c>
      <c r="B14" s="87"/>
      <c r="C14" s="87" t="s">
        <v>149</v>
      </c>
      <c r="D14" s="87"/>
      <c r="E14" s="87"/>
      <c r="F14" s="87"/>
      <c r="G14" s="87"/>
      <c r="H14" s="87"/>
      <c r="I14" s="87"/>
      <c r="J14" s="87"/>
      <c r="K14" s="87" t="s">
        <v>149</v>
      </c>
    </row>
  </sheetData>
  <sheetProtection algorithmName="SHA-512" hashValue="9wIG9Gim71KVsT3md4UjHKWLN/dmVTAHDAhRa4jGvwy4VGKHj7mGyWZMKQgGvDCmZmlmSsHFRHQVC+GKpvnATg==" saltValue="lgc1Xvk31gXE9M1YSAdFWQ==" spinCount="100000" sheet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zoomScale="85" zoomScaleNormal="85" workbookViewId="0">
      <selection activeCell="G15" sqref="G15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231</v>
      </c>
      <c r="B1" s="4" t="s">
        <v>144</v>
      </c>
      <c r="C1" s="4" t="s">
        <v>159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customHeight="1" x14ac:dyDescent="0.3">
      <c r="A2" s="4" t="s">
        <v>232</v>
      </c>
      <c r="B2" s="103" t="s">
        <v>90</v>
      </c>
      <c r="C2" s="8" t="s">
        <v>145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04"/>
      <c r="C3" s="8" t="s">
        <v>146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04"/>
      <c r="C4" s="8" t="s">
        <v>147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03" t="s">
        <v>67</v>
      </c>
      <c r="C5" s="8" t="s">
        <v>145</v>
      </c>
      <c r="D5" s="88">
        <v>1.73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04"/>
      <c r="C6" s="8" t="s">
        <v>146</v>
      </c>
      <c r="D6" s="88">
        <v>1.73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04"/>
      <c r="C7" s="8" t="s">
        <v>147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03" t="s">
        <v>77</v>
      </c>
      <c r="C8" s="8" t="s">
        <v>145</v>
      </c>
      <c r="D8" s="88">
        <v>1</v>
      </c>
      <c r="E8" s="88">
        <v>1.73</v>
      </c>
      <c r="F8" s="88">
        <v>1</v>
      </c>
      <c r="G8" s="88">
        <v>1</v>
      </c>
      <c r="H8" s="88">
        <v>1</v>
      </c>
    </row>
    <row r="9" spans="1:10" x14ac:dyDescent="0.25">
      <c r="B9" s="104"/>
      <c r="C9" s="8" t="s">
        <v>146</v>
      </c>
      <c r="D9" s="88">
        <v>1</v>
      </c>
      <c r="E9" s="88">
        <v>1.73</v>
      </c>
      <c r="F9" s="88">
        <v>1</v>
      </c>
      <c r="G9" s="88">
        <v>1</v>
      </c>
      <c r="H9" s="88">
        <v>1</v>
      </c>
    </row>
    <row r="10" spans="1:10" x14ac:dyDescent="0.25">
      <c r="B10" s="104"/>
      <c r="C10" s="8" t="s">
        <v>147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03" t="s">
        <v>78</v>
      </c>
      <c r="C11" s="8" t="s">
        <v>145</v>
      </c>
      <c r="D11" s="88">
        <v>1</v>
      </c>
      <c r="E11" s="88">
        <v>1</v>
      </c>
      <c r="F11" s="88">
        <v>1.73</v>
      </c>
      <c r="G11" s="88">
        <v>1</v>
      </c>
      <c r="H11" s="88">
        <v>1</v>
      </c>
    </row>
    <row r="12" spans="1:10" x14ac:dyDescent="0.25">
      <c r="B12" s="104"/>
      <c r="C12" s="8" t="s">
        <v>146</v>
      </c>
      <c r="D12" s="88">
        <v>1</v>
      </c>
      <c r="E12" s="88">
        <v>1</v>
      </c>
      <c r="F12" s="88">
        <v>1.73</v>
      </c>
      <c r="G12" s="88">
        <v>1</v>
      </c>
      <c r="H12" s="88">
        <v>1</v>
      </c>
    </row>
    <row r="13" spans="1:10" x14ac:dyDescent="0.25">
      <c r="B13" s="104"/>
      <c r="C13" s="8" t="s">
        <v>147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03" t="s">
        <v>79</v>
      </c>
      <c r="C14" s="8" t="s">
        <v>145</v>
      </c>
      <c r="D14" s="88">
        <v>1</v>
      </c>
      <c r="E14" s="88">
        <v>1</v>
      </c>
      <c r="F14" s="88">
        <v>1</v>
      </c>
      <c r="G14" s="88">
        <v>1.73</v>
      </c>
      <c r="H14" s="88">
        <v>1</v>
      </c>
    </row>
    <row r="15" spans="1:10" x14ac:dyDescent="0.25">
      <c r="B15" s="104"/>
      <c r="C15" s="8" t="s">
        <v>146</v>
      </c>
      <c r="D15" s="88">
        <v>1</v>
      </c>
      <c r="E15" s="88">
        <v>1</v>
      </c>
      <c r="F15" s="88">
        <v>1</v>
      </c>
      <c r="G15" s="88">
        <v>1.73</v>
      </c>
      <c r="H15" s="88">
        <v>1</v>
      </c>
    </row>
    <row r="16" spans="1:10" x14ac:dyDescent="0.25">
      <c r="B16" s="104"/>
      <c r="C16" s="8" t="s">
        <v>147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150</v>
      </c>
      <c r="C17" s="8" t="s">
        <v>147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233</v>
      </c>
      <c r="B19" s="103" t="s">
        <v>90</v>
      </c>
      <c r="C19" s="8" t="s">
        <v>145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04"/>
      <c r="C20" s="8" t="s">
        <v>146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04"/>
      <c r="C21" s="8" t="s">
        <v>147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03" t="s">
        <v>67</v>
      </c>
      <c r="C22" s="8" t="s">
        <v>145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04"/>
      <c r="C23" s="8" t="s">
        <v>146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04"/>
      <c r="C24" s="8" t="s">
        <v>147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03" t="s">
        <v>77</v>
      </c>
      <c r="C25" s="8" t="s">
        <v>145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04"/>
      <c r="C26" s="8" t="s">
        <v>146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04"/>
      <c r="C27" s="8" t="s">
        <v>147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03" t="s">
        <v>78</v>
      </c>
      <c r="C28" s="8" t="s">
        <v>145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04"/>
      <c r="C29" s="8" t="s">
        <v>146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04"/>
      <c r="C30" s="8" t="s">
        <v>147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03" t="s">
        <v>79</v>
      </c>
      <c r="C31" s="8" t="s">
        <v>145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04"/>
      <c r="C32" s="8" t="s">
        <v>146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04"/>
      <c r="C33" s="8" t="s">
        <v>147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150</v>
      </c>
      <c r="C34" s="8" t="s">
        <v>147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234</v>
      </c>
      <c r="B36" s="103" t="s">
        <v>90</v>
      </c>
      <c r="C36" s="8" t="s">
        <v>145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04"/>
      <c r="C37" s="8" t="s">
        <v>146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04"/>
      <c r="C38" s="8" t="s">
        <v>147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03" t="s">
        <v>67</v>
      </c>
      <c r="C39" s="8" t="s">
        <v>145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04"/>
      <c r="C40" s="8" t="s">
        <v>146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04"/>
      <c r="C41" s="8" t="s">
        <v>147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03" t="s">
        <v>77</v>
      </c>
      <c r="C42" s="8" t="s">
        <v>145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04"/>
      <c r="C43" s="8" t="s">
        <v>146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04"/>
      <c r="C44" s="8" t="s">
        <v>147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03" t="s">
        <v>78</v>
      </c>
      <c r="C45" s="8" t="s">
        <v>145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04"/>
      <c r="C46" s="8" t="s">
        <v>146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04"/>
      <c r="C47" s="8" t="s">
        <v>147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03" t="s">
        <v>79</v>
      </c>
      <c r="C48" s="8" t="s">
        <v>145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04"/>
      <c r="C49" s="8" t="s">
        <v>146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04"/>
      <c r="C50" s="8" t="s">
        <v>147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150</v>
      </c>
      <c r="C51" s="8" t="s">
        <v>147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231</v>
      </c>
      <c r="B54" s="4" t="s">
        <v>144</v>
      </c>
      <c r="C54" s="4" t="s">
        <v>159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customHeight="1" x14ac:dyDescent="0.3">
      <c r="A55" s="4" t="s">
        <v>236</v>
      </c>
      <c r="B55" s="103" t="s">
        <v>90</v>
      </c>
      <c r="C55" s="8" t="s">
        <v>145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04"/>
      <c r="C56" s="8" t="s">
        <v>146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04"/>
      <c r="C57" s="8" t="s">
        <v>147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03" t="s">
        <v>67</v>
      </c>
      <c r="C58" s="8" t="s">
        <v>145</v>
      </c>
      <c r="D58" s="88">
        <v>1.35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04"/>
      <c r="C59" s="8" t="s">
        <v>146</v>
      </c>
      <c r="D59" s="88">
        <v>1.35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04"/>
      <c r="C60" s="8" t="s">
        <v>147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03" t="s">
        <v>77</v>
      </c>
      <c r="C61" s="8" t="s">
        <v>145</v>
      </c>
      <c r="D61" s="88">
        <f t="shared" si="2"/>
        <v>1</v>
      </c>
      <c r="E61" s="88">
        <v>1.35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04"/>
      <c r="C62" s="8" t="s">
        <v>146</v>
      </c>
      <c r="D62" s="88">
        <f t="shared" si="2"/>
        <v>1</v>
      </c>
      <c r="E62" s="88">
        <v>1.35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04"/>
      <c r="C63" s="8" t="s">
        <v>147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03" t="s">
        <v>78</v>
      </c>
      <c r="C64" s="8" t="s">
        <v>145</v>
      </c>
      <c r="D64" s="88">
        <f t="shared" si="2"/>
        <v>1</v>
      </c>
      <c r="E64" s="88">
        <f t="shared" si="4"/>
        <v>1</v>
      </c>
      <c r="F64" s="88">
        <v>1.35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04"/>
      <c r="C65" s="8" t="s">
        <v>146</v>
      </c>
      <c r="D65" s="88">
        <f t="shared" si="2"/>
        <v>1</v>
      </c>
      <c r="E65" s="88">
        <f t="shared" si="4"/>
        <v>1</v>
      </c>
      <c r="F65" s="88">
        <v>1.35</v>
      </c>
      <c r="G65" s="88">
        <f t="shared" si="5"/>
        <v>1</v>
      </c>
      <c r="H65" s="88">
        <f t="shared" si="5"/>
        <v>1</v>
      </c>
    </row>
    <row r="66" spans="1:8" x14ac:dyDescent="0.25">
      <c r="B66" s="104"/>
      <c r="C66" s="8" t="s">
        <v>147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03" t="s">
        <v>79</v>
      </c>
      <c r="C67" s="8" t="s">
        <v>145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1.35</v>
      </c>
      <c r="H67" s="88">
        <f>IF(H14=1,1,H14*0.9)</f>
        <v>1</v>
      </c>
    </row>
    <row r="68" spans="1:8" x14ac:dyDescent="0.25">
      <c r="B68" s="104"/>
      <c r="C68" s="8" t="s">
        <v>146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1.35</v>
      </c>
      <c r="H68" s="88">
        <f>IF(H15=1,1,H15*0.9)</f>
        <v>1</v>
      </c>
    </row>
    <row r="69" spans="1:8" x14ac:dyDescent="0.25">
      <c r="B69" s="104"/>
      <c r="C69" s="8" t="s">
        <v>147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150</v>
      </c>
      <c r="C70" s="8" t="s">
        <v>147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237</v>
      </c>
      <c r="B72" s="103" t="s">
        <v>90</v>
      </c>
      <c r="C72" s="8" t="s">
        <v>145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04"/>
      <c r="C73" s="8" t="s">
        <v>146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04"/>
      <c r="C74" s="8" t="s">
        <v>147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03" t="s">
        <v>67</v>
      </c>
      <c r="C75" s="8" t="s">
        <v>145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04"/>
      <c r="C76" s="8" t="s">
        <v>146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04"/>
      <c r="C77" s="8" t="s">
        <v>147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03" t="s">
        <v>77</v>
      </c>
      <c r="C78" s="8" t="s">
        <v>145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04"/>
      <c r="C79" s="8" t="s">
        <v>146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04"/>
      <c r="C80" s="8" t="s">
        <v>147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03" t="s">
        <v>78</v>
      </c>
      <c r="C81" s="8" t="s">
        <v>145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04"/>
      <c r="C82" s="8" t="s">
        <v>146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04"/>
      <c r="C83" s="8" t="s">
        <v>147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03" t="s">
        <v>79</v>
      </c>
      <c r="C84" s="8" t="s">
        <v>145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04"/>
      <c r="C85" s="8" t="s">
        <v>146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04"/>
      <c r="C86" s="8" t="s">
        <v>147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150</v>
      </c>
      <c r="C87" s="8" t="s">
        <v>147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238</v>
      </c>
      <c r="B89" s="103" t="s">
        <v>90</v>
      </c>
      <c r="C89" s="8" t="s">
        <v>145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04"/>
      <c r="C90" s="8" t="s">
        <v>146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04"/>
      <c r="C91" s="8" t="s">
        <v>147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03" t="s">
        <v>67</v>
      </c>
      <c r="C92" s="8" t="s">
        <v>145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04"/>
      <c r="C93" s="8" t="s">
        <v>146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04"/>
      <c r="C94" s="8" t="s">
        <v>147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03" t="s">
        <v>77</v>
      </c>
      <c r="C95" s="8" t="s">
        <v>145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04"/>
      <c r="C96" s="8" t="s">
        <v>146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04"/>
      <c r="C97" s="8" t="s">
        <v>147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03" t="s">
        <v>78</v>
      </c>
      <c r="C98" s="8" t="s">
        <v>145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04"/>
      <c r="C99" s="8" t="s">
        <v>146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04"/>
      <c r="C100" s="8" t="s">
        <v>147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03" t="s">
        <v>79</v>
      </c>
      <c r="C101" s="8" t="s">
        <v>145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04"/>
      <c r="C102" s="8" t="s">
        <v>146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04"/>
      <c r="C103" s="8" t="s">
        <v>147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150</v>
      </c>
      <c r="C104" s="8" t="s">
        <v>147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239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231</v>
      </c>
      <c r="B107" s="4" t="s">
        <v>144</v>
      </c>
      <c r="C107" s="4" t="s">
        <v>159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customHeight="1" x14ac:dyDescent="0.3">
      <c r="A108" s="4" t="s">
        <v>240</v>
      </c>
      <c r="B108" s="103" t="s">
        <v>90</v>
      </c>
      <c r="C108" s="8" t="s">
        <v>145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04"/>
      <c r="C109" s="8" t="s">
        <v>146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04"/>
      <c r="C110" s="8" t="s">
        <v>147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03" t="s">
        <v>67</v>
      </c>
      <c r="C111" s="8" t="s">
        <v>145</v>
      </c>
      <c r="D111" s="88">
        <v>2.11</v>
      </c>
      <c r="E111" s="88">
        <f t="shared" ref="E111:H113" si="11">IF(E5=1,1,E5*1.05)</f>
        <v>1</v>
      </c>
      <c r="F111" s="88">
        <f t="shared" si="11"/>
        <v>1</v>
      </c>
      <c r="G111" s="88">
        <f t="shared" si="11"/>
        <v>1</v>
      </c>
      <c r="H111" s="88">
        <f t="shared" si="11"/>
        <v>1</v>
      </c>
    </row>
    <row r="112" spans="1:8" x14ac:dyDescent="0.25">
      <c r="B112" s="104"/>
      <c r="C112" s="8" t="s">
        <v>146</v>
      </c>
      <c r="D112" s="88">
        <v>2.11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1"/>
        <v>1</v>
      </c>
    </row>
    <row r="113" spans="1:8" x14ac:dyDescent="0.25">
      <c r="B113" s="104"/>
      <c r="C113" s="8" t="s">
        <v>147</v>
      </c>
      <c r="D113" s="88">
        <f t="shared" ref="D113:D123" si="12">IF(D7=1,1,D7*1.05)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1"/>
        <v>1</v>
      </c>
    </row>
    <row r="114" spans="1:8" x14ac:dyDescent="0.25">
      <c r="B114" s="103" t="s">
        <v>77</v>
      </c>
      <c r="C114" s="8" t="s">
        <v>145</v>
      </c>
      <c r="D114" s="88">
        <f t="shared" si="12"/>
        <v>1</v>
      </c>
      <c r="E114" s="88">
        <v>2.11</v>
      </c>
      <c r="F114" s="88">
        <f t="shared" ref="F114:H116" si="13">IF(F8=1,1,F8*1.05)</f>
        <v>1</v>
      </c>
      <c r="G114" s="88">
        <f t="shared" si="13"/>
        <v>1</v>
      </c>
      <c r="H114" s="88">
        <f t="shared" si="13"/>
        <v>1</v>
      </c>
    </row>
    <row r="115" spans="1:8" x14ac:dyDescent="0.25">
      <c r="B115" s="104"/>
      <c r="C115" s="8" t="s">
        <v>146</v>
      </c>
      <c r="D115" s="88">
        <f t="shared" si="12"/>
        <v>1</v>
      </c>
      <c r="E115" s="88">
        <v>2.11</v>
      </c>
      <c r="F115" s="88">
        <f t="shared" si="13"/>
        <v>1</v>
      </c>
      <c r="G115" s="88">
        <f t="shared" si="13"/>
        <v>1</v>
      </c>
      <c r="H115" s="88">
        <f t="shared" si="13"/>
        <v>1</v>
      </c>
    </row>
    <row r="116" spans="1:8" x14ac:dyDescent="0.25">
      <c r="B116" s="104"/>
      <c r="C116" s="8" t="s">
        <v>147</v>
      </c>
      <c r="D116" s="88">
        <f t="shared" si="12"/>
        <v>1</v>
      </c>
      <c r="E116" s="88">
        <f t="shared" ref="E116:E123" si="14">IF(E10=1,1,E10*1.05)</f>
        <v>1</v>
      </c>
      <c r="F116" s="88">
        <f t="shared" si="13"/>
        <v>1</v>
      </c>
      <c r="G116" s="88">
        <f t="shared" si="13"/>
        <v>1</v>
      </c>
      <c r="H116" s="88">
        <f t="shared" si="13"/>
        <v>1</v>
      </c>
    </row>
    <row r="117" spans="1:8" x14ac:dyDescent="0.25">
      <c r="B117" s="103" t="s">
        <v>78</v>
      </c>
      <c r="C117" s="8" t="s">
        <v>145</v>
      </c>
      <c r="D117" s="88">
        <f t="shared" si="12"/>
        <v>1</v>
      </c>
      <c r="E117" s="88">
        <f t="shared" si="14"/>
        <v>1</v>
      </c>
      <c r="F117" s="88">
        <v>2.11</v>
      </c>
      <c r="G117" s="88">
        <f t="shared" ref="G117:H119" si="15">IF(G11=1,1,G11*1.05)</f>
        <v>1</v>
      </c>
      <c r="H117" s="88">
        <f t="shared" si="15"/>
        <v>1</v>
      </c>
    </row>
    <row r="118" spans="1:8" x14ac:dyDescent="0.25">
      <c r="B118" s="104"/>
      <c r="C118" s="8" t="s">
        <v>146</v>
      </c>
      <c r="D118" s="88">
        <f t="shared" si="12"/>
        <v>1</v>
      </c>
      <c r="E118" s="88">
        <f t="shared" si="14"/>
        <v>1</v>
      </c>
      <c r="F118" s="88">
        <v>2.11</v>
      </c>
      <c r="G118" s="88">
        <f t="shared" si="15"/>
        <v>1</v>
      </c>
      <c r="H118" s="88">
        <f t="shared" si="15"/>
        <v>1</v>
      </c>
    </row>
    <row r="119" spans="1:8" x14ac:dyDescent="0.25">
      <c r="B119" s="104"/>
      <c r="C119" s="8" t="s">
        <v>147</v>
      </c>
      <c r="D119" s="88">
        <f t="shared" si="12"/>
        <v>1</v>
      </c>
      <c r="E119" s="88">
        <f t="shared" si="14"/>
        <v>1</v>
      </c>
      <c r="F119" s="88">
        <f>IF(F13=1,1,F13*1.05)</f>
        <v>1</v>
      </c>
      <c r="G119" s="88">
        <f t="shared" si="15"/>
        <v>1</v>
      </c>
      <c r="H119" s="88">
        <f t="shared" si="15"/>
        <v>1</v>
      </c>
    </row>
    <row r="120" spans="1:8" x14ac:dyDescent="0.25">
      <c r="B120" s="103" t="s">
        <v>79</v>
      </c>
      <c r="C120" s="8" t="s">
        <v>145</v>
      </c>
      <c r="D120" s="88">
        <f t="shared" si="12"/>
        <v>1</v>
      </c>
      <c r="E120" s="88">
        <f t="shared" si="14"/>
        <v>1</v>
      </c>
      <c r="F120" s="88">
        <f>IF(F14=1,1,F14*1.05)</f>
        <v>1</v>
      </c>
      <c r="G120" s="88">
        <v>2.11</v>
      </c>
      <c r="H120" s="88">
        <f>IF(H14=1,1,H14*1.05)</f>
        <v>1</v>
      </c>
    </row>
    <row r="121" spans="1:8" x14ac:dyDescent="0.25">
      <c r="B121" s="104"/>
      <c r="C121" s="8" t="s">
        <v>146</v>
      </c>
      <c r="D121" s="88">
        <f t="shared" si="12"/>
        <v>1</v>
      </c>
      <c r="E121" s="88">
        <f t="shared" si="14"/>
        <v>1</v>
      </c>
      <c r="F121" s="88">
        <f>IF(F15=1,1,F15*1.05)</f>
        <v>1</v>
      </c>
      <c r="G121" s="88">
        <v>2.11</v>
      </c>
      <c r="H121" s="88">
        <f>IF(H15=1,1,H15*1.05)</f>
        <v>1</v>
      </c>
    </row>
    <row r="122" spans="1:8" x14ac:dyDescent="0.25">
      <c r="B122" s="104"/>
      <c r="C122" s="8" t="s">
        <v>147</v>
      </c>
      <c r="D122" s="88">
        <f t="shared" si="12"/>
        <v>1</v>
      </c>
      <c r="E122" s="88">
        <f t="shared" si="14"/>
        <v>1</v>
      </c>
      <c r="F122" s="88">
        <f>IF(F16=1,1,F16*1.05)</f>
        <v>1</v>
      </c>
      <c r="G122" s="88">
        <f>IF(G16=1,1,G16*1.05)</f>
        <v>1</v>
      </c>
      <c r="H122" s="88">
        <f>IF(H16=1,1,H16*1.05)</f>
        <v>1</v>
      </c>
    </row>
    <row r="123" spans="1:8" ht="13" customHeight="1" x14ac:dyDescent="0.25">
      <c r="B123" s="65" t="s">
        <v>150</v>
      </c>
      <c r="C123" s="8" t="s">
        <v>147</v>
      </c>
      <c r="D123" s="88">
        <f t="shared" si="12"/>
        <v>1.1025</v>
      </c>
      <c r="E123" s="88">
        <f t="shared" si="14"/>
        <v>1.1025</v>
      </c>
      <c r="F123" s="88">
        <f>IF(F17=1,1,F17*1.05)</f>
        <v>1.1025</v>
      </c>
      <c r="G123" s="88">
        <f>IF(G17=1,1,G17*1.05)</f>
        <v>1.1025</v>
      </c>
      <c r="H123" s="88">
        <f>IF(H17=1,1,H17*1.05)</f>
        <v>1</v>
      </c>
    </row>
    <row r="124" spans="1:8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241</v>
      </c>
      <c r="B125" s="103" t="s">
        <v>90</v>
      </c>
      <c r="C125" s="8" t="s">
        <v>145</v>
      </c>
      <c r="D125" s="88">
        <f t="shared" ref="D125:H134" si="16">IF(D19=1,1,D19*1.05)</f>
        <v>1</v>
      </c>
      <c r="E125" s="88">
        <f t="shared" si="16"/>
        <v>1</v>
      </c>
      <c r="F125" s="88">
        <f t="shared" si="16"/>
        <v>1</v>
      </c>
      <c r="G125" s="88">
        <f t="shared" si="16"/>
        <v>1</v>
      </c>
      <c r="H125" s="88">
        <f t="shared" si="16"/>
        <v>1</v>
      </c>
    </row>
    <row r="126" spans="1:8" x14ac:dyDescent="0.25">
      <c r="B126" s="104"/>
      <c r="C126" s="8" t="s">
        <v>146</v>
      </c>
      <c r="D126" s="88">
        <f t="shared" si="16"/>
        <v>1</v>
      </c>
      <c r="E126" s="88">
        <f t="shared" si="16"/>
        <v>1</v>
      </c>
      <c r="F126" s="88">
        <f t="shared" si="16"/>
        <v>1</v>
      </c>
      <c r="G126" s="88">
        <f t="shared" si="16"/>
        <v>1</v>
      </c>
      <c r="H126" s="88">
        <f t="shared" si="16"/>
        <v>1</v>
      </c>
    </row>
    <row r="127" spans="1:8" x14ac:dyDescent="0.25">
      <c r="B127" s="104"/>
      <c r="C127" s="8" t="s">
        <v>147</v>
      </c>
      <c r="D127" s="88">
        <f t="shared" si="16"/>
        <v>1</v>
      </c>
      <c r="E127" s="88">
        <f t="shared" si="16"/>
        <v>1</v>
      </c>
      <c r="F127" s="88">
        <f t="shared" si="16"/>
        <v>1</v>
      </c>
      <c r="G127" s="88">
        <f t="shared" si="16"/>
        <v>1</v>
      </c>
      <c r="H127" s="88">
        <f t="shared" si="16"/>
        <v>1</v>
      </c>
    </row>
    <row r="128" spans="1:8" x14ac:dyDescent="0.25">
      <c r="B128" s="103" t="s">
        <v>67</v>
      </c>
      <c r="C128" s="8" t="s">
        <v>145</v>
      </c>
      <c r="D128" s="88">
        <f t="shared" si="16"/>
        <v>1</v>
      </c>
      <c r="E128" s="88">
        <f t="shared" si="16"/>
        <v>1</v>
      </c>
      <c r="F128" s="88">
        <f t="shared" si="16"/>
        <v>1</v>
      </c>
      <c r="G128" s="88">
        <f t="shared" si="16"/>
        <v>1</v>
      </c>
      <c r="H128" s="88">
        <f t="shared" si="16"/>
        <v>1</v>
      </c>
    </row>
    <row r="129" spans="1:8" x14ac:dyDescent="0.25">
      <c r="B129" s="104"/>
      <c r="C129" s="8" t="s">
        <v>146</v>
      </c>
      <c r="D129" s="88">
        <f t="shared" si="16"/>
        <v>1</v>
      </c>
      <c r="E129" s="88">
        <f t="shared" si="16"/>
        <v>1</v>
      </c>
      <c r="F129" s="88">
        <f t="shared" si="16"/>
        <v>1</v>
      </c>
      <c r="G129" s="88">
        <f t="shared" si="16"/>
        <v>1</v>
      </c>
      <c r="H129" s="88">
        <f t="shared" si="16"/>
        <v>1</v>
      </c>
    </row>
    <row r="130" spans="1:8" x14ac:dyDescent="0.25">
      <c r="B130" s="104"/>
      <c r="C130" s="8" t="s">
        <v>147</v>
      </c>
      <c r="D130" s="88">
        <f t="shared" si="16"/>
        <v>1</v>
      </c>
      <c r="E130" s="88">
        <f t="shared" si="16"/>
        <v>1</v>
      </c>
      <c r="F130" s="88">
        <f t="shared" si="16"/>
        <v>1</v>
      </c>
      <c r="G130" s="88">
        <f t="shared" si="16"/>
        <v>1</v>
      </c>
      <c r="H130" s="88">
        <f t="shared" si="16"/>
        <v>1</v>
      </c>
    </row>
    <row r="131" spans="1:8" x14ac:dyDescent="0.25">
      <c r="B131" s="103" t="s">
        <v>77</v>
      </c>
      <c r="C131" s="8" t="s">
        <v>145</v>
      </c>
      <c r="D131" s="88">
        <f t="shared" si="16"/>
        <v>1</v>
      </c>
      <c r="E131" s="88">
        <f t="shared" si="16"/>
        <v>1</v>
      </c>
      <c r="F131" s="88">
        <f t="shared" si="16"/>
        <v>1</v>
      </c>
      <c r="G131" s="88">
        <f t="shared" si="16"/>
        <v>1</v>
      </c>
      <c r="H131" s="88">
        <f t="shared" si="16"/>
        <v>1</v>
      </c>
    </row>
    <row r="132" spans="1:8" x14ac:dyDescent="0.25">
      <c r="B132" s="104"/>
      <c r="C132" s="8" t="s">
        <v>146</v>
      </c>
      <c r="D132" s="88">
        <f t="shared" si="16"/>
        <v>1</v>
      </c>
      <c r="E132" s="88">
        <f t="shared" si="16"/>
        <v>1</v>
      </c>
      <c r="F132" s="88">
        <f t="shared" si="16"/>
        <v>1</v>
      </c>
      <c r="G132" s="88">
        <f t="shared" si="16"/>
        <v>1</v>
      </c>
      <c r="H132" s="88">
        <f t="shared" si="16"/>
        <v>1</v>
      </c>
    </row>
    <row r="133" spans="1:8" x14ac:dyDescent="0.25">
      <c r="B133" s="104"/>
      <c r="C133" s="8" t="s">
        <v>147</v>
      </c>
      <c r="D133" s="88">
        <f t="shared" si="16"/>
        <v>1</v>
      </c>
      <c r="E133" s="88">
        <f t="shared" si="16"/>
        <v>1</v>
      </c>
      <c r="F133" s="88">
        <f t="shared" si="16"/>
        <v>1</v>
      </c>
      <c r="G133" s="88">
        <f t="shared" si="16"/>
        <v>1</v>
      </c>
      <c r="H133" s="88">
        <f t="shared" si="16"/>
        <v>1</v>
      </c>
    </row>
    <row r="134" spans="1:8" x14ac:dyDescent="0.25">
      <c r="B134" s="103" t="s">
        <v>78</v>
      </c>
      <c r="C134" s="8" t="s">
        <v>145</v>
      </c>
      <c r="D134" s="88">
        <f t="shared" si="16"/>
        <v>1</v>
      </c>
      <c r="E134" s="88">
        <f t="shared" si="16"/>
        <v>1</v>
      </c>
      <c r="F134" s="88">
        <f t="shared" si="16"/>
        <v>1</v>
      </c>
      <c r="G134" s="88">
        <f t="shared" si="16"/>
        <v>1</v>
      </c>
      <c r="H134" s="88">
        <f t="shared" si="16"/>
        <v>1</v>
      </c>
    </row>
    <row r="135" spans="1:8" x14ac:dyDescent="0.25">
      <c r="B135" s="104"/>
      <c r="C135" s="8" t="s">
        <v>146</v>
      </c>
      <c r="D135" s="88">
        <f t="shared" ref="D135:H140" si="17">IF(D29=1,1,D29*1.05)</f>
        <v>1</v>
      </c>
      <c r="E135" s="88">
        <f t="shared" si="17"/>
        <v>1</v>
      </c>
      <c r="F135" s="88">
        <f t="shared" si="17"/>
        <v>1</v>
      </c>
      <c r="G135" s="88">
        <f t="shared" si="17"/>
        <v>1</v>
      </c>
      <c r="H135" s="88">
        <f t="shared" si="17"/>
        <v>1</v>
      </c>
    </row>
    <row r="136" spans="1:8" x14ac:dyDescent="0.25">
      <c r="B136" s="104"/>
      <c r="C136" s="8" t="s">
        <v>147</v>
      </c>
      <c r="D136" s="88">
        <f t="shared" si="17"/>
        <v>1</v>
      </c>
      <c r="E136" s="88">
        <f t="shared" si="17"/>
        <v>1</v>
      </c>
      <c r="F136" s="88">
        <f t="shared" si="17"/>
        <v>1</v>
      </c>
      <c r="G136" s="88">
        <f t="shared" si="17"/>
        <v>1</v>
      </c>
      <c r="H136" s="88">
        <f t="shared" si="17"/>
        <v>1</v>
      </c>
    </row>
    <row r="137" spans="1:8" x14ac:dyDescent="0.25">
      <c r="B137" s="103" t="s">
        <v>79</v>
      </c>
      <c r="C137" s="8" t="s">
        <v>145</v>
      </c>
      <c r="D137" s="88">
        <f t="shared" si="17"/>
        <v>1</v>
      </c>
      <c r="E137" s="88">
        <f t="shared" si="17"/>
        <v>1</v>
      </c>
      <c r="F137" s="88">
        <f t="shared" si="17"/>
        <v>1</v>
      </c>
      <c r="G137" s="88">
        <f t="shared" si="17"/>
        <v>1</v>
      </c>
      <c r="H137" s="88">
        <f t="shared" si="17"/>
        <v>1</v>
      </c>
    </row>
    <row r="138" spans="1:8" x14ac:dyDescent="0.25">
      <c r="B138" s="104"/>
      <c r="C138" s="8" t="s">
        <v>146</v>
      </c>
      <c r="D138" s="88">
        <f t="shared" si="17"/>
        <v>1</v>
      </c>
      <c r="E138" s="88">
        <f t="shared" si="17"/>
        <v>1</v>
      </c>
      <c r="F138" s="88">
        <f t="shared" si="17"/>
        <v>1</v>
      </c>
      <c r="G138" s="88">
        <f t="shared" si="17"/>
        <v>1</v>
      </c>
      <c r="H138" s="88">
        <f t="shared" si="17"/>
        <v>1</v>
      </c>
    </row>
    <row r="139" spans="1:8" x14ac:dyDescent="0.25">
      <c r="B139" s="104"/>
      <c r="C139" s="8" t="s">
        <v>147</v>
      </c>
      <c r="D139" s="88">
        <f t="shared" si="17"/>
        <v>1</v>
      </c>
      <c r="E139" s="88">
        <f t="shared" si="17"/>
        <v>1</v>
      </c>
      <c r="F139" s="88">
        <f t="shared" si="17"/>
        <v>1</v>
      </c>
      <c r="G139" s="88">
        <f t="shared" si="17"/>
        <v>1</v>
      </c>
      <c r="H139" s="88">
        <f t="shared" si="17"/>
        <v>1</v>
      </c>
    </row>
    <row r="140" spans="1:8" ht="13" customHeight="1" x14ac:dyDescent="0.25">
      <c r="B140" s="65" t="s">
        <v>150</v>
      </c>
      <c r="C140" s="8" t="s">
        <v>147</v>
      </c>
      <c r="D140" s="88">
        <f t="shared" si="17"/>
        <v>1</v>
      </c>
      <c r="E140" s="88">
        <f t="shared" si="17"/>
        <v>1</v>
      </c>
      <c r="F140" s="88">
        <f t="shared" si="17"/>
        <v>1</v>
      </c>
      <c r="G140" s="88">
        <f t="shared" si="17"/>
        <v>1</v>
      </c>
      <c r="H140" s="88">
        <f t="shared" si="17"/>
        <v>1</v>
      </c>
    </row>
    <row r="141" spans="1:8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242</v>
      </c>
      <c r="B142" s="103" t="s">
        <v>90</v>
      </c>
      <c r="C142" s="8" t="s">
        <v>145</v>
      </c>
      <c r="D142" s="88">
        <f t="shared" ref="D142:H151" si="18">IF(D36=1,1,D36*1.05)</f>
        <v>1</v>
      </c>
      <c r="E142" s="88">
        <f t="shared" si="18"/>
        <v>1</v>
      </c>
      <c r="F142" s="88">
        <f t="shared" si="18"/>
        <v>1</v>
      </c>
      <c r="G142" s="88">
        <f t="shared" si="18"/>
        <v>1</v>
      </c>
      <c r="H142" s="88">
        <f t="shared" si="18"/>
        <v>1</v>
      </c>
    </row>
    <row r="143" spans="1:8" x14ac:dyDescent="0.25">
      <c r="B143" s="104"/>
      <c r="C143" s="8" t="s">
        <v>146</v>
      </c>
      <c r="D143" s="88">
        <f t="shared" si="18"/>
        <v>1</v>
      </c>
      <c r="E143" s="88">
        <f t="shared" si="18"/>
        <v>1</v>
      </c>
      <c r="F143" s="88">
        <f t="shared" si="18"/>
        <v>1</v>
      </c>
      <c r="G143" s="88">
        <f t="shared" si="18"/>
        <v>1</v>
      </c>
      <c r="H143" s="88">
        <f t="shared" si="18"/>
        <v>1</v>
      </c>
    </row>
    <row r="144" spans="1:8" x14ac:dyDescent="0.25">
      <c r="B144" s="104"/>
      <c r="C144" s="8" t="s">
        <v>147</v>
      </c>
      <c r="D144" s="88">
        <f t="shared" si="18"/>
        <v>1</v>
      </c>
      <c r="E144" s="88">
        <f t="shared" si="18"/>
        <v>1</v>
      </c>
      <c r="F144" s="88">
        <f t="shared" si="18"/>
        <v>1</v>
      </c>
      <c r="G144" s="88">
        <f t="shared" si="18"/>
        <v>1</v>
      </c>
      <c r="H144" s="88">
        <f t="shared" si="18"/>
        <v>1</v>
      </c>
    </row>
    <row r="145" spans="2:8" x14ac:dyDescent="0.25">
      <c r="B145" s="103" t="s">
        <v>67</v>
      </c>
      <c r="C145" s="8" t="s">
        <v>145</v>
      </c>
      <c r="D145" s="88">
        <f t="shared" si="18"/>
        <v>1</v>
      </c>
      <c r="E145" s="88">
        <f t="shared" si="18"/>
        <v>1</v>
      </c>
      <c r="F145" s="88">
        <f t="shared" si="18"/>
        <v>1</v>
      </c>
      <c r="G145" s="88">
        <f t="shared" si="18"/>
        <v>1</v>
      </c>
      <c r="H145" s="88">
        <f t="shared" si="18"/>
        <v>1</v>
      </c>
    </row>
    <row r="146" spans="2:8" x14ac:dyDescent="0.25">
      <c r="B146" s="104"/>
      <c r="C146" s="8" t="s">
        <v>146</v>
      </c>
      <c r="D146" s="88">
        <f t="shared" si="18"/>
        <v>1</v>
      </c>
      <c r="E146" s="88">
        <f t="shared" si="18"/>
        <v>1</v>
      </c>
      <c r="F146" s="88">
        <f t="shared" si="18"/>
        <v>1</v>
      </c>
      <c r="G146" s="88">
        <f t="shared" si="18"/>
        <v>1</v>
      </c>
      <c r="H146" s="88">
        <f t="shared" si="18"/>
        <v>1</v>
      </c>
    </row>
    <row r="147" spans="2:8" x14ac:dyDescent="0.25">
      <c r="B147" s="104"/>
      <c r="C147" s="8" t="s">
        <v>147</v>
      </c>
      <c r="D147" s="88">
        <f t="shared" si="18"/>
        <v>1</v>
      </c>
      <c r="E147" s="88">
        <f t="shared" si="18"/>
        <v>1</v>
      </c>
      <c r="F147" s="88">
        <f t="shared" si="18"/>
        <v>1</v>
      </c>
      <c r="G147" s="88">
        <f t="shared" si="18"/>
        <v>1</v>
      </c>
      <c r="H147" s="88">
        <f t="shared" si="18"/>
        <v>1</v>
      </c>
    </row>
    <row r="148" spans="2:8" x14ac:dyDescent="0.25">
      <c r="B148" s="103" t="s">
        <v>77</v>
      </c>
      <c r="C148" s="8" t="s">
        <v>145</v>
      </c>
      <c r="D148" s="88">
        <f t="shared" si="18"/>
        <v>1</v>
      </c>
      <c r="E148" s="88">
        <f t="shared" si="18"/>
        <v>1</v>
      </c>
      <c r="F148" s="88">
        <f t="shared" si="18"/>
        <v>1</v>
      </c>
      <c r="G148" s="88">
        <f t="shared" si="18"/>
        <v>1</v>
      </c>
      <c r="H148" s="88">
        <f t="shared" si="18"/>
        <v>1</v>
      </c>
    </row>
    <row r="149" spans="2:8" x14ac:dyDescent="0.25">
      <c r="B149" s="104"/>
      <c r="C149" s="8" t="s">
        <v>146</v>
      </c>
      <c r="D149" s="88">
        <f t="shared" si="18"/>
        <v>1</v>
      </c>
      <c r="E149" s="88">
        <f t="shared" si="18"/>
        <v>1</v>
      </c>
      <c r="F149" s="88">
        <f t="shared" si="18"/>
        <v>1</v>
      </c>
      <c r="G149" s="88">
        <f t="shared" si="18"/>
        <v>1</v>
      </c>
      <c r="H149" s="88">
        <f t="shared" si="18"/>
        <v>1</v>
      </c>
    </row>
    <row r="150" spans="2:8" x14ac:dyDescent="0.25">
      <c r="B150" s="104"/>
      <c r="C150" s="8" t="s">
        <v>147</v>
      </c>
      <c r="D150" s="88">
        <f t="shared" si="18"/>
        <v>1</v>
      </c>
      <c r="E150" s="88">
        <f t="shared" si="18"/>
        <v>1</v>
      </c>
      <c r="F150" s="88">
        <f t="shared" si="18"/>
        <v>1</v>
      </c>
      <c r="G150" s="88">
        <f t="shared" si="18"/>
        <v>1</v>
      </c>
      <c r="H150" s="88">
        <f t="shared" si="18"/>
        <v>1</v>
      </c>
    </row>
    <row r="151" spans="2:8" x14ac:dyDescent="0.25">
      <c r="B151" s="103" t="s">
        <v>78</v>
      </c>
      <c r="C151" s="8" t="s">
        <v>145</v>
      </c>
      <c r="D151" s="88">
        <f t="shared" si="18"/>
        <v>1</v>
      </c>
      <c r="E151" s="88">
        <f t="shared" si="18"/>
        <v>1</v>
      </c>
      <c r="F151" s="88">
        <f t="shared" si="18"/>
        <v>1</v>
      </c>
      <c r="G151" s="88">
        <f t="shared" si="18"/>
        <v>1</v>
      </c>
      <c r="H151" s="88">
        <f t="shared" si="18"/>
        <v>1</v>
      </c>
    </row>
    <row r="152" spans="2:8" x14ac:dyDescent="0.25">
      <c r="B152" s="104"/>
      <c r="C152" s="8" t="s">
        <v>146</v>
      </c>
      <c r="D152" s="88">
        <f t="shared" ref="D152:H157" si="19">IF(D46=1,1,D46*1.05)</f>
        <v>1</v>
      </c>
      <c r="E152" s="88">
        <f t="shared" si="19"/>
        <v>1</v>
      </c>
      <c r="F152" s="88">
        <f t="shared" si="19"/>
        <v>1</v>
      </c>
      <c r="G152" s="88">
        <f t="shared" si="19"/>
        <v>1</v>
      </c>
      <c r="H152" s="88">
        <f t="shared" si="19"/>
        <v>1</v>
      </c>
    </row>
    <row r="153" spans="2:8" x14ac:dyDescent="0.25">
      <c r="B153" s="104"/>
      <c r="C153" s="8" t="s">
        <v>147</v>
      </c>
      <c r="D153" s="88">
        <f t="shared" si="19"/>
        <v>1</v>
      </c>
      <c r="E153" s="88">
        <f t="shared" si="19"/>
        <v>1</v>
      </c>
      <c r="F153" s="88">
        <f t="shared" si="19"/>
        <v>1</v>
      </c>
      <c r="G153" s="88">
        <f t="shared" si="19"/>
        <v>1</v>
      </c>
      <c r="H153" s="88">
        <f t="shared" si="19"/>
        <v>1</v>
      </c>
    </row>
    <row r="154" spans="2:8" x14ac:dyDescent="0.25">
      <c r="B154" s="103" t="s">
        <v>79</v>
      </c>
      <c r="C154" s="8" t="s">
        <v>145</v>
      </c>
      <c r="D154" s="88">
        <f t="shared" si="19"/>
        <v>1</v>
      </c>
      <c r="E154" s="88">
        <f t="shared" si="19"/>
        <v>1</v>
      </c>
      <c r="F154" s="88">
        <f t="shared" si="19"/>
        <v>1</v>
      </c>
      <c r="G154" s="88">
        <f t="shared" si="19"/>
        <v>1</v>
      </c>
      <c r="H154" s="88">
        <f t="shared" si="19"/>
        <v>1</v>
      </c>
    </row>
    <row r="155" spans="2:8" x14ac:dyDescent="0.25">
      <c r="B155" s="104"/>
      <c r="C155" s="8" t="s">
        <v>146</v>
      </c>
      <c r="D155" s="88">
        <f t="shared" si="19"/>
        <v>1</v>
      </c>
      <c r="E155" s="88">
        <f t="shared" si="19"/>
        <v>1</v>
      </c>
      <c r="F155" s="88">
        <f t="shared" si="19"/>
        <v>1</v>
      </c>
      <c r="G155" s="88">
        <f t="shared" si="19"/>
        <v>1</v>
      </c>
      <c r="H155" s="88">
        <f t="shared" si="19"/>
        <v>1</v>
      </c>
    </row>
    <row r="156" spans="2:8" x14ac:dyDescent="0.25">
      <c r="B156" s="104"/>
      <c r="C156" s="8" t="s">
        <v>147</v>
      </c>
      <c r="D156" s="88">
        <f t="shared" si="19"/>
        <v>1</v>
      </c>
      <c r="E156" s="88">
        <f t="shared" si="19"/>
        <v>1</v>
      </c>
      <c r="F156" s="88">
        <f t="shared" si="19"/>
        <v>1</v>
      </c>
      <c r="G156" s="88">
        <f t="shared" si="19"/>
        <v>1</v>
      </c>
      <c r="H156" s="88">
        <f t="shared" si="19"/>
        <v>1</v>
      </c>
    </row>
    <row r="157" spans="2:8" ht="13" customHeight="1" x14ac:dyDescent="0.25">
      <c r="B157" s="65" t="s">
        <v>150</v>
      </c>
      <c r="C157" s="8" t="s">
        <v>147</v>
      </c>
      <c r="D157" s="88">
        <f t="shared" si="19"/>
        <v>1</v>
      </c>
      <c r="E157" s="88">
        <f t="shared" si="19"/>
        <v>1</v>
      </c>
      <c r="F157" s="88">
        <f t="shared" si="19"/>
        <v>1</v>
      </c>
      <c r="G157" s="88">
        <f t="shared" si="19"/>
        <v>1</v>
      </c>
      <c r="H157" s="88">
        <f t="shared" si="19"/>
        <v>1</v>
      </c>
    </row>
  </sheetData>
  <sheetProtection algorithmName="SHA-512" hashValue="kNott2FY10++7LpzvuSEUUgvKblMKWlWyTJLQ7V3mUE+D/qQXgkJjdadeNqQ4e0dbATNIZiaZUbYZr3uwCKttQ==" saltValue="MboHEiRAGE0wfo213ZYZVw==" spinCount="100000" sheet="1" selectLockedCells="1"/>
  <mergeCells count="45"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  <mergeCell ref="B111:B113"/>
    <mergeCell ref="B114:B116"/>
    <mergeCell ref="B117:B119"/>
    <mergeCell ref="B120:B122"/>
    <mergeCell ref="B125:B127"/>
    <mergeCell ref="B108:B110"/>
    <mergeCell ref="B89:B91"/>
    <mergeCell ref="B92:B94"/>
    <mergeCell ref="B95:B97"/>
    <mergeCell ref="B98:B100"/>
    <mergeCell ref="B101:B103"/>
    <mergeCell ref="B72:B74"/>
    <mergeCell ref="B75:B77"/>
    <mergeCell ref="B78:B80"/>
    <mergeCell ref="B81:B83"/>
    <mergeCell ref="B84:B86"/>
    <mergeCell ref="B55:B57"/>
    <mergeCell ref="B58:B60"/>
    <mergeCell ref="B61:B63"/>
    <mergeCell ref="B64:B66"/>
    <mergeCell ref="B67:B69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19:B21"/>
    <mergeCell ref="B2:B4"/>
    <mergeCell ref="B5:B7"/>
    <mergeCell ref="B8:B10"/>
    <mergeCell ref="B11:B13"/>
    <mergeCell ref="B14:B16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15" zoomScale="85" zoomScaleNormal="85" workbookViewId="0">
      <selection activeCell="F28" sqref="F28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243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244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245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246</v>
      </c>
      <c r="C11" s="74"/>
      <c r="D11" s="75"/>
      <c r="E11" s="75"/>
      <c r="F11" s="75"/>
    </row>
    <row r="12" spans="1:6" ht="15.75" customHeight="1" x14ac:dyDescent="0.3">
      <c r="A12" s="4" t="s">
        <v>247</v>
      </c>
      <c r="C12" s="73"/>
      <c r="D12" s="64"/>
      <c r="E12" s="64"/>
      <c r="F12" s="64"/>
    </row>
    <row r="13" spans="1:6" ht="15.75" customHeight="1" x14ac:dyDescent="0.25">
      <c r="B13" s="11" t="s">
        <v>248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249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243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250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251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246</v>
      </c>
      <c r="B38" s="68"/>
      <c r="C38" s="74"/>
      <c r="D38" s="75"/>
      <c r="E38" s="75"/>
      <c r="F38" s="75"/>
    </row>
    <row r="39" spans="1:6" ht="15.75" customHeight="1" x14ac:dyDescent="0.3">
      <c r="A39" s="4" t="s">
        <v>252</v>
      </c>
      <c r="C39" s="73"/>
      <c r="D39" s="64"/>
      <c r="E39" s="64"/>
      <c r="F39" s="64"/>
    </row>
    <row r="40" spans="1:6" ht="15.75" customHeight="1" x14ac:dyDescent="0.25">
      <c r="B40" s="11" t="s">
        <v>253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254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255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256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239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243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257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258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246</v>
      </c>
      <c r="B65" s="68"/>
      <c r="C65" s="74"/>
      <c r="D65" s="75"/>
      <c r="E65" s="75"/>
      <c r="F65" s="75"/>
    </row>
    <row r="66" spans="1:6" ht="15.75" customHeight="1" x14ac:dyDescent="0.3">
      <c r="A66" s="4" t="s">
        <v>259</v>
      </c>
      <c r="C66" s="73"/>
      <c r="D66" s="64"/>
      <c r="E66" s="64"/>
      <c r="F66" s="64"/>
    </row>
    <row r="67" spans="1:6" ht="15.75" customHeight="1" x14ac:dyDescent="0.25">
      <c r="B67" s="11" t="s">
        <v>260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261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263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a0aX2VfGYRJWLRZcCd5z7lhlUmGJO/EzN4cg0Snhkl/IJQUK1zIL/9W0H+8Dtzn8tPzB4mSWxW65xqA1yiTgOA==" saltValue="o1GVWZzk0+60bY16Wxar5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F28" sqref="F28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264</v>
      </c>
    </row>
    <row r="2" spans="1:16" ht="13" customHeight="1" x14ac:dyDescent="0.3">
      <c r="A2" s="39" t="s">
        <v>225</v>
      </c>
      <c r="B2" s="1" t="s">
        <v>265</v>
      </c>
      <c r="C2" s="1" t="s">
        <v>266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81</v>
      </c>
      <c r="C3" s="3" t="s">
        <v>267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270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270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270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270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270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270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271</v>
      </c>
    </row>
    <row r="29" spans="1:16" ht="13" customHeight="1" x14ac:dyDescent="0.3">
      <c r="A29" s="39" t="s">
        <v>272</v>
      </c>
      <c r="B29" s="4" t="s">
        <v>265</v>
      </c>
      <c r="C29" s="4" t="s">
        <v>273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81</v>
      </c>
      <c r="C30" s="3" t="s">
        <v>267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204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205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204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205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204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205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204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205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204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205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204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205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274</v>
      </c>
    </row>
    <row r="56" spans="1:16" ht="26" customHeight="1" x14ac:dyDescent="0.3">
      <c r="A56" s="39" t="s">
        <v>111</v>
      </c>
      <c r="B56" s="4" t="s">
        <v>265</v>
      </c>
      <c r="C56" s="69" t="s">
        <v>275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91</v>
      </c>
      <c r="C57" s="3" t="s">
        <v>276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277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276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277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276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277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278</v>
      </c>
    </row>
    <row r="65" spans="1:16" ht="26" customHeight="1" x14ac:dyDescent="0.3">
      <c r="A65" s="39" t="s">
        <v>118</v>
      </c>
      <c r="B65" s="4" t="s">
        <v>265</v>
      </c>
      <c r="C65" s="69" t="s">
        <v>279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68</v>
      </c>
      <c r="C66" s="3" t="s">
        <v>119</v>
      </c>
      <c r="D66" s="90">
        <v>1.35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1.35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1.35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280</v>
      </c>
    </row>
    <row r="104" spans="1:16" ht="26" customHeight="1" x14ac:dyDescent="0.3">
      <c r="A104" s="39" t="s">
        <v>81</v>
      </c>
      <c r="B104" s="82" t="s">
        <v>122</v>
      </c>
      <c r="C104" s="69" t="s">
        <v>279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264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225</v>
      </c>
      <c r="B112" s="1" t="s">
        <v>265</v>
      </c>
      <c r="C112" s="1" t="s">
        <v>266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customHeight="1" x14ac:dyDescent="0.3">
      <c r="A113" s="4"/>
      <c r="B113" s="8" t="s">
        <v>81</v>
      </c>
      <c r="C113" s="3" t="s">
        <v>267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270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270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270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270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270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267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270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271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272</v>
      </c>
      <c r="B139" s="4" t="s">
        <v>265</v>
      </c>
      <c r="C139" s="4" t="s">
        <v>273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customHeight="1" x14ac:dyDescent="0.3">
      <c r="A140" s="4"/>
      <c r="B140" s="8" t="s">
        <v>81</v>
      </c>
      <c r="C140" s="3" t="s">
        <v>267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204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205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204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205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204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205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204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205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204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205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267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204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205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274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111</v>
      </c>
      <c r="B166" s="4" t="s">
        <v>265</v>
      </c>
      <c r="C166" s="69" t="s">
        <v>275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customHeight="1" x14ac:dyDescent="0.3">
      <c r="A167" s="4"/>
      <c r="B167" s="8" t="s">
        <v>91</v>
      </c>
      <c r="C167" s="3" t="s">
        <v>276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277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276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277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276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277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278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118</v>
      </c>
      <c r="B175" s="4" t="s">
        <v>265</v>
      </c>
      <c r="C175" s="69" t="s">
        <v>279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customHeight="1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1.2150000000000001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1.2150000000000001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1.2150000000000001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280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81</v>
      </c>
      <c r="B214" s="82" t="s">
        <v>122</v>
      </c>
      <c r="C214" s="69" t="s">
        <v>279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customHeight="1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239</v>
      </c>
      <c r="H220" s="92"/>
    </row>
    <row r="221" spans="1:9" ht="13" customHeight="1" x14ac:dyDescent="0.3">
      <c r="A221" s="67" t="s">
        <v>264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225</v>
      </c>
      <c r="B222" s="1" t="s">
        <v>265</v>
      </c>
      <c r="C222" s="1" t="s">
        <v>266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customHeight="1" x14ac:dyDescent="0.3">
      <c r="A223" s="4"/>
      <c r="B223" s="8" t="s">
        <v>81</v>
      </c>
      <c r="C223" s="3" t="s">
        <v>267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270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270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270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270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270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267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270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272</v>
      </c>
      <c r="B249" s="4" t="s">
        <v>265</v>
      </c>
      <c r="C249" s="4" t="s">
        <v>273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customHeight="1" x14ac:dyDescent="0.3">
      <c r="A250" s="4"/>
      <c r="B250" s="8" t="s">
        <v>81</v>
      </c>
      <c r="C250" s="3" t="s">
        <v>267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204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205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204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205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204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205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204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205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204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205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267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204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205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274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111</v>
      </c>
      <c r="B276" s="4" t="s">
        <v>265</v>
      </c>
      <c r="C276" s="69" t="s">
        <v>275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customHeight="1" x14ac:dyDescent="0.3">
      <c r="A277" s="4"/>
      <c r="B277" s="8" t="s">
        <v>91</v>
      </c>
      <c r="C277" s="3" t="s">
        <v>276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277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276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277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276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277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278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118</v>
      </c>
      <c r="B285" s="4" t="s">
        <v>265</v>
      </c>
      <c r="C285" s="69" t="s">
        <v>279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customHeight="1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1.4850000000000003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1.4850000000000003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1.4850000000000003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280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81</v>
      </c>
      <c r="B324" s="82" t="s">
        <v>122</v>
      </c>
      <c r="C324" s="69" t="s">
        <v>279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customHeight="1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1gEiboypgN1VYdmLYuHEsviiXDH91vsC32xKqzOEbclcsh2pOXs0vX071vry3NRJsC+T2/BNfpXbXWW7dldjVQ==" saltValue="XZihSWmo245BlR0GYalyd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zoomScale="70" zoomScaleNormal="70" workbookViewId="0">
      <selection activeCell="E53" sqref="E53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281</v>
      </c>
    </row>
    <row r="2" spans="1:7" ht="14.25" customHeight="1" x14ac:dyDescent="0.3">
      <c r="A2" s="82" t="s">
        <v>203</v>
      </c>
      <c r="B2" s="1"/>
      <c r="C2" s="4" t="s">
        <v>67</v>
      </c>
      <c r="D2" s="4" t="s">
        <v>77</v>
      </c>
      <c r="E2" s="4" t="s">
        <v>78</v>
      </c>
      <c r="F2" s="4" t="s">
        <v>79</v>
      </c>
      <c r="G2" s="4" t="s">
        <v>80</v>
      </c>
    </row>
    <row r="3" spans="1:7" ht="14.25" customHeight="1" x14ac:dyDescent="0.25">
      <c r="B3" s="11" t="s">
        <v>282</v>
      </c>
      <c r="C3" s="90" t="s">
        <v>283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284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285</v>
      </c>
    </row>
    <row r="6" spans="1:7" ht="14.25" customHeight="1" x14ac:dyDescent="0.25">
      <c r="B6" s="5" t="s">
        <v>191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184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192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286</v>
      </c>
    </row>
    <row r="12" spans="1:7" ht="14.25" customHeight="1" x14ac:dyDescent="0.3">
      <c r="A12" s="14"/>
      <c r="B12" s="11" t="s">
        <v>183</v>
      </c>
      <c r="C12" s="90">
        <v>1.5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287</v>
      </c>
    </row>
    <row r="15" spans="1:7" ht="14.25" customHeight="1" x14ac:dyDescent="0.3">
      <c r="A15" s="82" t="s">
        <v>272</v>
      </c>
      <c r="B15" s="5" t="s">
        <v>288</v>
      </c>
      <c r="C15" s="90">
        <v>1.0249999999999999</v>
      </c>
      <c r="D15" s="90">
        <v>1.0249999999999999</v>
      </c>
      <c r="E15" s="90">
        <v>1.0249999999999999</v>
      </c>
      <c r="F15" s="90">
        <v>1.0249999999999999</v>
      </c>
      <c r="G15" s="90">
        <v>1.0249999999999999</v>
      </c>
    </row>
    <row r="16" spans="1:7" ht="14.25" customHeight="1" x14ac:dyDescent="0.3">
      <c r="A16" s="4"/>
      <c r="B16" s="5" t="s">
        <v>289</v>
      </c>
      <c r="C16" s="90">
        <v>1.0249999999999999</v>
      </c>
      <c r="D16" s="90">
        <v>1.0249999999999999</v>
      </c>
      <c r="E16" s="90">
        <v>1.0249999999999999</v>
      </c>
      <c r="F16" s="90">
        <v>1.0249999999999999</v>
      </c>
      <c r="G16" s="90">
        <v>1.0249999999999999</v>
      </c>
    </row>
    <row r="17" spans="1:7" ht="14.25" customHeight="1" x14ac:dyDescent="0.3">
      <c r="A17" s="82" t="s">
        <v>111</v>
      </c>
      <c r="B17" s="11" t="s">
        <v>290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291</v>
      </c>
    </row>
    <row r="20" spans="1:7" s="14" customFormat="1" ht="14.25" customHeight="1" x14ac:dyDescent="0.3">
      <c r="C20" s="4" t="s">
        <v>58</v>
      </c>
      <c r="D20" s="4" t="s">
        <v>59</v>
      </c>
      <c r="E20" s="4" t="s">
        <v>60</v>
      </c>
      <c r="F20" s="4" t="s">
        <v>61</v>
      </c>
    </row>
    <row r="21" spans="1:7" x14ac:dyDescent="0.25">
      <c r="B21" s="11" t="s">
        <v>171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281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203</v>
      </c>
      <c r="B25" s="1"/>
      <c r="C25" s="4" t="s">
        <v>67</v>
      </c>
      <c r="D25" s="4" t="s">
        <v>77</v>
      </c>
      <c r="E25" s="4" t="s">
        <v>78</v>
      </c>
      <c r="F25" s="4" t="s">
        <v>79</v>
      </c>
      <c r="G25" s="4" t="s">
        <v>80</v>
      </c>
    </row>
    <row r="26" spans="1:7" x14ac:dyDescent="0.25">
      <c r="B26" s="11" t="s">
        <v>292</v>
      </c>
      <c r="C26" s="90" t="s">
        <v>283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293</v>
      </c>
      <c r="C27" s="90">
        <f>IF(C4=1,1,C4*0.9)</f>
        <v>0.92249999999999999</v>
      </c>
      <c r="D27" s="90">
        <f>IF(D4=1,1,D4*0.9)</f>
        <v>0.92249999999999999</v>
      </c>
      <c r="E27" s="90">
        <f>IF(E4=1,1,E4*0.9)</f>
        <v>0.92249999999999999</v>
      </c>
      <c r="F27" s="90">
        <f>IF(F4=1,1,F4*0.9)</f>
        <v>0.92249999999999999</v>
      </c>
      <c r="G27" s="90">
        <f>IF(G4=1,1,G4*0.9)</f>
        <v>0.92249999999999999</v>
      </c>
    </row>
    <row r="28" spans="1:7" ht="13" customHeight="1" x14ac:dyDescent="0.3">
      <c r="A28" s="14" t="s">
        <v>294</v>
      </c>
    </row>
    <row r="29" spans="1:7" x14ac:dyDescent="0.25">
      <c r="B29" s="5" t="s">
        <v>295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296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297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298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299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300</v>
      </c>
      <c r="C35" s="90">
        <v>1.26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287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272</v>
      </c>
      <c r="B38" s="5" t="s">
        <v>301</v>
      </c>
      <c r="C38" s="90">
        <f t="shared" ref="C38:G40" si="1">IF(C15=1,1,C15*0.9)</f>
        <v>0.92249999999999999</v>
      </c>
      <c r="D38" s="90">
        <f t="shared" si="1"/>
        <v>0.92249999999999999</v>
      </c>
      <c r="E38" s="90">
        <f t="shared" si="1"/>
        <v>0.92249999999999999</v>
      </c>
      <c r="F38" s="90">
        <f t="shared" si="1"/>
        <v>0.92249999999999999</v>
      </c>
      <c r="G38" s="90">
        <f t="shared" si="1"/>
        <v>0.92249999999999999</v>
      </c>
    </row>
    <row r="39" spans="1:7" ht="13" customHeight="1" x14ac:dyDescent="0.3">
      <c r="A39" s="4"/>
      <c r="B39" s="5" t="s">
        <v>302</v>
      </c>
      <c r="C39" s="90">
        <f t="shared" si="1"/>
        <v>0.92249999999999999</v>
      </c>
      <c r="D39" s="90">
        <f t="shared" si="1"/>
        <v>0.92249999999999999</v>
      </c>
      <c r="E39" s="90">
        <f t="shared" si="1"/>
        <v>0.92249999999999999</v>
      </c>
      <c r="F39" s="90">
        <f t="shared" si="1"/>
        <v>0.92249999999999999</v>
      </c>
      <c r="G39" s="90">
        <f t="shared" si="1"/>
        <v>0.92249999999999999</v>
      </c>
    </row>
    <row r="40" spans="1:7" ht="13" customHeight="1" x14ac:dyDescent="0.3">
      <c r="A40" s="82" t="s">
        <v>111</v>
      </c>
      <c r="B40" s="11" t="s">
        <v>303</v>
      </c>
      <c r="C40" s="90">
        <f t="shared" si="1"/>
        <v>1</v>
      </c>
      <c r="D40" s="90">
        <f t="shared" si="1"/>
        <v>1</v>
      </c>
      <c r="E40" s="90">
        <f t="shared" si="1"/>
        <v>1</v>
      </c>
      <c r="F40" s="90">
        <f t="shared" si="1"/>
        <v>1</v>
      </c>
      <c r="G40" s="90">
        <f t="shared" si="1"/>
        <v>1</v>
      </c>
    </row>
    <row r="42" spans="1:7" ht="13" customHeight="1" x14ac:dyDescent="0.3">
      <c r="A42" s="67" t="s">
        <v>304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58</v>
      </c>
      <c r="D43" s="4" t="s">
        <v>59</v>
      </c>
      <c r="E43" s="4" t="s">
        <v>60</v>
      </c>
      <c r="F43" s="4" t="s">
        <v>61</v>
      </c>
      <c r="G43" s="14"/>
    </row>
    <row r="44" spans="1:7" x14ac:dyDescent="0.25">
      <c r="B44" s="11" t="s">
        <v>305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239</v>
      </c>
    </row>
    <row r="47" spans="1:7" ht="13" customHeight="1" x14ac:dyDescent="0.3">
      <c r="A47" s="67" t="s">
        <v>281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203</v>
      </c>
      <c r="B48" s="1"/>
      <c r="C48" s="4" t="s">
        <v>67</v>
      </c>
      <c r="D48" s="4" t="s">
        <v>77</v>
      </c>
      <c r="E48" s="4" t="s">
        <v>78</v>
      </c>
      <c r="F48" s="4" t="s">
        <v>79</v>
      </c>
      <c r="G48" s="4" t="s">
        <v>80</v>
      </c>
    </row>
    <row r="49" spans="1:7" x14ac:dyDescent="0.25">
      <c r="B49" s="11" t="s">
        <v>306</v>
      </c>
      <c r="C49" s="90" t="s">
        <v>283</v>
      </c>
      <c r="D49" s="90">
        <f t="shared" ref="D49:G50" si="2">D3*1.05</f>
        <v>47.25</v>
      </c>
      <c r="E49" s="90">
        <f t="shared" si="2"/>
        <v>379.68000000000006</v>
      </c>
      <c r="F49" s="90">
        <f t="shared" si="2"/>
        <v>183.435</v>
      </c>
      <c r="G49" s="90">
        <f t="shared" si="2"/>
        <v>183.435</v>
      </c>
    </row>
    <row r="50" spans="1:7" ht="13" customHeight="1" x14ac:dyDescent="0.3">
      <c r="A50" s="4"/>
      <c r="B50" s="5" t="s">
        <v>307</v>
      </c>
      <c r="C50" s="90">
        <f>C4*1.05</f>
        <v>1.0762499999999999</v>
      </c>
      <c r="D50" s="90">
        <f t="shared" si="2"/>
        <v>1.0762499999999999</v>
      </c>
      <c r="E50" s="90">
        <f t="shared" si="2"/>
        <v>1.0762499999999999</v>
      </c>
      <c r="F50" s="90">
        <f t="shared" si="2"/>
        <v>1.0762499999999999</v>
      </c>
      <c r="G50" s="90">
        <f t="shared" si="2"/>
        <v>1.0762499999999999</v>
      </c>
    </row>
    <row r="51" spans="1:7" ht="13" customHeight="1" x14ac:dyDescent="0.3">
      <c r="A51" s="14" t="s">
        <v>308</v>
      </c>
    </row>
    <row r="52" spans="1:7" x14ac:dyDescent="0.25">
      <c r="B52" s="5" t="s">
        <v>309</v>
      </c>
      <c r="C52" s="90">
        <f t="shared" ref="C52:D55" si="3">IF(C6=1,1,C6*1.1)</f>
        <v>1</v>
      </c>
      <c r="D52" s="90">
        <f t="shared" si="3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310</v>
      </c>
      <c r="C53" s="90">
        <f t="shared" si="3"/>
        <v>1</v>
      </c>
      <c r="D53" s="90">
        <f t="shared" si="3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311</v>
      </c>
      <c r="C54" s="90">
        <f t="shared" si="3"/>
        <v>1</v>
      </c>
      <c r="D54" s="90">
        <f t="shared" si="3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312</v>
      </c>
      <c r="C55" s="90">
        <f t="shared" si="3"/>
        <v>1</v>
      </c>
      <c r="D55" s="90">
        <f t="shared" si="3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313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314</v>
      </c>
      <c r="C58" s="90">
        <v>1.78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287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272</v>
      </c>
      <c r="B61" s="5" t="s">
        <v>315</v>
      </c>
      <c r="C61" s="90">
        <f t="shared" ref="C61:G63" si="4">IF(C15=1,1,C15*1.1)</f>
        <v>1.1274999999999999</v>
      </c>
      <c r="D61" s="90">
        <f t="shared" si="4"/>
        <v>1.1274999999999999</v>
      </c>
      <c r="E61" s="90">
        <f t="shared" si="4"/>
        <v>1.1274999999999999</v>
      </c>
      <c r="F61" s="90">
        <f t="shared" si="4"/>
        <v>1.1274999999999999</v>
      </c>
      <c r="G61" s="90">
        <f t="shared" si="4"/>
        <v>1.1274999999999999</v>
      </c>
    </row>
    <row r="62" spans="1:7" ht="13" customHeight="1" x14ac:dyDescent="0.3">
      <c r="A62" s="4"/>
      <c r="B62" s="5" t="s">
        <v>316</v>
      </c>
      <c r="C62" s="90">
        <f t="shared" si="4"/>
        <v>1.1274999999999999</v>
      </c>
      <c r="D62" s="90">
        <f t="shared" si="4"/>
        <v>1.1274999999999999</v>
      </c>
      <c r="E62" s="90">
        <f t="shared" si="4"/>
        <v>1.1274999999999999</v>
      </c>
      <c r="F62" s="90">
        <f t="shared" si="4"/>
        <v>1.1274999999999999</v>
      </c>
      <c r="G62" s="90">
        <f t="shared" si="4"/>
        <v>1.1274999999999999</v>
      </c>
    </row>
    <row r="63" spans="1:7" ht="13" customHeight="1" x14ac:dyDescent="0.3">
      <c r="A63" s="82" t="s">
        <v>111</v>
      </c>
      <c r="B63" s="11" t="s">
        <v>317</v>
      </c>
      <c r="C63" s="90">
        <f t="shared" si="4"/>
        <v>1</v>
      </c>
      <c r="D63" s="90">
        <f t="shared" si="4"/>
        <v>1</v>
      </c>
      <c r="E63" s="90">
        <f t="shared" si="4"/>
        <v>1</v>
      </c>
      <c r="F63" s="90">
        <f t="shared" si="4"/>
        <v>1</v>
      </c>
      <c r="G63" s="90">
        <f t="shared" si="4"/>
        <v>1</v>
      </c>
    </row>
    <row r="65" spans="1:7" ht="13" customHeight="1" x14ac:dyDescent="0.3">
      <c r="A65" s="67" t="s">
        <v>318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58</v>
      </c>
      <c r="D66" s="4" t="s">
        <v>59</v>
      </c>
      <c r="E66" s="4" t="s">
        <v>60</v>
      </c>
      <c r="F66" s="4" t="s">
        <v>61</v>
      </c>
      <c r="G66" s="14"/>
    </row>
    <row r="67" spans="1:7" x14ac:dyDescent="0.25">
      <c r="B67" s="11" t="s">
        <v>319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Z5W0iLQonUXgebQ0oBIAJiknKvZHIMnPuF1vh21+BfR+VnJC7YVzBoFQiTm+hEbHNMOFIRa563Ft7+Jm2vvcKg==" saltValue="MgosxU+mdCbdebb7wBaTK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zoomScale="70" zoomScaleNormal="70" workbookViewId="0">
      <selection activeCell="C12" sqref="C12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156</v>
      </c>
      <c r="B1" s="4"/>
      <c r="C1" s="4" t="s">
        <v>40</v>
      </c>
      <c r="D1" s="4" t="s">
        <v>42</v>
      </c>
      <c r="E1" s="4" t="s">
        <v>41</v>
      </c>
      <c r="F1" s="1" t="s">
        <v>43</v>
      </c>
    </row>
    <row r="2" spans="1:6" ht="15.75" customHeight="1" x14ac:dyDescent="0.25">
      <c r="A2" s="5" t="s">
        <v>166</v>
      </c>
      <c r="B2" s="5" t="s">
        <v>320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321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179</v>
      </c>
      <c r="B4" s="5" t="s">
        <v>320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321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180</v>
      </c>
      <c r="B6" s="5" t="s">
        <v>320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321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181</v>
      </c>
      <c r="B8" s="5" t="s">
        <v>320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321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185</v>
      </c>
      <c r="B10" s="5" t="s">
        <v>320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321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189</v>
      </c>
      <c r="B12" s="5" t="s">
        <v>320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321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156</v>
      </c>
      <c r="B16" s="4"/>
      <c r="C16" s="4" t="s">
        <v>40</v>
      </c>
      <c r="D16" s="4" t="s">
        <v>42</v>
      </c>
      <c r="E16" s="4" t="s">
        <v>41</v>
      </c>
      <c r="F16" s="1" t="s">
        <v>43</v>
      </c>
    </row>
    <row r="17" spans="1:6" ht="15.75" customHeight="1" x14ac:dyDescent="0.25">
      <c r="A17" s="5" t="s">
        <v>166</v>
      </c>
      <c r="B17" s="5" t="s">
        <v>320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321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179</v>
      </c>
      <c r="B19" s="5" t="s">
        <v>320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321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180</v>
      </c>
      <c r="B21" s="5" t="s">
        <v>320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321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181</v>
      </c>
      <c r="B23" s="5" t="s">
        <v>320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321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185</v>
      </c>
      <c r="B25" s="5" t="s">
        <v>320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321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189</v>
      </c>
      <c r="B27" s="5" t="s">
        <v>320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321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239</v>
      </c>
    </row>
    <row r="31" spans="1:6" ht="15.75" customHeight="1" x14ac:dyDescent="0.3">
      <c r="A31" s="1" t="s">
        <v>156</v>
      </c>
      <c r="B31" s="4"/>
      <c r="C31" s="4" t="s">
        <v>40</v>
      </c>
      <c r="D31" s="4" t="s">
        <v>42</v>
      </c>
      <c r="E31" s="4" t="s">
        <v>41</v>
      </c>
      <c r="F31" s="1" t="s">
        <v>43</v>
      </c>
    </row>
    <row r="32" spans="1:6" ht="15.75" customHeight="1" x14ac:dyDescent="0.25">
      <c r="A32" s="5" t="s">
        <v>166</v>
      </c>
      <c r="B32" s="5" t="s">
        <v>320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321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179</v>
      </c>
      <c r="B34" s="5" t="s">
        <v>320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321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180</v>
      </c>
      <c r="B36" s="5" t="s">
        <v>320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321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181</v>
      </c>
      <c r="B38" s="5" t="s">
        <v>320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321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185</v>
      </c>
      <c r="B40" s="5" t="s">
        <v>320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321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189</v>
      </c>
      <c r="B42" s="5" t="s">
        <v>320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321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LnjPs+tiryCjGlxIcCoc9VYZVK7anRAVHCvKud83EfjtgKW0vUQr2FSI3nvdju1neMs4gxoXRQGAXnwHTy0eGQ==" saltValue="uusuOaSrLiI1eiqZNmtU+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topLeftCell="A2" zoomScale="70" zoomScaleNormal="70" workbookViewId="0">
      <selection activeCell="H14" sqref="H14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customHeight="1" x14ac:dyDescent="0.3">
      <c r="A2" s="4" t="s">
        <v>322</v>
      </c>
    </row>
    <row r="3" spans="1:15" x14ac:dyDescent="0.25">
      <c r="B3" s="11" t="s">
        <v>170</v>
      </c>
      <c r="C3" s="90">
        <v>0.92</v>
      </c>
      <c r="D3" s="90">
        <v>0.53</v>
      </c>
      <c r="E3" s="90">
        <v>1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180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184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188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192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323</v>
      </c>
      <c r="B17" s="11"/>
    </row>
    <row r="18" spans="1:15" x14ac:dyDescent="0.25">
      <c r="B18" s="5" t="s">
        <v>172</v>
      </c>
      <c r="C18" s="90">
        <v>1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90">
        <v>1</v>
      </c>
      <c r="J18" s="90">
        <v>1</v>
      </c>
      <c r="K18" s="90">
        <v>1</v>
      </c>
      <c r="L18" s="90">
        <v>1</v>
      </c>
      <c r="M18" s="90">
        <v>1</v>
      </c>
      <c r="N18" s="90">
        <v>1</v>
      </c>
      <c r="O18" s="90">
        <v>1</v>
      </c>
    </row>
    <row r="19" spans="1:15" x14ac:dyDescent="0.25">
      <c r="B19" s="5" t="s">
        <v>173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174</v>
      </c>
      <c r="C20" s="90">
        <v>1</v>
      </c>
      <c r="D20" s="90">
        <v>1</v>
      </c>
      <c r="E20" s="90">
        <f t="shared" ref="E20:O20" si="0">E19</f>
        <v>0.97599999999999998</v>
      </c>
      <c r="F20" s="90">
        <f t="shared" si="0"/>
        <v>0.97599999999999998</v>
      </c>
      <c r="G20" s="90">
        <f t="shared" si="0"/>
        <v>0.97599999999999998</v>
      </c>
      <c r="H20" s="90">
        <f t="shared" si="0"/>
        <v>0.97599999999999998</v>
      </c>
      <c r="I20" s="90">
        <f t="shared" si="0"/>
        <v>0.97599999999999998</v>
      </c>
      <c r="J20" s="90">
        <f t="shared" si="0"/>
        <v>0.97599999999999998</v>
      </c>
      <c r="K20" s="90">
        <f t="shared" si="0"/>
        <v>0.97599999999999998</v>
      </c>
      <c r="L20" s="90">
        <f t="shared" si="0"/>
        <v>0.97599999999999998</v>
      </c>
      <c r="M20" s="90">
        <f t="shared" si="0"/>
        <v>0.97599999999999998</v>
      </c>
      <c r="N20" s="90">
        <f t="shared" si="0"/>
        <v>0.97599999999999998</v>
      </c>
      <c r="O20" s="90">
        <f t="shared" si="0"/>
        <v>0.97599999999999998</v>
      </c>
    </row>
    <row r="21" spans="1:15" x14ac:dyDescent="0.25">
      <c r="B21" s="5" t="s">
        <v>182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customHeight="1" x14ac:dyDescent="0.3">
      <c r="A25" s="4" t="s">
        <v>324</v>
      </c>
    </row>
    <row r="26" spans="1:15" x14ac:dyDescent="0.25">
      <c r="B26" s="11" t="s">
        <v>170</v>
      </c>
      <c r="C26" s="90">
        <v>0.87</v>
      </c>
      <c r="D26" s="90">
        <v>0.4</v>
      </c>
      <c r="E26" s="90">
        <f t="shared" ref="E26:O26" si="1">IF(E3=1,1,E3*0.9)</f>
        <v>1</v>
      </c>
      <c r="F26" s="90">
        <f t="shared" si="1"/>
        <v>1</v>
      </c>
      <c r="G26" s="90">
        <f t="shared" si="1"/>
        <v>1</v>
      </c>
      <c r="H26" s="90">
        <f t="shared" si="1"/>
        <v>1</v>
      </c>
      <c r="I26" s="90">
        <f t="shared" si="1"/>
        <v>1</v>
      </c>
      <c r="J26" s="90">
        <f t="shared" si="1"/>
        <v>1</v>
      </c>
      <c r="K26" s="90">
        <f t="shared" si="1"/>
        <v>1</v>
      </c>
      <c r="L26" s="90">
        <f t="shared" si="1"/>
        <v>1</v>
      </c>
      <c r="M26" s="90">
        <f t="shared" si="1"/>
        <v>1</v>
      </c>
      <c r="N26" s="90">
        <f t="shared" si="1"/>
        <v>1</v>
      </c>
      <c r="O26" s="90">
        <f t="shared" si="1"/>
        <v>1</v>
      </c>
    </row>
    <row r="27" spans="1:15" x14ac:dyDescent="0.25">
      <c r="B27" s="11" t="s">
        <v>175</v>
      </c>
      <c r="C27" s="90">
        <f t="shared" ref="C27:G33" si="2">IF(C4=1,1,C4*0.9)</f>
        <v>1</v>
      </c>
      <c r="D27" s="90">
        <f t="shared" si="2"/>
        <v>1</v>
      </c>
      <c r="E27" s="90">
        <f t="shared" si="2"/>
        <v>1</v>
      </c>
      <c r="F27" s="90">
        <f t="shared" si="2"/>
        <v>1</v>
      </c>
      <c r="G27" s="90">
        <f t="shared" si="2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3">IF(L4=1,1,L4*0.9)</f>
        <v>1</v>
      </c>
      <c r="M27" s="90">
        <f t="shared" si="3"/>
        <v>1</v>
      </c>
      <c r="N27" s="90">
        <f t="shared" si="3"/>
        <v>1</v>
      </c>
      <c r="O27" s="90">
        <f t="shared" si="3"/>
        <v>1</v>
      </c>
    </row>
    <row r="28" spans="1:15" x14ac:dyDescent="0.25">
      <c r="B28" s="11" t="s">
        <v>176</v>
      </c>
      <c r="C28" s="90">
        <f t="shared" si="2"/>
        <v>1</v>
      </c>
      <c r="D28" s="90">
        <f t="shared" si="2"/>
        <v>1</v>
      </c>
      <c r="E28" s="90">
        <f t="shared" si="2"/>
        <v>1</v>
      </c>
      <c r="F28" s="90">
        <f t="shared" si="2"/>
        <v>1</v>
      </c>
      <c r="G28" s="90">
        <f t="shared" si="2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3"/>
        <v>1</v>
      </c>
      <c r="M28" s="90">
        <f t="shared" si="3"/>
        <v>1</v>
      </c>
      <c r="N28" s="90">
        <f t="shared" si="3"/>
        <v>1</v>
      </c>
      <c r="O28" s="90">
        <f t="shared" si="3"/>
        <v>1</v>
      </c>
    </row>
    <row r="29" spans="1:15" x14ac:dyDescent="0.25">
      <c r="B29" s="11" t="s">
        <v>177</v>
      </c>
      <c r="C29" s="90">
        <f t="shared" si="2"/>
        <v>1</v>
      </c>
      <c r="D29" s="90">
        <f t="shared" si="2"/>
        <v>1</v>
      </c>
      <c r="E29" s="90">
        <f t="shared" si="2"/>
        <v>1</v>
      </c>
      <c r="F29" s="90">
        <f t="shared" si="2"/>
        <v>1</v>
      </c>
      <c r="G29" s="90">
        <f t="shared" si="2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3"/>
        <v>1</v>
      </c>
      <c r="M29" s="90">
        <f t="shared" si="3"/>
        <v>1</v>
      </c>
      <c r="N29" s="90">
        <f t="shared" si="3"/>
        <v>1</v>
      </c>
      <c r="O29" s="90">
        <f t="shared" si="3"/>
        <v>1</v>
      </c>
    </row>
    <row r="30" spans="1:15" x14ac:dyDescent="0.25">
      <c r="B30" s="11" t="s">
        <v>178</v>
      </c>
      <c r="C30" s="90">
        <f t="shared" si="2"/>
        <v>1</v>
      </c>
      <c r="D30" s="90">
        <f t="shared" si="2"/>
        <v>1</v>
      </c>
      <c r="E30" s="90">
        <f t="shared" si="2"/>
        <v>1</v>
      </c>
      <c r="F30" s="90">
        <f t="shared" si="2"/>
        <v>1</v>
      </c>
      <c r="G30" s="90">
        <f t="shared" si="2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3"/>
        <v>1</v>
      </c>
      <c r="M30" s="90">
        <f t="shared" si="3"/>
        <v>1</v>
      </c>
      <c r="N30" s="90">
        <f t="shared" si="3"/>
        <v>1</v>
      </c>
      <c r="O30" s="90">
        <f t="shared" si="3"/>
        <v>1</v>
      </c>
    </row>
    <row r="31" spans="1:15" x14ac:dyDescent="0.25">
      <c r="B31" s="5" t="s">
        <v>179</v>
      </c>
      <c r="C31" s="90">
        <f t="shared" si="2"/>
        <v>1</v>
      </c>
      <c r="D31" s="90">
        <f t="shared" si="2"/>
        <v>1</v>
      </c>
      <c r="E31" s="90">
        <f t="shared" si="2"/>
        <v>1</v>
      </c>
      <c r="F31" s="90">
        <f t="shared" si="2"/>
        <v>1</v>
      </c>
      <c r="G31" s="90">
        <f t="shared" si="2"/>
        <v>1</v>
      </c>
      <c r="H31" s="90">
        <f t="shared" ref="H31:K34" si="4">IF(H8=1,1,H8*0.9)</f>
        <v>1</v>
      </c>
      <c r="I31" s="90">
        <f t="shared" si="4"/>
        <v>1</v>
      </c>
      <c r="J31" s="90">
        <f t="shared" si="4"/>
        <v>1</v>
      </c>
      <c r="K31" s="90">
        <f t="shared" si="4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180</v>
      </c>
      <c r="C32" s="90">
        <f t="shared" si="2"/>
        <v>1</v>
      </c>
      <c r="D32" s="90">
        <f t="shared" si="2"/>
        <v>1</v>
      </c>
      <c r="E32" s="90">
        <f t="shared" si="2"/>
        <v>1</v>
      </c>
      <c r="F32" s="90">
        <f t="shared" si="2"/>
        <v>1</v>
      </c>
      <c r="G32" s="90">
        <f t="shared" si="2"/>
        <v>1</v>
      </c>
      <c r="H32" s="90">
        <f t="shared" si="4"/>
        <v>1</v>
      </c>
      <c r="I32" s="90">
        <f t="shared" si="4"/>
        <v>1</v>
      </c>
      <c r="J32" s="90">
        <f t="shared" si="4"/>
        <v>1</v>
      </c>
      <c r="K32" s="90">
        <f t="shared" si="4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181</v>
      </c>
      <c r="C33" s="90">
        <f t="shared" si="2"/>
        <v>1</v>
      </c>
      <c r="D33" s="90">
        <f t="shared" si="2"/>
        <v>1</v>
      </c>
      <c r="E33" s="90">
        <f t="shared" si="2"/>
        <v>1</v>
      </c>
      <c r="F33" s="90">
        <f t="shared" si="2"/>
        <v>1</v>
      </c>
      <c r="G33" s="90">
        <f t="shared" si="2"/>
        <v>1</v>
      </c>
      <c r="H33" s="90">
        <f t="shared" si="4"/>
        <v>1</v>
      </c>
      <c r="I33" s="90">
        <f t="shared" si="4"/>
        <v>1</v>
      </c>
      <c r="J33" s="90">
        <f t="shared" si="4"/>
        <v>1</v>
      </c>
      <c r="K33" s="90">
        <f t="shared" si="4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184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4"/>
        <v>1</v>
      </c>
      <c r="I34" s="90">
        <f t="shared" si="4"/>
        <v>1</v>
      </c>
      <c r="J34" s="90">
        <f t="shared" si="4"/>
        <v>1</v>
      </c>
      <c r="K34" s="90">
        <f t="shared" si="4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188</v>
      </c>
      <c r="C36" s="90">
        <f t="shared" ref="C36:D38" si="5">IF(C13=1,1,C13*0.9)</f>
        <v>1</v>
      </c>
      <c r="D36" s="90">
        <f t="shared" si="5"/>
        <v>1</v>
      </c>
      <c r="E36" s="90">
        <v>0.62</v>
      </c>
      <c r="F36" s="90">
        <v>0.62</v>
      </c>
      <c r="G36" s="90">
        <v>0.62</v>
      </c>
      <c r="H36" s="90">
        <f t="shared" ref="H36:O36" si="6">IF(H13=1,1,H13*0.9)</f>
        <v>1</v>
      </c>
      <c r="I36" s="90">
        <f t="shared" si="6"/>
        <v>1</v>
      </c>
      <c r="J36" s="90">
        <f t="shared" si="6"/>
        <v>1</v>
      </c>
      <c r="K36" s="90">
        <f t="shared" si="6"/>
        <v>1</v>
      </c>
      <c r="L36" s="90">
        <f t="shared" si="6"/>
        <v>1</v>
      </c>
      <c r="M36" s="90">
        <f t="shared" si="6"/>
        <v>1</v>
      </c>
      <c r="N36" s="90">
        <f t="shared" si="6"/>
        <v>1</v>
      </c>
      <c r="O36" s="90">
        <f t="shared" si="6"/>
        <v>1</v>
      </c>
    </row>
    <row r="37" spans="1:15" x14ac:dyDescent="0.25">
      <c r="B37" s="11" t="s">
        <v>189</v>
      </c>
      <c r="C37" s="90">
        <f t="shared" si="5"/>
        <v>1</v>
      </c>
      <c r="D37" s="90">
        <f t="shared" si="5"/>
        <v>1</v>
      </c>
      <c r="E37" s="90">
        <f t="shared" ref="E37:K37" si="7">IF(E14=1,1,E14*0.9)</f>
        <v>1</v>
      </c>
      <c r="F37" s="90">
        <f t="shared" si="7"/>
        <v>1</v>
      </c>
      <c r="G37" s="90">
        <f t="shared" si="7"/>
        <v>1</v>
      </c>
      <c r="H37" s="90">
        <f t="shared" si="7"/>
        <v>1</v>
      </c>
      <c r="I37" s="90">
        <f t="shared" si="7"/>
        <v>1</v>
      </c>
      <c r="J37" s="90">
        <f t="shared" si="7"/>
        <v>1</v>
      </c>
      <c r="K37" s="90">
        <f t="shared" si="7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192</v>
      </c>
      <c r="C38" s="90">
        <f t="shared" si="5"/>
        <v>1</v>
      </c>
      <c r="D38" s="90">
        <f t="shared" si="5"/>
        <v>1</v>
      </c>
      <c r="E38" s="90">
        <v>0.3</v>
      </c>
      <c r="F38" s="90">
        <v>0.3</v>
      </c>
      <c r="G38" s="90">
        <f t="shared" ref="G38:O38" si="8">IF(G15=1,1,G15*0.9)</f>
        <v>1</v>
      </c>
      <c r="H38" s="90">
        <f t="shared" si="8"/>
        <v>1</v>
      </c>
      <c r="I38" s="90">
        <f t="shared" si="8"/>
        <v>1</v>
      </c>
      <c r="J38" s="90">
        <f t="shared" si="8"/>
        <v>1</v>
      </c>
      <c r="K38" s="90">
        <f t="shared" si="8"/>
        <v>1</v>
      </c>
      <c r="L38" s="90">
        <f t="shared" si="8"/>
        <v>1</v>
      </c>
      <c r="M38" s="90">
        <f t="shared" si="8"/>
        <v>1</v>
      </c>
      <c r="N38" s="90">
        <f t="shared" si="8"/>
        <v>1</v>
      </c>
      <c r="O38" s="90">
        <f t="shared" si="8"/>
        <v>1</v>
      </c>
    </row>
    <row r="40" spans="1:15" ht="13" customHeight="1" x14ac:dyDescent="0.3">
      <c r="A40" s="4" t="s">
        <v>325</v>
      </c>
      <c r="B40" s="11"/>
    </row>
    <row r="41" spans="1:15" x14ac:dyDescent="0.25">
      <c r="B41" s="5" t="s">
        <v>172</v>
      </c>
      <c r="C41" s="90">
        <f t="shared" ref="C41:O41" si="9">IF(C18=1,1,C18*0.9)</f>
        <v>1</v>
      </c>
      <c r="D41" s="90">
        <f t="shared" si="9"/>
        <v>1</v>
      </c>
      <c r="E41" s="90">
        <f t="shared" si="9"/>
        <v>1</v>
      </c>
      <c r="F41" s="90">
        <f t="shared" si="9"/>
        <v>1</v>
      </c>
      <c r="G41" s="90">
        <f t="shared" si="9"/>
        <v>1</v>
      </c>
      <c r="H41" s="90">
        <f t="shared" si="9"/>
        <v>1</v>
      </c>
      <c r="I41" s="90">
        <f t="shared" si="9"/>
        <v>1</v>
      </c>
      <c r="J41" s="90">
        <f t="shared" si="9"/>
        <v>1</v>
      </c>
      <c r="K41" s="90">
        <f t="shared" si="9"/>
        <v>1</v>
      </c>
      <c r="L41" s="90">
        <f t="shared" si="9"/>
        <v>1</v>
      </c>
      <c r="M41" s="90">
        <f t="shared" si="9"/>
        <v>1</v>
      </c>
      <c r="N41" s="90">
        <f t="shared" si="9"/>
        <v>1</v>
      </c>
      <c r="O41" s="90">
        <f t="shared" si="9"/>
        <v>1</v>
      </c>
    </row>
    <row r="42" spans="1:15" x14ac:dyDescent="0.25">
      <c r="B42" s="5" t="s">
        <v>173</v>
      </c>
      <c r="C42" s="90">
        <f t="shared" ref="C42:D44" si="10">IF(C19=1,1,C19*0.9)</f>
        <v>1</v>
      </c>
      <c r="D42" s="90">
        <f t="shared" si="10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174</v>
      </c>
      <c r="C43" s="90">
        <f t="shared" si="10"/>
        <v>1</v>
      </c>
      <c r="D43" s="90">
        <f t="shared" si="10"/>
        <v>1</v>
      </c>
      <c r="E43" s="90">
        <f t="shared" ref="E43:O43" si="11">IF(E20=1,1,E20*0.9)</f>
        <v>0.87839999999999996</v>
      </c>
      <c r="F43" s="90">
        <f t="shared" si="11"/>
        <v>0.87839999999999996</v>
      </c>
      <c r="G43" s="90">
        <f t="shared" si="11"/>
        <v>0.87839999999999996</v>
      </c>
      <c r="H43" s="90">
        <f t="shared" si="11"/>
        <v>0.87839999999999996</v>
      </c>
      <c r="I43" s="90">
        <f t="shared" si="11"/>
        <v>0.87839999999999996</v>
      </c>
      <c r="J43" s="90">
        <f t="shared" si="11"/>
        <v>0.87839999999999996</v>
      </c>
      <c r="K43" s="90">
        <f t="shared" si="11"/>
        <v>0.87839999999999996</v>
      </c>
      <c r="L43" s="90">
        <f t="shared" si="11"/>
        <v>0.87839999999999996</v>
      </c>
      <c r="M43" s="90">
        <f t="shared" si="11"/>
        <v>0.87839999999999996</v>
      </c>
      <c r="N43" s="90">
        <f t="shared" si="11"/>
        <v>0.87839999999999996</v>
      </c>
      <c r="O43" s="90">
        <f t="shared" si="11"/>
        <v>0.87839999999999996</v>
      </c>
    </row>
    <row r="44" spans="1:15" x14ac:dyDescent="0.25">
      <c r="B44" s="5" t="s">
        <v>182</v>
      </c>
      <c r="C44" s="90">
        <f t="shared" si="10"/>
        <v>1</v>
      </c>
      <c r="D44" s="90">
        <f t="shared" si="10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239</v>
      </c>
    </row>
    <row r="47" spans="1:15" ht="26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customHeight="1" x14ac:dyDescent="0.3">
      <c r="A48" s="4" t="s">
        <v>326</v>
      </c>
    </row>
    <row r="49" spans="1:15" x14ac:dyDescent="0.25">
      <c r="B49" s="11" t="s">
        <v>170</v>
      </c>
      <c r="C49" s="90">
        <v>0.99</v>
      </c>
      <c r="D49" s="90">
        <v>0.7</v>
      </c>
      <c r="E49" s="90">
        <f t="shared" ref="E49:O49" si="12">IF(E3=1,1,E3*1.05)</f>
        <v>1</v>
      </c>
      <c r="F49" s="90">
        <f t="shared" si="12"/>
        <v>1</v>
      </c>
      <c r="G49" s="90">
        <f t="shared" si="12"/>
        <v>1</v>
      </c>
      <c r="H49" s="90">
        <f t="shared" si="12"/>
        <v>1</v>
      </c>
      <c r="I49" s="90">
        <f t="shared" si="12"/>
        <v>1</v>
      </c>
      <c r="J49" s="90">
        <f t="shared" si="12"/>
        <v>1</v>
      </c>
      <c r="K49" s="90">
        <f t="shared" si="12"/>
        <v>1</v>
      </c>
      <c r="L49" s="90">
        <f t="shared" si="12"/>
        <v>1</v>
      </c>
      <c r="M49" s="90">
        <f t="shared" si="12"/>
        <v>1</v>
      </c>
      <c r="N49" s="90">
        <f t="shared" si="12"/>
        <v>1</v>
      </c>
      <c r="O49" s="90">
        <f t="shared" si="12"/>
        <v>1</v>
      </c>
    </row>
    <row r="50" spans="1:15" x14ac:dyDescent="0.25">
      <c r="B50" s="11" t="s">
        <v>175</v>
      </c>
      <c r="C50" s="90">
        <f t="shared" ref="C50:G56" si="13">IF(C4=1,1,C4*1.05)</f>
        <v>1</v>
      </c>
      <c r="D50" s="90">
        <f t="shared" si="13"/>
        <v>1</v>
      </c>
      <c r="E50" s="90">
        <f t="shared" si="13"/>
        <v>1</v>
      </c>
      <c r="F50" s="90">
        <f t="shared" si="13"/>
        <v>1</v>
      </c>
      <c r="G50" s="90">
        <f t="shared" si="13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4">IF(L4=1,1,L4*1.05)</f>
        <v>1</v>
      </c>
      <c r="M50" s="90">
        <f t="shared" si="14"/>
        <v>1</v>
      </c>
      <c r="N50" s="90">
        <f t="shared" si="14"/>
        <v>1</v>
      </c>
      <c r="O50" s="90">
        <f t="shared" si="14"/>
        <v>1</v>
      </c>
    </row>
    <row r="51" spans="1:15" x14ac:dyDescent="0.25">
      <c r="B51" s="11" t="s">
        <v>176</v>
      </c>
      <c r="C51" s="90">
        <f t="shared" si="13"/>
        <v>1</v>
      </c>
      <c r="D51" s="90">
        <f t="shared" si="13"/>
        <v>1</v>
      </c>
      <c r="E51" s="90">
        <f t="shared" si="13"/>
        <v>1</v>
      </c>
      <c r="F51" s="90">
        <f t="shared" si="13"/>
        <v>1</v>
      </c>
      <c r="G51" s="90">
        <f t="shared" si="13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4"/>
        <v>1</v>
      </c>
      <c r="M51" s="90">
        <f t="shared" si="14"/>
        <v>1</v>
      </c>
      <c r="N51" s="90">
        <f t="shared" si="14"/>
        <v>1</v>
      </c>
      <c r="O51" s="90">
        <f t="shared" si="14"/>
        <v>1</v>
      </c>
    </row>
    <row r="52" spans="1:15" x14ac:dyDescent="0.25">
      <c r="B52" s="11" t="s">
        <v>177</v>
      </c>
      <c r="C52" s="90">
        <f t="shared" si="13"/>
        <v>1</v>
      </c>
      <c r="D52" s="90">
        <f t="shared" si="13"/>
        <v>1</v>
      </c>
      <c r="E52" s="90">
        <f t="shared" si="13"/>
        <v>1</v>
      </c>
      <c r="F52" s="90">
        <f t="shared" si="13"/>
        <v>1</v>
      </c>
      <c r="G52" s="90">
        <f t="shared" si="13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4"/>
        <v>1</v>
      </c>
      <c r="M52" s="90">
        <f t="shared" si="14"/>
        <v>1</v>
      </c>
      <c r="N52" s="90">
        <f t="shared" si="14"/>
        <v>1</v>
      </c>
      <c r="O52" s="90">
        <f t="shared" si="14"/>
        <v>1</v>
      </c>
    </row>
    <row r="53" spans="1:15" x14ac:dyDescent="0.25">
      <c r="B53" s="11" t="s">
        <v>178</v>
      </c>
      <c r="C53" s="90">
        <f t="shared" si="13"/>
        <v>1</v>
      </c>
      <c r="D53" s="90">
        <f t="shared" si="13"/>
        <v>1</v>
      </c>
      <c r="E53" s="90">
        <f t="shared" si="13"/>
        <v>1</v>
      </c>
      <c r="F53" s="90">
        <f t="shared" si="13"/>
        <v>1</v>
      </c>
      <c r="G53" s="90">
        <f t="shared" si="13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4"/>
        <v>1</v>
      </c>
      <c r="M53" s="90">
        <f t="shared" si="14"/>
        <v>1</v>
      </c>
      <c r="N53" s="90">
        <f t="shared" si="14"/>
        <v>1</v>
      </c>
      <c r="O53" s="90">
        <f t="shared" si="14"/>
        <v>1</v>
      </c>
    </row>
    <row r="54" spans="1:15" x14ac:dyDescent="0.25">
      <c r="B54" s="5" t="s">
        <v>179</v>
      </c>
      <c r="C54" s="90">
        <f t="shared" si="13"/>
        <v>1</v>
      </c>
      <c r="D54" s="90">
        <f t="shared" si="13"/>
        <v>1</v>
      </c>
      <c r="E54" s="90">
        <f t="shared" si="13"/>
        <v>1</v>
      </c>
      <c r="F54" s="90">
        <f t="shared" si="13"/>
        <v>1</v>
      </c>
      <c r="G54" s="90">
        <f t="shared" si="13"/>
        <v>1</v>
      </c>
      <c r="H54" s="90">
        <f t="shared" ref="H54:K57" si="15">IF(H8=1,1,H8*1.05)</f>
        <v>1</v>
      </c>
      <c r="I54" s="90">
        <f t="shared" si="15"/>
        <v>1</v>
      </c>
      <c r="J54" s="90">
        <f t="shared" si="15"/>
        <v>1</v>
      </c>
      <c r="K54" s="90">
        <f t="shared" si="15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180</v>
      </c>
      <c r="C55" s="90">
        <f t="shared" si="13"/>
        <v>1</v>
      </c>
      <c r="D55" s="90">
        <f t="shared" si="13"/>
        <v>1</v>
      </c>
      <c r="E55" s="90">
        <f t="shared" si="13"/>
        <v>1</v>
      </c>
      <c r="F55" s="90">
        <f t="shared" si="13"/>
        <v>1</v>
      </c>
      <c r="G55" s="90">
        <f t="shared" si="13"/>
        <v>1</v>
      </c>
      <c r="H55" s="90">
        <f t="shared" si="15"/>
        <v>1</v>
      </c>
      <c r="I55" s="90">
        <f t="shared" si="15"/>
        <v>1</v>
      </c>
      <c r="J55" s="90">
        <f t="shared" si="15"/>
        <v>1</v>
      </c>
      <c r="K55" s="90">
        <f t="shared" si="15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181</v>
      </c>
      <c r="C56" s="90">
        <f t="shared" si="13"/>
        <v>1</v>
      </c>
      <c r="D56" s="90">
        <f t="shared" si="13"/>
        <v>1</v>
      </c>
      <c r="E56" s="90">
        <f t="shared" si="13"/>
        <v>1</v>
      </c>
      <c r="F56" s="90">
        <f t="shared" si="13"/>
        <v>1</v>
      </c>
      <c r="G56" s="90">
        <f t="shared" si="13"/>
        <v>1</v>
      </c>
      <c r="H56" s="90">
        <f t="shared" si="15"/>
        <v>1</v>
      </c>
      <c r="I56" s="90">
        <f t="shared" si="15"/>
        <v>1</v>
      </c>
      <c r="J56" s="90">
        <f t="shared" si="15"/>
        <v>1</v>
      </c>
      <c r="K56" s="90">
        <f t="shared" si="15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184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5"/>
        <v>1</v>
      </c>
      <c r="I57" s="90">
        <f t="shared" si="15"/>
        <v>1</v>
      </c>
      <c r="J57" s="90">
        <f t="shared" si="15"/>
        <v>1</v>
      </c>
      <c r="K57" s="90">
        <f t="shared" si="15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188</v>
      </c>
      <c r="C59" s="90">
        <f t="shared" ref="C59:D61" si="16">IF(C13=1,1,C13*1.05)</f>
        <v>1</v>
      </c>
      <c r="D59" s="90">
        <f t="shared" si="16"/>
        <v>1</v>
      </c>
      <c r="E59" s="90">
        <v>0.77</v>
      </c>
      <c r="F59" s="90">
        <v>0.77</v>
      </c>
      <c r="G59" s="90">
        <v>0.77</v>
      </c>
      <c r="H59" s="90">
        <f t="shared" ref="H59:O59" si="17">IF(H13=1,1,H13*1.05)</f>
        <v>1</v>
      </c>
      <c r="I59" s="90">
        <f t="shared" si="17"/>
        <v>1</v>
      </c>
      <c r="J59" s="90">
        <f t="shared" si="17"/>
        <v>1</v>
      </c>
      <c r="K59" s="90">
        <f t="shared" si="17"/>
        <v>1</v>
      </c>
      <c r="L59" s="90">
        <f t="shared" si="17"/>
        <v>1</v>
      </c>
      <c r="M59" s="90">
        <f t="shared" si="17"/>
        <v>1</v>
      </c>
      <c r="N59" s="90">
        <f t="shared" si="17"/>
        <v>1</v>
      </c>
      <c r="O59" s="90">
        <f t="shared" si="17"/>
        <v>1</v>
      </c>
    </row>
    <row r="60" spans="1:15" x14ac:dyDescent="0.25">
      <c r="B60" s="11" t="s">
        <v>189</v>
      </c>
      <c r="C60" s="90">
        <f t="shared" si="16"/>
        <v>1</v>
      </c>
      <c r="D60" s="90">
        <f t="shared" si="16"/>
        <v>1</v>
      </c>
      <c r="E60" s="90">
        <f t="shared" ref="E60:K60" si="18">IF(E14=1,1,E14*1.05)</f>
        <v>1</v>
      </c>
      <c r="F60" s="90">
        <f t="shared" si="18"/>
        <v>1</v>
      </c>
      <c r="G60" s="90">
        <f t="shared" si="18"/>
        <v>1</v>
      </c>
      <c r="H60" s="90">
        <f t="shared" si="18"/>
        <v>1</v>
      </c>
      <c r="I60" s="90">
        <f t="shared" si="18"/>
        <v>1</v>
      </c>
      <c r="J60" s="90">
        <f t="shared" si="18"/>
        <v>1</v>
      </c>
      <c r="K60" s="90">
        <f t="shared" si="18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192</v>
      </c>
      <c r="C61" s="90">
        <f t="shared" si="16"/>
        <v>1</v>
      </c>
      <c r="D61" s="90">
        <f t="shared" si="16"/>
        <v>1</v>
      </c>
      <c r="E61" s="90">
        <v>0.44</v>
      </c>
      <c r="F61" s="90">
        <v>0.44</v>
      </c>
      <c r="G61" s="90">
        <f t="shared" ref="G61:O61" si="19">IF(G15=1,1,G15*1.05)</f>
        <v>1</v>
      </c>
      <c r="H61" s="90">
        <f t="shared" si="19"/>
        <v>1</v>
      </c>
      <c r="I61" s="90">
        <f t="shared" si="19"/>
        <v>1</v>
      </c>
      <c r="J61" s="90">
        <f t="shared" si="19"/>
        <v>1</v>
      </c>
      <c r="K61" s="90">
        <f t="shared" si="19"/>
        <v>1</v>
      </c>
      <c r="L61" s="90">
        <f t="shared" si="19"/>
        <v>1</v>
      </c>
      <c r="M61" s="90">
        <f t="shared" si="19"/>
        <v>1</v>
      </c>
      <c r="N61" s="90">
        <f t="shared" si="19"/>
        <v>1</v>
      </c>
      <c r="O61" s="90">
        <f t="shared" si="19"/>
        <v>1</v>
      </c>
    </row>
    <row r="63" spans="1:15" ht="13" customHeight="1" x14ac:dyDescent="0.3">
      <c r="A63" s="4" t="s">
        <v>327</v>
      </c>
      <c r="B63" s="11"/>
    </row>
    <row r="64" spans="1:15" x14ac:dyDescent="0.25">
      <c r="B64" s="5" t="s">
        <v>172</v>
      </c>
      <c r="C64" s="90">
        <f t="shared" ref="C64:O64" si="20">IF(C18=1,1,C18*1.05)</f>
        <v>1</v>
      </c>
      <c r="D64" s="90">
        <f t="shared" si="20"/>
        <v>1</v>
      </c>
      <c r="E64" s="90">
        <f t="shared" si="20"/>
        <v>1</v>
      </c>
      <c r="F64" s="90">
        <f t="shared" si="20"/>
        <v>1</v>
      </c>
      <c r="G64" s="90">
        <f t="shared" si="20"/>
        <v>1</v>
      </c>
      <c r="H64" s="90">
        <f t="shared" si="20"/>
        <v>1</v>
      </c>
      <c r="I64" s="90">
        <f t="shared" si="20"/>
        <v>1</v>
      </c>
      <c r="J64" s="90">
        <f t="shared" si="20"/>
        <v>1</v>
      </c>
      <c r="K64" s="90">
        <f t="shared" si="20"/>
        <v>1</v>
      </c>
      <c r="L64" s="90">
        <f t="shared" si="20"/>
        <v>1</v>
      </c>
      <c r="M64" s="90">
        <f t="shared" si="20"/>
        <v>1</v>
      </c>
      <c r="N64" s="90">
        <f t="shared" si="20"/>
        <v>1</v>
      </c>
      <c r="O64" s="90">
        <f t="shared" si="20"/>
        <v>1</v>
      </c>
    </row>
    <row r="65" spans="2:15" x14ac:dyDescent="0.25">
      <c r="B65" s="5" t="s">
        <v>173</v>
      </c>
      <c r="C65" s="90">
        <f t="shared" ref="C65:D67" si="21">IF(C19=1,1,C19*1.05)</f>
        <v>1</v>
      </c>
      <c r="D65" s="90">
        <f t="shared" si="21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174</v>
      </c>
      <c r="C66" s="90">
        <f t="shared" si="21"/>
        <v>1</v>
      </c>
      <c r="D66" s="90">
        <f t="shared" si="21"/>
        <v>1</v>
      </c>
      <c r="E66" s="90">
        <f t="shared" ref="E66:O66" si="22">IF(E20=1,1,E20*1.05)</f>
        <v>1.0247999999999999</v>
      </c>
      <c r="F66" s="90">
        <f t="shared" si="22"/>
        <v>1.0247999999999999</v>
      </c>
      <c r="G66" s="90">
        <f t="shared" si="22"/>
        <v>1.0247999999999999</v>
      </c>
      <c r="H66" s="90">
        <f t="shared" si="22"/>
        <v>1.0247999999999999</v>
      </c>
      <c r="I66" s="90">
        <f t="shared" si="22"/>
        <v>1.0247999999999999</v>
      </c>
      <c r="J66" s="90">
        <f t="shared" si="22"/>
        <v>1.0247999999999999</v>
      </c>
      <c r="K66" s="90">
        <f t="shared" si="22"/>
        <v>1.0247999999999999</v>
      </c>
      <c r="L66" s="90">
        <f t="shared" si="22"/>
        <v>1.0247999999999999</v>
      </c>
      <c r="M66" s="90">
        <f t="shared" si="22"/>
        <v>1.0247999999999999</v>
      </c>
      <c r="N66" s="90">
        <f t="shared" si="22"/>
        <v>1.0247999999999999</v>
      </c>
      <c r="O66" s="90">
        <f t="shared" si="22"/>
        <v>1.0247999999999999</v>
      </c>
    </row>
    <row r="67" spans="2:15" x14ac:dyDescent="0.25">
      <c r="B67" s="5" t="s">
        <v>182</v>
      </c>
      <c r="C67" s="90">
        <f t="shared" si="21"/>
        <v>1</v>
      </c>
      <c r="D67" s="90">
        <f t="shared" si="21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Z+I5w7Zv8b/t9kdTHtfTBlYoSm79UCEUpz3ShmnqEGsFIWvoyqli8qZ/O3UtxFRtNUOisgC6wk7M7CD5q+6g2w==" saltValue="qncMJDCOHin5ZX0oUaABD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D17" sqref="D17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customHeight="1" x14ac:dyDescent="0.3">
      <c r="A2" s="4" t="s">
        <v>328</v>
      </c>
    </row>
    <row r="3" spans="1:7" x14ac:dyDescent="0.25">
      <c r="B3" s="11" t="s">
        <v>157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329</v>
      </c>
      <c r="B4" s="11"/>
      <c r="C4" s="83"/>
      <c r="D4" s="83"/>
      <c r="E4" s="83"/>
      <c r="F4" s="83"/>
      <c r="G4" s="83"/>
    </row>
    <row r="5" spans="1:7" x14ac:dyDescent="0.25">
      <c r="B5" s="5" t="s">
        <v>158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330</v>
      </c>
    </row>
    <row r="8" spans="1:7" ht="13" customHeight="1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customHeight="1" x14ac:dyDescent="0.3">
      <c r="A9" s="4" t="s">
        <v>331</v>
      </c>
    </row>
    <row r="10" spans="1:7" x14ac:dyDescent="0.25">
      <c r="B10" s="11" t="s">
        <v>157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332</v>
      </c>
      <c r="B11" s="11"/>
      <c r="C11" s="83"/>
      <c r="D11" s="83"/>
      <c r="E11" s="83"/>
      <c r="F11" s="83"/>
      <c r="G11" s="83"/>
    </row>
    <row r="12" spans="1:7" x14ac:dyDescent="0.25">
      <c r="B12" s="5" t="s">
        <v>158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333</v>
      </c>
    </row>
    <row r="15" spans="1:7" ht="13" customHeight="1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customHeight="1" x14ac:dyDescent="0.3">
      <c r="A16" s="4" t="s">
        <v>334</v>
      </c>
    </row>
    <row r="17" spans="1:7" x14ac:dyDescent="0.25">
      <c r="B17" s="11" t="s">
        <v>157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335</v>
      </c>
      <c r="B18" s="11"/>
      <c r="C18" s="83"/>
      <c r="D18" s="83"/>
      <c r="E18" s="83"/>
      <c r="F18" s="83"/>
      <c r="G18" s="83"/>
    </row>
    <row r="19" spans="1:7" x14ac:dyDescent="0.25">
      <c r="B19" s="5" t="s">
        <v>158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TSrwgMfue31l5YKH5YC63gNl/EJnr5ZJbUkDIAIpA9VCbqMkKC4yV7Qlzd02MRVNDQ406JZzgd4mO0azU8HKbQ==" saltValue="P3gP/2fV5vANzIL7NniDMg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33" zoomScale="80" zoomScaleNormal="80" workbookViewId="0">
      <selection activeCell="F46" sqref="F46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156</v>
      </c>
      <c r="B1" s="4" t="s">
        <v>336</v>
      </c>
      <c r="C1" s="82" t="s">
        <v>337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x14ac:dyDescent="0.25">
      <c r="A2" s="5" t="s">
        <v>193</v>
      </c>
      <c r="B2" s="5" t="s">
        <v>81</v>
      </c>
      <c r="C2" s="5" t="s">
        <v>338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339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340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191</v>
      </c>
      <c r="B5" s="5" t="s">
        <v>205</v>
      </c>
      <c r="C5" s="5" t="s">
        <v>338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340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204</v>
      </c>
      <c r="C7" s="5" t="s">
        <v>338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340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184</v>
      </c>
      <c r="B9" s="5" t="s">
        <v>205</v>
      </c>
      <c r="C9" s="5" t="s">
        <v>338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340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204</v>
      </c>
      <c r="C11" s="5" t="s">
        <v>338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340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192</v>
      </c>
      <c r="B13" s="5" t="s">
        <v>205</v>
      </c>
      <c r="C13" s="5" t="s">
        <v>338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340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204</v>
      </c>
      <c r="C15" s="5" t="s">
        <v>338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340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169</v>
      </c>
      <c r="B17" s="5" t="s">
        <v>205</v>
      </c>
      <c r="C17" s="5" t="s">
        <v>338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340</v>
      </c>
      <c r="D18" s="90">
        <v>0</v>
      </c>
      <c r="E18" s="90">
        <v>0</v>
      </c>
      <c r="F18" s="90">
        <v>0.68</v>
      </c>
      <c r="G18" s="90">
        <v>0.68</v>
      </c>
      <c r="H18" s="90">
        <v>0.68</v>
      </c>
    </row>
    <row r="19" spans="1:8" x14ac:dyDescent="0.25">
      <c r="B19" s="5" t="s">
        <v>204</v>
      </c>
      <c r="C19" s="5" t="s">
        <v>338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340</v>
      </c>
      <c r="D20" s="90">
        <v>0</v>
      </c>
      <c r="E20" s="90">
        <v>0</v>
      </c>
      <c r="F20" s="90">
        <v>0.6</v>
      </c>
      <c r="G20" s="90">
        <v>0.6</v>
      </c>
      <c r="H20" s="90">
        <v>0.6</v>
      </c>
    </row>
    <row r="21" spans="1:8" x14ac:dyDescent="0.25">
      <c r="A21" s="5" t="s">
        <v>174</v>
      </c>
      <c r="B21" s="5" t="s">
        <v>74</v>
      </c>
      <c r="C21" s="5" t="s">
        <v>338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339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172</v>
      </c>
      <c r="B23" s="5" t="s">
        <v>74</v>
      </c>
      <c r="C23" s="5" t="s">
        <v>338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339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173</v>
      </c>
      <c r="B25" s="5" t="s">
        <v>74</v>
      </c>
      <c r="C25" s="5" t="s">
        <v>338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339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197</v>
      </c>
      <c r="B27" s="5" t="s">
        <v>81</v>
      </c>
      <c r="C27" s="5" t="s">
        <v>338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339</v>
      </c>
      <c r="D28" s="90">
        <v>0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C29" s="5" t="s">
        <v>340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198</v>
      </c>
      <c r="B30" s="5" t="s">
        <v>81</v>
      </c>
      <c r="C30" s="5" t="s">
        <v>338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339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340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196</v>
      </c>
      <c r="B33" s="5" t="s">
        <v>81</v>
      </c>
      <c r="C33" s="5" t="s">
        <v>338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339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340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195</v>
      </c>
      <c r="B36" s="5" t="s">
        <v>81</v>
      </c>
      <c r="C36" s="5" t="s">
        <v>338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339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340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194</v>
      </c>
      <c r="B39" s="5" t="s">
        <v>81</v>
      </c>
      <c r="C39" s="5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339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340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200</v>
      </c>
      <c r="B42" s="5" t="s">
        <v>81</v>
      </c>
      <c r="C42" s="5" t="s">
        <v>338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339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340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82</v>
      </c>
      <c r="C45" s="5" t="s">
        <v>338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339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340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190</v>
      </c>
      <c r="B48" s="5" t="s">
        <v>81</v>
      </c>
      <c r="C48" s="5" t="s">
        <v>338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339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199</v>
      </c>
      <c r="B50" s="5" t="s">
        <v>81</v>
      </c>
      <c r="C50" s="5" t="s">
        <v>338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339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183</v>
      </c>
      <c r="B52" s="5" t="s">
        <v>72</v>
      </c>
      <c r="C52" s="5" t="s">
        <v>338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339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330</v>
      </c>
      <c r="B55" s="97"/>
      <c r="C55" s="97"/>
    </row>
    <row r="56" spans="1:8" ht="13" customHeight="1" x14ac:dyDescent="0.3">
      <c r="A56" s="4" t="s">
        <v>156</v>
      </c>
      <c r="B56" s="4" t="s">
        <v>336</v>
      </c>
      <c r="C56" s="82" t="s">
        <v>337</v>
      </c>
      <c r="D56" s="4" t="s">
        <v>67</v>
      </c>
      <c r="E56" s="4" t="s">
        <v>77</v>
      </c>
      <c r="F56" s="4" t="s">
        <v>78</v>
      </c>
      <c r="G56" s="4" t="s">
        <v>79</v>
      </c>
      <c r="H56" s="4" t="s">
        <v>80</v>
      </c>
    </row>
    <row r="57" spans="1:8" x14ac:dyDescent="0.25">
      <c r="A57" s="5" t="s">
        <v>193</v>
      </c>
      <c r="B57" s="5" t="s">
        <v>81</v>
      </c>
      <c r="C57" s="5" t="s">
        <v>338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339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340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191</v>
      </c>
      <c r="B60" s="5" t="s">
        <v>205</v>
      </c>
      <c r="C60" s="5" t="s">
        <v>338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340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204</v>
      </c>
      <c r="C62" s="5" t="s">
        <v>338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340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184</v>
      </c>
      <c r="B64" s="5" t="s">
        <v>205</v>
      </c>
      <c r="C64" s="5" t="s">
        <v>338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340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204</v>
      </c>
      <c r="C66" s="5" t="s">
        <v>338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340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192</v>
      </c>
      <c r="B68" s="5" t="s">
        <v>205</v>
      </c>
      <c r="C68" s="5" t="s">
        <v>338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340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204</v>
      </c>
      <c r="C70" s="5" t="s">
        <v>338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340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169</v>
      </c>
      <c r="B72" s="5" t="s">
        <v>205</v>
      </c>
      <c r="C72" s="5" t="s">
        <v>338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340</v>
      </c>
      <c r="D73" s="90">
        <f t="shared" si="0"/>
        <v>0</v>
      </c>
      <c r="E73" s="90">
        <f t="shared" si="0"/>
        <v>0</v>
      </c>
      <c r="F73" s="90">
        <v>0.39</v>
      </c>
      <c r="G73" s="90">
        <v>0.39</v>
      </c>
      <c r="H73" s="90">
        <v>0.39</v>
      </c>
    </row>
    <row r="74" spans="1:8" x14ac:dyDescent="0.25">
      <c r="B74" s="5" t="s">
        <v>204</v>
      </c>
      <c r="C74" s="5" t="s">
        <v>338</v>
      </c>
      <c r="D74" s="90">
        <f t="shared" si="0"/>
        <v>0</v>
      </c>
      <c r="E74" s="90">
        <f t="shared" si="0"/>
        <v>0</v>
      </c>
      <c r="F74" s="90">
        <f>IF($C19="Affected fraction",F19,IF(F19=1,1,F19*0.9))</f>
        <v>1</v>
      </c>
      <c r="G74" s="90">
        <f>IF($C19="Affected fraction",G19,IF(G19=1,1,G19*0.9))</f>
        <v>1</v>
      </c>
      <c r="H74" s="90">
        <f>IF($C19="Affected fraction",H19,IF(H19=1,1,H19*0.9))</f>
        <v>1</v>
      </c>
    </row>
    <row r="75" spans="1:8" x14ac:dyDescent="0.25">
      <c r="C75" s="5" t="s">
        <v>340</v>
      </c>
      <c r="D75" s="90">
        <f t="shared" si="0"/>
        <v>0</v>
      </c>
      <c r="E75" s="90">
        <f t="shared" si="0"/>
        <v>0</v>
      </c>
      <c r="F75" s="90">
        <v>0.32</v>
      </c>
      <c r="G75" s="90">
        <v>0.32</v>
      </c>
      <c r="H75" s="90">
        <v>0.32</v>
      </c>
    </row>
    <row r="76" spans="1:8" x14ac:dyDescent="0.25">
      <c r="A76" s="5" t="s">
        <v>174</v>
      </c>
      <c r="B76" s="5" t="s">
        <v>74</v>
      </c>
      <c r="C76" s="5" t="s">
        <v>338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339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172</v>
      </c>
      <c r="B78" s="5" t="s">
        <v>74</v>
      </c>
      <c r="C78" s="5" t="s">
        <v>338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339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173</v>
      </c>
      <c r="B80" s="5" t="s">
        <v>74</v>
      </c>
      <c r="C80" s="5" t="s">
        <v>338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339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197</v>
      </c>
      <c r="B82" s="5" t="s">
        <v>81</v>
      </c>
      <c r="C82" s="5" t="s">
        <v>338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339</v>
      </c>
      <c r="D83" s="90">
        <v>0</v>
      </c>
      <c r="E83" s="90">
        <v>0</v>
      </c>
      <c r="F83" s="90">
        <v>0</v>
      </c>
      <c r="G83" s="90">
        <v>0</v>
      </c>
      <c r="H83" s="90">
        <v>0</v>
      </c>
    </row>
    <row r="84" spans="1:8" x14ac:dyDescent="0.25">
      <c r="C84" s="5" t="s">
        <v>340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198</v>
      </c>
      <c r="B85" s="5" t="s">
        <v>81</v>
      </c>
      <c r="C85" s="5" t="s">
        <v>338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339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340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196</v>
      </c>
      <c r="B88" s="5" t="s">
        <v>81</v>
      </c>
      <c r="C88" s="5" t="s">
        <v>338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339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340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195</v>
      </c>
      <c r="B91" s="5" t="s">
        <v>81</v>
      </c>
      <c r="C91" s="5" t="s">
        <v>338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339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340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194</v>
      </c>
      <c r="B94" s="5" t="s">
        <v>81</v>
      </c>
      <c r="C94" s="5" t="s">
        <v>338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339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340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200</v>
      </c>
      <c r="B97" s="5" t="s">
        <v>81</v>
      </c>
      <c r="C97" s="5" t="s">
        <v>338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339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340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82</v>
      </c>
      <c r="C100" s="5" t="s">
        <v>338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339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340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190</v>
      </c>
      <c r="B103" s="5" t="s">
        <v>81</v>
      </c>
      <c r="C103" s="5" t="s">
        <v>338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339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199</v>
      </c>
      <c r="B105" s="5" t="s">
        <v>81</v>
      </c>
      <c r="C105" s="5" t="s">
        <v>338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339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183</v>
      </c>
      <c r="B107" s="5" t="s">
        <v>72</v>
      </c>
      <c r="C107" s="5" t="s">
        <v>338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339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333</v>
      </c>
      <c r="B110" s="97"/>
      <c r="C110" s="97"/>
    </row>
    <row r="111" spans="1:8" ht="13" customHeight="1" x14ac:dyDescent="0.3">
      <c r="A111" s="4" t="s">
        <v>156</v>
      </c>
      <c r="B111" s="4" t="s">
        <v>336</v>
      </c>
      <c r="C111" s="82" t="s">
        <v>337</v>
      </c>
      <c r="D111" s="4" t="s">
        <v>67</v>
      </c>
      <c r="E111" s="4" t="s">
        <v>77</v>
      </c>
      <c r="F111" s="4" t="s">
        <v>78</v>
      </c>
      <c r="G111" s="4" t="s">
        <v>79</v>
      </c>
      <c r="H111" s="4" t="s">
        <v>80</v>
      </c>
    </row>
    <row r="112" spans="1:8" x14ac:dyDescent="0.25">
      <c r="A112" s="5" t="s">
        <v>193</v>
      </c>
      <c r="B112" s="5" t="s">
        <v>81</v>
      </c>
      <c r="C112" s="5" t="s">
        <v>338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339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340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191</v>
      </c>
      <c r="B115" s="5" t="s">
        <v>205</v>
      </c>
      <c r="C115" s="5" t="s">
        <v>338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340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204</v>
      </c>
      <c r="C117" s="5" t="s">
        <v>338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340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184</v>
      </c>
      <c r="B119" s="5" t="s">
        <v>205</v>
      </c>
      <c r="C119" s="5" t="s">
        <v>338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340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204</v>
      </c>
      <c r="C121" s="5" t="s">
        <v>338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340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192</v>
      </c>
      <c r="B123" s="5" t="s">
        <v>205</v>
      </c>
      <c r="C123" s="5" t="s">
        <v>338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340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204</v>
      </c>
      <c r="C125" s="5" t="s">
        <v>338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340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169</v>
      </c>
      <c r="B127" s="5" t="s">
        <v>205</v>
      </c>
      <c r="C127" s="5" t="s">
        <v>338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340</v>
      </c>
      <c r="D128" s="90">
        <f t="shared" si="3"/>
        <v>0</v>
      </c>
      <c r="E128" s="90">
        <f t="shared" si="3"/>
        <v>0</v>
      </c>
      <c r="F128" s="90">
        <v>0.84</v>
      </c>
      <c r="G128" s="90">
        <v>0.84</v>
      </c>
      <c r="H128" s="90">
        <v>0.84</v>
      </c>
    </row>
    <row r="129" spans="1:8" x14ac:dyDescent="0.25">
      <c r="B129" s="5" t="s">
        <v>204</v>
      </c>
      <c r="C129" s="5" t="s">
        <v>338</v>
      </c>
      <c r="D129" s="90">
        <f t="shared" si="3"/>
        <v>0</v>
      </c>
      <c r="E129" s="90">
        <f t="shared" si="3"/>
        <v>0</v>
      </c>
      <c r="F129" s="90">
        <f>IF($C74="Affected fraction",F74,IF(F74=1,1,F74*0.9))</f>
        <v>1</v>
      </c>
      <c r="G129" s="90">
        <f>IF($C74="Affected fraction",G74,IF(G74=1,1,G74*0.9))</f>
        <v>1</v>
      </c>
      <c r="H129" s="90">
        <f>IF($C74="Affected fraction",H74,IF(H74=1,1,H74*0.9))</f>
        <v>1</v>
      </c>
    </row>
    <row r="130" spans="1:8" x14ac:dyDescent="0.25">
      <c r="C130" s="5" t="s">
        <v>340</v>
      </c>
      <c r="D130" s="90">
        <f t="shared" si="3"/>
        <v>0</v>
      </c>
      <c r="E130" s="90">
        <f t="shared" si="3"/>
        <v>0</v>
      </c>
      <c r="F130" s="90">
        <v>0.77</v>
      </c>
      <c r="G130" s="90">
        <v>0.77</v>
      </c>
      <c r="H130" s="90">
        <v>0.77</v>
      </c>
    </row>
    <row r="131" spans="1:8" x14ac:dyDescent="0.25">
      <c r="A131" s="5" t="s">
        <v>174</v>
      </c>
      <c r="B131" s="5" t="s">
        <v>74</v>
      </c>
      <c r="C131" s="5" t="s">
        <v>338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339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172</v>
      </c>
      <c r="B133" s="5" t="s">
        <v>74</v>
      </c>
      <c r="C133" s="5" t="s">
        <v>338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339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173</v>
      </c>
      <c r="B135" s="5" t="s">
        <v>74</v>
      </c>
      <c r="C135" s="5" t="s">
        <v>338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339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197</v>
      </c>
      <c r="B137" s="5" t="s">
        <v>81</v>
      </c>
      <c r="C137" s="5" t="s">
        <v>338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339</v>
      </c>
      <c r="D138" s="90">
        <v>0</v>
      </c>
      <c r="E138" s="90">
        <v>0</v>
      </c>
      <c r="F138" s="90">
        <v>0</v>
      </c>
      <c r="G138" s="90">
        <v>0</v>
      </c>
      <c r="H138" s="90">
        <v>0</v>
      </c>
    </row>
    <row r="139" spans="1:8" x14ac:dyDescent="0.25">
      <c r="C139" s="5" t="s">
        <v>340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198</v>
      </c>
      <c r="B140" s="5" t="s">
        <v>81</v>
      </c>
      <c r="C140" s="5" t="s">
        <v>338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339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340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196</v>
      </c>
      <c r="B143" s="5" t="s">
        <v>81</v>
      </c>
      <c r="C143" s="5" t="s">
        <v>338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339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340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195</v>
      </c>
      <c r="B146" s="5" t="s">
        <v>81</v>
      </c>
      <c r="C146" s="5" t="s">
        <v>338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339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340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194</v>
      </c>
      <c r="B149" s="5" t="s">
        <v>81</v>
      </c>
      <c r="C149" s="5" t="s">
        <v>338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339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340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200</v>
      </c>
      <c r="B152" s="5" t="s">
        <v>81</v>
      </c>
      <c r="C152" s="5" t="s">
        <v>338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339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340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82</v>
      </c>
      <c r="C155" s="5" t="s">
        <v>338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339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340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190</v>
      </c>
      <c r="B158" s="5" t="s">
        <v>81</v>
      </c>
      <c r="C158" s="5" t="s">
        <v>338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339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199</v>
      </c>
      <c r="B160" s="5" t="s">
        <v>81</v>
      </c>
      <c r="C160" s="5" t="s">
        <v>338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339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183</v>
      </c>
      <c r="B162" s="5" t="s">
        <v>72</v>
      </c>
      <c r="C162" s="5" t="s">
        <v>338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339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ogxQtq/9g6OeNkiNBs6ghJq8+LdVqsoK1CbSDtbSeFSK0ebg4cqAnXfIn86tuaNowgHjhLbE7woQSAqVYa5K1w==" saltValue="QFHNUEWTAfsZg09RvHfUX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D3" sqref="D3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156</v>
      </c>
      <c r="B1" s="1" t="s">
        <v>336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x14ac:dyDescent="0.25">
      <c r="A2" s="3" t="s">
        <v>168</v>
      </c>
      <c r="B2" s="8" t="s">
        <v>94</v>
      </c>
      <c r="C2" s="3" t="s">
        <v>338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339</v>
      </c>
      <c r="D3" s="90">
        <v>0.83</v>
      </c>
      <c r="E3" s="90">
        <v>0.83</v>
      </c>
      <c r="F3" s="90">
        <v>0.83</v>
      </c>
      <c r="G3" s="90">
        <v>0.83</v>
      </c>
      <c r="H3" s="3"/>
    </row>
    <row r="4" spans="1:8" x14ac:dyDescent="0.25">
      <c r="A4" s="3" t="s">
        <v>187</v>
      </c>
      <c r="B4" s="8" t="s">
        <v>94</v>
      </c>
      <c r="C4" s="3" t="s">
        <v>338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339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186</v>
      </c>
      <c r="B6" s="8" t="s">
        <v>94</v>
      </c>
      <c r="C6" s="3" t="s">
        <v>338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339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330</v>
      </c>
    </row>
    <row r="10" spans="1:8" ht="13" customHeight="1" x14ac:dyDescent="0.3">
      <c r="A10" s="1" t="s">
        <v>156</v>
      </c>
      <c r="B10" s="1" t="s">
        <v>336</v>
      </c>
      <c r="C10" s="1"/>
      <c r="D10" s="4" t="s">
        <v>112</v>
      </c>
      <c r="E10" s="4" t="s">
        <v>113</v>
      </c>
      <c r="F10" s="4" t="s">
        <v>114</v>
      </c>
      <c r="G10" s="4" t="s">
        <v>115</v>
      </c>
    </row>
    <row r="11" spans="1:8" x14ac:dyDescent="0.25">
      <c r="A11" s="3" t="s">
        <v>168</v>
      </c>
      <c r="B11" s="8" t="s">
        <v>94</v>
      </c>
      <c r="C11" s="3" t="s">
        <v>338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x14ac:dyDescent="0.25">
      <c r="C12" s="8" t="s">
        <v>339</v>
      </c>
      <c r="D12" s="90">
        <v>0</v>
      </c>
      <c r="E12" s="90">
        <v>0</v>
      </c>
      <c r="F12" s="90">
        <v>0</v>
      </c>
      <c r="G12" s="90">
        <v>0</v>
      </c>
    </row>
    <row r="13" spans="1:8" x14ac:dyDescent="0.25">
      <c r="A13" s="3" t="s">
        <v>187</v>
      </c>
      <c r="B13" s="8" t="s">
        <v>94</v>
      </c>
      <c r="C13" s="3" t="s">
        <v>338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x14ac:dyDescent="0.25">
      <c r="C14" s="8" t="s">
        <v>339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x14ac:dyDescent="0.25">
      <c r="A15" s="3" t="s">
        <v>186</v>
      </c>
      <c r="B15" s="8" t="s">
        <v>94</v>
      </c>
      <c r="C15" s="3" t="s">
        <v>338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339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333</v>
      </c>
    </row>
    <row r="19" spans="1:7" ht="13" customHeight="1" x14ac:dyDescent="0.3">
      <c r="A19" s="1" t="s">
        <v>156</v>
      </c>
      <c r="B19" s="1" t="s">
        <v>336</v>
      </c>
      <c r="C19" s="1"/>
      <c r="D19" s="4" t="s">
        <v>112</v>
      </c>
      <c r="E19" s="4" t="s">
        <v>113</v>
      </c>
      <c r="F19" s="4" t="s">
        <v>114</v>
      </c>
      <c r="G19" s="4" t="s">
        <v>115</v>
      </c>
    </row>
    <row r="20" spans="1:7" x14ac:dyDescent="0.25">
      <c r="A20" s="3" t="s">
        <v>168</v>
      </c>
      <c r="B20" s="8" t="s">
        <v>94</v>
      </c>
      <c r="C20" s="3" t="s">
        <v>338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x14ac:dyDescent="0.25">
      <c r="C21" s="8" t="s">
        <v>339</v>
      </c>
      <c r="D21" s="90">
        <v>0.98</v>
      </c>
      <c r="E21" s="90">
        <v>0.98</v>
      </c>
      <c r="F21" s="90">
        <v>0.98</v>
      </c>
      <c r="G21" s="90">
        <v>0.98</v>
      </c>
    </row>
    <row r="22" spans="1:7" x14ac:dyDescent="0.25">
      <c r="A22" s="3" t="s">
        <v>187</v>
      </c>
      <c r="B22" s="8" t="s">
        <v>94</v>
      </c>
      <c r="C22" s="3" t="s">
        <v>338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x14ac:dyDescent="0.25">
      <c r="C23" s="8" t="s">
        <v>339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x14ac:dyDescent="0.25">
      <c r="A24" s="3" t="s">
        <v>186</v>
      </c>
      <c r="B24" s="8" t="s">
        <v>94</v>
      </c>
      <c r="C24" s="3" t="s">
        <v>338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x14ac:dyDescent="0.25">
      <c r="C25" s="8" t="s">
        <v>339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bFi4UO/MYSy1ocOot5y7JdpTLSj3VYrhdtuVEmlekdzp7NtFBQZX4yNIi9A9S9nFic+mLseFiB4QMgSz7PmPmQ==" saltValue="0Yi1KsKDfpD+pl5y1FWoHw==" spinCount="100000" sheet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loss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Birth outcome risks</vt:lpstr>
      <vt:lpstr>Relative risks</vt:lpstr>
      <vt:lpstr>Odds ratios</vt:lpstr>
      <vt:lpstr>Programs birth outcomes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lastModifiedBy>Tharindu Wickramaarachchi</cp:lastModifiedBy>
  <dcterms:created xsi:type="dcterms:W3CDTF">2017-08-01T10:42:13Z</dcterms:created>
  <dcterms:modified xsi:type="dcterms:W3CDTF">2024-05-09T01:48:37Z</dcterms:modified>
</cp:coreProperties>
</file>