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96D73F6B-2530-4439-95E3-9FE291823401}" xr6:coauthVersionLast="47" xr6:coauthVersionMax="47" xr10:uidLastSave="{00000000-0000-0000-0000-000000000000}"/>
  <bookViews>
    <workbookView xWindow="20" yWindow="20" windowWidth="19180" windowHeight="10180" tabRatio="961" firstSheet="6" activeTab="9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G152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G112" i="27"/>
  <c r="F112" i="27"/>
  <c r="E112" i="27"/>
  <c r="D112" i="27"/>
  <c r="H97" i="27"/>
  <c r="H152" i="27" s="1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H39" i="2"/>
  <c r="G39" i="2"/>
  <c r="I39" i="2" s="1"/>
  <c r="A39" i="2"/>
  <c r="H38" i="2"/>
  <c r="G38" i="2"/>
  <c r="I38" i="2" s="1"/>
  <c r="A37" i="2"/>
  <c r="A36" i="2"/>
  <c r="A35" i="2"/>
  <c r="A34" i="2"/>
  <c r="A33" i="2"/>
  <c r="A32" i="2"/>
  <c r="A31" i="2"/>
  <c r="A29" i="2"/>
  <c r="A28" i="2"/>
  <c r="A27" i="2"/>
  <c r="A26" i="2"/>
  <c r="A25" i="2"/>
  <c r="A24" i="2"/>
  <c r="A23" i="2"/>
  <c r="A21" i="2"/>
  <c r="A20" i="2"/>
  <c r="A19" i="2"/>
  <c r="A18" i="2"/>
  <c r="A17" i="2"/>
  <c r="A16" i="2"/>
  <c r="A15" i="2"/>
  <c r="H13" i="2"/>
  <c r="G13" i="2"/>
  <c r="I13" i="2" s="1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I5" i="2" s="1"/>
  <c r="H4" i="2"/>
  <c r="G4" i="2"/>
  <c r="I4" i="2" s="1"/>
  <c r="H3" i="2"/>
  <c r="G3" i="2"/>
  <c r="I3" i="2" s="1"/>
  <c r="A3" i="2"/>
  <c r="H2" i="2"/>
  <c r="G2" i="2"/>
  <c r="I2" i="2" s="1"/>
  <c r="A2" i="2"/>
  <c r="A40" i="2" s="1"/>
  <c r="C33" i="1"/>
  <c r="C20" i="1"/>
  <c r="A4" i="2" l="1"/>
  <c r="A5" i="2" s="1"/>
  <c r="A6" i="2"/>
  <c r="A7" i="2" s="1"/>
  <c r="A8" i="2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<sst xmlns="http://schemas.openxmlformats.org/spreadsheetml/2006/main" count="2101" uniqueCount="341">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</sst>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160282.8125</v>
      </c>
    </row>
    <row r="8" spans="1:3" ht="15" customHeight="1" x14ac:dyDescent="0.25">
      <c r="B8" s="5" t="s">
        <v>8</v>
      </c>
      <c r="C8" s="44">
        <v>1.7000000000000001E-2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0.77384170532226604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0.17100000000000001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0.13569999999999999</v>
      </c>
    </row>
    <row r="24" spans="1:3" ht="15" customHeight="1" x14ac:dyDescent="0.25">
      <c r="B24" s="15" t="s">
        <v>22</v>
      </c>
      <c r="C24" s="45">
        <v>0.52159999999999995</v>
      </c>
    </row>
    <row r="25" spans="1:3" ht="15" customHeight="1" x14ac:dyDescent="0.25">
      <c r="B25" s="15" t="s">
        <v>23</v>
      </c>
      <c r="C25" s="45">
        <v>0.31040000000000001</v>
      </c>
    </row>
    <row r="26" spans="1:3" ht="15" customHeight="1" x14ac:dyDescent="0.25">
      <c r="B26" s="15" t="s">
        <v>24</v>
      </c>
      <c r="C26" s="45">
        <v>3.2300000000000002E-2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0.38027698235904311</v>
      </c>
    </row>
    <row r="30" spans="1:3" ht="14.25" customHeight="1" x14ac:dyDescent="0.25">
      <c r="B30" s="25" t="s">
        <v>27</v>
      </c>
      <c r="C30" s="99">
        <v>5.4660418264349912E-2</v>
      </c>
    </row>
    <row r="31" spans="1:3" ht="14.25" customHeight="1" x14ac:dyDescent="0.25">
      <c r="B31" s="25" t="s">
        <v>28</v>
      </c>
      <c r="C31" s="99">
        <v>6.1967733026657798E-2</v>
      </c>
    </row>
    <row r="32" spans="1:3" ht="14.25" customHeight="1" x14ac:dyDescent="0.25">
      <c r="B32" s="25" t="s">
        <v>29</v>
      </c>
      <c r="C32" s="99">
        <v>0.50309486634994893</v>
      </c>
    </row>
    <row r="33" spans="1:5" ht="13" customHeight="1" x14ac:dyDescent="0.25">
      <c r="B33" s="27" t="s">
        <v>30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10.305669999999999</v>
      </c>
    </row>
    <row r="38" spans="1:5" ht="15" customHeight="1" x14ac:dyDescent="0.25">
      <c r="B38" s="11" t="s">
        <v>34</v>
      </c>
      <c r="C38" s="43">
        <v>10.669549999999999</v>
      </c>
      <c r="D38" s="12"/>
      <c r="E38" s="13"/>
    </row>
    <row r="39" spans="1:5" ht="15" customHeight="1" x14ac:dyDescent="0.25">
      <c r="B39" s="11" t="s">
        <v>35</v>
      </c>
      <c r="C39" s="43">
        <v>12.398630000000001</v>
      </c>
      <c r="D39" s="12"/>
      <c r="E39" s="12"/>
    </row>
    <row r="40" spans="1:5" ht="15" customHeight="1" x14ac:dyDescent="0.25">
      <c r="B40" s="11" t="s">
        <v>36</v>
      </c>
      <c r="C40" s="100">
        <v>0.99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14.36375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7.1923999999999998E-3</v>
      </c>
      <c r="D45" s="12"/>
    </row>
    <row r="46" spans="1:5" ht="15.75" customHeight="1" x14ac:dyDescent="0.25">
      <c r="B46" s="11" t="s">
        <v>41</v>
      </c>
      <c r="C46" s="45">
        <v>7.7281600000000006E-2</v>
      </c>
      <c r="D46" s="12"/>
    </row>
    <row r="47" spans="1:5" ht="15.75" customHeight="1" x14ac:dyDescent="0.25">
      <c r="B47" s="11" t="s">
        <v>42</v>
      </c>
      <c r="C47" s="45">
        <v>7.4161099999999994E-2</v>
      </c>
      <c r="D47" s="12"/>
      <c r="E47" s="13"/>
    </row>
    <row r="48" spans="1:5" ht="15" customHeight="1" x14ac:dyDescent="0.25">
      <c r="B48" s="11" t="s">
        <v>43</v>
      </c>
      <c r="C48" s="46">
        <v>0.84136489999999997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3.2</v>
      </c>
      <c r="D51" s="12"/>
    </row>
    <row r="52" spans="1:4" ht="15" customHeight="1" x14ac:dyDescent="0.25">
      <c r="B52" s="11" t="s">
        <v>46</v>
      </c>
      <c r="C52" s="100">
        <v>3.2</v>
      </c>
    </row>
    <row r="53" spans="1:4" ht="15.75" customHeight="1" x14ac:dyDescent="0.25">
      <c r="B53" s="11" t="s">
        <v>47</v>
      </c>
      <c r="C53" s="100">
        <v>3.2</v>
      </c>
    </row>
    <row r="54" spans="1:4" ht="15.75" customHeight="1" x14ac:dyDescent="0.25">
      <c r="B54" s="11" t="s">
        <v>48</v>
      </c>
      <c r="C54" s="100">
        <v>3.2</v>
      </c>
    </row>
    <row r="55" spans="1:4" ht="15.75" customHeight="1" x14ac:dyDescent="0.25">
      <c r="B55" s="11" t="s">
        <v>49</v>
      </c>
      <c r="C55" s="100">
        <v>3.2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0.55565200000000003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0.14582914999999999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31863</v>
      </c>
      <c r="C2" s="49">
        <v>127765</v>
      </c>
      <c r="D2" s="49">
        <v>236714</v>
      </c>
      <c r="E2" s="49">
        <v>247166.5</v>
      </c>
      <c r="F2" s="49">
        <v>175535</v>
      </c>
      <c r="G2" s="17">
        <f t="shared" ref="G2:G13" si="0">C2+D2+E2+F2</f>
        <v>787180.5</v>
      </c>
      <c r="H2" s="17">
        <f t="shared" ref="H2:H13" si="1">(B2 + stillbirth*B2/(1000-stillbirth))/(1-abortion)</f>
        <v>36735.615746127994</v>
      </c>
      <c r="I2" s="17">
        <f t="shared" ref="I2:I13" si="2">G2-H2</f>
        <v>750444.88425387198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31494</v>
      </c>
      <c r="C3" s="50">
        <v>124538</v>
      </c>
      <c r="D3" s="50">
        <v>230125.5</v>
      </c>
      <c r="E3" s="50">
        <v>248717.5</v>
      </c>
      <c r="F3" s="50">
        <v>179905</v>
      </c>
      <c r="G3" s="17">
        <f t="shared" si="0"/>
        <v>783286</v>
      </c>
      <c r="H3" s="17">
        <f t="shared" si="1"/>
        <v>36310.186809420171</v>
      </c>
      <c r="I3" s="17">
        <f t="shared" si="2"/>
        <v>746975.81319057988</v>
      </c>
    </row>
    <row r="4" spans="1:9" ht="15.75" customHeight="1" x14ac:dyDescent="0.25">
      <c r="A4" s="5">
        <f t="shared" si="3"/>
        <v>2026</v>
      </c>
      <c r="B4" s="49">
        <v>31067</v>
      </c>
      <c r="C4" s="50">
        <v>121425.5</v>
      </c>
      <c r="D4" s="50">
        <v>224430</v>
      </c>
      <c r="E4" s="50">
        <v>248905</v>
      </c>
      <c r="F4" s="50">
        <v>184844.5</v>
      </c>
      <c r="G4" s="17">
        <f t="shared" si="0"/>
        <v>779605</v>
      </c>
      <c r="H4" s="17">
        <f t="shared" si="1"/>
        <v>35817.888283744731</v>
      </c>
      <c r="I4" s="17">
        <f t="shared" si="2"/>
        <v>743787.11171625531</v>
      </c>
    </row>
    <row r="5" spans="1:9" ht="15.75" customHeight="1" x14ac:dyDescent="0.25">
      <c r="A5" s="5">
        <f t="shared" si="3"/>
        <v>2027</v>
      </c>
      <c r="B5" s="49">
        <v>30866</v>
      </c>
      <c r="C5" s="50">
        <v>118713</v>
      </c>
      <c r="D5" s="50">
        <v>218849.5</v>
      </c>
      <c r="E5" s="50">
        <v>248014.5</v>
      </c>
      <c r="F5" s="50">
        <v>189791</v>
      </c>
      <c r="G5" s="17">
        <f t="shared" si="0"/>
        <v>775368</v>
      </c>
      <c r="H5" s="17">
        <f t="shared" si="1"/>
        <v>35586.150570253478</v>
      </c>
      <c r="I5" s="17">
        <f t="shared" si="2"/>
        <v>739781.84942974651</v>
      </c>
    </row>
    <row r="6" spans="1:9" ht="15.75" customHeight="1" x14ac:dyDescent="0.25">
      <c r="A6" s="5">
        <f t="shared" si="3"/>
        <v>2028</v>
      </c>
      <c r="B6" s="49">
        <v>30386</v>
      </c>
      <c r="C6" s="50">
        <v>116270</v>
      </c>
      <c r="D6" s="50">
        <v>212576</v>
      </c>
      <c r="E6" s="50">
        <v>246826.5</v>
      </c>
      <c r="F6" s="50">
        <v>194311</v>
      </c>
      <c r="G6" s="17">
        <f t="shared" si="0"/>
        <v>769983.5</v>
      </c>
      <c r="H6" s="17">
        <f t="shared" si="1"/>
        <v>35032.747075348998</v>
      </c>
      <c r="I6" s="17">
        <f t="shared" si="2"/>
        <v>734950.75292465102</v>
      </c>
    </row>
    <row r="7" spans="1:9" ht="15.75" customHeight="1" x14ac:dyDescent="0.25">
      <c r="A7" s="5">
        <f t="shared" si="3"/>
        <v>2029</v>
      </c>
      <c r="B7" s="49">
        <v>29993</v>
      </c>
      <c r="C7" s="50">
        <v>113733.5</v>
      </c>
      <c r="D7" s="50">
        <v>207100</v>
      </c>
      <c r="E7" s="50">
        <v>244726.5</v>
      </c>
      <c r="F7" s="50">
        <v>198429.5</v>
      </c>
      <c r="G7" s="17">
        <f t="shared" si="0"/>
        <v>763989.5</v>
      </c>
      <c r="H7" s="17">
        <f t="shared" si="1"/>
        <v>34579.647963895957</v>
      </c>
      <c r="I7" s="17">
        <f t="shared" si="2"/>
        <v>729409.85203610407</v>
      </c>
    </row>
    <row r="8" spans="1:9" ht="15.75" customHeight="1" x14ac:dyDescent="0.25">
      <c r="A8" s="5">
        <f t="shared" si="3"/>
        <v>2030</v>
      </c>
      <c r="B8" s="49">
        <v>29545</v>
      </c>
      <c r="C8" s="50">
        <v>111636.5</v>
      </c>
      <c r="D8" s="50">
        <v>202776</v>
      </c>
      <c r="E8" s="50">
        <v>241240</v>
      </c>
      <c r="F8" s="50">
        <v>201918</v>
      </c>
      <c r="G8" s="17">
        <f t="shared" si="0"/>
        <v>757570.5</v>
      </c>
      <c r="H8" s="17">
        <f t="shared" si="1"/>
        <v>34063.138035318443</v>
      </c>
      <c r="I8" s="17">
        <f t="shared" si="2"/>
        <v>723507.36196468154</v>
      </c>
    </row>
    <row r="9" spans="1:9" ht="15.75" customHeight="1" x14ac:dyDescent="0.25">
      <c r="A9" s="5">
        <f t="shared" si="3"/>
        <v>2031</v>
      </c>
      <c r="B9" s="49">
        <v>29150</v>
      </c>
      <c r="C9" s="50">
        <v>109273</v>
      </c>
      <c r="D9" s="50">
        <v>199149</v>
      </c>
      <c r="E9" s="50">
        <v>236481.5</v>
      </c>
      <c r="F9" s="50">
        <v>204273.5</v>
      </c>
      <c r="G9" s="17">
        <f t="shared" si="0"/>
        <v>749177</v>
      </c>
      <c r="H9" s="17">
        <f t="shared" si="1"/>
        <v>33607.733075969962</v>
      </c>
      <c r="I9" s="17">
        <f t="shared" si="2"/>
        <v>715569.26692403003</v>
      </c>
    </row>
    <row r="10" spans="1:9" ht="15.75" customHeight="1" x14ac:dyDescent="0.25">
      <c r="A10" s="5">
        <f t="shared" si="3"/>
        <v>2032</v>
      </c>
      <c r="B10" s="49">
        <v>28563</v>
      </c>
      <c r="C10" s="50">
        <v>106180</v>
      </c>
      <c r="D10" s="50">
        <v>195647.5</v>
      </c>
      <c r="E10" s="50">
        <v>230749.5</v>
      </c>
      <c r="F10" s="50">
        <v>206015</v>
      </c>
      <c r="G10" s="17">
        <f t="shared" si="0"/>
        <v>738592</v>
      </c>
      <c r="H10" s="17">
        <f t="shared" si="1"/>
        <v>32930.966718659693</v>
      </c>
      <c r="I10" s="17">
        <f t="shared" si="2"/>
        <v>705661.03328134026</v>
      </c>
    </row>
    <row r="11" spans="1:9" ht="15.75" customHeight="1" x14ac:dyDescent="0.25">
      <c r="A11" s="5">
        <f t="shared" si="3"/>
        <v>2033</v>
      </c>
      <c r="B11" s="49">
        <v>28063</v>
      </c>
      <c r="C11" s="50">
        <v>102982.5</v>
      </c>
      <c r="D11" s="50">
        <v>191853</v>
      </c>
      <c r="E11" s="50">
        <v>224427</v>
      </c>
      <c r="F11" s="50">
        <v>207960.5</v>
      </c>
      <c r="G11" s="17">
        <f t="shared" si="0"/>
        <v>727223</v>
      </c>
      <c r="H11" s="17">
        <f t="shared" si="1"/>
        <v>32354.504744800859</v>
      </c>
      <c r="I11" s="17">
        <f t="shared" si="2"/>
        <v>694868.49525519914</v>
      </c>
    </row>
    <row r="12" spans="1:9" ht="15.75" customHeight="1" x14ac:dyDescent="0.25">
      <c r="A12" s="5">
        <f t="shared" si="3"/>
        <v>2034</v>
      </c>
      <c r="B12" s="49">
        <v>27567</v>
      </c>
      <c r="C12" s="50">
        <v>100164</v>
      </c>
      <c r="D12" s="50">
        <v>187381.5</v>
      </c>
      <c r="E12" s="50">
        <v>217974.5</v>
      </c>
      <c r="F12" s="50">
        <v>209907.5</v>
      </c>
      <c r="G12" s="17">
        <f t="shared" si="0"/>
        <v>715427.5</v>
      </c>
      <c r="H12" s="17">
        <f t="shared" si="1"/>
        <v>31782.654466732896</v>
      </c>
      <c r="I12" s="17">
        <f t="shared" si="2"/>
        <v>683644.84553326713</v>
      </c>
    </row>
    <row r="13" spans="1:9" ht="15.75" customHeight="1" x14ac:dyDescent="0.25">
      <c r="A13" s="5">
        <f t="shared" si="3"/>
        <v>2035</v>
      </c>
      <c r="B13" s="49">
        <v>26881</v>
      </c>
      <c r="C13" s="50">
        <v>97352</v>
      </c>
      <c r="D13" s="50">
        <v>182937</v>
      </c>
      <c r="E13" s="50">
        <v>211461</v>
      </c>
      <c r="F13" s="50">
        <v>211633.5</v>
      </c>
      <c r="G13" s="17">
        <f t="shared" si="0"/>
        <v>703383.5</v>
      </c>
      <c r="H13" s="17">
        <f t="shared" si="1"/>
        <v>30991.748638598579</v>
      </c>
      <c r="I13" s="17">
        <f t="shared" si="2"/>
        <v>672391.7513614014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0.13613760000000011</v>
      </c>
    </row>
    <row r="5" spans="1:8" ht="15.75" customHeight="1" x14ac:dyDescent="0.25">
      <c r="B5" s="19" t="s">
        <v>70</v>
      </c>
      <c r="C5" s="101">
        <v>2.9634100000000021E-2</v>
      </c>
    </row>
    <row r="6" spans="1:8" ht="15.75" customHeight="1" x14ac:dyDescent="0.25">
      <c r="B6" s="19" t="s">
        <v>71</v>
      </c>
      <c r="C6" s="101">
        <v>0.18144859999999971</v>
      </c>
    </row>
    <row r="7" spans="1:8" ht="15.75" customHeight="1" x14ac:dyDescent="0.25">
      <c r="B7" s="19" t="s">
        <v>72</v>
      </c>
      <c r="C7" s="101">
        <v>0.45895330000000018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0.1178047999999999</v>
      </c>
    </row>
    <row r="10" spans="1:8" ht="15.75" customHeight="1" x14ac:dyDescent="0.25">
      <c r="B10" s="19" t="s">
        <v>75</v>
      </c>
      <c r="C10" s="101">
        <v>7.6021599999999911E-2</v>
      </c>
    </row>
    <row r="11" spans="1:8" ht="15.75" customHeight="1" x14ac:dyDescent="0.25">
      <c r="B11" s="27" t="s">
        <v>30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0.18295444305434169</v>
      </c>
      <c r="D14" s="55">
        <v>0.18295444305434169</v>
      </c>
      <c r="E14" s="55">
        <v>0.18295444305434169</v>
      </c>
      <c r="F14" s="55">
        <v>0.18295444305434169</v>
      </c>
    </row>
    <row r="15" spans="1:8" ht="15.75" customHeight="1" x14ac:dyDescent="0.25">
      <c r="B15" s="19" t="s">
        <v>82</v>
      </c>
      <c r="C15" s="101">
        <v>0.34734263374847879</v>
      </c>
      <c r="D15" s="101">
        <v>0.34734263374847879</v>
      </c>
      <c r="E15" s="101">
        <v>0.34734263374847879</v>
      </c>
      <c r="F15" s="101">
        <v>0.34734263374847879</v>
      </c>
    </row>
    <row r="16" spans="1:8" ht="15.75" customHeight="1" x14ac:dyDescent="0.25">
      <c r="B16" s="19" t="s">
        <v>83</v>
      </c>
      <c r="C16" s="101">
        <v>3.7147698052948298E-2</v>
      </c>
      <c r="D16" s="101">
        <v>3.7147698052948298E-2</v>
      </c>
      <c r="E16" s="101">
        <v>3.7147698052948298E-2</v>
      </c>
      <c r="F16" s="101">
        <v>3.7147698052948298E-2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0.17484696646779091</v>
      </c>
      <c r="D19" s="101">
        <v>0.17484696646779091</v>
      </c>
      <c r="E19" s="101">
        <v>0.17484696646779091</v>
      </c>
      <c r="F19" s="101">
        <v>0.17484696646779091</v>
      </c>
    </row>
    <row r="20" spans="1:8" ht="15.75" customHeight="1" x14ac:dyDescent="0.25">
      <c r="B20" s="19" t="s">
        <v>87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88</v>
      </c>
      <c r="C21" s="101">
        <v>0.12466024564999149</v>
      </c>
      <c r="D21" s="101">
        <v>0.12466024564999149</v>
      </c>
      <c r="E21" s="101">
        <v>0.12466024564999149</v>
      </c>
      <c r="F21" s="101">
        <v>0.12466024564999149</v>
      </c>
    </row>
    <row r="22" spans="1:8" ht="15.75" customHeight="1" x14ac:dyDescent="0.25">
      <c r="B22" s="19" t="s">
        <v>89</v>
      </c>
      <c r="C22" s="101">
        <v>0.1330480130264487</v>
      </c>
      <c r="D22" s="101">
        <v>0.1330480130264487</v>
      </c>
      <c r="E22" s="101">
        <v>0.1330480130264487</v>
      </c>
      <c r="F22" s="101">
        <v>0.1330480130264487</v>
      </c>
    </row>
    <row r="23" spans="1:8" ht="15.75" customHeight="1" x14ac:dyDescent="0.25">
      <c r="B23" s="27" t="s">
        <v>30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2.9141097000000001E-2</v>
      </c>
    </row>
    <row r="27" spans="1:8" ht="15.75" customHeight="1" x14ac:dyDescent="0.25">
      <c r="B27" s="19" t="s">
        <v>92</v>
      </c>
      <c r="C27" s="101">
        <v>1.0659604E-2</v>
      </c>
    </row>
    <row r="28" spans="1:8" ht="15.75" customHeight="1" x14ac:dyDescent="0.25">
      <c r="B28" s="19" t="s">
        <v>93</v>
      </c>
      <c r="C28" s="101">
        <v>5.3942014000000003E-2</v>
      </c>
    </row>
    <row r="29" spans="1:8" ht="15.75" customHeight="1" x14ac:dyDescent="0.25">
      <c r="B29" s="19" t="s">
        <v>94</v>
      </c>
      <c r="C29" s="101">
        <v>0.132460157</v>
      </c>
    </row>
    <row r="30" spans="1:8" ht="15.75" customHeight="1" x14ac:dyDescent="0.25">
      <c r="B30" s="19" t="s">
        <v>95</v>
      </c>
      <c r="C30" s="101">
        <v>4.2099428000000001E-2</v>
      </c>
    </row>
    <row r="31" spans="1:8" ht="15.75" customHeight="1" x14ac:dyDescent="0.25">
      <c r="B31" s="19" t="s">
        <v>96</v>
      </c>
      <c r="C31" s="101">
        <v>9.6696056000000002E-2</v>
      </c>
    </row>
    <row r="32" spans="1:8" ht="15.75" customHeight="1" x14ac:dyDescent="0.25">
      <c r="B32" s="19" t="s">
        <v>97</v>
      </c>
      <c r="C32" s="101">
        <v>6.3757143000000002E-2</v>
      </c>
    </row>
    <row r="33" spans="2:3" ht="15.75" customHeight="1" x14ac:dyDescent="0.25">
      <c r="B33" s="19" t="s">
        <v>98</v>
      </c>
      <c r="C33" s="101">
        <v>0.12090500699999999</v>
      </c>
    </row>
    <row r="34" spans="2:3" ht="15.75" customHeight="1" x14ac:dyDescent="0.25">
      <c r="B34" s="19" t="s">
        <v>99</v>
      </c>
      <c r="C34" s="101">
        <v>0.45033949200000001</v>
      </c>
    </row>
    <row r="35" spans="2:3" ht="15.75" customHeight="1" x14ac:dyDescent="0.25">
      <c r="B35" s="27" t="s">
        <v>30</v>
      </c>
      <c r="C35" s="48">
        <f>SUM(C26:C34)</f>
        <v>0.99999999799999995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0.56571320635899591</v>
      </c>
      <c r="D2" s="52">
        <f>IFERROR(1-_xlfn.NORM.DIST(_xlfn.NORM.INV(SUM(D4:D5), 0, 1) + 1, 0, 1, TRUE), "")</f>
        <v>0.56571320635899591</v>
      </c>
      <c r="E2" s="52">
        <f>IFERROR(1-_xlfn.NORM.DIST(_xlfn.NORM.INV(SUM(E4:E5), 0, 1) + 1, 0, 1, TRUE), "")</f>
        <v>0.5489003245052726</v>
      </c>
      <c r="F2" s="52">
        <f>IFERROR(1-_xlfn.NORM.DIST(_xlfn.NORM.INV(SUM(F4:F5), 0, 1) + 1, 0, 1, TRUE), "")</f>
        <v>0.40571757652982099</v>
      </c>
      <c r="G2" s="52">
        <f>IFERROR(1-_xlfn.NORM.DIST(_xlfn.NORM.INV(SUM(G4:G5), 0, 1) + 1, 0, 1, TRUE), "")</f>
        <v>0.42098878903416415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0.31237251692867529</v>
      </c>
      <c r="D3" s="52">
        <f>IFERROR(_xlfn.NORM.DIST(_xlfn.NORM.INV(SUM(D4:D5), 0, 1) + 1, 0, 1, TRUE) - SUM(D4:D5), "")</f>
        <v>0.31237251692867529</v>
      </c>
      <c r="E3" s="52">
        <f>IFERROR(_xlfn.NORM.DIST(_xlfn.NORM.INV(SUM(E4:E5), 0, 1) + 1, 0, 1, TRUE) - SUM(E4:E5), "")</f>
        <v>0.32035618765688967</v>
      </c>
      <c r="F3" s="52">
        <f>IFERROR(_xlfn.NORM.DIST(_xlfn.NORM.INV(SUM(F4:F5), 0, 1) + 1, 0, 1, TRUE) - SUM(F4:F5), "")</f>
        <v>0.37108079374044944</v>
      </c>
      <c r="G3" s="52">
        <f>IFERROR(_xlfn.NORM.DIST(_xlfn.NORM.INV(SUM(G4:G5), 0, 1) + 1, 0, 1, TRUE) - SUM(G4:G5), "")</f>
        <v>0.36733984610097042</v>
      </c>
    </row>
    <row r="4" spans="1:15" ht="15.75" customHeight="1" x14ac:dyDescent="0.25">
      <c r="B4" s="5" t="s">
        <v>104</v>
      </c>
      <c r="C4" s="45">
        <v>7.883543561643841E-2</v>
      </c>
      <c r="D4" s="53">
        <v>7.883543561643841E-2</v>
      </c>
      <c r="E4" s="53">
        <v>9.5080344594594593E-2</v>
      </c>
      <c r="F4" s="53">
        <v>0.15155733108108099</v>
      </c>
      <c r="G4" s="53">
        <v>0.14753636351351401</v>
      </c>
    </row>
    <row r="5" spans="1:15" ht="15.75" customHeight="1" x14ac:dyDescent="0.25">
      <c r="B5" s="5" t="s">
        <v>105</v>
      </c>
      <c r="C5" s="45">
        <v>4.3078841095890399E-2</v>
      </c>
      <c r="D5" s="53">
        <v>4.3078841095890399E-2</v>
      </c>
      <c r="E5" s="53">
        <v>3.5663143243243198E-2</v>
      </c>
      <c r="F5" s="53">
        <v>7.1644298648648602E-2</v>
      </c>
      <c r="G5" s="53">
        <v>6.4135001351351403E-2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0.74829542472685828</v>
      </c>
      <c r="D8" s="52">
        <f>IFERROR(1-_xlfn.NORM.DIST(_xlfn.NORM.INV(SUM(D10:D11), 0, 1) + 1, 0, 1, TRUE), "")</f>
        <v>0.74829542472685828</v>
      </c>
      <c r="E8" s="52">
        <f>IFERROR(1-_xlfn.NORM.DIST(_xlfn.NORM.INV(SUM(E10:E11), 0, 1) + 1, 0, 1, TRUE), "")</f>
        <v>0.78445700575695343</v>
      </c>
      <c r="F8" s="52">
        <f>IFERROR(1-_xlfn.NORM.DIST(_xlfn.NORM.INV(SUM(F10:F11), 0, 1) + 1, 0, 1, TRUE), "")</f>
        <v>0.83285025048157679</v>
      </c>
      <c r="G8" s="52">
        <f>IFERROR(1-_xlfn.NORM.DIST(_xlfn.NORM.INV(SUM(G10:G11), 0, 1) + 1, 0, 1, TRUE), "")</f>
        <v>0.86465701739449596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0.20415929445122397</v>
      </c>
      <c r="D9" s="52">
        <f>IFERROR(_xlfn.NORM.DIST(_xlfn.NORM.INV(SUM(D10:D11), 0, 1) + 1, 0, 1, TRUE) - SUM(D10:D11), "")</f>
        <v>0.20415929445122397</v>
      </c>
      <c r="E9" s="52">
        <f>IFERROR(_xlfn.NORM.DIST(_xlfn.NORM.INV(SUM(E10:E11), 0, 1) + 1, 0, 1, TRUE) - SUM(E10:E11), "")</f>
        <v>0.1786012861349385</v>
      </c>
      <c r="F9" s="52">
        <f>IFERROR(_xlfn.NORM.DIST(_xlfn.NORM.INV(SUM(F10:F11), 0, 1) + 1, 0, 1, TRUE) - SUM(F10:F11), "")</f>
        <v>0.14247096699343242</v>
      </c>
      <c r="G9" s="52">
        <f>IFERROR(_xlfn.NORM.DIST(_xlfn.NORM.INV(SUM(G10:G11), 0, 1) + 1, 0, 1, TRUE) - SUM(G10:G11), "")</f>
        <v>0.11754374206496343</v>
      </c>
    </row>
    <row r="10" spans="1:15" ht="15.75" customHeight="1" x14ac:dyDescent="0.25">
      <c r="B10" s="5" t="s">
        <v>109</v>
      </c>
      <c r="C10" s="45">
        <v>2.9596563013698601E-2</v>
      </c>
      <c r="D10" s="53">
        <v>2.9596563013698601E-2</v>
      </c>
      <c r="E10" s="53">
        <v>2.6053795945945899E-2</v>
      </c>
      <c r="F10" s="53">
        <v>1.7234675675675701E-2</v>
      </c>
      <c r="G10" s="53">
        <v>1.32244202702703E-2</v>
      </c>
    </row>
    <row r="11" spans="1:15" ht="15.75" customHeight="1" x14ac:dyDescent="0.25">
      <c r="B11" s="5" t="s">
        <v>110</v>
      </c>
      <c r="C11" s="45">
        <v>1.7948717808219199E-2</v>
      </c>
      <c r="D11" s="53">
        <v>1.7948717808219199E-2</v>
      </c>
      <c r="E11" s="53">
        <v>1.08879121621622E-2</v>
      </c>
      <c r="F11" s="53">
        <v>7.4441068493150686E-3</v>
      </c>
      <c r="G11" s="53">
        <v>4.57482027027027E-3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0.45710734074999998</v>
      </c>
      <c r="D14" s="54">
        <v>0.43038927098300001</v>
      </c>
      <c r="E14" s="54">
        <v>0.43038927098300001</v>
      </c>
      <c r="F14" s="54">
        <v>0.31946844869300001</v>
      </c>
      <c r="G14" s="54">
        <v>0.31946844869300001</v>
      </c>
      <c r="H14" s="45">
        <v>0.27</v>
      </c>
      <c r="I14" s="55">
        <v>0.27</v>
      </c>
      <c r="J14" s="55">
        <v>0.27</v>
      </c>
      <c r="K14" s="55">
        <v>0.27</v>
      </c>
      <c r="L14" s="45">
        <v>0.224</v>
      </c>
      <c r="M14" s="55">
        <v>0.224</v>
      </c>
      <c r="N14" s="55">
        <v>0.224</v>
      </c>
      <c r="O14" s="55">
        <v>0.224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0.25399260810241903</v>
      </c>
      <c r="D15" s="52">
        <f t="shared" si="0"/>
        <v>0.23914665920024594</v>
      </c>
      <c r="E15" s="52">
        <f t="shared" si="0"/>
        <v>0.23914665920024594</v>
      </c>
      <c r="F15" s="52">
        <f t="shared" si="0"/>
        <v>0.17751328245316286</v>
      </c>
      <c r="G15" s="52">
        <f t="shared" si="0"/>
        <v>0.17751328245316286</v>
      </c>
      <c r="H15" s="52">
        <f t="shared" si="0"/>
        <v>0.15002604000000003</v>
      </c>
      <c r="I15" s="52">
        <f t="shared" si="0"/>
        <v>0.15002604000000003</v>
      </c>
      <c r="J15" s="52">
        <f t="shared" si="0"/>
        <v>0.15002604000000003</v>
      </c>
      <c r="K15" s="52">
        <f t="shared" si="0"/>
        <v>0.15002604000000003</v>
      </c>
      <c r="L15" s="52">
        <f t="shared" si="0"/>
        <v>0.12446604800000001</v>
      </c>
      <c r="M15" s="52">
        <f t="shared" si="0"/>
        <v>0.12446604800000001</v>
      </c>
      <c r="N15" s="52">
        <f t="shared" si="0"/>
        <v>0.12446604800000001</v>
      </c>
      <c r="O15" s="52">
        <f t="shared" si="0"/>
        <v>0.12446604800000001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0.4584897</v>
      </c>
      <c r="D2" s="53">
        <v>0.17920549999999999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0.1811017</v>
      </c>
      <c r="D3" s="53">
        <v>0.18662980000000001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0.27453680000000003</v>
      </c>
      <c r="D4" s="53">
        <v>0.54415389999999997</v>
      </c>
      <c r="E4" s="53">
        <v>0.69400049999999991</v>
      </c>
      <c r="F4" s="53">
        <v>0.37669950000000002</v>
      </c>
      <c r="G4" s="53">
        <v>0</v>
      </c>
    </row>
    <row r="5" spans="1:7" x14ac:dyDescent="0.25">
      <c r="B5" s="3" t="s">
        <v>122</v>
      </c>
      <c r="C5" s="52">
        <v>8.5871799999999998E-2</v>
      </c>
      <c r="D5" s="52">
        <v>9.0010800000000002E-2</v>
      </c>
      <c r="E5" s="52">
        <f>1-SUM(E2:E4)</f>
        <v>0.30599950000000009</v>
      </c>
      <c r="F5" s="52">
        <f>1-SUM(F2:F4)</f>
        <v>0.62330050000000004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ht="13.25" customHeight="1" x14ac:dyDescent="0.25">
      <c r="A2" s="8" t="s">
        <v>137</v>
      </c>
      <c r="B2" s="41">
        <v>10</v>
      </c>
    </row>
    <row r="3" spans="1:2" ht="13.25" customHeight="1" x14ac:dyDescent="0.25">
      <c r="A3" s="8" t="s">
        <v>138</v>
      </c>
      <c r="B3" s="41">
        <v>10</v>
      </c>
    </row>
    <row r="4" spans="1:2" ht="13.25" customHeight="1" x14ac:dyDescent="0.25">
      <c r="A4" s="8" t="s">
        <v>139</v>
      </c>
      <c r="B4" s="41">
        <v>10</v>
      </c>
    </row>
    <row r="5" spans="1:2" ht="13.25" customHeight="1" x14ac:dyDescent="0.25">
      <c r="A5" s="8" t="s">
        <v>140</v>
      </c>
      <c r="B5" s="41">
        <v>10</v>
      </c>
    </row>
    <row r="6" spans="1:2" ht="13.25" customHeight="1" x14ac:dyDescent="0.25">
      <c r="A6" s="8" t="s">
        <v>141</v>
      </c>
      <c r="B6" s="41">
        <v>10</v>
      </c>
    </row>
    <row r="7" spans="1:2" ht="13.25" customHeight="1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ht="13.25" customHeight="1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ht="13.25" customHeight="1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ht="13.25" customHeight="1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ht="13.25" customHeight="1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67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77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ht="13.25" customHeight="1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ht="13.25" customHeight="1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ht="13.25" customHeight="1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ht="13.25" customHeight="1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abSelected="1"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62.714780124614677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39.985147042964151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487.85757913726337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1.737860170244969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13.117446486760061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13.117446486760061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13.117446486760061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13.117446486760061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13.117446486760061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13.117446486760061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0.82421228665541357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0.35908333333333298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0.17920549999999999</v>
      </c>
      <c r="C18" s="98">
        <v>0.95</v>
      </c>
      <c r="D18" s="56">
        <v>11.224756739744929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0.17920549999999999</v>
      </c>
      <c r="C19" s="98">
        <v>0.95</v>
      </c>
      <c r="D19" s="56">
        <v>11.224756739744929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16.982553632802741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22.691717425670902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4.3451295640787793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0.90661800413877003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18.676662605887799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0.64137739999999999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124.34168065842491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0.50502277771952597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1.780535588985835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0.66647509999999999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0.28231899999999999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3.5551399999999997E-2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0.83723100000000006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1.723279552412311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ht="13.25" customHeight="1" x14ac:dyDescent="0.25">
      <c r="A2" s="57" t="s">
        <v>179</v>
      </c>
      <c r="B2" s="47" t="s">
        <v>189</v>
      </c>
      <c r="C2" s="47"/>
    </row>
    <row r="3" spans="1:3" ht="13.25" customHeight="1" x14ac:dyDescent="0.25">
      <c r="A3" s="57" t="s">
        <v>180</v>
      </c>
      <c r="B3" s="47" t="s">
        <v>189</v>
      </c>
      <c r="C3" s="47"/>
    </row>
    <row r="4" spans="1:3" ht="13.25" customHeight="1" x14ac:dyDescent="0.25">
      <c r="A4" s="57" t="s">
        <v>191</v>
      </c>
      <c r="B4" s="47" t="s">
        <v>184</v>
      </c>
      <c r="C4" s="47"/>
    </row>
    <row r="5" spans="1:3" ht="13.25" customHeight="1" x14ac:dyDescent="0.25">
      <c r="A5" s="57" t="s">
        <v>188</v>
      </c>
      <c r="B5" s="47" t="s">
        <v>184</v>
      </c>
      <c r="C5" s="47"/>
    </row>
    <row r="6" spans="1:3" ht="13.25" customHeight="1" x14ac:dyDescent="0.25">
      <c r="A6" s="57" t="s">
        <v>191</v>
      </c>
      <c r="B6" s="58" t="s">
        <v>192</v>
      </c>
      <c r="C6" s="58"/>
    </row>
    <row r="7" spans="1:3" ht="13.25" customHeight="1" x14ac:dyDescent="0.25">
      <c r="A7" s="57" t="s">
        <v>188</v>
      </c>
      <c r="B7" s="58" t="s">
        <v>192</v>
      </c>
      <c r="C7" s="58"/>
    </row>
    <row r="8" spans="1:3" ht="13.25" customHeight="1" x14ac:dyDescent="0.25">
      <c r="A8" s="57" t="s">
        <v>200</v>
      </c>
      <c r="B8" s="58" t="s">
        <v>192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ht="13.25" customHeight="1" x14ac:dyDescent="0.25">
      <c r="A2" s="33" t="s">
        <v>171</v>
      </c>
    </row>
    <row r="3" spans="1:1" ht="13.25" customHeight="1" x14ac:dyDescent="0.25">
      <c r="A3" s="33" t="s">
        <v>181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157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3.2</v>
      </c>
      <c r="C2" s="21">
        <f>'Baseline year population inputs'!C52</f>
        <v>3.2</v>
      </c>
      <c r="D2" s="21">
        <f>'Baseline year population inputs'!C53</f>
        <v>3.2</v>
      </c>
      <c r="E2" s="21">
        <f>'Baseline year population inputs'!C54</f>
        <v>3.2</v>
      </c>
      <c r="F2" s="21">
        <f>'Baseline year population inputs'!C55</f>
        <v>3.2</v>
      </c>
    </row>
    <row r="3" spans="1:6" ht="15.75" customHeight="1" x14ac:dyDescent="0.25">
      <c r="A3" s="3" t="s">
        <v>204</v>
      </c>
      <c r="B3" s="21">
        <f>frac_mam_1month * 2.6</f>
        <v>7.6951063835616368E-2</v>
      </c>
      <c r="C3" s="21">
        <f>frac_mam_1_5months * 2.6</f>
        <v>7.6951063835616368E-2</v>
      </c>
      <c r="D3" s="21">
        <f>frac_mam_6_11months * 2.6</f>
        <v>6.773986945945934E-2</v>
      </c>
      <c r="E3" s="21">
        <f>frac_mam_12_23months * 2.6</f>
        <v>4.4810156756756821E-2</v>
      </c>
      <c r="F3" s="21">
        <f>frac_mam_24_59months * 2.6</f>
        <v>3.438349270270278E-2</v>
      </c>
    </row>
    <row r="4" spans="1:6" ht="15.75" customHeight="1" x14ac:dyDescent="0.25">
      <c r="A4" s="3" t="s">
        <v>205</v>
      </c>
      <c r="B4" s="21">
        <f>frac_sam_1month * 2.6</f>
        <v>4.6666666301369918E-2</v>
      </c>
      <c r="C4" s="21">
        <f>frac_sam_1_5months * 2.6</f>
        <v>4.6666666301369918E-2</v>
      </c>
      <c r="D4" s="21">
        <f>frac_sam_6_11months * 2.6</f>
        <v>2.830857162162172E-2</v>
      </c>
      <c r="E4" s="21">
        <f>frac_sam_12_23months * 2.6</f>
        <v>1.935467780821918E-2</v>
      </c>
      <c r="F4" s="21">
        <f>frac_sam_24_59months * 2.6</f>
        <v>1.1894532702702703E-2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1.7000000000000001E-2</v>
      </c>
      <c r="E2" s="60">
        <f>food_insecure</f>
        <v>1.7000000000000001E-2</v>
      </c>
      <c r="F2" s="60">
        <f>food_insecure</f>
        <v>1.7000000000000001E-2</v>
      </c>
      <c r="G2" s="60">
        <f>food_insecure</f>
        <v>1.7000000000000001E-2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1.7000000000000001E-2</v>
      </c>
      <c r="F5" s="60">
        <f>food_insecure</f>
        <v>1.7000000000000001E-2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1.7000000000000001E-2</v>
      </c>
      <c r="F8" s="60">
        <f>food_insecure</f>
        <v>1.7000000000000001E-2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1.7000000000000001E-2</v>
      </c>
      <c r="F9" s="60">
        <f>food_insecure</f>
        <v>1.7000000000000001E-2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1.7000000000000001E-2</v>
      </c>
      <c r="I15" s="60">
        <f>food_insecure</f>
        <v>1.7000000000000001E-2</v>
      </c>
      <c r="J15" s="60">
        <f>food_insecure</f>
        <v>1.7000000000000001E-2</v>
      </c>
      <c r="K15" s="60">
        <f>food_insecure</f>
        <v>1.7000000000000001E-2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0.17100000000000001</v>
      </c>
      <c r="M24" s="60">
        <f>famplan_unmet_need</f>
        <v>0.17100000000000001</v>
      </c>
      <c r="N24" s="60">
        <f>famplan_unmet_need</f>
        <v>0.17100000000000001</v>
      </c>
      <c r="O24" s="60">
        <f>famplan_unmet_need</f>
        <v>0.17100000000000001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0.11162494950408915</v>
      </c>
      <c r="M25" s="60">
        <f>(1-food_insecure)*(0.49)+food_insecure*(0.7)</f>
        <v>0.49357000000000001</v>
      </c>
      <c r="N25" s="60">
        <f>(1-food_insecure)*(0.49)+food_insecure*(0.7)</f>
        <v>0.49357000000000001</v>
      </c>
      <c r="O25" s="60">
        <f>(1-food_insecure)*(0.49)+food_insecure*(0.7)</f>
        <v>0.49357000000000001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4.7839264073181065E-2</v>
      </c>
      <c r="M26" s="60">
        <f>(1-food_insecure)*(0.21)+food_insecure*(0.3)</f>
        <v>0.21153</v>
      </c>
      <c r="N26" s="60">
        <f>(1-food_insecure)*(0.21)+food_insecure*(0.3)</f>
        <v>0.21153</v>
      </c>
      <c r="O26" s="60">
        <f>(1-food_insecure)*(0.21)+food_insecure*(0.3)</f>
        <v>0.21153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6.6694081100463751E-2</v>
      </c>
      <c r="M27" s="60">
        <f>(1-food_insecure)*(0.3)</f>
        <v>0.2949</v>
      </c>
      <c r="N27" s="60">
        <f>(1-food_insecure)*(0.3)</f>
        <v>0.2949</v>
      </c>
      <c r="O27" s="60">
        <f>(1-food_insecure)*(0.3)</f>
        <v>0.2949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0.77384170532226604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ht="13.25" customHeight="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ht="13.25" customHeight="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ht="13.25" customHeight="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ht="13.25" customHeight="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ht="13.25" customHeight="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ht="13.25" customHeight="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ht="13.25" customHeight="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ht="13.25" customHeight="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ht="13.25" customHeight="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ht="13.25" customHeight="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ht="13.25" customHeight="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ht="13.25" customHeight="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ht="13.25" customHeight="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ht="13.25" customHeight="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ht="13.25" customHeight="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ht="13.25" customHeight="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ht="13.25" customHeight="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ht="13.25" customHeight="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ht="13.25" customHeight="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ht="13.25" customHeight="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ht="13.25" customHeight="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A8" sqref="A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67</v>
      </c>
      <c r="C5" s="8" t="s">
        <v>145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146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77</v>
      </c>
      <c r="C8" s="8" t="s">
        <v>145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146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146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67</v>
      </c>
      <c r="C58" s="8" t="s">
        <v>145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146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77</v>
      </c>
      <c r="C61" s="8" t="s">
        <v>145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146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67</v>
      </c>
      <c r="C111" s="8" t="s">
        <v>145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146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147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77</v>
      </c>
      <c r="C114" s="8" t="s">
        <v>145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146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147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78</v>
      </c>
      <c r="C117" s="8" t="s">
        <v>145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146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147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79</v>
      </c>
      <c r="C120" s="8" t="s">
        <v>145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146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147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146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147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67</v>
      </c>
      <c r="C128" s="8" t="s">
        <v>145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146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147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77</v>
      </c>
      <c r="C131" s="8" t="s">
        <v>145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146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147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78</v>
      </c>
      <c r="C134" s="8" t="s">
        <v>145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146</v>
      </c>
      <c r="D135" s="88">
        <f t="shared" ref="D135:H144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147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79</v>
      </c>
      <c r="C137" s="8" t="s">
        <v>145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146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147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146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147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67</v>
      </c>
      <c r="C145" s="8" t="s">
        <v>145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146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147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77</v>
      </c>
      <c r="C148" s="8" t="s">
        <v>145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146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147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78</v>
      </c>
      <c r="C151" s="8" t="s">
        <v>145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146</v>
      </c>
      <c r="D152" s="88">
        <f t="shared" ref="D152:H161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147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79</v>
      </c>
      <c r="C154" s="8" t="s">
        <v>145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146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147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A8" sqref="A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A8" sqref="A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A8" sqref="A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289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302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111</v>
      </c>
      <c r="B40" s="11" t="s">
        <v>303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307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316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111</v>
      </c>
      <c r="B63" s="11" t="s">
        <v>317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A8" sqref="A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A8" sqref="A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175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ht="13.25" customHeight="1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ht="13.25" customHeight="1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ht="13.25" customHeight="1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A8" sqref="A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ht="13.25" customHeight="1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340</v>
      </c>
      <c r="D18" s="90">
        <v>0</v>
      </c>
      <c r="E18" s="90">
        <v>0</v>
      </c>
      <c r="F18" s="90">
        <f>MIN(MAX(1-0.89/(1-frac_sam_6_11months+(frac_sam_6_11months*0.89)),0),1)</f>
        <v>0.10893279523983856</v>
      </c>
      <c r="G18" s="90">
        <f>MIN(MAX(1-0.89/(1-frac_sam_12_23months+(frac_sam_12_23months*0.89)),0),1)</f>
        <v>0.1092706246891999</v>
      </c>
      <c r="H18" s="90">
        <f>MIN(MAX(1-0.89/(1-frac_sam_24_59months+(frac_sam_24_59months*0.89)),0),1)</f>
        <v>0.10955189959787226</v>
      </c>
    </row>
    <row r="19" spans="1:8" ht="13.25" customHeight="1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340</v>
      </c>
      <c r="D20" s="90">
        <v>0</v>
      </c>
      <c r="E20" s="90">
        <v>0</v>
      </c>
      <c r="F20" s="90">
        <f>MIN(MAX(1-0.89/(1-frac_mam_6_11months+(frac_mam_6_11months*0.89)),0),1)</f>
        <v>0.10744200236657098</v>
      </c>
      <c r="G20" s="90">
        <f>MIN(MAX(1-0.89/(1-frac_mam_12_23months+(frac_mam_12_23months*0.89)),0),1)</f>
        <v>0.10830952041594089</v>
      </c>
      <c r="H20" s="90">
        <f>MIN(MAX(1-0.89/(1-frac_mam_24_59months+(frac_mam_24_59months*0.89)),0),1)</f>
        <v>0.10870344317217706</v>
      </c>
    </row>
    <row r="21" spans="1:8" ht="13.25" customHeight="1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9.8921979322001974E-3</v>
      </c>
      <c r="G73" s="90">
        <f>MIN(MAX(1-0.99/(1-frac_sam_12_23months+(frac_sam_12_23months*0.99)),0),1)</f>
        <v>9.9262978557254078E-3</v>
      </c>
      <c r="H73" s="90">
        <f>MIN(MAX(1-0.99/(1-frac_sam_24_59months+(frac_sam_24_59months*0.99)),0),1)</f>
        <v>9.9547072072605491E-3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9.742000201394041E-3</v>
      </c>
      <c r="G75" s="90">
        <f>MIN(MAX(1-0.99/(1-frac_mam_12_23months+(frac_mam_12_23months*0.99)),0),1)</f>
        <v>9.8293472993712383E-3</v>
      </c>
      <c r="H75" s="90">
        <f>MIN(MAX(1-0.99/(1-frac_mam_24_59months+(frac_mam_24_59months*0.99)),0),1)</f>
        <v>9.8690609233905713E-3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0.19825413228318445</v>
      </c>
      <c r="G128" s="90">
        <f>MIN(MAX(1-0.8/(1-frac_sam_12_23months+(frac_sam_12_23months*0.8)),0),1)</f>
        <v>0.19880716698883183</v>
      </c>
      <c r="H128" s="90">
        <f>MIN(MAX(1-0.8/(1-frac_sam_24_59months+(frac_sam_24_59months*0.8)),0),1)</f>
        <v>0.19926735841604293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0.19580955726063765</v>
      </c>
      <c r="G130" s="90">
        <f>MIN(MAX(1-0.8/(1-frac_mam_12_23months+(frac_mam_12_23months*0.8)),0),1)</f>
        <v>0.19723291392568032</v>
      </c>
      <c r="H130" s="90">
        <f>MIN(MAX(1-0.8/(1-frac_mam_24_59months+(frac_mam_24_59months*0.8)),0),1)</f>
        <v>0.19787848158653454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A8" sqref="A8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ht="13.25" customHeight="1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ht="13.25" customHeight="1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ht="13.25" customHeight="1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2024-08-06T06:31:39Z</dcterms:modified>
</cp:coreProperties>
</file>