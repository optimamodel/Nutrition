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6F92C85-A377-4DA8-9AF9-360EEB2D5BA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<sst xmlns="http://schemas.openxmlformats.org/spreadsheetml/2006/main" count="2103" uniqueCount="341">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</sst>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775167.515625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5.2499999999999998E-2</v>
      </c>
    </row>
    <row r="24" spans="1:3" ht="15" customHeight="1" x14ac:dyDescent="0.25">
      <c r="B24" s="15" t="s">
        <v>22</v>
      </c>
      <c r="C24" s="45">
        <v>0.53039999999999998</v>
      </c>
    </row>
    <row r="25" spans="1:3" ht="15" customHeight="1" x14ac:dyDescent="0.25">
      <c r="B25" s="15" t="s">
        <v>23</v>
      </c>
      <c r="C25" s="45">
        <v>0.39929999999999999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19569</v>
      </c>
      <c r="C2" s="49">
        <v>66376</v>
      </c>
      <c r="D2" s="49">
        <v>132379.5</v>
      </c>
      <c r="E2" s="49">
        <v>155084.5</v>
      </c>
      <c r="F2" s="49">
        <v>137759</v>
      </c>
      <c r="G2" s="17">
        <f t="shared" ref="G2:G13" si="0">C2+D2+E2+F2</f>
        <v>491599</v>
      </c>
      <c r="H2" s="17">
        <f t="shared" ref="H2:H13" si="1">(B2 + stillbirth*B2/(1000-stillbirth))/(1-abortion)</f>
        <v>22757.79089113215</v>
      </c>
      <c r="I2" s="17">
        <f t="shared" ref="I2:I13" si="2">G2-H2</f>
        <v>468841.20910886786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19364</v>
      </c>
      <c r="C3" s="50">
        <v>66688.5</v>
      </c>
      <c r="D3" s="50">
        <v>128563</v>
      </c>
      <c r="E3" s="50">
        <v>153338.5</v>
      </c>
      <c r="F3" s="50">
        <v>139300</v>
      </c>
      <c r="G3" s="17">
        <f t="shared" si="0"/>
        <v>487890</v>
      </c>
      <c r="H3" s="17">
        <f t="shared" si="1"/>
        <v>22519.385907091983</v>
      </c>
      <c r="I3" s="17">
        <f t="shared" si="2"/>
        <v>465370.61409290804</v>
      </c>
    </row>
    <row r="4" spans="1:9" ht="15.75" customHeight="1" x14ac:dyDescent="0.25">
      <c r="A4" s="5">
        <f t="shared" si="3"/>
        <v>2026</v>
      </c>
      <c r="B4" s="49">
        <v>19155</v>
      </c>
      <c r="C4" s="50">
        <v>67024</v>
      </c>
      <c r="D4" s="50">
        <v>124897</v>
      </c>
      <c r="E4" s="50">
        <v>151395.5</v>
      </c>
      <c r="F4" s="50">
        <v>140559</v>
      </c>
      <c r="G4" s="17">
        <f t="shared" si="0"/>
        <v>483875.5</v>
      </c>
      <c r="H4" s="17">
        <f t="shared" si="1"/>
        <v>22276.329118485173</v>
      </c>
      <c r="I4" s="17">
        <f t="shared" si="2"/>
        <v>461599.17088151484</v>
      </c>
    </row>
    <row r="5" spans="1:9" ht="15.75" customHeight="1" x14ac:dyDescent="0.25">
      <c r="A5" s="5">
        <f t="shared" si="3"/>
        <v>2027</v>
      </c>
      <c r="B5" s="49">
        <v>18928</v>
      </c>
      <c r="C5" s="50">
        <v>67354</v>
      </c>
      <c r="D5" s="50">
        <v>121759</v>
      </c>
      <c r="E5" s="50">
        <v>149024</v>
      </c>
      <c r="F5" s="50">
        <v>141657</v>
      </c>
      <c r="G5" s="17">
        <f t="shared" si="0"/>
        <v>479794</v>
      </c>
      <c r="H5" s="17">
        <f t="shared" si="1"/>
        <v>22012.339209328497</v>
      </c>
      <c r="I5" s="17">
        <f t="shared" si="2"/>
        <v>457781.66079067148</v>
      </c>
    </row>
    <row r="6" spans="1:9" ht="15.75" customHeight="1" x14ac:dyDescent="0.25">
      <c r="A6" s="5">
        <f t="shared" si="3"/>
        <v>2028</v>
      </c>
      <c r="B6" s="49">
        <v>18690</v>
      </c>
      <c r="C6" s="50">
        <v>67600.5</v>
      </c>
      <c r="D6" s="50">
        <v>119182.5</v>
      </c>
      <c r="E6" s="50">
        <v>146282</v>
      </c>
      <c r="F6" s="50">
        <v>142658</v>
      </c>
      <c r="G6" s="17">
        <f t="shared" si="0"/>
        <v>475723</v>
      </c>
      <c r="H6" s="17">
        <f t="shared" si="1"/>
        <v>21735.556837613571</v>
      </c>
      <c r="I6" s="17">
        <f t="shared" si="2"/>
        <v>453987.44316238642</v>
      </c>
    </row>
    <row r="7" spans="1:9" ht="15.75" customHeight="1" x14ac:dyDescent="0.25">
      <c r="A7" s="5">
        <f t="shared" si="3"/>
        <v>2029</v>
      </c>
      <c r="B7" s="49">
        <v>18466</v>
      </c>
      <c r="C7" s="50">
        <v>67608.5</v>
      </c>
      <c r="D7" s="50">
        <v>117235</v>
      </c>
      <c r="E7" s="50">
        <v>143482.5</v>
      </c>
      <c r="F7" s="50">
        <v>143309</v>
      </c>
      <c r="G7" s="17">
        <f t="shared" si="0"/>
        <v>471635</v>
      </c>
      <c r="H7" s="17">
        <f t="shared" si="1"/>
        <v>21475.055781881871</v>
      </c>
      <c r="I7" s="17">
        <f t="shared" si="2"/>
        <v>450159.94421811815</v>
      </c>
    </row>
    <row r="8" spans="1:9" ht="15.75" customHeight="1" x14ac:dyDescent="0.25">
      <c r="A8" s="5">
        <f t="shared" si="3"/>
        <v>2030</v>
      </c>
      <c r="B8" s="49">
        <v>18217</v>
      </c>
      <c r="C8" s="50">
        <v>67170.999999999985</v>
      </c>
      <c r="D8" s="50">
        <v>115804</v>
      </c>
      <c r="E8" s="50">
        <v>140756</v>
      </c>
      <c r="F8" s="50">
        <v>143283.5</v>
      </c>
      <c r="G8" s="17">
        <f t="shared" si="0"/>
        <v>467014.5</v>
      </c>
      <c r="H8" s="17">
        <f t="shared" si="1"/>
        <v>21185.480947608688</v>
      </c>
      <c r="I8" s="17">
        <f t="shared" si="2"/>
        <v>445829.01905239129</v>
      </c>
    </row>
    <row r="9" spans="1:9" ht="15.75" customHeight="1" x14ac:dyDescent="0.25">
      <c r="A9" s="5">
        <f t="shared" si="3"/>
        <v>2031</v>
      </c>
      <c r="B9" s="49">
        <v>18031</v>
      </c>
      <c r="C9" s="50">
        <v>66601.999999999985</v>
      </c>
      <c r="D9" s="50">
        <v>114159</v>
      </c>
      <c r="E9" s="50">
        <v>138069.5</v>
      </c>
      <c r="F9" s="50">
        <v>142644</v>
      </c>
      <c r="G9" s="17">
        <f t="shared" si="0"/>
        <v>461474.5</v>
      </c>
      <c r="H9" s="17">
        <f t="shared" si="1"/>
        <v>20969.172035260042</v>
      </c>
      <c r="I9" s="17">
        <f t="shared" si="2"/>
        <v>440505.32796473993</v>
      </c>
    </row>
    <row r="10" spans="1:9" ht="15.75" customHeight="1" x14ac:dyDescent="0.25">
      <c r="A10" s="5">
        <f t="shared" si="3"/>
        <v>2032</v>
      </c>
      <c r="B10" s="49">
        <v>17738</v>
      </c>
      <c r="C10" s="50">
        <v>65847</v>
      </c>
      <c r="D10" s="50">
        <v>112283</v>
      </c>
      <c r="E10" s="50">
        <v>135687</v>
      </c>
      <c r="F10" s="50">
        <v>141759</v>
      </c>
      <c r="G10" s="17">
        <f t="shared" si="0"/>
        <v>455576</v>
      </c>
      <c r="H10" s="17">
        <f t="shared" si="1"/>
        <v>20628.427350753853</v>
      </c>
      <c r="I10" s="17">
        <f t="shared" si="2"/>
        <v>434947.57264924614</v>
      </c>
    </row>
    <row r="11" spans="1:9" ht="15.75" customHeight="1" x14ac:dyDescent="0.25">
      <c r="A11" s="5">
        <f t="shared" si="3"/>
        <v>2033</v>
      </c>
      <c r="B11" s="49">
        <v>17533</v>
      </c>
      <c r="C11" s="50">
        <v>64634.5</v>
      </c>
      <c r="D11" s="50">
        <v>110584</v>
      </c>
      <c r="E11" s="50">
        <v>133534.5</v>
      </c>
      <c r="F11" s="50">
        <v>140526.5</v>
      </c>
      <c r="G11" s="17">
        <f t="shared" si="0"/>
        <v>449279.5</v>
      </c>
      <c r="H11" s="17">
        <f t="shared" si="1"/>
        <v>20390.022366713682</v>
      </c>
      <c r="I11" s="17">
        <f t="shared" si="2"/>
        <v>428889.47763328633</v>
      </c>
    </row>
    <row r="12" spans="1:9" ht="15.75" customHeight="1" x14ac:dyDescent="0.25">
      <c r="A12" s="5">
        <f t="shared" si="3"/>
        <v>2034</v>
      </c>
      <c r="B12" s="49">
        <v>17361</v>
      </c>
      <c r="C12" s="50">
        <v>63080</v>
      </c>
      <c r="D12" s="50">
        <v>109793.5</v>
      </c>
      <c r="E12" s="50">
        <v>130561</v>
      </c>
      <c r="F12" s="50">
        <v>138926</v>
      </c>
      <c r="G12" s="17">
        <f t="shared" si="0"/>
        <v>442360.5</v>
      </c>
      <c r="H12" s="17">
        <f t="shared" si="1"/>
        <v>20189.994770348272</v>
      </c>
      <c r="I12" s="17">
        <f t="shared" si="2"/>
        <v>422170.50522965175</v>
      </c>
    </row>
    <row r="13" spans="1:9" ht="15.75" customHeight="1" x14ac:dyDescent="0.25">
      <c r="A13" s="5">
        <f t="shared" si="3"/>
        <v>2035</v>
      </c>
      <c r="B13" s="49">
        <v>17164</v>
      </c>
      <c r="C13" s="50">
        <v>61450.500000000007</v>
      </c>
      <c r="D13" s="50">
        <v>109988</v>
      </c>
      <c r="E13" s="50">
        <v>126754.5</v>
      </c>
      <c r="F13" s="50">
        <v>137360.5</v>
      </c>
      <c r="G13" s="17">
        <f t="shared" si="0"/>
        <v>435553.5</v>
      </c>
      <c r="H13" s="17">
        <f t="shared" si="1"/>
        <v>19960.893395441377</v>
      </c>
      <c r="I13" s="17">
        <f t="shared" si="2"/>
        <v>415592.60660455865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65.001928394120526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40.036410720983589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523.71476704611985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4.6963207074720366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0.42978100000000002</v>
      </c>
      <c r="C10" s="98">
        <v>0.95</v>
      </c>
      <c r="D10" s="56">
        <v>13.16871016477951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13.16871016477951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13.16871016477951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13.16871016477951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0.42978100000000002</v>
      </c>
      <c r="C14" s="98">
        <v>0.95</v>
      </c>
      <c r="D14" s="56">
        <v>13.16871016477951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13.16871016477951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0.69226200000000004</v>
      </c>
      <c r="C16" s="98">
        <v>0.95</v>
      </c>
      <c r="D16" s="56">
        <v>0.875475964674854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0.157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0.51254100000000002</v>
      </c>
      <c r="C18" s="98">
        <v>0.95</v>
      </c>
      <c r="D18" s="56">
        <v>12.04060110790949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0.51254100000000002</v>
      </c>
      <c r="C19" s="98">
        <v>0.95</v>
      </c>
      <c r="D19" s="56">
        <v>12.04060110790949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46.895735102694239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22.807060701214638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0.53483530000000001</v>
      </c>
      <c r="C23" s="98">
        <v>0.95</v>
      </c>
      <c r="D23" s="56">
        <v>4.3771693628409292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0.57084762680907997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0.42978100000000002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18.74869883648774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0.54128999999999994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8.6074300000000006E-2</v>
      </c>
      <c r="C29" s="98">
        <v>0.95</v>
      </c>
      <c r="D29" s="56">
        <v>129.56175311793481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0.15140000000000001</v>
      </c>
      <c r="C31" s="98">
        <v>0.95</v>
      </c>
      <c r="D31" s="56">
        <v>0.25819462925778958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</v>
      </c>
      <c r="C32" s="98">
        <v>0.95</v>
      </c>
      <c r="D32" s="56">
        <v>1.895878864529575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3.4401899999999999E-2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0.1875019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1.9946800000000001E-2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5.4970400000000003E-2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0.2335767</v>
      </c>
      <c r="C38" s="98">
        <v>0.95</v>
      </c>
      <c r="D38" s="56">
        <v>3.2066123925700332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205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0.10878363582238137</v>
      </c>
      <c r="G18" s="90">
        <f>MIN(MAX(1-0.89/(1-frac_sam_12_23months+(frac_sam_12_23months*0.89)),0),1)</f>
        <v>0.10900210374013841</v>
      </c>
      <c r="H18" s="90">
        <f>MIN(MAX(1-0.89/(1-frac_sam_24_59months+(frac_sam_24_59months*0.89)),0),1)</f>
        <v>0.10982432293995648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0.10457663107893689</v>
      </c>
      <c r="G20" s="90">
        <f>MIN(MAX(1-0.89/(1-frac_mam_12_23months+(frac_mam_12_23months*0.89)),0),1)</f>
        <v>0.10510405021068525</v>
      </c>
      <c r="H20" s="90">
        <f>MIN(MAX(1-0.89/(1-frac_mam_24_59months+(frac_mam_24_59months*0.89)),0),1)</f>
        <v>0.10831478538751438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9.8771495172035317E-3</v>
      </c>
      <c r="G73" s="90">
        <f>MIN(MAX(1-0.99/(1-frac_sam_12_23months+(frac_sam_12_23months*0.99)),0),1)</f>
        <v>9.8991918961220948E-3</v>
      </c>
      <c r="H73" s="90">
        <f>MIN(MAX(1-0.99/(1-frac_sam_24_59months+(frac_sam_24_59months*0.99)),0),1)</f>
        <v>9.982238091333584E-3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9.4545908395351486E-3</v>
      </c>
      <c r="G75" s="90">
        <f>MIN(MAX(1-0.99/(1-frac_mam_12_23months+(frac_mam_12_23months*0.99)),0),1)</f>
        <v>9.5073675938538438E-3</v>
      </c>
      <c r="H75" s="90">
        <f>MIN(MAX(1-0.99/(1-frac_mam_24_59months+(frac_mam_24_59months*0.99)),0),1)</f>
        <v>9.8298778811486409E-3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0.19800984539153599</v>
      </c>
      <c r="G128" s="90">
        <f>MIN(MAX(1-0.8/(1-frac_sam_12_23months+(frac_sam_12_23months*0.8)),0),1)</f>
        <v>0.19836761995186036</v>
      </c>
      <c r="H128" s="90">
        <f>MIN(MAX(1-0.8/(1-frac_sam_24_59months+(frac_sam_24_59months*0.8)),0),1)</f>
        <v>0.19971284096159381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0.19109206312677096</v>
      </c>
      <c r="G130" s="90">
        <f>MIN(MAX(1-0.8/(1-frac_mam_12_23months+(frac_mam_12_23months*0.8)),0),1)</f>
        <v>0.19196227094074725</v>
      </c>
      <c r="H130" s="90">
        <f>MIN(MAX(1-0.8/(1-frac_mam_24_59months+(frac_mam_24_59months*0.8)),0),1)</f>
        <v>0.19724154534293825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2024-06-18T06:56:01Z</dcterms:modified>
</cp:coreProperties>
</file>