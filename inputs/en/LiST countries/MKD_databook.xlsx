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750078F-7288-452E-8852-F2508BB3CCDF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30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<sst xmlns="http://schemas.openxmlformats.org/spreadsheetml/2006/main" count="2092" uniqueCount="341">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</sst>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5.2499999999999998E-2</v>
      </c>
    </row>
    <row r="24" spans="1:3" ht="15" customHeight="1" x14ac:dyDescent="0.25">
      <c r="B24" s="15" t="s">
        <v>22</v>
      </c>
      <c r="C24" s="45">
        <v>0.53039999999999998</v>
      </c>
    </row>
    <row r="25" spans="1:3" ht="15" customHeight="1" x14ac:dyDescent="0.25">
      <c r="B25" s="15" t="s">
        <v>23</v>
      </c>
      <c r="C25" s="45">
        <v>0.39929999999999999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22053.9908</v>
      </c>
      <c r="C2" s="49">
        <v>55000</v>
      </c>
      <c r="D2" s="49">
        <v>124000</v>
      </c>
      <c r="E2" s="49">
        <v>155000</v>
      </c>
      <c r="F2" s="49">
        <v>153000</v>
      </c>
      <c r="G2" s="17">
        <f t="shared" ref="G2:G13" si="0">C2+D2+E2+F2</f>
        <v>487000</v>
      </c>
      <c r="H2" s="17">
        <f t="shared" ref="H2:H13" si="1">(B2 + stillbirth*B2/(1000-stillbirth))/(1-abortion)</f>
        <v>25647.713779005178</v>
      </c>
      <c r="I2" s="17">
        <f t="shared" ref="I2:I13" si="2">G2-H2</f>
        <v>461352.28622099484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21796.632000000001</v>
      </c>
      <c r="C3" s="50">
        <v>55000</v>
      </c>
      <c r="D3" s="50">
        <v>121000</v>
      </c>
      <c r="E3" s="50">
        <v>153000</v>
      </c>
      <c r="F3" s="50">
        <v>154000</v>
      </c>
      <c r="G3" s="17">
        <f t="shared" si="0"/>
        <v>483000</v>
      </c>
      <c r="H3" s="17">
        <f t="shared" si="1"/>
        <v>25348.418068729094</v>
      </c>
      <c r="I3" s="17">
        <f t="shared" si="2"/>
        <v>457651.58193127089</v>
      </c>
    </row>
    <row r="4" spans="1:9" ht="15.75" customHeight="1" x14ac:dyDescent="0.25">
      <c r="A4" s="5">
        <f t="shared" si="3"/>
        <v>2026</v>
      </c>
      <c r="B4" s="49">
        <v>21497.7696</v>
      </c>
      <c r="C4" s="50">
        <v>54000</v>
      </c>
      <c r="D4" s="50">
        <v>118000</v>
      </c>
      <c r="E4" s="50">
        <v>150000</v>
      </c>
      <c r="F4" s="50">
        <v>156000</v>
      </c>
      <c r="G4" s="17">
        <f t="shared" si="0"/>
        <v>478000</v>
      </c>
      <c r="H4" s="17">
        <f t="shared" si="1"/>
        <v>25000.855699450032</v>
      </c>
      <c r="I4" s="17">
        <f t="shared" si="2"/>
        <v>452999.14430054999</v>
      </c>
    </row>
    <row r="5" spans="1:9" ht="15.75" customHeight="1" x14ac:dyDescent="0.25">
      <c r="A5" s="5">
        <f t="shared" si="3"/>
        <v>2027</v>
      </c>
      <c r="B5" s="49">
        <v>21189.021000000001</v>
      </c>
      <c r="C5" s="50">
        <v>55000</v>
      </c>
      <c r="D5" s="50">
        <v>116000</v>
      </c>
      <c r="E5" s="50">
        <v>146000</v>
      </c>
      <c r="F5" s="50">
        <v>156000</v>
      </c>
      <c r="G5" s="17">
        <f t="shared" si="0"/>
        <v>473000</v>
      </c>
      <c r="H5" s="17">
        <f t="shared" si="1"/>
        <v>24641.796162594299</v>
      </c>
      <c r="I5" s="17">
        <f t="shared" si="2"/>
        <v>448358.20383740572</v>
      </c>
    </row>
    <row r="6" spans="1:9" ht="15.75" customHeight="1" x14ac:dyDescent="0.25">
      <c r="A6" s="5">
        <f t="shared" si="3"/>
        <v>2028</v>
      </c>
      <c r="B6" s="49">
        <v>20880.825199999999</v>
      </c>
      <c r="C6" s="50">
        <v>55000</v>
      </c>
      <c r="D6" s="50">
        <v>114000</v>
      </c>
      <c r="E6" s="50">
        <v>143000</v>
      </c>
      <c r="F6" s="50">
        <v>157000</v>
      </c>
      <c r="G6" s="17">
        <f t="shared" si="0"/>
        <v>469000</v>
      </c>
      <c r="H6" s="17">
        <f t="shared" si="1"/>
        <v>24283.37950512968</v>
      </c>
      <c r="I6" s="17">
        <f t="shared" si="2"/>
        <v>444716.62049487029</v>
      </c>
    </row>
    <row r="7" spans="1:9" ht="15.75" customHeight="1" x14ac:dyDescent="0.25">
      <c r="A7" s="5">
        <f t="shared" si="3"/>
        <v>2029</v>
      </c>
      <c r="B7" s="49">
        <v>20563.295999999998</v>
      </c>
      <c r="C7" s="50">
        <v>56000</v>
      </c>
      <c r="D7" s="50">
        <v>113000</v>
      </c>
      <c r="E7" s="50">
        <v>139000</v>
      </c>
      <c r="F7" s="50">
        <v>157000</v>
      </c>
      <c r="G7" s="17">
        <f t="shared" si="0"/>
        <v>465000</v>
      </c>
      <c r="H7" s="17">
        <f t="shared" si="1"/>
        <v>23914.108559479493</v>
      </c>
      <c r="I7" s="17">
        <f t="shared" si="2"/>
        <v>441085.89144052053</v>
      </c>
    </row>
    <row r="8" spans="1:9" ht="15.75" customHeight="1" x14ac:dyDescent="0.25">
      <c r="A8" s="5">
        <f t="shared" si="3"/>
        <v>2030</v>
      </c>
      <c r="B8" s="49">
        <v>20236.848000000002</v>
      </c>
      <c r="C8" s="50">
        <v>56000</v>
      </c>
      <c r="D8" s="50">
        <v>112000</v>
      </c>
      <c r="E8" s="50">
        <v>135000</v>
      </c>
      <c r="F8" s="50">
        <v>157000</v>
      </c>
      <c r="G8" s="17">
        <f t="shared" si="0"/>
        <v>460000</v>
      </c>
      <c r="H8" s="17">
        <f t="shared" si="1"/>
        <v>23534.46548518708</v>
      </c>
      <c r="I8" s="17">
        <f t="shared" si="2"/>
        <v>436465.53451481293</v>
      </c>
    </row>
    <row r="9" spans="1:9" ht="15.75" customHeight="1" x14ac:dyDescent="0.25">
      <c r="A9" s="5">
        <f t="shared" si="3"/>
        <v>2031</v>
      </c>
      <c r="B9" s="49">
        <v>19977.256171428569</v>
      </c>
      <c r="C9" s="50">
        <v>56142.857142857138</v>
      </c>
      <c r="D9" s="50">
        <v>110285.7142857143</v>
      </c>
      <c r="E9" s="50">
        <v>132142.8571428571</v>
      </c>
      <c r="F9" s="50">
        <v>157571.42857142861</v>
      </c>
      <c r="G9" s="17">
        <f t="shared" si="0"/>
        <v>456142.85714285716</v>
      </c>
      <c r="H9" s="17">
        <f t="shared" si="1"/>
        <v>23232.57287178449</v>
      </c>
      <c r="I9" s="17">
        <f t="shared" si="2"/>
        <v>432910.28427107265</v>
      </c>
    </row>
    <row r="10" spans="1:9" ht="15.75" customHeight="1" x14ac:dyDescent="0.25">
      <c r="A10" s="5">
        <f t="shared" si="3"/>
        <v>2032</v>
      </c>
      <c r="B10" s="49">
        <v>19717.345338775511</v>
      </c>
      <c r="C10" s="50">
        <v>56306.122448979593</v>
      </c>
      <c r="D10" s="50">
        <v>108755.1020408163</v>
      </c>
      <c r="E10" s="50">
        <v>129163.2653061224</v>
      </c>
      <c r="F10" s="50">
        <v>158081.63265306121</v>
      </c>
      <c r="G10" s="17">
        <f t="shared" si="0"/>
        <v>452306.12244897953</v>
      </c>
      <c r="H10" s="17">
        <f t="shared" si="1"/>
        <v>22930.30927222098</v>
      </c>
      <c r="I10" s="17">
        <f t="shared" si="2"/>
        <v>429375.81317675853</v>
      </c>
    </row>
    <row r="11" spans="1:9" ht="15.75" customHeight="1" x14ac:dyDescent="0.25">
      <c r="A11" s="5">
        <f t="shared" si="3"/>
        <v>2033</v>
      </c>
      <c r="B11" s="49">
        <v>19462.99901574344</v>
      </c>
      <c r="C11" s="50">
        <v>56635.568513119542</v>
      </c>
      <c r="D11" s="50">
        <v>107434.4023323615</v>
      </c>
      <c r="E11" s="50">
        <v>126186.5889212828</v>
      </c>
      <c r="F11" s="50">
        <v>158379.00874635571</v>
      </c>
      <c r="G11" s="17">
        <f t="shared" si="0"/>
        <v>448635.56851311954</v>
      </c>
      <c r="H11" s="17">
        <f t="shared" si="1"/>
        <v>22634.51692547397</v>
      </c>
      <c r="I11" s="17">
        <f t="shared" si="2"/>
        <v>426001.05158764555</v>
      </c>
    </row>
    <row r="12" spans="1:9" ht="15.75" customHeight="1" x14ac:dyDescent="0.25">
      <c r="A12" s="5">
        <f t="shared" si="3"/>
        <v>2034</v>
      </c>
      <c r="B12" s="49">
        <v>19216.424446563931</v>
      </c>
      <c r="C12" s="50">
        <v>56869.221157850887</v>
      </c>
      <c r="D12" s="50">
        <v>106210.7455226989</v>
      </c>
      <c r="E12" s="50">
        <v>123356.1016243232</v>
      </c>
      <c r="F12" s="50">
        <v>158718.86713869221</v>
      </c>
      <c r="G12" s="17">
        <f t="shared" si="0"/>
        <v>445154.93544356513</v>
      </c>
      <c r="H12" s="17">
        <f t="shared" si="1"/>
        <v>22347.762748742491</v>
      </c>
      <c r="I12" s="17">
        <f t="shared" si="2"/>
        <v>422807.17269482266</v>
      </c>
    </row>
    <row r="13" spans="1:9" ht="15.75" customHeight="1" x14ac:dyDescent="0.25">
      <c r="A13" s="5">
        <f t="shared" si="3"/>
        <v>2035</v>
      </c>
      <c r="B13" s="49">
        <v>18978.652910358782</v>
      </c>
      <c r="C13" s="50">
        <v>57136.25275182959</v>
      </c>
      <c r="D13" s="50">
        <v>105097.99488308439</v>
      </c>
      <c r="E13" s="50">
        <v>120549.8304277979</v>
      </c>
      <c r="F13" s="50">
        <v>158964.41958707679</v>
      </c>
      <c r="G13" s="17">
        <f t="shared" si="0"/>
        <v>441748.49764978862</v>
      </c>
      <c r="H13" s="17">
        <f t="shared" si="1"/>
        <v>22071.24606925861</v>
      </c>
      <c r="I13" s="17">
        <f t="shared" si="2"/>
        <v>419677.25158053002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0.16341938603013001</v>
      </c>
      <c r="C2" s="98">
        <v>0.95</v>
      </c>
      <c r="D2" s="56">
        <v>65.001928394120526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40.036410720983589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523.71476704611985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4.4267326868432813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13.16871016477951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13.16871016477951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13.16871016477951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13.16871016477951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13.16871016477951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13.16871016477951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0.24251285881340001</v>
      </c>
      <c r="C16" s="98">
        <v>0.95</v>
      </c>
      <c r="D16" s="56">
        <v>0.875475964674854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12.04060110790949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12.04060110790949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0.1875019</v>
      </c>
      <c r="C21" s="98">
        <v>0.95</v>
      </c>
      <c r="D21" s="56">
        <v>46.895735102694239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22.807060701214638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1.9946800000000001E-2</v>
      </c>
      <c r="C23" s="98">
        <v>0.95</v>
      </c>
      <c r="D23" s="56">
        <v>4.3771693628409292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0.59740204517642004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0.20952881255868</v>
      </c>
      <c r="C27" s="98">
        <v>0.95</v>
      </c>
      <c r="D27" s="56">
        <v>18.74869883648774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0.54128999999999994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129.56175311793481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0.15140000000000001</v>
      </c>
      <c r="C31" s="98">
        <v>0.95</v>
      </c>
      <c r="D31" s="56">
        <v>0.25819462925778958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0.51254100000000002</v>
      </c>
      <c r="C32" s="98">
        <v>0.95</v>
      </c>
      <c r="D32" s="56">
        <v>1.895878864529575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0.22523380000000001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3.2066123925700332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8.6074300000000006E-2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0.88295880149812733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2024-03-28T03:04:19Z</dcterms:modified>
</cp:coreProperties>
</file>