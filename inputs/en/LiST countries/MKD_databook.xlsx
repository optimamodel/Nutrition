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B1E979F-BFAA-458B-8780-4BF85F21A43F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1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A22" i="2"/>
  <c r="I3" i="2"/>
  <c r="I9" i="2"/>
  <c r="A23" i="2"/>
  <c r="I2" i="2"/>
  <c r="A19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<sst xmlns="http://schemas.openxmlformats.org/spreadsheetml/2006/main" count="2169" uniqueCount="373">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</sst>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87556.5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0.77700000000000002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5.2499999999999998E-2</v>
      </c>
    </row>
    <row r="24" spans="1:3" ht="15" customHeight="1" x14ac:dyDescent="0.25">
      <c r="B24" s="15" t="s">
        <v>22</v>
      </c>
      <c r="C24" s="45">
        <v>0.53039999999999998</v>
      </c>
    </row>
    <row r="25" spans="1:3" ht="15" customHeight="1" x14ac:dyDescent="0.25">
      <c r="B25" s="15" t="s">
        <v>23</v>
      </c>
      <c r="C25" s="45">
        <v>0.39929999999999999</v>
      </c>
    </row>
    <row r="26" spans="1:3" ht="15" customHeight="1" x14ac:dyDescent="0.25">
      <c r="B26" s="15" t="s">
        <v>24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9.0528536000000007E-2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16587</v>
      </c>
      <c r="C2" s="49">
        <v>50754.5</v>
      </c>
      <c r="D2" s="49">
        <v>106482</v>
      </c>
      <c r="E2" s="49">
        <v>121574.5</v>
      </c>
      <c r="F2" s="49">
        <v>129269.5</v>
      </c>
      <c r="G2" s="17">
        <f t="shared" ref="G2:G13" si="0">C2+D2+E2+F2</f>
        <v>408080.5</v>
      </c>
      <c r="H2" s="17">
        <f t="shared" ref="H2:H13" si="1">(B2 + stillbirth*B2/(1000-stillbirth))/(1-abortion)</f>
        <v>19289.870586703917</v>
      </c>
      <c r="I2" s="17">
        <f t="shared" ref="I2:I13" si="2">G2-H2</f>
        <v>388790.62941329606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16312.999999999998</v>
      </c>
      <c r="C3" s="50">
        <v>51348.5</v>
      </c>
      <c r="D3" s="50">
        <v>104091.00000000001</v>
      </c>
      <c r="E3" s="50">
        <v>119781</v>
      </c>
      <c r="F3" s="50">
        <v>128437.99999999999</v>
      </c>
      <c r="G3" s="17">
        <f t="shared" si="0"/>
        <v>403658.5</v>
      </c>
      <c r="H3" s="17">
        <f t="shared" si="1"/>
        <v>18971.221973889253</v>
      </c>
      <c r="I3" s="17">
        <f t="shared" si="2"/>
        <v>384687.27802611073</v>
      </c>
    </row>
    <row r="4" spans="1:9" ht="15.75" customHeight="1" x14ac:dyDescent="0.25">
      <c r="A4" s="5">
        <f t="shared" si="3"/>
        <v>2026</v>
      </c>
      <c r="B4" s="49">
        <v>16027.000000000002</v>
      </c>
      <c r="C4" s="50">
        <v>51880</v>
      </c>
      <c r="D4" s="50">
        <v>101888.5</v>
      </c>
      <c r="E4" s="50">
        <v>117789</v>
      </c>
      <c r="F4" s="50">
        <v>127561</v>
      </c>
      <c r="G4" s="17">
        <f t="shared" si="0"/>
        <v>399118.5</v>
      </c>
      <c r="H4" s="17">
        <f t="shared" si="1"/>
        <v>18638.617947374678</v>
      </c>
      <c r="I4" s="17">
        <f t="shared" si="2"/>
        <v>380479.8820526253</v>
      </c>
    </row>
    <row r="5" spans="1:9" ht="15.75" customHeight="1" x14ac:dyDescent="0.25">
      <c r="A5" s="5">
        <f t="shared" si="3"/>
        <v>2027</v>
      </c>
      <c r="B5" s="49">
        <v>15783</v>
      </c>
      <c r="C5" s="50">
        <v>52317.5</v>
      </c>
      <c r="D5" s="50">
        <v>100140.5</v>
      </c>
      <c r="E5" s="50">
        <v>115426.5</v>
      </c>
      <c r="F5" s="50">
        <v>126931</v>
      </c>
      <c r="G5" s="17">
        <f t="shared" si="0"/>
        <v>394815.5</v>
      </c>
      <c r="H5" s="17">
        <f t="shared" si="1"/>
        <v>18354.857868809788</v>
      </c>
      <c r="I5" s="17">
        <f t="shared" si="2"/>
        <v>376460.64213119022</v>
      </c>
    </row>
    <row r="6" spans="1:9" ht="15.75" customHeight="1" x14ac:dyDescent="0.25">
      <c r="A6" s="5">
        <f t="shared" si="3"/>
        <v>2028</v>
      </c>
      <c r="B6" s="49">
        <v>15559</v>
      </c>
      <c r="C6" s="50">
        <v>52835</v>
      </c>
      <c r="D6" s="50">
        <v>99015</v>
      </c>
      <c r="E6" s="50">
        <v>112821.5</v>
      </c>
      <c r="F6" s="50">
        <v>126280</v>
      </c>
      <c r="G6" s="17">
        <f t="shared" si="0"/>
        <v>390951.5</v>
      </c>
      <c r="H6" s="17">
        <f t="shared" si="1"/>
        <v>18094.356813078091</v>
      </c>
      <c r="I6" s="17">
        <f t="shared" si="2"/>
        <v>372857.14318692189</v>
      </c>
    </row>
    <row r="7" spans="1:9" ht="15.75" customHeight="1" x14ac:dyDescent="0.25">
      <c r="A7" s="5">
        <f t="shared" si="3"/>
        <v>2029</v>
      </c>
      <c r="B7" s="49">
        <v>15328</v>
      </c>
      <c r="C7" s="50">
        <v>53169</v>
      </c>
      <c r="D7" s="50">
        <v>98423.499999999985</v>
      </c>
      <c r="E7" s="50">
        <v>110362</v>
      </c>
      <c r="F7" s="50">
        <v>125260</v>
      </c>
      <c r="G7" s="17">
        <f t="shared" si="0"/>
        <v>387214.5</v>
      </c>
      <c r="H7" s="17">
        <f t="shared" si="1"/>
        <v>17825.715099354777</v>
      </c>
      <c r="I7" s="17">
        <f t="shared" si="2"/>
        <v>369388.7849006452</v>
      </c>
    </row>
    <row r="8" spans="1:9" ht="15.75" customHeight="1" x14ac:dyDescent="0.25">
      <c r="A8" s="5">
        <f t="shared" si="3"/>
        <v>2030</v>
      </c>
      <c r="B8" s="49">
        <v>15121</v>
      </c>
      <c r="C8" s="50">
        <v>53143.5</v>
      </c>
      <c r="D8" s="50">
        <v>97894</v>
      </c>
      <c r="E8" s="50">
        <v>108140.99999999999</v>
      </c>
      <c r="F8" s="50">
        <v>123948.5</v>
      </c>
      <c r="G8" s="17">
        <f t="shared" si="0"/>
        <v>383127</v>
      </c>
      <c r="H8" s="17">
        <f t="shared" si="1"/>
        <v>17584.984213031286</v>
      </c>
      <c r="I8" s="17">
        <f t="shared" si="2"/>
        <v>365542.0157869687</v>
      </c>
    </row>
    <row r="9" spans="1:9" ht="15.75" customHeight="1" x14ac:dyDescent="0.25">
      <c r="A9" s="5">
        <f t="shared" si="3"/>
        <v>2031</v>
      </c>
      <c r="B9" s="49">
        <v>14935</v>
      </c>
      <c r="C9" s="50">
        <v>53019</v>
      </c>
      <c r="D9" s="50">
        <v>97340</v>
      </c>
      <c r="E9" s="50">
        <v>105814</v>
      </c>
      <c r="F9" s="50">
        <v>122560</v>
      </c>
      <c r="G9" s="17">
        <f t="shared" si="0"/>
        <v>378733</v>
      </c>
      <c r="H9" s="17">
        <f t="shared" si="1"/>
        <v>17368.675300682644</v>
      </c>
      <c r="I9" s="17">
        <f t="shared" si="2"/>
        <v>361364.32469931734</v>
      </c>
    </row>
    <row r="10" spans="1:9" ht="15.75" customHeight="1" x14ac:dyDescent="0.25">
      <c r="A10" s="5">
        <f t="shared" si="3"/>
        <v>2032</v>
      </c>
      <c r="B10" s="49">
        <v>14773</v>
      </c>
      <c r="C10" s="50">
        <v>52705.5</v>
      </c>
      <c r="D10" s="50">
        <v>96941</v>
      </c>
      <c r="E10" s="50">
        <v>103591.5</v>
      </c>
      <c r="F10" s="50">
        <v>121044.5</v>
      </c>
      <c r="G10" s="17">
        <f t="shared" si="0"/>
        <v>374282.5</v>
      </c>
      <c r="H10" s="17">
        <f t="shared" si="1"/>
        <v>17180.27721573383</v>
      </c>
      <c r="I10" s="17">
        <f t="shared" si="2"/>
        <v>357102.22278426617</v>
      </c>
    </row>
    <row r="11" spans="1:9" ht="15.75" customHeight="1" x14ac:dyDescent="0.25">
      <c r="A11" s="5">
        <f t="shared" si="3"/>
        <v>2033</v>
      </c>
      <c r="B11" s="49">
        <v>14626</v>
      </c>
      <c r="C11" s="50">
        <v>51749.5</v>
      </c>
      <c r="D11" s="50">
        <v>97017</v>
      </c>
      <c r="E11" s="50">
        <v>101451</v>
      </c>
      <c r="F11" s="50">
        <v>119346</v>
      </c>
      <c r="G11" s="17">
        <f t="shared" si="0"/>
        <v>369563.5</v>
      </c>
      <c r="H11" s="17">
        <f t="shared" si="1"/>
        <v>17009.323397909902</v>
      </c>
      <c r="I11" s="17">
        <f t="shared" si="2"/>
        <v>352554.17660209013</v>
      </c>
    </row>
    <row r="12" spans="1:9" ht="15.75" customHeight="1" x14ac:dyDescent="0.25">
      <c r="A12" s="5">
        <f t="shared" si="3"/>
        <v>2034</v>
      </c>
      <c r="B12" s="49">
        <v>14509</v>
      </c>
      <c r="C12" s="50">
        <v>50186</v>
      </c>
      <c r="D12" s="50">
        <v>97653.500000000015</v>
      </c>
      <c r="E12" s="50">
        <v>99204.5</v>
      </c>
      <c r="F12" s="50">
        <v>117628.99999999999</v>
      </c>
      <c r="G12" s="17">
        <f t="shared" si="0"/>
        <v>364673</v>
      </c>
      <c r="H12" s="17">
        <f t="shared" si="1"/>
        <v>16873.258114335757</v>
      </c>
      <c r="I12" s="17">
        <f t="shared" si="2"/>
        <v>347799.74188566423</v>
      </c>
    </row>
    <row r="13" spans="1:9" ht="15.75" customHeight="1" x14ac:dyDescent="0.25">
      <c r="A13" s="5">
        <f t="shared" si="3"/>
        <v>2035</v>
      </c>
      <c r="B13" s="49">
        <v>14413</v>
      </c>
      <c r="C13" s="50">
        <v>48462</v>
      </c>
      <c r="D13" s="50">
        <v>98369</v>
      </c>
      <c r="E13" s="50">
        <v>97006.499999999985</v>
      </c>
      <c r="F13" s="50">
        <v>115941.5</v>
      </c>
      <c r="G13" s="17">
        <f t="shared" si="0"/>
        <v>359779</v>
      </c>
      <c r="H13" s="17">
        <f t="shared" si="1"/>
        <v>16761.614804736455</v>
      </c>
      <c r="I13" s="17">
        <f t="shared" si="2"/>
        <v>343017.38519526355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0.46848806900000001</v>
      </c>
      <c r="D14" s="54">
        <v>0.46448791111799997</v>
      </c>
      <c r="E14" s="54">
        <v>0.46448791111799997</v>
      </c>
      <c r="F14" s="54">
        <v>0.24134989067099999</v>
      </c>
      <c r="G14" s="54">
        <v>0.24134989067099999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0.20675502856335601</v>
      </c>
      <c r="D15" s="52">
        <f t="shared" si="0"/>
        <v>0.20498966288624021</v>
      </c>
      <c r="E15" s="52">
        <f t="shared" si="0"/>
        <v>0.20498966288624021</v>
      </c>
      <c r="F15" s="52">
        <f t="shared" si="0"/>
        <v>0.1065134991504884</v>
      </c>
      <c r="G15" s="52">
        <f t="shared" si="0"/>
        <v>0.1065134991504884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6591.4713141196098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0.44453999999999999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0.52200000000000002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1.36053957796782E-2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99375.544299999994</v>
      </c>
      <c r="C22" s="107">
        <v>99318.174350000001</v>
      </c>
      <c r="D22" s="107">
        <v>99242.881469999993</v>
      </c>
      <c r="E22" s="107">
        <v>99079.807920000007</v>
      </c>
      <c r="F22" s="107">
        <v>98916.524059999996</v>
      </c>
      <c r="G22" s="107">
        <v>98643.334419999999</v>
      </c>
      <c r="H22" s="107">
        <v>98326.637579999995</v>
      </c>
      <c r="I22" s="107">
        <v>97868.540059999999</v>
      </c>
      <c r="J22" s="107">
        <v>97065.066229999997</v>
      </c>
      <c r="K22" s="107">
        <v>95570.499760000006</v>
      </c>
      <c r="L22" s="107">
        <v>93157.068350000001</v>
      </c>
      <c r="M22" s="107">
        <v>88846.140799999994</v>
      </c>
      <c r="N22" s="107">
        <v>82464.116550000006</v>
      </c>
      <c r="O22" s="107">
        <v>73456.697150000007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13.16871016477951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13.16871016477951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13.16871016477951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13.16871016477951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13.16871016477951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13.16871016477951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0.84899999999999998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0.51254100000000002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12.04060110790949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4.3771693628409292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0.42978100000000002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129.56175311793481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3.4401899999999999E-2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0.77700000000000002</v>
      </c>
      <c r="M24" s="60">
        <f>famplan_unmet_need</f>
        <v>0.77700000000000002</v>
      </c>
      <c r="N24" s="60">
        <f>famplan_unmet_need</f>
        <v>0.77700000000000002</v>
      </c>
      <c r="O24" s="60">
        <f>famplan_unmet_need</f>
        <v>0.77700000000000002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5.074323242036298E-2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2.1747099608726995E-2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1.5622384670909996E-2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