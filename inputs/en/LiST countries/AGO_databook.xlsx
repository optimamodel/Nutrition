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E33C3488-4B53-420D-8152-1254EFB26CA8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A31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6" i="2" l="1"/>
  <c r="I39" i="2"/>
  <c r="A40" i="2"/>
  <c r="A34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4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<sst xmlns="http://schemas.openxmlformats.org/spreadsheetml/2006/main" count="2169" uniqueCount="373">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</sst>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6358277</v>
      </c>
    </row>
    <row r="8" spans="1:3" ht="15" customHeight="1" x14ac:dyDescent="0.25">
      <c r="B8" s="5" t="s">
        <v>8</v>
      </c>
      <c r="C8" s="44">
        <v>0.32300000000000001</v>
      </c>
    </row>
    <row r="9" spans="1:3" ht="15" customHeight="1" x14ac:dyDescent="0.25">
      <c r="B9" s="5" t="s">
        <v>9</v>
      </c>
      <c r="C9" s="45">
        <v>0.53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0.38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0.13639999999999999</v>
      </c>
    </row>
    <row r="24" spans="1:3" ht="15" customHeight="1" x14ac:dyDescent="0.25">
      <c r="B24" s="15" t="s">
        <v>22</v>
      </c>
      <c r="C24" s="45">
        <v>0.43980000000000002</v>
      </c>
    </row>
    <row r="25" spans="1:3" ht="15" customHeight="1" x14ac:dyDescent="0.25">
      <c r="B25" s="15" t="s">
        <v>23</v>
      </c>
      <c r="C25" s="45">
        <v>0.34289999999999998</v>
      </c>
    </row>
    <row r="26" spans="1:3" ht="15" customHeight="1" x14ac:dyDescent="0.25">
      <c r="B26" s="15" t="s">
        <v>24</v>
      </c>
      <c r="C26" s="45">
        <v>8.09E-2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0.215581961112711</v>
      </c>
    </row>
    <row r="30" spans="1:3" ht="14.25" customHeight="1" x14ac:dyDescent="0.25">
      <c r="B30" s="25" t="s">
        <v>27</v>
      </c>
      <c r="C30" s="97">
        <v>7.7267303357062389E-2</v>
      </c>
    </row>
    <row r="31" spans="1:3" ht="14.25" customHeight="1" x14ac:dyDescent="0.25">
      <c r="B31" s="25" t="s">
        <v>28</v>
      </c>
      <c r="C31" s="97">
        <v>0.12020907122765701</v>
      </c>
    </row>
    <row r="32" spans="1:3" ht="14.25" customHeight="1" x14ac:dyDescent="0.25">
      <c r="B32" s="25" t="s">
        <v>29</v>
      </c>
      <c r="C32" s="97">
        <v>0.58694166430257</v>
      </c>
    </row>
    <row r="33" spans="1:5" ht="13.25" customHeight="1" x14ac:dyDescent="0.25">
      <c r="B33" s="27" t="s">
        <v>30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26.647300000000001</v>
      </c>
    </row>
    <row r="38" spans="1:5" ht="15" customHeight="1" x14ac:dyDescent="0.25">
      <c r="B38" s="11" t="s">
        <v>34</v>
      </c>
      <c r="C38" s="43">
        <v>47.163319999999999</v>
      </c>
      <c r="D38" s="12"/>
      <c r="E38" s="13"/>
    </row>
    <row r="39" spans="1:5" ht="15" customHeight="1" x14ac:dyDescent="0.25">
      <c r="B39" s="11" t="s">
        <v>35</v>
      </c>
      <c r="C39" s="43">
        <v>69.421329999999998</v>
      </c>
      <c r="D39" s="12"/>
      <c r="E39" s="12"/>
    </row>
    <row r="40" spans="1:5" ht="15" customHeight="1" x14ac:dyDescent="0.25">
      <c r="B40" s="11" t="s">
        <v>36</v>
      </c>
      <c r="C40" s="98">
        <v>2.2200000000000002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19.303070000000002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7.9281999999999998E-3</v>
      </c>
      <c r="D45" s="12"/>
    </row>
    <row r="46" spans="1:5" ht="15.75" customHeight="1" x14ac:dyDescent="0.25">
      <c r="B46" s="11" t="s">
        <v>41</v>
      </c>
      <c r="C46" s="45">
        <v>8.5187299999999994E-2</v>
      </c>
      <c r="D46" s="12"/>
    </row>
    <row r="47" spans="1:5" ht="15.75" customHeight="1" x14ac:dyDescent="0.25">
      <c r="B47" s="11" t="s">
        <v>42</v>
      </c>
      <c r="C47" s="45">
        <v>7.3461100000000001E-2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2.782</v>
      </c>
      <c r="D51" s="12"/>
    </row>
    <row r="52" spans="1:4" ht="15" customHeight="1" x14ac:dyDescent="0.25">
      <c r="B52" s="11" t="s">
        <v>46</v>
      </c>
      <c r="C52" s="98">
        <v>2.782</v>
      </c>
    </row>
    <row r="53" spans="1:4" ht="15.75" customHeight="1" x14ac:dyDescent="0.25">
      <c r="B53" s="11" t="s">
        <v>47</v>
      </c>
      <c r="C53" s="98">
        <v>6.9160000000000004</v>
      </c>
    </row>
    <row r="54" spans="1:4" ht="15.75" customHeight="1" x14ac:dyDescent="0.25">
      <c r="B54" s="11" t="s">
        <v>48</v>
      </c>
      <c r="C54" s="98">
        <v>6.9420000000000002</v>
      </c>
    </row>
    <row r="55" spans="1:4" ht="15.75" customHeight="1" x14ac:dyDescent="0.25">
      <c r="B55" s="11" t="s">
        <v>49</v>
      </c>
      <c r="C55" s="98">
        <v>2.7126666666666668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0.47012900000000002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0.15527790659999999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6476088</v>
      </c>
      <c r="C2" s="49">
        <v>1699564</v>
      </c>
      <c r="D2" s="49">
        <v>2827595.5</v>
      </c>
      <c r="E2" s="49">
        <v>4564307.5</v>
      </c>
      <c r="F2" s="49">
        <v>3011570.5</v>
      </c>
      <c r="G2" s="17">
        <f t="shared" ref="G2:G13" si="0">C2+D2+E2+F2</f>
        <v>12103037.5</v>
      </c>
      <c r="H2" s="17">
        <f t="shared" ref="H2:H13" si="1">(B2 + stillbirth*B2/(1000-stillbirth))/(1-abortion)</f>
        <v>7504041.9562554453</v>
      </c>
      <c r="I2" s="17">
        <f t="shared" ref="I2:I13" si="2">G2-H2</f>
        <v>4598995.5437445547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1407760</v>
      </c>
      <c r="C3" s="50">
        <v>2006778</v>
      </c>
      <c r="D3" s="50">
        <v>2981406</v>
      </c>
      <c r="E3" s="50">
        <v>2240899.5</v>
      </c>
      <c r="F3" s="50">
        <v>1544644.4999999998</v>
      </c>
      <c r="G3" s="17">
        <f t="shared" si="0"/>
        <v>8773728</v>
      </c>
      <c r="H3" s="17">
        <f t="shared" si="1"/>
        <v>1631214.7247440377</v>
      </c>
      <c r="I3" s="17">
        <f t="shared" si="2"/>
        <v>7142513.2752559623</v>
      </c>
    </row>
    <row r="4" spans="1:9" ht="15.75" customHeight="1" x14ac:dyDescent="0.25">
      <c r="A4" s="5">
        <f t="shared" si="3"/>
        <v>2026</v>
      </c>
      <c r="B4" s="49">
        <v>1429803</v>
      </c>
      <c r="C4" s="50">
        <v>2089502.5</v>
      </c>
      <c r="D4" s="50">
        <v>3086837</v>
      </c>
      <c r="E4" s="50">
        <v>2297813.5</v>
      </c>
      <c r="F4" s="50">
        <v>1602480.5000000002</v>
      </c>
      <c r="G4" s="17">
        <f t="shared" si="0"/>
        <v>9076633.5</v>
      </c>
      <c r="H4" s="17">
        <f t="shared" si="1"/>
        <v>1656756.625478206</v>
      </c>
      <c r="I4" s="17">
        <f t="shared" si="2"/>
        <v>7419876.8745217938</v>
      </c>
    </row>
    <row r="5" spans="1:9" ht="15.75" customHeight="1" x14ac:dyDescent="0.25">
      <c r="A5" s="5">
        <f t="shared" si="3"/>
        <v>2027</v>
      </c>
      <c r="B5" s="49">
        <v>1461075</v>
      </c>
      <c r="C5" s="50">
        <v>2171620.5</v>
      </c>
      <c r="D5" s="50">
        <v>3202875.5</v>
      </c>
      <c r="E5" s="50">
        <v>2353413.9999999995</v>
      </c>
      <c r="F5" s="50">
        <v>1662369</v>
      </c>
      <c r="G5" s="17">
        <f t="shared" si="0"/>
        <v>9390279</v>
      </c>
      <c r="H5" s="17">
        <f t="shared" si="1"/>
        <v>1692992.4518066964</v>
      </c>
      <c r="I5" s="17">
        <f t="shared" si="2"/>
        <v>7697286.5481933039</v>
      </c>
    </row>
    <row r="6" spans="1:9" ht="15.75" customHeight="1" x14ac:dyDescent="0.25">
      <c r="A6" s="5">
        <f t="shared" si="3"/>
        <v>2028</v>
      </c>
      <c r="B6" s="49">
        <v>1487955</v>
      </c>
      <c r="C6" s="50">
        <v>2253134</v>
      </c>
      <c r="D6" s="50">
        <v>3329483.5</v>
      </c>
      <c r="E6" s="50">
        <v>2408687</v>
      </c>
      <c r="F6" s="50">
        <v>1723806.5000000002</v>
      </c>
      <c r="G6" s="17">
        <f t="shared" si="0"/>
        <v>9715111</v>
      </c>
      <c r="H6" s="17">
        <f t="shared" si="1"/>
        <v>1724139.132917908</v>
      </c>
      <c r="I6" s="17">
        <f t="shared" si="2"/>
        <v>7990971.867082092</v>
      </c>
    </row>
    <row r="7" spans="1:9" ht="15.75" customHeight="1" x14ac:dyDescent="0.25">
      <c r="A7" s="5">
        <f t="shared" si="3"/>
        <v>2029</v>
      </c>
      <c r="B7" s="49">
        <v>1519386</v>
      </c>
      <c r="C7" s="50">
        <v>2333811.5</v>
      </c>
      <c r="D7" s="50">
        <v>3466402</v>
      </c>
      <c r="E7" s="50">
        <v>2464654.9999999995</v>
      </c>
      <c r="F7" s="50">
        <v>1786361.5</v>
      </c>
      <c r="G7" s="17">
        <f t="shared" si="0"/>
        <v>10051230</v>
      </c>
      <c r="H7" s="17">
        <f t="shared" si="1"/>
        <v>1760559.1974270786</v>
      </c>
      <c r="I7" s="17">
        <f t="shared" si="2"/>
        <v>8290670.8025729209</v>
      </c>
    </row>
    <row r="8" spans="1:9" ht="15.75" customHeight="1" x14ac:dyDescent="0.25">
      <c r="A8" s="5">
        <f t="shared" si="3"/>
        <v>2030</v>
      </c>
      <c r="B8" s="49">
        <v>1549301</v>
      </c>
      <c r="C8" s="50">
        <v>2412546</v>
      </c>
      <c r="D8" s="50">
        <v>3611713.5</v>
      </c>
      <c r="E8" s="50">
        <v>2522408.5</v>
      </c>
      <c r="F8" s="50">
        <v>1849399</v>
      </c>
      <c r="G8" s="17">
        <f t="shared" si="0"/>
        <v>10396067</v>
      </c>
      <c r="H8" s="17">
        <f t="shared" si="1"/>
        <v>1795222.6262009591</v>
      </c>
      <c r="I8" s="17">
        <f t="shared" si="2"/>
        <v>8600844.3737990409</v>
      </c>
    </row>
    <row r="9" spans="1:9" ht="15.75" customHeight="1" x14ac:dyDescent="0.25">
      <c r="A9" s="5">
        <f t="shared" si="3"/>
        <v>2031</v>
      </c>
      <c r="B9" s="49">
        <v>1569907</v>
      </c>
      <c r="C9" s="50">
        <v>2488386.5</v>
      </c>
      <c r="D9" s="50">
        <v>3763377</v>
      </c>
      <c r="E9" s="50">
        <v>2583910</v>
      </c>
      <c r="F9" s="50">
        <v>1912346.5</v>
      </c>
      <c r="G9" s="17">
        <f t="shared" si="0"/>
        <v>10748020</v>
      </c>
      <c r="H9" s="17">
        <f t="shared" si="1"/>
        <v>1819099.4309248293</v>
      </c>
      <c r="I9" s="17">
        <f t="shared" si="2"/>
        <v>8928920.5690751709</v>
      </c>
    </row>
    <row r="10" spans="1:9" ht="15.75" customHeight="1" x14ac:dyDescent="0.25">
      <c r="A10" s="5">
        <f t="shared" si="3"/>
        <v>2032</v>
      </c>
      <c r="B10" s="49">
        <v>1595377</v>
      </c>
      <c r="C10" s="50">
        <v>2561005.5</v>
      </c>
      <c r="D10" s="50">
        <v>3920026</v>
      </c>
      <c r="E10" s="50">
        <v>2651374</v>
      </c>
      <c r="F10" s="50">
        <v>1974883</v>
      </c>
      <c r="G10" s="17">
        <f t="shared" si="0"/>
        <v>11107288.5</v>
      </c>
      <c r="H10" s="17">
        <f t="shared" si="1"/>
        <v>1848612.301754538</v>
      </c>
      <c r="I10" s="17">
        <f t="shared" si="2"/>
        <v>9258676.198245462</v>
      </c>
    </row>
    <row r="11" spans="1:9" ht="15.75" customHeight="1" x14ac:dyDescent="0.25">
      <c r="A11" s="5">
        <f t="shared" si="3"/>
        <v>2033</v>
      </c>
      <c r="B11" s="49">
        <v>1618620</v>
      </c>
      <c r="C11" s="50">
        <v>2630375</v>
      </c>
      <c r="D11" s="50">
        <v>4079999</v>
      </c>
      <c r="E11" s="50">
        <v>2726706.5</v>
      </c>
      <c r="F11" s="50">
        <v>2036088.5</v>
      </c>
      <c r="G11" s="17">
        <f t="shared" si="0"/>
        <v>11473169</v>
      </c>
      <c r="H11" s="17">
        <f t="shared" si="1"/>
        <v>1875544.6793240283</v>
      </c>
      <c r="I11" s="17">
        <f t="shared" si="2"/>
        <v>9597624.320675971</v>
      </c>
    </row>
    <row r="12" spans="1:9" ht="15.75" customHeight="1" x14ac:dyDescent="0.25">
      <c r="A12" s="5">
        <f t="shared" si="3"/>
        <v>2034</v>
      </c>
      <c r="B12" s="49">
        <v>1645852</v>
      </c>
      <c r="C12" s="50">
        <v>2697188</v>
      </c>
      <c r="D12" s="50">
        <v>4242193.9999999991</v>
      </c>
      <c r="E12" s="50">
        <v>2811486</v>
      </c>
      <c r="F12" s="50">
        <v>2095592.5000000002</v>
      </c>
      <c r="G12" s="17">
        <f t="shared" si="0"/>
        <v>11846460.5</v>
      </c>
      <c r="H12" s="17">
        <f t="shared" si="1"/>
        <v>1907099.2336402682</v>
      </c>
      <c r="I12" s="17">
        <f t="shared" si="2"/>
        <v>9939361.2663597316</v>
      </c>
    </row>
    <row r="13" spans="1:9" ht="15.75" customHeight="1" x14ac:dyDescent="0.25">
      <c r="A13" s="5">
        <f t="shared" si="3"/>
        <v>2035</v>
      </c>
      <c r="B13" s="49">
        <v>1672818</v>
      </c>
      <c r="C13" s="50">
        <v>2762347.5</v>
      </c>
      <c r="D13" s="50">
        <v>4404666</v>
      </c>
      <c r="E13" s="50">
        <v>2906392.5</v>
      </c>
      <c r="F13" s="50">
        <v>2153498.5</v>
      </c>
      <c r="G13" s="17">
        <f t="shared" si="0"/>
        <v>12226904.5</v>
      </c>
      <c r="H13" s="17">
        <f t="shared" si="1"/>
        <v>1938345.5655913448</v>
      </c>
      <c r="I13" s="17">
        <f t="shared" si="2"/>
        <v>10288558.934408655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1.5094498490550161E-2</v>
      </c>
    </row>
    <row r="4" spans="1:8" ht="15.75" customHeight="1" x14ac:dyDescent="0.25">
      <c r="B4" s="19" t="s">
        <v>69</v>
      </c>
      <c r="C4" s="99">
        <v>6.6847793315220602E-2</v>
      </c>
    </row>
    <row r="5" spans="1:8" ht="15.75" customHeight="1" x14ac:dyDescent="0.25">
      <c r="B5" s="19" t="s">
        <v>70</v>
      </c>
      <c r="C5" s="99">
        <v>9.2715790728420996E-2</v>
      </c>
    </row>
    <row r="6" spans="1:8" ht="15.75" customHeight="1" x14ac:dyDescent="0.25">
      <c r="B6" s="19" t="s">
        <v>71</v>
      </c>
      <c r="C6" s="99">
        <v>0.25066637493336241</v>
      </c>
    </row>
    <row r="7" spans="1:8" ht="15.75" customHeight="1" x14ac:dyDescent="0.25">
      <c r="B7" s="19" t="s">
        <v>72</v>
      </c>
      <c r="C7" s="99">
        <v>0.39523896047610407</v>
      </c>
    </row>
    <row r="8" spans="1:8" ht="15.75" customHeight="1" x14ac:dyDescent="0.25">
      <c r="B8" s="19" t="s">
        <v>73</v>
      </c>
      <c r="C8" s="99">
        <v>5.692699430730053E-3</v>
      </c>
    </row>
    <row r="9" spans="1:8" ht="15.75" customHeight="1" x14ac:dyDescent="0.25">
      <c r="B9" s="19" t="s">
        <v>74</v>
      </c>
      <c r="C9" s="99">
        <v>6.0334693966530663E-2</v>
      </c>
    </row>
    <row r="10" spans="1:8" ht="15.75" customHeight="1" x14ac:dyDescent="0.25">
      <c r="B10" s="19" t="s">
        <v>75</v>
      </c>
      <c r="C10" s="99">
        <v>0.11340918865908101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0.1992388439226277</v>
      </c>
      <c r="D14" s="55">
        <v>0.1992388439226277</v>
      </c>
      <c r="E14" s="55">
        <v>0.1992388439226277</v>
      </c>
      <c r="F14" s="55">
        <v>0.1992388439226277</v>
      </c>
    </row>
    <row r="15" spans="1:8" ht="15.75" customHeight="1" x14ac:dyDescent="0.25">
      <c r="B15" s="19" t="s">
        <v>82</v>
      </c>
      <c r="C15" s="99">
        <v>0.2862876225477291</v>
      </c>
      <c r="D15" s="99">
        <v>0.2862876225477291</v>
      </c>
      <c r="E15" s="99">
        <v>0.2862876225477291</v>
      </c>
      <c r="F15" s="99">
        <v>0.2862876225477291</v>
      </c>
    </row>
    <row r="16" spans="1:8" ht="15.75" customHeight="1" x14ac:dyDescent="0.25">
      <c r="B16" s="19" t="s">
        <v>83</v>
      </c>
      <c r="C16" s="99">
        <v>3.2976769226665932E-2</v>
      </c>
      <c r="D16" s="99">
        <v>3.2976769226665932E-2</v>
      </c>
      <c r="E16" s="99">
        <v>3.2976769226665932E-2</v>
      </c>
      <c r="F16" s="99">
        <v>3.2976769226665932E-2</v>
      </c>
    </row>
    <row r="17" spans="1:8" ht="15.75" customHeight="1" x14ac:dyDescent="0.25">
      <c r="B17" s="19" t="s">
        <v>84</v>
      </c>
      <c r="C17" s="99">
        <v>1.608358052509628E-3</v>
      </c>
      <c r="D17" s="99">
        <v>1.608358052509628E-3</v>
      </c>
      <c r="E17" s="99">
        <v>1.608358052509628E-3</v>
      </c>
      <c r="F17" s="99">
        <v>1.608358052509628E-3</v>
      </c>
    </row>
    <row r="18" spans="1:8" ht="15.75" customHeight="1" x14ac:dyDescent="0.25">
      <c r="B18" s="19" t="s">
        <v>85</v>
      </c>
      <c r="C18" s="99">
        <v>0.16206113121560209</v>
      </c>
      <c r="D18" s="99">
        <v>0.16206113121560209</v>
      </c>
      <c r="E18" s="99">
        <v>0.16206113121560209</v>
      </c>
      <c r="F18" s="99">
        <v>0.16206113121560209</v>
      </c>
    </row>
    <row r="19" spans="1:8" ht="15.75" customHeight="1" x14ac:dyDescent="0.25">
      <c r="B19" s="19" t="s">
        <v>86</v>
      </c>
      <c r="C19" s="99">
        <v>7.9440655586136156E-3</v>
      </c>
      <c r="D19" s="99">
        <v>7.9440655586136156E-3</v>
      </c>
      <c r="E19" s="99">
        <v>7.9440655586136156E-3</v>
      </c>
      <c r="F19" s="99">
        <v>7.9440655586136156E-3</v>
      </c>
    </row>
    <row r="20" spans="1:8" ht="15.75" customHeight="1" x14ac:dyDescent="0.25">
      <c r="B20" s="19" t="s">
        <v>87</v>
      </c>
      <c r="C20" s="99">
        <v>5.3512309813619451E-2</v>
      </c>
      <c r="D20" s="99">
        <v>5.3512309813619451E-2</v>
      </c>
      <c r="E20" s="99">
        <v>5.3512309813619451E-2</v>
      </c>
      <c r="F20" s="99">
        <v>5.3512309813619451E-2</v>
      </c>
    </row>
    <row r="21" spans="1:8" ht="15.75" customHeight="1" x14ac:dyDescent="0.25">
      <c r="B21" s="19" t="s">
        <v>88</v>
      </c>
      <c r="C21" s="99">
        <v>7.3544155252817336E-2</v>
      </c>
      <c r="D21" s="99">
        <v>7.3544155252817336E-2</v>
      </c>
      <c r="E21" s="99">
        <v>7.3544155252817336E-2</v>
      </c>
      <c r="F21" s="99">
        <v>7.3544155252817336E-2</v>
      </c>
    </row>
    <row r="22" spans="1:8" ht="15.75" customHeight="1" x14ac:dyDescent="0.25">
      <c r="B22" s="19" t="s">
        <v>89</v>
      </c>
      <c r="C22" s="99">
        <v>0.1828267444098152</v>
      </c>
      <c r="D22" s="99">
        <v>0.1828267444098152</v>
      </c>
      <c r="E22" s="99">
        <v>0.1828267444098152</v>
      </c>
      <c r="F22" s="99">
        <v>0.1828267444098152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8.6962663999999995E-2</v>
      </c>
    </row>
    <row r="27" spans="1:8" ht="15.75" customHeight="1" x14ac:dyDescent="0.25">
      <c r="B27" s="19" t="s">
        <v>92</v>
      </c>
      <c r="C27" s="99">
        <v>8.4363389999999993E-3</v>
      </c>
    </row>
    <row r="28" spans="1:8" ht="15.75" customHeight="1" x14ac:dyDescent="0.25">
      <c r="B28" s="19" t="s">
        <v>93</v>
      </c>
      <c r="C28" s="99">
        <v>0.15636133799999999</v>
      </c>
    </row>
    <row r="29" spans="1:8" ht="15.75" customHeight="1" x14ac:dyDescent="0.25">
      <c r="B29" s="19" t="s">
        <v>94</v>
      </c>
      <c r="C29" s="99">
        <v>0.16846973500000001</v>
      </c>
    </row>
    <row r="30" spans="1:8" ht="15.75" customHeight="1" x14ac:dyDescent="0.25">
      <c r="B30" s="19" t="s">
        <v>95</v>
      </c>
      <c r="C30" s="99">
        <v>0.10552550099999999</v>
      </c>
    </row>
    <row r="31" spans="1:8" ht="15.75" customHeight="1" x14ac:dyDescent="0.25">
      <c r="B31" s="19" t="s">
        <v>96</v>
      </c>
      <c r="C31" s="99">
        <v>0.10934719399999999</v>
      </c>
    </row>
    <row r="32" spans="1:8" ht="15.75" customHeight="1" x14ac:dyDescent="0.25">
      <c r="B32" s="19" t="s">
        <v>97</v>
      </c>
      <c r="C32" s="99">
        <v>1.8589852E-2</v>
      </c>
    </row>
    <row r="33" spans="2:3" ht="15.75" customHeight="1" x14ac:dyDescent="0.25">
      <c r="B33" s="19" t="s">
        <v>98</v>
      </c>
      <c r="C33" s="99">
        <v>8.3803687999999987E-2</v>
      </c>
    </row>
    <row r="34" spans="2:3" ht="15.75" customHeight="1" x14ac:dyDescent="0.25">
      <c r="B34" s="19" t="s">
        <v>99</v>
      </c>
      <c r="C34" s="99">
        <v>0.26250368800000001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0.44900470094590794</v>
      </c>
      <c r="D2" s="52">
        <f>IFERROR(1-_xlfn.NORM.DIST(_xlfn.NORM.INV(SUM(D4:D5), 0, 1) + 1, 0, 1, TRUE), "")</f>
        <v>0.44900470094590794</v>
      </c>
      <c r="E2" s="52">
        <f>IFERROR(1-_xlfn.NORM.DIST(_xlfn.NORM.INV(SUM(E4:E5), 0, 1) + 1, 0, 1, TRUE), "")</f>
        <v>0.38453880748486735</v>
      </c>
      <c r="F2" s="52">
        <f>IFERROR(1-_xlfn.NORM.DIST(_xlfn.NORM.INV(SUM(F4:F5), 0, 1) + 1, 0, 1, TRUE), "")</f>
        <v>0.18990211811807078</v>
      </c>
      <c r="G2" s="52">
        <f>IFERROR(1-_xlfn.NORM.DIST(_xlfn.NORM.INV(SUM(G4:G5), 0, 1) + 1, 0, 1, TRUE), "")</f>
        <v>0.21693744006062765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0.35934299905409206</v>
      </c>
      <c r="D3" s="52">
        <f>IFERROR(_xlfn.NORM.DIST(_xlfn.NORM.INV(SUM(D4:D5), 0, 1) + 1, 0, 1, TRUE) - SUM(D4:D5), "")</f>
        <v>0.35934299905409206</v>
      </c>
      <c r="E3" s="52">
        <f>IFERROR(_xlfn.NORM.DIST(_xlfn.NORM.INV(SUM(E4:E5), 0, 1) + 1, 0, 1, TRUE) - SUM(E4:E5), "")</f>
        <v>0.37549719251513264</v>
      </c>
      <c r="F3" s="52">
        <f>IFERROR(_xlfn.NORM.DIST(_xlfn.NORM.INV(SUM(F4:F5), 0, 1) + 1, 0, 1, TRUE) - SUM(F4:F5), "")</f>
        <v>0.35854658188192923</v>
      </c>
      <c r="G3" s="52">
        <f>IFERROR(_xlfn.NORM.DIST(_xlfn.NORM.INV(SUM(G4:G5), 0, 1) + 1, 0, 1, TRUE) - SUM(G4:G5), "")</f>
        <v>0.36912275993937232</v>
      </c>
    </row>
    <row r="4" spans="1:15" ht="15.75" customHeight="1" x14ac:dyDescent="0.25">
      <c r="B4" s="5" t="s">
        <v>104</v>
      </c>
      <c r="C4" s="45">
        <v>0.1124284</v>
      </c>
      <c r="D4" s="53">
        <v>0.1124284</v>
      </c>
      <c r="E4" s="53">
        <v>0.1470099</v>
      </c>
      <c r="F4" s="53">
        <v>0.26212360000000001</v>
      </c>
      <c r="G4" s="53">
        <v>0.24501120000000001</v>
      </c>
    </row>
    <row r="5" spans="1:15" ht="15.75" customHeight="1" x14ac:dyDescent="0.25">
      <c r="B5" s="5" t="s">
        <v>105</v>
      </c>
      <c r="C5" s="45">
        <v>7.92239E-2</v>
      </c>
      <c r="D5" s="53">
        <v>7.92239E-2</v>
      </c>
      <c r="E5" s="53">
        <v>9.2954099999999998E-2</v>
      </c>
      <c r="F5" s="53">
        <v>0.1894277</v>
      </c>
      <c r="G5" s="53">
        <v>0.16892860000000001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0.75622537476518503</v>
      </c>
      <c r="D8" s="52">
        <f>IFERROR(1-_xlfn.NORM.DIST(_xlfn.NORM.INV(SUM(D10:D11), 0, 1) + 1, 0, 1, TRUE), "")</f>
        <v>0.75622537476518503</v>
      </c>
      <c r="E8" s="52">
        <f>IFERROR(1-_xlfn.NORM.DIST(_xlfn.NORM.INV(SUM(E10:E11), 0, 1) + 1, 0, 1, TRUE), "")</f>
        <v>0.62697701117611182</v>
      </c>
      <c r="F8" s="52">
        <f>IFERROR(1-_xlfn.NORM.DIST(_xlfn.NORM.INV(SUM(F10:F11), 0, 1) + 1, 0, 1, TRUE), "")</f>
        <v>0.69693824013919936</v>
      </c>
      <c r="G8" s="52">
        <f>IFERROR(1-_xlfn.NORM.DIST(_xlfn.NORM.INV(SUM(G10:G11), 0, 1) + 1, 0, 1, TRUE), "")</f>
        <v>0.78604027108380969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0.19866212523481502</v>
      </c>
      <c r="D9" s="52">
        <f>IFERROR(_xlfn.NORM.DIST(_xlfn.NORM.INV(SUM(D10:D11), 0, 1) + 1, 0, 1, TRUE) - SUM(D10:D11), "")</f>
        <v>0.19866212523481502</v>
      </c>
      <c r="E9" s="52">
        <f>IFERROR(_xlfn.NORM.DIST(_xlfn.NORM.INV(SUM(E10:E11), 0, 1) + 1, 0, 1, TRUE) - SUM(E10:E11), "")</f>
        <v>0.28024778882388818</v>
      </c>
      <c r="F9" s="52">
        <f>IFERROR(_xlfn.NORM.DIST(_xlfn.NORM.INV(SUM(F10:F11), 0, 1) + 1, 0, 1, TRUE) - SUM(F10:F11), "")</f>
        <v>0.23825335986080065</v>
      </c>
      <c r="G9" s="52">
        <f>IFERROR(_xlfn.NORM.DIST(_xlfn.NORM.INV(SUM(G10:G11), 0, 1) + 1, 0, 1, TRUE) - SUM(G10:G11), "")</f>
        <v>0.17745382891619035</v>
      </c>
    </row>
    <row r="10" spans="1:15" ht="15.75" customHeight="1" x14ac:dyDescent="0.25">
      <c r="B10" s="5" t="s">
        <v>109</v>
      </c>
      <c r="C10" s="45">
        <v>3.4363600000000001E-2</v>
      </c>
      <c r="D10" s="53">
        <v>3.4363600000000001E-2</v>
      </c>
      <c r="E10" s="53">
        <v>6.55641E-2</v>
      </c>
      <c r="F10" s="53">
        <v>5.1383400000000003E-2</v>
      </c>
      <c r="G10" s="53">
        <v>2.9726900000000001E-2</v>
      </c>
    </row>
    <row r="11" spans="1:15" ht="15.75" customHeight="1" x14ac:dyDescent="0.25">
      <c r="B11" s="5" t="s">
        <v>110</v>
      </c>
      <c r="C11" s="45">
        <v>1.07489E-2</v>
      </c>
      <c r="D11" s="53">
        <v>1.07489E-2</v>
      </c>
      <c r="E11" s="53">
        <v>2.7211099999999998E-2</v>
      </c>
      <c r="F11" s="53">
        <v>1.3424999999999999E-2</v>
      </c>
      <c r="G11" s="53">
        <v>6.7789999999999986E-3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0.88816795225000011</v>
      </c>
      <c r="D14" s="54">
        <v>0.87417386896000016</v>
      </c>
      <c r="E14" s="54">
        <v>0.87417386896000016</v>
      </c>
      <c r="F14" s="54">
        <v>0.79899999682300005</v>
      </c>
      <c r="G14" s="54">
        <v>0.79899999682300005</v>
      </c>
      <c r="H14" s="45">
        <v>0.50800000000000001</v>
      </c>
      <c r="I14" s="55">
        <v>0.50800000000000001</v>
      </c>
      <c r="J14" s="55">
        <v>0.50800000000000001</v>
      </c>
      <c r="K14" s="55">
        <v>0.50800000000000001</v>
      </c>
      <c r="L14" s="45">
        <v>0.47199999999999998</v>
      </c>
      <c r="M14" s="55">
        <v>0.47199999999999998</v>
      </c>
      <c r="N14" s="55">
        <v>0.47199999999999998</v>
      </c>
      <c r="O14" s="55">
        <v>0.47199999999999998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0.41755351122334033</v>
      </c>
      <c r="D15" s="52">
        <f t="shared" si="0"/>
        <v>0.41097448684029592</v>
      </c>
      <c r="E15" s="52">
        <f t="shared" si="0"/>
        <v>0.41097448684029592</v>
      </c>
      <c r="F15" s="52">
        <f t="shared" si="0"/>
        <v>0.37563306950640019</v>
      </c>
      <c r="G15" s="52">
        <f t="shared" si="0"/>
        <v>0.37563306950640019</v>
      </c>
      <c r="H15" s="52">
        <f t="shared" si="0"/>
        <v>0.23882553200000001</v>
      </c>
      <c r="I15" s="52">
        <f t="shared" si="0"/>
        <v>0.23882553200000001</v>
      </c>
      <c r="J15" s="52">
        <f t="shared" si="0"/>
        <v>0.23882553200000001</v>
      </c>
      <c r="K15" s="52">
        <f t="shared" si="0"/>
        <v>0.23882553200000001</v>
      </c>
      <c r="L15" s="52">
        <f t="shared" si="0"/>
        <v>0.22190088799999999</v>
      </c>
      <c r="M15" s="52">
        <f t="shared" si="0"/>
        <v>0.22190088799999999</v>
      </c>
      <c r="N15" s="52">
        <f t="shared" si="0"/>
        <v>0.22190088799999999</v>
      </c>
      <c r="O15" s="52">
        <f t="shared" si="0"/>
        <v>0.22190088799999999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0.619973</v>
      </c>
      <c r="D2" s="53">
        <v>0.3176196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0.2091288</v>
      </c>
      <c r="D3" s="53">
        <v>0.27251779999999998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7.7981800000000004E-2</v>
      </c>
      <c r="D4" s="53">
        <v>0.33108310000000002</v>
      </c>
      <c r="E4" s="53">
        <v>0.91606189999999998</v>
      </c>
      <c r="F4" s="53">
        <v>0.66581519999999994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9.291640000000001E-2</v>
      </c>
      <c r="D5" s="52">
        <f t="shared" si="0"/>
        <v>7.8779500000000002E-2</v>
      </c>
      <c r="E5" s="52">
        <f>1-SUM(E2:E4)</f>
        <v>8.3938100000000015E-2</v>
      </c>
      <c r="F5" s="52">
        <f>1-SUM(F2:F4)</f>
        <v>0.33418480000000006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3000.4442305317302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0.43146000000000001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0.73801000000000005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1.7007240890392787E-2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92460.709610000005</v>
      </c>
      <c r="C22" s="107">
        <v>91504.823699999994</v>
      </c>
      <c r="D22" s="107">
        <v>90937.885410000003</v>
      </c>
      <c r="E22" s="107">
        <v>90352.386079999997</v>
      </c>
      <c r="F22" s="107">
        <v>89478.5389</v>
      </c>
      <c r="G22" s="107">
        <v>88327.748179999995</v>
      </c>
      <c r="H22" s="107">
        <v>86746.025800000003</v>
      </c>
      <c r="I22" s="107">
        <v>84661.973859999998</v>
      </c>
      <c r="J22" s="107">
        <v>81909.613649999999</v>
      </c>
      <c r="K22" s="107">
        <v>78428.636740000002</v>
      </c>
      <c r="L22" s="107">
        <v>73850.477100000004</v>
      </c>
      <c r="M22" s="107">
        <v>67946.564880000005</v>
      </c>
      <c r="N22" s="107">
        <v>60097.639969999997</v>
      </c>
      <c r="O22" s="107">
        <v>50430.668440000001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19.75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19.75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6.8747382117628364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2.1291837256908908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0.2139553248340432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0.78848199824391296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</v>
      </c>
      <c r="C9" s="96">
        <v>0.95</v>
      </c>
      <c r="D9" s="56">
        <v>0.22197642864885933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0.320544</v>
      </c>
      <c r="C10" s="96">
        <v>0.95</v>
      </c>
      <c r="D10" s="56">
        <v>12.89300726034795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12.89300726034795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12.89300726034795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12.89300726034795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0.31330000000000002</v>
      </c>
      <c r="C14" s="96">
        <v>0.95</v>
      </c>
      <c r="D14" s="56">
        <v>2.7509100930955666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12.89300726034795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0.38400000000000001</v>
      </c>
      <c r="C16" s="96">
        <v>0.95</v>
      </c>
      <c r="D16" s="56">
        <v>2.1562548532894295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0.58636119533868591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0.126</v>
      </c>
      <c r="C18" s="96">
        <v>0.95</v>
      </c>
      <c r="D18" s="56">
        <v>6.8747382117628364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0.3176196</v>
      </c>
      <c r="C19" s="96">
        <v>0.95</v>
      </c>
      <c r="D19" s="56">
        <v>7.6528811752546302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7.2638561333206297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6.8747382117628364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0.2907748</v>
      </c>
      <c r="C23" s="96">
        <v>0.95</v>
      </c>
      <c r="D23" s="56">
        <v>4.204855047571205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0.419615503536932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0.11</v>
      </c>
      <c r="C26" s="96">
        <v>0.95</v>
      </c>
      <c r="D26" s="56">
        <v>4.4432147531692987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8.8360724993186164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0.42607790000000001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0.29069230000000001</v>
      </c>
      <c r="C29" s="96">
        <v>0.95</v>
      </c>
      <c r="D29" s="56">
        <v>88.005851455993124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57.448392612859095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1.3599999999999999E-2</v>
      </c>
      <c r="C31" s="96">
        <v>0.95</v>
      </c>
      <c r="D31" s="56">
        <v>125.66324080233395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0.05</v>
      </c>
      <c r="C32" s="96">
        <v>0.95</v>
      </c>
      <c r="D32" s="56">
        <v>0.65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0.27094190000000001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0.27505049999999998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2.0582999999999999E-3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0.43093199999999998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</v>
      </c>
      <c r="C38" s="96">
        <v>0.95</v>
      </c>
      <c r="D38" s="56">
        <v>2.2145073762257557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5.8497136845734818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2.782</v>
      </c>
      <c r="C2" s="21">
        <f>'Baseline year population inputs'!C52</f>
        <v>2.782</v>
      </c>
      <c r="D2" s="21">
        <f>'Baseline year population inputs'!C53</f>
        <v>6.9160000000000004</v>
      </c>
      <c r="E2" s="21">
        <f>'Baseline year population inputs'!C54</f>
        <v>6.9420000000000002</v>
      </c>
      <c r="F2" s="21">
        <f>'Baseline year population inputs'!C55</f>
        <v>2.7126666666666668</v>
      </c>
    </row>
    <row r="3" spans="1:6" ht="15.75" customHeight="1" x14ac:dyDescent="0.25">
      <c r="A3" s="3" t="s">
        <v>197</v>
      </c>
      <c r="B3" s="21">
        <f>frac_mam_1month * 2.6</f>
        <v>8.9345360000000013E-2</v>
      </c>
      <c r="C3" s="21">
        <f>frac_mam_1_5months * 2.6</f>
        <v>8.9345360000000013E-2</v>
      </c>
      <c r="D3" s="21">
        <f>frac_mam_6_11months * 2.6</f>
        <v>0.17046666000000002</v>
      </c>
      <c r="E3" s="21">
        <f>frac_mam_12_23months * 2.6</f>
        <v>0.13359684000000002</v>
      </c>
      <c r="F3" s="21">
        <f>frac_mam_24_59months * 2.6</f>
        <v>7.7289940000000001E-2</v>
      </c>
    </row>
    <row r="4" spans="1:6" ht="15.75" customHeight="1" x14ac:dyDescent="0.25">
      <c r="A4" s="3" t="s">
        <v>198</v>
      </c>
      <c r="B4" s="21">
        <f>frac_sam_1month * 2.6</f>
        <v>2.7947140000000002E-2</v>
      </c>
      <c r="C4" s="21">
        <f>frac_sam_1_5months * 2.6</f>
        <v>2.7947140000000002E-2</v>
      </c>
      <c r="D4" s="21">
        <f>frac_sam_6_11months * 2.6</f>
        <v>7.0748859999999997E-2</v>
      </c>
      <c r="E4" s="21">
        <f>frac_sam_12_23months * 2.6</f>
        <v>3.4904999999999999E-2</v>
      </c>
      <c r="F4" s="21">
        <f>frac_sam_24_59months * 2.6</f>
        <v>1.7625399999999996E-2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0.32300000000000001</v>
      </c>
      <c r="F2" s="60">
        <f>food_insecure</f>
        <v>0.32300000000000001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0.32300000000000001</v>
      </c>
      <c r="F5" s="60">
        <f>food_insecure</f>
        <v>0.32300000000000001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6.0698181818181825E-2</v>
      </c>
      <c r="D7" s="60">
        <f>diarrhoea_1_5mo*frac_diarrhea_severe</f>
        <v>6.0698181818181825E-2</v>
      </c>
      <c r="E7" s="60">
        <f>diarrhoea_6_11mo*frac_diarrhea_severe</f>
        <v>0.15089454545454548</v>
      </c>
      <c r="F7" s="60">
        <f>diarrhoea_12_23mo*frac_diarrhea_severe</f>
        <v>0.1514618181818182</v>
      </c>
      <c r="G7" s="60">
        <f>diarrhoea_24_59mo*frac_diarrhea_severe</f>
        <v>5.9185454545454555E-2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0.32300000000000001</v>
      </c>
      <c r="F8" s="60">
        <f>food_insecure</f>
        <v>0.32300000000000001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0.32300000000000001</v>
      </c>
      <c r="F9" s="60">
        <f>food_insecure</f>
        <v>0.32300000000000001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6.0698181818181825E-2</v>
      </c>
      <c r="D12" s="60">
        <f>diarrhoea_1_5mo*frac_diarrhea_severe</f>
        <v>6.0698181818181825E-2</v>
      </c>
      <c r="E12" s="60">
        <f>diarrhoea_6_11mo*frac_diarrhea_severe</f>
        <v>0.15089454545454548</v>
      </c>
      <c r="F12" s="60">
        <f>diarrhoea_12_23mo*frac_diarrhea_severe</f>
        <v>0.1514618181818182</v>
      </c>
      <c r="G12" s="60">
        <f>diarrhoea_24_59mo*frac_diarrhea_severe</f>
        <v>5.9185454545454555E-2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0.32300000000000001</v>
      </c>
      <c r="I15" s="60">
        <f t="shared" si="0"/>
        <v>0.32300000000000001</v>
      </c>
      <c r="J15" s="60">
        <f t="shared" si="0"/>
        <v>0.32300000000000001</v>
      </c>
      <c r="K15" s="60">
        <f t="shared" si="0"/>
        <v>0.32300000000000001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0.32300000000000001</v>
      </c>
      <c r="I16" s="60">
        <f t="shared" si="0"/>
        <v>0.32300000000000001</v>
      </c>
      <c r="J16" s="60">
        <f t="shared" si="0"/>
        <v>0.32300000000000001</v>
      </c>
      <c r="K16" s="60">
        <f t="shared" si="0"/>
        <v>0.32300000000000001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0.53</v>
      </c>
      <c r="I19" s="60">
        <f>frac_malaria_risk</f>
        <v>0.53</v>
      </c>
      <c r="J19" s="60">
        <f>frac_malaria_risk</f>
        <v>0.53</v>
      </c>
      <c r="K19" s="60">
        <f>frac_malaria_risk</f>
        <v>0.53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0.38</v>
      </c>
      <c r="M24" s="60">
        <f>famplan_unmet_need</f>
        <v>0.38</v>
      </c>
      <c r="N24" s="60">
        <f>famplan_unmet_need</f>
        <v>0.38</v>
      </c>
      <c r="O24" s="60">
        <f>famplan_unmet_need</f>
        <v>0.38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0.37595889401943605</v>
      </c>
      <c r="M25" s="60">
        <f>(1-food_insecure)*(0.49)+food_insecure*(0.7)</f>
        <v>0.55783000000000005</v>
      </c>
      <c r="N25" s="60">
        <f>(1-food_insecure)*(0.49)+food_insecure*(0.7)</f>
        <v>0.55783000000000005</v>
      </c>
      <c r="O25" s="60">
        <f>(1-food_insecure)*(0.49)+food_insecure*(0.7)</f>
        <v>0.55783000000000005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0.16112524029404401</v>
      </c>
      <c r="M26" s="60">
        <f>(1-food_insecure)*(0.21)+food_insecure*(0.3)</f>
        <v>0.23907</v>
      </c>
      <c r="N26" s="60">
        <f>(1-food_insecure)*(0.21)+food_insecure*(0.3)</f>
        <v>0.23907</v>
      </c>
      <c r="O26" s="60">
        <f>(1-food_insecure)*(0.21)+food_insecure*(0.3)</f>
        <v>0.23907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0.13688265488652002</v>
      </c>
      <c r="M27" s="60">
        <f>(1-food_insecure)*(0.3)</f>
        <v>0.2031</v>
      </c>
      <c r="N27" s="60">
        <f>(1-food_insecure)*(0.3)</f>
        <v>0.2031</v>
      </c>
      <c r="O27" s="60">
        <f>(1-food_insecure)*(0.3)</f>
        <v>0.2031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0.32603321080000003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0.53</v>
      </c>
      <c r="D34" s="60">
        <f t="shared" si="4"/>
        <v>0.53</v>
      </c>
      <c r="E34" s="60">
        <f t="shared" si="4"/>
        <v>0.53</v>
      </c>
      <c r="F34" s="60">
        <f t="shared" si="4"/>
        <v>0.53</v>
      </c>
      <c r="G34" s="60">
        <f t="shared" si="4"/>
        <v>0.53</v>
      </c>
      <c r="H34" s="60">
        <f t="shared" si="4"/>
        <v>0.53</v>
      </c>
      <c r="I34" s="60">
        <f t="shared" si="4"/>
        <v>0.53</v>
      </c>
      <c r="J34" s="60">
        <f t="shared" si="4"/>
        <v>0.53</v>
      </c>
      <c r="K34" s="60">
        <f t="shared" si="4"/>
        <v>0.53</v>
      </c>
      <c r="L34" s="60">
        <f t="shared" si="4"/>
        <v>0.53</v>
      </c>
      <c r="M34" s="60">
        <f t="shared" si="4"/>
        <v>0.53</v>
      </c>
      <c r="N34" s="60">
        <f t="shared" si="4"/>
        <v>0.53</v>
      </c>
      <c r="O34" s="60">
        <f t="shared" si="4"/>
        <v>0.53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2025-07-29T06:39:06Z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