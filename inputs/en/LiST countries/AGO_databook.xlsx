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B4E9A5F-F334-4358-9149-91F009D16A61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26" i="2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<sst xmlns="http://schemas.openxmlformats.org/spreadsheetml/2006/main" count="2159" uniqueCount="372">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</sst>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6358277</v>
      </c>
    </row>
    <row r="8" spans="1:3" ht="15" customHeight="1" x14ac:dyDescent="0.25">
      <c r="B8" s="5" t="s">
        <v>8</v>
      </c>
      <c r="C8" s="44">
        <v>0.32300000000000001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9">
        <v>7.7267303357062389E-2</v>
      </c>
    </row>
    <row r="31" spans="1:3" ht="14.25" customHeight="1" x14ac:dyDescent="0.25">
      <c r="B31" s="25" t="s">
        <v>28</v>
      </c>
      <c r="C31" s="99">
        <v>0.12020907122765701</v>
      </c>
    </row>
    <row r="32" spans="1:3" ht="14.25" customHeight="1" x14ac:dyDescent="0.25">
      <c r="B32" s="25" t="s">
        <v>29</v>
      </c>
      <c r="C32" s="99">
        <v>0.58694166430257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2.782</v>
      </c>
      <c r="D51" s="12"/>
    </row>
    <row r="52" spans="1:4" ht="15" customHeight="1" x14ac:dyDescent="0.25">
      <c r="B52" s="11" t="s">
        <v>46</v>
      </c>
      <c r="C52" s="100">
        <v>2.782</v>
      </c>
    </row>
    <row r="53" spans="1:4" ht="15.75" customHeight="1" x14ac:dyDescent="0.25">
      <c r="B53" s="11" t="s">
        <v>47</v>
      </c>
      <c r="C53" s="100">
        <v>6.9160000000000004</v>
      </c>
    </row>
    <row r="54" spans="1:4" ht="15.75" customHeight="1" x14ac:dyDescent="0.25">
      <c r="B54" s="11" t="s">
        <v>48</v>
      </c>
      <c r="C54" s="100">
        <v>6.9420000000000002</v>
      </c>
    </row>
    <row r="55" spans="1:4" ht="15.75" customHeight="1" x14ac:dyDescent="0.25">
      <c r="B55" s="11" t="s">
        <v>49</v>
      </c>
      <c r="C55" s="100">
        <v>2.7126666666666668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6476088</v>
      </c>
      <c r="C2" s="49">
        <v>1699564</v>
      </c>
      <c r="D2" s="49">
        <v>2827595.5</v>
      </c>
      <c r="E2" s="49">
        <v>4564307.5</v>
      </c>
      <c r="F2" s="49">
        <v>3011570.5</v>
      </c>
      <c r="G2" s="17">
        <f t="shared" ref="G2:G13" si="0">C2+D2+E2+F2</f>
        <v>12103037.5</v>
      </c>
      <c r="H2" s="17">
        <f t="shared" ref="H2:H13" si="1">(B2 + stillbirth*B2/(1000-stillbirth))/(1-abortion)</f>
        <v>7504041.9562554453</v>
      </c>
      <c r="I2" s="17">
        <f t="shared" ref="I2:I13" si="2">G2-H2</f>
        <v>4598995.5437445547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1407760</v>
      </c>
      <c r="C3" s="50">
        <v>2006778</v>
      </c>
      <c r="D3" s="50">
        <v>2981406</v>
      </c>
      <c r="E3" s="50">
        <v>2240899.5</v>
      </c>
      <c r="F3" s="50">
        <v>1544644.4999999998</v>
      </c>
      <c r="G3" s="17">
        <f t="shared" si="0"/>
        <v>8773728</v>
      </c>
      <c r="H3" s="17">
        <f t="shared" si="1"/>
        <v>1631214.7247440377</v>
      </c>
      <c r="I3" s="17">
        <f t="shared" si="2"/>
        <v>7142513.2752559623</v>
      </c>
    </row>
    <row r="4" spans="1:9" ht="15.75" customHeight="1" x14ac:dyDescent="0.25">
      <c r="A4" s="5">
        <f t="shared" si="3"/>
        <v>2026</v>
      </c>
      <c r="B4" s="49">
        <v>1429803</v>
      </c>
      <c r="C4" s="50">
        <v>2089502.5</v>
      </c>
      <c r="D4" s="50">
        <v>3086837</v>
      </c>
      <c r="E4" s="50">
        <v>2297813.5</v>
      </c>
      <c r="F4" s="50">
        <v>1602480.5000000002</v>
      </c>
      <c r="G4" s="17">
        <f t="shared" si="0"/>
        <v>9076633.5</v>
      </c>
      <c r="H4" s="17">
        <f t="shared" si="1"/>
        <v>1656756.625478206</v>
      </c>
      <c r="I4" s="17">
        <f t="shared" si="2"/>
        <v>7419876.8745217938</v>
      </c>
    </row>
    <row r="5" spans="1:9" ht="15.75" customHeight="1" x14ac:dyDescent="0.25">
      <c r="A5" s="5">
        <f t="shared" si="3"/>
        <v>2027</v>
      </c>
      <c r="B5" s="49">
        <v>1461075</v>
      </c>
      <c r="C5" s="50">
        <v>2171620.5</v>
      </c>
      <c r="D5" s="50">
        <v>3202875.5</v>
      </c>
      <c r="E5" s="50">
        <v>2353413.9999999995</v>
      </c>
      <c r="F5" s="50">
        <v>1662369</v>
      </c>
      <c r="G5" s="17">
        <f t="shared" si="0"/>
        <v>9390279</v>
      </c>
      <c r="H5" s="17">
        <f t="shared" si="1"/>
        <v>1692992.4518066964</v>
      </c>
      <c r="I5" s="17">
        <f t="shared" si="2"/>
        <v>7697286.5481933039</v>
      </c>
    </row>
    <row r="6" spans="1:9" ht="15.75" customHeight="1" x14ac:dyDescent="0.25">
      <c r="A6" s="5">
        <f t="shared" si="3"/>
        <v>2028</v>
      </c>
      <c r="B6" s="49">
        <v>1487955</v>
      </c>
      <c r="C6" s="50">
        <v>2253134</v>
      </c>
      <c r="D6" s="50">
        <v>3329483.5</v>
      </c>
      <c r="E6" s="50">
        <v>2408687</v>
      </c>
      <c r="F6" s="50">
        <v>1723806.5000000002</v>
      </c>
      <c r="G6" s="17">
        <f t="shared" si="0"/>
        <v>9715111</v>
      </c>
      <c r="H6" s="17">
        <f t="shared" si="1"/>
        <v>1724139.132917908</v>
      </c>
      <c r="I6" s="17">
        <f t="shared" si="2"/>
        <v>7990971.867082092</v>
      </c>
    </row>
    <row r="7" spans="1:9" ht="15.75" customHeight="1" x14ac:dyDescent="0.25">
      <c r="A7" s="5">
        <f t="shared" si="3"/>
        <v>2029</v>
      </c>
      <c r="B7" s="49">
        <v>1519386</v>
      </c>
      <c r="C7" s="50">
        <v>2333811.5</v>
      </c>
      <c r="D7" s="50">
        <v>3466402</v>
      </c>
      <c r="E7" s="50">
        <v>2464654.9999999995</v>
      </c>
      <c r="F7" s="50">
        <v>1786361.5</v>
      </c>
      <c r="G7" s="17">
        <f t="shared" si="0"/>
        <v>10051230</v>
      </c>
      <c r="H7" s="17">
        <f t="shared" si="1"/>
        <v>1760559.1974270786</v>
      </c>
      <c r="I7" s="17">
        <f t="shared" si="2"/>
        <v>8290670.8025729209</v>
      </c>
    </row>
    <row r="8" spans="1:9" ht="15.75" customHeight="1" x14ac:dyDescent="0.25">
      <c r="A8" s="5">
        <f t="shared" si="3"/>
        <v>2030</v>
      </c>
      <c r="B8" s="49">
        <v>1549301</v>
      </c>
      <c r="C8" s="50">
        <v>2412546</v>
      </c>
      <c r="D8" s="50">
        <v>3611713.5</v>
      </c>
      <c r="E8" s="50">
        <v>2522408.5</v>
      </c>
      <c r="F8" s="50">
        <v>1849399</v>
      </c>
      <c r="G8" s="17">
        <f t="shared" si="0"/>
        <v>10396067</v>
      </c>
      <c r="H8" s="17">
        <f t="shared" si="1"/>
        <v>1795222.6262009591</v>
      </c>
      <c r="I8" s="17">
        <f t="shared" si="2"/>
        <v>8600844.3737990409</v>
      </c>
    </row>
    <row r="9" spans="1:9" ht="15.75" customHeight="1" x14ac:dyDescent="0.25">
      <c r="A9" s="5">
        <f t="shared" si="3"/>
        <v>2031</v>
      </c>
      <c r="B9" s="49">
        <v>1569907</v>
      </c>
      <c r="C9" s="50">
        <v>2488386.5</v>
      </c>
      <c r="D9" s="50">
        <v>3763377</v>
      </c>
      <c r="E9" s="50">
        <v>2583910</v>
      </c>
      <c r="F9" s="50">
        <v>1912346.5</v>
      </c>
      <c r="G9" s="17">
        <f t="shared" si="0"/>
        <v>10748020</v>
      </c>
      <c r="H9" s="17">
        <f t="shared" si="1"/>
        <v>1819099.4309248293</v>
      </c>
      <c r="I9" s="17">
        <f t="shared" si="2"/>
        <v>8928920.5690751709</v>
      </c>
    </row>
    <row r="10" spans="1:9" ht="15.75" customHeight="1" x14ac:dyDescent="0.25">
      <c r="A10" s="5">
        <f t="shared" si="3"/>
        <v>2032</v>
      </c>
      <c r="B10" s="49">
        <v>1595377</v>
      </c>
      <c r="C10" s="50">
        <v>2561005.5</v>
      </c>
      <c r="D10" s="50">
        <v>3920026</v>
      </c>
      <c r="E10" s="50">
        <v>2651374</v>
      </c>
      <c r="F10" s="50">
        <v>1974883</v>
      </c>
      <c r="G10" s="17">
        <f t="shared" si="0"/>
        <v>11107288.5</v>
      </c>
      <c r="H10" s="17">
        <f t="shared" si="1"/>
        <v>1848612.301754538</v>
      </c>
      <c r="I10" s="17">
        <f t="shared" si="2"/>
        <v>9258676.198245462</v>
      </c>
    </row>
    <row r="11" spans="1:9" ht="15.75" customHeight="1" x14ac:dyDescent="0.25">
      <c r="A11" s="5">
        <f t="shared" si="3"/>
        <v>2033</v>
      </c>
      <c r="B11" s="49">
        <v>1618620</v>
      </c>
      <c r="C11" s="50">
        <v>2630375</v>
      </c>
      <c r="D11" s="50">
        <v>4079999</v>
      </c>
      <c r="E11" s="50">
        <v>2726706.5</v>
      </c>
      <c r="F11" s="50">
        <v>2036088.5</v>
      </c>
      <c r="G11" s="17">
        <f t="shared" si="0"/>
        <v>11473169</v>
      </c>
      <c r="H11" s="17">
        <f t="shared" si="1"/>
        <v>1875544.6793240283</v>
      </c>
      <c r="I11" s="17">
        <f t="shared" si="2"/>
        <v>9597624.320675971</v>
      </c>
    </row>
    <row r="12" spans="1:9" ht="15.75" customHeight="1" x14ac:dyDescent="0.25">
      <c r="A12" s="5">
        <f t="shared" si="3"/>
        <v>2034</v>
      </c>
      <c r="B12" s="49">
        <v>1645852</v>
      </c>
      <c r="C12" s="50">
        <v>2697188</v>
      </c>
      <c r="D12" s="50">
        <v>4242193.9999999991</v>
      </c>
      <c r="E12" s="50">
        <v>2811486</v>
      </c>
      <c r="F12" s="50">
        <v>2095592.5000000002</v>
      </c>
      <c r="G12" s="17">
        <f t="shared" si="0"/>
        <v>11846460.5</v>
      </c>
      <c r="H12" s="17">
        <f t="shared" si="1"/>
        <v>1907099.2336402682</v>
      </c>
      <c r="I12" s="17">
        <f t="shared" si="2"/>
        <v>9939361.2663597316</v>
      </c>
    </row>
    <row r="13" spans="1:9" ht="15.75" customHeight="1" x14ac:dyDescent="0.25">
      <c r="A13" s="5">
        <f t="shared" si="3"/>
        <v>2035</v>
      </c>
      <c r="B13" s="49">
        <v>1672818</v>
      </c>
      <c r="C13" s="50">
        <v>2762347.5</v>
      </c>
      <c r="D13" s="50">
        <v>4404666</v>
      </c>
      <c r="E13" s="50">
        <v>2906392.5</v>
      </c>
      <c r="F13" s="50">
        <v>2153498.5</v>
      </c>
      <c r="G13" s="17">
        <f t="shared" si="0"/>
        <v>12226904.5</v>
      </c>
      <c r="H13" s="17">
        <f t="shared" si="1"/>
        <v>1938345.5655913448</v>
      </c>
      <c r="I13" s="17">
        <f t="shared" si="2"/>
        <v>10288558.934408655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101">
        <v>6.6847793315220602E-2</v>
      </c>
    </row>
    <row r="5" spans="1:8" ht="15.75" customHeight="1" x14ac:dyDescent="0.25">
      <c r="B5" s="19" t="s">
        <v>70</v>
      </c>
      <c r="C5" s="101">
        <v>9.2715790728420996E-2</v>
      </c>
    </row>
    <row r="6" spans="1:8" ht="15.75" customHeight="1" x14ac:dyDescent="0.25">
      <c r="B6" s="19" t="s">
        <v>71</v>
      </c>
      <c r="C6" s="101">
        <v>0.25066637493336241</v>
      </c>
    </row>
    <row r="7" spans="1:8" ht="15.75" customHeight="1" x14ac:dyDescent="0.25">
      <c r="B7" s="19" t="s">
        <v>72</v>
      </c>
      <c r="C7" s="101">
        <v>0.39523896047610407</v>
      </c>
    </row>
    <row r="8" spans="1:8" ht="15.75" customHeight="1" x14ac:dyDescent="0.25">
      <c r="B8" s="19" t="s">
        <v>73</v>
      </c>
      <c r="C8" s="101">
        <v>5.692699430730053E-3</v>
      </c>
    </row>
    <row r="9" spans="1:8" ht="15.75" customHeight="1" x14ac:dyDescent="0.25">
      <c r="B9" s="19" t="s">
        <v>74</v>
      </c>
      <c r="C9" s="101">
        <v>6.0334693966530663E-2</v>
      </c>
    </row>
    <row r="10" spans="1:8" ht="15.75" customHeight="1" x14ac:dyDescent="0.25">
      <c r="B10" s="19" t="s">
        <v>75</v>
      </c>
      <c r="C10" s="101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83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84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85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86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87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89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101">
        <v>8.4363389999999993E-3</v>
      </c>
    </row>
    <row r="28" spans="1:8" ht="15.75" customHeight="1" x14ac:dyDescent="0.25">
      <c r="B28" s="19" t="s">
        <v>93</v>
      </c>
      <c r="C28" s="101">
        <v>0.15636133799999999</v>
      </c>
    </row>
    <row r="29" spans="1:8" ht="15.75" customHeight="1" x14ac:dyDescent="0.25">
      <c r="B29" s="19" t="s">
        <v>94</v>
      </c>
      <c r="C29" s="101">
        <v>0.16846973500000001</v>
      </c>
    </row>
    <row r="30" spans="1:8" ht="15.75" customHeight="1" x14ac:dyDescent="0.25">
      <c r="B30" s="19" t="s">
        <v>95</v>
      </c>
      <c r="C30" s="101">
        <v>0.10552550099999999</v>
      </c>
    </row>
    <row r="31" spans="1:8" ht="15.75" customHeight="1" x14ac:dyDescent="0.25">
      <c r="B31" s="19" t="s">
        <v>96</v>
      </c>
      <c r="C31" s="101">
        <v>0.10934719399999999</v>
      </c>
    </row>
    <row r="32" spans="1:8" ht="15.75" customHeight="1" x14ac:dyDescent="0.25">
      <c r="B32" s="19" t="s">
        <v>97</v>
      </c>
      <c r="C32" s="101">
        <v>1.8589852E-2</v>
      </c>
    </row>
    <row r="33" spans="2:3" ht="15.75" customHeight="1" x14ac:dyDescent="0.25">
      <c r="B33" s="19" t="s">
        <v>98</v>
      </c>
      <c r="C33" s="101">
        <v>8.3803687999999987E-2</v>
      </c>
    </row>
    <row r="34" spans="2:3" ht="15.75" customHeight="1" x14ac:dyDescent="0.25">
      <c r="B34" s="19" t="s">
        <v>99</v>
      </c>
      <c r="C34" s="101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3000.4442305317302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0.43146000000000001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0.73801000000000005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1.7007240890392787E-2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92460.709610000005</v>
      </c>
      <c r="C22" s="109">
        <v>91504.823699999994</v>
      </c>
      <c r="D22" s="109">
        <v>90937.885410000003</v>
      </c>
      <c r="E22" s="109">
        <v>90352.386079999997</v>
      </c>
      <c r="F22" s="109">
        <v>89478.5389</v>
      </c>
      <c r="G22" s="109">
        <v>88327.748179999995</v>
      </c>
      <c r="H22" s="109">
        <v>86746.025800000003</v>
      </c>
      <c r="I22" s="109">
        <v>84661.973859999998</v>
      </c>
      <c r="J22" s="109">
        <v>81909.613649999999</v>
      </c>
      <c r="K22" s="109">
        <v>78428.636740000002</v>
      </c>
      <c r="L22" s="109">
        <v>73850.477100000004</v>
      </c>
      <c r="M22" s="109">
        <v>67946.564880000005</v>
      </c>
      <c r="N22" s="109">
        <v>60097.639969999997</v>
      </c>
      <c r="O22" s="109">
        <v>50430.668440000001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0.320544</v>
      </c>
      <c r="C10" s="98">
        <v>0.95</v>
      </c>
      <c r="D10" s="56">
        <v>12.89300726034795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12.89300726034795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12.89300726034795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12.89300726034795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12.89300726034795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0.38400000000000001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0.126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0.3176196</v>
      </c>
      <c r="C19" s="98">
        <v>0.95</v>
      </c>
      <c r="D19" s="56">
        <v>7.6528811752546302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0.2907748</v>
      </c>
      <c r="C23" s="98">
        <v>0.95</v>
      </c>
      <c r="D23" s="56">
        <v>4.204855047571205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0.419615503536932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0.11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0.42607790000000001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0.29069230000000001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1.3599999999999999E-2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0.05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0.27094190000000001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0.27505049999999998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2.0582999999999999E-3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0.43093199999999998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2.782</v>
      </c>
      <c r="C2" s="21">
        <f>'Baseline year population inputs'!C52</f>
        <v>2.782</v>
      </c>
      <c r="D2" s="21">
        <f>'Baseline year population inputs'!C53</f>
        <v>6.9160000000000004</v>
      </c>
      <c r="E2" s="21">
        <f>'Baseline year population inputs'!C54</f>
        <v>6.9420000000000002</v>
      </c>
      <c r="F2" s="21">
        <f>'Baseline year population inputs'!C55</f>
        <v>2.7126666666666668</v>
      </c>
    </row>
    <row r="3" spans="1:6" ht="15.75" customHeight="1" x14ac:dyDescent="0.25">
      <c r="A3" s="3" t="s">
        <v>197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198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