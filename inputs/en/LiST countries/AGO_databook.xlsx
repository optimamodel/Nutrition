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2628745-29D7-4B13-92F7-8E14167C1A8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<sst xmlns="http://schemas.openxmlformats.org/spreadsheetml/2006/main" count="2102" uniqueCount="341">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</sst>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6359012.875</v>
      </c>
    </row>
    <row r="8" spans="1:3" ht="15" customHeight="1" x14ac:dyDescent="0.25">
      <c r="B8" s="5" t="s">
        <v>8</v>
      </c>
      <c r="C8" s="44">
        <v>0.47599999999999998</v>
      </c>
    </row>
    <row r="9" spans="1:3" ht="15" customHeight="1" x14ac:dyDescent="0.25">
      <c r="B9" s="5" t="s">
        <v>9</v>
      </c>
      <c r="C9" s="45">
        <v>0.53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0.13639999999999999</v>
      </c>
    </row>
    <row r="24" spans="1:3" ht="15" customHeight="1" x14ac:dyDescent="0.25">
      <c r="B24" s="15" t="s">
        <v>22</v>
      </c>
      <c r="C24" s="45">
        <v>0.43980000000000002</v>
      </c>
    </row>
    <row r="25" spans="1:3" ht="15" customHeight="1" x14ac:dyDescent="0.25">
      <c r="B25" s="15" t="s">
        <v>23</v>
      </c>
      <c r="C25" s="45">
        <v>0.34289999999999998</v>
      </c>
    </row>
    <row r="26" spans="1:3" ht="15" customHeight="1" x14ac:dyDescent="0.25">
      <c r="B26" s="15" t="s">
        <v>24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0.215581961112711</v>
      </c>
    </row>
    <row r="30" spans="1:3" ht="14.25" customHeight="1" x14ac:dyDescent="0.25">
      <c r="B30" s="25" t="s">
        <v>27</v>
      </c>
      <c r="C30" s="99">
        <v>7.7267303357062389E-2</v>
      </c>
    </row>
    <row r="31" spans="1:3" ht="14.25" customHeight="1" x14ac:dyDescent="0.25">
      <c r="B31" s="25" t="s">
        <v>28</v>
      </c>
      <c r="C31" s="99">
        <v>0.12020907122765701</v>
      </c>
    </row>
    <row r="32" spans="1:3" ht="14.25" customHeight="1" x14ac:dyDescent="0.25">
      <c r="B32" s="25" t="s">
        <v>29</v>
      </c>
      <c r="C32" s="99">
        <v>0.58694166430257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26.647300000000001</v>
      </c>
    </row>
    <row r="38" spans="1:5" ht="15" customHeight="1" x14ac:dyDescent="0.25">
      <c r="B38" s="11" t="s">
        <v>34</v>
      </c>
      <c r="C38" s="43">
        <v>47.163319999999999</v>
      </c>
      <c r="D38" s="12"/>
      <c r="E38" s="13"/>
    </row>
    <row r="39" spans="1:5" ht="15" customHeight="1" x14ac:dyDescent="0.25">
      <c r="B39" s="11" t="s">
        <v>35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100">
        <v>2.2200000000000002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7.9281999999999998E-3</v>
      </c>
      <c r="D45" s="12"/>
    </row>
    <row r="46" spans="1:5" ht="15.75" customHeight="1" x14ac:dyDescent="0.25">
      <c r="B46" s="11" t="s">
        <v>41</v>
      </c>
      <c r="C46" s="45">
        <v>8.5187299999999994E-2</v>
      </c>
      <c r="D46" s="12"/>
    </row>
    <row r="47" spans="1:5" ht="15.75" customHeight="1" x14ac:dyDescent="0.25">
      <c r="B47" s="11" t="s">
        <v>42</v>
      </c>
      <c r="C47" s="45">
        <v>7.3461100000000001E-2</v>
      </c>
      <c r="D47" s="12"/>
      <c r="E47" s="13"/>
    </row>
    <row r="48" spans="1:5" ht="15" customHeight="1" x14ac:dyDescent="0.25">
      <c r="B48" s="11" t="s">
        <v>43</v>
      </c>
      <c r="C48" s="46">
        <v>0.83342339999999993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0.47012900000000002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0.15256592999999999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1.5094498490550161E-2</v>
      </c>
    </row>
    <row r="4" spans="1:8" ht="15.75" customHeight="1" x14ac:dyDescent="0.25">
      <c r="B4" s="19" t="s">
        <v>69</v>
      </c>
      <c r="C4" s="101">
        <v>6.6847793315220602E-2</v>
      </c>
    </row>
    <row r="5" spans="1:8" ht="15.75" customHeight="1" x14ac:dyDescent="0.25">
      <c r="B5" s="19" t="s">
        <v>70</v>
      </c>
      <c r="C5" s="101">
        <v>9.2715790728420996E-2</v>
      </c>
    </row>
    <row r="6" spans="1:8" ht="15.75" customHeight="1" x14ac:dyDescent="0.25">
      <c r="B6" s="19" t="s">
        <v>71</v>
      </c>
      <c r="C6" s="101">
        <v>0.25066637493336241</v>
      </c>
    </row>
    <row r="7" spans="1:8" ht="15.75" customHeight="1" x14ac:dyDescent="0.25">
      <c r="B7" s="19" t="s">
        <v>72</v>
      </c>
      <c r="C7" s="101">
        <v>0.39523896047610407</v>
      </c>
    </row>
    <row r="8" spans="1:8" ht="15.75" customHeight="1" x14ac:dyDescent="0.25">
      <c r="B8" s="19" t="s">
        <v>73</v>
      </c>
      <c r="C8" s="101">
        <v>5.692699430730053E-3</v>
      </c>
    </row>
    <row r="9" spans="1:8" ht="15.75" customHeight="1" x14ac:dyDescent="0.25">
      <c r="B9" s="19" t="s">
        <v>74</v>
      </c>
      <c r="C9" s="101">
        <v>6.0334693966530663E-2</v>
      </c>
    </row>
    <row r="10" spans="1:8" ht="15.75" customHeight="1" x14ac:dyDescent="0.25">
      <c r="B10" s="19" t="s">
        <v>75</v>
      </c>
      <c r="C10" s="101">
        <v>0.11340918865908101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82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83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84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85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86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87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88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89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8.6962663999999995E-2</v>
      </c>
    </row>
    <row r="27" spans="1:8" ht="15.75" customHeight="1" x14ac:dyDescent="0.25">
      <c r="B27" s="19" t="s">
        <v>92</v>
      </c>
      <c r="C27" s="101">
        <v>8.4363389999999993E-3</v>
      </c>
    </row>
    <row r="28" spans="1:8" ht="15.75" customHeight="1" x14ac:dyDescent="0.25">
      <c r="B28" s="19" t="s">
        <v>93</v>
      </c>
      <c r="C28" s="101">
        <v>0.15636133799999999</v>
      </c>
    </row>
    <row r="29" spans="1:8" ht="15.75" customHeight="1" x14ac:dyDescent="0.25">
      <c r="B29" s="19" t="s">
        <v>94</v>
      </c>
      <c r="C29" s="101">
        <v>0.16846973500000001</v>
      </c>
    </row>
    <row r="30" spans="1:8" ht="15.75" customHeight="1" x14ac:dyDescent="0.25">
      <c r="B30" s="19" t="s">
        <v>95</v>
      </c>
      <c r="C30" s="101">
        <v>0.10552550099999999</v>
      </c>
    </row>
    <row r="31" spans="1:8" ht="15.75" customHeight="1" x14ac:dyDescent="0.25">
      <c r="B31" s="19" t="s">
        <v>96</v>
      </c>
      <c r="C31" s="101">
        <v>0.10934719399999999</v>
      </c>
    </row>
    <row r="32" spans="1:8" ht="15.75" customHeight="1" x14ac:dyDescent="0.25">
      <c r="B32" s="19" t="s">
        <v>97</v>
      </c>
      <c r="C32" s="101">
        <v>1.8589852E-2</v>
      </c>
    </row>
    <row r="33" spans="2:3" ht="15.75" customHeight="1" x14ac:dyDescent="0.25">
      <c r="B33" s="19" t="s">
        <v>98</v>
      </c>
      <c r="C33" s="101">
        <v>8.3803687999999987E-2</v>
      </c>
    </row>
    <row r="34" spans="2:3" ht="15.75" customHeight="1" x14ac:dyDescent="0.25">
      <c r="B34" s="19" t="s">
        <v>99</v>
      </c>
      <c r="C34" s="101">
        <v>0.26250368800000001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104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122</v>
      </c>
      <c r="C5" s="52">
        <v>9.2916399999999996E-2</v>
      </c>
      <c r="D5" s="52"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52.701339651165988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0.43093806748000002</v>
      </c>
      <c r="C3" s="98">
        <v>0.95</v>
      </c>
      <c r="D3" s="56">
        <v>39.760707816552028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330.87002329849241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0.74830143865708132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0.320544</v>
      </c>
      <c r="C10" s="98">
        <v>0.95</v>
      </c>
      <c r="D10" s="56">
        <v>12.89300726034795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0.320544</v>
      </c>
      <c r="C11" s="98">
        <v>0.95</v>
      </c>
      <c r="D11" s="56">
        <v>12.89300726034795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0.320544</v>
      </c>
      <c r="C12" s="98">
        <v>0.95</v>
      </c>
      <c r="D12" s="56">
        <v>12.89300726034795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0.320544</v>
      </c>
      <c r="C13" s="98">
        <v>0.95</v>
      </c>
      <c r="D13" s="56">
        <v>12.89300726034795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0.320544</v>
      </c>
      <c r="C14" s="98">
        <v>0.95</v>
      </c>
      <c r="D14" s="56">
        <v>12.89300726034795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0.320544</v>
      </c>
      <c r="C15" s="98">
        <v>0.95</v>
      </c>
      <c r="D15" s="56">
        <v>12.89300726034795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0.65</v>
      </c>
      <c r="C16" s="98">
        <v>0.95</v>
      </c>
      <c r="D16" s="56">
        <v>0.59976585339175292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9.7662442939999997E-2</v>
      </c>
      <c r="C18" s="98">
        <v>0.95</v>
      </c>
      <c r="D18" s="56">
        <v>7.6528811752546302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0.52177280000000004</v>
      </c>
      <c r="C19" s="98">
        <v>0.95</v>
      </c>
      <c r="D19" s="56">
        <v>7.6528811752546302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0.43093199999999998</v>
      </c>
      <c r="C21" s="98">
        <v>0.95</v>
      </c>
      <c r="D21" s="56">
        <v>6.8385112571292028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22.18672916624363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4.204855047571205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0.44319866168613598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0.320544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18.45543989933406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0.36172965988460198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101.48750651619279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0.05</v>
      </c>
      <c r="C31" s="98">
        <v>0.95</v>
      </c>
      <c r="D31" s="56">
        <v>0.71812950856378532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1.2755455448204329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0.29069230000000001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0.42607790000000001</v>
      </c>
      <c r="C38" s="98">
        <v>0.95</v>
      </c>
      <c r="D38" s="56">
        <v>5.6128394886581123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205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0.47599999999999998</v>
      </c>
      <c r="E2" s="60">
        <f>food_insecure</f>
        <v>0.47599999999999998</v>
      </c>
      <c r="F2" s="60">
        <f>food_insecure</f>
        <v>0.47599999999999998</v>
      </c>
      <c r="G2" s="60">
        <f>food_insecure</f>
        <v>0.47599999999999998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0.47599999999999998</v>
      </c>
      <c r="F5" s="60">
        <f>food_insecure</f>
        <v>0.47599999999999998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0.47599999999999998</v>
      </c>
      <c r="F8" s="60">
        <f>food_insecure</f>
        <v>0.47599999999999998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0.47599999999999998</v>
      </c>
      <c r="F9" s="60">
        <f>food_insecure</f>
        <v>0.47599999999999998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0.47599999999999998</v>
      </c>
      <c r="I15" s="60">
        <f>food_insecure</f>
        <v>0.47599999999999998</v>
      </c>
      <c r="J15" s="60">
        <f>food_insecure</f>
        <v>0.47599999999999998</v>
      </c>
      <c r="K15" s="60">
        <f>food_insecure</f>
        <v>0.47599999999999998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0.75800000000000001</v>
      </c>
      <c r="M24" s="60">
        <f>famplan_unmet_need</f>
        <v>0.75800000000000001</v>
      </c>
      <c r="N24" s="60">
        <f>famplan_unmet_need</f>
        <v>0.75800000000000001</v>
      </c>
      <c r="O24" s="60">
        <f>famplan_unmet_need</f>
        <v>0.75800000000000001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0.39761344695643197</v>
      </c>
      <c r="M25" s="60">
        <f>(1-food_insecure)*(0.49)+food_insecure*(0.7)</f>
        <v>0.58995999999999993</v>
      </c>
      <c r="N25" s="60">
        <f>(1-food_insecure)*(0.49)+food_insecure*(0.7)</f>
        <v>0.58995999999999993</v>
      </c>
      <c r="O25" s="60">
        <f>(1-food_insecure)*(0.49)+food_insecure*(0.7)</f>
        <v>0.58995999999999993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0.17040576298132801</v>
      </c>
      <c r="M26" s="60">
        <f>(1-food_insecure)*(0.21)+food_insecure*(0.3)</f>
        <v>0.25283999999999995</v>
      </c>
      <c r="N26" s="60">
        <f>(1-food_insecure)*(0.21)+food_insecure*(0.3)</f>
        <v>0.25283999999999995</v>
      </c>
      <c r="O26" s="60">
        <f>(1-food_insecure)*(0.21)+food_insecure*(0.3)</f>
        <v>0.25283999999999995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0.10594757926224002</v>
      </c>
      <c r="M27" s="60">
        <f>(1-food_insecure)*(0.3)</f>
        <v>0.15720000000000001</v>
      </c>
      <c r="N27" s="60">
        <f>(1-food_insecure)*(0.3)</f>
        <v>0.15720000000000001</v>
      </c>
      <c r="O27" s="60">
        <f>(1-food_insecure)*(0.3)</f>
        <v>0.15720000000000001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0.53</v>
      </c>
      <c r="D34" s="60">
        <f t="shared" si="3"/>
        <v>0.53</v>
      </c>
      <c r="E34" s="60">
        <f t="shared" si="3"/>
        <v>0.53</v>
      </c>
      <c r="F34" s="60">
        <f t="shared" si="3"/>
        <v>0.53</v>
      </c>
      <c r="G34" s="60">
        <f t="shared" si="3"/>
        <v>0.53</v>
      </c>
      <c r="H34" s="60">
        <f t="shared" si="3"/>
        <v>0.53</v>
      </c>
      <c r="I34" s="60">
        <f t="shared" si="3"/>
        <v>0.53</v>
      </c>
      <c r="J34" s="60">
        <f t="shared" si="3"/>
        <v>0.53</v>
      </c>
      <c r="K34" s="60">
        <f t="shared" si="3"/>
        <v>0.53</v>
      </c>
      <c r="L34" s="60">
        <f t="shared" si="3"/>
        <v>0.53</v>
      </c>
      <c r="M34" s="60">
        <f t="shared" si="3"/>
        <v>0.53</v>
      </c>
      <c r="N34" s="60">
        <f t="shared" si="3"/>
        <v>0.53</v>
      </c>
      <c r="O34" s="60">
        <f t="shared" si="3"/>
        <v>0.53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2024-05-09T01:45:50Z</dcterms:modified>
</cp:coreProperties>
</file>