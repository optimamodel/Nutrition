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Nutrition/Shared Documents/Applications/WB multi_country 2025/Databooks_R1/"/>
    </mc:Choice>
  </mc:AlternateContent>
  <xr:revisionPtr revIDLastSave="21" documentId="8_{5A0671C9-D2AF-4725-BDFE-1B2E658E434A}" xr6:coauthVersionLast="47" xr6:coauthVersionMax="47" xr10:uidLastSave="{4CB2ED91-E550-470F-98C5-090744B5E5F3}"/>
  <bookViews>
    <workbookView xWindow="-110" yWindow="-110" windowWidth="19420" windowHeight="10300" tabRatio="961" firstSheet="10" activeTab="26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3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7" i="2" l="1"/>
  <c r="A23" i="2"/>
  <c r="A22" i="2"/>
  <c r="A24" i="2"/>
  <c r="A40" i="2"/>
  <c r="A19" i="2"/>
  <c r="I4" i="2"/>
  <c r="A25" i="2"/>
  <c r="I7" i="2"/>
  <c r="I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<sst xmlns="http://schemas.openxmlformats.org/spreadsheetml/2006/main" count="2169" uniqueCount="373">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</sst>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6358277</v>
      </c>
    </row>
    <row r="8" spans="1:3" ht="15" customHeight="1" x14ac:dyDescent="0.25">
      <c r="B8" s="5" t="s">
        <v>8</v>
      </c>
      <c r="C8" s="44">
        <v>0.32300000000000001</v>
      </c>
    </row>
    <row r="9" spans="1:3" ht="15" customHeight="1" x14ac:dyDescent="0.25">
      <c r="B9" s="5" t="s">
        <v>9</v>
      </c>
      <c r="C9" s="45">
        <v>0.53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0.13639999999999999</v>
      </c>
    </row>
    <row r="24" spans="1:3" ht="15" customHeight="1" x14ac:dyDescent="0.25">
      <c r="B24" s="15" t="s">
        <v>22</v>
      </c>
      <c r="C24" s="45">
        <v>0.43980000000000002</v>
      </c>
    </row>
    <row r="25" spans="1:3" ht="15" customHeight="1" x14ac:dyDescent="0.25">
      <c r="B25" s="15" t="s">
        <v>23</v>
      </c>
      <c r="C25" s="45">
        <v>0.34289999999999998</v>
      </c>
    </row>
    <row r="26" spans="1:3" ht="15" customHeight="1" x14ac:dyDescent="0.25">
      <c r="B26" s="15" t="s">
        <v>24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0.215581961112711</v>
      </c>
    </row>
    <row r="30" spans="1:3" ht="14.25" customHeight="1" x14ac:dyDescent="0.25">
      <c r="B30" s="25" t="s">
        <v>27</v>
      </c>
      <c r="C30" s="97">
        <v>7.7267303357062389E-2</v>
      </c>
    </row>
    <row r="31" spans="1:3" ht="14.25" customHeight="1" x14ac:dyDescent="0.25">
      <c r="B31" s="25" t="s">
        <v>28</v>
      </c>
      <c r="C31" s="97">
        <v>0.12020907122765701</v>
      </c>
    </row>
    <row r="32" spans="1:3" ht="14.25" customHeight="1" x14ac:dyDescent="0.25">
      <c r="B32" s="25" t="s">
        <v>29</v>
      </c>
      <c r="C32" s="97">
        <v>0.58694166430257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26.647300000000001</v>
      </c>
    </row>
    <row r="38" spans="1:5" ht="15" customHeight="1" x14ac:dyDescent="0.25">
      <c r="B38" s="11" t="s">
        <v>34</v>
      </c>
      <c r="C38" s="43">
        <v>47.163319999999999</v>
      </c>
      <c r="D38" s="12"/>
      <c r="E38" s="13"/>
    </row>
    <row r="39" spans="1:5" ht="15" customHeight="1" x14ac:dyDescent="0.25">
      <c r="B39" s="11" t="s">
        <v>35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98">
        <v>2.2200000000000002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7.9281999999999998E-3</v>
      </c>
      <c r="D45" s="12"/>
    </row>
    <row r="46" spans="1:5" ht="15.75" customHeight="1" x14ac:dyDescent="0.25">
      <c r="B46" s="11" t="s">
        <v>41</v>
      </c>
      <c r="C46" s="45">
        <v>8.5187299999999994E-2</v>
      </c>
      <c r="D46" s="12"/>
    </row>
    <row r="47" spans="1:5" ht="15.75" customHeight="1" x14ac:dyDescent="0.25">
      <c r="B47" s="11" t="s">
        <v>42</v>
      </c>
      <c r="C47" s="45">
        <v>7.3461100000000001E-2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2.782</v>
      </c>
      <c r="D51" s="12"/>
    </row>
    <row r="52" spans="1:4" ht="15" customHeight="1" x14ac:dyDescent="0.25">
      <c r="B52" s="11" t="s">
        <v>46</v>
      </c>
      <c r="C52" s="98">
        <v>2.782</v>
      </c>
    </row>
    <row r="53" spans="1:4" ht="15.75" customHeight="1" x14ac:dyDescent="0.25">
      <c r="B53" s="11" t="s">
        <v>47</v>
      </c>
      <c r="C53" s="98">
        <v>6.9160000000000004</v>
      </c>
    </row>
    <row r="54" spans="1:4" ht="15.75" customHeight="1" x14ac:dyDescent="0.25">
      <c r="B54" s="11" t="s">
        <v>48</v>
      </c>
      <c r="C54" s="98">
        <v>6.9420000000000002</v>
      </c>
    </row>
    <row r="55" spans="1:4" ht="15.75" customHeight="1" x14ac:dyDescent="0.25">
      <c r="B55" s="11" t="s">
        <v>49</v>
      </c>
      <c r="C55" s="98">
        <v>2.7126666666666668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0.47012900000000002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0.15527790659999999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1.5094498490550161E-2</v>
      </c>
    </row>
    <row r="4" spans="1:8" ht="15.75" customHeight="1" x14ac:dyDescent="0.25">
      <c r="B4" s="19" t="s">
        <v>69</v>
      </c>
      <c r="C4" s="99">
        <v>6.6847793315220602E-2</v>
      </c>
    </row>
    <row r="5" spans="1:8" ht="15.75" customHeight="1" x14ac:dyDescent="0.25">
      <c r="B5" s="19" t="s">
        <v>70</v>
      </c>
      <c r="C5" s="99">
        <v>9.2715790728420996E-2</v>
      </c>
    </row>
    <row r="6" spans="1:8" ht="15.75" customHeight="1" x14ac:dyDescent="0.25">
      <c r="B6" s="19" t="s">
        <v>71</v>
      </c>
      <c r="C6" s="99">
        <v>0.25066637493336241</v>
      </c>
    </row>
    <row r="7" spans="1:8" ht="15.75" customHeight="1" x14ac:dyDescent="0.25">
      <c r="B7" s="19" t="s">
        <v>72</v>
      </c>
      <c r="C7" s="99">
        <v>0.39523896047610407</v>
      </c>
    </row>
    <row r="8" spans="1:8" ht="15.75" customHeight="1" x14ac:dyDescent="0.25">
      <c r="B8" s="19" t="s">
        <v>73</v>
      </c>
      <c r="C8" s="99">
        <v>5.692699430730053E-3</v>
      </c>
    </row>
    <row r="9" spans="1:8" ht="15.75" customHeight="1" x14ac:dyDescent="0.25">
      <c r="B9" s="19" t="s">
        <v>74</v>
      </c>
      <c r="C9" s="99">
        <v>6.0334693966530663E-2</v>
      </c>
    </row>
    <row r="10" spans="1:8" ht="15.75" customHeight="1" x14ac:dyDescent="0.25">
      <c r="B10" s="19" t="s">
        <v>75</v>
      </c>
      <c r="C10" s="99">
        <v>0.11340918865908101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82</v>
      </c>
      <c r="C15" s="99">
        <v>0.2862876225477291</v>
      </c>
      <c r="D15" s="99">
        <v>0.2862876225477291</v>
      </c>
      <c r="E15" s="99">
        <v>0.2862876225477291</v>
      </c>
      <c r="F15" s="99">
        <v>0.2862876225477291</v>
      </c>
    </row>
    <row r="16" spans="1:8" ht="15.75" customHeight="1" x14ac:dyDescent="0.25">
      <c r="B16" s="19" t="s">
        <v>83</v>
      </c>
      <c r="C16" s="99">
        <v>3.2976769226665932E-2</v>
      </c>
      <c r="D16" s="99">
        <v>3.2976769226665932E-2</v>
      </c>
      <c r="E16" s="99">
        <v>3.2976769226665932E-2</v>
      </c>
      <c r="F16" s="99">
        <v>3.2976769226665932E-2</v>
      </c>
    </row>
    <row r="17" spans="1:8" ht="15.75" customHeight="1" x14ac:dyDescent="0.25">
      <c r="B17" s="19" t="s">
        <v>84</v>
      </c>
      <c r="C17" s="99">
        <v>1.608358052509628E-3</v>
      </c>
      <c r="D17" s="99">
        <v>1.608358052509628E-3</v>
      </c>
      <c r="E17" s="99">
        <v>1.608358052509628E-3</v>
      </c>
      <c r="F17" s="99">
        <v>1.608358052509628E-3</v>
      </c>
    </row>
    <row r="18" spans="1:8" ht="15.75" customHeight="1" x14ac:dyDescent="0.25">
      <c r="B18" s="19" t="s">
        <v>85</v>
      </c>
      <c r="C18" s="99">
        <v>0.16206113121560209</v>
      </c>
      <c r="D18" s="99">
        <v>0.16206113121560209</v>
      </c>
      <c r="E18" s="99">
        <v>0.16206113121560209</v>
      </c>
      <c r="F18" s="99">
        <v>0.16206113121560209</v>
      </c>
    </row>
    <row r="19" spans="1:8" ht="15.75" customHeight="1" x14ac:dyDescent="0.25">
      <c r="B19" s="19" t="s">
        <v>86</v>
      </c>
      <c r="C19" s="99">
        <v>7.9440655586136156E-3</v>
      </c>
      <c r="D19" s="99">
        <v>7.9440655586136156E-3</v>
      </c>
      <c r="E19" s="99">
        <v>7.9440655586136156E-3</v>
      </c>
      <c r="F19" s="99">
        <v>7.9440655586136156E-3</v>
      </c>
    </row>
    <row r="20" spans="1:8" ht="15.75" customHeight="1" x14ac:dyDescent="0.25">
      <c r="B20" s="19" t="s">
        <v>87</v>
      </c>
      <c r="C20" s="99">
        <v>5.3512309813619451E-2</v>
      </c>
      <c r="D20" s="99">
        <v>5.3512309813619451E-2</v>
      </c>
      <c r="E20" s="99">
        <v>5.3512309813619451E-2</v>
      </c>
      <c r="F20" s="99">
        <v>5.3512309813619451E-2</v>
      </c>
    </row>
    <row r="21" spans="1:8" ht="15.75" customHeight="1" x14ac:dyDescent="0.25">
      <c r="B21" s="19" t="s">
        <v>88</v>
      </c>
      <c r="C21" s="99">
        <v>7.3544155252817336E-2</v>
      </c>
      <c r="D21" s="99">
        <v>7.3544155252817336E-2</v>
      </c>
      <c r="E21" s="99">
        <v>7.3544155252817336E-2</v>
      </c>
      <c r="F21" s="99">
        <v>7.3544155252817336E-2</v>
      </c>
    </row>
    <row r="22" spans="1:8" ht="15.75" customHeight="1" x14ac:dyDescent="0.25">
      <c r="B22" s="19" t="s">
        <v>89</v>
      </c>
      <c r="C22" s="99">
        <v>0.1828267444098152</v>
      </c>
      <c r="D22" s="99">
        <v>0.1828267444098152</v>
      </c>
      <c r="E22" s="99">
        <v>0.1828267444098152</v>
      </c>
      <c r="F22" s="99">
        <v>0.1828267444098152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8.6962663999999995E-2</v>
      </c>
    </row>
    <row r="27" spans="1:8" ht="15.75" customHeight="1" x14ac:dyDescent="0.25">
      <c r="B27" s="19" t="s">
        <v>92</v>
      </c>
      <c r="C27" s="99">
        <v>8.4363389999999993E-3</v>
      </c>
    </row>
    <row r="28" spans="1:8" ht="15.75" customHeight="1" x14ac:dyDescent="0.25">
      <c r="B28" s="19" t="s">
        <v>93</v>
      </c>
      <c r="C28" s="99">
        <v>0.15636133799999999</v>
      </c>
    </row>
    <row r="29" spans="1:8" ht="15.75" customHeight="1" x14ac:dyDescent="0.25">
      <c r="B29" s="19" t="s">
        <v>94</v>
      </c>
      <c r="C29" s="99">
        <v>0.16846973500000001</v>
      </c>
    </row>
    <row r="30" spans="1:8" ht="15.75" customHeight="1" x14ac:dyDescent="0.25">
      <c r="B30" s="19" t="s">
        <v>95</v>
      </c>
      <c r="C30" s="99">
        <v>0.10552550099999999</v>
      </c>
    </row>
    <row r="31" spans="1:8" ht="15.75" customHeight="1" x14ac:dyDescent="0.25">
      <c r="B31" s="19" t="s">
        <v>96</v>
      </c>
      <c r="C31" s="99">
        <v>0.10934719399999999</v>
      </c>
    </row>
    <row r="32" spans="1:8" ht="15.75" customHeight="1" x14ac:dyDescent="0.25">
      <c r="B32" s="19" t="s">
        <v>97</v>
      </c>
      <c r="C32" s="99">
        <v>1.8589852E-2</v>
      </c>
    </row>
    <row r="33" spans="2:3" ht="15.75" customHeight="1" x14ac:dyDescent="0.25">
      <c r="B33" s="19" t="s">
        <v>98</v>
      </c>
      <c r="C33" s="99">
        <v>8.3803687999999987E-2</v>
      </c>
    </row>
    <row r="34" spans="2:3" ht="15.75" customHeight="1" x14ac:dyDescent="0.25">
      <c r="B34" s="19" t="s">
        <v>99</v>
      </c>
      <c r="C34" s="99">
        <v>0.26250368800000001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104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9.291640000000001E-2</v>
      </c>
      <c r="D5" s="52">
        <f t="shared" si="0"/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3000.4442305317302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0.43146000000000001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0.73801000000000005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1.7007240890392787E-2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92460.709610000005</v>
      </c>
      <c r="C22" s="107">
        <v>91504.823699999994</v>
      </c>
      <c r="D22" s="107">
        <v>90937.885410000003</v>
      </c>
      <c r="E22" s="107">
        <v>90352.386079999997</v>
      </c>
      <c r="F22" s="107">
        <v>89478.5389</v>
      </c>
      <c r="G22" s="107">
        <v>88327.748179999995</v>
      </c>
      <c r="H22" s="107">
        <v>86746.025800000003</v>
      </c>
      <c r="I22" s="107">
        <v>84661.973859999998</v>
      </c>
      <c r="J22" s="107">
        <v>81909.613649999999</v>
      </c>
      <c r="K22" s="107">
        <v>78428.636740000002</v>
      </c>
      <c r="L22" s="107">
        <v>73850.477100000004</v>
      </c>
      <c r="M22" s="107">
        <v>67946.564880000005</v>
      </c>
      <c r="N22" s="107">
        <v>60097.639969999997</v>
      </c>
      <c r="O22" s="107">
        <v>50430.668440000001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0.320544</v>
      </c>
      <c r="C10" s="96">
        <v>0.95</v>
      </c>
      <c r="D10" s="56">
        <v>12.89300726034795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12.89300726034795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12.89300726034795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12.89300726034795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12.89300726034795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0.38400000000000001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0.126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0.3176196</v>
      </c>
      <c r="C19" s="96">
        <v>0.95</v>
      </c>
      <c r="D19" s="56">
        <v>7.6528811752546302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0.2907748</v>
      </c>
      <c r="C23" s="96">
        <v>0.95</v>
      </c>
      <c r="D23" s="56">
        <v>4.204855047571205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0.419615503536932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0.11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0.42607790000000001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0.29069230000000001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1.3599999999999999E-2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0.05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0.27094190000000001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0.27505049999999998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2.0582999999999999E-3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0.43093199999999998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H12" sqref="H12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2.782</v>
      </c>
      <c r="C2" s="21">
        <f>'Baseline year population inputs'!C52</f>
        <v>2.782</v>
      </c>
      <c r="D2" s="21">
        <f>'Baseline year population inputs'!C53</f>
        <v>6.9160000000000004</v>
      </c>
      <c r="E2" s="21">
        <f>'Baseline year population inputs'!C54</f>
        <v>6.9420000000000002</v>
      </c>
      <c r="F2" s="21">
        <f>'Baseline year population inputs'!C55</f>
        <v>2.7126666666666668</v>
      </c>
    </row>
    <row r="3" spans="1:6" ht="15.75" customHeight="1" x14ac:dyDescent="0.25">
      <c r="A3" s="3" t="s">
        <v>197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198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topLeftCell="A13" zoomScale="85" zoomScaleNormal="118" workbookViewId="0">
      <selection activeCell="H12" sqref="H12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0.32300000000000001</v>
      </c>
      <c r="F2" s="60">
        <f>food_insecure</f>
        <v>0.32300000000000001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0.32300000000000001</v>
      </c>
      <c r="F5" s="60">
        <f>food_insecure</f>
        <v>0.32300000000000001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6.0698181818181825E-2</v>
      </c>
      <c r="D7" s="60">
        <f>diarrhoea_1_5mo*frac_diarrhea_severe</f>
        <v>6.0698181818181825E-2</v>
      </c>
      <c r="E7" s="60">
        <f>diarrhoea_6_11mo*frac_diarrhea_severe</f>
        <v>0.15089454545454548</v>
      </c>
      <c r="F7" s="60">
        <f>diarrhoea_12_23mo*frac_diarrhea_severe</f>
        <v>0.1514618181818182</v>
      </c>
      <c r="G7" s="60">
        <f>diarrhoea_24_59mo*frac_diarrhea_severe</f>
        <v>5.9185454545454555E-2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0.32300000000000001</v>
      </c>
      <c r="F8" s="60">
        <f>food_insecure</f>
        <v>0.32300000000000001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0.32300000000000001</v>
      </c>
      <c r="F9" s="60">
        <f>food_insecure</f>
        <v>0.32300000000000001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6.0698181818181825E-2</v>
      </c>
      <c r="D12" s="60">
        <f>diarrhoea_1_5mo*frac_diarrhea_severe</f>
        <v>6.0698181818181825E-2</v>
      </c>
      <c r="E12" s="60">
        <f>diarrhoea_6_11mo*frac_diarrhea_severe</f>
        <v>0.15089454545454548</v>
      </c>
      <c r="F12" s="60">
        <f>diarrhoea_12_23mo*frac_diarrhea_severe</f>
        <v>0.1514618181818182</v>
      </c>
      <c r="G12" s="60">
        <f>diarrhoea_24_59mo*frac_diarrhea_severe</f>
        <v>5.9185454545454555E-2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0.32300000000000001</v>
      </c>
      <c r="I15" s="60">
        <f t="shared" si="0"/>
        <v>0.32300000000000001</v>
      </c>
      <c r="J15" s="60">
        <f t="shared" si="0"/>
        <v>0.32300000000000001</v>
      </c>
      <c r="K15" s="60">
        <f t="shared" si="0"/>
        <v>0.32300000000000001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0.32300000000000001</v>
      </c>
      <c r="I16" s="60">
        <f t="shared" si="0"/>
        <v>0.32300000000000001</v>
      </c>
      <c r="J16" s="60">
        <f t="shared" si="0"/>
        <v>0.32300000000000001</v>
      </c>
      <c r="K16" s="60">
        <f t="shared" si="0"/>
        <v>0.32300000000000001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0.37595889401943605</v>
      </c>
      <c r="M25" s="60">
        <f>(1-food_insecure)*(0.49)+food_insecure*(0.7)</f>
        <v>0.55783000000000005</v>
      </c>
      <c r="N25" s="60">
        <f>(1-food_insecure)*(0.49)+food_insecure*(0.7)</f>
        <v>0.55783000000000005</v>
      </c>
      <c r="O25" s="60">
        <f>(1-food_insecure)*(0.49)+food_insecure*(0.7)</f>
        <v>0.55783000000000005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0.16112524029404401</v>
      </c>
      <c r="M26" s="60">
        <f>(1-food_insecure)*(0.21)+food_insecure*(0.3)</f>
        <v>0.23907</v>
      </c>
      <c r="N26" s="60">
        <f>(1-food_insecure)*(0.21)+food_insecure*(0.3)</f>
        <v>0.23907</v>
      </c>
      <c r="O26" s="60">
        <f>(1-food_insecure)*(0.21)+food_insecure*(0.3)</f>
        <v>0.23907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0.13688265488652002</v>
      </c>
      <c r="M27" s="60">
        <f>(1-food_insecure)*(0.3)</f>
        <v>0.2031</v>
      </c>
      <c r="N27" s="60">
        <f>(1-food_insecure)*(0.3)</f>
        <v>0.2031</v>
      </c>
      <c r="O27" s="60">
        <f>(1-food_insecure)*(0.3)</f>
        <v>0.2031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0.53</v>
      </c>
      <c r="D34" s="60">
        <f t="shared" si="4"/>
        <v>0.53</v>
      </c>
      <c r="E34" s="60">
        <f t="shared" si="4"/>
        <v>0.53</v>
      </c>
      <c r="F34" s="60">
        <f t="shared" si="4"/>
        <v>0.53</v>
      </c>
      <c r="G34" s="60">
        <f t="shared" si="4"/>
        <v>0.53</v>
      </c>
      <c r="H34" s="60">
        <f t="shared" si="4"/>
        <v>0.53</v>
      </c>
      <c r="I34" s="60">
        <f t="shared" si="4"/>
        <v>0.53</v>
      </c>
      <c r="J34" s="60">
        <f t="shared" si="4"/>
        <v>0.53</v>
      </c>
      <c r="K34" s="60">
        <f t="shared" si="4"/>
        <v>0.53</v>
      </c>
      <c r="L34" s="60">
        <f t="shared" si="4"/>
        <v>0.53</v>
      </c>
      <c r="M34" s="60">
        <f t="shared" si="4"/>
        <v>0.53</v>
      </c>
      <c r="N34" s="60">
        <f t="shared" si="4"/>
        <v>0.53</v>
      </c>
      <c r="O34" s="60">
        <f t="shared" si="4"/>
        <v>0.53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4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2" sqref="H1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2" sqref="H1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2" sqref="H12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zoomScaleNormal="100" workbookViewId="0">
      <selection activeCell="H12" sqref="H12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tabSelected="1" zoomScale="70" zoomScaleNormal="70" workbookViewId="0">
      <selection activeCell="F4" sqref="F4:H4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2026-04-09T04:08:21Z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