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664BF6D-0AF4-4639-8003-344D864B097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A4" i="2" s="1"/>
  <c r="A5" i="2" s="1"/>
  <c r="H2" i="2"/>
  <c r="G2" i="2"/>
  <c r="I2" i="2" s="1"/>
  <c r="A2" i="2"/>
  <c r="A32" i="2" s="1"/>
  <c r="C33" i="1"/>
  <c r="C20" i="1"/>
  <c r="A31" i="2" l="1"/>
  <c r="A17" i="2"/>
  <c r="A25" i="2"/>
  <c r="A33" i="2"/>
  <c r="A19" i="2"/>
  <c r="A27" i="2"/>
  <c r="A35" i="2"/>
  <c r="A20" i="2"/>
  <c r="A28" i="2"/>
  <c r="A36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<sst xmlns="http://schemas.openxmlformats.org/spreadsheetml/2006/main" count="2103" uniqueCount="341">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</sst>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6359012.875</v>
      </c>
    </row>
    <row r="8" spans="1:3" ht="15" customHeight="1" x14ac:dyDescent="0.25">
      <c r="B8" s="5" t="s">
        <v>8</v>
      </c>
      <c r="C8" s="44">
        <v>0.47599999999999998</v>
      </c>
    </row>
    <row r="9" spans="1:3" ht="15" customHeight="1" x14ac:dyDescent="0.25">
      <c r="B9" s="5" t="s">
        <v>9</v>
      </c>
      <c r="C9" s="45">
        <v>0.53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0.13639999999999999</v>
      </c>
    </row>
    <row r="24" spans="1:3" ht="15" customHeight="1" x14ac:dyDescent="0.25">
      <c r="B24" s="15" t="s">
        <v>22</v>
      </c>
      <c r="C24" s="45">
        <v>0.43980000000000002</v>
      </c>
    </row>
    <row r="25" spans="1:3" ht="15" customHeight="1" x14ac:dyDescent="0.25">
      <c r="B25" s="15" t="s">
        <v>23</v>
      </c>
      <c r="C25" s="45">
        <v>0.34289999999999998</v>
      </c>
    </row>
    <row r="26" spans="1:3" ht="15" customHeight="1" x14ac:dyDescent="0.25">
      <c r="B26" s="15" t="s">
        <v>24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0.215581961112711</v>
      </c>
    </row>
    <row r="30" spans="1:3" ht="14.25" customHeight="1" x14ac:dyDescent="0.25">
      <c r="B30" s="25" t="s">
        <v>27</v>
      </c>
      <c r="C30" s="99">
        <v>7.7267303357062389E-2</v>
      </c>
    </row>
    <row r="31" spans="1:3" ht="14.25" customHeight="1" x14ac:dyDescent="0.25">
      <c r="B31" s="25" t="s">
        <v>28</v>
      </c>
      <c r="C31" s="99">
        <v>0.12020907122765701</v>
      </c>
    </row>
    <row r="32" spans="1:3" ht="14.25" customHeight="1" x14ac:dyDescent="0.25">
      <c r="B32" s="25" t="s">
        <v>29</v>
      </c>
      <c r="C32" s="99">
        <v>0.58694166430257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26.647300000000001</v>
      </c>
    </row>
    <row r="38" spans="1:5" ht="15" customHeight="1" x14ac:dyDescent="0.25">
      <c r="B38" s="11" t="s">
        <v>34</v>
      </c>
      <c r="C38" s="43">
        <v>47.163319999999999</v>
      </c>
      <c r="D38" s="12"/>
      <c r="E38" s="13"/>
    </row>
    <row r="39" spans="1:5" ht="15" customHeight="1" x14ac:dyDescent="0.25">
      <c r="B39" s="11" t="s">
        <v>35</v>
      </c>
      <c r="C39" s="43">
        <v>69.421329999999998</v>
      </c>
      <c r="D39" s="12"/>
      <c r="E39" s="12"/>
    </row>
    <row r="40" spans="1:5" ht="15" customHeight="1" x14ac:dyDescent="0.25">
      <c r="B40" s="11" t="s">
        <v>36</v>
      </c>
      <c r="C40" s="100">
        <v>2.2200000000000002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7.9281999999999998E-3</v>
      </c>
      <c r="D45" s="12"/>
    </row>
    <row r="46" spans="1:5" ht="15.75" customHeight="1" x14ac:dyDescent="0.25">
      <c r="B46" s="11" t="s">
        <v>41</v>
      </c>
      <c r="C46" s="45">
        <v>8.5187299999999994E-2</v>
      </c>
      <c r="D46" s="12"/>
    </row>
    <row r="47" spans="1:5" ht="15.75" customHeight="1" x14ac:dyDescent="0.25">
      <c r="B47" s="11" t="s">
        <v>42</v>
      </c>
      <c r="C47" s="45">
        <v>7.3461100000000001E-2</v>
      </c>
      <c r="D47" s="12"/>
      <c r="E47" s="13"/>
    </row>
    <row r="48" spans="1:5" ht="15" customHeight="1" x14ac:dyDescent="0.25">
      <c r="B48" s="11" t="s">
        <v>43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0.47012900000000002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1.5094498490550161E-2</v>
      </c>
    </row>
    <row r="4" spans="1:8" ht="15.75" customHeight="1" x14ac:dyDescent="0.25">
      <c r="B4" s="19" t="s">
        <v>69</v>
      </c>
      <c r="C4" s="101">
        <v>6.6847793315220602E-2</v>
      </c>
    </row>
    <row r="5" spans="1:8" ht="15.75" customHeight="1" x14ac:dyDescent="0.25">
      <c r="B5" s="19" t="s">
        <v>70</v>
      </c>
      <c r="C5" s="101">
        <v>9.2715790728420996E-2</v>
      </c>
    </row>
    <row r="6" spans="1:8" ht="15.75" customHeight="1" x14ac:dyDescent="0.25">
      <c r="B6" s="19" t="s">
        <v>71</v>
      </c>
      <c r="C6" s="101">
        <v>0.25066637493336241</v>
      </c>
    </row>
    <row r="7" spans="1:8" ht="15.75" customHeight="1" x14ac:dyDescent="0.25">
      <c r="B7" s="19" t="s">
        <v>72</v>
      </c>
      <c r="C7" s="101">
        <v>0.39523896047610407</v>
      </c>
    </row>
    <row r="8" spans="1:8" ht="15.75" customHeight="1" x14ac:dyDescent="0.25">
      <c r="B8" s="19" t="s">
        <v>73</v>
      </c>
      <c r="C8" s="101">
        <v>5.692699430730053E-3</v>
      </c>
    </row>
    <row r="9" spans="1:8" ht="15.75" customHeight="1" x14ac:dyDescent="0.25">
      <c r="B9" s="19" t="s">
        <v>74</v>
      </c>
      <c r="C9" s="101">
        <v>6.0334693966530663E-2</v>
      </c>
    </row>
    <row r="10" spans="1:8" ht="15.75" customHeight="1" x14ac:dyDescent="0.25">
      <c r="B10" s="19" t="s">
        <v>75</v>
      </c>
      <c r="C10" s="101">
        <v>0.11340918865908101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82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83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84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85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86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87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88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89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8.6962663999999995E-2</v>
      </c>
    </row>
    <row r="27" spans="1:8" ht="15.75" customHeight="1" x14ac:dyDescent="0.25">
      <c r="B27" s="19" t="s">
        <v>92</v>
      </c>
      <c r="C27" s="101">
        <v>8.4363389999999993E-3</v>
      </c>
    </row>
    <row r="28" spans="1:8" ht="15.75" customHeight="1" x14ac:dyDescent="0.25">
      <c r="B28" s="19" t="s">
        <v>93</v>
      </c>
      <c r="C28" s="101">
        <v>0.15636133799999999</v>
      </c>
    </row>
    <row r="29" spans="1:8" ht="15.75" customHeight="1" x14ac:dyDescent="0.25">
      <c r="B29" s="19" t="s">
        <v>94</v>
      </c>
      <c r="C29" s="101">
        <v>0.16846973500000001</v>
      </c>
    </row>
    <row r="30" spans="1:8" ht="15.75" customHeight="1" x14ac:dyDescent="0.25">
      <c r="B30" s="19" t="s">
        <v>95</v>
      </c>
      <c r="C30" s="101">
        <v>0.10552550099999999</v>
      </c>
    </row>
    <row r="31" spans="1:8" ht="15.75" customHeight="1" x14ac:dyDescent="0.25">
      <c r="B31" s="19" t="s">
        <v>96</v>
      </c>
      <c r="C31" s="101">
        <v>0.10934719399999999</v>
      </c>
    </row>
    <row r="32" spans="1:8" ht="15.75" customHeight="1" x14ac:dyDescent="0.25">
      <c r="B32" s="19" t="s">
        <v>97</v>
      </c>
      <c r="C32" s="101">
        <v>1.8589852E-2</v>
      </c>
    </row>
    <row r="33" spans="2:3" ht="15.75" customHeight="1" x14ac:dyDescent="0.25">
      <c r="B33" s="19" t="s">
        <v>98</v>
      </c>
      <c r="C33" s="101">
        <v>8.3803687999999987E-2</v>
      </c>
    </row>
    <row r="34" spans="2:3" ht="15.75" customHeight="1" x14ac:dyDescent="0.25">
      <c r="B34" s="19" t="s">
        <v>99</v>
      </c>
      <c r="C34" s="101">
        <v>0.26250368800000001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104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105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109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110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122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52.701339651165988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39.760707816552028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330.87002329849241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0.74830143865708132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0.320544</v>
      </c>
      <c r="C10" s="98">
        <v>0.95</v>
      </c>
      <c r="D10" s="56">
        <v>12.89300726034795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12.89300726034795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12.89300726034795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12.89300726034795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0.320544</v>
      </c>
      <c r="C14" s="98">
        <v>0.95</v>
      </c>
      <c r="D14" s="56">
        <v>12.89300726034795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12.89300726034795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0.36814249999999998</v>
      </c>
      <c r="C16" s="98">
        <v>0.95</v>
      </c>
      <c r="D16" s="56">
        <v>0.59976585339175292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0.3176196</v>
      </c>
      <c r="C18" s="98">
        <v>0.95</v>
      </c>
      <c r="D18" s="56">
        <v>7.6528811752546302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0.3176196</v>
      </c>
      <c r="C19" s="98">
        <v>0.95</v>
      </c>
      <c r="D19" s="56">
        <v>7.6528811752546302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6.8385112571292028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22.18672916624363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0.2907748</v>
      </c>
      <c r="C23" s="98">
        <v>0.95</v>
      </c>
      <c r="D23" s="56">
        <v>4.204855047571205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0.419615503536932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0.320544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18.45543989933406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0.42607790000000001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0.29069230000000001</v>
      </c>
      <c r="C29" s="98">
        <v>0.95</v>
      </c>
      <c r="D29" s="56">
        <v>101.48750651619279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1.3599999999999999E-2</v>
      </c>
      <c r="C31" s="98">
        <v>0.95</v>
      </c>
      <c r="D31" s="56">
        <v>0.71812950856378532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0.05</v>
      </c>
      <c r="C32" s="98">
        <v>0.95</v>
      </c>
      <c r="D32" s="56">
        <v>1.2755455448204329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0.27094190000000001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0.27505049999999998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2.0582999999999999E-3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0.43093199999999998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5.6128394886581123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205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0.1073280355298365</v>
      </c>
      <c r="G18" s="90">
        <f>MIN(MAX(1-0.89/(1-frac_sam_12_23months+(frac_sam_12_23months*0.89)),0),1)</f>
        <v>0.10868374872593101</v>
      </c>
      <c r="H18" s="90">
        <f>MIN(MAX(1-0.89/(1-frac_sam_24_59months+(frac_sam_24_59months*0.89)),0),1)</f>
        <v>0.10933584064300905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0.10353464614828845</v>
      </c>
      <c r="G20" s="90">
        <f>MIN(MAX(1-0.89/(1-frac_mam_12_23months+(frac_mam_12_23months*0.89)),0),1)</f>
        <v>0.1049409706257054</v>
      </c>
      <c r="H20" s="90">
        <f>MIN(MAX(1-0.89/(1-frac_mam_24_59months+(frac_mam_24_59months*0.89)),0),1)</f>
        <v>0.10708018882717707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9.7305367860953673E-3</v>
      </c>
      <c r="G73" s="90">
        <f>MIN(MAX(1-0.99/(1-frac_sam_12_23months+(frac_sam_12_23months*0.99)),0),1)</f>
        <v>9.8670746547724342E-3</v>
      </c>
      <c r="H73" s="90">
        <f>MIN(MAX(1-0.99/(1-frac_sam_24_59months+(frac_sam_24_59months*0.99)),0),1)</f>
        <v>9.9328833501622915E-3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9.3504895643283792E-3</v>
      </c>
      <c r="G75" s="90">
        <f>MIN(MAX(1-0.99/(1-frac_mam_12_23months+(frac_mam_12_23months*0.99)),0),1)</f>
        <v>9.4910428204967312E-3</v>
      </c>
      <c r="H75" s="90">
        <f>MIN(MAX(1-0.99/(1-frac_mam_24_59months+(frac_mam_24_59months*0.99)),0),1)</f>
        <v>9.7056161788158235E-3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0.19562240013848153</v>
      </c>
      <c r="G128" s="90">
        <f>MIN(MAX(1-0.8/(1-frac_sam_12_23months+(frac_sam_12_23months*0.8)),0),1)</f>
        <v>0.19784621709289429</v>
      </c>
      <c r="H128" s="90">
        <f>MIN(MAX(1-0.8/(1-frac_sam_24_59months+(frac_sam_24_59months*0.8)),0),1)</f>
        <v>0.19891388744860272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0.18937035943662772</v>
      </c>
      <c r="G130" s="90">
        <f>MIN(MAX(1-0.8/(1-frac_mam_12_23months+(frac_mam_12_23months*0.8)),0),1)</f>
        <v>0.19169329060570184</v>
      </c>
      <c r="H130" s="90">
        <f>MIN(MAX(1-0.8/(1-frac_mam_24_59months+(frac_mam_24_59months*0.8)),0),1)</f>
        <v>0.19521524883612529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2024-06-18T06:54:02Z</dcterms:modified>
</cp:coreProperties>
</file>