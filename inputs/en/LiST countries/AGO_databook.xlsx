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BB67912-28FF-4587-B94B-5C525C6C3FE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8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<sst xmlns="http://schemas.openxmlformats.org/spreadsheetml/2006/main" count="2092" uniqueCount="341">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</sst>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6359012.875</v>
      </c>
    </row>
    <row r="8" spans="1:3" ht="15" customHeight="1" x14ac:dyDescent="0.25">
      <c r="B8" s="5" t="s">
        <v>8</v>
      </c>
      <c r="C8" s="44">
        <v>0.47599999999999998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1437457.0253999999</v>
      </c>
      <c r="C2" s="49">
        <v>2098000</v>
      </c>
      <c r="D2" s="49">
        <v>3100000</v>
      </c>
      <c r="E2" s="49">
        <v>2141000</v>
      </c>
      <c r="F2" s="49">
        <v>1454000</v>
      </c>
      <c r="G2" s="17">
        <f t="shared" ref="G2:G13" si="0">C2+D2+E2+F2</f>
        <v>8793000</v>
      </c>
      <c r="H2" s="17">
        <f t="shared" ref="H2:H13" si="1">(B2 + stillbirth*B2/(1000-stillbirth))/(1-abortion)</f>
        <v>1665625.5796579274</v>
      </c>
      <c r="I2" s="17">
        <f t="shared" ref="I2:I13" si="2">G2-H2</f>
        <v>7127374.4203420728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1468563.8030000001</v>
      </c>
      <c r="C3" s="50">
        <v>2169000</v>
      </c>
      <c r="D3" s="50">
        <v>3223000</v>
      </c>
      <c r="E3" s="50">
        <v>2214000</v>
      </c>
      <c r="F3" s="50">
        <v>1508000</v>
      </c>
      <c r="G3" s="17">
        <f t="shared" si="0"/>
        <v>9114000</v>
      </c>
      <c r="H3" s="17">
        <f t="shared" si="1"/>
        <v>1701669.9577198543</v>
      </c>
      <c r="I3" s="17">
        <f t="shared" si="2"/>
        <v>7412330.0422801459</v>
      </c>
    </row>
    <row r="4" spans="1:9" ht="15.75" customHeight="1" x14ac:dyDescent="0.25">
      <c r="A4" s="5">
        <f t="shared" si="3"/>
        <v>2026</v>
      </c>
      <c r="B4" s="49">
        <v>1500560.8662</v>
      </c>
      <c r="C4" s="50">
        <v>2234000</v>
      </c>
      <c r="D4" s="50">
        <v>3351000</v>
      </c>
      <c r="E4" s="50">
        <v>2287000</v>
      </c>
      <c r="F4" s="50">
        <v>1563000</v>
      </c>
      <c r="G4" s="17">
        <f t="shared" si="0"/>
        <v>9435000</v>
      </c>
      <c r="H4" s="17">
        <f t="shared" si="1"/>
        <v>1738745.9370347983</v>
      </c>
      <c r="I4" s="17">
        <f t="shared" si="2"/>
        <v>7696254.0629652012</v>
      </c>
    </row>
    <row r="5" spans="1:9" ht="15.75" customHeight="1" x14ac:dyDescent="0.25">
      <c r="A5" s="5">
        <f t="shared" si="3"/>
        <v>2027</v>
      </c>
      <c r="B5" s="49">
        <v>1532725.4476000001</v>
      </c>
      <c r="C5" s="50">
        <v>2295000</v>
      </c>
      <c r="D5" s="50">
        <v>3487000</v>
      </c>
      <c r="E5" s="50">
        <v>2362000</v>
      </c>
      <c r="F5" s="50">
        <v>1618000</v>
      </c>
      <c r="G5" s="17">
        <f t="shared" si="0"/>
        <v>9762000</v>
      </c>
      <c r="H5" s="17">
        <f t="shared" si="1"/>
        <v>1776016.0248302382</v>
      </c>
      <c r="I5" s="17">
        <f t="shared" si="2"/>
        <v>7985983.975169762</v>
      </c>
    </row>
    <row r="6" spans="1:9" ht="15.75" customHeight="1" x14ac:dyDescent="0.25">
      <c r="A6" s="5">
        <f t="shared" si="3"/>
        <v>2028</v>
      </c>
      <c r="B6" s="49">
        <v>1565029.0676</v>
      </c>
      <c r="C6" s="50">
        <v>2354000</v>
      </c>
      <c r="D6" s="50">
        <v>3627000</v>
      </c>
      <c r="E6" s="50">
        <v>2440000</v>
      </c>
      <c r="F6" s="50">
        <v>1676000</v>
      </c>
      <c r="G6" s="17">
        <f t="shared" si="0"/>
        <v>10097000</v>
      </c>
      <c r="H6" s="17">
        <f t="shared" si="1"/>
        <v>1813447.2209194405</v>
      </c>
      <c r="I6" s="17">
        <f t="shared" si="2"/>
        <v>8283552.7790805595</v>
      </c>
    </row>
    <row r="7" spans="1:9" ht="15.75" customHeight="1" x14ac:dyDescent="0.25">
      <c r="A7" s="5">
        <f t="shared" si="3"/>
        <v>2029</v>
      </c>
      <c r="B7" s="49">
        <v>1597480.0532</v>
      </c>
      <c r="C7" s="50">
        <v>2412000</v>
      </c>
      <c r="D7" s="50">
        <v>3769000</v>
      </c>
      <c r="E7" s="50">
        <v>2522000</v>
      </c>
      <c r="F7" s="50">
        <v>1737000</v>
      </c>
      <c r="G7" s="17">
        <f t="shared" si="0"/>
        <v>10440000</v>
      </c>
      <c r="H7" s="17">
        <f t="shared" si="1"/>
        <v>1851049.174052913</v>
      </c>
      <c r="I7" s="17">
        <f t="shared" si="2"/>
        <v>8588950.8259470873</v>
      </c>
    </row>
    <row r="8" spans="1:9" ht="15.75" customHeight="1" x14ac:dyDescent="0.25">
      <c r="A8" s="5">
        <f t="shared" si="3"/>
        <v>2030</v>
      </c>
      <c r="B8" s="49">
        <v>1629975.96</v>
      </c>
      <c r="C8" s="50">
        <v>2473000</v>
      </c>
      <c r="D8" s="50">
        <v>3909000</v>
      </c>
      <c r="E8" s="50">
        <v>2612000</v>
      </c>
      <c r="F8" s="50">
        <v>1799000</v>
      </c>
      <c r="G8" s="17">
        <f t="shared" si="0"/>
        <v>10793000</v>
      </c>
      <c r="H8" s="17">
        <f t="shared" si="1"/>
        <v>1888703.1787597307</v>
      </c>
      <c r="I8" s="17">
        <f t="shared" si="2"/>
        <v>8904296.8212402686</v>
      </c>
    </row>
    <row r="9" spans="1:9" ht="15.75" customHeight="1" x14ac:dyDescent="0.25">
      <c r="A9" s="5">
        <f t="shared" si="3"/>
        <v>2031</v>
      </c>
      <c r="B9" s="49">
        <v>1657478.6649428571</v>
      </c>
      <c r="C9" s="50">
        <v>2526571.4285714291</v>
      </c>
      <c r="D9" s="50">
        <v>4024571.4285714291</v>
      </c>
      <c r="E9" s="50">
        <v>2679285.7142857141</v>
      </c>
      <c r="F9" s="50">
        <v>1848285.7142857141</v>
      </c>
      <c r="G9" s="17">
        <f t="shared" si="0"/>
        <v>11078714.285714287</v>
      </c>
      <c r="H9" s="17">
        <f t="shared" si="1"/>
        <v>1920571.4072028452</v>
      </c>
      <c r="I9" s="17">
        <f t="shared" si="2"/>
        <v>9158142.8785114419</v>
      </c>
    </row>
    <row r="10" spans="1:9" ht="15.75" customHeight="1" x14ac:dyDescent="0.25">
      <c r="A10" s="5">
        <f t="shared" si="3"/>
        <v>2032</v>
      </c>
      <c r="B10" s="49">
        <v>1684466.502363265</v>
      </c>
      <c r="C10" s="50">
        <v>2577653.0612244899</v>
      </c>
      <c r="D10" s="50">
        <v>4139081.6326530608</v>
      </c>
      <c r="E10" s="50">
        <v>2745755.1020408161</v>
      </c>
      <c r="F10" s="50">
        <v>1896897.9591836741</v>
      </c>
      <c r="G10" s="17">
        <f t="shared" si="0"/>
        <v>11359387.755102042</v>
      </c>
      <c r="H10" s="17">
        <f t="shared" si="1"/>
        <v>1951843.0428432724</v>
      </c>
      <c r="I10" s="17">
        <f t="shared" si="2"/>
        <v>9407544.7122587692</v>
      </c>
    </row>
    <row r="11" spans="1:9" ht="15.75" customHeight="1" x14ac:dyDescent="0.25">
      <c r="A11" s="5">
        <f t="shared" si="3"/>
        <v>2033</v>
      </c>
      <c r="B11" s="49">
        <v>1710738.7361008751</v>
      </c>
      <c r="C11" s="50">
        <v>2626746.3556851312</v>
      </c>
      <c r="D11" s="50">
        <v>4251664.7230320703</v>
      </c>
      <c r="E11" s="50">
        <v>2811291.545189504</v>
      </c>
      <c r="F11" s="50">
        <v>1944597.6676384839</v>
      </c>
      <c r="G11" s="17">
        <f t="shared" si="0"/>
        <v>11634300.29154519</v>
      </c>
      <c r="H11" s="17">
        <f t="shared" si="1"/>
        <v>1982285.4865301982</v>
      </c>
      <c r="I11" s="17">
        <f t="shared" si="2"/>
        <v>9652014.8050149921</v>
      </c>
    </row>
    <row r="12" spans="1:9" ht="15.75" customHeight="1" x14ac:dyDescent="0.25">
      <c r="A12" s="5">
        <f t="shared" si="3"/>
        <v>2034</v>
      </c>
      <c r="B12" s="49">
        <v>1736169.2058867139</v>
      </c>
      <c r="C12" s="50">
        <v>2674138.6922115791</v>
      </c>
      <c r="D12" s="50">
        <v>4360902.5406080801</v>
      </c>
      <c r="E12" s="50">
        <v>2875476.0516451481</v>
      </c>
      <c r="F12" s="50">
        <v>1991254.4773011249</v>
      </c>
      <c r="G12" s="17">
        <f t="shared" si="0"/>
        <v>11901771.761765933</v>
      </c>
      <c r="H12" s="17">
        <f t="shared" si="1"/>
        <v>2011752.5524873347</v>
      </c>
      <c r="I12" s="17">
        <f t="shared" si="2"/>
        <v>9890019.2092785984</v>
      </c>
    </row>
    <row r="13" spans="1:9" ht="15.75" customHeight="1" x14ac:dyDescent="0.25">
      <c r="A13" s="5">
        <f t="shared" si="3"/>
        <v>2035</v>
      </c>
      <c r="B13" s="49">
        <v>1760617.79707053</v>
      </c>
      <c r="C13" s="50">
        <v>2719872.7910989472</v>
      </c>
      <c r="D13" s="50">
        <v>4465745.760694949</v>
      </c>
      <c r="E13" s="50">
        <v>2937686.9161658832</v>
      </c>
      <c r="F13" s="50">
        <v>2036290.8312012849</v>
      </c>
      <c r="G13" s="17">
        <f t="shared" si="0"/>
        <v>12159596.299161064</v>
      </c>
      <c r="H13" s="17">
        <f t="shared" si="1"/>
        <v>2040081.8855684623</v>
      </c>
      <c r="I13" s="17">
        <f t="shared" si="2"/>
        <v>10119514.413592601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0.200477149479665</v>
      </c>
      <c r="C2" s="98">
        <v>0.95</v>
      </c>
      <c r="D2" s="56">
        <v>52.701339651165988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39.760707816552028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330.87002329849241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0.7053458748770679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12.89300726034795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12.89300726034795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12.89300726034795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12.89300726034795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12.89300726034795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12.89300726034795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0.43093806748000002</v>
      </c>
      <c r="C16" s="98">
        <v>0.95</v>
      </c>
      <c r="D16" s="56">
        <v>0.59976585339175292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7.6528811752546302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7.6528811752546302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0.27505049999999998</v>
      </c>
      <c r="C21" s="98">
        <v>0.95</v>
      </c>
      <c r="D21" s="56">
        <v>6.8385112571292028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2.0582999999999999E-3</v>
      </c>
      <c r="C23" s="98">
        <v>0.95</v>
      </c>
      <c r="D23" s="56">
        <v>4.204855047571205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0.36172965988460198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0.17784070192033499</v>
      </c>
      <c r="C27" s="98">
        <v>0.95</v>
      </c>
      <c r="D27" s="56">
        <v>18.45543989933406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0.42607790000000001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101.48750651619279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1.3599999999999999E-2</v>
      </c>
      <c r="C31" s="98">
        <v>0.95</v>
      </c>
      <c r="D31" s="56">
        <v>0.71812950856378532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0.3176196</v>
      </c>
      <c r="C32" s="98">
        <v>0.95</v>
      </c>
      <c r="D32" s="56">
        <v>1.2755455448204329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0.52177280000000004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0.05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5.6128394886581123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0.29069230000000001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205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0.85859728506787336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2024-03-28T03:03:39Z</dcterms:modified>
</cp:coreProperties>
</file>