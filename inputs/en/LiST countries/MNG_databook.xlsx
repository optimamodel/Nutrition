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B3499A8D-259E-4A5F-BA4B-9AFBC6A863F5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H38" i="2"/>
  <c r="G38" i="2"/>
  <c r="I38" i="2" s="1"/>
  <c r="A36" i="2"/>
  <c r="A35" i="2"/>
  <c r="A28" i="2"/>
  <c r="A27" i="2"/>
  <c r="A20" i="2"/>
  <c r="A19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A21" i="2" l="1"/>
  <c r="A29" i="2"/>
  <c r="A37" i="2"/>
  <c r="A4" i="2"/>
  <c r="A14" i="2"/>
  <c r="A22" i="2"/>
  <c r="A30" i="2"/>
  <c r="A38" i="2"/>
  <c r="A40" i="2"/>
  <c r="A15" i="2"/>
  <c r="A23" i="2"/>
  <c r="A31" i="2"/>
  <c r="A24" i="2"/>
  <c r="A16" i="2"/>
  <c r="A32" i="2"/>
  <c r="A17" i="2"/>
  <c r="A25" i="2"/>
  <c r="A33" i="2"/>
  <c r="A3" i="2"/>
  <c r="A5" i="2"/>
  <c r="A6" i="2" s="1"/>
  <c r="A7" i="2" s="1"/>
  <c r="A8" i="2" s="1"/>
  <c r="A9" i="2" s="1"/>
  <c r="A10" i="2" s="1"/>
  <c r="A11" i="2" s="1"/>
  <c r="A12" i="2" s="1"/>
  <c r="A13" i="2" s="1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<sst xmlns="http://schemas.openxmlformats.org/spreadsheetml/2006/main" count="2094" uniqueCount="341">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</sst>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347577.7421875</v>
      </c>
    </row>
    <row r="8" spans="1:3" ht="15" customHeight="1" x14ac:dyDescent="0.25">
      <c r="B8" s="5" t="s">
        <v>8</v>
      </c>
      <c r="C8" s="44">
        <v>5.0000000000000001E-3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0.81408699039999999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0.317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7.1399999999999991E-2</v>
      </c>
    </row>
    <row r="24" spans="1:3" ht="15" customHeight="1" x14ac:dyDescent="0.25">
      <c r="B24" s="15" t="s">
        <v>22</v>
      </c>
      <c r="C24" s="45">
        <v>0.52029999999999998</v>
      </c>
    </row>
    <row r="25" spans="1:3" ht="15" customHeight="1" x14ac:dyDescent="0.25">
      <c r="B25" s="15" t="s">
        <v>23</v>
      </c>
      <c r="C25" s="45">
        <v>0.36659999999999998</v>
      </c>
    </row>
    <row r="26" spans="1:3" ht="15" customHeight="1" x14ac:dyDescent="0.25">
      <c r="B26" s="15" t="s">
        <v>24</v>
      </c>
      <c r="C26" s="45">
        <v>4.1700000000000001E-2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0.57290349526853401</v>
      </c>
    </row>
    <row r="30" spans="1:3" ht="14.25" customHeight="1" x14ac:dyDescent="0.25">
      <c r="B30" s="25" t="s">
        <v>27</v>
      </c>
      <c r="C30" s="99">
        <v>2.97816918362898E-2</v>
      </c>
    </row>
    <row r="31" spans="1:3" ht="14.25" customHeight="1" x14ac:dyDescent="0.25">
      <c r="B31" s="25" t="s">
        <v>28</v>
      </c>
      <c r="C31" s="99">
        <v>2.5306962187057899E-2</v>
      </c>
    </row>
    <row r="32" spans="1:3" ht="14.25" customHeight="1" x14ac:dyDescent="0.25">
      <c r="B32" s="25" t="s">
        <v>29</v>
      </c>
      <c r="C32" s="99">
        <v>0.37200785070811798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7.5434400000000004</v>
      </c>
    </row>
    <row r="38" spans="1:5" ht="15" customHeight="1" x14ac:dyDescent="0.25">
      <c r="B38" s="11" t="s">
        <v>34</v>
      </c>
      <c r="C38" s="43">
        <v>12.68064</v>
      </c>
      <c r="D38" s="12"/>
      <c r="E38" s="13"/>
    </row>
    <row r="39" spans="1:5" ht="15" customHeight="1" x14ac:dyDescent="0.25">
      <c r="B39" s="11" t="s">
        <v>35</v>
      </c>
      <c r="C39" s="43">
        <v>14.734360000000001</v>
      </c>
      <c r="D39" s="12"/>
      <c r="E39" s="12"/>
    </row>
    <row r="40" spans="1:5" ht="15" customHeight="1" x14ac:dyDescent="0.25">
      <c r="B40" s="11" t="s">
        <v>36</v>
      </c>
      <c r="C40" s="100">
        <v>0.39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4.3900499999999996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5.1263999999999997E-3</v>
      </c>
      <c r="D45" s="12"/>
    </row>
    <row r="46" spans="1:5" ht="15.75" customHeight="1" x14ac:dyDescent="0.25">
      <c r="B46" s="11" t="s">
        <v>41</v>
      </c>
      <c r="C46" s="45">
        <v>5.5082600000000002E-2</v>
      </c>
      <c r="D46" s="12"/>
    </row>
    <row r="47" spans="1:5" ht="15.75" customHeight="1" x14ac:dyDescent="0.25">
      <c r="B47" s="11" t="s">
        <v>42</v>
      </c>
      <c r="C47" s="45">
        <v>7.6126699999999992E-2</v>
      </c>
      <c r="D47" s="12"/>
      <c r="E47" s="13"/>
    </row>
    <row r="48" spans="1:5" ht="15" customHeight="1" x14ac:dyDescent="0.25">
      <c r="B48" s="11" t="s">
        <v>43</v>
      </c>
      <c r="C48" s="46">
        <v>0.86366429999999994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0.58909100000000003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5.3733958999999998E-2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65476</v>
      </c>
      <c r="C2" s="49">
        <v>162396.5</v>
      </c>
      <c r="D2" s="49">
        <v>224997</v>
      </c>
      <c r="E2" s="49">
        <v>277523.5</v>
      </c>
      <c r="F2" s="49">
        <v>201664</v>
      </c>
      <c r="G2" s="17">
        <f t="shared" ref="G2:G13" si="0">C2+D2+E2+F2</f>
        <v>866581</v>
      </c>
      <c r="H2" s="17">
        <f t="shared" ref="H2:H13" si="1">(B2 + stillbirth*B2/(1000-stillbirth))/(1-abortion)</f>
        <v>74732.625416756287</v>
      </c>
      <c r="I2" s="17">
        <f t="shared" ref="I2:I13" si="2">G2-H2</f>
        <v>791848.37458324374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63702</v>
      </c>
      <c r="C3" s="50">
        <v>174536</v>
      </c>
      <c r="D3" s="50">
        <v>222133</v>
      </c>
      <c r="E3" s="50">
        <v>274496</v>
      </c>
      <c r="F3" s="50">
        <v>205274.5</v>
      </c>
      <c r="G3" s="17">
        <f t="shared" si="0"/>
        <v>876439.5</v>
      </c>
      <c r="H3" s="17">
        <f t="shared" si="1"/>
        <v>72707.82736114315</v>
      </c>
      <c r="I3" s="17">
        <f t="shared" si="2"/>
        <v>803731.67263885681</v>
      </c>
    </row>
    <row r="4" spans="1:9" ht="15.75" customHeight="1" x14ac:dyDescent="0.25">
      <c r="A4" s="5">
        <f t="shared" si="3"/>
        <v>2026</v>
      </c>
      <c r="B4" s="49">
        <v>62305</v>
      </c>
      <c r="C4" s="50">
        <v>187452.5</v>
      </c>
      <c r="D4" s="50">
        <v>220866.5</v>
      </c>
      <c r="E4" s="50">
        <v>269835</v>
      </c>
      <c r="F4" s="50">
        <v>210287.5</v>
      </c>
      <c r="G4" s="17">
        <f t="shared" si="0"/>
        <v>888441.5</v>
      </c>
      <c r="H4" s="17">
        <f t="shared" si="1"/>
        <v>71113.327426705975</v>
      </c>
      <c r="I4" s="17">
        <f t="shared" si="2"/>
        <v>817328.17257329402</v>
      </c>
    </row>
    <row r="5" spans="1:9" ht="15.75" customHeight="1" x14ac:dyDescent="0.25">
      <c r="A5" s="5">
        <f t="shared" si="3"/>
        <v>2027</v>
      </c>
      <c r="B5" s="49">
        <v>60966</v>
      </c>
      <c r="C5" s="50">
        <v>199906</v>
      </c>
      <c r="D5" s="50">
        <v>223107</v>
      </c>
      <c r="E5" s="50">
        <v>263906.5</v>
      </c>
      <c r="F5" s="50">
        <v>216329</v>
      </c>
      <c r="G5" s="17">
        <f t="shared" si="0"/>
        <v>903248.5</v>
      </c>
      <c r="H5" s="17">
        <f t="shared" si="1"/>
        <v>69585.027203218939</v>
      </c>
      <c r="I5" s="17">
        <f t="shared" si="2"/>
        <v>833663.4727967811</v>
      </c>
    </row>
    <row r="6" spans="1:9" ht="15.75" customHeight="1" x14ac:dyDescent="0.25">
      <c r="A6" s="5">
        <f t="shared" si="3"/>
        <v>2028</v>
      </c>
      <c r="B6" s="49">
        <v>60335</v>
      </c>
      <c r="C6" s="50">
        <v>210356</v>
      </c>
      <c r="D6" s="50">
        <v>229203.5</v>
      </c>
      <c r="E6" s="50">
        <v>257094</v>
      </c>
      <c r="F6" s="50">
        <v>222191.5</v>
      </c>
      <c r="G6" s="17">
        <f t="shared" si="0"/>
        <v>918845</v>
      </c>
      <c r="H6" s="17">
        <f t="shared" si="1"/>
        <v>68864.82000305441</v>
      </c>
      <c r="I6" s="17">
        <f t="shared" si="2"/>
        <v>849980.17999694555</v>
      </c>
    </row>
    <row r="7" spans="1:9" ht="15.75" customHeight="1" x14ac:dyDescent="0.25">
      <c r="A7" s="5">
        <f t="shared" si="3"/>
        <v>2029</v>
      </c>
      <c r="B7" s="49">
        <v>60055</v>
      </c>
      <c r="C7" s="50">
        <v>218570</v>
      </c>
      <c r="D7" s="50">
        <v>237810.5</v>
      </c>
      <c r="E7" s="50">
        <v>249164.5</v>
      </c>
      <c r="F7" s="50">
        <v>228233</v>
      </c>
      <c r="G7" s="17">
        <f t="shared" si="0"/>
        <v>933778</v>
      </c>
      <c r="H7" s="17">
        <f t="shared" si="1"/>
        <v>68545.23519157093</v>
      </c>
      <c r="I7" s="17">
        <f t="shared" si="2"/>
        <v>865232.76480842906</v>
      </c>
    </row>
    <row r="8" spans="1:9" ht="15.75" customHeight="1" x14ac:dyDescent="0.25">
      <c r="A8" s="5">
        <f t="shared" si="3"/>
        <v>2030</v>
      </c>
      <c r="B8" s="49">
        <v>60039</v>
      </c>
      <c r="C8" s="50">
        <v>225024</v>
      </c>
      <c r="D8" s="50">
        <v>247546</v>
      </c>
      <c r="E8" s="50">
        <v>241150</v>
      </c>
      <c r="F8" s="50">
        <v>235417.5</v>
      </c>
      <c r="G8" s="17">
        <f t="shared" si="0"/>
        <v>949137.5</v>
      </c>
      <c r="H8" s="17">
        <f t="shared" si="1"/>
        <v>68526.973202343317</v>
      </c>
      <c r="I8" s="17">
        <f t="shared" si="2"/>
        <v>880610.52679765667</v>
      </c>
    </row>
    <row r="9" spans="1:9" ht="15.75" customHeight="1" x14ac:dyDescent="0.25">
      <c r="A9" s="5">
        <f t="shared" si="3"/>
        <v>2031</v>
      </c>
      <c r="B9" s="49">
        <v>60247</v>
      </c>
      <c r="C9" s="50">
        <v>229491</v>
      </c>
      <c r="D9" s="50">
        <v>258646</v>
      </c>
      <c r="E9" s="50">
        <v>233831.5</v>
      </c>
      <c r="F9" s="50">
        <v>242222.5</v>
      </c>
      <c r="G9" s="17">
        <f t="shared" si="0"/>
        <v>964191</v>
      </c>
      <c r="H9" s="17">
        <f t="shared" si="1"/>
        <v>68764.379062302469</v>
      </c>
      <c r="I9" s="17">
        <f t="shared" si="2"/>
        <v>895426.62093769759</v>
      </c>
    </row>
    <row r="10" spans="1:9" ht="15.75" customHeight="1" x14ac:dyDescent="0.25">
      <c r="A10" s="5">
        <f t="shared" si="3"/>
        <v>2032</v>
      </c>
      <c r="B10" s="49">
        <v>60873</v>
      </c>
      <c r="C10" s="50">
        <v>231497</v>
      </c>
      <c r="D10" s="50">
        <v>272377.5</v>
      </c>
      <c r="E10" s="50">
        <v>227721.5</v>
      </c>
      <c r="F10" s="50">
        <v>247682</v>
      </c>
      <c r="G10" s="17">
        <f t="shared" si="0"/>
        <v>979278</v>
      </c>
      <c r="H10" s="17">
        <f t="shared" si="1"/>
        <v>69478.879390833361</v>
      </c>
      <c r="I10" s="17">
        <f t="shared" si="2"/>
        <v>909799.12060916668</v>
      </c>
    </row>
    <row r="11" spans="1:9" ht="15.75" customHeight="1" x14ac:dyDescent="0.25">
      <c r="A11" s="5">
        <f t="shared" si="3"/>
        <v>2033</v>
      </c>
      <c r="B11" s="49">
        <v>61771</v>
      </c>
      <c r="C11" s="50">
        <v>230856</v>
      </c>
      <c r="D11" s="50">
        <v>288810</v>
      </c>
      <c r="E11" s="50">
        <v>224370.5</v>
      </c>
      <c r="F11" s="50">
        <v>250979.50000000009</v>
      </c>
      <c r="G11" s="17">
        <f t="shared" si="0"/>
        <v>995016.00000000012</v>
      </c>
      <c r="H11" s="17">
        <f t="shared" si="1"/>
        <v>70503.833536233928</v>
      </c>
      <c r="I11" s="17">
        <f t="shared" si="2"/>
        <v>924512.16646376625</v>
      </c>
    </row>
    <row r="12" spans="1:9" ht="15.75" customHeight="1" x14ac:dyDescent="0.25">
      <c r="A12" s="5">
        <f t="shared" si="3"/>
        <v>2034</v>
      </c>
      <c r="B12" s="49">
        <v>62801</v>
      </c>
      <c r="C12" s="50">
        <v>227737</v>
      </c>
      <c r="D12" s="50">
        <v>306788.5</v>
      </c>
      <c r="E12" s="50">
        <v>222056.5</v>
      </c>
      <c r="F12" s="50">
        <v>249932.99999999991</v>
      </c>
      <c r="G12" s="17">
        <f t="shared" si="0"/>
        <v>1006514.9999999999</v>
      </c>
      <c r="H12" s="17">
        <f t="shared" si="1"/>
        <v>71679.449092762399</v>
      </c>
      <c r="I12" s="17">
        <f t="shared" si="2"/>
        <v>934835.55090723746</v>
      </c>
    </row>
    <row r="13" spans="1:9" ht="15.75" customHeight="1" x14ac:dyDescent="0.25">
      <c r="A13" s="5">
        <f t="shared" si="3"/>
        <v>2035</v>
      </c>
      <c r="B13" s="49">
        <v>63944</v>
      </c>
      <c r="C13" s="50">
        <v>223102.5</v>
      </c>
      <c r="D13" s="50">
        <v>324836.5</v>
      </c>
      <c r="E13" s="50">
        <v>219251</v>
      </c>
      <c r="F13" s="50">
        <v>246180.5</v>
      </c>
      <c r="G13" s="17">
        <f t="shared" si="0"/>
        <v>1013370.5</v>
      </c>
      <c r="H13" s="17">
        <f t="shared" si="1"/>
        <v>72984.039948211008</v>
      </c>
      <c r="I13" s="17">
        <f t="shared" si="2"/>
        <v>940386.46005178895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1.6324242095127591E-3</v>
      </c>
    </row>
    <row r="4" spans="1:8" ht="15.75" customHeight="1" x14ac:dyDescent="0.25">
      <c r="B4" s="19" t="s">
        <v>69</v>
      </c>
      <c r="C4" s="101">
        <v>5.2081731825269262E-2</v>
      </c>
    </row>
    <row r="5" spans="1:8" ht="15.75" customHeight="1" x14ac:dyDescent="0.25">
      <c r="B5" s="19" t="s">
        <v>70</v>
      </c>
      <c r="C5" s="101">
        <v>2.9863691848466541E-2</v>
      </c>
    </row>
    <row r="6" spans="1:8" ht="15.75" customHeight="1" x14ac:dyDescent="0.25">
      <c r="B6" s="19" t="s">
        <v>71</v>
      </c>
      <c r="C6" s="101">
        <v>0.1698753019698051</v>
      </c>
    </row>
    <row r="7" spans="1:8" ht="15.75" customHeight="1" x14ac:dyDescent="0.25">
      <c r="B7" s="19" t="s">
        <v>72</v>
      </c>
      <c r="C7" s="101">
        <v>0.43394349674221139</v>
      </c>
    </row>
    <row r="8" spans="1:8" ht="15.75" customHeight="1" x14ac:dyDescent="0.25">
      <c r="B8" s="19" t="s">
        <v>73</v>
      </c>
      <c r="C8" s="101">
        <v>2.0875893861734139E-3</v>
      </c>
    </row>
    <row r="9" spans="1:8" ht="15.75" customHeight="1" x14ac:dyDescent="0.25">
      <c r="B9" s="19" t="s">
        <v>74</v>
      </c>
      <c r="C9" s="101">
        <v>0.22483110229985301</v>
      </c>
    </row>
    <row r="10" spans="1:8" ht="15.75" customHeight="1" x14ac:dyDescent="0.25">
      <c r="B10" s="19" t="s">
        <v>75</v>
      </c>
      <c r="C10" s="101">
        <v>8.5684661718708532E-2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6.6361337214707369E-2</v>
      </c>
      <c r="D14" s="55">
        <v>6.6361337214707369E-2</v>
      </c>
      <c r="E14" s="55">
        <v>6.6361337214707369E-2</v>
      </c>
      <c r="F14" s="55">
        <v>6.6361337214707369E-2</v>
      </c>
    </row>
    <row r="15" spans="1:8" ht="15.75" customHeight="1" x14ac:dyDescent="0.25">
      <c r="B15" s="19" t="s">
        <v>82</v>
      </c>
      <c r="C15" s="101">
        <v>0.21836907904839739</v>
      </c>
      <c r="D15" s="101">
        <v>0.21836907904839739</v>
      </c>
      <c r="E15" s="101">
        <v>0.21836907904839739</v>
      </c>
      <c r="F15" s="101">
        <v>0.21836907904839739</v>
      </c>
    </row>
    <row r="16" spans="1:8" ht="15.75" customHeight="1" x14ac:dyDescent="0.25">
      <c r="B16" s="19" t="s">
        <v>83</v>
      </c>
      <c r="C16" s="101">
        <v>1.308218753544084E-2</v>
      </c>
      <c r="D16" s="101">
        <v>1.308218753544084E-2</v>
      </c>
      <c r="E16" s="101">
        <v>1.308218753544084E-2</v>
      </c>
      <c r="F16" s="101">
        <v>1.308218753544084E-2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2.0020932136408709E-2</v>
      </c>
      <c r="D19" s="101">
        <v>2.0020932136408709E-2</v>
      </c>
      <c r="E19" s="101">
        <v>2.0020932136408709E-2</v>
      </c>
      <c r="F19" s="101">
        <v>2.0020932136408709E-2</v>
      </c>
    </row>
    <row r="20" spans="1:8" ht="15.75" customHeight="1" x14ac:dyDescent="0.25">
      <c r="B20" s="19" t="s">
        <v>87</v>
      </c>
      <c r="C20" s="101">
        <v>2.5184264166931238E-3</v>
      </c>
      <c r="D20" s="101">
        <v>2.5184264166931238E-3</v>
      </c>
      <c r="E20" s="101">
        <v>2.5184264166931238E-3</v>
      </c>
      <c r="F20" s="101">
        <v>2.5184264166931238E-3</v>
      </c>
    </row>
    <row r="21" spans="1:8" ht="15.75" customHeight="1" x14ac:dyDescent="0.25">
      <c r="B21" s="19" t="s">
        <v>88</v>
      </c>
      <c r="C21" s="101">
        <v>0.53474700150377652</v>
      </c>
      <c r="D21" s="101">
        <v>0.53474700150377652</v>
      </c>
      <c r="E21" s="101">
        <v>0.53474700150377652</v>
      </c>
      <c r="F21" s="101">
        <v>0.53474700150377652</v>
      </c>
    </row>
    <row r="22" spans="1:8" ht="15.75" customHeight="1" x14ac:dyDescent="0.25">
      <c r="B22" s="19" t="s">
        <v>89</v>
      </c>
      <c r="C22" s="101">
        <v>0.144901036144576</v>
      </c>
      <c r="D22" s="101">
        <v>0.144901036144576</v>
      </c>
      <c r="E22" s="101">
        <v>0.144901036144576</v>
      </c>
      <c r="F22" s="101">
        <v>0.144901036144576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4.767842600000001E-2</v>
      </c>
    </row>
    <row r="27" spans="1:8" ht="15.75" customHeight="1" x14ac:dyDescent="0.25">
      <c r="B27" s="19" t="s">
        <v>92</v>
      </c>
      <c r="C27" s="101">
        <v>1.8794775E-2</v>
      </c>
    </row>
    <row r="28" spans="1:8" ht="15.75" customHeight="1" x14ac:dyDescent="0.25">
      <c r="B28" s="19" t="s">
        <v>93</v>
      </c>
      <c r="C28" s="101">
        <v>0.23166139099999999</v>
      </c>
    </row>
    <row r="29" spans="1:8" ht="15.75" customHeight="1" x14ac:dyDescent="0.25">
      <c r="B29" s="19" t="s">
        <v>94</v>
      </c>
      <c r="C29" s="101">
        <v>0.138538992</v>
      </c>
    </row>
    <row r="30" spans="1:8" ht="15.75" customHeight="1" x14ac:dyDescent="0.25">
      <c r="B30" s="19" t="s">
        <v>95</v>
      </c>
      <c r="C30" s="101">
        <v>5.0761070999999998E-2</v>
      </c>
    </row>
    <row r="31" spans="1:8" ht="15.75" customHeight="1" x14ac:dyDescent="0.25">
      <c r="B31" s="19" t="s">
        <v>96</v>
      </c>
      <c r="C31" s="101">
        <v>7.0366394999999998E-2</v>
      </c>
    </row>
    <row r="32" spans="1:8" ht="15.75" customHeight="1" x14ac:dyDescent="0.25">
      <c r="B32" s="19" t="s">
        <v>97</v>
      </c>
      <c r="C32" s="101">
        <v>0.147583886</v>
      </c>
    </row>
    <row r="33" spans="2:3" ht="15.75" customHeight="1" x14ac:dyDescent="0.25">
      <c r="B33" s="19" t="s">
        <v>98</v>
      </c>
      <c r="C33" s="101">
        <v>0.122079576</v>
      </c>
    </row>
    <row r="34" spans="2:3" ht="15.75" customHeight="1" x14ac:dyDescent="0.25">
      <c r="B34" s="19" t="s">
        <v>99</v>
      </c>
      <c r="C34" s="101">
        <v>0.17253548899999999</v>
      </c>
    </row>
    <row r="35" spans="2:3" ht="15.75" customHeight="1" x14ac:dyDescent="0.25">
      <c r="B35" s="27" t="s">
        <v>30</v>
      </c>
      <c r="C35" s="48">
        <f>SUM(C26:C34)</f>
        <v>1.0000000009999999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0.82677451285693104</v>
      </c>
      <c r="D2" s="52">
        <f>IFERROR(1-_xlfn.NORM.DIST(_xlfn.NORM.INV(SUM(D4:D5), 0, 1) + 1, 0, 1, TRUE), "")</f>
        <v>0.82677451285693104</v>
      </c>
      <c r="E2" s="52">
        <f>IFERROR(1-_xlfn.NORM.DIST(_xlfn.NORM.INV(SUM(E4:E5), 0, 1) + 1, 0, 1, TRUE), "")</f>
        <v>0.73580179304021121</v>
      </c>
      <c r="F2" s="52">
        <f>IFERROR(1-_xlfn.NORM.DIST(_xlfn.NORM.INV(SUM(F4:F5), 0, 1) + 1, 0, 1, TRUE), "")</f>
        <v>0.59718903209489982</v>
      </c>
      <c r="G2" s="52">
        <f>IFERROR(1-_xlfn.NORM.DIST(_xlfn.NORM.INV(SUM(G4:G5), 0, 1) + 1, 0, 1, TRUE), "")</f>
        <v>0.59272414470640378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0.14712638714306897</v>
      </c>
      <c r="D3" s="52">
        <f>IFERROR(_xlfn.NORM.DIST(_xlfn.NORM.INV(SUM(D4:D5), 0, 1) + 1, 0, 1, TRUE) - SUM(D4:D5), "")</f>
        <v>0.14712638714306897</v>
      </c>
      <c r="E3" s="52">
        <f>IFERROR(_xlfn.NORM.DIST(_xlfn.NORM.INV(SUM(E4:E5), 0, 1) + 1, 0, 1, TRUE) - SUM(E4:E5), "")</f>
        <v>0.21269560695978879</v>
      </c>
      <c r="F3" s="52">
        <f>IFERROR(_xlfn.NORM.DIST(_xlfn.NORM.INV(SUM(F4:F5), 0, 1) + 1, 0, 1, TRUE) - SUM(F4:F5), "")</f>
        <v>0.29644306790510022</v>
      </c>
      <c r="G3" s="52">
        <f>IFERROR(_xlfn.NORM.DIST(_xlfn.NORM.INV(SUM(G4:G5), 0, 1) + 1, 0, 1, TRUE) - SUM(G4:G5), "")</f>
        <v>0.2987783552935962</v>
      </c>
    </row>
    <row r="4" spans="1:15" ht="15.75" customHeight="1" x14ac:dyDescent="0.25">
      <c r="B4" s="5" t="s">
        <v>104</v>
      </c>
      <c r="C4" s="45">
        <v>1.71889E-2</v>
      </c>
      <c r="D4" s="53">
        <v>1.71889E-2</v>
      </c>
      <c r="E4" s="53">
        <v>4.38225E-2</v>
      </c>
      <c r="F4" s="53">
        <v>6.8661399999999997E-2</v>
      </c>
      <c r="G4" s="53">
        <v>8.4373799999999999E-2</v>
      </c>
    </row>
    <row r="5" spans="1:15" ht="15.75" customHeight="1" x14ac:dyDescent="0.25">
      <c r="B5" s="5" t="s">
        <v>105</v>
      </c>
      <c r="C5" s="45">
        <v>8.9102000000000001E-3</v>
      </c>
      <c r="D5" s="53">
        <v>8.9102000000000001E-3</v>
      </c>
      <c r="E5" s="53">
        <v>7.6800999999999996E-3</v>
      </c>
      <c r="F5" s="53">
        <v>3.7706499999999997E-2</v>
      </c>
      <c r="G5" s="53">
        <v>2.4123700000000001E-2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0.7944296436409517</v>
      </c>
      <c r="D8" s="52">
        <f>IFERROR(1-_xlfn.NORM.DIST(_xlfn.NORM.INV(SUM(D10:D11), 0, 1) + 1, 0, 1, TRUE), "")</f>
        <v>0.7944296436409517</v>
      </c>
      <c r="E8" s="52">
        <f>IFERROR(1-_xlfn.NORM.DIST(_xlfn.NORM.INV(SUM(E10:E11), 0, 1) + 1, 0, 1, TRUE), "")</f>
        <v>0.90879959268577404</v>
      </c>
      <c r="F8" s="52">
        <f>IFERROR(1-_xlfn.NORM.DIST(_xlfn.NORM.INV(SUM(F10:F11), 0, 1) + 1, 0, 1, TRUE), "")</f>
        <v>0.9308992772175364</v>
      </c>
      <c r="G8" s="52">
        <f>IFERROR(1-_xlfn.NORM.DIST(_xlfn.NORM.INV(SUM(G10:G11), 0, 1) + 1, 0, 1, TRUE), "")</f>
        <v>0.93706495298543968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0.17133435635904826</v>
      </c>
      <c r="D9" s="52">
        <f>IFERROR(_xlfn.NORM.DIST(_xlfn.NORM.INV(SUM(D10:D11), 0, 1) + 1, 0, 1, TRUE) - SUM(D10:D11), "")</f>
        <v>0.17133435635904826</v>
      </c>
      <c r="E9" s="52">
        <f>IFERROR(_xlfn.NORM.DIST(_xlfn.NORM.INV(SUM(E10:E11), 0, 1) + 1, 0, 1, TRUE) - SUM(E10:E11), "")</f>
        <v>8.1386807314225956E-2</v>
      </c>
      <c r="F9" s="52">
        <f>IFERROR(_xlfn.NORM.DIST(_xlfn.NORM.INV(SUM(F10:F11), 0, 1) + 1, 0, 1, TRUE) - SUM(F10:F11), "")</f>
        <v>6.2577922782463602E-2</v>
      </c>
      <c r="G9" s="52">
        <f>IFERROR(_xlfn.NORM.DIST(_xlfn.NORM.INV(SUM(G10:G11), 0, 1) + 1, 0, 1, TRUE) - SUM(G10:G11), "")</f>
        <v>5.7241547014560343E-2</v>
      </c>
    </row>
    <row r="10" spans="1:15" ht="15.75" customHeight="1" x14ac:dyDescent="0.25">
      <c r="B10" s="5" t="s">
        <v>109</v>
      </c>
      <c r="C10" s="45">
        <v>2.67201E-2</v>
      </c>
      <c r="D10" s="53">
        <v>2.67201E-2</v>
      </c>
      <c r="E10" s="53">
        <v>2.8765000000000002E-3</v>
      </c>
      <c r="F10" s="53">
        <v>2.5831999999999999E-3</v>
      </c>
      <c r="G10" s="53">
        <v>3.8270000000000001E-3</v>
      </c>
    </row>
    <row r="11" spans="1:15" ht="15.75" customHeight="1" x14ac:dyDescent="0.25">
      <c r="B11" s="5" t="s">
        <v>110</v>
      </c>
      <c r="C11" s="45">
        <v>7.5158999999999998E-3</v>
      </c>
      <c r="D11" s="53">
        <v>7.5158999999999998E-3</v>
      </c>
      <c r="E11" s="53">
        <v>6.9371000000000007E-3</v>
      </c>
      <c r="F11" s="53">
        <v>3.9395999999999997E-3</v>
      </c>
      <c r="G11" s="53">
        <v>1.8665000000000001E-3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0.36972114524999999</v>
      </c>
      <c r="D14" s="54">
        <v>0.35988932596000001</v>
      </c>
      <c r="E14" s="54">
        <v>0.35988932596000001</v>
      </c>
      <c r="F14" s="54">
        <v>0.26732186760100002</v>
      </c>
      <c r="G14" s="54">
        <v>0.26732186760100002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0.189</v>
      </c>
      <c r="M14" s="55">
        <v>0.189</v>
      </c>
      <c r="N14" s="55">
        <v>0.189</v>
      </c>
      <c r="O14" s="55">
        <v>0.189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0.21779939917646776</v>
      </c>
      <c r="D15" s="52">
        <f t="shared" si="0"/>
        <v>0.21200756291910239</v>
      </c>
      <c r="E15" s="52">
        <f t="shared" si="0"/>
        <v>0.21200756291910239</v>
      </c>
      <c r="F15" s="52">
        <f t="shared" si="0"/>
        <v>0.15747690630694072</v>
      </c>
      <c r="G15" s="52">
        <f t="shared" si="0"/>
        <v>0.15747690630694072</v>
      </c>
      <c r="H15" s="52">
        <f t="shared" si="0"/>
        <v>0.17849457300000002</v>
      </c>
      <c r="I15" s="52">
        <f t="shared" si="0"/>
        <v>0.17849457300000002</v>
      </c>
      <c r="J15" s="52">
        <f t="shared" si="0"/>
        <v>0.17849457300000002</v>
      </c>
      <c r="K15" s="52">
        <f t="shared" si="0"/>
        <v>0.17849457300000002</v>
      </c>
      <c r="L15" s="52">
        <f t="shared" si="0"/>
        <v>0.11133819900000001</v>
      </c>
      <c r="M15" s="52">
        <f t="shared" si="0"/>
        <v>0.11133819900000001</v>
      </c>
      <c r="N15" s="52">
        <f t="shared" si="0"/>
        <v>0.11133819900000001</v>
      </c>
      <c r="O15" s="52">
        <f t="shared" si="0"/>
        <v>0.11133819900000001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0.69710499999999997</v>
      </c>
      <c r="D2" s="53">
        <v>0.47777259999999999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3.7555499999999999E-2</v>
      </c>
      <c r="D3" s="53">
        <v>0.12155680000000001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0.22008620000000001</v>
      </c>
      <c r="D4" s="53">
        <v>0.36383629999999989</v>
      </c>
      <c r="E4" s="53">
        <v>0.89573269999999994</v>
      </c>
      <c r="F4" s="53">
        <v>0.63862679999999994</v>
      </c>
      <c r="G4" s="53">
        <v>0</v>
      </c>
    </row>
    <row r="5" spans="1:7" x14ac:dyDescent="0.25">
      <c r="B5" s="3" t="s">
        <v>122</v>
      </c>
      <c r="C5" s="52">
        <v>4.5253300000000003E-2</v>
      </c>
      <c r="D5" s="52">
        <v>3.68343E-2</v>
      </c>
      <c r="E5" s="52">
        <f>1-SUM(E2:E4)</f>
        <v>0.10426730000000006</v>
      </c>
      <c r="F5" s="52">
        <f>1-SUM(F2:F4)</f>
        <v>0.36137320000000006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55.159498129923833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0.24510841041959999</v>
      </c>
      <c r="C3" s="98">
        <v>0.95</v>
      </c>
      <c r="D3" s="56">
        <v>39.815804482761187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369.40825523463701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2.5694477871811041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0.2596929</v>
      </c>
      <c r="C10" s="98">
        <v>0.95</v>
      </c>
      <c r="D10" s="56">
        <v>12.948103926557099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0.2596929</v>
      </c>
      <c r="C11" s="98">
        <v>0.95</v>
      </c>
      <c r="D11" s="56">
        <v>12.948103926557099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0.2596929</v>
      </c>
      <c r="C12" s="98">
        <v>0.95</v>
      </c>
      <c r="D12" s="56">
        <v>12.948103926557099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0.2596929</v>
      </c>
      <c r="C13" s="98">
        <v>0.95</v>
      </c>
      <c r="D13" s="56">
        <v>12.948103926557099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0.2596929</v>
      </c>
      <c r="C14" s="98">
        <v>0.95</v>
      </c>
      <c r="D14" s="56">
        <v>12.948103926557099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0.2596929</v>
      </c>
      <c r="C15" s="98">
        <v>0.95</v>
      </c>
      <c r="D15" s="56">
        <v>12.948103926557099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0.65486972645244557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3.6306666666666702E-2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0.12390719496331</v>
      </c>
      <c r="C18" s="98">
        <v>0.95</v>
      </c>
      <c r="D18" s="56">
        <v>8.5297262743193443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0.69964879999999996</v>
      </c>
      <c r="C19" s="98">
        <v>0.95</v>
      </c>
      <c r="D19" s="56">
        <v>8.5297262743193443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0.36798940000000002</v>
      </c>
      <c r="C21" s="98">
        <v>0.95</v>
      </c>
      <c r="D21" s="56">
        <v>19.502352360317879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22.31069666521422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4.2392904639519244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0.93892787026972002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0.2596929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18.500074668290559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0.73630514730640995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107.0978840973747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0.83</v>
      </c>
      <c r="C31" s="98">
        <v>0.95</v>
      </c>
      <c r="D31" s="56">
        <v>0.56750055122199738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1.3995185494692861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0.83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0.39210790000000001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0.58242249999999995</v>
      </c>
      <c r="C38" s="98">
        <v>0.95</v>
      </c>
      <c r="D38" s="56">
        <v>2.715482431759646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6.9472260000000008E-2</v>
      </c>
      <c r="C3" s="21">
        <f>frac_mam_1_5months * 2.6</f>
        <v>6.9472260000000008E-2</v>
      </c>
      <c r="D3" s="21">
        <f>frac_mam_6_11months * 2.6</f>
        <v>7.478900000000001E-3</v>
      </c>
      <c r="E3" s="21">
        <f>frac_mam_12_23months * 2.6</f>
        <v>6.7163199999999996E-3</v>
      </c>
      <c r="F3" s="21">
        <f>frac_mam_24_59months * 2.6</f>
        <v>9.9502000000000011E-3</v>
      </c>
    </row>
    <row r="4" spans="1:6" ht="15.75" customHeight="1" x14ac:dyDescent="0.25">
      <c r="A4" s="3" t="s">
        <v>205</v>
      </c>
      <c r="B4" s="21">
        <f>frac_sam_1month * 2.6</f>
        <v>1.9541340000000001E-2</v>
      </c>
      <c r="C4" s="21">
        <f>frac_sam_1_5months * 2.6</f>
        <v>1.9541340000000001E-2</v>
      </c>
      <c r="D4" s="21">
        <f>frac_sam_6_11months * 2.6</f>
        <v>1.8036460000000004E-2</v>
      </c>
      <c r="E4" s="21">
        <f>frac_sam_12_23months * 2.6</f>
        <v>1.0242959999999999E-2</v>
      </c>
      <c r="F4" s="21">
        <f>frac_sam_24_59months * 2.6</f>
        <v>4.8529000000000003E-3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5.0000000000000001E-3</v>
      </c>
      <c r="E2" s="60">
        <f>food_insecure</f>
        <v>5.0000000000000001E-3</v>
      </c>
      <c r="F2" s="60">
        <f>food_insecure</f>
        <v>5.0000000000000001E-3</v>
      </c>
      <c r="G2" s="60">
        <f>food_insecure</f>
        <v>5.0000000000000001E-3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5.0000000000000001E-3</v>
      </c>
      <c r="F5" s="60">
        <f>food_insecure</f>
        <v>5.0000000000000001E-3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5.0000000000000001E-3</v>
      </c>
      <c r="F8" s="60">
        <f>food_insecure</f>
        <v>5.0000000000000001E-3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5.0000000000000001E-3</v>
      </c>
      <c r="F9" s="60">
        <f>food_insecure</f>
        <v>5.0000000000000001E-3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5.0000000000000001E-3</v>
      </c>
      <c r="I15" s="60">
        <f>food_insecure</f>
        <v>5.0000000000000001E-3</v>
      </c>
      <c r="J15" s="60">
        <f>food_insecure</f>
        <v>5.0000000000000001E-3</v>
      </c>
      <c r="K15" s="60">
        <f>food_insecure</f>
        <v>5.0000000000000001E-3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0.317</v>
      </c>
      <c r="M24" s="60">
        <f>famplan_unmet_need</f>
        <v>0.317</v>
      </c>
      <c r="N24" s="60">
        <f>famplan_unmet_need</f>
        <v>0.317</v>
      </c>
      <c r="O24" s="60">
        <f>famplan_unmet_need</f>
        <v>0.317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9.1292583364080013E-2</v>
      </c>
      <c r="M25" s="60">
        <f>(1-food_insecure)*(0.49)+food_insecure*(0.7)</f>
        <v>0.49104999999999999</v>
      </c>
      <c r="N25" s="60">
        <f>(1-food_insecure)*(0.49)+food_insecure*(0.7)</f>
        <v>0.49104999999999999</v>
      </c>
      <c r="O25" s="60">
        <f>(1-food_insecure)*(0.49)+food_insecure*(0.7)</f>
        <v>0.49104999999999999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3.9125392870320005E-2</v>
      </c>
      <c r="M26" s="60">
        <f>(1-food_insecure)*(0.21)+food_insecure*(0.3)</f>
        <v>0.21045</v>
      </c>
      <c r="N26" s="60">
        <f>(1-food_insecure)*(0.21)+food_insecure*(0.3)</f>
        <v>0.21045</v>
      </c>
      <c r="O26" s="60">
        <f>(1-food_insecure)*(0.21)+food_insecure*(0.3)</f>
        <v>0.21045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5.5495033365600001E-2</v>
      </c>
      <c r="M27" s="60">
        <f>(1-food_insecure)*(0.3)</f>
        <v>0.29849999999999999</v>
      </c>
      <c r="N27" s="60">
        <f>(1-food_insecure)*(0.3)</f>
        <v>0.29849999999999999</v>
      </c>
      <c r="O27" s="60">
        <f>(1-food_insecure)*(0.3)</f>
        <v>0.29849999999999999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BA45C9-B793-49F4-930B-5A0BB3161E60}"/>
</file>

<file path=customXml/itemProps2.xml><?xml version="1.0" encoding="utf-8"?>
<ds:datastoreItem xmlns:ds="http://schemas.openxmlformats.org/officeDocument/2006/customXml" ds:itemID="{F4150DEE-3759-44AB-BC7F-1CA1D28CB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2024-04-11T00:41:22Z</dcterms:modified>
</cp:coreProperties>
</file>