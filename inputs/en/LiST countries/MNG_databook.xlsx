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C977714-B3A8-48E7-B938-C17EBE92E3A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<sst xmlns="http://schemas.openxmlformats.org/spreadsheetml/2006/main" count="2102" uniqueCount="341">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</sst>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347577.7421875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7.1399999999999991E-2</v>
      </c>
    </row>
    <row r="24" spans="1:3" ht="15" customHeight="1" x14ac:dyDescent="0.25">
      <c r="B24" s="15" t="s">
        <v>22</v>
      </c>
      <c r="C24" s="45">
        <v>0.52029999999999998</v>
      </c>
    </row>
    <row r="25" spans="1:3" ht="15" customHeight="1" x14ac:dyDescent="0.25">
      <c r="B25" s="15" t="s">
        <v>23</v>
      </c>
      <c r="C25" s="45">
        <v>0.36659999999999998</v>
      </c>
    </row>
    <row r="26" spans="1:3" ht="15" customHeight="1" x14ac:dyDescent="0.25">
      <c r="B26" s="15" t="s">
        <v>24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7.5434400000000004</v>
      </c>
    </row>
    <row r="38" spans="1:5" ht="15" customHeight="1" x14ac:dyDescent="0.25">
      <c r="B38" s="11" t="s">
        <v>34</v>
      </c>
      <c r="C38" s="43">
        <v>12.68064</v>
      </c>
      <c r="D38" s="12"/>
      <c r="E38" s="13"/>
    </row>
    <row r="39" spans="1:5" ht="15" customHeight="1" x14ac:dyDescent="0.25">
      <c r="B39" s="11" t="s">
        <v>35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5.1263999999999997E-3</v>
      </c>
      <c r="D45" s="12"/>
    </row>
    <row r="46" spans="1:5" ht="15.75" customHeight="1" x14ac:dyDescent="0.25">
      <c r="B46" s="11" t="s">
        <v>41</v>
      </c>
      <c r="C46" s="45">
        <v>5.5082600000000002E-2</v>
      </c>
      <c r="D46" s="12"/>
    </row>
    <row r="47" spans="1:5" ht="15.75" customHeight="1" x14ac:dyDescent="0.25">
      <c r="B47" s="11" t="s">
        <v>42</v>
      </c>
      <c r="C47" s="45">
        <v>7.6126699999999992E-2</v>
      </c>
      <c r="D47" s="12"/>
      <c r="E47" s="13"/>
    </row>
    <row r="48" spans="1:5" ht="15" customHeight="1" x14ac:dyDescent="0.25">
      <c r="B48" s="11" t="s">
        <v>43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0.58909100000000003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65476</v>
      </c>
      <c r="C2" s="49">
        <v>162396.5</v>
      </c>
      <c r="D2" s="49">
        <v>224997</v>
      </c>
      <c r="E2" s="49">
        <v>277523.5</v>
      </c>
      <c r="F2" s="49">
        <v>201664</v>
      </c>
      <c r="G2" s="17">
        <f t="shared" ref="G2:G13" si="0">C2+D2+E2+F2</f>
        <v>866581</v>
      </c>
      <c r="H2" s="17">
        <f t="shared" ref="H2:H13" si="1">(B2 + stillbirth*B2/(1000-stillbirth))/(1-abortion)</f>
        <v>74732.625416756287</v>
      </c>
      <c r="I2" s="17">
        <f t="shared" ref="I2:I13" si="2">G2-H2</f>
        <v>791848.37458324374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63702</v>
      </c>
      <c r="C3" s="50">
        <v>174536</v>
      </c>
      <c r="D3" s="50">
        <v>222133</v>
      </c>
      <c r="E3" s="50">
        <v>274496</v>
      </c>
      <c r="F3" s="50">
        <v>205274.5</v>
      </c>
      <c r="G3" s="17">
        <f t="shared" si="0"/>
        <v>876439.5</v>
      </c>
      <c r="H3" s="17">
        <f t="shared" si="1"/>
        <v>72707.82736114315</v>
      </c>
      <c r="I3" s="17">
        <f t="shared" si="2"/>
        <v>803731.67263885681</v>
      </c>
    </row>
    <row r="4" spans="1:9" ht="15.75" customHeight="1" x14ac:dyDescent="0.25">
      <c r="A4" s="5">
        <f t="shared" si="3"/>
        <v>2026</v>
      </c>
      <c r="B4" s="49">
        <v>62305</v>
      </c>
      <c r="C4" s="50">
        <v>187452.5</v>
      </c>
      <c r="D4" s="50">
        <v>220866.5</v>
      </c>
      <c r="E4" s="50">
        <v>269835</v>
      </c>
      <c r="F4" s="50">
        <v>210287.5</v>
      </c>
      <c r="G4" s="17">
        <f t="shared" si="0"/>
        <v>888441.5</v>
      </c>
      <c r="H4" s="17">
        <f t="shared" si="1"/>
        <v>71113.327426705975</v>
      </c>
      <c r="I4" s="17">
        <f t="shared" si="2"/>
        <v>817328.17257329402</v>
      </c>
    </row>
    <row r="5" spans="1:9" ht="15.75" customHeight="1" x14ac:dyDescent="0.25">
      <c r="A5" s="5">
        <f t="shared" si="3"/>
        <v>2027</v>
      </c>
      <c r="B5" s="49">
        <v>60966</v>
      </c>
      <c r="C5" s="50">
        <v>199906</v>
      </c>
      <c r="D5" s="50">
        <v>223107</v>
      </c>
      <c r="E5" s="50">
        <v>263906.5</v>
      </c>
      <c r="F5" s="50">
        <v>216329</v>
      </c>
      <c r="G5" s="17">
        <f t="shared" si="0"/>
        <v>903248.5</v>
      </c>
      <c r="H5" s="17">
        <f t="shared" si="1"/>
        <v>69585.027203218939</v>
      </c>
      <c r="I5" s="17">
        <f t="shared" si="2"/>
        <v>833663.4727967811</v>
      </c>
    </row>
    <row r="6" spans="1:9" ht="15.75" customHeight="1" x14ac:dyDescent="0.25">
      <c r="A6" s="5">
        <f t="shared" si="3"/>
        <v>2028</v>
      </c>
      <c r="B6" s="49">
        <v>60335</v>
      </c>
      <c r="C6" s="50">
        <v>210356</v>
      </c>
      <c r="D6" s="50">
        <v>229203.5</v>
      </c>
      <c r="E6" s="50">
        <v>257094</v>
      </c>
      <c r="F6" s="50">
        <v>222191.5</v>
      </c>
      <c r="G6" s="17">
        <f t="shared" si="0"/>
        <v>918845</v>
      </c>
      <c r="H6" s="17">
        <f t="shared" si="1"/>
        <v>68864.82000305441</v>
      </c>
      <c r="I6" s="17">
        <f t="shared" si="2"/>
        <v>849980.17999694555</v>
      </c>
    </row>
    <row r="7" spans="1:9" ht="15.75" customHeight="1" x14ac:dyDescent="0.25">
      <c r="A7" s="5">
        <f t="shared" si="3"/>
        <v>2029</v>
      </c>
      <c r="B7" s="49">
        <v>60055</v>
      </c>
      <c r="C7" s="50">
        <v>218570</v>
      </c>
      <c r="D7" s="50">
        <v>237810.5</v>
      </c>
      <c r="E7" s="50">
        <v>249164.5</v>
      </c>
      <c r="F7" s="50">
        <v>228233</v>
      </c>
      <c r="G7" s="17">
        <f t="shared" si="0"/>
        <v>933778</v>
      </c>
      <c r="H7" s="17">
        <f t="shared" si="1"/>
        <v>68545.23519157093</v>
      </c>
      <c r="I7" s="17">
        <f t="shared" si="2"/>
        <v>865232.76480842906</v>
      </c>
    </row>
    <row r="8" spans="1:9" ht="15.75" customHeight="1" x14ac:dyDescent="0.25">
      <c r="A8" s="5">
        <f t="shared" si="3"/>
        <v>2030</v>
      </c>
      <c r="B8" s="49">
        <v>60039</v>
      </c>
      <c r="C8" s="50">
        <v>225024</v>
      </c>
      <c r="D8" s="50">
        <v>247546</v>
      </c>
      <c r="E8" s="50">
        <v>241150</v>
      </c>
      <c r="F8" s="50">
        <v>235417.5</v>
      </c>
      <c r="G8" s="17">
        <f t="shared" si="0"/>
        <v>949137.5</v>
      </c>
      <c r="H8" s="17">
        <f t="shared" si="1"/>
        <v>68526.973202343317</v>
      </c>
      <c r="I8" s="17">
        <f t="shared" si="2"/>
        <v>880610.52679765667</v>
      </c>
    </row>
    <row r="9" spans="1:9" ht="15.75" customHeight="1" x14ac:dyDescent="0.25">
      <c r="A9" s="5">
        <f t="shared" si="3"/>
        <v>2031</v>
      </c>
      <c r="B9" s="49">
        <v>60247</v>
      </c>
      <c r="C9" s="50">
        <v>229491</v>
      </c>
      <c r="D9" s="50">
        <v>258646</v>
      </c>
      <c r="E9" s="50">
        <v>233831.5</v>
      </c>
      <c r="F9" s="50">
        <v>242222.5</v>
      </c>
      <c r="G9" s="17">
        <f t="shared" si="0"/>
        <v>964191</v>
      </c>
      <c r="H9" s="17">
        <f t="shared" si="1"/>
        <v>68764.379062302469</v>
      </c>
      <c r="I9" s="17">
        <f t="shared" si="2"/>
        <v>895426.62093769759</v>
      </c>
    </row>
    <row r="10" spans="1:9" ht="15.75" customHeight="1" x14ac:dyDescent="0.25">
      <c r="A10" s="5">
        <f t="shared" si="3"/>
        <v>2032</v>
      </c>
      <c r="B10" s="49">
        <v>60873</v>
      </c>
      <c r="C10" s="50">
        <v>231497</v>
      </c>
      <c r="D10" s="50">
        <v>272377.5</v>
      </c>
      <c r="E10" s="50">
        <v>227721.5</v>
      </c>
      <c r="F10" s="50">
        <v>247682</v>
      </c>
      <c r="G10" s="17">
        <f t="shared" si="0"/>
        <v>979278</v>
      </c>
      <c r="H10" s="17">
        <f t="shared" si="1"/>
        <v>69478.879390833361</v>
      </c>
      <c r="I10" s="17">
        <f t="shared" si="2"/>
        <v>909799.12060916668</v>
      </c>
    </row>
    <row r="11" spans="1:9" ht="15.75" customHeight="1" x14ac:dyDescent="0.25">
      <c r="A11" s="5">
        <f t="shared" si="3"/>
        <v>2033</v>
      </c>
      <c r="B11" s="49">
        <v>61771</v>
      </c>
      <c r="C11" s="50">
        <v>230856</v>
      </c>
      <c r="D11" s="50">
        <v>288810</v>
      </c>
      <c r="E11" s="50">
        <v>224370.5</v>
      </c>
      <c r="F11" s="50">
        <v>250979.50000000009</v>
      </c>
      <c r="G11" s="17">
        <f t="shared" si="0"/>
        <v>995016.00000000012</v>
      </c>
      <c r="H11" s="17">
        <f t="shared" si="1"/>
        <v>70503.833536233928</v>
      </c>
      <c r="I11" s="17">
        <f t="shared" si="2"/>
        <v>924512.16646376625</v>
      </c>
    </row>
    <row r="12" spans="1:9" ht="15.75" customHeight="1" x14ac:dyDescent="0.25">
      <c r="A12" s="5">
        <f t="shared" si="3"/>
        <v>2034</v>
      </c>
      <c r="B12" s="49">
        <v>62801</v>
      </c>
      <c r="C12" s="50">
        <v>227737</v>
      </c>
      <c r="D12" s="50">
        <v>306788.5</v>
      </c>
      <c r="E12" s="50">
        <v>222056.5</v>
      </c>
      <c r="F12" s="50">
        <v>249932.99999999991</v>
      </c>
      <c r="G12" s="17">
        <f t="shared" si="0"/>
        <v>1006514.9999999999</v>
      </c>
      <c r="H12" s="17">
        <f t="shared" si="1"/>
        <v>71679.449092762399</v>
      </c>
      <c r="I12" s="17">
        <f t="shared" si="2"/>
        <v>934835.55090723746</v>
      </c>
    </row>
    <row r="13" spans="1:9" ht="15.75" customHeight="1" x14ac:dyDescent="0.25">
      <c r="A13" s="5">
        <f t="shared" si="3"/>
        <v>2035</v>
      </c>
      <c r="B13" s="49">
        <v>63944</v>
      </c>
      <c r="C13" s="50">
        <v>223102.5</v>
      </c>
      <c r="D13" s="50">
        <v>324836.5</v>
      </c>
      <c r="E13" s="50">
        <v>219251</v>
      </c>
      <c r="F13" s="50">
        <v>246180.5</v>
      </c>
      <c r="G13" s="17">
        <f t="shared" si="0"/>
        <v>1013370.5</v>
      </c>
      <c r="H13" s="17">
        <f t="shared" si="1"/>
        <v>72984.039948211008</v>
      </c>
      <c r="I13" s="17">
        <f t="shared" si="2"/>
        <v>940386.46005178895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1.6324242095127591E-3</v>
      </c>
    </row>
    <row r="4" spans="1:8" ht="15.75" customHeight="1" x14ac:dyDescent="0.25">
      <c r="B4" s="19" t="s">
        <v>69</v>
      </c>
      <c r="C4" s="101">
        <v>5.2081731825269262E-2</v>
      </c>
    </row>
    <row r="5" spans="1:8" ht="15.75" customHeight="1" x14ac:dyDescent="0.25">
      <c r="B5" s="19" t="s">
        <v>70</v>
      </c>
      <c r="C5" s="101">
        <v>2.9863691848466541E-2</v>
      </c>
    </row>
    <row r="6" spans="1:8" ht="15.75" customHeight="1" x14ac:dyDescent="0.25">
      <c r="B6" s="19" t="s">
        <v>71</v>
      </c>
      <c r="C6" s="101">
        <v>0.1698753019698051</v>
      </c>
    </row>
    <row r="7" spans="1:8" ht="15.75" customHeight="1" x14ac:dyDescent="0.25">
      <c r="B7" s="19" t="s">
        <v>72</v>
      </c>
      <c r="C7" s="101">
        <v>0.43394349674221139</v>
      </c>
    </row>
    <row r="8" spans="1:8" ht="15.75" customHeight="1" x14ac:dyDescent="0.25">
      <c r="B8" s="19" t="s">
        <v>73</v>
      </c>
      <c r="C8" s="101">
        <v>2.0875893861734139E-3</v>
      </c>
    </row>
    <row r="9" spans="1:8" ht="15.75" customHeight="1" x14ac:dyDescent="0.25">
      <c r="B9" s="19" t="s">
        <v>74</v>
      </c>
      <c r="C9" s="101">
        <v>0.22483110229985301</v>
      </c>
    </row>
    <row r="10" spans="1:8" ht="15.75" customHeight="1" x14ac:dyDescent="0.25">
      <c r="B10" s="19" t="s">
        <v>75</v>
      </c>
      <c r="C10" s="101">
        <v>8.5684661718708532E-2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82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83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87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88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89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4.767842600000001E-2</v>
      </c>
    </row>
    <row r="27" spans="1:8" ht="15.75" customHeight="1" x14ac:dyDescent="0.25">
      <c r="B27" s="19" t="s">
        <v>92</v>
      </c>
      <c r="C27" s="101">
        <v>1.8794775E-2</v>
      </c>
    </row>
    <row r="28" spans="1:8" ht="15.75" customHeight="1" x14ac:dyDescent="0.25">
      <c r="B28" s="19" t="s">
        <v>93</v>
      </c>
      <c r="C28" s="101">
        <v>0.23166139099999999</v>
      </c>
    </row>
    <row r="29" spans="1:8" ht="15.75" customHeight="1" x14ac:dyDescent="0.25">
      <c r="B29" s="19" t="s">
        <v>94</v>
      </c>
      <c r="C29" s="101">
        <v>0.138538992</v>
      </c>
    </row>
    <row r="30" spans="1:8" ht="15.75" customHeight="1" x14ac:dyDescent="0.25">
      <c r="B30" s="19" t="s">
        <v>95</v>
      </c>
      <c r="C30" s="101">
        <v>5.0761070999999998E-2</v>
      </c>
    </row>
    <row r="31" spans="1:8" ht="15.75" customHeight="1" x14ac:dyDescent="0.25">
      <c r="B31" s="19" t="s">
        <v>96</v>
      </c>
      <c r="C31" s="101">
        <v>7.0366394999999998E-2</v>
      </c>
    </row>
    <row r="32" spans="1:8" ht="15.75" customHeight="1" x14ac:dyDescent="0.25">
      <c r="B32" s="19" t="s">
        <v>97</v>
      </c>
      <c r="C32" s="101">
        <v>0.147583886</v>
      </c>
    </row>
    <row r="33" spans="2:3" ht="15.75" customHeight="1" x14ac:dyDescent="0.25">
      <c r="B33" s="19" t="s">
        <v>98</v>
      </c>
      <c r="C33" s="101">
        <v>0.122079576</v>
      </c>
    </row>
    <row r="34" spans="2:3" ht="15.75" customHeight="1" x14ac:dyDescent="0.25">
      <c r="B34" s="19" t="s">
        <v>99</v>
      </c>
      <c r="C34" s="101">
        <v>0.17253548899999999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104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122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55.159498129923833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0.24510841041959999</v>
      </c>
      <c r="C3" s="98">
        <v>0.95</v>
      </c>
      <c r="D3" s="56">
        <v>39.815804482761187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369.40825523463701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2.5694477871811041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0.2596929</v>
      </c>
      <c r="C10" s="98">
        <v>0.95</v>
      </c>
      <c r="D10" s="56">
        <v>12.948103926557099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0.2596929</v>
      </c>
      <c r="C11" s="98">
        <v>0.95</v>
      </c>
      <c r="D11" s="56">
        <v>12.948103926557099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0.2596929</v>
      </c>
      <c r="C12" s="98">
        <v>0.95</v>
      </c>
      <c r="D12" s="56">
        <v>12.948103926557099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0.2596929</v>
      </c>
      <c r="C13" s="98">
        <v>0.95</v>
      </c>
      <c r="D13" s="56">
        <v>12.948103926557099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0.2596929</v>
      </c>
      <c r="C14" s="98">
        <v>0.95</v>
      </c>
      <c r="D14" s="56">
        <v>12.948103926557099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0.2596929</v>
      </c>
      <c r="C15" s="98">
        <v>0.95</v>
      </c>
      <c r="D15" s="56">
        <v>12.948103926557099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0.65486972645244557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3.6306666666666702E-2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0.12390719496331</v>
      </c>
      <c r="C18" s="98">
        <v>0.95</v>
      </c>
      <c r="D18" s="56">
        <v>8.5297262743193443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0.69964879999999996</v>
      </c>
      <c r="C19" s="98">
        <v>0.95</v>
      </c>
      <c r="D19" s="56">
        <v>8.5297262743193443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0.36798940000000002</v>
      </c>
      <c r="C21" s="98">
        <v>0.95</v>
      </c>
      <c r="D21" s="56">
        <v>19.502352360317879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22.31069666521422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4.2392904639519244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0.93892787026972002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0.2596929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18.500074668290559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0.73630514730640995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107.0978840973747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0.83</v>
      </c>
      <c r="C31" s="98">
        <v>0.95</v>
      </c>
      <c r="D31" s="56">
        <v>0.56750055122199738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1.3995185494692861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0.39210790000000001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0.58242249999999995</v>
      </c>
      <c r="C38" s="98">
        <v>0.95</v>
      </c>
      <c r="D38" s="56">
        <v>2.715482431759646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205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2024-05-09T01:46:37Z</dcterms:modified>
</cp:coreProperties>
</file>