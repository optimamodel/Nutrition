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B9DF09F-68BC-45BA-87A6-B637F8CE196D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<sst xmlns="http://schemas.openxmlformats.org/spreadsheetml/2006/main" count="2159" uniqueCount="372">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</sst>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329239.5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7.1399999999999991E-2</v>
      </c>
    </row>
    <row r="24" spans="1:3" ht="15" customHeight="1" x14ac:dyDescent="0.25">
      <c r="B24" s="15" t="s">
        <v>22</v>
      </c>
      <c r="C24" s="45">
        <v>0.52029999999999998</v>
      </c>
    </row>
    <row r="25" spans="1:3" ht="15" customHeight="1" x14ac:dyDescent="0.25">
      <c r="B25" s="15" t="s">
        <v>23</v>
      </c>
      <c r="C25" s="45">
        <v>0.36659999999999998</v>
      </c>
    </row>
    <row r="26" spans="1:3" ht="15" customHeight="1" x14ac:dyDescent="0.25">
      <c r="B26" s="15" t="s">
        <v>24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7.5434400000000004</v>
      </c>
    </row>
    <row r="38" spans="1:5" ht="15" customHeight="1" x14ac:dyDescent="0.25">
      <c r="B38" s="11" t="s">
        <v>34</v>
      </c>
      <c r="C38" s="43">
        <v>12.68064</v>
      </c>
      <c r="D38" s="12"/>
      <c r="E38" s="13"/>
    </row>
    <row r="39" spans="1:5" ht="15" customHeight="1" x14ac:dyDescent="0.25">
      <c r="B39" s="11" t="s">
        <v>35</v>
      </c>
      <c r="C39" s="43">
        <v>14.734360000000001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5.1263999999999997E-3</v>
      </c>
      <c r="D45" s="12"/>
    </row>
    <row r="46" spans="1:5" ht="15.75" customHeight="1" x14ac:dyDescent="0.25">
      <c r="B46" s="11" t="s">
        <v>41</v>
      </c>
      <c r="C46" s="45">
        <v>5.5082600000000002E-2</v>
      </c>
      <c r="D46" s="12"/>
    </row>
    <row r="47" spans="1:5" ht="15.75" customHeight="1" x14ac:dyDescent="0.25">
      <c r="B47" s="11" t="s">
        <v>42</v>
      </c>
      <c r="C47" s="45">
        <v>7.6126699999999992E-2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0.58909100000000003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63101</v>
      </c>
      <c r="C2" s="49">
        <v>131190.5</v>
      </c>
      <c r="D2" s="49">
        <v>218441.50000000003</v>
      </c>
      <c r="E2" s="49">
        <v>270666.5</v>
      </c>
      <c r="F2" s="49">
        <v>222128</v>
      </c>
      <c r="G2" s="17">
        <f t="shared" ref="G2:G13" si="0">C2+D2+E2+F2</f>
        <v>842426.5</v>
      </c>
      <c r="H2" s="17">
        <f t="shared" ref="H2:H13" si="1">(B2 + stillbirth*B2/(1000-stillbirth))/(1-abortion)</f>
        <v>72021.86139078041</v>
      </c>
      <c r="I2" s="17">
        <f t="shared" ref="I2:I13" si="2">G2-H2</f>
        <v>770404.63860921958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61431</v>
      </c>
      <c r="C3" s="50">
        <v>143643</v>
      </c>
      <c r="D3" s="50">
        <v>217936.50000000003</v>
      </c>
      <c r="E3" s="50">
        <v>266456.5</v>
      </c>
      <c r="F3" s="50">
        <v>226984</v>
      </c>
      <c r="G3" s="17">
        <f t="shared" si="0"/>
        <v>855020</v>
      </c>
      <c r="H3" s="17">
        <f t="shared" si="1"/>
        <v>70115.766265146856</v>
      </c>
      <c r="I3" s="17">
        <f t="shared" si="2"/>
        <v>784904.2337348531</v>
      </c>
    </row>
    <row r="4" spans="1:9" ht="15.75" customHeight="1" x14ac:dyDescent="0.25">
      <c r="A4" s="5">
        <f t="shared" si="3"/>
        <v>2026</v>
      </c>
      <c r="B4" s="49">
        <v>60067</v>
      </c>
      <c r="C4" s="50">
        <v>154901.5</v>
      </c>
      <c r="D4" s="50">
        <v>219719.49999999997</v>
      </c>
      <c r="E4" s="50">
        <v>260541</v>
      </c>
      <c r="F4" s="50">
        <v>232782.5</v>
      </c>
      <c r="G4" s="17">
        <f t="shared" si="0"/>
        <v>867944.5</v>
      </c>
      <c r="H4" s="17">
        <f t="shared" si="1"/>
        <v>68558.931683491654</v>
      </c>
      <c r="I4" s="17">
        <f t="shared" si="2"/>
        <v>799385.56831650832</v>
      </c>
    </row>
    <row r="5" spans="1:9" ht="15.75" customHeight="1" x14ac:dyDescent="0.25">
      <c r="A5" s="5">
        <f t="shared" si="3"/>
        <v>2027</v>
      </c>
      <c r="B5" s="49">
        <v>59151</v>
      </c>
      <c r="C5" s="50">
        <v>164751.5</v>
      </c>
      <c r="D5" s="50">
        <v>224119</v>
      </c>
      <c r="E5" s="50">
        <v>253256</v>
      </c>
      <c r="F5" s="50">
        <v>239303</v>
      </c>
      <c r="G5" s="17">
        <f t="shared" si="0"/>
        <v>881429.5</v>
      </c>
      <c r="H5" s="17">
        <f t="shared" si="1"/>
        <v>67513.432800210023</v>
      </c>
      <c r="I5" s="17">
        <f t="shared" si="2"/>
        <v>813916.06719978992</v>
      </c>
    </row>
    <row r="6" spans="1:9" ht="15.75" customHeight="1" x14ac:dyDescent="0.25">
      <c r="A6" s="5">
        <f t="shared" si="3"/>
        <v>2028</v>
      </c>
      <c r="B6" s="49">
        <v>58601</v>
      </c>
      <c r="C6" s="50">
        <v>175038.5</v>
      </c>
      <c r="D6" s="50">
        <v>231576.5</v>
      </c>
      <c r="E6" s="50">
        <v>245083.5</v>
      </c>
      <c r="F6" s="50">
        <v>245976</v>
      </c>
      <c r="G6" s="17">
        <f t="shared" si="0"/>
        <v>897674.5</v>
      </c>
      <c r="H6" s="17">
        <f t="shared" si="1"/>
        <v>66885.676920510348</v>
      </c>
      <c r="I6" s="17">
        <f t="shared" si="2"/>
        <v>830788.82307948964</v>
      </c>
    </row>
    <row r="7" spans="1:9" ht="15.75" customHeight="1" x14ac:dyDescent="0.25">
      <c r="A7" s="5">
        <f t="shared" si="3"/>
        <v>2029</v>
      </c>
      <c r="B7" s="49">
        <v>58468</v>
      </c>
      <c r="C7" s="50">
        <v>184246.5</v>
      </c>
      <c r="D7" s="50">
        <v>242517</v>
      </c>
      <c r="E7" s="50">
        <v>236533.5</v>
      </c>
      <c r="F7" s="50">
        <v>252154.99999999997</v>
      </c>
      <c r="G7" s="17">
        <f t="shared" si="0"/>
        <v>915452</v>
      </c>
      <c r="H7" s="17">
        <f t="shared" si="1"/>
        <v>66733.874135055696</v>
      </c>
      <c r="I7" s="17">
        <f t="shared" si="2"/>
        <v>848718.1258649443</v>
      </c>
    </row>
    <row r="8" spans="1:9" ht="15.75" customHeight="1" x14ac:dyDescent="0.25">
      <c r="A8" s="5">
        <f t="shared" si="3"/>
        <v>2030</v>
      </c>
      <c r="B8" s="49">
        <v>58755</v>
      </c>
      <c r="C8" s="50">
        <v>190924</v>
      </c>
      <c r="D8" s="50">
        <v>257035.5</v>
      </c>
      <c r="E8" s="50">
        <v>228180</v>
      </c>
      <c r="F8" s="50">
        <v>257207</v>
      </c>
      <c r="G8" s="17">
        <f t="shared" si="0"/>
        <v>933346.5</v>
      </c>
      <c r="H8" s="17">
        <f t="shared" si="1"/>
        <v>67061.44856682625</v>
      </c>
      <c r="I8" s="17">
        <f t="shared" si="2"/>
        <v>866285.05143317371</v>
      </c>
    </row>
    <row r="9" spans="1:9" ht="15.75" customHeight="1" x14ac:dyDescent="0.25">
      <c r="A9" s="5">
        <f t="shared" si="3"/>
        <v>2031</v>
      </c>
      <c r="B9" s="49">
        <v>59418</v>
      </c>
      <c r="C9" s="50">
        <v>196326</v>
      </c>
      <c r="D9" s="50">
        <v>272794</v>
      </c>
      <c r="E9" s="50">
        <v>220590</v>
      </c>
      <c r="F9" s="50">
        <v>260577</v>
      </c>
      <c r="G9" s="17">
        <f t="shared" si="0"/>
        <v>950287</v>
      </c>
      <c r="H9" s="17">
        <f t="shared" si="1"/>
        <v>67818.179745446032</v>
      </c>
      <c r="I9" s="17">
        <f t="shared" si="2"/>
        <v>882468.82025455392</v>
      </c>
    </row>
    <row r="10" spans="1:9" ht="15.75" customHeight="1" x14ac:dyDescent="0.25">
      <c r="A10" s="5">
        <f t="shared" si="3"/>
        <v>2032</v>
      </c>
      <c r="B10" s="49">
        <v>60373</v>
      </c>
      <c r="C10" s="50">
        <v>199348.5</v>
      </c>
      <c r="D10" s="50">
        <v>289556.5</v>
      </c>
      <c r="E10" s="50">
        <v>214277.5</v>
      </c>
      <c r="F10" s="50">
        <v>262012</v>
      </c>
      <c r="G10" s="17">
        <f t="shared" si="0"/>
        <v>965194.5</v>
      </c>
      <c r="H10" s="17">
        <f t="shared" si="1"/>
        <v>68908.192227470019</v>
      </c>
      <c r="I10" s="17">
        <f t="shared" si="2"/>
        <v>896286.30777253001</v>
      </c>
    </row>
    <row r="11" spans="1:9" ht="15.75" customHeight="1" x14ac:dyDescent="0.25">
      <c r="A11" s="5">
        <f t="shared" si="3"/>
        <v>2033</v>
      </c>
      <c r="B11" s="49">
        <v>61628</v>
      </c>
      <c r="C11" s="50">
        <v>197957</v>
      </c>
      <c r="D11" s="50">
        <v>308940</v>
      </c>
      <c r="E11" s="50">
        <v>209647.49999999997</v>
      </c>
      <c r="F11" s="50">
        <v>261522.49999999997</v>
      </c>
      <c r="G11" s="17">
        <f t="shared" si="0"/>
        <v>978067</v>
      </c>
      <c r="H11" s="17">
        <f t="shared" si="1"/>
        <v>70340.617007512003</v>
      </c>
      <c r="I11" s="17">
        <f t="shared" si="2"/>
        <v>907726.38299248798</v>
      </c>
    </row>
    <row r="12" spans="1:9" ht="15.75" customHeight="1" x14ac:dyDescent="0.25">
      <c r="A12" s="5">
        <f t="shared" si="3"/>
        <v>2034</v>
      </c>
      <c r="B12" s="49">
        <v>63087</v>
      </c>
      <c r="C12" s="50">
        <v>194167</v>
      </c>
      <c r="D12" s="50">
        <v>329207.99999999994</v>
      </c>
      <c r="E12" s="50">
        <v>206954</v>
      </c>
      <c r="F12" s="50">
        <v>259155.50000000003</v>
      </c>
      <c r="G12" s="17">
        <f t="shared" si="0"/>
        <v>989484.5</v>
      </c>
      <c r="H12" s="17">
        <f t="shared" si="1"/>
        <v>72005.882150206235</v>
      </c>
      <c r="I12" s="17">
        <f t="shared" si="2"/>
        <v>917478.61784979375</v>
      </c>
    </row>
    <row r="13" spans="1:9" ht="15.75" customHeight="1" x14ac:dyDescent="0.25">
      <c r="A13" s="5">
        <f t="shared" si="3"/>
        <v>2035</v>
      </c>
      <c r="B13" s="49">
        <v>64516.999999999993</v>
      </c>
      <c r="C13" s="50">
        <v>189350</v>
      </c>
      <c r="D13" s="50">
        <v>348415</v>
      </c>
      <c r="E13" s="50">
        <v>206357.50000000003</v>
      </c>
      <c r="F13" s="50">
        <v>254977</v>
      </c>
      <c r="G13" s="17">
        <f t="shared" si="0"/>
        <v>999099.5</v>
      </c>
      <c r="H13" s="17">
        <f t="shared" si="1"/>
        <v>73638.047437425383</v>
      </c>
      <c r="I13" s="17">
        <f t="shared" si="2"/>
        <v>925461.45256257465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1.6324242095127591E-3</v>
      </c>
    </row>
    <row r="4" spans="1:8" ht="15.75" customHeight="1" x14ac:dyDescent="0.25">
      <c r="B4" s="19" t="s">
        <v>69</v>
      </c>
      <c r="C4" s="101">
        <v>5.2081731825269262E-2</v>
      </c>
    </row>
    <row r="5" spans="1:8" ht="15.75" customHeight="1" x14ac:dyDescent="0.25">
      <c r="B5" s="19" t="s">
        <v>70</v>
      </c>
      <c r="C5" s="101">
        <v>2.9863691848466541E-2</v>
      </c>
    </row>
    <row r="6" spans="1:8" ht="15.75" customHeight="1" x14ac:dyDescent="0.25">
      <c r="B6" s="19" t="s">
        <v>71</v>
      </c>
      <c r="C6" s="101">
        <v>0.1698753019698051</v>
      </c>
    </row>
    <row r="7" spans="1:8" ht="15.75" customHeight="1" x14ac:dyDescent="0.25">
      <c r="B7" s="19" t="s">
        <v>72</v>
      </c>
      <c r="C7" s="101">
        <v>0.43394349674221139</v>
      </c>
    </row>
    <row r="8" spans="1:8" ht="15.75" customHeight="1" x14ac:dyDescent="0.25">
      <c r="B8" s="19" t="s">
        <v>73</v>
      </c>
      <c r="C8" s="101">
        <v>2.0875893861734139E-3</v>
      </c>
    </row>
    <row r="9" spans="1:8" ht="15.75" customHeight="1" x14ac:dyDescent="0.25">
      <c r="B9" s="19" t="s">
        <v>74</v>
      </c>
      <c r="C9" s="101">
        <v>0.22483110229985301</v>
      </c>
    </row>
    <row r="10" spans="1:8" ht="15.75" customHeight="1" x14ac:dyDescent="0.25">
      <c r="B10" s="19" t="s">
        <v>75</v>
      </c>
      <c r="C10" s="101">
        <v>8.5684661718708532E-2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82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83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87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88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89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4.767842600000001E-2</v>
      </c>
    </row>
    <row r="27" spans="1:8" ht="15.75" customHeight="1" x14ac:dyDescent="0.25">
      <c r="B27" s="19" t="s">
        <v>92</v>
      </c>
      <c r="C27" s="101">
        <v>1.8794775E-2</v>
      </c>
    </row>
    <row r="28" spans="1:8" ht="15.75" customHeight="1" x14ac:dyDescent="0.25">
      <c r="B28" s="19" t="s">
        <v>93</v>
      </c>
      <c r="C28" s="101">
        <v>0.23166139099999999</v>
      </c>
    </row>
    <row r="29" spans="1:8" ht="15.75" customHeight="1" x14ac:dyDescent="0.25">
      <c r="B29" s="19" t="s">
        <v>94</v>
      </c>
      <c r="C29" s="101">
        <v>0.138538992</v>
      </c>
    </row>
    <row r="30" spans="1:8" ht="15.75" customHeight="1" x14ac:dyDescent="0.25">
      <c r="B30" s="19" t="s">
        <v>95</v>
      </c>
      <c r="C30" s="101">
        <v>5.0761070999999998E-2</v>
      </c>
    </row>
    <row r="31" spans="1:8" ht="15.75" customHeight="1" x14ac:dyDescent="0.25">
      <c r="B31" s="19" t="s">
        <v>96</v>
      </c>
      <c r="C31" s="101">
        <v>7.0366394999999998E-2</v>
      </c>
    </row>
    <row r="32" spans="1:8" ht="15.75" customHeight="1" x14ac:dyDescent="0.25">
      <c r="B32" s="19" t="s">
        <v>97</v>
      </c>
      <c r="C32" s="101">
        <v>0.147583886</v>
      </c>
    </row>
    <row r="33" spans="2:3" ht="15.75" customHeight="1" x14ac:dyDescent="0.25">
      <c r="B33" s="19" t="s">
        <v>98</v>
      </c>
      <c r="C33" s="101">
        <v>0.122079576</v>
      </c>
    </row>
    <row r="34" spans="2:3" ht="15.75" customHeight="1" x14ac:dyDescent="0.25">
      <c r="B34" s="19" t="s">
        <v>99</v>
      </c>
      <c r="C34" s="101">
        <v>0.17253548899999999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104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105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109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110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4.5253300000000052E-2</v>
      </c>
      <c r="D5" s="52">
        <f t="shared" si="0"/>
        <v>3.6834300000000098E-2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5045.5047003166601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0.34449000000000002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0.57206999999999997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1.1708946001099065E-2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98392.397899999996</v>
      </c>
      <c r="C22" s="109">
        <v>98233.055999999997</v>
      </c>
      <c r="D22" s="109">
        <v>98055.585099999997</v>
      </c>
      <c r="E22" s="109">
        <v>97700.522469999996</v>
      </c>
      <c r="F22" s="109">
        <v>97035.898960000006</v>
      </c>
      <c r="G22" s="109">
        <v>96109.919080000007</v>
      </c>
      <c r="H22" s="109">
        <v>94824.342780000006</v>
      </c>
      <c r="I22" s="109">
        <v>93032.773459999997</v>
      </c>
      <c r="J22" s="109">
        <v>90416.350390000007</v>
      </c>
      <c r="K22" s="109">
        <v>86624.561730000001</v>
      </c>
      <c r="L22" s="109">
        <v>81234.933820000006</v>
      </c>
      <c r="M22" s="109">
        <v>74271.76758</v>
      </c>
      <c r="N22" s="109">
        <v>64994.240319999997</v>
      </c>
      <c r="O22" s="109">
        <v>53251.527750000001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2.5694477871811041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0.2596929</v>
      </c>
      <c r="C10" s="98">
        <v>0.95</v>
      </c>
      <c r="D10" s="56">
        <v>12.948103926557099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12.948103926557099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12.948103926557099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12.948103926557099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0.2596929</v>
      </c>
      <c r="C14" s="98">
        <v>0.95</v>
      </c>
      <c r="D14" s="56">
        <v>12.948103926557099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12.948103926557099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3.6306666666666702E-2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0.47777259999999999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0.47777259999999999</v>
      </c>
      <c r="C19" s="98">
        <v>0.95</v>
      </c>
      <c r="D19" s="56">
        <v>8.5297262743193443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4.2392904639519244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0.70357650989134002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0.2596929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0.58242249999999995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0.39210790000000001</v>
      </c>
      <c r="C29" s="98">
        <v>0.95</v>
      </c>
      <c r="D29" s="56">
        <v>107.0978840973747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0.83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0.86376940000000002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0.50568460000000004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8.8149700000000011E-2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0.36798940000000002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0.16494010000000001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198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9.1487792024159992E-2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3.9209053724640001E-2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5.5216163851199998E-2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