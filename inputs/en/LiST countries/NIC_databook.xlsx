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FCC4D0C-86FB-416E-A590-EDAF13332515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22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37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40" i="2"/>
  <c r="A31" i="2"/>
  <c r="A15" i="2"/>
  <c r="A23" i="2"/>
  <c r="A16" i="2"/>
  <c r="A24" i="2"/>
  <c r="A32" i="2"/>
  <c r="A17" i="2"/>
  <c r="A25" i="2"/>
  <c r="A33" i="2"/>
  <c r="A38" i="2"/>
  <c r="A39" i="2"/>
  <c r="A14" i="2"/>
  <c r="A3" i="2"/>
  <c r="A18" i="2"/>
  <c r="A26" i="2"/>
  <c r="A34" i="2"/>
  <c r="A19" i="2"/>
  <c r="A27" i="2"/>
  <c r="A35" i="2"/>
  <c r="A30" i="2"/>
  <c r="A20" i="2"/>
  <c r="A28" i="2"/>
  <c r="A36" i="2"/>
  <c r="A21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<sst xmlns="http://schemas.openxmlformats.org/spreadsheetml/2006/main" count="2101" uniqueCount="341">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</sst>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683661.703125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9">
        <v>7.9911270967818207E-2</v>
      </c>
    </row>
    <row r="31" spans="1:3" ht="14.25" customHeight="1" x14ac:dyDescent="0.25">
      <c r="B31" s="25" t="s">
        <v>28</v>
      </c>
      <c r="C31" s="99">
        <v>0.101230174619235</v>
      </c>
    </row>
    <row r="32" spans="1:3" ht="14.25" customHeight="1" x14ac:dyDescent="0.25">
      <c r="B32" s="25" t="s">
        <v>29</v>
      </c>
      <c r="C32" s="99">
        <v>0.50691588204187699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0.1646432164643217</v>
      </c>
    </row>
    <row r="5" spans="1:8" ht="15.75" customHeight="1" x14ac:dyDescent="0.25">
      <c r="B5" s="19" t="s">
        <v>70</v>
      </c>
      <c r="C5" s="101">
        <v>8.8069308806930965E-2</v>
      </c>
    </row>
    <row r="6" spans="1:8" ht="15.75" customHeight="1" x14ac:dyDescent="0.25">
      <c r="B6" s="19" t="s">
        <v>71</v>
      </c>
      <c r="C6" s="101">
        <v>0.15137381513738149</v>
      </c>
    </row>
    <row r="7" spans="1:8" ht="15.75" customHeight="1" x14ac:dyDescent="0.25">
      <c r="B7" s="19" t="s">
        <v>72</v>
      </c>
      <c r="C7" s="101">
        <v>0.33688533368853352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0.2339606233960623</v>
      </c>
    </row>
    <row r="10" spans="1:8" ht="15.75" customHeight="1" x14ac:dyDescent="0.25">
      <c r="B10" s="19" t="s">
        <v>75</v>
      </c>
      <c r="C10" s="101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83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86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87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89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101">
        <v>3.6358831000000001E-2</v>
      </c>
    </row>
    <row r="28" spans="1:8" ht="15.75" customHeight="1" x14ac:dyDescent="0.25">
      <c r="B28" s="19" t="s">
        <v>93</v>
      </c>
      <c r="C28" s="101">
        <v>0.29059849599999998</v>
      </c>
    </row>
    <row r="29" spans="1:8" ht="15.75" customHeight="1" x14ac:dyDescent="0.25">
      <c r="B29" s="19" t="s">
        <v>94</v>
      </c>
      <c r="C29" s="101">
        <v>0.18423973499999999</v>
      </c>
    </row>
    <row r="30" spans="1:8" ht="15.75" customHeight="1" x14ac:dyDescent="0.25">
      <c r="B30" s="19" t="s">
        <v>95</v>
      </c>
      <c r="C30" s="101">
        <v>8.8893533999999996E-2</v>
      </c>
    </row>
    <row r="31" spans="1:8" ht="15.75" customHeight="1" x14ac:dyDescent="0.25">
      <c r="B31" s="19" t="s">
        <v>96</v>
      </c>
      <c r="C31" s="101">
        <v>4.6759898000000001E-2</v>
      </c>
    </row>
    <row r="32" spans="1:8" ht="15.75" customHeight="1" x14ac:dyDescent="0.25">
      <c r="B32" s="19" t="s">
        <v>97</v>
      </c>
      <c r="C32" s="101">
        <v>5.1759430999999988E-2</v>
      </c>
    </row>
    <row r="33" spans="2:3" ht="15.75" customHeight="1" x14ac:dyDescent="0.25">
      <c r="B33" s="19" t="s">
        <v>98</v>
      </c>
      <c r="C33" s="101">
        <v>0.101392051</v>
      </c>
    </row>
    <row r="34" spans="2:3" ht="15.75" customHeight="1" x14ac:dyDescent="0.25">
      <c r="B34" s="19" t="s">
        <v>99</v>
      </c>
      <c r="C34" s="101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45.319393542983583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42.687335931091802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215.13820465634649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1.130102918328614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0.61550340000000003</v>
      </c>
      <c r="C10" s="98">
        <v>0.95</v>
      </c>
      <c r="D10" s="56">
        <v>13.705047831112401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13.705047831112401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13.705047831112401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13.705047831112401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0.61550340000000003</v>
      </c>
      <c r="C14" s="98">
        <v>0.95</v>
      </c>
      <c r="D14" s="56">
        <v>13.705047831112401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13.705047831112401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0.44429056896247249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0.236988888888889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0.27199479999999998</v>
      </c>
      <c r="C18" s="98">
        <v>0.95</v>
      </c>
      <c r="D18" s="56">
        <v>5.0196810287000124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0.27199479999999998</v>
      </c>
      <c r="C19" s="98">
        <v>0.95</v>
      </c>
      <c r="D19" s="56">
        <v>5.0196810287000124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11.663682971302389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23.476861506564731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4.5643768782397949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0.53800854420833999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0.61550340000000003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19.712589805544962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0.65400000000000003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84.63932308590087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0.70370696748114991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0.03</v>
      </c>
      <c r="C32" s="98">
        <v>0.95</v>
      </c>
      <c r="D32" s="56">
        <v>0.9198919947883043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0.43180760000000001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0.69741069999999994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5.3194821474431118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205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0.10930029748819625</v>
      </c>
      <c r="G18" s="90">
        <f>MIN(MAX(1-0.89/(1-frac_sam_12_23months+(frac_sam_12_23months*0.89)),0),1)</f>
        <v>0.10963437937117937</v>
      </c>
      <c r="H18" s="90">
        <f>MIN(MAX(1-0.89/(1-frac_sam_24_59months+(frac_sam_24_59months*0.89)),0),1)</f>
        <v>0.10966873979000125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0.10932809492825191</v>
      </c>
      <c r="G20" s="90">
        <f>MIN(MAX(1-0.89/(1-frac_mam_12_23months+(frac_mam_12_23months*0.89)),0),1)</f>
        <v>0.10895665239507568</v>
      </c>
      <c r="H20" s="90">
        <f>MIN(MAX(1-0.89/(1-frac_mam_24_59months+(frac_mam_24_59months*0.89)),0),1)</f>
        <v>0.10936454763617653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9.9292941005381108E-3</v>
      </c>
      <c r="G73" s="90">
        <f>MIN(MAX(1-0.99/(1-frac_sam_12_23months+(frac_sam_12_23months*0.99)),0),1)</f>
        <v>9.9630409302809975E-3</v>
      </c>
      <c r="H73" s="90">
        <f>MIN(MAX(1-0.99/(1-frac_sam_24_59months+(frac_sam_24_59months*0.99)),0),1)</f>
        <v>9.9665131073394253E-3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9.9321011434964079E-3</v>
      </c>
      <c r="G75" s="90">
        <f>MIN(MAX(1-0.99/(1-frac_mam_12_23months+(frac_mam_12_23months*0.99)),0),1)</f>
        <v>9.8946052609407698E-3</v>
      </c>
      <c r="H75" s="90">
        <f>MIN(MAX(1-0.99/(1-frac_mam_24_59months+(frac_mam_24_59months*0.99)),0),1)</f>
        <v>9.9357824547215978E-3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0.19885572563292142</v>
      </c>
      <c r="G128" s="90">
        <f>MIN(MAX(1-0.8/(1-frac_sam_12_23months+(frac_sam_12_23months*0.8)),0),1)</f>
        <v>0.19940225771365405</v>
      </c>
      <c r="H128" s="90">
        <f>MIN(MAX(1-0.8/(1-frac_sam_24_59months+(frac_sam_24_59months*0.8)),0),1)</f>
        <v>0.19945844965202053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0.19890121290361851</v>
      </c>
      <c r="G130" s="90">
        <f>MIN(MAX(1-0.8/(1-frac_mam_12_23months+(frac_mam_12_23months*0.8)),0),1)</f>
        <v>0.19829319828742598</v>
      </c>
      <c r="H130" s="90">
        <f>MIN(MAX(1-0.8/(1-frac_mam_24_59months+(frac_mam_24_59months*0.8)),0),1)</f>
        <v>0.19896085998600821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2024-08-06T06:32:01Z</dcterms:modified>
</cp:coreProperties>
</file>