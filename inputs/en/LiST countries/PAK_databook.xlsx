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A8A4299C-1B20-4DB8-8EC6-5764B9B81254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7" i="2"/>
  <c r="A35" i="2"/>
  <c r="A23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5" i="2" l="1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<sst xmlns="http://schemas.openxmlformats.org/spreadsheetml/2006/main" count="2159" uniqueCount="372">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</sst>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32134104</v>
      </c>
    </row>
    <row r="8" spans="1:3" ht="15" customHeight="1" x14ac:dyDescent="0.25">
      <c r="B8" s="5" t="s">
        <v>8</v>
      </c>
      <c r="C8" s="44">
        <v>0.219</v>
      </c>
    </row>
    <row r="9" spans="1:3" ht="15" customHeight="1" x14ac:dyDescent="0.25">
      <c r="B9" s="5" t="s">
        <v>9</v>
      </c>
      <c r="C9" s="45">
        <v>2.1600000000000001E-2</v>
      </c>
    </row>
    <row r="10" spans="1:3" ht="15" customHeight="1" x14ac:dyDescent="0.25">
      <c r="B10" s="5" t="s">
        <v>10</v>
      </c>
      <c r="C10" s="45">
        <v>0.34183989999999997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6.6199999999999995E-2</v>
      </c>
    </row>
    <row r="24" spans="1:3" ht="15" customHeight="1" x14ac:dyDescent="0.25">
      <c r="B24" s="15" t="s">
        <v>22</v>
      </c>
      <c r="C24" s="45">
        <v>0.55289999999999995</v>
      </c>
    </row>
    <row r="25" spans="1:3" ht="15" customHeight="1" x14ac:dyDescent="0.25">
      <c r="B25" s="15" t="s">
        <v>23</v>
      </c>
      <c r="C25" s="45">
        <v>0.33850000000000002</v>
      </c>
    </row>
    <row r="26" spans="1:3" ht="15" customHeight="1" x14ac:dyDescent="0.25">
      <c r="B26" s="15" t="s">
        <v>24</v>
      </c>
      <c r="C26" s="45">
        <v>4.24E-2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0.24354971332209699</v>
      </c>
    </row>
    <row r="30" spans="1:3" ht="14.25" customHeight="1" x14ac:dyDescent="0.25">
      <c r="B30" s="25" t="s">
        <v>27</v>
      </c>
      <c r="C30" s="99">
        <v>0.13757511584770599</v>
      </c>
    </row>
    <row r="31" spans="1:3" ht="14.25" customHeight="1" x14ac:dyDescent="0.25">
      <c r="B31" s="25" t="s">
        <v>28</v>
      </c>
      <c r="C31" s="99">
        <v>0.13914799772598499</v>
      </c>
    </row>
    <row r="32" spans="1:3" ht="14.25" customHeight="1" x14ac:dyDescent="0.25">
      <c r="B32" s="25" t="s">
        <v>29</v>
      </c>
      <c r="C32" s="99">
        <v>0.47972717310421198</v>
      </c>
    </row>
    <row r="33" spans="1:5" ht="13.25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39.443519999999999</v>
      </c>
    </row>
    <row r="38" spans="1:5" ht="15" customHeight="1" x14ac:dyDescent="0.25">
      <c r="B38" s="11" t="s">
        <v>34</v>
      </c>
      <c r="C38" s="43">
        <v>52.780679999999997</v>
      </c>
      <c r="D38" s="12"/>
      <c r="E38" s="13"/>
    </row>
    <row r="39" spans="1:5" ht="15" customHeight="1" x14ac:dyDescent="0.25">
      <c r="B39" s="11" t="s">
        <v>35</v>
      </c>
      <c r="C39" s="43">
        <v>63.332549999999998</v>
      </c>
      <c r="D39" s="12"/>
      <c r="E39" s="12"/>
    </row>
    <row r="40" spans="1:5" ht="15" customHeight="1" x14ac:dyDescent="0.25">
      <c r="B40" s="11" t="s">
        <v>36</v>
      </c>
      <c r="C40" s="100">
        <v>1.54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2.2391600000000001E-2</v>
      </c>
      <c r="D45" s="12"/>
    </row>
    <row r="46" spans="1:5" ht="15.75" customHeight="1" x14ac:dyDescent="0.25">
      <c r="B46" s="11" t="s">
        <v>41</v>
      </c>
      <c r="C46" s="45">
        <v>0.12125619999999999</v>
      </c>
      <c r="D46" s="12"/>
    </row>
    <row r="47" spans="1:5" ht="15.75" customHeight="1" x14ac:dyDescent="0.25">
      <c r="B47" s="11" t="s">
        <v>42</v>
      </c>
      <c r="C47" s="45">
        <v>0.39803450000000001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5.5640000000000001</v>
      </c>
      <c r="D51" s="12"/>
    </row>
    <row r="52" spans="1:4" ht="15" customHeight="1" x14ac:dyDescent="0.25">
      <c r="B52" s="11" t="s">
        <v>46</v>
      </c>
      <c r="C52" s="100">
        <v>5.5640000000000001</v>
      </c>
    </row>
    <row r="53" spans="1:4" ht="15.75" customHeight="1" x14ac:dyDescent="0.25">
      <c r="B53" s="11" t="s">
        <v>47</v>
      </c>
      <c r="C53" s="100">
        <v>8.0860000000000003</v>
      </c>
    </row>
    <row r="54" spans="1:4" ht="15.75" customHeight="1" x14ac:dyDescent="0.25">
      <c r="B54" s="11" t="s">
        <v>48</v>
      </c>
      <c r="C54" s="100">
        <v>7.2800000000000011</v>
      </c>
    </row>
    <row r="55" spans="1:4" ht="15.75" customHeight="1" x14ac:dyDescent="0.25">
      <c r="B55" s="11" t="s">
        <v>49</v>
      </c>
      <c r="C55" s="100">
        <v>3.6573333333333342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0.43655699999999997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6887798</v>
      </c>
      <c r="C2" s="49">
        <v>12919160.5</v>
      </c>
      <c r="D2" s="49">
        <v>21326660.5</v>
      </c>
      <c r="E2" s="49">
        <v>16167718.499999998</v>
      </c>
      <c r="F2" s="49">
        <v>11463665.5</v>
      </c>
      <c r="G2" s="17">
        <f t="shared" ref="G2:G13" si="0">C2+D2+E2+F2</f>
        <v>61877205</v>
      </c>
      <c r="H2" s="17">
        <f t="shared" ref="H2:H13" si="1">(B2 + stillbirth*B2/(1000-stillbirth))/(1-abortion)</f>
        <v>8076750.5437981868</v>
      </c>
      <c r="I2" s="17">
        <f t="shared" ref="I2:I13" si="2">G2-H2</f>
        <v>53800454.456201814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6909545</v>
      </c>
      <c r="C3" s="50">
        <v>13328582</v>
      </c>
      <c r="D3" s="50">
        <v>21648169.5</v>
      </c>
      <c r="E3" s="50">
        <v>16480192.500000002</v>
      </c>
      <c r="F3" s="50">
        <v>11839720.5</v>
      </c>
      <c r="G3" s="17">
        <f t="shared" si="0"/>
        <v>63296664.5</v>
      </c>
      <c r="H3" s="17">
        <f t="shared" si="1"/>
        <v>8102251.4504850525</v>
      </c>
      <c r="I3" s="17">
        <f t="shared" si="2"/>
        <v>55194413.049514949</v>
      </c>
    </row>
    <row r="4" spans="1:9" ht="15.75" customHeight="1" x14ac:dyDescent="0.25">
      <c r="A4" s="5">
        <f t="shared" si="3"/>
        <v>2026</v>
      </c>
      <c r="B4" s="49">
        <v>6935665</v>
      </c>
      <c r="C4" s="50">
        <v>13719270</v>
      </c>
      <c r="D4" s="50">
        <v>22021955</v>
      </c>
      <c r="E4" s="50">
        <v>16803791.5</v>
      </c>
      <c r="F4" s="50">
        <v>12228976.5</v>
      </c>
      <c r="G4" s="17">
        <f t="shared" si="0"/>
        <v>64773993</v>
      </c>
      <c r="H4" s="17">
        <f t="shared" si="1"/>
        <v>8132880.2122756867</v>
      </c>
      <c r="I4" s="17">
        <f t="shared" si="2"/>
        <v>56641112.787724316</v>
      </c>
    </row>
    <row r="5" spans="1:9" ht="15.75" customHeight="1" x14ac:dyDescent="0.25">
      <c r="A5" s="5">
        <f t="shared" si="3"/>
        <v>2027</v>
      </c>
      <c r="B5" s="49">
        <v>6966909</v>
      </c>
      <c r="C5" s="50">
        <v>14041035</v>
      </c>
      <c r="D5" s="50">
        <v>22466352</v>
      </c>
      <c r="E5" s="50">
        <v>17137878.5</v>
      </c>
      <c r="F5" s="50">
        <v>12633888.5</v>
      </c>
      <c r="G5" s="17">
        <f t="shared" si="0"/>
        <v>66279154</v>
      </c>
      <c r="H5" s="17">
        <f t="shared" si="1"/>
        <v>8169517.464702432</v>
      </c>
      <c r="I5" s="17">
        <f t="shared" si="2"/>
        <v>58109636.535297565</v>
      </c>
    </row>
    <row r="6" spans="1:9" ht="15.75" customHeight="1" x14ac:dyDescent="0.25">
      <c r="A6" s="5">
        <f t="shared" si="3"/>
        <v>2028</v>
      </c>
      <c r="B6" s="49">
        <v>7018315</v>
      </c>
      <c r="C6" s="50">
        <v>14279645.5</v>
      </c>
      <c r="D6" s="50">
        <v>22980444.499999996</v>
      </c>
      <c r="E6" s="50">
        <v>17489453.5</v>
      </c>
      <c r="F6" s="50">
        <v>13048160</v>
      </c>
      <c r="G6" s="17">
        <f t="shared" si="0"/>
        <v>67797703.5</v>
      </c>
      <c r="H6" s="17">
        <f t="shared" si="1"/>
        <v>8229797.0255220858</v>
      </c>
      <c r="I6" s="17">
        <f t="shared" si="2"/>
        <v>59567906.474477917</v>
      </c>
    </row>
    <row r="7" spans="1:9" ht="15.75" customHeight="1" x14ac:dyDescent="0.25">
      <c r="A7" s="5">
        <f t="shared" si="3"/>
        <v>2029</v>
      </c>
      <c r="B7" s="49">
        <v>7081601</v>
      </c>
      <c r="C7" s="50">
        <v>14427607.5</v>
      </c>
      <c r="D7" s="50">
        <v>23532737.5</v>
      </c>
      <c r="E7" s="50">
        <v>17875551.5</v>
      </c>
      <c r="F7" s="50">
        <v>13460389.5</v>
      </c>
      <c r="G7" s="17">
        <f t="shared" si="0"/>
        <v>69296286</v>
      </c>
      <c r="H7" s="17">
        <f t="shared" si="1"/>
        <v>8304007.2789172661</v>
      </c>
      <c r="I7" s="17">
        <f t="shared" si="2"/>
        <v>60992278.721082732</v>
      </c>
    </row>
    <row r="8" spans="1:9" ht="15.75" customHeight="1" x14ac:dyDescent="0.25">
      <c r="A8" s="5">
        <f t="shared" si="3"/>
        <v>2030</v>
      </c>
      <c r="B8" s="49">
        <v>7144899</v>
      </c>
      <c r="C8" s="50">
        <v>14497785.5</v>
      </c>
      <c r="D8" s="50">
        <v>24103215.5</v>
      </c>
      <c r="E8" s="50">
        <v>18298722</v>
      </c>
      <c r="F8" s="50">
        <v>13863973</v>
      </c>
      <c r="G8" s="17">
        <f t="shared" si="0"/>
        <v>70763696</v>
      </c>
      <c r="H8" s="17">
        <f t="shared" si="1"/>
        <v>8378231.6037190873</v>
      </c>
      <c r="I8" s="17">
        <f t="shared" si="2"/>
        <v>62385464.396280915</v>
      </c>
    </row>
    <row r="9" spans="1:9" ht="15.75" customHeight="1" x14ac:dyDescent="0.25">
      <c r="A9" s="5">
        <f t="shared" si="3"/>
        <v>2031</v>
      </c>
      <c r="B9" s="49">
        <v>7204431</v>
      </c>
      <c r="C9" s="50">
        <v>14507888</v>
      </c>
      <c r="D9" s="50">
        <v>24688438.5</v>
      </c>
      <c r="E9" s="50">
        <v>18732875.500000004</v>
      </c>
      <c r="F9" s="50">
        <v>14252189.999999998</v>
      </c>
      <c r="G9" s="17">
        <f t="shared" si="0"/>
        <v>72181392</v>
      </c>
      <c r="H9" s="17">
        <f t="shared" si="1"/>
        <v>8448039.8520697784</v>
      </c>
      <c r="I9" s="17">
        <f t="shared" si="2"/>
        <v>63733352.14793022</v>
      </c>
    </row>
    <row r="10" spans="1:9" ht="15.75" customHeight="1" x14ac:dyDescent="0.25">
      <c r="A10" s="5">
        <f t="shared" si="3"/>
        <v>2032</v>
      </c>
      <c r="B10" s="49">
        <v>7264736</v>
      </c>
      <c r="C10" s="50">
        <v>14506760</v>
      </c>
      <c r="D10" s="50">
        <v>25267655.5</v>
      </c>
      <c r="E10" s="50">
        <v>19159363.5</v>
      </c>
      <c r="F10" s="50">
        <v>14626509</v>
      </c>
      <c r="G10" s="17">
        <f t="shared" si="0"/>
        <v>73560288</v>
      </c>
      <c r="H10" s="17">
        <f t="shared" si="1"/>
        <v>8518754.5335316546</v>
      </c>
      <c r="I10" s="17">
        <f t="shared" si="2"/>
        <v>65041533.466468349</v>
      </c>
    </row>
    <row r="11" spans="1:9" ht="15.75" customHeight="1" x14ac:dyDescent="0.25">
      <c r="A11" s="5">
        <f t="shared" si="3"/>
        <v>2033</v>
      </c>
      <c r="B11" s="49">
        <v>7326780</v>
      </c>
      <c r="C11" s="50">
        <v>14525609</v>
      </c>
      <c r="D11" s="50">
        <v>25824528.5</v>
      </c>
      <c r="E11" s="50">
        <v>19591286.500000004</v>
      </c>
      <c r="F11" s="50">
        <v>14987637.5</v>
      </c>
      <c r="G11" s="17">
        <f t="shared" si="0"/>
        <v>74929061.5</v>
      </c>
      <c r="H11" s="17">
        <f t="shared" si="1"/>
        <v>8591508.3963393923</v>
      </c>
      <c r="I11" s="17">
        <f t="shared" si="2"/>
        <v>66337553.103660606</v>
      </c>
    </row>
    <row r="12" spans="1:9" ht="15.75" customHeight="1" x14ac:dyDescent="0.25">
      <c r="A12" s="5">
        <f t="shared" si="3"/>
        <v>2034</v>
      </c>
      <c r="B12" s="49">
        <v>7376134</v>
      </c>
      <c r="C12" s="50">
        <v>14563234</v>
      </c>
      <c r="D12" s="50">
        <v>26365296.499999996</v>
      </c>
      <c r="E12" s="50">
        <v>20015884</v>
      </c>
      <c r="F12" s="50">
        <v>15339976.999999998</v>
      </c>
      <c r="G12" s="17">
        <f t="shared" si="0"/>
        <v>76284391.5</v>
      </c>
      <c r="H12" s="17">
        <f t="shared" si="1"/>
        <v>8649381.7466232739</v>
      </c>
      <c r="I12" s="17">
        <f t="shared" si="2"/>
        <v>67635009.753376722</v>
      </c>
    </row>
    <row r="13" spans="1:9" ht="15.75" customHeight="1" x14ac:dyDescent="0.25">
      <c r="A13" s="5">
        <f t="shared" si="3"/>
        <v>2035</v>
      </c>
      <c r="B13" s="49">
        <v>7427400</v>
      </c>
      <c r="C13" s="50">
        <v>14626807.5</v>
      </c>
      <c r="D13" s="50">
        <v>26879503.5</v>
      </c>
      <c r="E13" s="50">
        <v>20427751</v>
      </c>
      <c r="F13" s="50">
        <v>15694407</v>
      </c>
      <c r="G13" s="17">
        <f t="shared" si="0"/>
        <v>77628469</v>
      </c>
      <c r="H13" s="17">
        <f t="shared" si="1"/>
        <v>8709497.1410321053</v>
      </c>
      <c r="I13" s="17">
        <f t="shared" si="2"/>
        <v>68918971.8589679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1.944252351986717E-2</v>
      </c>
    </row>
    <row r="4" spans="1:8" ht="15.75" customHeight="1" x14ac:dyDescent="0.25">
      <c r="B4" s="19" t="s">
        <v>69</v>
      </c>
      <c r="C4" s="101">
        <v>7.3235278675737148E-2</v>
      </c>
    </row>
    <row r="5" spans="1:8" ht="15.75" customHeight="1" x14ac:dyDescent="0.25">
      <c r="B5" s="19" t="s">
        <v>70</v>
      </c>
      <c r="C5" s="101">
        <v>6.0525674969561093E-2</v>
      </c>
    </row>
    <row r="6" spans="1:8" ht="15.75" customHeight="1" x14ac:dyDescent="0.25">
      <c r="B6" s="19" t="s">
        <v>71</v>
      </c>
      <c r="C6" s="101">
        <v>0.3183471214882706</v>
      </c>
    </row>
    <row r="7" spans="1:8" ht="15.75" customHeight="1" x14ac:dyDescent="0.25">
      <c r="B7" s="19" t="s">
        <v>72</v>
      </c>
      <c r="C7" s="101">
        <v>0.3406088789217484</v>
      </c>
    </row>
    <row r="8" spans="1:8" ht="15.75" customHeight="1" x14ac:dyDescent="0.25">
      <c r="B8" s="19" t="s">
        <v>73</v>
      </c>
      <c r="C8" s="101">
        <v>2.8573357234468609E-3</v>
      </c>
    </row>
    <row r="9" spans="1:8" ht="15.75" customHeight="1" x14ac:dyDescent="0.25">
      <c r="B9" s="19" t="s">
        <v>74</v>
      </c>
      <c r="C9" s="101">
        <v>9.1026223745628063E-2</v>
      </c>
    </row>
    <row r="10" spans="1:8" ht="15.75" customHeight="1" x14ac:dyDescent="0.25">
      <c r="B10" s="19" t="s">
        <v>75</v>
      </c>
      <c r="C10" s="101">
        <v>9.3956962955740589E-2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82</v>
      </c>
      <c r="C15" s="101">
        <v>0.25469599219282613</v>
      </c>
      <c r="D15" s="101">
        <v>0.25469599219282613</v>
      </c>
      <c r="E15" s="101">
        <v>0.25469599219282613</v>
      </c>
      <c r="F15" s="101">
        <v>0.25469599219282613</v>
      </c>
    </row>
    <row r="16" spans="1:8" ht="15.75" customHeight="1" x14ac:dyDescent="0.25">
      <c r="B16" s="19" t="s">
        <v>83</v>
      </c>
      <c r="C16" s="101">
        <v>4.4329835998382708E-2</v>
      </c>
      <c r="D16" s="101">
        <v>4.4329835998382708E-2</v>
      </c>
      <c r="E16" s="101">
        <v>4.4329835998382708E-2</v>
      </c>
      <c r="F16" s="101">
        <v>4.4329835998382708E-2</v>
      </c>
    </row>
    <row r="17" spans="1:8" ht="15.75" customHeight="1" x14ac:dyDescent="0.25">
      <c r="B17" s="19" t="s">
        <v>84</v>
      </c>
      <c r="C17" s="101">
        <v>1.624506748778283E-2</v>
      </c>
      <c r="D17" s="101">
        <v>1.624506748778283E-2</v>
      </c>
      <c r="E17" s="101">
        <v>1.624506748778283E-2</v>
      </c>
      <c r="F17" s="101">
        <v>1.624506748778283E-2</v>
      </c>
    </row>
    <row r="18" spans="1:8" ht="15.75" customHeight="1" x14ac:dyDescent="0.25">
      <c r="B18" s="19" t="s">
        <v>85</v>
      </c>
      <c r="C18" s="101">
        <v>1.0885857198653019E-3</v>
      </c>
      <c r="D18" s="101">
        <v>1.0885857198653019E-3</v>
      </c>
      <c r="E18" s="101">
        <v>1.0885857198653019E-3</v>
      </c>
      <c r="F18" s="101">
        <v>1.0885857198653019E-3</v>
      </c>
    </row>
    <row r="19" spans="1:8" ht="15.75" customHeight="1" x14ac:dyDescent="0.25">
      <c r="B19" s="19" t="s">
        <v>86</v>
      </c>
      <c r="C19" s="101">
        <v>5.4722176235299548E-2</v>
      </c>
      <c r="D19" s="101">
        <v>5.4722176235299548E-2</v>
      </c>
      <c r="E19" s="101">
        <v>5.4722176235299548E-2</v>
      </c>
      <c r="F19" s="101">
        <v>5.4722176235299548E-2</v>
      </c>
    </row>
    <row r="20" spans="1:8" ht="15.75" customHeight="1" x14ac:dyDescent="0.25">
      <c r="B20" s="19" t="s">
        <v>87</v>
      </c>
      <c r="C20" s="101">
        <v>5.8387503878920381E-3</v>
      </c>
      <c r="D20" s="101">
        <v>5.8387503878920381E-3</v>
      </c>
      <c r="E20" s="101">
        <v>5.8387503878920381E-3</v>
      </c>
      <c r="F20" s="101">
        <v>5.8387503878920381E-3</v>
      </c>
    </row>
    <row r="21" spans="1:8" ht="15.75" customHeight="1" x14ac:dyDescent="0.25">
      <c r="B21" s="19" t="s">
        <v>88</v>
      </c>
      <c r="C21" s="101">
        <v>0.17162996652247201</v>
      </c>
      <c r="D21" s="101">
        <v>0.17162996652247201</v>
      </c>
      <c r="E21" s="101">
        <v>0.17162996652247201</v>
      </c>
      <c r="F21" s="101">
        <v>0.17162996652247201</v>
      </c>
    </row>
    <row r="22" spans="1:8" ht="15.75" customHeight="1" x14ac:dyDescent="0.25">
      <c r="B22" s="19" t="s">
        <v>89</v>
      </c>
      <c r="C22" s="101">
        <v>0.23866009663688079</v>
      </c>
      <c r="D22" s="101">
        <v>0.23866009663688079</v>
      </c>
      <c r="E22" s="101">
        <v>0.23866009663688079</v>
      </c>
      <c r="F22" s="101">
        <v>0.23866009663688079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5.2819977999999997E-2</v>
      </c>
    </row>
    <row r="27" spans="1:8" ht="15.75" customHeight="1" x14ac:dyDescent="0.25">
      <c r="B27" s="19" t="s">
        <v>92</v>
      </c>
      <c r="C27" s="101">
        <v>7.1861679999999997E-3</v>
      </c>
    </row>
    <row r="28" spans="1:8" ht="15.75" customHeight="1" x14ac:dyDescent="0.25">
      <c r="B28" s="19" t="s">
        <v>93</v>
      </c>
      <c r="C28" s="101">
        <v>0.250016285</v>
      </c>
    </row>
    <row r="29" spans="1:8" ht="15.75" customHeight="1" x14ac:dyDescent="0.25">
      <c r="B29" s="19" t="s">
        <v>94</v>
      </c>
      <c r="C29" s="101">
        <v>9.3256678999999995E-2</v>
      </c>
    </row>
    <row r="30" spans="1:8" ht="15.75" customHeight="1" x14ac:dyDescent="0.25">
      <c r="B30" s="19" t="s">
        <v>95</v>
      </c>
      <c r="C30" s="101">
        <v>0.12997281799999999</v>
      </c>
    </row>
    <row r="31" spans="1:8" ht="15.75" customHeight="1" x14ac:dyDescent="0.25">
      <c r="B31" s="19" t="s">
        <v>96</v>
      </c>
      <c r="C31" s="101">
        <v>6.0292912999999997E-2</v>
      </c>
    </row>
    <row r="32" spans="1:8" ht="15.75" customHeight="1" x14ac:dyDescent="0.25">
      <c r="B32" s="19" t="s">
        <v>97</v>
      </c>
      <c r="C32" s="101">
        <v>6.2887368999999999E-2</v>
      </c>
    </row>
    <row r="33" spans="2:3" ht="15.75" customHeight="1" x14ac:dyDescent="0.25">
      <c r="B33" s="19" t="s">
        <v>98</v>
      </c>
      <c r="C33" s="101">
        <v>0.164273895</v>
      </c>
    </row>
    <row r="34" spans="2:3" ht="15.75" customHeight="1" x14ac:dyDescent="0.25">
      <c r="B34" s="19" t="s">
        <v>99</v>
      </c>
      <c r="C34" s="101">
        <v>0.17929389600000001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104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105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109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110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0.85991862525000007</v>
      </c>
      <c r="D14" s="54">
        <v>0.83566812777800015</v>
      </c>
      <c r="E14" s="54">
        <v>0.83566812777800015</v>
      </c>
      <c r="F14" s="54">
        <v>0.71781739033000003</v>
      </c>
      <c r="G14" s="54">
        <v>0.71781739033000003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0.37540349528326428</v>
      </c>
      <c r="D15" s="52">
        <f t="shared" si="0"/>
        <v>0.36481677085838038</v>
      </c>
      <c r="E15" s="52">
        <f t="shared" si="0"/>
        <v>0.36481677085838038</v>
      </c>
      <c r="F15" s="52">
        <f t="shared" si="0"/>
        <v>0.31336820647029379</v>
      </c>
      <c r="G15" s="52">
        <f t="shared" si="0"/>
        <v>0.31336820647029379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1588.8798287911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0.46167999999999998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0.25885000000000002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2.0970807499321363E-2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93308.493849999999</v>
      </c>
      <c r="C22" s="109">
        <v>92886.084149999995</v>
      </c>
      <c r="D22" s="109">
        <v>92523.429959999994</v>
      </c>
      <c r="E22" s="109">
        <v>91979.719870000001</v>
      </c>
      <c r="F22" s="109">
        <v>91184.416029999993</v>
      </c>
      <c r="G22" s="109">
        <v>90249.707559999995</v>
      </c>
      <c r="H22" s="109">
        <v>89110.73461</v>
      </c>
      <c r="I22" s="109">
        <v>87646.987269999998</v>
      </c>
      <c r="J22" s="109">
        <v>85560.964389999994</v>
      </c>
      <c r="K22" s="109">
        <v>82766.928969999994</v>
      </c>
      <c r="L22" s="109">
        <v>78685.215710000004</v>
      </c>
      <c r="M22" s="109">
        <v>73059.257620000004</v>
      </c>
      <c r="N22" s="109">
        <v>65103.813370000003</v>
      </c>
      <c r="O22" s="109">
        <v>55105.558149999997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2.4911003070624362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0.61278763993956276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0.4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0.29442049999999997</v>
      </c>
      <c r="C10" s="98">
        <v>0.95</v>
      </c>
      <c r="D10" s="56">
        <v>13.60386246040132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13.60386246040132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13.60386246040132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13.60386246040132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0.29442049999999997</v>
      </c>
      <c r="C14" s="98">
        <v>0.95</v>
      </c>
      <c r="D14" s="56">
        <v>13.60386246040132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13.60386246040132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3.6473E-3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1.4302968270214945E-2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0.51300000000000001</v>
      </c>
      <c r="C18" s="98">
        <v>0.95</v>
      </c>
      <c r="D18" s="56">
        <v>2.4911003070624362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0.46563719999999997</v>
      </c>
      <c r="C19" s="98">
        <v>0.95</v>
      </c>
      <c r="D19" s="56">
        <v>3.409349542067845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2.4911003070624362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3.5702999999999999E-2</v>
      </c>
      <c r="C23" s="98">
        <v>0.95</v>
      </c>
      <c r="D23" s="56">
        <v>4.5011360215453697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0.47122926211659999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6.9999999999999993E-3</v>
      </c>
      <c r="C26" s="98">
        <v>0.95</v>
      </c>
      <c r="D26" s="56">
        <v>2.4434237461617196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21.89376196990424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0.37447279999999999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0.1497243</v>
      </c>
      <c r="C29" s="98">
        <v>0.95</v>
      </c>
      <c r="D29" s="56">
        <v>26.81689264396762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166.0693807574207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0.92</v>
      </c>
      <c r="C32" s="98">
        <v>0.95</v>
      </c>
      <c r="D32" s="56">
        <v>5.9595701125895607E-2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0.84691320000000003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0.35662080000000002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1.1231400000000001E-2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0.25330259999999999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0.08</v>
      </c>
      <c r="C38" s="98">
        <v>0.95</v>
      </c>
      <c r="D38" s="56">
        <v>2.8725127942681685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5.5640000000000001</v>
      </c>
      <c r="C2" s="21">
        <f>'Baseline year population inputs'!C52</f>
        <v>5.5640000000000001</v>
      </c>
      <c r="D2" s="21">
        <f>'Baseline year population inputs'!C53</f>
        <v>8.0860000000000003</v>
      </c>
      <c r="E2" s="21">
        <f>'Baseline year population inputs'!C54</f>
        <v>7.2800000000000011</v>
      </c>
      <c r="F2" s="21">
        <f>'Baseline year population inputs'!C55</f>
        <v>3.6573333333333342</v>
      </c>
    </row>
    <row r="3" spans="1:6" ht="15.75" customHeight="1" x14ac:dyDescent="0.25">
      <c r="A3" s="3" t="s">
        <v>197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198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0.219</v>
      </c>
      <c r="F2" s="60">
        <f>food_insecure</f>
        <v>0.219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0.219</v>
      </c>
      <c r="F5" s="60">
        <f>food_insecure</f>
        <v>0.219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0.1188672727272727</v>
      </c>
      <c r="D7" s="60">
        <f>diarrhoea_1_5mo*frac_diarrhea_severe</f>
        <v>0.1188672727272727</v>
      </c>
      <c r="E7" s="60">
        <f>diarrhoea_6_11mo*frac_diarrhea_severe</f>
        <v>0.17274636363636361</v>
      </c>
      <c r="F7" s="60">
        <f>diarrhoea_12_23mo*frac_diarrhea_severe</f>
        <v>0.15552727272727271</v>
      </c>
      <c r="G7" s="60">
        <f>diarrhoea_24_59mo*frac_diarrhea_severe</f>
        <v>7.8133939393939394E-2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0.219</v>
      </c>
      <c r="F8" s="60">
        <f>food_insecure</f>
        <v>0.219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0.219</v>
      </c>
      <c r="F9" s="60">
        <f>food_insecure</f>
        <v>0.219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0.1188672727272727</v>
      </c>
      <c r="D12" s="60">
        <f>diarrhoea_1_5mo*frac_diarrhea_severe</f>
        <v>0.1188672727272727</v>
      </c>
      <c r="E12" s="60">
        <f>diarrhoea_6_11mo*frac_diarrhea_severe</f>
        <v>0.17274636363636361</v>
      </c>
      <c r="F12" s="60">
        <f>diarrhoea_12_23mo*frac_diarrhea_severe</f>
        <v>0.15552727272727271</v>
      </c>
      <c r="G12" s="60">
        <f>diarrhoea_24_59mo*frac_diarrhea_severe</f>
        <v>7.8133939393939394E-2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0.219</v>
      </c>
      <c r="I15" s="60">
        <f t="shared" si="0"/>
        <v>0.219</v>
      </c>
      <c r="J15" s="60">
        <f t="shared" si="0"/>
        <v>0.219</v>
      </c>
      <c r="K15" s="60">
        <f t="shared" si="0"/>
        <v>0.219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0.219</v>
      </c>
      <c r="I16" s="60">
        <f t="shared" si="0"/>
        <v>0.219</v>
      </c>
      <c r="J16" s="60">
        <f t="shared" si="0"/>
        <v>0.219</v>
      </c>
      <c r="K16" s="60">
        <f t="shared" si="0"/>
        <v>0.219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0.17299999999999999</v>
      </c>
      <c r="M24" s="60">
        <f>famplan_unmet_need</f>
        <v>0.17299999999999999</v>
      </c>
      <c r="N24" s="60">
        <f>famplan_unmet_need</f>
        <v>0.17299999999999999</v>
      </c>
      <c r="O24" s="60">
        <f>famplan_unmet_need</f>
        <v>0.17299999999999999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0.35276723199900006</v>
      </c>
      <c r="M25" s="60">
        <f>(1-food_insecure)*(0.49)+food_insecure*(0.7)</f>
        <v>0.53598999999999997</v>
      </c>
      <c r="N25" s="60">
        <f>(1-food_insecure)*(0.49)+food_insecure*(0.7)</f>
        <v>0.53598999999999997</v>
      </c>
      <c r="O25" s="60">
        <f>(1-food_insecure)*(0.49)+food_insecure*(0.7)</f>
        <v>0.53598999999999997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0.15118595657099998</v>
      </c>
      <c r="M26" s="60">
        <f>(1-food_insecure)*(0.21)+food_insecure*(0.3)</f>
        <v>0.22970999999999997</v>
      </c>
      <c r="N26" s="60">
        <f>(1-food_insecure)*(0.21)+food_insecure*(0.3)</f>
        <v>0.22970999999999997</v>
      </c>
      <c r="O26" s="60">
        <f>(1-food_insecure)*(0.21)+food_insecure*(0.3)</f>
        <v>0.22970999999999997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0.15420691143000001</v>
      </c>
      <c r="M27" s="60">
        <f>(1-food_insecure)*(0.3)</f>
        <v>0.23430000000000001</v>
      </c>
      <c r="N27" s="60">
        <f>(1-food_insecure)*(0.3)</f>
        <v>0.23430000000000001</v>
      </c>
      <c r="O27" s="60">
        <f>(1-food_insecure)*(0.3)</f>
        <v>0.23430000000000001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0.34183989999999997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