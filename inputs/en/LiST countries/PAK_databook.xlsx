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AA02CA0-46F3-4D99-8567-AB2CC77498E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7" i="2"/>
  <c r="A36" i="2"/>
  <c r="A35" i="2"/>
  <c r="A33" i="2"/>
  <c r="A32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1" i="2" s="1"/>
  <c r="C33" i="1"/>
  <c r="C20" i="1"/>
  <c r="A34" i="2" l="1"/>
  <c r="A39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<sst xmlns="http://schemas.openxmlformats.org/spreadsheetml/2006/main" count="2103" uniqueCount="341">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</sst>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30416861</v>
      </c>
    </row>
    <row r="8" spans="1:3" ht="15" customHeight="1" x14ac:dyDescent="0.25">
      <c r="B8" s="5" t="s">
        <v>8</v>
      </c>
      <c r="C8" s="44">
        <v>3.9E-2</v>
      </c>
    </row>
    <row r="9" spans="1:3" ht="15" customHeight="1" x14ac:dyDescent="0.25">
      <c r="B9" s="5" t="s">
        <v>9</v>
      </c>
      <c r="C9" s="45">
        <v>2.1600000000000001E-2</v>
      </c>
    </row>
    <row r="10" spans="1:3" ht="15" customHeight="1" x14ac:dyDescent="0.25">
      <c r="B10" s="5" t="s">
        <v>10</v>
      </c>
      <c r="C10" s="45">
        <v>0.40135768890380902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6.6199999999999995E-2</v>
      </c>
    </row>
    <row r="24" spans="1:3" ht="15" customHeight="1" x14ac:dyDescent="0.25">
      <c r="B24" s="15" t="s">
        <v>22</v>
      </c>
      <c r="C24" s="45">
        <v>0.55289999999999995</v>
      </c>
    </row>
    <row r="25" spans="1:3" ht="15" customHeight="1" x14ac:dyDescent="0.25">
      <c r="B25" s="15" t="s">
        <v>23</v>
      </c>
      <c r="C25" s="45">
        <v>0.33850000000000002</v>
      </c>
    </row>
    <row r="26" spans="1:3" ht="15" customHeight="1" x14ac:dyDescent="0.25">
      <c r="B26" s="15" t="s">
        <v>24</v>
      </c>
      <c r="C26" s="45">
        <v>4.24E-2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0.24354971332209699</v>
      </c>
    </row>
    <row r="30" spans="1:3" ht="14.25" customHeight="1" x14ac:dyDescent="0.25">
      <c r="B30" s="25" t="s">
        <v>27</v>
      </c>
      <c r="C30" s="99">
        <v>0.13757511584770599</v>
      </c>
    </row>
    <row r="31" spans="1:3" ht="14.25" customHeight="1" x14ac:dyDescent="0.25">
      <c r="B31" s="25" t="s">
        <v>28</v>
      </c>
      <c r="C31" s="99">
        <v>0.13914799772598499</v>
      </c>
    </row>
    <row r="32" spans="1:3" ht="14.25" customHeight="1" x14ac:dyDescent="0.25">
      <c r="B32" s="25" t="s">
        <v>29</v>
      </c>
      <c r="C32" s="99">
        <v>0.47972717310421198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39.443519999999999</v>
      </c>
    </row>
    <row r="38" spans="1:5" ht="15" customHeight="1" x14ac:dyDescent="0.25">
      <c r="B38" s="11" t="s">
        <v>34</v>
      </c>
      <c r="C38" s="43">
        <v>52.780679999999997</v>
      </c>
      <c r="D38" s="12"/>
      <c r="E38" s="13"/>
    </row>
    <row r="39" spans="1:5" ht="15" customHeight="1" x14ac:dyDescent="0.25">
      <c r="B39" s="11" t="s">
        <v>35</v>
      </c>
      <c r="C39" s="43">
        <v>63.332549999999998</v>
      </c>
      <c r="D39" s="12"/>
      <c r="E39" s="12"/>
    </row>
    <row r="40" spans="1:5" ht="15" customHeight="1" x14ac:dyDescent="0.25">
      <c r="B40" s="11" t="s">
        <v>36</v>
      </c>
      <c r="C40" s="100">
        <v>1.54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2.2391600000000001E-2</v>
      </c>
      <c r="D45" s="12"/>
    </row>
    <row r="46" spans="1:5" ht="15.75" customHeight="1" x14ac:dyDescent="0.25">
      <c r="B46" s="11" t="s">
        <v>41</v>
      </c>
      <c r="C46" s="45">
        <v>0.12125619999999999</v>
      </c>
      <c r="D46" s="12"/>
    </row>
    <row r="47" spans="1:5" ht="15.75" customHeight="1" x14ac:dyDescent="0.25">
      <c r="B47" s="11" t="s">
        <v>42</v>
      </c>
      <c r="C47" s="45">
        <v>0.39803450000000001</v>
      </c>
      <c r="D47" s="12"/>
      <c r="E47" s="13"/>
    </row>
    <row r="48" spans="1:5" ht="15" customHeight="1" x14ac:dyDescent="0.25">
      <c r="B48" s="11" t="s">
        <v>43</v>
      </c>
      <c r="C48" s="46">
        <v>0.45831769999999999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0.43655699999999997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6512176</v>
      </c>
      <c r="C2" s="49">
        <v>15284757.5</v>
      </c>
      <c r="D2" s="49">
        <v>21753583</v>
      </c>
      <c r="E2" s="49">
        <v>16402052</v>
      </c>
      <c r="F2" s="49">
        <v>9791724.5</v>
      </c>
      <c r="G2" s="17">
        <f t="shared" ref="G2:G13" si="0">C2+D2+E2+F2</f>
        <v>63232117</v>
      </c>
      <c r="H2" s="17">
        <f t="shared" ref="H2:H13" si="1">(B2 + stillbirth*B2/(1000-stillbirth))/(1-abortion)</f>
        <v>7636289.7183264522</v>
      </c>
      <c r="I2" s="17">
        <f t="shared" ref="I2:I13" si="2">G2-H2</f>
        <v>55595827.281673551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6559877</v>
      </c>
      <c r="C3" s="50">
        <v>15584268.5</v>
      </c>
      <c r="D3" s="50">
        <v>22219563.5</v>
      </c>
      <c r="E3" s="50">
        <v>16886903</v>
      </c>
      <c r="F3" s="50">
        <v>10173399.5</v>
      </c>
      <c r="G3" s="17">
        <f t="shared" si="0"/>
        <v>64864134.5</v>
      </c>
      <c r="H3" s="17">
        <f t="shared" si="1"/>
        <v>7692224.732345406</v>
      </c>
      <c r="I3" s="17">
        <f t="shared" si="2"/>
        <v>57171909.767654598</v>
      </c>
    </row>
    <row r="4" spans="1:9" ht="15.75" customHeight="1" x14ac:dyDescent="0.25">
      <c r="A4" s="5">
        <f t="shared" si="3"/>
        <v>2026</v>
      </c>
      <c r="B4" s="49">
        <v>6623023</v>
      </c>
      <c r="C4" s="50">
        <v>15902843.5</v>
      </c>
      <c r="D4" s="50">
        <v>22658660.5</v>
      </c>
      <c r="E4" s="50">
        <v>17372579</v>
      </c>
      <c r="F4" s="50">
        <v>10567783</v>
      </c>
      <c r="G4" s="17">
        <f t="shared" si="0"/>
        <v>66501866</v>
      </c>
      <c r="H4" s="17">
        <f t="shared" si="1"/>
        <v>7766270.8193297628</v>
      </c>
      <c r="I4" s="17">
        <f t="shared" si="2"/>
        <v>58735595.180670239</v>
      </c>
    </row>
    <row r="5" spans="1:9" ht="15.75" customHeight="1" x14ac:dyDescent="0.25">
      <c r="A5" s="5">
        <f t="shared" si="3"/>
        <v>2027</v>
      </c>
      <c r="B5" s="49">
        <v>6692327</v>
      </c>
      <c r="C5" s="50">
        <v>16197796.5</v>
      </c>
      <c r="D5" s="50">
        <v>23098232.5</v>
      </c>
      <c r="E5" s="50">
        <v>17853399</v>
      </c>
      <c r="F5" s="50">
        <v>10982253</v>
      </c>
      <c r="G5" s="17">
        <f t="shared" si="0"/>
        <v>68131681</v>
      </c>
      <c r="H5" s="17">
        <f t="shared" si="1"/>
        <v>7847537.8831558777</v>
      </c>
      <c r="I5" s="17">
        <f t="shared" si="2"/>
        <v>60284143.116844125</v>
      </c>
    </row>
    <row r="6" spans="1:9" ht="15.75" customHeight="1" x14ac:dyDescent="0.25">
      <c r="A6" s="5">
        <f t="shared" si="3"/>
        <v>2028</v>
      </c>
      <c r="B6" s="49">
        <v>6737602</v>
      </c>
      <c r="C6" s="50">
        <v>16437381</v>
      </c>
      <c r="D6" s="50">
        <v>23543162</v>
      </c>
      <c r="E6" s="50">
        <v>18334721</v>
      </c>
      <c r="F6" s="50">
        <v>11421153.5</v>
      </c>
      <c r="G6" s="17">
        <f t="shared" si="0"/>
        <v>69736417.5</v>
      </c>
      <c r="H6" s="17">
        <f t="shared" si="1"/>
        <v>7900628.1277987175</v>
      </c>
      <c r="I6" s="17">
        <f t="shared" si="2"/>
        <v>61835789.372201279</v>
      </c>
    </row>
    <row r="7" spans="1:9" ht="15.75" customHeight="1" x14ac:dyDescent="0.25">
      <c r="A7" s="5">
        <f t="shared" si="3"/>
        <v>2029</v>
      </c>
      <c r="B7" s="49">
        <v>6772974</v>
      </c>
      <c r="C7" s="50">
        <v>16613599</v>
      </c>
      <c r="D7" s="50">
        <v>23978786.5</v>
      </c>
      <c r="E7" s="50">
        <v>18822077</v>
      </c>
      <c r="F7" s="50">
        <v>11876306</v>
      </c>
      <c r="G7" s="17">
        <f t="shared" si="0"/>
        <v>71290768.5</v>
      </c>
      <c r="H7" s="17">
        <f t="shared" si="1"/>
        <v>7942105.944110292</v>
      </c>
      <c r="I7" s="17">
        <f t="shared" si="2"/>
        <v>63348662.555889711</v>
      </c>
    </row>
    <row r="8" spans="1:9" ht="15.75" customHeight="1" x14ac:dyDescent="0.25">
      <c r="A8" s="5">
        <f t="shared" si="3"/>
        <v>2030</v>
      </c>
      <c r="B8" s="49">
        <v>6821226</v>
      </c>
      <c r="C8" s="50">
        <v>16729643</v>
      </c>
      <c r="D8" s="50">
        <v>24418918.5</v>
      </c>
      <c r="E8" s="50">
        <v>19310422</v>
      </c>
      <c r="F8" s="50">
        <v>12340936</v>
      </c>
      <c r="G8" s="17">
        <f t="shared" si="0"/>
        <v>72799919.5</v>
      </c>
      <c r="H8" s="17">
        <f t="shared" si="1"/>
        <v>7998687.0702175554</v>
      </c>
      <c r="I8" s="17">
        <f t="shared" si="2"/>
        <v>64801232.429782443</v>
      </c>
    </row>
    <row r="9" spans="1:9" ht="15.75" customHeight="1" x14ac:dyDescent="0.25">
      <c r="A9" s="5">
        <f t="shared" si="3"/>
        <v>2031</v>
      </c>
      <c r="B9" s="49">
        <v>6870148</v>
      </c>
      <c r="C9" s="50">
        <v>16804772</v>
      </c>
      <c r="D9" s="50">
        <v>24856064.5</v>
      </c>
      <c r="E9" s="50">
        <v>19804368</v>
      </c>
      <c r="F9" s="50">
        <v>12802222.5</v>
      </c>
      <c r="G9" s="17">
        <f t="shared" si="0"/>
        <v>74267427</v>
      </c>
      <c r="H9" s="17">
        <f t="shared" si="1"/>
        <v>8056053.849862325</v>
      </c>
      <c r="I9" s="17">
        <f t="shared" si="2"/>
        <v>66211373.150137678</v>
      </c>
    </row>
    <row r="10" spans="1:9" ht="15.75" customHeight="1" x14ac:dyDescent="0.25">
      <c r="A10" s="5">
        <f t="shared" si="3"/>
        <v>2032</v>
      </c>
      <c r="B10" s="49">
        <v>6916782</v>
      </c>
      <c r="C10" s="50">
        <v>16852725.5</v>
      </c>
      <c r="D10" s="50">
        <v>25276405.5</v>
      </c>
      <c r="E10" s="50">
        <v>20306219.5</v>
      </c>
      <c r="F10" s="50">
        <v>13253065</v>
      </c>
      <c r="G10" s="17">
        <f t="shared" si="0"/>
        <v>75688415.5</v>
      </c>
      <c r="H10" s="17">
        <f t="shared" si="1"/>
        <v>8110737.6813073661</v>
      </c>
      <c r="I10" s="17">
        <f t="shared" si="2"/>
        <v>67577677.818692639</v>
      </c>
    </row>
    <row r="11" spans="1:9" ht="15.75" customHeight="1" x14ac:dyDescent="0.25">
      <c r="A11" s="5">
        <f t="shared" si="3"/>
        <v>2033</v>
      </c>
      <c r="B11" s="49">
        <v>6947976</v>
      </c>
      <c r="C11" s="50">
        <v>16890950</v>
      </c>
      <c r="D11" s="50">
        <v>25689508</v>
      </c>
      <c r="E11" s="50">
        <v>20812148.5</v>
      </c>
      <c r="F11" s="50">
        <v>13700657</v>
      </c>
      <c r="G11" s="17">
        <f t="shared" si="0"/>
        <v>77093263.5</v>
      </c>
      <c r="H11" s="17">
        <f t="shared" si="1"/>
        <v>8147316.3028731029</v>
      </c>
      <c r="I11" s="17">
        <f t="shared" si="2"/>
        <v>68945947.197126895</v>
      </c>
    </row>
    <row r="12" spans="1:9" ht="15.75" customHeight="1" x14ac:dyDescent="0.25">
      <c r="A12" s="5">
        <f t="shared" si="3"/>
        <v>2034</v>
      </c>
      <c r="B12" s="49">
        <v>6982608</v>
      </c>
      <c r="C12" s="50">
        <v>16948543.5</v>
      </c>
      <c r="D12" s="50">
        <v>26086349.5</v>
      </c>
      <c r="E12" s="50">
        <v>21305646.5</v>
      </c>
      <c r="F12" s="50">
        <v>14136064</v>
      </c>
      <c r="G12" s="17">
        <f t="shared" si="0"/>
        <v>78476603.5</v>
      </c>
      <c r="H12" s="17">
        <f t="shared" si="1"/>
        <v>8187926.3824417572</v>
      </c>
      <c r="I12" s="17">
        <f t="shared" si="2"/>
        <v>70288677.117558241</v>
      </c>
    </row>
    <row r="13" spans="1:9" ht="15.75" customHeight="1" x14ac:dyDescent="0.25">
      <c r="A13" s="5">
        <f t="shared" si="3"/>
        <v>2035</v>
      </c>
      <c r="B13" s="49">
        <v>7016399</v>
      </c>
      <c r="C13" s="50">
        <v>17038104</v>
      </c>
      <c r="D13" s="50">
        <v>26451114.5</v>
      </c>
      <c r="E13" s="50">
        <v>21769124</v>
      </c>
      <c r="F13" s="50">
        <v>14565051.5</v>
      </c>
      <c r="G13" s="17">
        <f t="shared" si="0"/>
        <v>79823394</v>
      </c>
      <c r="H13" s="17">
        <f t="shared" si="1"/>
        <v>8227550.2909282548</v>
      </c>
      <c r="I13" s="17">
        <f t="shared" si="2"/>
        <v>71595843.709071741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1.944252351986717E-2</v>
      </c>
    </row>
    <row r="4" spans="1:8" ht="15.75" customHeight="1" x14ac:dyDescent="0.25">
      <c r="B4" s="19" t="s">
        <v>69</v>
      </c>
      <c r="C4" s="101">
        <v>7.3235278675737148E-2</v>
      </c>
    </row>
    <row r="5" spans="1:8" ht="15.75" customHeight="1" x14ac:dyDescent="0.25">
      <c r="B5" s="19" t="s">
        <v>70</v>
      </c>
      <c r="C5" s="101">
        <v>6.0525674969561093E-2</v>
      </c>
    </row>
    <row r="6" spans="1:8" ht="15.75" customHeight="1" x14ac:dyDescent="0.25">
      <c r="B6" s="19" t="s">
        <v>71</v>
      </c>
      <c r="C6" s="101">
        <v>0.3183471214882706</v>
      </c>
    </row>
    <row r="7" spans="1:8" ht="15.75" customHeight="1" x14ac:dyDescent="0.25">
      <c r="B7" s="19" t="s">
        <v>72</v>
      </c>
      <c r="C7" s="101">
        <v>0.3406088789217484</v>
      </c>
    </row>
    <row r="8" spans="1:8" ht="15.75" customHeight="1" x14ac:dyDescent="0.25">
      <c r="B8" s="19" t="s">
        <v>73</v>
      </c>
      <c r="C8" s="101">
        <v>2.8573357234468609E-3</v>
      </c>
    </row>
    <row r="9" spans="1:8" ht="15.75" customHeight="1" x14ac:dyDescent="0.25">
      <c r="B9" s="19" t="s">
        <v>74</v>
      </c>
      <c r="C9" s="101">
        <v>9.1026223745628063E-2</v>
      </c>
    </row>
    <row r="10" spans="1:8" ht="15.75" customHeight="1" x14ac:dyDescent="0.25">
      <c r="B10" s="19" t="s">
        <v>75</v>
      </c>
      <c r="C10" s="101">
        <v>9.3956962955740589E-2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82</v>
      </c>
      <c r="C15" s="101">
        <v>0.25469599219282613</v>
      </c>
      <c r="D15" s="101">
        <v>0.25469599219282613</v>
      </c>
      <c r="E15" s="101">
        <v>0.25469599219282613</v>
      </c>
      <c r="F15" s="101">
        <v>0.25469599219282613</v>
      </c>
    </row>
    <row r="16" spans="1:8" ht="15.75" customHeight="1" x14ac:dyDescent="0.25">
      <c r="B16" s="19" t="s">
        <v>83</v>
      </c>
      <c r="C16" s="101">
        <v>4.4329835998382708E-2</v>
      </c>
      <c r="D16" s="101">
        <v>4.4329835998382708E-2</v>
      </c>
      <c r="E16" s="101">
        <v>4.4329835998382708E-2</v>
      </c>
      <c r="F16" s="101">
        <v>4.4329835998382708E-2</v>
      </c>
    </row>
    <row r="17" spans="1:8" ht="15.75" customHeight="1" x14ac:dyDescent="0.25">
      <c r="B17" s="19" t="s">
        <v>84</v>
      </c>
      <c r="C17" s="101">
        <v>1.624506748778283E-2</v>
      </c>
      <c r="D17" s="101">
        <v>1.624506748778283E-2</v>
      </c>
      <c r="E17" s="101">
        <v>1.624506748778283E-2</v>
      </c>
      <c r="F17" s="101">
        <v>1.624506748778283E-2</v>
      </c>
    </row>
    <row r="18" spans="1:8" ht="15.75" customHeight="1" x14ac:dyDescent="0.25">
      <c r="B18" s="19" t="s">
        <v>85</v>
      </c>
      <c r="C18" s="101">
        <v>1.0885857198653019E-3</v>
      </c>
      <c r="D18" s="101">
        <v>1.0885857198653019E-3</v>
      </c>
      <c r="E18" s="101">
        <v>1.0885857198653019E-3</v>
      </c>
      <c r="F18" s="101">
        <v>1.0885857198653019E-3</v>
      </c>
    </row>
    <row r="19" spans="1:8" ht="15.75" customHeight="1" x14ac:dyDescent="0.25">
      <c r="B19" s="19" t="s">
        <v>86</v>
      </c>
      <c r="C19" s="101">
        <v>5.4722176235299548E-2</v>
      </c>
      <c r="D19" s="101">
        <v>5.4722176235299548E-2</v>
      </c>
      <c r="E19" s="101">
        <v>5.4722176235299548E-2</v>
      </c>
      <c r="F19" s="101">
        <v>5.4722176235299548E-2</v>
      </c>
    </row>
    <row r="20" spans="1:8" ht="15.75" customHeight="1" x14ac:dyDescent="0.25">
      <c r="B20" s="19" t="s">
        <v>87</v>
      </c>
      <c r="C20" s="101">
        <v>5.8387503878920381E-3</v>
      </c>
      <c r="D20" s="101">
        <v>5.8387503878920381E-3</v>
      </c>
      <c r="E20" s="101">
        <v>5.8387503878920381E-3</v>
      </c>
      <c r="F20" s="101">
        <v>5.8387503878920381E-3</v>
      </c>
    </row>
    <row r="21" spans="1:8" ht="15.75" customHeight="1" x14ac:dyDescent="0.25">
      <c r="B21" s="19" t="s">
        <v>88</v>
      </c>
      <c r="C21" s="101">
        <v>0.17162996652247201</v>
      </c>
      <c r="D21" s="101">
        <v>0.17162996652247201</v>
      </c>
      <c r="E21" s="101">
        <v>0.17162996652247201</v>
      </c>
      <c r="F21" s="101">
        <v>0.17162996652247201</v>
      </c>
    </row>
    <row r="22" spans="1:8" ht="15.75" customHeight="1" x14ac:dyDescent="0.25">
      <c r="B22" s="19" t="s">
        <v>89</v>
      </c>
      <c r="C22" s="101">
        <v>0.23866009663688079</v>
      </c>
      <c r="D22" s="101">
        <v>0.23866009663688079</v>
      </c>
      <c r="E22" s="101">
        <v>0.23866009663688079</v>
      </c>
      <c r="F22" s="101">
        <v>0.23866009663688079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5.2819977999999997E-2</v>
      </c>
    </row>
    <row r="27" spans="1:8" ht="15.75" customHeight="1" x14ac:dyDescent="0.25">
      <c r="B27" s="19" t="s">
        <v>92</v>
      </c>
      <c r="C27" s="101">
        <v>7.1861679999999997E-3</v>
      </c>
    </row>
    <row r="28" spans="1:8" ht="15.75" customHeight="1" x14ac:dyDescent="0.25">
      <c r="B28" s="19" t="s">
        <v>93</v>
      </c>
      <c r="C28" s="101">
        <v>0.250016285</v>
      </c>
    </row>
    <row r="29" spans="1:8" ht="15.75" customHeight="1" x14ac:dyDescent="0.25">
      <c r="B29" s="19" t="s">
        <v>94</v>
      </c>
      <c r="C29" s="101">
        <v>9.3256678999999995E-2</v>
      </c>
    </row>
    <row r="30" spans="1:8" ht="15.75" customHeight="1" x14ac:dyDescent="0.25">
      <c r="B30" s="19" t="s">
        <v>95</v>
      </c>
      <c r="C30" s="101">
        <v>0.12997281799999999</v>
      </c>
    </row>
    <row r="31" spans="1:8" ht="15.75" customHeight="1" x14ac:dyDescent="0.25">
      <c r="B31" s="19" t="s">
        <v>96</v>
      </c>
      <c r="C31" s="101">
        <v>6.0292912999999997E-2</v>
      </c>
    </row>
    <row r="32" spans="1:8" ht="15.75" customHeight="1" x14ac:dyDescent="0.25">
      <c r="B32" s="19" t="s">
        <v>97</v>
      </c>
      <c r="C32" s="101">
        <v>6.2887368999999999E-2</v>
      </c>
    </row>
    <row r="33" spans="2:3" ht="15.75" customHeight="1" x14ac:dyDescent="0.25">
      <c r="B33" s="19" t="s">
        <v>98</v>
      </c>
      <c r="C33" s="101">
        <v>0.164273895</v>
      </c>
    </row>
    <row r="34" spans="2:3" ht="15.75" customHeight="1" x14ac:dyDescent="0.25">
      <c r="B34" s="19" t="s">
        <v>99</v>
      </c>
      <c r="C34" s="101">
        <v>0.17929389600000001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104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105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109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110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0.85991862525000007</v>
      </c>
      <c r="D14" s="54">
        <v>0.83566812777800015</v>
      </c>
      <c r="E14" s="54">
        <v>0.83566812777800015</v>
      </c>
      <c r="F14" s="54">
        <v>0.71781739033000003</v>
      </c>
      <c r="G14" s="54">
        <v>0.71781739033000003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0.37540349528326428</v>
      </c>
      <c r="D15" s="52">
        <f t="shared" si="0"/>
        <v>0.36481677085838038</v>
      </c>
      <c r="E15" s="52">
        <f t="shared" si="0"/>
        <v>0.36481677085838038</v>
      </c>
      <c r="F15" s="52">
        <f t="shared" si="0"/>
        <v>0.31336820647029379</v>
      </c>
      <c r="G15" s="52">
        <f t="shared" si="0"/>
        <v>0.31336820647029379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122</v>
      </c>
      <c r="C5" s="52">
        <v>3.9772000000000002E-2</v>
      </c>
      <c r="D5" s="52">
        <v>7.5788599999999998E-2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40.804970183945777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42.58615056038073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144.36250163639161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0.37492515124354509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0.29442049999999997</v>
      </c>
      <c r="C10" s="98">
        <v>0.95</v>
      </c>
      <c r="D10" s="56">
        <v>13.60386246040132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13.60386246040132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13.60386246040132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13.60386246040132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0.29442049999999997</v>
      </c>
      <c r="C14" s="98">
        <v>0.95</v>
      </c>
      <c r="D14" s="56">
        <v>13.60386246040132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13.60386246040132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3.6473E-3</v>
      </c>
      <c r="C16" s="98">
        <v>0.95</v>
      </c>
      <c r="D16" s="56">
        <v>0.34310519825139207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0.46563719999999997</v>
      </c>
      <c r="C18" s="98">
        <v>0.95</v>
      </c>
      <c r="D18" s="56">
        <v>3.409349542067845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0.46563719999999997</v>
      </c>
      <c r="C19" s="98">
        <v>0.95</v>
      </c>
      <c r="D19" s="56">
        <v>3.409349542067845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2.9700350988978812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23.2491944224648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3.5702999999999999E-2</v>
      </c>
      <c r="C23" s="98">
        <v>0.95</v>
      </c>
      <c r="D23" s="56">
        <v>4.5011360215453697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0.47122926211659999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0.29442049999999997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19.603625971319889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0.37447279999999999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0.1497243</v>
      </c>
      <c r="C29" s="98">
        <v>0.95</v>
      </c>
      <c r="D29" s="56">
        <v>74.335829708896085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1.9602832307524181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0.92</v>
      </c>
      <c r="C32" s="98">
        <v>0.95</v>
      </c>
      <c r="D32" s="56">
        <v>0.69222512641099732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0.84691320000000003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0.35662080000000002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1.1231400000000001E-2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0.25330259999999999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0.1247952</v>
      </c>
      <c r="C38" s="98">
        <v>0.95</v>
      </c>
      <c r="D38" s="56">
        <v>3.614453252824553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205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3.9E-2</v>
      </c>
      <c r="E2" s="60">
        <f>food_insecure</f>
        <v>3.9E-2</v>
      </c>
      <c r="F2" s="60">
        <f>food_insecure</f>
        <v>3.9E-2</v>
      </c>
      <c r="G2" s="60">
        <f>food_insecure</f>
        <v>3.9E-2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3.9E-2</v>
      </c>
      <c r="F5" s="60">
        <f>food_insecure</f>
        <v>3.9E-2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3.9E-2</v>
      </c>
      <c r="F8" s="60">
        <f>food_insecure</f>
        <v>3.9E-2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3.9E-2</v>
      </c>
      <c r="F9" s="60">
        <f>food_insecure</f>
        <v>3.9E-2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3.9E-2</v>
      </c>
      <c r="I15" s="60">
        <f>food_insecure</f>
        <v>3.9E-2</v>
      </c>
      <c r="J15" s="60">
        <f>food_insecure</f>
        <v>3.9E-2</v>
      </c>
      <c r="K15" s="60">
        <f>food_insecure</f>
        <v>3.9E-2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</v>
      </c>
      <c r="M24" s="60">
        <f>famplan_unmet_need</f>
        <v>0.53</v>
      </c>
      <c r="N24" s="60">
        <f>famplan_unmet_need</f>
        <v>0.53</v>
      </c>
      <c r="O24" s="60">
        <f>famplan_unmet_need</f>
        <v>0.53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0.29823761296501133</v>
      </c>
      <c r="M25" s="60">
        <f>(1-food_insecure)*(0.49)+food_insecure*(0.7)</f>
        <v>0.49818999999999997</v>
      </c>
      <c r="N25" s="60">
        <f>(1-food_insecure)*(0.49)+food_insecure*(0.7)</f>
        <v>0.49818999999999997</v>
      </c>
      <c r="O25" s="60">
        <f>(1-food_insecure)*(0.49)+food_insecure*(0.7)</f>
        <v>0.49818999999999997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0.12781611984214772</v>
      </c>
      <c r="M26" s="60">
        <f>(1-food_insecure)*(0.21)+food_insecure*(0.3)</f>
        <v>0.21350999999999998</v>
      </c>
      <c r="N26" s="60">
        <f>(1-food_insecure)*(0.21)+food_insecure*(0.3)</f>
        <v>0.21350999999999998</v>
      </c>
      <c r="O26" s="60">
        <f>(1-food_insecure)*(0.21)+food_insecure*(0.3)</f>
        <v>0.21350999999999998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0.17258857828903185</v>
      </c>
      <c r="M27" s="60">
        <f>(1-food_insecure)*(0.3)</f>
        <v>0.2883</v>
      </c>
      <c r="N27" s="60">
        <f>(1-food_insecure)*(0.3)</f>
        <v>0.2883</v>
      </c>
      <c r="O27" s="60">
        <f>(1-food_insecure)*(0.3)</f>
        <v>0.2883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0.40135768890380896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2.1600000000000001E-2</v>
      </c>
      <c r="D34" s="60">
        <f t="shared" si="3"/>
        <v>2.1600000000000001E-2</v>
      </c>
      <c r="E34" s="60">
        <f t="shared" si="3"/>
        <v>2.1600000000000001E-2</v>
      </c>
      <c r="F34" s="60">
        <f t="shared" si="3"/>
        <v>2.1600000000000001E-2</v>
      </c>
      <c r="G34" s="60">
        <f t="shared" si="3"/>
        <v>2.1600000000000001E-2</v>
      </c>
      <c r="H34" s="60">
        <f t="shared" si="3"/>
        <v>2.1600000000000001E-2</v>
      </c>
      <c r="I34" s="60">
        <f t="shared" si="3"/>
        <v>2.1600000000000001E-2</v>
      </c>
      <c r="J34" s="60">
        <f t="shared" si="3"/>
        <v>2.1600000000000001E-2</v>
      </c>
      <c r="K34" s="60">
        <f t="shared" si="3"/>
        <v>2.1600000000000001E-2</v>
      </c>
      <c r="L34" s="60">
        <f t="shared" si="3"/>
        <v>2.1600000000000001E-2</v>
      </c>
      <c r="M34" s="60">
        <f t="shared" si="3"/>
        <v>2.1600000000000001E-2</v>
      </c>
      <c r="N34" s="60">
        <f t="shared" si="3"/>
        <v>2.1600000000000001E-2</v>
      </c>
      <c r="O34" s="60">
        <f t="shared" si="3"/>
        <v>2.1600000000000001E-2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0.10543171259957373</v>
      </c>
      <c r="G18" s="90">
        <f>MIN(MAX(1-0.89/(1-frac_sam_12_23months+(frac_sam_12_23months*0.89)),0),1)</f>
        <v>0.10798156119309177</v>
      </c>
      <c r="H18" s="90">
        <f>MIN(MAX(1-0.89/(1-frac_sam_24_59months+(frac_sam_24_59months*0.89)),0),1)</f>
        <v>0.10872577197441857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0.10206683773362857</v>
      </c>
      <c r="G20" s="90">
        <f>MIN(MAX(1-0.89/(1-frac_mam_12_23months+(frac_mam_12_23months*0.89)),0),1)</f>
        <v>0.10499195113730708</v>
      </c>
      <c r="H20" s="90">
        <f>MIN(MAX(1-0.89/(1-frac_mam_24_59months+(frac_mam_24_59months*0.89)),0),1)</f>
        <v>0.10654921699976116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9.5401839827130575E-3</v>
      </c>
      <c r="G73" s="90">
        <f>MIN(MAX(1-0.99/(1-frac_sam_12_23months+(frac_sam_12_23months*0.99)),0),1)</f>
        <v>9.7963081691645471E-3</v>
      </c>
      <c r="H73" s="90">
        <f>MIN(MAX(1-0.99/(1-frac_sam_24_59months+(frac_sam_24_59months*0.99)),0),1)</f>
        <v>9.8713129745472417E-3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9.2042185890610639E-3</v>
      </c>
      <c r="G75" s="90">
        <f>MIN(MAX(1-0.99/(1-frac_mam_12_23months+(frac_mam_12_23months*0.99)),0),1)</f>
        <v>9.496145546797452E-3</v>
      </c>
      <c r="H75" s="90">
        <f>MIN(MAX(1-0.99/(1-frac_mam_24_59months+(frac_mam_24_59months*0.99)),0),1)</f>
        <v>9.6522700954236873E-3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0.19250246614793698</v>
      </c>
      <c r="G128" s="90">
        <f>MIN(MAX(1-0.8/(1-frac_sam_12_23months+(frac_sam_12_23months*0.8)),0),1)</f>
        <v>0.19669509114227191</v>
      </c>
      <c r="H128" s="90">
        <f>MIN(MAX(1-0.8/(1-frac_sam_24_59months+(frac_sam_24_59months*0.8)),0),1)</f>
        <v>0.19791506040802453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0.18693941759576105</v>
      </c>
      <c r="G130" s="90">
        <f>MIN(MAX(1-0.8/(1-frac_mam_12_23months+(frac_mam_12_23months*0.8)),0),1)</f>
        <v>0.19177738558775415</v>
      </c>
      <c r="H130" s="90">
        <f>MIN(MAX(1-0.8/(1-frac_mam_24_59months+(frac_mam_24_59months*0.8)),0),1)</f>
        <v>0.19434236594375609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2024-06-18T06:56:40Z</dcterms:modified>
</cp:coreProperties>
</file>