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E67AE0F4-3B86-423A-AF0B-3110CAC63A72}" xr6:coauthVersionLast="47" xr6:coauthVersionMax="47" xr10:uidLastSave="{00000000-0000-0000-0000-000000000000}"/>
  <bookViews>
    <workbookView xWindow="0" yWindow="3670" windowWidth="19200" windowHeight="6530" tabRatio="961" firstSheet="4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state="hidden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G129" i="27" s="1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O67" i="25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9" i="25"/>
  <c r="N19" i="25"/>
  <c r="M19" i="25"/>
  <c r="L19" i="25"/>
  <c r="K19" i="25"/>
  <c r="J19" i="25"/>
  <c r="I19" i="25"/>
  <c r="H19" i="25"/>
  <c r="G19" i="25"/>
  <c r="F19" i="25"/>
  <c r="E19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I40" i="2"/>
  <c r="H40" i="2"/>
  <c r="G40" i="2"/>
  <c r="H39" i="2"/>
  <c r="G39" i="2"/>
  <c r="I39" i="2" s="1"/>
  <c r="I38" i="2"/>
  <c r="H38" i="2"/>
  <c r="G38" i="2"/>
  <c r="A37" i="2"/>
  <c r="A36" i="2"/>
  <c r="A35" i="2"/>
  <c r="A33" i="2"/>
  <c r="A32" i="2"/>
  <c r="A29" i="2"/>
  <c r="A28" i="2"/>
  <c r="A27" i="2"/>
  <c r="A25" i="2"/>
  <c r="A24" i="2"/>
  <c r="A21" i="2"/>
  <c r="A20" i="2"/>
  <c r="A19" i="2"/>
  <c r="A17" i="2"/>
  <c r="A16" i="2"/>
  <c r="H13" i="2"/>
  <c r="G13" i="2"/>
  <c r="I13" i="2" s="1"/>
  <c r="I12" i="2"/>
  <c r="H12" i="2"/>
  <c r="G12" i="2"/>
  <c r="H11" i="2"/>
  <c r="G11" i="2"/>
  <c r="I11" i="2" s="1"/>
  <c r="I10" i="2"/>
  <c r="H10" i="2"/>
  <c r="G10" i="2"/>
  <c r="H9" i="2"/>
  <c r="G9" i="2"/>
  <c r="I9" i="2" s="1"/>
  <c r="I8" i="2"/>
  <c r="H8" i="2"/>
  <c r="G8" i="2"/>
  <c r="H7" i="2"/>
  <c r="G7" i="2"/>
  <c r="I7" i="2" s="1"/>
  <c r="I6" i="2"/>
  <c r="H6" i="2"/>
  <c r="G6" i="2"/>
  <c r="H5" i="2"/>
  <c r="G5" i="2"/>
  <c r="I5" i="2" s="1"/>
  <c r="H4" i="2"/>
  <c r="I4" i="2" s="1"/>
  <c r="G4" i="2"/>
  <c r="H3" i="2"/>
  <c r="G3" i="2"/>
  <c r="I3" i="2" s="1"/>
  <c r="H2" i="2"/>
  <c r="I2" i="2" s="1"/>
  <c r="G2" i="2"/>
  <c r="A2" i="2"/>
  <c r="A39" i="2" s="1"/>
  <c r="C33" i="1"/>
  <c r="C20" i="1"/>
  <c r="A22" i="2" l="1"/>
  <c r="A14" i="2"/>
  <c r="A30" i="2"/>
  <c r="A38" i="2"/>
  <c r="A40" i="2"/>
  <c r="A15" i="2"/>
  <c r="A23" i="2"/>
  <c r="A31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26" i="2"/>
  <c r="A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29" authorId="1" shapeId="0" xr:uid="{00000000-0006-0000-1600-00000E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29" authorId="1" shapeId="0" xr:uid="{00000000-0006-0000-1600-00000F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30" authorId="0" shapeId="0" xr:uid="{00000000-0006-0000-1600-000010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1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2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4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6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7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52" authorId="1" shapeId="0" xr:uid="{00000000-0006-0000-1600-000018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52" authorId="1" shapeId="0" xr:uid="{00000000-0006-0000-1600-000019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53" authorId="0" shapeId="0" xr:uid="{00000000-0006-0000-1600-00001A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B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C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Peña‐Rosas et al 2019, anemia RR 0.72 (0.54-0.97)
If no data for anaemia prev. the use RR otherwise convert RR to OR using prev.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Larson et al 2021, RR 0.80 (0.70-0.92)
If no data for anaemia prev. the use RR otherwise convert RR to OR using prev.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C49" authorId="0" shapeId="0" xr:uid="{00000000-0006-0000-1800-000052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50" authorId="0" shapeId="0" xr:uid="{00000000-0006-0000-1800-00005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6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<sst xmlns="http://schemas.openxmlformats.org/spreadsheetml/2006/main" count="2092" uniqueCount="341">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</sst>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2233111.875</v>
      </c>
    </row>
    <row r="8" spans="1:3" ht="15" customHeight="1" x14ac:dyDescent="0.25">
      <c r="B8" s="5" t="s">
        <v>8</v>
      </c>
      <c r="C8" s="44">
        <v>0.495</v>
      </c>
    </row>
    <row r="9" spans="1:3" ht="15" customHeight="1" x14ac:dyDescent="0.25">
      <c r="B9" s="5" t="s">
        <v>9</v>
      </c>
      <c r="C9" s="45">
        <v>1</v>
      </c>
    </row>
    <row r="10" spans="1:3" ht="15" customHeight="1" x14ac:dyDescent="0.25">
      <c r="B10" s="5" t="s">
        <v>10</v>
      </c>
      <c r="C10" s="45">
        <v>0.39810878753662099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0.755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8.9200000000000002E-2</v>
      </c>
    </row>
    <row r="24" spans="1:3" ht="15" customHeight="1" x14ac:dyDescent="0.25">
      <c r="B24" s="15" t="s">
        <v>22</v>
      </c>
      <c r="C24" s="45">
        <v>0.50560000000000005</v>
      </c>
    </row>
    <row r="25" spans="1:3" ht="15" customHeight="1" x14ac:dyDescent="0.25">
      <c r="B25" s="15" t="s">
        <v>23</v>
      </c>
      <c r="C25" s="45">
        <v>0.33439999999999998</v>
      </c>
    </row>
    <row r="26" spans="1:3" ht="15" customHeight="1" x14ac:dyDescent="0.25">
      <c r="B26" s="15" t="s">
        <v>24</v>
      </c>
      <c r="C26" s="45">
        <v>7.0800000000000002E-2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0.219379248368272</v>
      </c>
    </row>
    <row r="30" spans="1:3" ht="14.25" customHeight="1" x14ac:dyDescent="0.25">
      <c r="B30" s="25" t="s">
        <v>27</v>
      </c>
      <c r="C30" s="99">
        <v>3.6089788005909E-2</v>
      </c>
    </row>
    <row r="31" spans="1:3" ht="14.25" customHeight="1" x14ac:dyDescent="0.25">
      <c r="B31" s="25" t="s">
        <v>28</v>
      </c>
      <c r="C31" s="99">
        <v>9.1984534254138703E-2</v>
      </c>
    </row>
    <row r="32" spans="1:3" ht="14.25" customHeight="1" x14ac:dyDescent="0.25">
      <c r="B32" s="25" t="s">
        <v>29</v>
      </c>
      <c r="C32" s="99">
        <v>0.65254642937168006</v>
      </c>
    </row>
    <row r="33" spans="1:5" ht="13" customHeight="1" x14ac:dyDescent="0.25">
      <c r="B33" s="27" t="s">
        <v>30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29.24811</v>
      </c>
    </row>
    <row r="38" spans="1:5" ht="15" customHeight="1" x14ac:dyDescent="0.25">
      <c r="B38" s="11" t="s">
        <v>34</v>
      </c>
      <c r="C38" s="43">
        <v>55.173659999999998</v>
      </c>
      <c r="D38" s="12"/>
      <c r="E38" s="13"/>
    </row>
    <row r="39" spans="1:5" ht="15" customHeight="1" x14ac:dyDescent="0.25">
      <c r="B39" s="11" t="s">
        <v>35</v>
      </c>
      <c r="C39" s="43">
        <v>83.524249999999995</v>
      </c>
      <c r="D39" s="12"/>
      <c r="E39" s="12"/>
    </row>
    <row r="40" spans="1:5" ht="15" customHeight="1" x14ac:dyDescent="0.25">
      <c r="B40" s="11" t="s">
        <v>36</v>
      </c>
      <c r="C40" s="100">
        <v>5.23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20.004549999999998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5.8957000000000002E-3</v>
      </c>
      <c r="D45" s="12"/>
    </row>
    <row r="46" spans="1:5" ht="15.75" customHeight="1" x14ac:dyDescent="0.25">
      <c r="B46" s="11" t="s">
        <v>41</v>
      </c>
      <c r="C46" s="45">
        <v>6.3348000000000002E-2</v>
      </c>
      <c r="D46" s="12"/>
    </row>
    <row r="47" spans="1:5" ht="15.75" customHeight="1" x14ac:dyDescent="0.25">
      <c r="B47" s="11" t="s">
        <v>42</v>
      </c>
      <c r="C47" s="45">
        <v>7.5394799999999998E-2</v>
      </c>
      <c r="D47" s="12"/>
      <c r="E47" s="13"/>
    </row>
    <row r="48" spans="1:5" ht="15" customHeight="1" x14ac:dyDescent="0.25">
      <c r="B48" s="11" t="s">
        <v>43</v>
      </c>
      <c r="C48" s="46">
        <v>0.85536150000000011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0.41818299999999992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0.16890917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458085.90659999999</v>
      </c>
      <c r="C2" s="49">
        <v>709000</v>
      </c>
      <c r="D2" s="49">
        <v>1142000</v>
      </c>
      <c r="E2" s="49">
        <v>821000</v>
      </c>
      <c r="F2" s="49">
        <v>569000</v>
      </c>
      <c r="G2" s="17">
        <f t="shared" ref="G2:G13" si="0">C2+D2+E2+F2</f>
        <v>3241000</v>
      </c>
      <c r="H2" s="17">
        <f t="shared" ref="H2:H13" si="1">(B2 + stillbirth*B2/(1000-stillbirth))/(1-abortion)</f>
        <v>531178.14637905615</v>
      </c>
      <c r="I2" s="17">
        <f t="shared" ref="I2:I13" si="2">G2-H2</f>
        <v>2709821.8536209436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465004.266</v>
      </c>
      <c r="C3" s="50">
        <v>727000</v>
      </c>
      <c r="D3" s="50">
        <v>1174000</v>
      </c>
      <c r="E3" s="50">
        <v>849000</v>
      </c>
      <c r="F3" s="50">
        <v>587000</v>
      </c>
      <c r="G3" s="17">
        <f t="shared" si="0"/>
        <v>3337000</v>
      </c>
      <c r="H3" s="17">
        <f t="shared" si="1"/>
        <v>539200.39999814657</v>
      </c>
      <c r="I3" s="17">
        <f t="shared" si="2"/>
        <v>2797799.6000018534</v>
      </c>
    </row>
    <row r="4" spans="1:9" ht="15.75" customHeight="1" x14ac:dyDescent="0.25">
      <c r="A4" s="5">
        <f t="shared" si="3"/>
        <v>2026</v>
      </c>
      <c r="B4" s="49">
        <v>472083.9486</v>
      </c>
      <c r="C4" s="50">
        <v>745000</v>
      </c>
      <c r="D4" s="50">
        <v>1206000</v>
      </c>
      <c r="E4" s="50">
        <v>876000</v>
      </c>
      <c r="F4" s="50">
        <v>606000</v>
      </c>
      <c r="G4" s="17">
        <f t="shared" si="0"/>
        <v>3433000</v>
      </c>
      <c r="H4" s="17">
        <f t="shared" si="1"/>
        <v>547409.71756552544</v>
      </c>
      <c r="I4" s="17">
        <f t="shared" si="2"/>
        <v>2885590.2824344747</v>
      </c>
    </row>
    <row r="5" spans="1:9" ht="15.75" customHeight="1" x14ac:dyDescent="0.25">
      <c r="A5" s="5">
        <f t="shared" si="3"/>
        <v>2027</v>
      </c>
      <c r="B5" s="49">
        <v>479086.58880000003</v>
      </c>
      <c r="C5" s="50">
        <v>763000</v>
      </c>
      <c r="D5" s="50">
        <v>1238000</v>
      </c>
      <c r="E5" s="50">
        <v>904000</v>
      </c>
      <c r="F5" s="50">
        <v>625000</v>
      </c>
      <c r="G5" s="17">
        <f t="shared" si="0"/>
        <v>3530000</v>
      </c>
      <c r="H5" s="17">
        <f t="shared" si="1"/>
        <v>555529.69983872701</v>
      </c>
      <c r="I5" s="17">
        <f t="shared" si="2"/>
        <v>2974470.3001612732</v>
      </c>
    </row>
    <row r="6" spans="1:9" ht="15.75" customHeight="1" x14ac:dyDescent="0.25">
      <c r="A6" s="5">
        <f t="shared" si="3"/>
        <v>2028</v>
      </c>
      <c r="B6" s="49">
        <v>486007.05959999998</v>
      </c>
      <c r="C6" s="50">
        <v>781000</v>
      </c>
      <c r="D6" s="50">
        <v>1271000</v>
      </c>
      <c r="E6" s="50">
        <v>932000</v>
      </c>
      <c r="F6" s="50">
        <v>646000</v>
      </c>
      <c r="G6" s="17">
        <f t="shared" si="0"/>
        <v>3630000</v>
      </c>
      <c r="H6" s="17">
        <f t="shared" si="1"/>
        <v>563554.40175304329</v>
      </c>
      <c r="I6" s="17">
        <f t="shared" si="2"/>
        <v>3066445.5982469567</v>
      </c>
    </row>
    <row r="7" spans="1:9" ht="15.75" customHeight="1" x14ac:dyDescent="0.25">
      <c r="A7" s="5">
        <f t="shared" si="3"/>
        <v>2029</v>
      </c>
      <c r="B7" s="49">
        <v>492840.23400000011</v>
      </c>
      <c r="C7" s="50">
        <v>799000</v>
      </c>
      <c r="D7" s="50">
        <v>1306000</v>
      </c>
      <c r="E7" s="50">
        <v>961000</v>
      </c>
      <c r="F7" s="50">
        <v>667000</v>
      </c>
      <c r="G7" s="17">
        <f t="shared" si="0"/>
        <v>3733000</v>
      </c>
      <c r="H7" s="17">
        <f t="shared" si="1"/>
        <v>571477.87824376696</v>
      </c>
      <c r="I7" s="17">
        <f t="shared" si="2"/>
        <v>3161522.1217562333</v>
      </c>
    </row>
    <row r="8" spans="1:9" ht="15.75" customHeight="1" x14ac:dyDescent="0.25">
      <c r="A8" s="5">
        <f t="shared" si="3"/>
        <v>2030</v>
      </c>
      <c r="B8" s="49">
        <v>499549.02</v>
      </c>
      <c r="C8" s="50">
        <v>816000</v>
      </c>
      <c r="D8" s="50">
        <v>1340000</v>
      </c>
      <c r="E8" s="50">
        <v>991000</v>
      </c>
      <c r="F8" s="50">
        <v>691000</v>
      </c>
      <c r="G8" s="17">
        <f t="shared" si="0"/>
        <v>3838000</v>
      </c>
      <c r="H8" s="17">
        <f t="shared" si="1"/>
        <v>579257.11890712439</v>
      </c>
      <c r="I8" s="17">
        <f t="shared" si="2"/>
        <v>3258742.8810928757</v>
      </c>
    </row>
    <row r="9" spans="1:9" ht="15.75" customHeight="1" x14ac:dyDescent="0.25">
      <c r="A9" s="5">
        <f t="shared" si="3"/>
        <v>2031</v>
      </c>
      <c r="B9" s="49">
        <v>505472.32191428571</v>
      </c>
      <c r="C9" s="50">
        <v>831285.71428571432</v>
      </c>
      <c r="D9" s="50">
        <v>1368285.7142857141</v>
      </c>
      <c r="E9" s="50">
        <v>1015285.714285714</v>
      </c>
      <c r="F9" s="50">
        <v>708428.57142857148</v>
      </c>
      <c r="G9" s="17">
        <f t="shared" si="0"/>
        <v>3923285.7142857136</v>
      </c>
      <c r="H9" s="17">
        <f t="shared" si="1"/>
        <v>586125.54355399124</v>
      </c>
      <c r="I9" s="17">
        <f t="shared" si="2"/>
        <v>3337160.1707317224</v>
      </c>
    </row>
    <row r="10" spans="1:9" ht="15.75" customHeight="1" x14ac:dyDescent="0.25">
      <c r="A10" s="5">
        <f t="shared" si="3"/>
        <v>2032</v>
      </c>
      <c r="B10" s="49">
        <v>511253.47275918373</v>
      </c>
      <c r="C10" s="50">
        <v>846183.67346938781</v>
      </c>
      <c r="D10" s="50">
        <v>1396040.8163265311</v>
      </c>
      <c r="E10" s="50">
        <v>1039040.816326531</v>
      </c>
      <c r="F10" s="50">
        <v>725775.51020408166</v>
      </c>
      <c r="G10" s="17">
        <f t="shared" si="0"/>
        <v>4007040.8163265316</v>
      </c>
      <c r="H10" s="17">
        <f t="shared" si="1"/>
        <v>592829.13549054065</v>
      </c>
      <c r="I10" s="17">
        <f t="shared" si="2"/>
        <v>3414211.6808359912</v>
      </c>
    </row>
    <row r="11" spans="1:9" ht="15.75" customHeight="1" x14ac:dyDescent="0.25">
      <c r="A11" s="5">
        <f t="shared" si="3"/>
        <v>2033</v>
      </c>
      <c r="B11" s="49">
        <v>516849.11906763847</v>
      </c>
      <c r="C11" s="50">
        <v>860638.48396501469</v>
      </c>
      <c r="D11" s="50">
        <v>1423189.5043731779</v>
      </c>
      <c r="E11" s="50">
        <v>1062332.3615160349</v>
      </c>
      <c r="F11" s="50">
        <v>742886.29737609334</v>
      </c>
      <c r="G11" s="17">
        <f t="shared" si="0"/>
        <v>4089046.6472303206</v>
      </c>
      <c r="H11" s="17">
        <f t="shared" si="1"/>
        <v>599317.62376554264</v>
      </c>
      <c r="I11" s="17">
        <f t="shared" si="2"/>
        <v>3489729.023464778</v>
      </c>
    </row>
    <row r="12" spans="1:9" ht="15.75" customHeight="1" x14ac:dyDescent="0.25">
      <c r="A12" s="5">
        <f t="shared" si="3"/>
        <v>2034</v>
      </c>
      <c r="B12" s="49">
        <v>522243.76624872972</v>
      </c>
      <c r="C12" s="50">
        <v>874586.83881715965</v>
      </c>
      <c r="D12" s="50">
        <v>1449645.1478550599</v>
      </c>
      <c r="E12" s="50">
        <v>1084951.2703040401</v>
      </c>
      <c r="F12" s="50">
        <v>759727.19700124953</v>
      </c>
      <c r="G12" s="17">
        <f t="shared" si="0"/>
        <v>4168910.4539775094</v>
      </c>
      <c r="H12" s="17">
        <f t="shared" si="1"/>
        <v>605573.04146937362</v>
      </c>
      <c r="I12" s="17">
        <f t="shared" si="2"/>
        <v>3563337.4125081357</v>
      </c>
    </row>
    <row r="13" spans="1:9" ht="15.75" customHeight="1" x14ac:dyDescent="0.25">
      <c r="A13" s="5">
        <f t="shared" si="3"/>
        <v>2035</v>
      </c>
      <c r="B13" s="49">
        <v>527420.43862711964</v>
      </c>
      <c r="C13" s="50">
        <v>887956.38721961097</v>
      </c>
      <c r="D13" s="50">
        <v>1475165.883262926</v>
      </c>
      <c r="E13" s="50">
        <v>1106801.4517760461</v>
      </c>
      <c r="F13" s="50">
        <v>775973.93942999945</v>
      </c>
      <c r="G13" s="17">
        <f t="shared" si="0"/>
        <v>4245897.661688582</v>
      </c>
      <c r="H13" s="17">
        <f t="shared" si="1"/>
        <v>611575.70428599219</v>
      </c>
      <c r="I13" s="17">
        <f t="shared" si="2"/>
        <v>3634321.9574025897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2.0984399999999969E-2</v>
      </c>
    </row>
    <row r="4" spans="1:8" ht="15.75" customHeight="1" x14ac:dyDescent="0.25">
      <c r="B4" s="19" t="s">
        <v>69</v>
      </c>
      <c r="C4" s="101">
        <v>5.8862300000000048E-2</v>
      </c>
    </row>
    <row r="5" spans="1:8" ht="15.75" customHeight="1" x14ac:dyDescent="0.25">
      <c r="B5" s="19" t="s">
        <v>70</v>
      </c>
      <c r="C5" s="101">
        <v>8.1531899999999921E-2</v>
      </c>
    </row>
    <row r="6" spans="1:8" ht="15.75" customHeight="1" x14ac:dyDescent="0.25">
      <c r="B6" s="19" t="s">
        <v>71</v>
      </c>
      <c r="C6" s="101">
        <v>0.24317549999999971</v>
      </c>
    </row>
    <row r="7" spans="1:8" ht="15.75" customHeight="1" x14ac:dyDescent="0.25">
      <c r="B7" s="19" t="s">
        <v>72</v>
      </c>
      <c r="C7" s="101">
        <v>0.41259100000000032</v>
      </c>
    </row>
    <row r="8" spans="1:8" ht="15.75" customHeight="1" x14ac:dyDescent="0.25">
      <c r="B8" s="19" t="s">
        <v>73</v>
      </c>
      <c r="C8" s="101">
        <v>4.2646999999999859E-3</v>
      </c>
    </row>
    <row r="9" spans="1:8" ht="15.75" customHeight="1" x14ac:dyDescent="0.25">
      <c r="B9" s="19" t="s">
        <v>74</v>
      </c>
      <c r="C9" s="101">
        <v>6.8128800000000017E-2</v>
      </c>
    </row>
    <row r="10" spans="1:8" ht="15.75" customHeight="1" x14ac:dyDescent="0.25">
      <c r="B10" s="19" t="s">
        <v>75</v>
      </c>
      <c r="C10" s="101">
        <v>0.1104614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0.1476401011076009</v>
      </c>
      <c r="D14" s="55">
        <v>0.1476401011076009</v>
      </c>
      <c r="E14" s="55">
        <v>0.1476401011076009</v>
      </c>
      <c r="F14" s="55">
        <v>0.1476401011076009</v>
      </c>
    </row>
    <row r="15" spans="1:8" ht="15.75" customHeight="1" x14ac:dyDescent="0.25">
      <c r="B15" s="19" t="s">
        <v>82</v>
      </c>
      <c r="C15" s="101">
        <v>0.2011911478036702</v>
      </c>
      <c r="D15" s="101">
        <v>0.2011911478036702</v>
      </c>
      <c r="E15" s="101">
        <v>0.2011911478036702</v>
      </c>
      <c r="F15" s="101">
        <v>0.2011911478036702</v>
      </c>
    </row>
    <row r="16" spans="1:8" ht="15.75" customHeight="1" x14ac:dyDescent="0.25">
      <c r="B16" s="19" t="s">
        <v>83</v>
      </c>
      <c r="C16" s="101">
        <v>3.3435292418148833E-2</v>
      </c>
      <c r="D16" s="101">
        <v>3.3435292418148833E-2</v>
      </c>
      <c r="E16" s="101">
        <v>3.3435292418148833E-2</v>
      </c>
      <c r="F16" s="101">
        <v>3.3435292418148833E-2</v>
      </c>
    </row>
    <row r="17" spans="1:8" ht="15.75" customHeight="1" x14ac:dyDescent="0.25">
      <c r="B17" s="19" t="s">
        <v>84</v>
      </c>
      <c r="C17" s="101">
        <v>3.015832246129279E-2</v>
      </c>
      <c r="D17" s="101">
        <v>3.015832246129279E-2</v>
      </c>
      <c r="E17" s="101">
        <v>3.015832246129279E-2</v>
      </c>
      <c r="F17" s="101">
        <v>3.015832246129279E-2</v>
      </c>
    </row>
    <row r="18" spans="1:8" ht="15.75" customHeight="1" x14ac:dyDescent="0.25">
      <c r="B18" s="19" t="s">
        <v>85</v>
      </c>
      <c r="C18" s="101">
        <v>0.4033046735168701</v>
      </c>
      <c r="D18" s="101">
        <v>0.4033046735168701</v>
      </c>
      <c r="E18" s="101">
        <v>0.4033046735168701</v>
      </c>
      <c r="F18" s="101">
        <v>0.4033046735168701</v>
      </c>
    </row>
    <row r="19" spans="1:8" ht="15.75" customHeight="1" x14ac:dyDescent="0.25">
      <c r="B19" s="19" t="s">
        <v>86</v>
      </c>
      <c r="C19" s="101">
        <v>9.5212102324277494E-3</v>
      </c>
      <c r="D19" s="101">
        <v>9.5212102324277494E-3</v>
      </c>
      <c r="E19" s="101">
        <v>9.5212102324277494E-3</v>
      </c>
      <c r="F19" s="101">
        <v>9.5212102324277494E-3</v>
      </c>
    </row>
    <row r="20" spans="1:8" ht="15.75" customHeight="1" x14ac:dyDescent="0.25">
      <c r="B20" s="19" t="s">
        <v>87</v>
      </c>
      <c r="C20" s="101">
        <v>1.192277409131451E-2</v>
      </c>
      <c r="D20" s="101">
        <v>1.192277409131451E-2</v>
      </c>
      <c r="E20" s="101">
        <v>1.192277409131451E-2</v>
      </c>
      <c r="F20" s="101">
        <v>1.192277409131451E-2</v>
      </c>
    </row>
    <row r="21" spans="1:8" ht="15.75" customHeight="1" x14ac:dyDescent="0.25">
      <c r="B21" s="19" t="s">
        <v>88</v>
      </c>
      <c r="C21" s="101">
        <v>5.6537733251141399E-2</v>
      </c>
      <c r="D21" s="101">
        <v>5.6537733251141399E-2</v>
      </c>
      <c r="E21" s="101">
        <v>5.6537733251141399E-2</v>
      </c>
      <c r="F21" s="101">
        <v>5.6537733251141399E-2</v>
      </c>
    </row>
    <row r="22" spans="1:8" ht="15.75" customHeight="1" x14ac:dyDescent="0.25">
      <c r="B22" s="19" t="s">
        <v>89</v>
      </c>
      <c r="C22" s="101">
        <v>0.1062887451175335</v>
      </c>
      <c r="D22" s="101">
        <v>0.1062887451175335</v>
      </c>
      <c r="E22" s="101">
        <v>0.1062887451175335</v>
      </c>
      <c r="F22" s="101">
        <v>0.1062887451175335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0.215159032</v>
      </c>
    </row>
    <row r="27" spans="1:8" ht="15.75" customHeight="1" x14ac:dyDescent="0.25">
      <c r="B27" s="19" t="s">
        <v>92</v>
      </c>
      <c r="C27" s="101">
        <v>1.8590265000000002E-2</v>
      </c>
    </row>
    <row r="28" spans="1:8" ht="15.75" customHeight="1" x14ac:dyDescent="0.25">
      <c r="B28" s="19" t="s">
        <v>93</v>
      </c>
      <c r="C28" s="101">
        <v>5.4018957999999999E-2</v>
      </c>
    </row>
    <row r="29" spans="1:8" ht="15.75" customHeight="1" x14ac:dyDescent="0.25">
      <c r="B29" s="19" t="s">
        <v>94</v>
      </c>
      <c r="C29" s="101">
        <v>0.129449545</v>
      </c>
    </row>
    <row r="30" spans="1:8" ht="15.75" customHeight="1" x14ac:dyDescent="0.25">
      <c r="B30" s="19" t="s">
        <v>95</v>
      </c>
      <c r="C30" s="101">
        <v>0.14082996</v>
      </c>
    </row>
    <row r="31" spans="1:8" ht="15.75" customHeight="1" x14ac:dyDescent="0.25">
      <c r="B31" s="19" t="s">
        <v>96</v>
      </c>
      <c r="C31" s="101">
        <v>8.710394199999999E-2</v>
      </c>
    </row>
    <row r="32" spans="1:8" ht="15.75" customHeight="1" x14ac:dyDescent="0.25">
      <c r="B32" s="19" t="s">
        <v>97</v>
      </c>
      <c r="C32" s="101">
        <v>1.6266652E-2</v>
      </c>
    </row>
    <row r="33" spans="2:3" ht="15.75" customHeight="1" x14ac:dyDescent="0.25">
      <c r="B33" s="19" t="s">
        <v>98</v>
      </c>
      <c r="C33" s="101">
        <v>8.3666946000000006E-2</v>
      </c>
    </row>
    <row r="34" spans="2:3" ht="15.75" customHeight="1" x14ac:dyDescent="0.25">
      <c r="B34" s="19" t="s">
        <v>99</v>
      </c>
      <c r="C34" s="101">
        <v>0.254914698</v>
      </c>
    </row>
    <row r="35" spans="2:3" ht="15.75" customHeight="1" x14ac:dyDescent="0.25">
      <c r="B35" s="27" t="s">
        <v>30</v>
      </c>
      <c r="C35" s="48">
        <f>SUM(C26:C34)</f>
        <v>0.99999999799999995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0.48321991248159657</v>
      </c>
      <c r="D2" s="52">
        <f>IFERROR(1-_xlfn.NORM.DIST(_xlfn.NORM.INV(SUM(D4:D5), 0, 1) + 1, 0, 1, TRUE), "")</f>
        <v>0.48321991248159657</v>
      </c>
      <c r="E2" s="52">
        <f>IFERROR(1-_xlfn.NORM.DIST(_xlfn.NORM.INV(SUM(E4:E5), 0, 1) + 1, 0, 1, TRUE), "")</f>
        <v>0.42070843327853302</v>
      </c>
      <c r="F2" s="52">
        <f>IFERROR(1-_xlfn.NORM.DIST(_xlfn.NORM.INV(SUM(F4:F5), 0, 1) + 1, 0, 1, TRUE), "")</f>
        <v>0.27448072441437388</v>
      </c>
      <c r="G2" s="52">
        <f>IFERROR(1-_xlfn.NORM.DIST(_xlfn.NORM.INV(SUM(G4:G5), 0, 1) + 1, 0, 1, TRUE), "")</f>
        <v>0.24005114336615963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0.34773008751840345</v>
      </c>
      <c r="D3" s="52">
        <f>IFERROR(_xlfn.NORM.DIST(_xlfn.NORM.INV(SUM(D4:D5), 0, 1) + 1, 0, 1, TRUE) - SUM(D4:D5), "")</f>
        <v>0.34773008751840345</v>
      </c>
      <c r="E3" s="52">
        <f>IFERROR(_xlfn.NORM.DIST(_xlfn.NORM.INV(SUM(E4:E5), 0, 1) + 1, 0, 1, TRUE) - SUM(E4:E5), "")</f>
        <v>0.36741256672146694</v>
      </c>
      <c r="F3" s="52">
        <f>IFERROR(_xlfn.NORM.DIST(_xlfn.NORM.INV(SUM(F4:F5), 0, 1) + 1, 0, 1, TRUE) - SUM(F4:F5), "")</f>
        <v>0.38119247558562608</v>
      </c>
      <c r="G3" s="52">
        <f>IFERROR(_xlfn.NORM.DIST(_xlfn.NORM.INV(SUM(G4:G5), 0, 1) + 1, 0, 1, TRUE) - SUM(G4:G5), "")</f>
        <v>0.37551715663384039</v>
      </c>
    </row>
    <row r="4" spans="1:15" ht="15.75" customHeight="1" x14ac:dyDescent="0.25">
      <c r="B4" s="5" t="s">
        <v>104</v>
      </c>
      <c r="C4" s="45">
        <v>0.11396199999999999</v>
      </c>
      <c r="D4" s="53">
        <v>0.11396199999999999</v>
      </c>
      <c r="E4" s="53">
        <v>0.15460070000000001</v>
      </c>
      <c r="F4" s="53">
        <v>0.22727710000000001</v>
      </c>
      <c r="G4" s="53">
        <v>0.2411103</v>
      </c>
    </row>
    <row r="5" spans="1:15" ht="15.75" customHeight="1" x14ac:dyDescent="0.25">
      <c r="B5" s="5" t="s">
        <v>105</v>
      </c>
      <c r="C5" s="45">
        <v>5.5087999999999998E-2</v>
      </c>
      <c r="D5" s="53">
        <v>5.5087999999999998E-2</v>
      </c>
      <c r="E5" s="53">
        <v>5.7278299999999997E-2</v>
      </c>
      <c r="F5" s="53">
        <v>0.11704970000000001</v>
      </c>
      <c r="G5" s="53">
        <v>0.14332139999999999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0.69029906059379409</v>
      </c>
      <c r="D8" s="52">
        <f>IFERROR(1-_xlfn.NORM.DIST(_xlfn.NORM.INV(SUM(D10:D11), 0, 1) + 1, 0, 1, TRUE), "")</f>
        <v>0.69029906059379409</v>
      </c>
      <c r="E8" s="52">
        <f>IFERROR(1-_xlfn.NORM.DIST(_xlfn.NORM.INV(SUM(E10:E11), 0, 1) + 1, 0, 1, TRUE), "")</f>
        <v>0.62065285310597829</v>
      </c>
      <c r="F8" s="52">
        <f>IFERROR(1-_xlfn.NORM.DIST(_xlfn.NORM.INV(SUM(F10:F11), 0, 1) + 1, 0, 1, TRUE), "")</f>
        <v>0.67797610140566311</v>
      </c>
      <c r="G8" s="52">
        <f>IFERROR(1-_xlfn.NORM.DIST(_xlfn.NORM.INV(SUM(G10:G11), 0, 1) + 1, 0, 1, TRUE), "")</f>
        <v>0.81008996300694902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0.2424650394062059</v>
      </c>
      <c r="D9" s="52">
        <f>IFERROR(_xlfn.NORM.DIST(_xlfn.NORM.INV(SUM(D10:D11), 0, 1) + 1, 0, 1, TRUE) - SUM(D10:D11), "")</f>
        <v>0.2424650394062059</v>
      </c>
      <c r="E9" s="52">
        <f>IFERROR(_xlfn.NORM.DIST(_xlfn.NORM.INV(SUM(E10:E11), 0, 1) + 1, 0, 1, TRUE) - SUM(E10:E11), "")</f>
        <v>0.28377404689402175</v>
      </c>
      <c r="F9" s="52">
        <f>IFERROR(_xlfn.NORM.DIST(_xlfn.NORM.INV(SUM(F10:F11), 0, 1) + 1, 0, 1, TRUE) - SUM(F10:F11), "")</f>
        <v>0.2501596985943369</v>
      </c>
      <c r="G9" s="52">
        <f>IFERROR(_xlfn.NORM.DIST(_xlfn.NORM.INV(SUM(G10:G11), 0, 1) + 1, 0, 1, TRUE) - SUM(G10:G11), "")</f>
        <v>0.159735036993051</v>
      </c>
    </row>
    <row r="10" spans="1:15" ht="15.75" customHeight="1" x14ac:dyDescent="0.25">
      <c r="B10" s="5" t="s">
        <v>109</v>
      </c>
      <c r="C10" s="45">
        <v>4.7805800000000002E-2</v>
      </c>
      <c r="D10" s="53">
        <v>4.7805800000000002E-2</v>
      </c>
      <c r="E10" s="53">
        <v>7.5145600000000007E-2</v>
      </c>
      <c r="F10" s="53">
        <v>5.4266699999999987E-2</v>
      </c>
      <c r="G10" s="53">
        <v>2.5541999999999999E-2</v>
      </c>
    </row>
    <row r="11" spans="1:15" ht="15.75" customHeight="1" x14ac:dyDescent="0.25">
      <c r="B11" s="5" t="s">
        <v>110</v>
      </c>
      <c r="C11" s="45">
        <v>1.9430099999999999E-2</v>
      </c>
      <c r="D11" s="53">
        <v>1.9430099999999999E-2</v>
      </c>
      <c r="E11" s="53">
        <v>2.0427500000000001E-2</v>
      </c>
      <c r="F11" s="53">
        <v>1.7597499999999999E-2</v>
      </c>
      <c r="G11" s="53">
        <v>4.633E-3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0.6963869907500001</v>
      </c>
      <c r="D14" s="54">
        <v>0.68976179290899997</v>
      </c>
      <c r="E14" s="54">
        <v>0.68976179290899997</v>
      </c>
      <c r="F14" s="54">
        <v>0.61698490867699995</v>
      </c>
      <c r="G14" s="54">
        <v>0.61698490867699995</v>
      </c>
      <c r="H14" s="45">
        <v>0.55500000000000005</v>
      </c>
      <c r="I14" s="55">
        <v>0.55500000000000005</v>
      </c>
      <c r="J14" s="55">
        <v>0.55500000000000005</v>
      </c>
      <c r="K14" s="55">
        <v>0.55500000000000005</v>
      </c>
      <c r="L14" s="45">
        <v>0.46</v>
      </c>
      <c r="M14" s="55">
        <v>0.46</v>
      </c>
      <c r="N14" s="55">
        <v>0.46</v>
      </c>
      <c r="O14" s="55">
        <v>0.46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0.29121720095280723</v>
      </c>
      <c r="D15" s="52">
        <f t="shared" si="0"/>
        <v>0.28844665584406426</v>
      </c>
      <c r="E15" s="52">
        <f t="shared" si="0"/>
        <v>0.28844665584406426</v>
      </c>
      <c r="F15" s="52">
        <f t="shared" si="0"/>
        <v>0.25801260006527382</v>
      </c>
      <c r="G15" s="52">
        <f t="shared" si="0"/>
        <v>0.25801260006527382</v>
      </c>
      <c r="H15" s="52">
        <f t="shared" si="0"/>
        <v>0.23209156499999997</v>
      </c>
      <c r="I15" s="52">
        <f t="shared" si="0"/>
        <v>0.23209156499999997</v>
      </c>
      <c r="J15" s="52">
        <f t="shared" si="0"/>
        <v>0.23209156499999997</v>
      </c>
      <c r="K15" s="52">
        <f t="shared" si="0"/>
        <v>0.23209156499999997</v>
      </c>
      <c r="L15" s="52">
        <f t="shared" si="0"/>
        <v>0.19236417999999997</v>
      </c>
      <c r="M15" s="52">
        <f t="shared" si="0"/>
        <v>0.19236417999999997</v>
      </c>
      <c r="N15" s="52">
        <f t="shared" si="0"/>
        <v>0.19236417999999997</v>
      </c>
      <c r="O15" s="52">
        <f t="shared" si="0"/>
        <v>0.19236417999999997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0.63594139999999999</v>
      </c>
      <c r="D2" s="53">
        <v>0.35273559999999998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0.27326929999999999</v>
      </c>
      <c r="D3" s="53">
        <v>0.45041550000000002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4.2228500000000002E-2</v>
      </c>
      <c r="D4" s="53">
        <v>0.1642421</v>
      </c>
      <c r="E4" s="53">
        <v>0.9582254</v>
      </c>
      <c r="F4" s="53">
        <v>0.68788179999999999</v>
      </c>
      <c r="G4" s="53">
        <v>0</v>
      </c>
    </row>
    <row r="5" spans="1:7" x14ac:dyDescent="0.25">
      <c r="B5" s="3" t="s">
        <v>122</v>
      </c>
      <c r="C5" s="52">
        <v>4.8560800000000001E-2</v>
      </c>
      <c r="D5" s="52">
        <v>3.2606700000000002E-2</v>
      </c>
      <c r="E5" s="52">
        <f>1-SUM(E2:E4)</f>
        <v>4.1774599999999995E-2</v>
      </c>
      <c r="F5" s="52">
        <f>1-SUM(F2:F4)</f>
        <v>0.31211820000000001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opLeftCell="A3" zoomScale="115" zoomScaleNormal="115" workbookViewId="0">
      <selection activeCell="D12" sqref="D12:D13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/>
      <c r="E5" s="38" t="str">
        <f>IF(E$7="","",E$7)</f>
        <v/>
      </c>
    </row>
    <row r="6" spans="1:5" x14ac:dyDescent="0.25">
      <c r="B6" s="32" t="s">
        <v>79</v>
      </c>
      <c r="C6" s="47"/>
      <c r="D6" s="47"/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6.9252405463611402E-2</v>
      </c>
      <c r="C2" s="98">
        <v>0.95</v>
      </c>
      <c r="D2" s="56">
        <v>36.632258166992372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42.492624238472807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78.944041068564843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0.26214644174959462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13.5103361384934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13.5103361384934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13.5103361384934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13.5103361384934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13.5103361384934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13.5103361384934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0.19779983982423099</v>
      </c>
      <c r="C16" s="98">
        <v>0.95</v>
      </c>
      <c r="D16" s="56">
        <v>0.24957385245606781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0.83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1.920909267166234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1.920909267166234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0.31415670000000001</v>
      </c>
      <c r="C21" s="98">
        <v>0.95</v>
      </c>
      <c r="D21" s="56">
        <v>2.660933893201082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23.038760198171971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1.2729E-3</v>
      </c>
      <c r="C23" s="98">
        <v>0.95</v>
      </c>
      <c r="D23" s="56">
        <v>4.4426820703529186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0.71892547543524499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0.117779633434288</v>
      </c>
      <c r="C27" s="98">
        <v>0.95</v>
      </c>
      <c r="D27" s="56">
        <v>19.51310336956082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0.2215608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64.812241154722187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7.9000000000000008E-3</v>
      </c>
      <c r="C31" s="98">
        <v>0.95</v>
      </c>
      <c r="D31" s="56">
        <v>0.72392879504544738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0.35273559999999998</v>
      </c>
      <c r="C32" s="98">
        <v>0.95</v>
      </c>
      <c r="D32" s="56">
        <v>0.48179068639555001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0.194935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0.8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0.16989360000000001</v>
      </c>
      <c r="C38" s="98">
        <v>0.95</v>
      </c>
      <c r="D38" s="56">
        <v>2.654961354727436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0.2588009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0.12429508000000002</v>
      </c>
      <c r="C3" s="21">
        <f>frac_mam_1_5months * 2.6</f>
        <v>0.12429508000000002</v>
      </c>
      <c r="D3" s="21">
        <f>frac_mam_6_11months * 2.6</f>
        <v>0.19537856000000003</v>
      </c>
      <c r="E3" s="21">
        <f>frac_mam_12_23months * 2.6</f>
        <v>0.14109341999999997</v>
      </c>
      <c r="F3" s="21">
        <f>frac_mam_24_59months * 2.6</f>
        <v>6.6409200000000002E-2</v>
      </c>
    </row>
    <row r="4" spans="1:6" ht="15.75" customHeight="1" x14ac:dyDescent="0.25">
      <c r="A4" s="3" t="s">
        <v>205</v>
      </c>
      <c r="B4" s="21">
        <f>frac_sam_1month * 2.6</f>
        <v>5.0518259999999995E-2</v>
      </c>
      <c r="C4" s="21">
        <f>frac_sam_1_5months * 2.6</f>
        <v>5.0518259999999995E-2</v>
      </c>
      <c r="D4" s="21">
        <f>frac_sam_6_11months * 2.6</f>
        <v>5.3111500000000006E-2</v>
      </c>
      <c r="E4" s="21">
        <f>frac_sam_12_23months * 2.6</f>
        <v>4.5753499999999996E-2</v>
      </c>
      <c r="F4" s="21">
        <f>frac_sam_24_59months * 2.6</f>
        <v>1.2045800000000001E-2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0.495</v>
      </c>
      <c r="E2" s="60">
        <f>food_insecure</f>
        <v>0.495</v>
      </c>
      <c r="F2" s="60">
        <f>food_insecure</f>
        <v>0.495</v>
      </c>
      <c r="G2" s="60">
        <f>food_insecure</f>
        <v>0.495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0.495</v>
      </c>
      <c r="F5" s="60">
        <f>food_insecure</f>
        <v>0.495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0.495</v>
      </c>
      <c r="F8" s="60">
        <f>food_insecure</f>
        <v>0.495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0.495</v>
      </c>
      <c r="F9" s="60">
        <f>food_insecure</f>
        <v>0.495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0.495</v>
      </c>
      <c r="I15" s="60">
        <f>food_insecure</f>
        <v>0.495</v>
      </c>
      <c r="J15" s="60">
        <f>food_insecure</f>
        <v>0.495</v>
      </c>
      <c r="K15" s="60">
        <f>food_insecure</f>
        <v>0.495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0.755</v>
      </c>
      <c r="M24" s="60">
        <f>famplan_unmet_need</f>
        <v>0.755</v>
      </c>
      <c r="N24" s="60">
        <f>famplan_unmet_need</f>
        <v>0.755</v>
      </c>
      <c r="O24" s="60">
        <f>famplan_unmet_need</f>
        <v>0.755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0.35749328564262395</v>
      </c>
      <c r="M25" s="60">
        <f>(1-food_insecure)*(0.49)+food_insecure*(0.7)</f>
        <v>0.59394999999999998</v>
      </c>
      <c r="N25" s="60">
        <f>(1-food_insecure)*(0.49)+food_insecure*(0.7)</f>
        <v>0.59394999999999998</v>
      </c>
      <c r="O25" s="60">
        <f>(1-food_insecure)*(0.49)+food_insecure*(0.7)</f>
        <v>0.59394999999999998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0.15321140813255313</v>
      </c>
      <c r="M26" s="60">
        <f>(1-food_insecure)*(0.21)+food_insecure*(0.3)</f>
        <v>0.25455</v>
      </c>
      <c r="N26" s="60">
        <f>(1-food_insecure)*(0.21)+food_insecure*(0.3)</f>
        <v>0.25455</v>
      </c>
      <c r="O26" s="60">
        <f>(1-food_insecure)*(0.21)+food_insecure*(0.3)</f>
        <v>0.25455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9.118651868820192E-2</v>
      </c>
      <c r="M27" s="60">
        <f>(1-food_insecure)*(0.3)</f>
        <v>0.1515</v>
      </c>
      <c r="N27" s="60">
        <f>(1-food_insecure)*(0.3)</f>
        <v>0.1515</v>
      </c>
      <c r="O27" s="60">
        <f>(1-food_insecure)*(0.3)</f>
        <v>0.1515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0.39810878753662099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1</v>
      </c>
      <c r="D34" s="60">
        <f t="shared" si="3"/>
        <v>1</v>
      </c>
      <c r="E34" s="60">
        <f t="shared" si="3"/>
        <v>1</v>
      </c>
      <c r="F34" s="60">
        <f t="shared" si="3"/>
        <v>1</v>
      </c>
      <c r="G34" s="60">
        <f t="shared" si="3"/>
        <v>1</v>
      </c>
      <c r="H34" s="60">
        <f t="shared" si="3"/>
        <v>1</v>
      </c>
      <c r="I34" s="60">
        <f t="shared" si="3"/>
        <v>1</v>
      </c>
      <c r="J34" s="60">
        <f t="shared" si="3"/>
        <v>1</v>
      </c>
      <c r="K34" s="60">
        <f t="shared" si="3"/>
        <v>1</v>
      </c>
      <c r="L34" s="60">
        <f t="shared" si="3"/>
        <v>1</v>
      </c>
      <c r="M34" s="60">
        <f t="shared" si="3"/>
        <v>1</v>
      </c>
      <c r="N34" s="60">
        <f t="shared" si="3"/>
        <v>1</v>
      </c>
      <c r="O34" s="60">
        <f t="shared" si="3"/>
        <v>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1.56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1.56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1.56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1.56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1.37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1.37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1.37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1.37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1.77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1.77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1.77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1.77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riIqDHxQDNIc95k8WEEMlpv2yK5yRhEl3GZr9d21PG7QnhNwxgtjaWmZN+9widROwyhXiwQ4XZiTM/cZ2Cl95g==" saltValue="b1Xx0XPjIcbtdUQJGdoNkQ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31" zoomScale="85" zoomScaleNormal="85" workbookViewId="0">
      <selection activeCell="D5" sqref="D5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Ea5xq8Dht0iRzVx1fQ1EOJdDm09uSIzQRujIfp/VJ8GNGNECqE8Uut2U6j1omy5Y9ajcKxMUHwzsTWrCb+nAw==" saltValue="Poj67khbkyqhF7WVYd6Cs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topLeftCell="A54" zoomScaleNormal="100" workbookViewId="0">
      <selection activeCell="D5" sqref="D5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jjr+eUY+zLxtgvRuigrXBCYk8ZjZeKkvy/Wu7lqFGhk7GKsrVngS9i2Jt2gxX9Fn0pC2b9tyB7+BxRGGivEA==" saltValue="vsQDJsypwJz22iUc18xJ6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6"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0.64</v>
      </c>
      <c r="F6" s="90">
        <v>0.64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v>0.44</v>
      </c>
      <c r="F29" s="90">
        <v>0.44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v>0.92</v>
      </c>
      <c r="F52" s="90">
        <v>0.92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xH3qxfpHv3MxEVFpMF959vuuHVMbjUY0YDJlIXIgHOAA25UaRTm/IIjRx7RzEUfWaTP3eP7cZpYIm+m6J8PbA==" saltValue="wm1A0TwV/0DyOIoqtNvf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10" zoomScale="70" zoomScaleNormal="70" workbookViewId="0">
      <selection activeCell="D5" sqref="D5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Evf/7Nn9p0s2t120JFgJzNA1BIMAO9h8EmTziKGX5ZA7K3Y+rQ77oXfzNqKwsdbYQwCY96ujjsdxuDmqt1luA==" saltValue="pZcegXbvW/wKpwHEQP8p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D5" sqref="D5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0.53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0.51</v>
      </c>
      <c r="M14" s="90">
        <v>0.51</v>
      </c>
      <c r="N14" s="90">
        <v>0.51</v>
      </c>
      <c r="O14" s="90"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f t="shared" ref="E19:O19" si="0">0.72</f>
        <v>0.72</v>
      </c>
      <c r="F19" s="90">
        <f t="shared" si="0"/>
        <v>0.72</v>
      </c>
      <c r="G19" s="90">
        <f t="shared" si="0"/>
        <v>0.72</v>
      </c>
      <c r="H19" s="90">
        <f t="shared" si="0"/>
        <v>0.72</v>
      </c>
      <c r="I19" s="90">
        <f t="shared" si="0"/>
        <v>0.72</v>
      </c>
      <c r="J19" s="90">
        <f t="shared" si="0"/>
        <v>0.72</v>
      </c>
      <c r="K19" s="90">
        <f t="shared" si="0"/>
        <v>0.72</v>
      </c>
      <c r="L19" s="90">
        <f t="shared" si="0"/>
        <v>0.72</v>
      </c>
      <c r="M19" s="90">
        <f t="shared" si="0"/>
        <v>0.72</v>
      </c>
      <c r="N19" s="90">
        <f t="shared" si="0"/>
        <v>0.72</v>
      </c>
      <c r="O19" s="90">
        <f t="shared" si="0"/>
        <v>0.72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0.8</v>
      </c>
      <c r="F21" s="90">
        <v>0.8</v>
      </c>
      <c r="G21" s="90">
        <v>0.8</v>
      </c>
      <c r="H21" s="90">
        <v>0.8</v>
      </c>
      <c r="I21" s="90">
        <v>0.8</v>
      </c>
      <c r="J21" s="90">
        <v>0.8</v>
      </c>
      <c r="K21" s="90">
        <v>0.8</v>
      </c>
      <c r="L21" s="90">
        <v>0.8</v>
      </c>
      <c r="M21" s="90">
        <v>0.8</v>
      </c>
      <c r="N21" s="90">
        <v>0.8</v>
      </c>
      <c r="O21" s="90">
        <v>0.8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0.4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f>L32</f>
        <v>0.38</v>
      </c>
      <c r="M37" s="90">
        <f>M32</f>
        <v>0.38</v>
      </c>
      <c r="N37" s="90">
        <f>N32</f>
        <v>0.38</v>
      </c>
      <c r="O37" s="90">
        <f>O32</f>
        <v>0.38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0.54</v>
      </c>
      <c r="F42" s="90">
        <v>0.54</v>
      </c>
      <c r="G42" s="90">
        <v>0.54</v>
      </c>
      <c r="H42" s="90">
        <v>0.54</v>
      </c>
      <c r="I42" s="90">
        <v>0.54</v>
      </c>
      <c r="J42" s="90">
        <v>0.54</v>
      </c>
      <c r="K42" s="90">
        <v>0.54</v>
      </c>
      <c r="L42" s="90">
        <v>0.54</v>
      </c>
      <c r="M42" s="90">
        <v>0.54</v>
      </c>
      <c r="N42" s="90">
        <v>0.54</v>
      </c>
      <c r="O42" s="90">
        <v>0.54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1</v>
      </c>
      <c r="F43" s="90">
        <f t="shared" si="11"/>
        <v>1</v>
      </c>
      <c r="G43" s="90">
        <f t="shared" si="11"/>
        <v>1</v>
      </c>
      <c r="H43" s="90">
        <f t="shared" si="11"/>
        <v>1</v>
      </c>
      <c r="I43" s="90">
        <f t="shared" si="11"/>
        <v>1</v>
      </c>
      <c r="J43" s="90">
        <f t="shared" si="11"/>
        <v>1</v>
      </c>
      <c r="K43" s="90">
        <f t="shared" si="11"/>
        <v>1</v>
      </c>
      <c r="L43" s="90">
        <f t="shared" si="11"/>
        <v>1</v>
      </c>
      <c r="M43" s="90">
        <f t="shared" si="11"/>
        <v>1</v>
      </c>
      <c r="N43" s="90">
        <f t="shared" si="11"/>
        <v>1</v>
      </c>
      <c r="O43" s="90">
        <f t="shared" si="11"/>
        <v>1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0.7</v>
      </c>
      <c r="F44" s="90">
        <v>0.7</v>
      </c>
      <c r="G44" s="90">
        <v>0.7</v>
      </c>
      <c r="H44" s="90">
        <v>0.7</v>
      </c>
      <c r="I44" s="90">
        <v>0.7</v>
      </c>
      <c r="J44" s="90">
        <v>0.7</v>
      </c>
      <c r="K44" s="90">
        <v>0.7</v>
      </c>
      <c r="L44" s="90">
        <v>0.7</v>
      </c>
      <c r="M44" s="90">
        <v>0.7</v>
      </c>
      <c r="N44" s="90">
        <v>0.7</v>
      </c>
      <c r="O44" s="90">
        <v>0.7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0.7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f>L54</f>
        <v>0.7</v>
      </c>
      <c r="M60" s="90">
        <f>M54</f>
        <v>0.7</v>
      </c>
      <c r="N60" s="90">
        <f>N54</f>
        <v>0.7</v>
      </c>
      <c r="O60" s="90">
        <f>O54</f>
        <v>0.7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</v>
      </c>
      <c r="F65" s="90">
        <v>0.97</v>
      </c>
      <c r="G65" s="90">
        <v>0.97</v>
      </c>
      <c r="H65" s="90">
        <v>0.97</v>
      </c>
      <c r="I65" s="90">
        <v>0.97</v>
      </c>
      <c r="J65" s="90">
        <v>0.97</v>
      </c>
      <c r="K65" s="90">
        <v>0.97</v>
      </c>
      <c r="L65" s="90">
        <v>0.97</v>
      </c>
      <c r="M65" s="90">
        <v>0.97</v>
      </c>
      <c r="N65" s="90">
        <v>0.97</v>
      </c>
      <c r="O65" s="90">
        <v>0.97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</v>
      </c>
      <c r="F66" s="90">
        <f t="shared" si="22"/>
        <v>1</v>
      </c>
      <c r="G66" s="90">
        <f t="shared" si="22"/>
        <v>1</v>
      </c>
      <c r="H66" s="90">
        <f t="shared" si="22"/>
        <v>1</v>
      </c>
      <c r="I66" s="90">
        <f t="shared" si="22"/>
        <v>1</v>
      </c>
      <c r="J66" s="90">
        <f t="shared" si="22"/>
        <v>1</v>
      </c>
      <c r="K66" s="90">
        <f t="shared" si="22"/>
        <v>1</v>
      </c>
      <c r="L66" s="90">
        <f t="shared" si="22"/>
        <v>1</v>
      </c>
      <c r="M66" s="90">
        <f t="shared" si="22"/>
        <v>1</v>
      </c>
      <c r="N66" s="90">
        <f t="shared" si="22"/>
        <v>1</v>
      </c>
      <c r="O66" s="90">
        <f t="shared" si="22"/>
        <v>1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0.92</v>
      </c>
      <c r="F67" s="90">
        <v>0.92</v>
      </c>
      <c r="G67" s="90">
        <v>0.92</v>
      </c>
      <c r="H67" s="90">
        <v>0.92</v>
      </c>
      <c r="I67" s="90">
        <v>0.92</v>
      </c>
      <c r="J67" s="90">
        <v>0.92</v>
      </c>
      <c r="K67" s="90">
        <v>0.92</v>
      </c>
      <c r="L67" s="90">
        <v>0.92</v>
      </c>
      <c r="M67" s="90">
        <v>0.92</v>
      </c>
      <c r="N67" s="90">
        <v>0.92</v>
      </c>
      <c r="O67" s="90">
        <f>IF(ISBLANK('Nutritional status distribution'!O$14),0.92,(0.92*'Nutritional status distribution'!O$14/(1-0.92*'Nutritional status distribution'!O$14))
/ ('Nutritional status distribution'!O$14/(1-'Nutritional status distribution'!O$14)))</f>
        <v>0.86130374479889038</v>
      </c>
    </row>
  </sheetData>
  <sheetProtection algorithmName="SHA-512" hashValue="QTNrTNcX0LQnvnw9OcFIuF8iiKsb7nBsadUCrO1kCxqB4CvEkER3v8YCwNBmR8txM/1IAuOQ/zC/vA8HLWjOhA==" saltValue="f5+QlQPEjGE24L/HhPaCM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Ijv20oIFeX8hEAP3JXu7+FjYQdIWvRgXIH4IkxRsMm14MAW5JMg2x9QOPJ7rc+IAMFEDvKO0XCydnz4Atw3VA==" saltValue="eIHIWivrA2mRyU/FI0KAAQ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53" zoomScale="80" zoomScaleNormal="80" workbookViewId="0">
      <selection activeCell="D5" sqref="D5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F3gzcRwMevsVP9JM+eFJliWIfkjL6RYnVy29HH1zFwKTB/eJc1NVFGROY84dwrfqcI+B8KpOZ1waT1qDgCXQ==" saltValue="0Itsi1W8Rg+oXl6coWpo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SCu+FR+SN+siPEoAiap+3g3Z0SGqFtJklZqGSbEJvGKfBY2J7BHBpfevFvAYPx8Hf15tBeGKZdJ4ehQEpyLRg==" saltValue="A0PmMaoo+OfazXy7x4UxV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2024-03-28T03:03:43Z</dcterms:modified>
</cp:coreProperties>
</file>