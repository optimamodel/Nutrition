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Testing June 2025\Databooks\"/>
    </mc:Choice>
  </mc:AlternateContent>
  <xr:revisionPtr revIDLastSave="0" documentId="8_{68236A55-85FE-4870-92F1-58B5B03A3643}" xr6:coauthVersionLast="47" xr6:coauthVersionMax="47" xr10:uidLastSave="{00000000-0000-0000-0000-000000000000}"/>
  <bookViews>
    <workbookView xWindow="-110" yWindow="-110" windowWidth="19420" windowHeight="10420" tabRatio="961" firstSheet="5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6" i="14" l="1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G152" i="27"/>
  <c r="F152" i="27"/>
  <c r="H136" i="27"/>
  <c r="G136" i="27"/>
  <c r="F136" i="27"/>
  <c r="E136" i="27"/>
  <c r="H135" i="27"/>
  <c r="G135" i="27"/>
  <c r="F135" i="27"/>
  <c r="E135" i="27"/>
  <c r="D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H39" i="2"/>
  <c r="G39" i="2"/>
  <c r="I39" i="2" s="1"/>
  <c r="H38" i="2"/>
  <c r="G38" i="2"/>
  <c r="H13" i="2"/>
  <c r="G13" i="2"/>
  <c r="H12" i="2"/>
  <c r="G12" i="2"/>
  <c r="I12" i="2" s="1"/>
  <c r="H11" i="2"/>
  <c r="G11" i="2"/>
  <c r="I11" i="2" s="1"/>
  <c r="H10" i="2"/>
  <c r="G10" i="2"/>
  <c r="H9" i="2"/>
  <c r="G9" i="2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4" i="2" l="1"/>
  <c r="I8" i="2"/>
  <c r="A25" i="2"/>
  <c r="A26" i="2"/>
  <c r="I9" i="2"/>
  <c r="I13" i="2"/>
  <c r="A31" i="2"/>
  <c r="A34" i="2"/>
  <c r="A40" i="2"/>
  <c r="I2" i="2"/>
  <c r="I6" i="2"/>
  <c r="A19" i="2"/>
  <c r="A35" i="2"/>
  <c r="A22" i="2"/>
  <c r="A36" i="2"/>
  <c r="A37" i="2"/>
  <c r="A23" i="2"/>
  <c r="A24" i="2"/>
  <c r="I38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<sst xmlns="http://schemas.openxmlformats.org/spreadsheetml/2006/main" count="2159" uniqueCount="372">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</sst>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2200874</v>
      </c>
    </row>
    <row r="8" spans="1:3" ht="15" customHeight="1" x14ac:dyDescent="0.25">
      <c r="B8" s="5" t="s">
        <v>8</v>
      </c>
      <c r="C8" s="44">
        <v>0.55000000000000004</v>
      </c>
    </row>
    <row r="9" spans="1:3" ht="15" customHeight="1" x14ac:dyDescent="0.25">
      <c r="B9" s="5" t="s">
        <v>9</v>
      </c>
      <c r="C9" s="45">
        <v>1</v>
      </c>
    </row>
    <row r="10" spans="1:3" ht="15" customHeight="1" x14ac:dyDescent="0.25">
      <c r="B10" s="5" t="s">
        <v>10</v>
      </c>
      <c r="C10" s="45">
        <v>0.39810580000000001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0.33140874869999998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8.9200000000000002E-2</v>
      </c>
    </row>
    <row r="24" spans="1:3" ht="15" customHeight="1" x14ac:dyDescent="0.25">
      <c r="B24" s="15" t="s">
        <v>22</v>
      </c>
      <c r="C24" s="45">
        <v>0.50560000000000005</v>
      </c>
    </row>
    <row r="25" spans="1:3" ht="15" customHeight="1" x14ac:dyDescent="0.25">
      <c r="B25" s="15" t="s">
        <v>23</v>
      </c>
      <c r="C25" s="45">
        <v>0.33439999999999998</v>
      </c>
    </row>
    <row r="26" spans="1:3" ht="15" customHeight="1" x14ac:dyDescent="0.25">
      <c r="B26" s="15" t="s">
        <v>24</v>
      </c>
      <c r="C26" s="45">
        <v>7.0800000000000002E-2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0.219379248368272</v>
      </c>
    </row>
    <row r="30" spans="1:3" ht="14.25" customHeight="1" x14ac:dyDescent="0.25">
      <c r="B30" s="25" t="s">
        <v>27</v>
      </c>
      <c r="C30" s="99">
        <v>3.6089788005909E-2</v>
      </c>
    </row>
    <row r="31" spans="1:3" ht="14.25" customHeight="1" x14ac:dyDescent="0.25">
      <c r="B31" s="25" t="s">
        <v>28</v>
      </c>
      <c r="C31" s="99">
        <v>9.1984534254138703E-2</v>
      </c>
    </row>
    <row r="32" spans="1:3" ht="14.25" customHeight="1" x14ac:dyDescent="0.25">
      <c r="B32" s="25" t="s">
        <v>29</v>
      </c>
      <c r="C32" s="99">
        <v>0.65254642937168006</v>
      </c>
    </row>
    <row r="33" spans="1:5" ht="13.25" customHeight="1" x14ac:dyDescent="0.25">
      <c r="B33" s="27" t="s">
        <v>30</v>
      </c>
      <c r="C33" s="48">
        <f>SUM(C29:C32)</f>
        <v>0.99999999999999978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29.24811</v>
      </c>
    </row>
    <row r="38" spans="1:5" ht="15" customHeight="1" x14ac:dyDescent="0.25">
      <c r="B38" s="11" t="s">
        <v>34</v>
      </c>
      <c r="C38" s="43">
        <v>55.173659999999998</v>
      </c>
      <c r="D38" s="12"/>
      <c r="E38" s="13"/>
    </row>
    <row r="39" spans="1:5" ht="15" customHeight="1" x14ac:dyDescent="0.25">
      <c r="B39" s="11" t="s">
        <v>35</v>
      </c>
      <c r="C39" s="43">
        <v>83.524249999999995</v>
      </c>
      <c r="D39" s="12"/>
      <c r="E39" s="12"/>
    </row>
    <row r="40" spans="1:5" ht="15" customHeight="1" x14ac:dyDescent="0.25">
      <c r="B40" s="11" t="s">
        <v>36</v>
      </c>
      <c r="C40" s="100">
        <v>5.23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20.004549999999998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5.8957000000000002E-3</v>
      </c>
      <c r="D45" s="12"/>
    </row>
    <row r="46" spans="1:5" ht="15.75" customHeight="1" x14ac:dyDescent="0.25">
      <c r="B46" s="11" t="s">
        <v>41</v>
      </c>
      <c r="C46" s="45">
        <v>6.3348000000000002E-2</v>
      </c>
      <c r="D46" s="12"/>
    </row>
    <row r="47" spans="1:5" ht="15.75" customHeight="1" x14ac:dyDescent="0.25">
      <c r="B47" s="11" t="s">
        <v>42</v>
      </c>
      <c r="C47" s="45">
        <v>7.5394799999999998E-2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2.548</v>
      </c>
      <c r="D51" s="12"/>
    </row>
    <row r="52" spans="1:4" ht="15" customHeight="1" x14ac:dyDescent="0.25">
      <c r="B52" s="11" t="s">
        <v>46</v>
      </c>
      <c r="C52" s="100">
        <v>2.548</v>
      </c>
    </row>
    <row r="53" spans="1:4" ht="15.75" customHeight="1" x14ac:dyDescent="0.25">
      <c r="B53" s="11" t="s">
        <v>47</v>
      </c>
      <c r="C53" s="100">
        <v>4.7839999999999998</v>
      </c>
    </row>
    <row r="54" spans="1:4" ht="15.75" customHeight="1" x14ac:dyDescent="0.25">
      <c r="B54" s="11" t="s">
        <v>48</v>
      </c>
      <c r="C54" s="100">
        <v>4.2639999999999993</v>
      </c>
    </row>
    <row r="55" spans="1:4" ht="15.75" customHeight="1" x14ac:dyDescent="0.25">
      <c r="B55" s="11" t="s">
        <v>49</v>
      </c>
      <c r="C55" s="100">
        <v>1.7766666666666671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2.181818181818182E-2</v>
      </c>
    </row>
    <row r="59" spans="1:4" ht="15.75" customHeight="1" x14ac:dyDescent="0.25">
      <c r="B59" s="11" t="s">
        <v>52</v>
      </c>
      <c r="C59" s="45">
        <v>0.41818299999999992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0.16890917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483336</v>
      </c>
      <c r="C2" s="49">
        <v>757268.5</v>
      </c>
      <c r="D2" s="49">
        <v>1199243.5</v>
      </c>
      <c r="E2" s="49">
        <v>882839.5</v>
      </c>
      <c r="F2" s="49">
        <v>611737.5</v>
      </c>
      <c r="G2" s="17">
        <f t="shared" ref="G2:G13" si="0">C2+D2+E2+F2</f>
        <v>3451089</v>
      </c>
      <c r="H2" s="17">
        <f t="shared" ref="H2:H13" si="1">(B2 + stillbirth*B2/(1000-stillbirth))/(1-abortion)</f>
        <v>560457.14757701638</v>
      </c>
      <c r="I2" s="17">
        <f t="shared" ref="I2:I13" si="2">G2-H2</f>
        <v>2890631.8524229834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489564</v>
      </c>
      <c r="C3" s="50">
        <v>777575.5</v>
      </c>
      <c r="D3" s="50">
        <v>1228041</v>
      </c>
      <c r="E3" s="50">
        <v>909087.5</v>
      </c>
      <c r="F3" s="50">
        <v>633320.5</v>
      </c>
      <c r="G3" s="17">
        <f t="shared" si="0"/>
        <v>3548024.5</v>
      </c>
      <c r="H3" s="17">
        <f t="shared" si="1"/>
        <v>567678.88797108934</v>
      </c>
      <c r="I3" s="17">
        <f t="shared" si="2"/>
        <v>2980345.6120289108</v>
      </c>
    </row>
    <row r="4" spans="1:9" ht="15.75" customHeight="1" x14ac:dyDescent="0.25">
      <c r="A4" s="5">
        <f t="shared" si="3"/>
        <v>2026</v>
      </c>
      <c r="B4" s="49">
        <v>494197</v>
      </c>
      <c r="C4" s="50">
        <v>797927.5</v>
      </c>
      <c r="D4" s="50">
        <v>1260760.4999999998</v>
      </c>
      <c r="E4" s="50">
        <v>934090.5</v>
      </c>
      <c r="F4" s="50">
        <v>655495</v>
      </c>
      <c r="G4" s="17">
        <f t="shared" si="0"/>
        <v>3648273.5</v>
      </c>
      <c r="H4" s="17">
        <f t="shared" si="1"/>
        <v>573051.12998228718</v>
      </c>
      <c r="I4" s="17">
        <f t="shared" si="2"/>
        <v>3075222.3700177129</v>
      </c>
    </row>
    <row r="5" spans="1:9" ht="15.75" customHeight="1" x14ac:dyDescent="0.25">
      <c r="A5" s="5">
        <f t="shared" si="3"/>
        <v>2027</v>
      </c>
      <c r="B5" s="49">
        <v>499774</v>
      </c>
      <c r="C5" s="50">
        <v>819002.5</v>
      </c>
      <c r="D5" s="50">
        <v>1295683.5</v>
      </c>
      <c r="E5" s="50">
        <v>959140.5</v>
      </c>
      <c r="F5" s="50">
        <v>678212.5</v>
      </c>
      <c r="G5" s="17">
        <f t="shared" si="0"/>
        <v>3752039</v>
      </c>
      <c r="H5" s="17">
        <f t="shared" si="1"/>
        <v>579517.99674171954</v>
      </c>
      <c r="I5" s="17">
        <f t="shared" si="2"/>
        <v>3172521.0032582805</v>
      </c>
    </row>
    <row r="6" spans="1:9" ht="15.75" customHeight="1" x14ac:dyDescent="0.25">
      <c r="A6" s="5">
        <f t="shared" si="3"/>
        <v>2028</v>
      </c>
      <c r="B6" s="49">
        <v>503256</v>
      </c>
      <c r="C6" s="50">
        <v>842173.5</v>
      </c>
      <c r="D6" s="50">
        <v>1330944</v>
      </c>
      <c r="E6" s="50">
        <v>984589</v>
      </c>
      <c r="F6" s="50">
        <v>701415.50000000012</v>
      </c>
      <c r="G6" s="17">
        <f t="shared" si="0"/>
        <v>3859122</v>
      </c>
      <c r="H6" s="17">
        <f t="shared" si="1"/>
        <v>583555.5850609492</v>
      </c>
      <c r="I6" s="17">
        <f t="shared" si="2"/>
        <v>3275566.4149390506</v>
      </c>
    </row>
    <row r="7" spans="1:9" ht="15.75" customHeight="1" x14ac:dyDescent="0.25">
      <c r="A7" s="5">
        <f t="shared" si="3"/>
        <v>2029</v>
      </c>
      <c r="B7" s="49">
        <v>509582</v>
      </c>
      <c r="C7" s="50">
        <v>867048.5</v>
      </c>
      <c r="D7" s="50">
        <v>1366754.5</v>
      </c>
      <c r="E7" s="50">
        <v>1010713.5</v>
      </c>
      <c r="F7" s="50">
        <v>724374</v>
      </c>
      <c r="G7" s="17">
        <f t="shared" si="0"/>
        <v>3968890.5</v>
      </c>
      <c r="H7" s="17">
        <f t="shared" si="1"/>
        <v>590890.96234625834</v>
      </c>
      <c r="I7" s="17">
        <f t="shared" si="2"/>
        <v>3377999.5376537414</v>
      </c>
    </row>
    <row r="8" spans="1:9" ht="15.75" customHeight="1" x14ac:dyDescent="0.25">
      <c r="A8" s="5">
        <f t="shared" si="3"/>
        <v>2030</v>
      </c>
      <c r="B8" s="49">
        <v>514344.00000000006</v>
      </c>
      <c r="C8" s="50">
        <v>892382</v>
      </c>
      <c r="D8" s="50">
        <v>1403670.9999999998</v>
      </c>
      <c r="E8" s="50">
        <v>1037118.5</v>
      </c>
      <c r="F8" s="50">
        <v>746522.5</v>
      </c>
      <c r="G8" s="17">
        <f t="shared" si="0"/>
        <v>4079694</v>
      </c>
      <c r="H8" s="17">
        <f t="shared" si="1"/>
        <v>596412.7876122467</v>
      </c>
      <c r="I8" s="17">
        <f t="shared" si="2"/>
        <v>3483281.2123877532</v>
      </c>
    </row>
    <row r="9" spans="1:9" ht="15.75" customHeight="1" x14ac:dyDescent="0.25">
      <c r="A9" s="5">
        <f t="shared" si="3"/>
        <v>2031</v>
      </c>
      <c r="B9" s="49">
        <v>519480</v>
      </c>
      <c r="C9" s="50">
        <v>917098</v>
      </c>
      <c r="D9" s="50">
        <v>1442522.5</v>
      </c>
      <c r="E9" s="50">
        <v>1063764.9999999998</v>
      </c>
      <c r="F9" s="50">
        <v>768169</v>
      </c>
      <c r="G9" s="17">
        <f t="shared" si="0"/>
        <v>4191554.5</v>
      </c>
      <c r="H9" s="17">
        <f t="shared" si="1"/>
        <v>602368.2883611162</v>
      </c>
      <c r="I9" s="17">
        <f t="shared" si="2"/>
        <v>3589186.2116388837</v>
      </c>
    </row>
    <row r="10" spans="1:9" ht="15.75" customHeight="1" x14ac:dyDescent="0.25">
      <c r="A10" s="5">
        <f t="shared" si="3"/>
        <v>2032</v>
      </c>
      <c r="B10" s="49">
        <v>523267.00000000006</v>
      </c>
      <c r="C10" s="50">
        <v>939756.5</v>
      </c>
      <c r="D10" s="50">
        <v>1483888.5</v>
      </c>
      <c r="E10" s="50">
        <v>1091293.0000000002</v>
      </c>
      <c r="F10" s="50">
        <v>789707.5</v>
      </c>
      <c r="G10" s="17">
        <f t="shared" si="0"/>
        <v>4304645.5</v>
      </c>
      <c r="H10" s="17">
        <f t="shared" si="1"/>
        <v>606759.54251531581</v>
      </c>
      <c r="I10" s="17">
        <f t="shared" si="2"/>
        <v>3697885.957484684</v>
      </c>
    </row>
    <row r="11" spans="1:9" ht="15.75" customHeight="1" x14ac:dyDescent="0.25">
      <c r="A11" s="5">
        <f t="shared" si="3"/>
        <v>2033</v>
      </c>
      <c r="B11" s="49">
        <v>530676</v>
      </c>
      <c r="C11" s="50">
        <v>958954</v>
      </c>
      <c r="D11" s="50">
        <v>1526944</v>
      </c>
      <c r="E11" s="50">
        <v>1119920</v>
      </c>
      <c r="F11" s="50">
        <v>811672</v>
      </c>
      <c r="G11" s="17">
        <f t="shared" si="0"/>
        <v>4417490</v>
      </c>
      <c r="H11" s="17">
        <f t="shared" si="1"/>
        <v>615350.72340479644</v>
      </c>
      <c r="I11" s="17">
        <f t="shared" si="2"/>
        <v>3802139.2765952037</v>
      </c>
    </row>
    <row r="12" spans="1:9" ht="15.75" customHeight="1" x14ac:dyDescent="0.25">
      <c r="A12" s="5">
        <f t="shared" si="3"/>
        <v>2034</v>
      </c>
      <c r="B12" s="49">
        <v>536855</v>
      </c>
      <c r="C12" s="50">
        <v>974251</v>
      </c>
      <c r="D12" s="50">
        <v>1571098</v>
      </c>
      <c r="E12" s="50">
        <v>1147712</v>
      </c>
      <c r="F12" s="50">
        <v>836122.5</v>
      </c>
      <c r="G12" s="17">
        <f t="shared" si="0"/>
        <v>4529183.5</v>
      </c>
      <c r="H12" s="17">
        <f t="shared" si="1"/>
        <v>622515.64535325137</v>
      </c>
      <c r="I12" s="17">
        <f t="shared" si="2"/>
        <v>3906667.8546467489</v>
      </c>
    </row>
    <row r="13" spans="1:9" ht="15.75" customHeight="1" x14ac:dyDescent="0.25">
      <c r="A13" s="5">
        <f t="shared" si="3"/>
        <v>2035</v>
      </c>
      <c r="B13" s="49">
        <v>544105</v>
      </c>
      <c r="C13" s="50">
        <v>986273.5</v>
      </c>
      <c r="D13" s="50">
        <v>1616070.4999999998</v>
      </c>
      <c r="E13" s="50">
        <v>1176007</v>
      </c>
      <c r="F13" s="50">
        <v>861575</v>
      </c>
      <c r="G13" s="17">
        <f t="shared" si="0"/>
        <v>4639926</v>
      </c>
      <c r="H13" s="17">
        <f t="shared" si="1"/>
        <v>630922.45618450199</v>
      </c>
      <c r="I13" s="17">
        <f t="shared" si="2"/>
        <v>4009003.5438154982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2.0984399999999969E-2</v>
      </c>
    </row>
    <row r="4" spans="1:8" ht="15.75" customHeight="1" x14ac:dyDescent="0.25">
      <c r="B4" s="19" t="s">
        <v>69</v>
      </c>
      <c r="C4" s="101">
        <v>5.8862300000000048E-2</v>
      </c>
    </row>
    <row r="5" spans="1:8" ht="15.75" customHeight="1" x14ac:dyDescent="0.25">
      <c r="B5" s="19" t="s">
        <v>70</v>
      </c>
      <c r="C5" s="101">
        <v>8.1531899999999921E-2</v>
      </c>
    </row>
    <row r="6" spans="1:8" ht="15.75" customHeight="1" x14ac:dyDescent="0.25">
      <c r="B6" s="19" t="s">
        <v>71</v>
      </c>
      <c r="C6" s="101">
        <v>0.24317549999999971</v>
      </c>
    </row>
    <row r="7" spans="1:8" ht="15.75" customHeight="1" x14ac:dyDescent="0.25">
      <c r="B7" s="19" t="s">
        <v>72</v>
      </c>
      <c r="C7" s="101">
        <v>0.41259100000000032</v>
      </c>
    </row>
    <row r="8" spans="1:8" ht="15.75" customHeight="1" x14ac:dyDescent="0.25">
      <c r="B8" s="19" t="s">
        <v>73</v>
      </c>
      <c r="C8" s="101">
        <v>4.2646999999999859E-3</v>
      </c>
    </row>
    <row r="9" spans="1:8" ht="15.75" customHeight="1" x14ac:dyDescent="0.25">
      <c r="B9" s="19" t="s">
        <v>74</v>
      </c>
      <c r="C9" s="101">
        <v>6.8128800000000017E-2</v>
      </c>
    </row>
    <row r="10" spans="1:8" ht="15.75" customHeight="1" x14ac:dyDescent="0.25">
      <c r="B10" s="19" t="s">
        <v>75</v>
      </c>
      <c r="C10" s="101">
        <v>0.1104614</v>
      </c>
    </row>
    <row r="11" spans="1:8" ht="15.75" customHeight="1" x14ac:dyDescent="0.25">
      <c r="B11" s="27" t="s">
        <v>30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0.1476401011076009</v>
      </c>
      <c r="D14" s="55">
        <v>0.1476401011076009</v>
      </c>
      <c r="E14" s="55">
        <v>0.1476401011076009</v>
      </c>
      <c r="F14" s="55">
        <v>0.1476401011076009</v>
      </c>
    </row>
    <row r="15" spans="1:8" ht="15.75" customHeight="1" x14ac:dyDescent="0.25">
      <c r="B15" s="19" t="s">
        <v>82</v>
      </c>
      <c r="C15" s="101">
        <v>0.2011911478036702</v>
      </c>
      <c r="D15" s="101">
        <v>0.2011911478036702</v>
      </c>
      <c r="E15" s="101">
        <v>0.2011911478036702</v>
      </c>
      <c r="F15" s="101">
        <v>0.2011911478036702</v>
      </c>
    </row>
    <row r="16" spans="1:8" ht="15.75" customHeight="1" x14ac:dyDescent="0.25">
      <c r="B16" s="19" t="s">
        <v>83</v>
      </c>
      <c r="C16" s="101">
        <v>3.3435292418148833E-2</v>
      </c>
      <c r="D16" s="101">
        <v>3.3435292418148833E-2</v>
      </c>
      <c r="E16" s="101">
        <v>3.3435292418148833E-2</v>
      </c>
      <c r="F16" s="101">
        <v>3.3435292418148833E-2</v>
      </c>
    </row>
    <row r="17" spans="1:8" ht="15.75" customHeight="1" x14ac:dyDescent="0.25">
      <c r="B17" s="19" t="s">
        <v>84</v>
      </c>
      <c r="C17" s="101">
        <v>3.015832246129279E-2</v>
      </c>
      <c r="D17" s="101">
        <v>3.015832246129279E-2</v>
      </c>
      <c r="E17" s="101">
        <v>3.015832246129279E-2</v>
      </c>
      <c r="F17" s="101">
        <v>3.015832246129279E-2</v>
      </c>
    </row>
    <row r="18" spans="1:8" ht="15.75" customHeight="1" x14ac:dyDescent="0.25">
      <c r="B18" s="19" t="s">
        <v>85</v>
      </c>
      <c r="C18" s="101">
        <v>0.4033046735168701</v>
      </c>
      <c r="D18" s="101">
        <v>0.4033046735168701</v>
      </c>
      <c r="E18" s="101">
        <v>0.4033046735168701</v>
      </c>
      <c r="F18" s="101">
        <v>0.4033046735168701</v>
      </c>
    </row>
    <row r="19" spans="1:8" ht="15.75" customHeight="1" x14ac:dyDescent="0.25">
      <c r="B19" s="19" t="s">
        <v>86</v>
      </c>
      <c r="C19" s="101">
        <v>9.5212102324277494E-3</v>
      </c>
      <c r="D19" s="101">
        <v>9.5212102324277494E-3</v>
      </c>
      <c r="E19" s="101">
        <v>9.5212102324277494E-3</v>
      </c>
      <c r="F19" s="101">
        <v>9.5212102324277494E-3</v>
      </c>
    </row>
    <row r="20" spans="1:8" ht="15.75" customHeight="1" x14ac:dyDescent="0.25">
      <c r="B20" s="19" t="s">
        <v>87</v>
      </c>
      <c r="C20" s="101">
        <v>1.192277409131451E-2</v>
      </c>
      <c r="D20" s="101">
        <v>1.192277409131451E-2</v>
      </c>
      <c r="E20" s="101">
        <v>1.192277409131451E-2</v>
      </c>
      <c r="F20" s="101">
        <v>1.192277409131451E-2</v>
      </c>
    </row>
    <row r="21" spans="1:8" ht="15.75" customHeight="1" x14ac:dyDescent="0.25">
      <c r="B21" s="19" t="s">
        <v>88</v>
      </c>
      <c r="C21" s="101">
        <v>5.6537733251141399E-2</v>
      </c>
      <c r="D21" s="101">
        <v>5.6537733251141399E-2</v>
      </c>
      <c r="E21" s="101">
        <v>5.6537733251141399E-2</v>
      </c>
      <c r="F21" s="101">
        <v>5.6537733251141399E-2</v>
      </c>
    </row>
    <row r="22" spans="1:8" ht="15.75" customHeight="1" x14ac:dyDescent="0.25">
      <c r="B22" s="19" t="s">
        <v>89</v>
      </c>
      <c r="C22" s="101">
        <v>0.1062887451175335</v>
      </c>
      <c r="D22" s="101">
        <v>0.1062887451175335</v>
      </c>
      <c r="E22" s="101">
        <v>0.1062887451175335</v>
      </c>
      <c r="F22" s="101">
        <v>0.1062887451175335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0.215159032</v>
      </c>
    </row>
    <row r="27" spans="1:8" ht="15.75" customHeight="1" x14ac:dyDescent="0.25">
      <c r="B27" s="19" t="s">
        <v>92</v>
      </c>
      <c r="C27" s="101">
        <v>1.8590265000000002E-2</v>
      </c>
    </row>
    <row r="28" spans="1:8" ht="15.75" customHeight="1" x14ac:dyDescent="0.25">
      <c r="B28" s="19" t="s">
        <v>93</v>
      </c>
      <c r="C28" s="101">
        <v>5.4018957999999999E-2</v>
      </c>
    </row>
    <row r="29" spans="1:8" ht="15.75" customHeight="1" x14ac:dyDescent="0.25">
      <c r="B29" s="19" t="s">
        <v>94</v>
      </c>
      <c r="C29" s="101">
        <v>0.129449545</v>
      </c>
    </row>
    <row r="30" spans="1:8" ht="15.75" customHeight="1" x14ac:dyDescent="0.25">
      <c r="B30" s="19" t="s">
        <v>95</v>
      </c>
      <c r="C30" s="101">
        <v>0.14082996</v>
      </c>
    </row>
    <row r="31" spans="1:8" ht="15.75" customHeight="1" x14ac:dyDescent="0.25">
      <c r="B31" s="19" t="s">
        <v>96</v>
      </c>
      <c r="C31" s="101">
        <v>8.710394199999999E-2</v>
      </c>
    </row>
    <row r="32" spans="1:8" ht="15.75" customHeight="1" x14ac:dyDescent="0.25">
      <c r="B32" s="19" t="s">
        <v>97</v>
      </c>
      <c r="C32" s="101">
        <v>1.6266652E-2</v>
      </c>
    </row>
    <row r="33" spans="2:3" ht="15.75" customHeight="1" x14ac:dyDescent="0.25">
      <c r="B33" s="19" t="s">
        <v>98</v>
      </c>
      <c r="C33" s="101">
        <v>8.3666946000000006E-2</v>
      </c>
    </row>
    <row r="34" spans="2:3" ht="15.75" customHeight="1" x14ac:dyDescent="0.25">
      <c r="B34" s="19" t="s">
        <v>99</v>
      </c>
      <c r="C34" s="101">
        <v>0.254914698</v>
      </c>
    </row>
    <row r="35" spans="2:3" ht="15.75" customHeight="1" x14ac:dyDescent="0.25">
      <c r="B35" s="27" t="s">
        <v>30</v>
      </c>
      <c r="C35" s="48">
        <f>SUM(C26:C34)</f>
        <v>0.99999999799999995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E28" sqref="E28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0.48321991248159657</v>
      </c>
      <c r="D2" s="52">
        <f>IFERROR(1-_xlfn.NORM.DIST(_xlfn.NORM.INV(SUM(D4:D5), 0, 1) + 1, 0, 1, TRUE), "")</f>
        <v>0.48321991248159657</v>
      </c>
      <c r="E2" s="52">
        <f>IFERROR(1-_xlfn.NORM.DIST(_xlfn.NORM.INV(SUM(E4:E5), 0, 1) + 1, 0, 1, TRUE), "")</f>
        <v>0.42070843327853302</v>
      </c>
      <c r="F2" s="52">
        <f>IFERROR(1-_xlfn.NORM.DIST(_xlfn.NORM.INV(SUM(F4:F5), 0, 1) + 1, 0, 1, TRUE), "")</f>
        <v>0.27448072441437388</v>
      </c>
      <c r="G2" s="52">
        <f>IFERROR(1-_xlfn.NORM.DIST(_xlfn.NORM.INV(SUM(G4:G5), 0, 1) + 1, 0, 1, TRUE), "")</f>
        <v>0.24005114336615963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0.34773008751840345</v>
      </c>
      <c r="D3" s="52">
        <f>IFERROR(_xlfn.NORM.DIST(_xlfn.NORM.INV(SUM(D4:D5), 0, 1) + 1, 0, 1, TRUE) - SUM(D4:D5), "")</f>
        <v>0.34773008751840345</v>
      </c>
      <c r="E3" s="52">
        <f>IFERROR(_xlfn.NORM.DIST(_xlfn.NORM.INV(SUM(E4:E5), 0, 1) + 1, 0, 1, TRUE) - SUM(E4:E5), "")</f>
        <v>0.36741256672146694</v>
      </c>
      <c r="F3" s="52">
        <f>IFERROR(_xlfn.NORM.DIST(_xlfn.NORM.INV(SUM(F4:F5), 0, 1) + 1, 0, 1, TRUE) - SUM(F4:F5), "")</f>
        <v>0.38119247558562608</v>
      </c>
      <c r="G3" s="52">
        <f>IFERROR(_xlfn.NORM.DIST(_xlfn.NORM.INV(SUM(G4:G5), 0, 1) + 1, 0, 1, TRUE) - SUM(G4:G5), "")</f>
        <v>0.37551715663384039</v>
      </c>
    </row>
    <row r="4" spans="1:15" ht="15.75" customHeight="1" x14ac:dyDescent="0.25">
      <c r="B4" s="5" t="s">
        <v>104</v>
      </c>
      <c r="C4" s="45">
        <v>0.11396199999999999</v>
      </c>
      <c r="D4" s="53">
        <v>0.11396199999999999</v>
      </c>
      <c r="E4" s="53">
        <v>0.15460070000000001</v>
      </c>
      <c r="F4" s="53">
        <v>0.22727710000000001</v>
      </c>
      <c r="G4" s="53">
        <v>0.2411103</v>
      </c>
    </row>
    <row r="5" spans="1:15" ht="15.75" customHeight="1" x14ac:dyDescent="0.25">
      <c r="B5" s="5" t="s">
        <v>105</v>
      </c>
      <c r="C5" s="45">
        <v>5.5087999999999998E-2</v>
      </c>
      <c r="D5" s="53">
        <v>5.5087999999999998E-2</v>
      </c>
      <c r="E5" s="53">
        <v>5.7278299999999997E-2</v>
      </c>
      <c r="F5" s="53">
        <v>0.11704970000000001</v>
      </c>
      <c r="G5" s="53">
        <v>0.14332139999999999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0.69029906059379409</v>
      </c>
      <c r="D8" s="52">
        <f>IFERROR(1-_xlfn.NORM.DIST(_xlfn.NORM.INV(SUM(D10:D11), 0, 1) + 1, 0, 1, TRUE), "")</f>
        <v>0.69029906059379409</v>
      </c>
      <c r="E8" s="52">
        <f>IFERROR(1-_xlfn.NORM.DIST(_xlfn.NORM.INV(SUM(E10:E11), 0, 1) + 1, 0, 1, TRUE), "")</f>
        <v>0.62065285310597829</v>
      </c>
      <c r="F8" s="52">
        <f>IFERROR(1-_xlfn.NORM.DIST(_xlfn.NORM.INV(SUM(F10:F11), 0, 1) + 1, 0, 1, TRUE), "")</f>
        <v>0.67797610140566311</v>
      </c>
      <c r="G8" s="52">
        <f>IFERROR(1-_xlfn.NORM.DIST(_xlfn.NORM.INV(SUM(G10:G11), 0, 1) + 1, 0, 1, TRUE), "")</f>
        <v>0.81008996300694902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0.2424650394062059</v>
      </c>
      <c r="D9" s="52">
        <f>IFERROR(_xlfn.NORM.DIST(_xlfn.NORM.INV(SUM(D10:D11), 0, 1) + 1, 0, 1, TRUE) - SUM(D10:D11), "")</f>
        <v>0.2424650394062059</v>
      </c>
      <c r="E9" s="52">
        <f>IFERROR(_xlfn.NORM.DIST(_xlfn.NORM.INV(SUM(E10:E11), 0, 1) + 1, 0, 1, TRUE) - SUM(E10:E11), "")</f>
        <v>0.28377404689402175</v>
      </c>
      <c r="F9" s="52">
        <f>IFERROR(_xlfn.NORM.DIST(_xlfn.NORM.INV(SUM(F10:F11), 0, 1) + 1, 0, 1, TRUE) - SUM(F10:F11), "")</f>
        <v>0.2501596985943369</v>
      </c>
      <c r="G9" s="52">
        <f>IFERROR(_xlfn.NORM.DIST(_xlfn.NORM.INV(SUM(G10:G11), 0, 1) + 1, 0, 1, TRUE) - SUM(G10:G11), "")</f>
        <v>0.159735036993051</v>
      </c>
    </row>
    <row r="10" spans="1:15" ht="15.75" customHeight="1" x14ac:dyDescent="0.25">
      <c r="B10" s="5" t="s">
        <v>109</v>
      </c>
      <c r="C10" s="45">
        <v>4.7805800000000002E-2</v>
      </c>
      <c r="D10" s="53">
        <v>4.7805800000000002E-2</v>
      </c>
      <c r="E10" s="53">
        <v>7.5145600000000007E-2</v>
      </c>
      <c r="F10" s="53">
        <v>5.4266699999999987E-2</v>
      </c>
      <c r="G10" s="53">
        <v>2.5541999999999999E-2</v>
      </c>
    </row>
    <row r="11" spans="1:15" ht="15.75" customHeight="1" x14ac:dyDescent="0.25">
      <c r="B11" s="5" t="s">
        <v>110</v>
      </c>
      <c r="C11" s="45">
        <v>1.9430099999999999E-2</v>
      </c>
      <c r="D11" s="53">
        <v>1.9430099999999999E-2</v>
      </c>
      <c r="E11" s="53">
        <v>2.0427500000000001E-2</v>
      </c>
      <c r="F11" s="53">
        <v>1.7597499999999999E-2</v>
      </c>
      <c r="G11" s="53">
        <v>4.633E-3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0.6963869907500001</v>
      </c>
      <c r="D14" s="54">
        <v>0.68976179290899997</v>
      </c>
      <c r="E14" s="54">
        <v>0.68976179290899997</v>
      </c>
      <c r="F14" s="54">
        <v>0.61698490867699995</v>
      </c>
      <c r="G14" s="54">
        <v>0.61698490867699995</v>
      </c>
      <c r="H14" s="45">
        <v>0.55500000000000005</v>
      </c>
      <c r="I14" s="55">
        <v>0.55500000000000005</v>
      </c>
      <c r="J14" s="55">
        <v>0.55500000000000005</v>
      </c>
      <c r="K14" s="55">
        <v>0.55500000000000005</v>
      </c>
      <c r="L14" s="45">
        <v>0.46</v>
      </c>
      <c r="M14" s="55">
        <v>0.46</v>
      </c>
      <c r="N14" s="55">
        <v>0.46</v>
      </c>
      <c r="O14" s="55">
        <v>0.46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0.29121720095280723</v>
      </c>
      <c r="D15" s="52">
        <f t="shared" si="0"/>
        <v>0.28844665584406426</v>
      </c>
      <c r="E15" s="52">
        <f t="shared" si="0"/>
        <v>0.28844665584406426</v>
      </c>
      <c r="F15" s="52">
        <f t="shared" si="0"/>
        <v>0.25801260006527382</v>
      </c>
      <c r="G15" s="52">
        <f t="shared" si="0"/>
        <v>0.25801260006527382</v>
      </c>
      <c r="H15" s="52">
        <f t="shared" si="0"/>
        <v>0.23209156499999997</v>
      </c>
      <c r="I15" s="52">
        <f t="shared" si="0"/>
        <v>0.23209156499999997</v>
      </c>
      <c r="J15" s="52">
        <f t="shared" si="0"/>
        <v>0.23209156499999997</v>
      </c>
      <c r="K15" s="52">
        <f t="shared" si="0"/>
        <v>0.23209156499999997</v>
      </c>
      <c r="L15" s="52">
        <f t="shared" si="0"/>
        <v>0.19236417999999997</v>
      </c>
      <c r="M15" s="52">
        <f t="shared" si="0"/>
        <v>0.19236417999999997</v>
      </c>
      <c r="N15" s="52">
        <f t="shared" si="0"/>
        <v>0.19236417999999997</v>
      </c>
      <c r="O15" s="52">
        <f t="shared" si="0"/>
        <v>0.19236417999999997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0.63594139999999999</v>
      </c>
      <c r="D2" s="53">
        <v>0.35273559999999998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0.27326929999999999</v>
      </c>
      <c r="D3" s="53">
        <v>0.45041550000000002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4.2228500000000002E-2</v>
      </c>
      <c r="D4" s="53">
        <v>0.1642421</v>
      </c>
      <c r="E4" s="53">
        <v>0.9582254</v>
      </c>
      <c r="F4" s="53">
        <v>0.68788179999999999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4.856079999999996E-2</v>
      </c>
      <c r="D5" s="52">
        <f t="shared" si="0"/>
        <v>3.2606799999999936E-2</v>
      </c>
      <c r="E5" s="52">
        <f>1-SUM(E2:E4)</f>
        <v>4.1774599999999995E-2</v>
      </c>
      <c r="F5" s="52">
        <f>1-SUM(F2:F4)</f>
        <v>0.31211820000000001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334</v>
      </c>
      <c r="B1" s="105" t="s">
        <v>335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336</v>
      </c>
      <c r="B2" s="109">
        <v>1302.85103626824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337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338</v>
      </c>
      <c r="B4" s="110">
        <v>0.36139000000000004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339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340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341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342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343</v>
      </c>
      <c r="B9" s="110">
        <v>0.57291999999999998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344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345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346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347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348</v>
      </c>
      <c r="B14" s="112">
        <v>1.7548573585507706E-2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349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350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351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352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353</v>
      </c>
      <c r="B21" s="108" t="s">
        <v>354</v>
      </c>
      <c r="C21" s="108" t="s">
        <v>355</v>
      </c>
      <c r="D21" s="108" t="s">
        <v>356</v>
      </c>
      <c r="E21" s="108" t="s">
        <v>357</v>
      </c>
      <c r="F21" s="108" t="s">
        <v>358</v>
      </c>
      <c r="G21" s="108" t="s">
        <v>359</v>
      </c>
      <c r="H21" s="108" t="s">
        <v>360</v>
      </c>
      <c r="I21" s="108" t="s">
        <v>361</v>
      </c>
      <c r="J21" s="108" t="s">
        <v>362</v>
      </c>
      <c r="K21" s="108" t="s">
        <v>363</v>
      </c>
      <c r="L21" s="108" t="s">
        <v>364</v>
      </c>
      <c r="M21" s="108" t="s">
        <v>365</v>
      </c>
      <c r="N21" s="108" t="s">
        <v>366</v>
      </c>
      <c r="O21" s="108" t="s">
        <v>367</v>
      </c>
    </row>
    <row r="22" spans="1:15" x14ac:dyDescent="0.25">
      <c r="A22" s="108" t="s">
        <v>368</v>
      </c>
      <c r="B22" s="109">
        <v>90871.948980000001</v>
      </c>
      <c r="C22" s="109">
        <v>89731.852239999993</v>
      </c>
      <c r="D22" s="109">
        <v>89084.03658</v>
      </c>
      <c r="E22" s="109">
        <v>88542.940669999996</v>
      </c>
      <c r="F22" s="109">
        <v>87825.714470000006</v>
      </c>
      <c r="G22" s="109">
        <v>86953.420490000004</v>
      </c>
      <c r="H22" s="109">
        <v>85853.185249999995</v>
      </c>
      <c r="I22" s="109">
        <v>84392.828039999993</v>
      </c>
      <c r="J22" s="109">
        <v>82343.688899999994</v>
      </c>
      <c r="K22" s="109">
        <v>79614.204289999994</v>
      </c>
      <c r="L22" s="109">
        <v>75674.562900000004</v>
      </c>
      <c r="M22" s="109">
        <v>70395.728099999993</v>
      </c>
      <c r="N22" s="109">
        <v>62947.162109999997</v>
      </c>
      <c r="O22" s="109">
        <v>53443.230250000001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8">
        <v>0.95</v>
      </c>
      <c r="D2" s="56">
        <v>18.025735670419653</v>
      </c>
      <c r="E2" s="56" t="s">
        <v>160</v>
      </c>
      <c r="F2" s="98">
        <v>1</v>
      </c>
      <c r="G2" s="98">
        <v>1</v>
      </c>
    </row>
    <row r="3" spans="1:7" ht="15.75" customHeight="1" x14ac:dyDescent="0.25">
      <c r="A3" s="5" t="s">
        <v>161</v>
      </c>
      <c r="B3" s="45">
        <v>0</v>
      </c>
      <c r="C3" s="98">
        <v>0.95</v>
      </c>
      <c r="D3" s="56">
        <v>18.025735670419653</v>
      </c>
      <c r="E3" s="56" t="s">
        <v>160</v>
      </c>
      <c r="F3" s="98">
        <v>1</v>
      </c>
      <c r="G3" s="98">
        <v>1</v>
      </c>
    </row>
    <row r="4" spans="1:7" ht="15.75" customHeight="1" x14ac:dyDescent="0.25">
      <c r="A4" s="5" t="s">
        <v>162</v>
      </c>
      <c r="B4" s="98">
        <v>0</v>
      </c>
      <c r="C4" s="98">
        <v>0.95</v>
      </c>
      <c r="D4" s="56">
        <v>5.2668836507008754</v>
      </c>
      <c r="E4" s="56" t="s">
        <v>160</v>
      </c>
      <c r="F4" s="98">
        <v>1</v>
      </c>
      <c r="G4" s="98">
        <v>1</v>
      </c>
    </row>
    <row r="5" spans="1:7" ht="15.75" customHeight="1" x14ac:dyDescent="0.25">
      <c r="A5" s="5" t="s">
        <v>163</v>
      </c>
      <c r="B5" s="98">
        <v>0</v>
      </c>
      <c r="C5" s="98">
        <v>0.95</v>
      </c>
      <c r="D5" s="56">
        <v>0.56149571024496792</v>
      </c>
      <c r="E5" s="56" t="s">
        <v>160</v>
      </c>
      <c r="F5" s="98">
        <v>1</v>
      </c>
      <c r="G5" s="98">
        <v>1</v>
      </c>
    </row>
    <row r="6" spans="1:7" ht="15.75" customHeight="1" x14ac:dyDescent="0.25">
      <c r="A6" s="5" t="s">
        <v>164</v>
      </c>
      <c r="B6" s="98">
        <v>0</v>
      </c>
      <c r="C6" s="98">
        <v>0.95</v>
      </c>
      <c r="D6" s="56">
        <v>99.99</v>
      </c>
      <c r="E6" s="56" t="s">
        <v>160</v>
      </c>
      <c r="F6" s="98">
        <v>1</v>
      </c>
      <c r="G6" s="98">
        <v>1</v>
      </c>
    </row>
    <row r="7" spans="1:7" ht="15.75" customHeight="1" x14ac:dyDescent="0.25">
      <c r="A7" s="5" t="s">
        <v>165</v>
      </c>
      <c r="B7" s="98">
        <v>0</v>
      </c>
      <c r="C7" s="98">
        <v>0.95</v>
      </c>
      <c r="D7" s="56">
        <v>0.19283527130965261</v>
      </c>
      <c r="E7" s="56" t="s">
        <v>160</v>
      </c>
      <c r="F7" s="98">
        <v>1</v>
      </c>
      <c r="G7" s="98">
        <v>1</v>
      </c>
    </row>
    <row r="8" spans="1:7" ht="15.75" customHeight="1" x14ac:dyDescent="0.25">
      <c r="A8" s="5" t="s">
        <v>166</v>
      </c>
      <c r="B8" s="98">
        <v>0</v>
      </c>
      <c r="C8" s="98">
        <v>0.95</v>
      </c>
      <c r="D8" s="56">
        <v>0.70706266146872643</v>
      </c>
      <c r="E8" s="56" t="s">
        <v>160</v>
      </c>
      <c r="F8" s="98">
        <v>1</v>
      </c>
      <c r="G8" s="98">
        <v>1</v>
      </c>
    </row>
    <row r="9" spans="1:7" ht="15.75" customHeight="1" x14ac:dyDescent="0.25">
      <c r="A9" s="5" t="s">
        <v>167</v>
      </c>
      <c r="B9" s="98">
        <v>0.5</v>
      </c>
      <c r="C9" s="98">
        <v>0.95</v>
      </c>
      <c r="D9" s="56">
        <v>0.23003335421429147</v>
      </c>
      <c r="E9" s="56" t="s">
        <v>160</v>
      </c>
      <c r="F9" s="98">
        <v>1</v>
      </c>
      <c r="G9" s="98">
        <v>1</v>
      </c>
    </row>
    <row r="10" spans="1:7" ht="15.75" customHeight="1" x14ac:dyDescent="0.25">
      <c r="A10" s="11" t="s">
        <v>168</v>
      </c>
      <c r="B10" s="45">
        <v>0.47062090000000001</v>
      </c>
      <c r="C10" s="98">
        <v>0.95</v>
      </c>
      <c r="D10" s="56">
        <v>13.5103361384934</v>
      </c>
      <c r="E10" s="56" t="s">
        <v>160</v>
      </c>
      <c r="F10" s="98">
        <v>1</v>
      </c>
      <c r="G10" s="98">
        <v>1</v>
      </c>
    </row>
    <row r="11" spans="1:7" ht="15.75" customHeight="1" x14ac:dyDescent="0.25">
      <c r="A11" s="11" t="s">
        <v>169</v>
      </c>
      <c r="B11" s="98">
        <v>0</v>
      </c>
      <c r="C11" s="98">
        <v>0.95</v>
      </c>
      <c r="D11" s="56">
        <v>13.5103361384934</v>
      </c>
      <c r="E11" s="56" t="s">
        <v>160</v>
      </c>
      <c r="F11" s="98">
        <v>1</v>
      </c>
      <c r="G11" s="98">
        <v>1</v>
      </c>
    </row>
    <row r="12" spans="1:7" ht="15.75" customHeight="1" x14ac:dyDescent="0.25">
      <c r="A12" s="11" t="s">
        <v>170</v>
      </c>
      <c r="B12" s="98">
        <v>0</v>
      </c>
      <c r="C12" s="98">
        <v>0.95</v>
      </c>
      <c r="D12" s="56">
        <v>13.5103361384934</v>
      </c>
      <c r="E12" s="56" t="s">
        <v>160</v>
      </c>
      <c r="F12" s="98">
        <v>1</v>
      </c>
      <c r="G12" s="98">
        <v>1</v>
      </c>
    </row>
    <row r="13" spans="1:7" ht="15.75" customHeight="1" x14ac:dyDescent="0.25">
      <c r="A13" s="11" t="s">
        <v>171</v>
      </c>
      <c r="B13" s="98">
        <v>0</v>
      </c>
      <c r="C13" s="98">
        <v>0.95</v>
      </c>
      <c r="D13" s="56">
        <v>13.5103361384934</v>
      </c>
      <c r="E13" s="56" t="s">
        <v>160</v>
      </c>
      <c r="F13" s="98">
        <v>1</v>
      </c>
      <c r="G13" s="98">
        <v>1</v>
      </c>
    </row>
    <row r="14" spans="1:7" ht="15.75" customHeight="1" x14ac:dyDescent="0.25">
      <c r="A14" s="5" t="s">
        <v>172</v>
      </c>
      <c r="B14" s="45">
        <v>0.47062090000000001</v>
      </c>
      <c r="C14" s="98">
        <v>0.95</v>
      </c>
      <c r="D14" s="56">
        <v>13.5103361384934</v>
      </c>
      <c r="E14" s="56" t="s">
        <v>160</v>
      </c>
      <c r="F14" s="98">
        <v>1</v>
      </c>
      <c r="G14" s="98">
        <v>1</v>
      </c>
    </row>
    <row r="15" spans="1:7" ht="15.75" customHeight="1" x14ac:dyDescent="0.25">
      <c r="A15" s="5" t="s">
        <v>173</v>
      </c>
      <c r="B15" s="98">
        <v>0</v>
      </c>
      <c r="C15" s="98">
        <v>0.95</v>
      </c>
      <c r="D15" s="56">
        <v>13.5103361384934</v>
      </c>
      <c r="E15" s="56" t="s">
        <v>160</v>
      </c>
      <c r="F15" s="98">
        <v>1</v>
      </c>
      <c r="G15" s="98">
        <v>1</v>
      </c>
    </row>
    <row r="16" spans="1:7" ht="15.75" customHeight="1" x14ac:dyDescent="0.25">
      <c r="A16" s="5" t="s">
        <v>174</v>
      </c>
      <c r="B16" s="45">
        <v>0.72296099999999996</v>
      </c>
      <c r="C16" s="98">
        <v>0.95</v>
      </c>
      <c r="D16" s="56">
        <v>2.8407188685968858</v>
      </c>
      <c r="E16" s="56" t="s">
        <v>160</v>
      </c>
      <c r="F16" s="98">
        <v>1</v>
      </c>
      <c r="G16" s="98">
        <v>1</v>
      </c>
    </row>
    <row r="17" spans="1:7" ht="15.75" customHeight="1" x14ac:dyDescent="0.25">
      <c r="A17" s="5" t="s">
        <v>175</v>
      </c>
      <c r="B17" s="98">
        <v>0.12681000000000001</v>
      </c>
      <c r="C17" s="98">
        <v>0.95</v>
      </c>
      <c r="D17" s="56">
        <v>0.35500000000000004</v>
      </c>
      <c r="E17" s="56" t="s">
        <v>160</v>
      </c>
      <c r="F17" s="98">
        <v>1</v>
      </c>
      <c r="G17" s="98">
        <v>1</v>
      </c>
    </row>
    <row r="18" spans="1:7" ht="15.9" customHeight="1" x14ac:dyDescent="0.25">
      <c r="A18" s="5" t="s">
        <v>141</v>
      </c>
      <c r="B18" s="98">
        <v>0.51300000000000001</v>
      </c>
      <c r="C18" s="98">
        <v>0.95</v>
      </c>
      <c r="D18" s="56">
        <v>5.2668836507008754</v>
      </c>
      <c r="E18" s="56" t="s">
        <v>160</v>
      </c>
      <c r="F18" s="98">
        <v>1</v>
      </c>
      <c r="G18" s="98">
        <v>1</v>
      </c>
    </row>
    <row r="19" spans="1:7" ht="15.75" customHeight="1" x14ac:dyDescent="0.25">
      <c r="A19" s="5" t="s">
        <v>144</v>
      </c>
      <c r="B19" s="98">
        <v>0.35273559999999998</v>
      </c>
      <c r="C19" s="98">
        <v>0.95</v>
      </c>
      <c r="D19" s="56">
        <v>7.2861200073283072</v>
      </c>
      <c r="E19" s="56" t="s">
        <v>160</v>
      </c>
      <c r="F19" s="98">
        <v>1</v>
      </c>
      <c r="G19" s="98">
        <v>1</v>
      </c>
    </row>
    <row r="20" spans="1:7" ht="15.75" customHeight="1" x14ac:dyDescent="0.25">
      <c r="A20" s="5" t="s">
        <v>145</v>
      </c>
      <c r="B20" s="98">
        <v>0</v>
      </c>
      <c r="C20" s="98">
        <v>0.95</v>
      </c>
      <c r="D20" s="56">
        <v>99.99</v>
      </c>
      <c r="E20" s="56" t="s">
        <v>160</v>
      </c>
      <c r="F20" s="98">
        <v>1</v>
      </c>
      <c r="G20" s="98">
        <v>1</v>
      </c>
    </row>
    <row r="21" spans="1:7" ht="15.75" customHeight="1" x14ac:dyDescent="0.25">
      <c r="A21" s="5" t="s">
        <v>176</v>
      </c>
      <c r="B21" s="45">
        <v>0</v>
      </c>
      <c r="C21" s="98">
        <v>0.95</v>
      </c>
      <c r="D21" s="56">
        <v>2.1939130069251829</v>
      </c>
      <c r="E21" s="56" t="s">
        <v>160</v>
      </c>
      <c r="F21" s="98">
        <v>1</v>
      </c>
      <c r="G21" s="98">
        <v>1</v>
      </c>
    </row>
    <row r="22" spans="1:7" ht="15.75" customHeight="1" x14ac:dyDescent="0.25">
      <c r="A22" s="5" t="s">
        <v>177</v>
      </c>
      <c r="B22" s="98">
        <v>0</v>
      </c>
      <c r="C22" s="98">
        <v>0.95</v>
      </c>
      <c r="D22" s="56">
        <v>5.2668836507008754</v>
      </c>
      <c r="E22" s="56" t="s">
        <v>160</v>
      </c>
      <c r="F22" s="98">
        <v>1</v>
      </c>
      <c r="G22" s="98">
        <v>1</v>
      </c>
    </row>
    <row r="23" spans="1:7" ht="15.75" customHeight="1" x14ac:dyDescent="0.25">
      <c r="A23" s="5" t="s">
        <v>178</v>
      </c>
      <c r="B23" s="98">
        <v>0.83967060000000004</v>
      </c>
      <c r="C23" s="98">
        <v>0.95</v>
      </c>
      <c r="D23" s="56">
        <v>4.4426820703529186</v>
      </c>
      <c r="E23" s="56" t="s">
        <v>160</v>
      </c>
      <c r="F23" s="98">
        <v>1</v>
      </c>
      <c r="G23" s="98">
        <v>1</v>
      </c>
    </row>
    <row r="24" spans="1:7" ht="15.75" customHeight="1" x14ac:dyDescent="0.25">
      <c r="A24" s="5" t="s">
        <v>179</v>
      </c>
      <c r="B24" s="45">
        <v>0.46026228261281199</v>
      </c>
      <c r="C24" s="98">
        <v>0.95</v>
      </c>
      <c r="D24" s="56">
        <v>99.99</v>
      </c>
      <c r="E24" s="56" t="s">
        <v>160</v>
      </c>
      <c r="F24" s="98">
        <v>1</v>
      </c>
      <c r="G24" s="98">
        <v>1</v>
      </c>
    </row>
    <row r="25" spans="1:7" ht="15.75" customHeight="1" x14ac:dyDescent="0.25">
      <c r="A25" s="5" t="s">
        <v>180</v>
      </c>
      <c r="B25" s="98">
        <v>0</v>
      </c>
      <c r="C25" s="98">
        <v>0.95</v>
      </c>
      <c r="D25" s="56">
        <v>99.99</v>
      </c>
      <c r="E25" s="56" t="s">
        <v>160</v>
      </c>
      <c r="F25" s="98">
        <v>1</v>
      </c>
      <c r="G25" s="98">
        <v>1</v>
      </c>
    </row>
    <row r="26" spans="1:7" ht="15.75" customHeight="1" x14ac:dyDescent="0.25">
      <c r="A26" s="5" t="s">
        <v>181</v>
      </c>
      <c r="B26" s="45">
        <v>1.55E-2</v>
      </c>
      <c r="C26" s="98">
        <v>0.95</v>
      </c>
      <c r="D26" s="56">
        <v>3.8681355531509101</v>
      </c>
      <c r="E26" s="56" t="s">
        <v>160</v>
      </c>
      <c r="F26" s="98">
        <v>1</v>
      </c>
      <c r="G26" s="98">
        <v>1</v>
      </c>
    </row>
    <row r="27" spans="1:7" ht="15.75" customHeight="1" x14ac:dyDescent="0.25">
      <c r="A27" s="5" t="s">
        <v>182</v>
      </c>
      <c r="B27" s="45">
        <v>0</v>
      </c>
      <c r="C27" s="98">
        <v>0.95</v>
      </c>
      <c r="D27" s="56">
        <v>13.457928721749347</v>
      </c>
      <c r="E27" s="56" t="s">
        <v>160</v>
      </c>
      <c r="F27" s="98">
        <v>1</v>
      </c>
      <c r="G27" s="98">
        <v>1</v>
      </c>
    </row>
    <row r="28" spans="1:7" ht="15.75" customHeight="1" x14ac:dyDescent="0.25">
      <c r="A28" s="5" t="s">
        <v>183</v>
      </c>
      <c r="B28" s="45">
        <v>0.2215608</v>
      </c>
      <c r="C28" s="98">
        <v>0.95</v>
      </c>
      <c r="D28" s="56">
        <v>99.99</v>
      </c>
      <c r="E28" s="56" t="s">
        <v>160</v>
      </c>
      <c r="F28" s="98">
        <v>1</v>
      </c>
      <c r="G28" s="98">
        <v>1</v>
      </c>
    </row>
    <row r="29" spans="1:7" ht="15.75" customHeight="1" x14ac:dyDescent="0.25">
      <c r="A29" s="5" t="s">
        <v>184</v>
      </c>
      <c r="B29" s="45">
        <v>0.2588009</v>
      </c>
      <c r="C29" s="98">
        <v>0.95</v>
      </c>
      <c r="D29" s="56">
        <v>88.005851455993124</v>
      </c>
      <c r="E29" s="56" t="s">
        <v>160</v>
      </c>
      <c r="F29" s="98">
        <v>1</v>
      </c>
      <c r="G29" s="98">
        <v>1</v>
      </c>
    </row>
    <row r="30" spans="1:7" ht="15.75" customHeight="1" x14ac:dyDescent="0.25">
      <c r="A30" s="5" t="s">
        <v>185</v>
      </c>
      <c r="B30" s="98">
        <v>0</v>
      </c>
      <c r="C30" s="98">
        <v>0.95</v>
      </c>
      <c r="D30" s="56">
        <v>44.783843336315748</v>
      </c>
      <c r="E30" s="56" t="s">
        <v>160</v>
      </c>
      <c r="F30" s="98">
        <v>1</v>
      </c>
      <c r="G30" s="98">
        <v>1</v>
      </c>
    </row>
    <row r="31" spans="1:7" ht="15.75" customHeight="1" x14ac:dyDescent="0.25">
      <c r="A31" s="5" t="s">
        <v>150</v>
      </c>
      <c r="B31" s="45">
        <v>7.9000000000000008E-3</v>
      </c>
      <c r="C31" s="98">
        <v>0.95</v>
      </c>
      <c r="D31" s="56">
        <v>126.62714253872848</v>
      </c>
      <c r="E31" s="56" t="s">
        <v>160</v>
      </c>
      <c r="F31" s="98">
        <v>1</v>
      </c>
      <c r="G31" s="98">
        <v>1</v>
      </c>
    </row>
    <row r="32" spans="1:7" ht="15.75" customHeight="1" x14ac:dyDescent="0.25">
      <c r="A32" s="5" t="s">
        <v>186</v>
      </c>
      <c r="B32" s="45">
        <v>0.8</v>
      </c>
      <c r="C32" s="98">
        <v>0.95</v>
      </c>
      <c r="D32" s="56">
        <v>0.46210405728622134</v>
      </c>
      <c r="E32" s="56" t="s">
        <v>160</v>
      </c>
      <c r="F32" s="98">
        <v>1</v>
      </c>
      <c r="G32" s="98">
        <v>1</v>
      </c>
    </row>
    <row r="33" spans="1:7" ht="15.75" customHeight="1" x14ac:dyDescent="0.25">
      <c r="A33" s="5" t="s">
        <v>187</v>
      </c>
      <c r="B33" s="45">
        <v>0.1213046</v>
      </c>
      <c r="C33" s="98">
        <v>0.95</v>
      </c>
      <c r="D33" s="56">
        <v>99.99</v>
      </c>
      <c r="E33" s="56" t="s">
        <v>160</v>
      </c>
      <c r="F33" s="98">
        <v>1</v>
      </c>
      <c r="G33" s="98">
        <v>1</v>
      </c>
    </row>
    <row r="34" spans="1:7" ht="15.75" customHeight="1" x14ac:dyDescent="0.25">
      <c r="A34" s="5" t="s">
        <v>188</v>
      </c>
      <c r="B34" s="45">
        <v>0.31415670000000001</v>
      </c>
      <c r="C34" s="98">
        <v>0.95</v>
      </c>
      <c r="D34" s="56">
        <v>99.99</v>
      </c>
      <c r="E34" s="56" t="s">
        <v>160</v>
      </c>
      <c r="F34" s="98">
        <v>1</v>
      </c>
      <c r="G34" s="98">
        <v>1</v>
      </c>
    </row>
    <row r="35" spans="1:7" ht="15.75" customHeight="1" x14ac:dyDescent="0.25">
      <c r="A35" s="5" t="s">
        <v>189</v>
      </c>
      <c r="B35" s="98">
        <v>0</v>
      </c>
      <c r="C35" s="98">
        <v>0.95</v>
      </c>
      <c r="D35" s="56">
        <v>99.99</v>
      </c>
      <c r="E35" s="56" t="s">
        <v>160</v>
      </c>
      <c r="F35" s="98">
        <v>1</v>
      </c>
      <c r="G35" s="98">
        <v>1</v>
      </c>
    </row>
    <row r="36" spans="1:7" ht="15.75" customHeight="1" x14ac:dyDescent="0.25">
      <c r="A36" s="5" t="s">
        <v>190</v>
      </c>
      <c r="B36" s="45">
        <v>1.2729E-3</v>
      </c>
      <c r="C36" s="98">
        <v>0.95</v>
      </c>
      <c r="D36" s="56">
        <v>99.99</v>
      </c>
      <c r="E36" s="56" t="s">
        <v>160</v>
      </c>
      <c r="F36" s="98">
        <v>1</v>
      </c>
      <c r="G36" s="98">
        <v>1</v>
      </c>
    </row>
    <row r="37" spans="1:7" ht="15.75" customHeight="1" x14ac:dyDescent="0.25">
      <c r="A37" s="5" t="s">
        <v>191</v>
      </c>
      <c r="B37" s="45">
        <v>0.38746140000000001</v>
      </c>
      <c r="C37" s="98">
        <v>0.95</v>
      </c>
      <c r="D37" s="56">
        <v>99.99</v>
      </c>
      <c r="E37" s="56" t="s">
        <v>160</v>
      </c>
      <c r="F37" s="98">
        <v>1</v>
      </c>
      <c r="G37" s="98">
        <v>1</v>
      </c>
    </row>
    <row r="38" spans="1:7" ht="15.75" customHeight="1" x14ac:dyDescent="0.25">
      <c r="A38" s="5" t="s">
        <v>192</v>
      </c>
      <c r="B38" s="45">
        <v>0.105</v>
      </c>
      <c r="C38" s="98">
        <v>0.95</v>
      </c>
      <c r="D38" s="56">
        <v>4.0706758054007581</v>
      </c>
      <c r="E38" s="56" t="s">
        <v>160</v>
      </c>
      <c r="F38" s="98">
        <v>1</v>
      </c>
      <c r="G38" s="98">
        <v>1</v>
      </c>
    </row>
    <row r="39" spans="1:7" ht="15.75" customHeight="1" x14ac:dyDescent="0.25">
      <c r="A39" s="5" t="s">
        <v>193</v>
      </c>
      <c r="B39" s="45">
        <v>0</v>
      </c>
      <c r="C39" s="98">
        <v>0.95</v>
      </c>
      <c r="D39" s="56">
        <v>3.4125000000000001</v>
      </c>
      <c r="E39" s="56" t="s">
        <v>160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2.548</v>
      </c>
      <c r="C2" s="21">
        <f>'Baseline year population inputs'!C52</f>
        <v>2.548</v>
      </c>
      <c r="D2" s="21">
        <f>'Baseline year population inputs'!C53</f>
        <v>4.7839999999999998</v>
      </c>
      <c r="E2" s="21">
        <f>'Baseline year population inputs'!C54</f>
        <v>4.2639999999999993</v>
      </c>
      <c r="F2" s="21">
        <f>'Baseline year population inputs'!C55</f>
        <v>1.7766666666666671</v>
      </c>
    </row>
    <row r="3" spans="1:6" ht="15.75" customHeight="1" x14ac:dyDescent="0.25">
      <c r="A3" s="3" t="s">
        <v>197</v>
      </c>
      <c r="B3" s="21">
        <f>frac_mam_1month * 2.6</f>
        <v>0.12429508000000002</v>
      </c>
      <c r="C3" s="21">
        <f>frac_mam_1_5months * 2.6</f>
        <v>0.12429508000000002</v>
      </c>
      <c r="D3" s="21">
        <f>frac_mam_6_11months * 2.6</f>
        <v>0.19537856000000003</v>
      </c>
      <c r="E3" s="21">
        <f>frac_mam_12_23months * 2.6</f>
        <v>0.14109341999999997</v>
      </c>
      <c r="F3" s="21">
        <f>frac_mam_24_59months * 2.6</f>
        <v>6.6409200000000002E-2</v>
      </c>
    </row>
    <row r="4" spans="1:6" ht="15.75" customHeight="1" x14ac:dyDescent="0.25">
      <c r="A4" s="3" t="s">
        <v>198</v>
      </c>
      <c r="B4" s="21">
        <f>frac_sam_1month * 2.6</f>
        <v>5.0518259999999995E-2</v>
      </c>
      <c r="C4" s="21">
        <f>frac_sam_1_5months * 2.6</f>
        <v>5.0518259999999995E-2</v>
      </c>
      <c r="D4" s="21">
        <f>frac_sam_6_11months * 2.6</f>
        <v>5.3111500000000006E-2</v>
      </c>
      <c r="E4" s="21">
        <f>frac_sam_12_23months * 2.6</f>
        <v>4.5753499999999996E-2</v>
      </c>
      <c r="F4" s="21">
        <f>frac_sam_24_59months * 2.6</f>
        <v>1.2045800000000001E-2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0.55000000000000004</v>
      </c>
      <c r="F2" s="60">
        <f>food_insecure</f>
        <v>0.55000000000000004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0.55000000000000004</v>
      </c>
      <c r="F5" s="60">
        <f>food_insecure</f>
        <v>0.55000000000000004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5.559272727272728E-2</v>
      </c>
      <c r="D7" s="60">
        <f>diarrhoea_1_5mo*frac_diarrhea_severe</f>
        <v>5.559272727272728E-2</v>
      </c>
      <c r="E7" s="60">
        <f>diarrhoea_6_11mo*frac_diarrhea_severe</f>
        <v>0.10437818181818183</v>
      </c>
      <c r="F7" s="60">
        <f>diarrhoea_12_23mo*frac_diarrhea_severe</f>
        <v>9.3032727272727267E-2</v>
      </c>
      <c r="G7" s="60">
        <f>diarrhoea_24_59mo*frac_diarrhea_severe</f>
        <v>3.8763636363636375E-2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0.55000000000000004</v>
      </c>
      <c r="F8" s="60">
        <f>food_insecure</f>
        <v>0.55000000000000004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0.55000000000000004</v>
      </c>
      <c r="F9" s="60">
        <f>food_insecure</f>
        <v>0.55000000000000004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5.559272727272728E-2</v>
      </c>
      <c r="D12" s="60">
        <f>diarrhoea_1_5mo*frac_diarrhea_severe</f>
        <v>5.559272727272728E-2</v>
      </c>
      <c r="E12" s="60">
        <f>diarrhoea_6_11mo*frac_diarrhea_severe</f>
        <v>0.10437818181818183</v>
      </c>
      <c r="F12" s="60">
        <f>diarrhoea_12_23mo*frac_diarrhea_severe</f>
        <v>9.3032727272727267E-2</v>
      </c>
      <c r="G12" s="60">
        <f>diarrhoea_24_59mo*frac_diarrhea_severe</f>
        <v>3.8763636363636375E-2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0.55000000000000004</v>
      </c>
      <c r="I15" s="60">
        <f t="shared" si="0"/>
        <v>0.55000000000000004</v>
      </c>
      <c r="J15" s="60">
        <f t="shared" si="0"/>
        <v>0.55000000000000004</v>
      </c>
      <c r="K15" s="60">
        <f t="shared" si="0"/>
        <v>0.55000000000000004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0.55000000000000004</v>
      </c>
      <c r="I16" s="60">
        <f t="shared" si="0"/>
        <v>0.55000000000000004</v>
      </c>
      <c r="J16" s="60">
        <f t="shared" si="0"/>
        <v>0.55000000000000004</v>
      </c>
      <c r="K16" s="60">
        <f t="shared" si="0"/>
        <v>0.55000000000000004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1</v>
      </c>
      <c r="I19" s="60">
        <f>frac_malaria_risk</f>
        <v>1</v>
      </c>
      <c r="J19" s="60">
        <f>frac_malaria_risk</f>
        <v>1</v>
      </c>
      <c r="K19" s="60">
        <f>frac_malaria_risk</f>
        <v>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0.33140874869999998</v>
      </c>
      <c r="M24" s="60">
        <f>famplan_unmet_need</f>
        <v>0.33140874869999998</v>
      </c>
      <c r="N24" s="60">
        <f>famplan_unmet_need</f>
        <v>0.33140874869999998</v>
      </c>
      <c r="O24" s="60">
        <f>famplan_unmet_need</f>
        <v>0.33140874869999998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0.36444693810000001</v>
      </c>
      <c r="M25" s="60">
        <f>(1-food_insecure)*(0.49)+food_insecure*(0.7)</f>
        <v>0.60549999999999993</v>
      </c>
      <c r="N25" s="60">
        <f>(1-food_insecure)*(0.49)+food_insecure*(0.7)</f>
        <v>0.60549999999999993</v>
      </c>
      <c r="O25" s="60">
        <f>(1-food_insecure)*(0.49)+food_insecure*(0.7)</f>
        <v>0.60549999999999993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0.15619154490000001</v>
      </c>
      <c r="M26" s="60">
        <f>(1-food_insecure)*(0.21)+food_insecure*(0.3)</f>
        <v>0.25950000000000001</v>
      </c>
      <c r="N26" s="60">
        <f>(1-food_insecure)*(0.21)+food_insecure*(0.3)</f>
        <v>0.25950000000000001</v>
      </c>
      <c r="O26" s="60">
        <f>(1-food_insecure)*(0.21)+food_insecure*(0.3)</f>
        <v>0.25950000000000001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8.1255716999999991E-2</v>
      </c>
      <c r="M27" s="60">
        <f>(1-food_insecure)*(0.3)</f>
        <v>0.13499999999999998</v>
      </c>
      <c r="N27" s="60">
        <f>(1-food_insecure)*(0.3)</f>
        <v>0.13499999999999998</v>
      </c>
      <c r="O27" s="60">
        <f>(1-food_insecure)*(0.3)</f>
        <v>0.13499999999999998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0.39810580000000001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1</v>
      </c>
      <c r="D34" s="60">
        <f t="shared" si="4"/>
        <v>1</v>
      </c>
      <c r="E34" s="60">
        <f t="shared" si="4"/>
        <v>1</v>
      </c>
      <c r="F34" s="60">
        <f t="shared" si="4"/>
        <v>1</v>
      </c>
      <c r="G34" s="60">
        <f t="shared" si="4"/>
        <v>1</v>
      </c>
      <c r="H34" s="60">
        <f t="shared" si="4"/>
        <v>1</v>
      </c>
      <c r="I34" s="60">
        <f t="shared" si="4"/>
        <v>1</v>
      </c>
      <c r="J34" s="60">
        <f t="shared" si="4"/>
        <v>1</v>
      </c>
      <c r="K34" s="60">
        <f t="shared" si="4"/>
        <v>1</v>
      </c>
      <c r="L34" s="60">
        <f t="shared" si="4"/>
        <v>1</v>
      </c>
      <c r="M34" s="60">
        <f t="shared" si="4"/>
        <v>1</v>
      </c>
      <c r="N34" s="60">
        <f t="shared" si="4"/>
        <v>1</v>
      </c>
      <c r="O34" s="60">
        <f t="shared" si="4"/>
        <v>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149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15" t="s">
        <v>159</v>
      </c>
      <c r="B2" s="116"/>
      <c r="C2" s="116"/>
      <c r="D2" s="116"/>
      <c r="E2" s="116"/>
      <c r="F2" s="116"/>
      <c r="G2" s="116"/>
      <c r="H2" s="116"/>
      <c r="I2" s="116" t="s">
        <v>142</v>
      </c>
      <c r="J2" s="116"/>
      <c r="K2" s="116"/>
      <c r="L2" s="116"/>
    </row>
    <row r="3" spans="1:12" x14ac:dyDescent="0.25">
      <c r="A3" s="115" t="s">
        <v>161</v>
      </c>
      <c r="B3" s="116"/>
      <c r="C3" s="116"/>
      <c r="D3" s="116"/>
      <c r="E3" s="116"/>
      <c r="F3" s="116"/>
      <c r="G3" s="116"/>
      <c r="H3" s="116" t="s">
        <v>142</v>
      </c>
      <c r="I3" s="116" t="s">
        <v>142</v>
      </c>
      <c r="J3" s="116"/>
      <c r="K3" s="116"/>
      <c r="L3" s="116"/>
    </row>
    <row r="4" spans="1:12" x14ac:dyDescent="0.25">
      <c r="A4" s="115" t="s">
        <v>162</v>
      </c>
      <c r="B4" s="116" t="s">
        <v>142</v>
      </c>
      <c r="C4" s="116"/>
      <c r="D4" s="116" t="s">
        <v>142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163</v>
      </c>
      <c r="B5" s="116"/>
      <c r="C5" s="116" t="s">
        <v>142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164</v>
      </c>
      <c r="B6" s="116"/>
      <c r="C6" s="116"/>
      <c r="D6" s="116"/>
      <c r="E6" s="116"/>
      <c r="F6" s="116"/>
      <c r="G6" s="116"/>
      <c r="H6" s="116"/>
      <c r="I6" s="116"/>
      <c r="J6" s="116" t="s">
        <v>142</v>
      </c>
      <c r="K6" s="116" t="s">
        <v>142</v>
      </c>
      <c r="L6" s="116"/>
    </row>
    <row r="7" spans="1:12" x14ac:dyDescent="0.25">
      <c r="A7" s="115" t="s">
        <v>165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/>
      <c r="J7" s="116"/>
      <c r="K7" s="116"/>
      <c r="L7" s="116"/>
    </row>
    <row r="8" spans="1:12" x14ac:dyDescent="0.25">
      <c r="A8" s="115" t="s">
        <v>166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/>
      <c r="J8" s="116"/>
      <c r="K8" s="116"/>
      <c r="L8" s="116"/>
    </row>
    <row r="9" spans="1:12" x14ac:dyDescent="0.25">
      <c r="A9" s="115" t="s">
        <v>167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/>
      <c r="J9" s="116"/>
      <c r="K9" s="116"/>
      <c r="L9" s="116"/>
    </row>
    <row r="10" spans="1:12" x14ac:dyDescent="0.25">
      <c r="A10" s="115" t="s">
        <v>168</v>
      </c>
      <c r="B10" s="116"/>
      <c r="C10" s="116" t="s">
        <v>142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169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170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171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172</v>
      </c>
      <c r="B14" s="116"/>
      <c r="C14" s="116" t="s">
        <v>142</v>
      </c>
      <c r="D14" s="116"/>
      <c r="E14" s="116"/>
      <c r="F14" s="116"/>
      <c r="G14" s="116"/>
      <c r="H14" s="116"/>
      <c r="I14" s="116" t="s">
        <v>142</v>
      </c>
      <c r="J14" s="116"/>
      <c r="K14" s="116"/>
      <c r="L14" s="116"/>
    </row>
    <row r="15" spans="1:12" x14ac:dyDescent="0.25">
      <c r="A15" s="117" t="s">
        <v>173</v>
      </c>
      <c r="B15" s="116"/>
      <c r="C15" s="116" t="s">
        <v>142</v>
      </c>
      <c r="D15" s="116"/>
      <c r="E15" s="116"/>
      <c r="F15" s="116"/>
      <c r="G15" s="116"/>
      <c r="H15" s="116"/>
      <c r="I15" s="116" t="s">
        <v>142</v>
      </c>
      <c r="J15" s="116"/>
      <c r="K15" s="116"/>
      <c r="L15" s="116"/>
    </row>
    <row r="16" spans="1:12" x14ac:dyDescent="0.25">
      <c r="A16" s="115" t="s">
        <v>174</v>
      </c>
      <c r="B16" s="116"/>
      <c r="C16" s="116" t="s">
        <v>142</v>
      </c>
      <c r="D16" s="116"/>
      <c r="E16" s="116"/>
      <c r="F16" s="116"/>
      <c r="G16" s="116"/>
      <c r="H16" s="116" t="s">
        <v>142</v>
      </c>
      <c r="I16" s="116" t="s">
        <v>142</v>
      </c>
      <c r="J16" s="116"/>
      <c r="K16" s="116"/>
      <c r="L16" s="116"/>
    </row>
    <row r="17" spans="1:12" x14ac:dyDescent="0.25">
      <c r="A17" s="115" t="s">
        <v>175</v>
      </c>
      <c r="B17" s="116"/>
      <c r="C17" s="116" t="s">
        <v>142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141</v>
      </c>
      <c r="B18" s="116" t="s">
        <v>142</v>
      </c>
      <c r="C18" s="116"/>
      <c r="D18" s="116"/>
      <c r="E18" s="116"/>
      <c r="F18" s="116" t="s">
        <v>142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144</v>
      </c>
      <c r="B19" s="116" t="s">
        <v>142</v>
      </c>
      <c r="C19" s="116"/>
      <c r="D19" s="116"/>
      <c r="E19" s="116"/>
      <c r="F19" s="116" t="s">
        <v>142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145</v>
      </c>
      <c r="B20" s="116" t="s">
        <v>142</v>
      </c>
      <c r="C20" s="116"/>
      <c r="D20" s="116"/>
      <c r="E20" s="116"/>
      <c r="F20" s="116" t="s">
        <v>142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176</v>
      </c>
      <c r="B21" s="116"/>
      <c r="C21" s="116"/>
      <c r="D21" s="116"/>
      <c r="E21" s="116"/>
      <c r="F21" s="116"/>
      <c r="G21" s="116"/>
      <c r="H21" s="116" t="s">
        <v>142</v>
      </c>
      <c r="I21" s="116" t="s">
        <v>142</v>
      </c>
      <c r="J21" s="116"/>
      <c r="K21" s="116"/>
      <c r="L21" s="116"/>
    </row>
    <row r="22" spans="1:12" x14ac:dyDescent="0.25">
      <c r="A22" s="115" t="s">
        <v>177</v>
      </c>
      <c r="B22" s="116" t="s">
        <v>142</v>
      </c>
      <c r="C22" s="116" t="s">
        <v>142</v>
      </c>
      <c r="D22" s="116" t="s">
        <v>142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178</v>
      </c>
      <c r="B23" s="116"/>
      <c r="C23" s="116" t="s">
        <v>142</v>
      </c>
      <c r="D23" s="116"/>
      <c r="E23" s="116"/>
      <c r="F23" s="116"/>
      <c r="G23" s="116"/>
      <c r="H23" s="116"/>
      <c r="I23" s="116" t="s">
        <v>142</v>
      </c>
      <c r="J23" s="116"/>
      <c r="K23" s="116"/>
      <c r="L23" s="116"/>
    </row>
    <row r="24" spans="1:12" x14ac:dyDescent="0.25">
      <c r="A24" s="115" t="s">
        <v>179</v>
      </c>
      <c r="B24" s="116"/>
      <c r="C24" s="116"/>
      <c r="D24" s="116"/>
      <c r="E24" s="116"/>
      <c r="F24" s="116"/>
      <c r="G24" s="116"/>
      <c r="H24" s="116" t="s">
        <v>142</v>
      </c>
      <c r="I24" s="116"/>
      <c r="J24" s="116"/>
      <c r="K24" s="116"/>
      <c r="L24" s="116"/>
    </row>
    <row r="25" spans="1:12" x14ac:dyDescent="0.25">
      <c r="A25" s="115" t="s">
        <v>180</v>
      </c>
      <c r="B25" s="116"/>
      <c r="C25" s="116"/>
      <c r="D25" s="116"/>
      <c r="E25" s="116"/>
      <c r="F25" s="116"/>
      <c r="G25" s="116"/>
      <c r="H25" s="116" t="s">
        <v>142</v>
      </c>
      <c r="I25" s="116"/>
      <c r="J25" s="116"/>
      <c r="K25" s="116"/>
      <c r="L25" s="116"/>
    </row>
    <row r="26" spans="1:12" x14ac:dyDescent="0.25">
      <c r="A26" s="115" t="s">
        <v>181</v>
      </c>
      <c r="B26" s="116"/>
      <c r="C26" s="116" t="s">
        <v>142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182</v>
      </c>
      <c r="B27" s="116"/>
      <c r="C27" s="116" t="s">
        <v>142</v>
      </c>
      <c r="D27" s="116"/>
      <c r="E27" s="116"/>
      <c r="F27" s="116"/>
      <c r="G27" s="116"/>
      <c r="H27" s="116"/>
      <c r="I27" s="116" t="s">
        <v>142</v>
      </c>
      <c r="J27" s="116"/>
      <c r="K27" s="116"/>
      <c r="L27" s="116" t="s">
        <v>142</v>
      </c>
    </row>
    <row r="28" spans="1:12" x14ac:dyDescent="0.25">
      <c r="A28" s="115" t="s">
        <v>183</v>
      </c>
      <c r="B28" s="116"/>
      <c r="C28" s="116"/>
      <c r="D28" s="116"/>
      <c r="E28" s="116"/>
      <c r="F28" s="116"/>
      <c r="G28" s="116"/>
      <c r="H28" s="116" t="s">
        <v>142</v>
      </c>
      <c r="I28" s="116"/>
      <c r="J28" s="116"/>
      <c r="K28" s="116"/>
      <c r="L28" s="116"/>
    </row>
    <row r="29" spans="1:12" x14ac:dyDescent="0.25">
      <c r="A29" s="115" t="s">
        <v>184</v>
      </c>
      <c r="B29" s="116" t="s">
        <v>142</v>
      </c>
      <c r="C29" s="116"/>
      <c r="D29" s="116" t="s">
        <v>142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185</v>
      </c>
      <c r="B30" s="116" t="s">
        <v>142</v>
      </c>
      <c r="C30" s="116" t="s">
        <v>142</v>
      </c>
      <c r="D30" s="116" t="s">
        <v>142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150</v>
      </c>
      <c r="B31" s="116"/>
      <c r="C31" s="116"/>
      <c r="D31" s="116"/>
      <c r="E31" s="116" t="s">
        <v>142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186</v>
      </c>
      <c r="B32" s="116"/>
      <c r="C32" s="116"/>
      <c r="D32" s="116"/>
      <c r="E32" s="116"/>
      <c r="F32" s="116"/>
      <c r="G32" s="116" t="s">
        <v>142</v>
      </c>
      <c r="H32" s="116" t="s">
        <v>142</v>
      </c>
      <c r="I32" s="116"/>
      <c r="J32" s="116"/>
      <c r="K32" s="116"/>
      <c r="L32" s="116"/>
    </row>
    <row r="33" spans="1:12" x14ac:dyDescent="0.25">
      <c r="A33" s="115" t="s">
        <v>187</v>
      </c>
      <c r="B33" s="116"/>
      <c r="C33" s="116"/>
      <c r="D33" s="116"/>
      <c r="E33" s="116"/>
      <c r="F33" s="116"/>
      <c r="G33" s="116" t="s">
        <v>142</v>
      </c>
      <c r="H33" s="116" t="s">
        <v>142</v>
      </c>
      <c r="I33" s="116"/>
      <c r="J33" s="116"/>
      <c r="K33" s="116"/>
      <c r="L33" s="116"/>
    </row>
    <row r="34" spans="1:12" x14ac:dyDescent="0.25">
      <c r="A34" s="115" t="s">
        <v>188</v>
      </c>
      <c r="B34" s="116"/>
      <c r="C34" s="116"/>
      <c r="D34" s="116"/>
      <c r="E34" s="116"/>
      <c r="F34" s="116"/>
      <c r="G34" s="116" t="s">
        <v>142</v>
      </c>
      <c r="H34" s="116" t="s">
        <v>142</v>
      </c>
      <c r="I34" s="116"/>
      <c r="J34" s="116"/>
      <c r="K34" s="116"/>
      <c r="L34" s="116"/>
    </row>
    <row r="35" spans="1:12" x14ac:dyDescent="0.25">
      <c r="A35" s="115" t="s">
        <v>189</v>
      </c>
      <c r="B35" s="116"/>
      <c r="C35" s="116"/>
      <c r="D35" s="116"/>
      <c r="E35" s="116"/>
      <c r="F35" s="116"/>
      <c r="G35" s="116" t="s">
        <v>142</v>
      </c>
      <c r="H35" s="116" t="s">
        <v>142</v>
      </c>
      <c r="I35" s="116"/>
      <c r="J35" s="116"/>
      <c r="K35" s="116"/>
      <c r="L35" s="116"/>
    </row>
    <row r="36" spans="1:12" x14ac:dyDescent="0.25">
      <c r="A36" s="115" t="s">
        <v>190</v>
      </c>
      <c r="B36" s="116"/>
      <c r="C36" s="116"/>
      <c r="D36" s="116"/>
      <c r="E36" s="116"/>
      <c r="F36" s="116"/>
      <c r="G36" s="116" t="s">
        <v>142</v>
      </c>
      <c r="H36" s="116" t="s">
        <v>142</v>
      </c>
      <c r="I36" s="116"/>
      <c r="J36" s="116"/>
      <c r="K36" s="116"/>
      <c r="L36" s="116"/>
    </row>
    <row r="37" spans="1:12" x14ac:dyDescent="0.25">
      <c r="A37" s="115" t="s">
        <v>191</v>
      </c>
      <c r="B37" s="116"/>
      <c r="C37" s="116"/>
      <c r="D37" s="116"/>
      <c r="E37" s="116"/>
      <c r="F37" s="116"/>
      <c r="G37" s="116" t="s">
        <v>142</v>
      </c>
      <c r="H37" s="116" t="s">
        <v>142</v>
      </c>
      <c r="I37" s="116"/>
      <c r="J37" s="116"/>
      <c r="K37" s="116"/>
      <c r="L37" s="116"/>
    </row>
    <row r="38" spans="1:12" x14ac:dyDescent="0.25">
      <c r="A38" s="115" t="s">
        <v>192</v>
      </c>
      <c r="B38" s="116"/>
      <c r="C38" s="116"/>
      <c r="D38" s="116"/>
      <c r="E38" s="116"/>
      <c r="F38" s="116"/>
      <c r="G38" s="116"/>
      <c r="H38" s="116" t="s">
        <v>142</v>
      </c>
      <c r="I38" s="116"/>
      <c r="J38" s="116"/>
      <c r="K38" s="116"/>
      <c r="L38" s="116"/>
    </row>
    <row r="39" spans="1:12" x14ac:dyDescent="0.25">
      <c r="A39" s="115" t="s">
        <v>193</v>
      </c>
      <c r="B39" s="116" t="s">
        <v>142</v>
      </c>
      <c r="C39" s="116"/>
      <c r="D39" s="116"/>
      <c r="E39" s="116"/>
      <c r="F39" s="116"/>
      <c r="G39" s="116" t="s">
        <v>142</v>
      </c>
      <c r="H39" s="116" t="s">
        <v>142</v>
      </c>
      <c r="I39" s="116"/>
      <c r="J39" s="116"/>
      <c r="K39" s="116"/>
      <c r="L39" s="116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223</v>
      </c>
      <c r="B1" s="108" t="s">
        <v>218</v>
      </c>
      <c r="C1" s="108" t="s">
        <v>111</v>
      </c>
      <c r="D1" s="108" t="s">
        <v>219</v>
      </c>
      <c r="E1" s="108" t="s">
        <v>220</v>
      </c>
      <c r="F1" s="108" t="s">
        <v>118</v>
      </c>
      <c r="G1" s="108" t="s">
        <v>81</v>
      </c>
      <c r="H1" s="108" t="s">
        <v>32</v>
      </c>
      <c r="I1" s="108" t="s">
        <v>221</v>
      </c>
      <c r="J1" s="108" t="s">
        <v>25</v>
      </c>
      <c r="K1" s="108" t="s">
        <v>222</v>
      </c>
      <c r="L1" s="108" t="s">
        <v>369</v>
      </c>
    </row>
    <row r="2" spans="1:12" x14ac:dyDescent="0.25">
      <c r="A2" s="108" t="s">
        <v>67</v>
      </c>
      <c r="B2" s="116" t="s">
        <v>142</v>
      </c>
      <c r="C2" s="116" t="s">
        <v>142</v>
      </c>
      <c r="D2" s="116" t="s">
        <v>142</v>
      </c>
      <c r="E2" s="116" t="s">
        <v>142</v>
      </c>
      <c r="F2" s="116" t="s">
        <v>142</v>
      </c>
      <c r="G2" s="116" t="s">
        <v>142</v>
      </c>
      <c r="H2" s="116" t="s">
        <v>142</v>
      </c>
      <c r="I2" s="116"/>
      <c r="J2" s="116"/>
      <c r="K2" s="116"/>
      <c r="L2" s="116"/>
    </row>
    <row r="3" spans="1:12" x14ac:dyDescent="0.25">
      <c r="A3" s="108" t="s">
        <v>77</v>
      </c>
      <c r="B3" s="116" t="s">
        <v>142</v>
      </c>
      <c r="C3" s="116" t="s">
        <v>142</v>
      </c>
      <c r="D3" s="116" t="s">
        <v>142</v>
      </c>
      <c r="E3" s="116" t="s">
        <v>142</v>
      </c>
      <c r="F3" s="116" t="s">
        <v>142</v>
      </c>
      <c r="G3" s="116" t="s">
        <v>142</v>
      </c>
      <c r="H3" s="116" t="s">
        <v>142</v>
      </c>
      <c r="I3" s="116"/>
      <c r="J3" s="116"/>
      <c r="K3" s="116"/>
      <c r="L3" s="116"/>
    </row>
    <row r="4" spans="1:12" x14ac:dyDescent="0.25">
      <c r="A4" s="108" t="s">
        <v>78</v>
      </c>
      <c r="B4" s="116" t="s">
        <v>142</v>
      </c>
      <c r="C4" s="116" t="s">
        <v>142</v>
      </c>
      <c r="D4" s="116" t="s">
        <v>142</v>
      </c>
      <c r="E4" s="116" t="s">
        <v>142</v>
      </c>
      <c r="F4" s="116" t="s">
        <v>142</v>
      </c>
      <c r="G4" s="116" t="s">
        <v>142</v>
      </c>
      <c r="H4" s="116" t="s">
        <v>142</v>
      </c>
      <c r="I4" s="116"/>
      <c r="J4" s="116"/>
      <c r="K4" s="116"/>
      <c r="L4" s="116"/>
    </row>
    <row r="5" spans="1:12" x14ac:dyDescent="0.25">
      <c r="A5" s="108" t="s">
        <v>79</v>
      </c>
      <c r="B5" s="116" t="s">
        <v>142</v>
      </c>
      <c r="C5" s="116" t="s">
        <v>142</v>
      </c>
      <c r="D5" s="116" t="s">
        <v>142</v>
      </c>
      <c r="E5" s="116" t="s">
        <v>142</v>
      </c>
      <c r="F5" s="116" t="s">
        <v>142</v>
      </c>
      <c r="G5" s="116" t="s">
        <v>142</v>
      </c>
      <c r="H5" s="116" t="s">
        <v>142</v>
      </c>
      <c r="I5" s="116"/>
      <c r="J5" s="116"/>
      <c r="K5" s="116"/>
      <c r="L5" s="116"/>
    </row>
    <row r="6" spans="1:12" x14ac:dyDescent="0.25">
      <c r="A6" s="108" t="s">
        <v>80</v>
      </c>
      <c r="B6" s="116" t="s">
        <v>142</v>
      </c>
      <c r="C6" s="116" t="s">
        <v>142</v>
      </c>
      <c r="D6" s="116" t="s">
        <v>142</v>
      </c>
      <c r="E6" s="116" t="s">
        <v>142</v>
      </c>
      <c r="F6" s="116" t="s">
        <v>142</v>
      </c>
      <c r="G6" s="116" t="s">
        <v>142</v>
      </c>
      <c r="H6" s="116" t="s">
        <v>142</v>
      </c>
      <c r="I6" s="116"/>
      <c r="J6" s="116"/>
      <c r="K6" s="116"/>
      <c r="L6" s="116"/>
    </row>
    <row r="7" spans="1:12" x14ac:dyDescent="0.25">
      <c r="A7" s="108" t="s">
        <v>112</v>
      </c>
      <c r="B7" s="116"/>
      <c r="C7" s="116" t="s">
        <v>142</v>
      </c>
      <c r="D7" s="116"/>
      <c r="E7" s="116"/>
      <c r="F7" s="116"/>
      <c r="G7" s="116"/>
      <c r="H7" s="116" t="s">
        <v>142</v>
      </c>
      <c r="I7" s="116" t="s">
        <v>142</v>
      </c>
      <c r="J7" s="116"/>
      <c r="K7" s="116"/>
      <c r="L7" s="116" t="s">
        <v>142</v>
      </c>
    </row>
    <row r="8" spans="1:12" x14ac:dyDescent="0.25">
      <c r="A8" s="108" t="s">
        <v>113</v>
      </c>
      <c r="B8" s="116"/>
      <c r="C8" s="116" t="s">
        <v>142</v>
      </c>
      <c r="D8" s="116"/>
      <c r="E8" s="116"/>
      <c r="F8" s="116"/>
      <c r="G8" s="116"/>
      <c r="H8" s="116" t="s">
        <v>142</v>
      </c>
      <c r="I8" s="116" t="s">
        <v>142</v>
      </c>
      <c r="J8" s="116"/>
      <c r="K8" s="116"/>
      <c r="L8" s="116" t="s">
        <v>142</v>
      </c>
    </row>
    <row r="9" spans="1:12" x14ac:dyDescent="0.25">
      <c r="A9" s="108" t="s">
        <v>114</v>
      </c>
      <c r="B9" s="116"/>
      <c r="C9" s="116" t="s">
        <v>142</v>
      </c>
      <c r="D9" s="116"/>
      <c r="E9" s="116"/>
      <c r="F9" s="116"/>
      <c r="G9" s="116"/>
      <c r="H9" s="116" t="s">
        <v>142</v>
      </c>
      <c r="I9" s="116" t="s">
        <v>142</v>
      </c>
      <c r="J9" s="116"/>
      <c r="K9" s="116"/>
      <c r="L9" s="116" t="s">
        <v>142</v>
      </c>
    </row>
    <row r="10" spans="1:12" x14ac:dyDescent="0.25">
      <c r="A10" s="108" t="s">
        <v>115</v>
      </c>
      <c r="B10" s="116"/>
      <c r="C10" s="116" t="s">
        <v>142</v>
      </c>
      <c r="D10" s="116"/>
      <c r="E10" s="116"/>
      <c r="F10" s="116"/>
      <c r="G10" s="116"/>
      <c r="H10" s="116" t="s">
        <v>142</v>
      </c>
      <c r="I10" s="116" t="s">
        <v>142</v>
      </c>
      <c r="J10" s="116"/>
      <c r="K10" s="116"/>
      <c r="L10" s="116" t="s">
        <v>142</v>
      </c>
    </row>
    <row r="11" spans="1:12" x14ac:dyDescent="0.25">
      <c r="A11" s="108" t="s">
        <v>58</v>
      </c>
      <c r="B11" s="116"/>
      <c r="C11" s="116" t="s">
        <v>142</v>
      </c>
      <c r="D11" s="116"/>
      <c r="E11" s="116"/>
      <c r="F11" s="116"/>
      <c r="G11" s="116"/>
      <c r="H11" s="116"/>
      <c r="I11" s="116"/>
      <c r="J11" s="116" t="s">
        <v>142</v>
      </c>
      <c r="K11" s="116" t="s">
        <v>142</v>
      </c>
      <c r="L11" s="116"/>
    </row>
    <row r="12" spans="1:12" x14ac:dyDescent="0.25">
      <c r="A12" s="108" t="s">
        <v>59</v>
      </c>
      <c r="B12" s="116"/>
      <c r="C12" s="116" t="s">
        <v>142</v>
      </c>
      <c r="D12" s="116"/>
      <c r="E12" s="116"/>
      <c r="F12" s="116"/>
      <c r="G12" s="116"/>
      <c r="H12" s="116"/>
      <c r="I12" s="116"/>
      <c r="J12" s="116"/>
      <c r="K12" s="116" t="s">
        <v>142</v>
      </c>
      <c r="L12" s="116"/>
    </row>
    <row r="13" spans="1:12" x14ac:dyDescent="0.25">
      <c r="A13" s="108" t="s">
        <v>60</v>
      </c>
      <c r="B13" s="116"/>
      <c r="C13" s="116" t="s">
        <v>142</v>
      </c>
      <c r="D13" s="116"/>
      <c r="E13" s="116"/>
      <c r="F13" s="116"/>
      <c r="G13" s="116"/>
      <c r="H13" s="116"/>
      <c r="I13" s="116"/>
      <c r="J13" s="116"/>
      <c r="K13" s="116" t="s">
        <v>142</v>
      </c>
      <c r="L13" s="116"/>
    </row>
    <row r="14" spans="1:12" x14ac:dyDescent="0.25">
      <c r="A14" s="108" t="s">
        <v>61</v>
      </c>
      <c r="B14" s="116"/>
      <c r="C14" s="116" t="s">
        <v>142</v>
      </c>
      <c r="D14" s="116"/>
      <c r="E14" s="116"/>
      <c r="F14" s="116"/>
      <c r="G14" s="116"/>
      <c r="H14" s="116"/>
      <c r="I14" s="116"/>
      <c r="J14" s="116"/>
      <c r="K14" s="116" t="s">
        <v>142</v>
      </c>
      <c r="L14" s="116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5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5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5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5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5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5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5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5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5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274</v>
      </c>
    </row>
    <row r="2" spans="1:7" ht="14.25" customHeight="1" x14ac:dyDescent="0.3">
      <c r="A2" s="122" t="s">
        <v>196</v>
      </c>
      <c r="B2" s="107"/>
      <c r="C2" s="105" t="s">
        <v>67</v>
      </c>
      <c r="D2" s="105" t="s">
        <v>77</v>
      </c>
      <c r="E2" s="105" t="s">
        <v>78</v>
      </c>
      <c r="F2" s="105" t="s">
        <v>79</v>
      </c>
      <c r="G2" s="105" t="s">
        <v>80</v>
      </c>
    </row>
    <row r="3" spans="1:7" ht="14.25" customHeight="1" x14ac:dyDescent="0.25">
      <c r="B3" s="117" t="s">
        <v>275</v>
      </c>
      <c r="C3" s="118" t="s">
        <v>276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277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278</v>
      </c>
    </row>
    <row r="6" spans="1:7" ht="14.25" customHeight="1" x14ac:dyDescent="0.25">
      <c r="B6" s="117" t="s">
        <v>184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177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162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185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193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279</v>
      </c>
    </row>
    <row r="13" spans="1:7" ht="14.25" customHeight="1" x14ac:dyDescent="0.3">
      <c r="A13" s="123"/>
      <c r="B13" s="117" t="s">
        <v>176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280</v>
      </c>
    </row>
    <row r="16" spans="1:7" ht="14.25" customHeight="1" x14ac:dyDescent="0.3">
      <c r="A16" s="122" t="s">
        <v>265</v>
      </c>
      <c r="B16" s="117" t="s">
        <v>281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282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111</v>
      </c>
      <c r="B18" s="117" t="s">
        <v>283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284</v>
      </c>
    </row>
    <row r="21" spans="1:7" s="123" customFormat="1" ht="14.25" customHeight="1" x14ac:dyDescent="0.3">
      <c r="C21" s="124" t="s">
        <v>58</v>
      </c>
      <c r="D21" s="124" t="s">
        <v>59</v>
      </c>
      <c r="E21" s="124" t="s">
        <v>60</v>
      </c>
      <c r="F21" s="124" t="s">
        <v>61</v>
      </c>
    </row>
    <row r="22" spans="1:7" x14ac:dyDescent="0.25">
      <c r="B22" s="117" t="s">
        <v>164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228</v>
      </c>
    </row>
    <row r="25" spans="1:7" ht="13" x14ac:dyDescent="0.3">
      <c r="A25" s="120" t="s">
        <v>274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196</v>
      </c>
      <c r="B26" s="107"/>
      <c r="C26" s="105" t="s">
        <v>67</v>
      </c>
      <c r="D26" s="105" t="s">
        <v>77</v>
      </c>
      <c r="E26" s="105" t="s">
        <v>78</v>
      </c>
      <c r="F26" s="105" t="s">
        <v>79</v>
      </c>
      <c r="G26" s="105" t="s">
        <v>80</v>
      </c>
    </row>
    <row r="27" spans="1:7" x14ac:dyDescent="0.25">
      <c r="B27" s="117" t="s">
        <v>285</v>
      </c>
      <c r="C27" s="118" t="s">
        <v>276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286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287</v>
      </c>
    </row>
    <row r="30" spans="1:7" x14ac:dyDescent="0.25">
      <c r="B30" s="117" t="s">
        <v>288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289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370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290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291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292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293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280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265</v>
      </c>
      <c r="B40" s="117" t="s">
        <v>294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295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111</v>
      </c>
      <c r="B42" s="117" t="s">
        <v>296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297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58</v>
      </c>
      <c r="D45" s="124" t="s">
        <v>59</v>
      </c>
      <c r="E45" s="124" t="s">
        <v>60</v>
      </c>
      <c r="F45" s="124" t="s">
        <v>61</v>
      </c>
      <c r="G45" s="123"/>
    </row>
    <row r="46" spans="1:7" x14ac:dyDescent="0.25">
      <c r="B46" s="117" t="s">
        <v>298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232</v>
      </c>
    </row>
    <row r="49" spans="1:7" ht="13" x14ac:dyDescent="0.3">
      <c r="A49" s="120" t="s">
        <v>274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196</v>
      </c>
      <c r="B50" s="107"/>
      <c r="C50" s="105" t="s">
        <v>67</v>
      </c>
      <c r="D50" s="105" t="s">
        <v>77</v>
      </c>
      <c r="E50" s="105" t="s">
        <v>78</v>
      </c>
      <c r="F50" s="105" t="s">
        <v>79</v>
      </c>
      <c r="G50" s="105" t="s">
        <v>80</v>
      </c>
    </row>
    <row r="51" spans="1:7" x14ac:dyDescent="0.25">
      <c r="B51" s="117" t="s">
        <v>299</v>
      </c>
      <c r="C51" s="118" t="s">
        <v>276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300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301</v>
      </c>
    </row>
    <row r="54" spans="1:7" x14ac:dyDescent="0.25">
      <c r="B54" s="117" t="s">
        <v>302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303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371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304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305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306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307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280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265</v>
      </c>
      <c r="B64" s="117" t="s">
        <v>308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309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111</v>
      </c>
      <c r="B66" s="117" t="s">
        <v>310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311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58</v>
      </c>
      <c r="D69" s="124" t="s">
        <v>59</v>
      </c>
      <c r="E69" s="124" t="s">
        <v>60</v>
      </c>
      <c r="F69" s="124" t="s">
        <v>61</v>
      </c>
      <c r="G69" s="123"/>
    </row>
    <row r="70" spans="1:7" x14ac:dyDescent="0.25">
      <c r="B70" s="117" t="s">
        <v>312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H15" sqref="H15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149</v>
      </c>
      <c r="B1" s="105"/>
      <c r="C1" s="105" t="s">
        <v>40</v>
      </c>
      <c r="D1" s="105" t="s">
        <v>42</v>
      </c>
      <c r="E1" s="105" t="s">
        <v>41</v>
      </c>
      <c r="F1" s="107" t="s">
        <v>43</v>
      </c>
    </row>
    <row r="2" spans="1:6" ht="15.75" customHeight="1" x14ac:dyDescent="0.25">
      <c r="A2" s="117" t="s">
        <v>159</v>
      </c>
      <c r="B2" s="117" t="s">
        <v>313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314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161</v>
      </c>
      <c r="B4" s="117" t="s">
        <v>313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172</v>
      </c>
      <c r="B6" s="117" t="s">
        <v>313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314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173</v>
      </c>
      <c r="B8" s="117" t="s">
        <v>313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314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174</v>
      </c>
      <c r="B10" s="117" t="s">
        <v>313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314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178</v>
      </c>
      <c r="B12" s="117" t="s">
        <v>313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314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182</v>
      </c>
      <c r="B14" s="117" t="s">
        <v>313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314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228</v>
      </c>
    </row>
    <row r="18" spans="1:6" ht="15.75" customHeight="1" x14ac:dyDescent="0.3">
      <c r="A18" s="107" t="s">
        <v>149</v>
      </c>
      <c r="B18" s="105"/>
      <c r="C18" s="105" t="s">
        <v>40</v>
      </c>
      <c r="D18" s="105" t="s">
        <v>42</v>
      </c>
      <c r="E18" s="105" t="s">
        <v>41</v>
      </c>
      <c r="F18" s="107" t="s">
        <v>43</v>
      </c>
    </row>
    <row r="19" spans="1:6" ht="15.75" customHeight="1" x14ac:dyDescent="0.25">
      <c r="A19" s="117" t="s">
        <v>159</v>
      </c>
      <c r="B19" s="117" t="s">
        <v>313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314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161</v>
      </c>
      <c r="B21" s="117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172</v>
      </c>
      <c r="B23" s="117" t="s">
        <v>313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314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173</v>
      </c>
      <c r="B25" s="117" t="s">
        <v>313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314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174</v>
      </c>
      <c r="B27" s="117" t="s">
        <v>313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314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178</v>
      </c>
      <c r="B29" s="117" t="s">
        <v>313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314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182</v>
      </c>
      <c r="B31" s="117" t="s">
        <v>313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314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232</v>
      </c>
    </row>
    <row r="35" spans="1:6" ht="15.75" customHeight="1" x14ac:dyDescent="0.3">
      <c r="A35" s="107" t="s">
        <v>149</v>
      </c>
      <c r="B35" s="105"/>
      <c r="C35" s="105" t="s">
        <v>40</v>
      </c>
      <c r="D35" s="105" t="s">
        <v>42</v>
      </c>
      <c r="E35" s="105" t="s">
        <v>41</v>
      </c>
      <c r="F35" s="107" t="s">
        <v>43</v>
      </c>
    </row>
    <row r="36" spans="1:6" ht="15.75" customHeight="1" x14ac:dyDescent="0.25">
      <c r="A36" s="117" t="s">
        <v>159</v>
      </c>
      <c r="B36" s="117" t="s">
        <v>313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314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161</v>
      </c>
      <c r="B38" s="117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172</v>
      </c>
      <c r="B40" s="117" t="s">
        <v>313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314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173</v>
      </c>
      <c r="B42" s="117" t="s">
        <v>313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314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174</v>
      </c>
      <c r="B44" s="117" t="s">
        <v>313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314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178</v>
      </c>
      <c r="B46" s="117" t="s">
        <v>313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314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182</v>
      </c>
      <c r="B48" s="117" t="s">
        <v>313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314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E28" sqref="E28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177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TBm5n0F3ZSMKrCjY+AL4slUg0hXT2hO+5shU+GoRiFXJBcHFkYgPBlqs+Fxx6PFsQewttQOR21aj1fXZcoz8ag==" saltValue="SognIhr+7Tvq4ZYvkkpSZ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1Mri6mDNakxTN++LYDkrSlnJ4hCf3+16Ur3JzKHbXsgMLeiOx4246djFaBfqw7/DRWYE8TBQn+gwoEULaV5KRw==" saltValue="hCtPYkilVxJaj3uZrBsg0A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149</v>
      </c>
      <c r="B1" s="4" t="s">
        <v>329</v>
      </c>
      <c r="C1" s="82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186</v>
      </c>
      <c r="B2" s="5" t="s">
        <v>81</v>
      </c>
      <c r="C2" s="5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184</v>
      </c>
      <c r="B5" s="5" t="s">
        <v>198</v>
      </c>
      <c r="C5" s="5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197</v>
      </c>
      <c r="C7" s="5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177</v>
      </c>
      <c r="B9" s="5" t="s">
        <v>198</v>
      </c>
      <c r="C9" s="5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197</v>
      </c>
      <c r="C11" s="5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185</v>
      </c>
      <c r="B13" s="5" t="s">
        <v>198</v>
      </c>
      <c r="C13" s="5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197</v>
      </c>
      <c r="C15" s="5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162</v>
      </c>
      <c r="B17" s="5" t="s">
        <v>198</v>
      </c>
      <c r="C17" s="5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333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197</v>
      </c>
      <c r="C19" s="5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167</v>
      </c>
      <c r="B21" s="5" t="s">
        <v>74</v>
      </c>
      <c r="C21" s="5" t="s">
        <v>331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332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165</v>
      </c>
      <c r="B23" s="5" t="s">
        <v>74</v>
      </c>
      <c r="C23" s="5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166</v>
      </c>
      <c r="B25" s="5" t="s">
        <v>74</v>
      </c>
      <c r="C25" s="5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190</v>
      </c>
      <c r="B27" s="5" t="s">
        <v>81</v>
      </c>
      <c r="C27" s="5" t="s">
        <v>331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332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333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191</v>
      </c>
      <c r="B30" s="5" t="s">
        <v>81</v>
      </c>
      <c r="C30" s="5" t="s">
        <v>331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332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333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189</v>
      </c>
      <c r="B33" s="5" t="s">
        <v>81</v>
      </c>
      <c r="C33" s="5" t="s">
        <v>331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332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333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188</v>
      </c>
      <c r="B36" s="5" t="s">
        <v>81</v>
      </c>
      <c r="C36" s="5" t="s">
        <v>331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332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333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187</v>
      </c>
      <c r="B39" s="5" t="s">
        <v>81</v>
      </c>
      <c r="C39" s="5" t="s">
        <v>331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332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333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193</v>
      </c>
      <c r="B42" s="5" t="s">
        <v>81</v>
      </c>
      <c r="C42" s="5" t="s">
        <v>331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332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333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331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332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333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183</v>
      </c>
      <c r="B48" s="5" t="s">
        <v>81</v>
      </c>
      <c r="C48" s="5" t="s">
        <v>331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332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192</v>
      </c>
      <c r="B50" s="5" t="s">
        <v>81</v>
      </c>
      <c r="C50" s="5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332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176</v>
      </c>
      <c r="B52" s="5" t="s">
        <v>72</v>
      </c>
      <c r="C52" s="5" t="s">
        <v>331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332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323</v>
      </c>
      <c r="B55" s="97"/>
      <c r="C55" s="97"/>
    </row>
    <row r="56" spans="1:8" ht="13" x14ac:dyDescent="0.3">
      <c r="A56" s="4" t="s">
        <v>149</v>
      </c>
      <c r="B56" s="4" t="s">
        <v>329</v>
      </c>
      <c r="C56" s="82" t="s">
        <v>330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186</v>
      </c>
      <c r="B57" s="5" t="s">
        <v>81</v>
      </c>
      <c r="C57" s="5" t="s">
        <v>331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332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333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184</v>
      </c>
      <c r="B60" s="5" t="s">
        <v>198</v>
      </c>
      <c r="C60" s="5" t="s">
        <v>331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333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197</v>
      </c>
      <c r="C62" s="5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177</v>
      </c>
      <c r="B64" s="5" t="s">
        <v>198</v>
      </c>
      <c r="C64" s="5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197</v>
      </c>
      <c r="C66" s="5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185</v>
      </c>
      <c r="B68" s="5" t="s">
        <v>198</v>
      </c>
      <c r="C68" s="5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333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197</v>
      </c>
      <c r="C70" s="5" t="s">
        <v>331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333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162</v>
      </c>
      <c r="B72" s="5" t="s">
        <v>198</v>
      </c>
      <c r="C72" s="5" t="s">
        <v>331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197</v>
      </c>
      <c r="C74" s="5" t="s">
        <v>331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333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167</v>
      </c>
      <c r="B76" s="5" t="s">
        <v>74</v>
      </c>
      <c r="C76" s="5" t="s">
        <v>331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332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165</v>
      </c>
      <c r="B78" s="5" t="s">
        <v>74</v>
      </c>
      <c r="C78" s="5" t="s">
        <v>331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332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166</v>
      </c>
      <c r="B80" s="5" t="s">
        <v>74</v>
      </c>
      <c r="C80" s="5" t="s">
        <v>331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332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190</v>
      </c>
      <c r="B82" s="5" t="s">
        <v>81</v>
      </c>
      <c r="C82" s="5" t="s">
        <v>331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332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333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191</v>
      </c>
      <c r="B85" s="5" t="s">
        <v>81</v>
      </c>
      <c r="C85" s="5" t="s">
        <v>331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332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333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189</v>
      </c>
      <c r="B88" s="5" t="s">
        <v>81</v>
      </c>
      <c r="C88" s="5" t="s">
        <v>331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332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333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188</v>
      </c>
      <c r="B91" s="5" t="s">
        <v>81</v>
      </c>
      <c r="C91" s="5" t="s">
        <v>331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332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333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187</v>
      </c>
      <c r="B94" s="5" t="s">
        <v>81</v>
      </c>
      <c r="C94" s="5" t="s">
        <v>331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332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333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193</v>
      </c>
      <c r="B97" s="5" t="s">
        <v>81</v>
      </c>
      <c r="C97" s="5" t="s">
        <v>331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332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333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331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332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333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183</v>
      </c>
      <c r="B103" s="5" t="s">
        <v>81</v>
      </c>
      <c r="C103" s="5" t="s">
        <v>331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332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192</v>
      </c>
      <c r="B105" s="5" t="s">
        <v>81</v>
      </c>
      <c r="C105" s="5" t="s">
        <v>331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332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176</v>
      </c>
      <c r="B107" s="5" t="s">
        <v>72</v>
      </c>
      <c r="C107" s="5" t="s">
        <v>331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332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326</v>
      </c>
      <c r="B110" s="97"/>
      <c r="C110" s="97"/>
    </row>
    <row r="111" spans="1:8" ht="13" x14ac:dyDescent="0.3">
      <c r="A111" s="4" t="s">
        <v>149</v>
      </c>
      <c r="B111" s="4" t="s">
        <v>329</v>
      </c>
      <c r="C111" s="82" t="s">
        <v>330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186</v>
      </c>
      <c r="B112" s="5" t="s">
        <v>81</v>
      </c>
      <c r="C112" s="5" t="s">
        <v>331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332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333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184</v>
      </c>
      <c r="B115" s="5" t="s">
        <v>198</v>
      </c>
      <c r="C115" s="5" t="s">
        <v>331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333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197</v>
      </c>
      <c r="C117" s="5" t="s">
        <v>331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333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177</v>
      </c>
      <c r="B119" s="5" t="s">
        <v>198</v>
      </c>
      <c r="C119" s="5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197</v>
      </c>
      <c r="C121" s="5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185</v>
      </c>
      <c r="B123" s="5" t="s">
        <v>198</v>
      </c>
      <c r="C123" s="5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333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197</v>
      </c>
      <c r="C125" s="5" t="s">
        <v>331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333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162</v>
      </c>
      <c r="B127" s="5" t="s">
        <v>198</v>
      </c>
      <c r="C127" s="5" t="s">
        <v>331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333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197</v>
      </c>
      <c r="C129" s="5" t="s">
        <v>331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333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167</v>
      </c>
      <c r="B131" s="5" t="s">
        <v>74</v>
      </c>
      <c r="C131" s="5" t="s">
        <v>331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332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165</v>
      </c>
      <c r="B133" s="5" t="s">
        <v>74</v>
      </c>
      <c r="C133" s="5" t="s">
        <v>331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332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166</v>
      </c>
      <c r="B135" s="5" t="s">
        <v>74</v>
      </c>
      <c r="C135" s="5" t="s">
        <v>331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332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190</v>
      </c>
      <c r="B137" s="5" t="s">
        <v>81</v>
      </c>
      <c r="C137" s="5" t="s">
        <v>331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332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333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191</v>
      </c>
      <c r="B140" s="5" t="s">
        <v>81</v>
      </c>
      <c r="C140" s="5" t="s">
        <v>331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332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333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189</v>
      </c>
      <c r="B143" s="5" t="s">
        <v>81</v>
      </c>
      <c r="C143" s="5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332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188</v>
      </c>
      <c r="B146" s="5" t="s">
        <v>81</v>
      </c>
      <c r="C146" s="5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187</v>
      </c>
      <c r="B149" s="5" t="s">
        <v>81</v>
      </c>
      <c r="C149" s="5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193</v>
      </c>
      <c r="B152" s="5" t="s">
        <v>81</v>
      </c>
      <c r="C152" s="5" t="s">
        <v>331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332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333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331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183</v>
      </c>
      <c r="B158" s="5" t="s">
        <v>81</v>
      </c>
      <c r="C158" s="5" t="s">
        <v>331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332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192</v>
      </c>
      <c r="B160" s="5" t="s">
        <v>81</v>
      </c>
      <c r="C160" s="5" t="s">
        <v>331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332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176</v>
      </c>
      <c r="B162" s="5" t="s">
        <v>72</v>
      </c>
      <c r="C162" s="5" t="s">
        <v>331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332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DnQD/gzWviUpMnBIjfA5Iky2EK8yRnu6zKg+xR66jz8QwkNDqnWON/KDt1e6t59hPXSaScPm1AiTaVLOVOGxug==" saltValue="rSIHZAEaX/p6sgeAYDFDL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206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206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206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rBj4/xhupbkAjC3P8LLaOOabRcINjXHoySh1ckSTSXgOjYOIfIAjJmLR21rEgF+VA5vPMQjl2MeTTNpp+BUspw==" saltValue="QX9aSRqCF7tm0vhyOJqcEw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2025-06-25T23:18:43Z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