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C1745D5-086C-47F5-8259-5FB44A078E2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<sst xmlns="http://schemas.openxmlformats.org/spreadsheetml/2006/main" count="2169" uniqueCount="373">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</sst>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2200874</v>
      </c>
    </row>
    <row r="8" spans="1:3" ht="15" customHeight="1" x14ac:dyDescent="0.25">
      <c r="B8" s="5" t="s">
        <v>8</v>
      </c>
      <c r="C8" s="44">
        <v>0.55000000000000004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0.39810580000000001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8.9200000000000002E-2</v>
      </c>
    </row>
    <row r="24" spans="1:3" ht="15" customHeight="1" x14ac:dyDescent="0.25">
      <c r="B24" s="15" t="s">
        <v>22</v>
      </c>
      <c r="C24" s="45">
        <v>0.50560000000000005</v>
      </c>
    </row>
    <row r="25" spans="1:3" ht="15" customHeight="1" x14ac:dyDescent="0.25">
      <c r="B25" s="15" t="s">
        <v>23</v>
      </c>
      <c r="C25" s="45">
        <v>0.33439999999999998</v>
      </c>
    </row>
    <row r="26" spans="1:3" ht="15" customHeight="1" x14ac:dyDescent="0.25">
      <c r="B26" s="15" t="s">
        <v>24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0.219379248368272</v>
      </c>
    </row>
    <row r="30" spans="1:3" ht="14.25" customHeight="1" x14ac:dyDescent="0.25">
      <c r="B30" s="25" t="s">
        <v>27</v>
      </c>
      <c r="C30" s="97">
        <v>3.6089788005909E-2</v>
      </c>
    </row>
    <row r="31" spans="1:3" ht="14.25" customHeight="1" x14ac:dyDescent="0.25">
      <c r="B31" s="25" t="s">
        <v>28</v>
      </c>
      <c r="C31" s="97">
        <v>9.1984534254138703E-2</v>
      </c>
    </row>
    <row r="32" spans="1:3" ht="14.25" customHeight="1" x14ac:dyDescent="0.25">
      <c r="B32" s="25" t="s">
        <v>29</v>
      </c>
      <c r="C32" s="97">
        <v>0.65254642937168006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29.24811</v>
      </c>
    </row>
    <row r="38" spans="1:5" ht="15" customHeight="1" x14ac:dyDescent="0.25">
      <c r="B38" s="11" t="s">
        <v>34</v>
      </c>
      <c r="C38" s="43">
        <v>55.173659999999998</v>
      </c>
      <c r="D38" s="12"/>
      <c r="E38" s="13"/>
    </row>
    <row r="39" spans="1:5" ht="15" customHeight="1" x14ac:dyDescent="0.25">
      <c r="B39" s="11" t="s">
        <v>35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98">
        <v>5.23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5.8957000000000002E-3</v>
      </c>
      <c r="D45" s="12"/>
    </row>
    <row r="46" spans="1:5" ht="15.75" customHeight="1" x14ac:dyDescent="0.25">
      <c r="B46" s="11" t="s">
        <v>41</v>
      </c>
      <c r="C46" s="45">
        <v>6.3348000000000002E-2</v>
      </c>
      <c r="D46" s="12"/>
    </row>
    <row r="47" spans="1:5" ht="15.75" customHeight="1" x14ac:dyDescent="0.25">
      <c r="B47" s="11" t="s">
        <v>42</v>
      </c>
      <c r="C47" s="45">
        <v>7.5394799999999998E-2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2.548</v>
      </c>
      <c r="D51" s="12"/>
    </row>
    <row r="52" spans="1:4" ht="15" customHeight="1" x14ac:dyDescent="0.25">
      <c r="B52" s="11" t="s">
        <v>46</v>
      </c>
      <c r="C52" s="98">
        <v>2.548</v>
      </c>
    </row>
    <row r="53" spans="1:4" ht="15.75" customHeight="1" x14ac:dyDescent="0.25">
      <c r="B53" s="11" t="s">
        <v>47</v>
      </c>
      <c r="C53" s="98">
        <v>4.7839999999999998</v>
      </c>
    </row>
    <row r="54" spans="1:4" ht="15.75" customHeight="1" x14ac:dyDescent="0.25">
      <c r="B54" s="11" t="s">
        <v>48</v>
      </c>
      <c r="C54" s="98">
        <v>4.2639999999999993</v>
      </c>
    </row>
    <row r="55" spans="1:4" ht="15.75" customHeight="1" x14ac:dyDescent="0.25">
      <c r="B55" s="11" t="s">
        <v>49</v>
      </c>
      <c r="C55" s="98">
        <v>1.7766666666666671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0.41818299999999992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0.16890917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2.0984399999999969E-2</v>
      </c>
    </row>
    <row r="4" spans="1:8" ht="15.75" customHeight="1" x14ac:dyDescent="0.25">
      <c r="B4" s="19" t="s">
        <v>69</v>
      </c>
      <c r="C4" s="99">
        <v>5.8862300000000048E-2</v>
      </c>
    </row>
    <row r="5" spans="1:8" ht="15.75" customHeight="1" x14ac:dyDescent="0.25">
      <c r="B5" s="19" t="s">
        <v>70</v>
      </c>
      <c r="C5" s="99">
        <v>8.1531899999999921E-2</v>
      </c>
    </row>
    <row r="6" spans="1:8" ht="15.75" customHeight="1" x14ac:dyDescent="0.25">
      <c r="B6" s="19" t="s">
        <v>71</v>
      </c>
      <c r="C6" s="99">
        <v>0.24317549999999971</v>
      </c>
    </row>
    <row r="7" spans="1:8" ht="15.75" customHeight="1" x14ac:dyDescent="0.25">
      <c r="B7" s="19" t="s">
        <v>72</v>
      </c>
      <c r="C7" s="99">
        <v>0.41259100000000032</v>
      </c>
    </row>
    <row r="8" spans="1:8" ht="15.75" customHeight="1" x14ac:dyDescent="0.25">
      <c r="B8" s="19" t="s">
        <v>73</v>
      </c>
      <c r="C8" s="99">
        <v>4.2646999999999859E-3</v>
      </c>
    </row>
    <row r="9" spans="1:8" ht="15.75" customHeight="1" x14ac:dyDescent="0.25">
      <c r="B9" s="19" t="s">
        <v>74</v>
      </c>
      <c r="C9" s="99">
        <v>6.8128800000000017E-2</v>
      </c>
    </row>
    <row r="10" spans="1:8" ht="15.75" customHeight="1" x14ac:dyDescent="0.25">
      <c r="B10" s="19" t="s">
        <v>75</v>
      </c>
      <c r="C10" s="99">
        <v>0.1104614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82</v>
      </c>
      <c r="C15" s="99">
        <v>0.2011911478036702</v>
      </c>
      <c r="D15" s="99">
        <v>0.2011911478036702</v>
      </c>
      <c r="E15" s="99">
        <v>0.2011911478036702</v>
      </c>
      <c r="F15" s="99">
        <v>0.2011911478036702</v>
      </c>
    </row>
    <row r="16" spans="1:8" ht="15.75" customHeight="1" x14ac:dyDescent="0.25">
      <c r="B16" s="19" t="s">
        <v>83</v>
      </c>
      <c r="C16" s="99">
        <v>3.3435292418148833E-2</v>
      </c>
      <c r="D16" s="99">
        <v>3.3435292418148833E-2</v>
      </c>
      <c r="E16" s="99">
        <v>3.3435292418148833E-2</v>
      </c>
      <c r="F16" s="99">
        <v>3.3435292418148833E-2</v>
      </c>
    </row>
    <row r="17" spans="1:8" ht="15.75" customHeight="1" x14ac:dyDescent="0.25">
      <c r="B17" s="19" t="s">
        <v>84</v>
      </c>
      <c r="C17" s="99">
        <v>3.015832246129279E-2</v>
      </c>
      <c r="D17" s="99">
        <v>3.015832246129279E-2</v>
      </c>
      <c r="E17" s="99">
        <v>3.015832246129279E-2</v>
      </c>
      <c r="F17" s="99">
        <v>3.015832246129279E-2</v>
      </c>
    </row>
    <row r="18" spans="1:8" ht="15.75" customHeight="1" x14ac:dyDescent="0.25">
      <c r="B18" s="19" t="s">
        <v>85</v>
      </c>
      <c r="C18" s="99">
        <v>0.4033046735168701</v>
      </c>
      <c r="D18" s="99">
        <v>0.4033046735168701</v>
      </c>
      <c r="E18" s="99">
        <v>0.4033046735168701</v>
      </c>
      <c r="F18" s="99">
        <v>0.4033046735168701</v>
      </c>
    </row>
    <row r="19" spans="1:8" ht="15.75" customHeight="1" x14ac:dyDescent="0.25">
      <c r="B19" s="19" t="s">
        <v>86</v>
      </c>
      <c r="C19" s="99">
        <v>9.5212102324277494E-3</v>
      </c>
      <c r="D19" s="99">
        <v>9.5212102324277494E-3</v>
      </c>
      <c r="E19" s="99">
        <v>9.5212102324277494E-3</v>
      </c>
      <c r="F19" s="99">
        <v>9.5212102324277494E-3</v>
      </c>
    </row>
    <row r="20" spans="1:8" ht="15.75" customHeight="1" x14ac:dyDescent="0.25">
      <c r="B20" s="19" t="s">
        <v>87</v>
      </c>
      <c r="C20" s="99">
        <v>1.192277409131451E-2</v>
      </c>
      <c r="D20" s="99">
        <v>1.192277409131451E-2</v>
      </c>
      <c r="E20" s="99">
        <v>1.192277409131451E-2</v>
      </c>
      <c r="F20" s="99">
        <v>1.192277409131451E-2</v>
      </c>
    </row>
    <row r="21" spans="1:8" ht="15.75" customHeight="1" x14ac:dyDescent="0.25">
      <c r="B21" s="19" t="s">
        <v>88</v>
      </c>
      <c r="C21" s="99">
        <v>5.6537733251141399E-2</v>
      </c>
      <c r="D21" s="99">
        <v>5.6537733251141399E-2</v>
      </c>
      <c r="E21" s="99">
        <v>5.6537733251141399E-2</v>
      </c>
      <c r="F21" s="99">
        <v>5.6537733251141399E-2</v>
      </c>
    </row>
    <row r="22" spans="1:8" ht="15.75" customHeight="1" x14ac:dyDescent="0.25">
      <c r="B22" s="19" t="s">
        <v>89</v>
      </c>
      <c r="C22" s="99">
        <v>0.1062887451175335</v>
      </c>
      <c r="D22" s="99">
        <v>0.1062887451175335</v>
      </c>
      <c r="E22" s="99">
        <v>0.1062887451175335</v>
      </c>
      <c r="F22" s="99">
        <v>0.1062887451175335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0.215159032</v>
      </c>
    </row>
    <row r="27" spans="1:8" ht="15.75" customHeight="1" x14ac:dyDescent="0.25">
      <c r="B27" s="19" t="s">
        <v>92</v>
      </c>
      <c r="C27" s="99">
        <v>1.8590265000000002E-2</v>
      </c>
    </row>
    <row r="28" spans="1:8" ht="15.75" customHeight="1" x14ac:dyDescent="0.25">
      <c r="B28" s="19" t="s">
        <v>93</v>
      </c>
      <c r="C28" s="99">
        <v>5.4018957999999999E-2</v>
      </c>
    </row>
    <row r="29" spans="1:8" ht="15.75" customHeight="1" x14ac:dyDescent="0.25">
      <c r="B29" s="19" t="s">
        <v>94</v>
      </c>
      <c r="C29" s="99">
        <v>0.129449545</v>
      </c>
    </row>
    <row r="30" spans="1:8" ht="15.75" customHeight="1" x14ac:dyDescent="0.25">
      <c r="B30" s="19" t="s">
        <v>95</v>
      </c>
      <c r="C30" s="99">
        <v>0.14082996</v>
      </c>
    </row>
    <row r="31" spans="1:8" ht="15.75" customHeight="1" x14ac:dyDescent="0.25">
      <c r="B31" s="19" t="s">
        <v>96</v>
      </c>
      <c r="C31" s="99">
        <v>8.710394199999999E-2</v>
      </c>
    </row>
    <row r="32" spans="1:8" ht="15.75" customHeight="1" x14ac:dyDescent="0.25">
      <c r="B32" s="19" t="s">
        <v>97</v>
      </c>
      <c r="C32" s="99">
        <v>1.6266652E-2</v>
      </c>
    </row>
    <row r="33" spans="2:3" ht="15.75" customHeight="1" x14ac:dyDescent="0.25">
      <c r="B33" s="19" t="s">
        <v>98</v>
      </c>
      <c r="C33" s="99">
        <v>8.3666946000000006E-2</v>
      </c>
    </row>
    <row r="34" spans="2:3" ht="15.75" customHeight="1" x14ac:dyDescent="0.25">
      <c r="B34" s="19" t="s">
        <v>99</v>
      </c>
      <c r="C34" s="99">
        <v>0.254914698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104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1302.85103626824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0.36139000000000004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0.57291999999999998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1.7548573585507706E-2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90871.948980000001</v>
      </c>
      <c r="C22" s="107">
        <v>89731.852239999993</v>
      </c>
      <c r="D22" s="107">
        <v>89084.03658</v>
      </c>
      <c r="E22" s="107">
        <v>88542.940669999996</v>
      </c>
      <c r="F22" s="107">
        <v>87825.714470000006</v>
      </c>
      <c r="G22" s="107">
        <v>86953.420490000004</v>
      </c>
      <c r="H22" s="107">
        <v>85853.185249999995</v>
      </c>
      <c r="I22" s="107">
        <v>84392.828039999993</v>
      </c>
      <c r="J22" s="107">
        <v>82343.688899999994</v>
      </c>
      <c r="K22" s="107">
        <v>79614.204289999994</v>
      </c>
      <c r="L22" s="107">
        <v>75674.562900000004</v>
      </c>
      <c r="M22" s="107">
        <v>70395.728099999993</v>
      </c>
      <c r="N22" s="107">
        <v>62947.162109999997</v>
      </c>
      <c r="O22" s="107">
        <v>53443.230250000001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0.47062090000000001</v>
      </c>
      <c r="C10" s="96">
        <v>0.95</v>
      </c>
      <c r="D10" s="56">
        <v>13.5103361384934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13.5103361384934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13.5103361384934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13.5103361384934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0.47062090000000001</v>
      </c>
      <c r="C14" s="96">
        <v>0.95</v>
      </c>
      <c r="D14" s="56">
        <v>13.5103361384934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13.5103361384934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0.72296099999999996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0.12681000000000001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0.51300000000000001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0.35273559999999998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0.83967060000000004</v>
      </c>
      <c r="C23" s="96">
        <v>0.95</v>
      </c>
      <c r="D23" s="56">
        <v>4.4426820703529186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0.46026228261281199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1.55E-2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0.2215608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0.2588009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7.9000000000000008E-3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0.1213046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0.31415670000000001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1.2729E-3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0.38746140000000001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0.105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2.548</v>
      </c>
      <c r="C2" s="21">
        <f>'Baseline year population inputs'!C52</f>
        <v>2.548</v>
      </c>
      <c r="D2" s="21">
        <f>'Baseline year population inputs'!C53</f>
        <v>4.7839999999999998</v>
      </c>
      <c r="E2" s="21">
        <f>'Baseline year population inputs'!C54</f>
        <v>4.2639999999999993</v>
      </c>
      <c r="F2" s="21">
        <f>'Baseline year population inputs'!C55</f>
        <v>1.7766666666666671</v>
      </c>
    </row>
    <row r="3" spans="1:6" ht="15.75" customHeight="1" x14ac:dyDescent="0.25">
      <c r="A3" s="3" t="s">
        <v>197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198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