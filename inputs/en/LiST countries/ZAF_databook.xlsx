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E62EF14-5D79-43D3-8C1D-760CF00923E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<sst xmlns="http://schemas.openxmlformats.org/spreadsheetml/2006/main" count="2159" uniqueCount="372">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</sst>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5686551.5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0.78522720000000001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9">
        <v>2.5198011863396302E-2</v>
      </c>
    </row>
    <row r="31" spans="1:3" ht="14.25" customHeight="1" x14ac:dyDescent="0.25">
      <c r="B31" s="25" t="s">
        <v>28</v>
      </c>
      <c r="C31" s="99">
        <v>4.3840922737282198E-2</v>
      </c>
    </row>
    <row r="32" spans="1:3" ht="14.25" customHeight="1" x14ac:dyDescent="0.25">
      <c r="B32" s="25" t="s">
        <v>29</v>
      </c>
      <c r="C32" s="99">
        <v>0.57222694436042698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1.82</v>
      </c>
      <c r="D51" s="12"/>
    </row>
    <row r="52" spans="1:4" ht="15" customHeight="1" x14ac:dyDescent="0.25">
      <c r="B52" s="11" t="s">
        <v>46</v>
      </c>
      <c r="C52" s="100">
        <v>1.82</v>
      </c>
    </row>
    <row r="53" spans="1:4" ht="15.75" customHeight="1" x14ac:dyDescent="0.25">
      <c r="B53" s="11" t="s">
        <v>47</v>
      </c>
      <c r="C53" s="100">
        <v>4.2380000000000004</v>
      </c>
    </row>
    <row r="54" spans="1:4" ht="15.75" customHeight="1" x14ac:dyDescent="0.25">
      <c r="B54" s="11" t="s">
        <v>48</v>
      </c>
      <c r="C54" s="100">
        <v>4.3680000000000003</v>
      </c>
    </row>
    <row r="55" spans="1:4" ht="15.75" customHeight="1" x14ac:dyDescent="0.25">
      <c r="B55" s="11" t="s">
        <v>49</v>
      </c>
      <c r="C55" s="100">
        <v>2.062666666666666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0.14131246935840991</v>
      </c>
    </row>
    <row r="5" spans="1:8" ht="15.75" customHeight="1" x14ac:dyDescent="0.25">
      <c r="B5" s="19" t="s">
        <v>70</v>
      </c>
      <c r="C5" s="101">
        <v>5.2328941334510708E-2</v>
      </c>
    </row>
    <row r="6" spans="1:8" ht="15.75" customHeight="1" x14ac:dyDescent="0.25">
      <c r="B6" s="19" t="s">
        <v>71</v>
      </c>
      <c r="C6" s="101">
        <v>0.200539021228022</v>
      </c>
    </row>
    <row r="7" spans="1:8" ht="15.75" customHeight="1" x14ac:dyDescent="0.25">
      <c r="B7" s="19" t="s">
        <v>72</v>
      </c>
      <c r="C7" s="101">
        <v>0.35804108021250081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0.1016678551433597</v>
      </c>
    </row>
    <row r="10" spans="1:8" ht="15.75" customHeight="1" x14ac:dyDescent="0.25">
      <c r="B10" s="19" t="s">
        <v>75</v>
      </c>
      <c r="C10" s="101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83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84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85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86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87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89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101">
        <v>5.9011999999999997E-4</v>
      </c>
    </row>
    <row r="28" spans="1:8" ht="15.75" customHeight="1" x14ac:dyDescent="0.25">
      <c r="B28" s="19" t="s">
        <v>93</v>
      </c>
      <c r="C28" s="101">
        <v>0.106273149</v>
      </c>
    </row>
    <row r="29" spans="1:8" ht="15.75" customHeight="1" x14ac:dyDescent="0.25">
      <c r="B29" s="19" t="s">
        <v>94</v>
      </c>
      <c r="C29" s="101">
        <v>0.14667259199999999</v>
      </c>
    </row>
    <row r="30" spans="1:8" ht="15.75" customHeight="1" x14ac:dyDescent="0.25">
      <c r="B30" s="19" t="s">
        <v>95</v>
      </c>
      <c r="C30" s="101">
        <v>8.2104470999999998E-2</v>
      </c>
    </row>
    <row r="31" spans="1:8" ht="15.75" customHeight="1" x14ac:dyDescent="0.25">
      <c r="B31" s="19" t="s">
        <v>96</v>
      </c>
      <c r="C31" s="101">
        <v>5.7501955E-2</v>
      </c>
    </row>
    <row r="32" spans="1:8" ht="15.75" customHeight="1" x14ac:dyDescent="0.25">
      <c r="B32" s="19" t="s">
        <v>97</v>
      </c>
      <c r="C32" s="101">
        <v>2.0726010999999999E-2</v>
      </c>
    </row>
    <row r="33" spans="2:3" ht="15.75" customHeight="1" x14ac:dyDescent="0.25">
      <c r="B33" s="19" t="s">
        <v>98</v>
      </c>
      <c r="C33" s="101">
        <v>6.9730735000000002E-2</v>
      </c>
    </row>
    <row r="34" spans="2:3" ht="15.75" customHeight="1" x14ac:dyDescent="0.25">
      <c r="B34" s="19" t="s">
        <v>99</v>
      </c>
      <c r="C34" s="101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6766.4812542947802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0.58639000000000008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0.55531999999999992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1.5804905073423522E-2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96502.997910000006</v>
      </c>
      <c r="C22" s="109">
        <v>96260.188460000005</v>
      </c>
      <c r="D22" s="109">
        <v>95976.718070000003</v>
      </c>
      <c r="E22" s="109">
        <v>95267.668950000007</v>
      </c>
      <c r="F22" s="109">
        <v>93895.115269999995</v>
      </c>
      <c r="G22" s="109">
        <v>91610.970319999993</v>
      </c>
      <c r="H22" s="109">
        <v>88349.324540000001</v>
      </c>
      <c r="I22" s="109">
        <v>84552.175730000003</v>
      </c>
      <c r="J22" s="109">
        <v>80432.232359999995</v>
      </c>
      <c r="K22" s="109">
        <v>76194.606329999995</v>
      </c>
      <c r="L22" s="109">
        <v>71407.311679999999</v>
      </c>
      <c r="M22" s="109">
        <v>66102.765629999994</v>
      </c>
      <c r="N22" s="109">
        <v>59746.514569999999</v>
      </c>
      <c r="O22" s="109">
        <v>52036.71557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0.50549569999999999</v>
      </c>
      <c r="C10" s="98">
        <v>0.95</v>
      </c>
      <c r="D10" s="56">
        <v>13.174056864953229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13.174056864953229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13.174056864953229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13.174056864953229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13.174056864953229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0.45208722222222197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0.53100000000000003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0.27586660000000002</v>
      </c>
      <c r="C19" s="98">
        <v>0.95</v>
      </c>
      <c r="D19" s="56">
        <v>12.125692061066291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4.3805110504495071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0.68605638799376001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0.51420810000000006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0.39905479999999999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0.42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0.44369690000000001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0.15718509999999999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1.2015899999999999E-2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0.90452129999999997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0.27900000000000003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1.82</v>
      </c>
      <c r="C2" s="21">
        <f>'Baseline year population inputs'!C52</f>
        <v>1.82</v>
      </c>
      <c r="D2" s="21">
        <f>'Baseline year population inputs'!C53</f>
        <v>4.2380000000000004</v>
      </c>
      <c r="E2" s="21">
        <f>'Baseline year population inputs'!C54</f>
        <v>4.3680000000000003</v>
      </c>
      <c r="F2" s="21">
        <f>'Baseline year population inputs'!C55</f>
        <v>2.062666666666666</v>
      </c>
    </row>
    <row r="3" spans="1:6" ht="15.75" customHeight="1" x14ac:dyDescent="0.25">
      <c r="A3" s="3" t="s">
        <v>197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198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