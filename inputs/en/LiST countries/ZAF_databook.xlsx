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C730AC7-C5A8-42B9-AD54-6DE05245C3CA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<sst xmlns="http://schemas.openxmlformats.org/spreadsheetml/2006/main" count="2102" uniqueCount="341">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</sst>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5650872.6875</v>
      </c>
    </row>
    <row r="8" spans="1:3" ht="15" customHeight="1" x14ac:dyDescent="0.25">
      <c r="B8" s="5" t="s">
        <v>8</v>
      </c>
      <c r="C8" s="44">
        <v>0.189</v>
      </c>
    </row>
    <row r="9" spans="1:3" ht="15" customHeight="1" x14ac:dyDescent="0.25">
      <c r="B9" s="5" t="s">
        <v>9</v>
      </c>
      <c r="C9" s="45">
        <v>0.15</v>
      </c>
    </row>
    <row r="10" spans="1:3" ht="15" customHeight="1" x14ac:dyDescent="0.25">
      <c r="B10" s="5" t="s">
        <v>10</v>
      </c>
      <c r="C10" s="45">
        <v>0.84276802062988299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9.8900000000000002E-2</v>
      </c>
    </row>
    <row r="24" spans="1:3" ht="15" customHeight="1" x14ac:dyDescent="0.25">
      <c r="B24" s="15" t="s">
        <v>22</v>
      </c>
      <c r="C24" s="45">
        <v>0.53500000000000003</v>
      </c>
    </row>
    <row r="25" spans="1:3" ht="15" customHeight="1" x14ac:dyDescent="0.25">
      <c r="B25" s="15" t="s">
        <v>23</v>
      </c>
      <c r="C25" s="45">
        <v>0.3115</v>
      </c>
    </row>
    <row r="26" spans="1:3" ht="15" customHeight="1" x14ac:dyDescent="0.25">
      <c r="B26" s="15" t="s">
        <v>24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0.35873412103889402</v>
      </c>
    </row>
    <row r="30" spans="1:3" ht="14.25" customHeight="1" x14ac:dyDescent="0.25">
      <c r="B30" s="25" t="s">
        <v>27</v>
      </c>
      <c r="C30" s="99">
        <v>2.5198011863396302E-2</v>
      </c>
    </row>
    <row r="31" spans="1:3" ht="14.25" customHeight="1" x14ac:dyDescent="0.25">
      <c r="B31" s="25" t="s">
        <v>28</v>
      </c>
      <c r="C31" s="99">
        <v>4.3840922737282198E-2</v>
      </c>
    </row>
    <row r="32" spans="1:3" ht="14.25" customHeight="1" x14ac:dyDescent="0.25">
      <c r="B32" s="25" t="s">
        <v>29</v>
      </c>
      <c r="C32" s="99">
        <v>0.57222694436042698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11.02473</v>
      </c>
    </row>
    <row r="38" spans="1:5" ht="15" customHeight="1" x14ac:dyDescent="0.25">
      <c r="B38" s="11" t="s">
        <v>34</v>
      </c>
      <c r="C38" s="43">
        <v>26.427199999999999</v>
      </c>
      <c r="D38" s="12"/>
      <c r="E38" s="13"/>
    </row>
    <row r="39" spans="1:5" ht="15" customHeight="1" x14ac:dyDescent="0.25">
      <c r="B39" s="11" t="s">
        <v>35</v>
      </c>
      <c r="C39" s="43">
        <v>32.847329999999999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1.10247E-2</v>
      </c>
      <c r="D45" s="12"/>
    </row>
    <row r="46" spans="1:5" ht="15.75" customHeight="1" x14ac:dyDescent="0.25">
      <c r="B46" s="11" t="s">
        <v>41</v>
      </c>
      <c r="C46" s="45">
        <v>0.1185986</v>
      </c>
      <c r="D46" s="12"/>
    </row>
    <row r="47" spans="1:5" ht="15.75" customHeight="1" x14ac:dyDescent="0.25">
      <c r="B47" s="11" t="s">
        <v>42</v>
      </c>
      <c r="C47" s="45">
        <v>0.1031654</v>
      </c>
      <c r="D47" s="12"/>
      <c r="E47" s="13"/>
    </row>
    <row r="48" spans="1:5" ht="15" customHeight="1" x14ac:dyDescent="0.25">
      <c r="B48" s="11" t="s">
        <v>43</v>
      </c>
      <c r="C48" s="46">
        <v>0.76721130000000004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0.55612200000000001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0.14205164000000001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1127932</v>
      </c>
      <c r="C2" s="49">
        <v>3137925</v>
      </c>
      <c r="D2" s="49">
        <v>4644386.5</v>
      </c>
      <c r="E2" s="49">
        <v>5429110</v>
      </c>
      <c r="F2" s="49">
        <v>3131063</v>
      </c>
      <c r="G2" s="17">
        <f t="shared" ref="G2:G13" si="0">C2+D2+E2+F2</f>
        <v>16342484.5</v>
      </c>
      <c r="H2" s="17">
        <f t="shared" ref="H2:H13" si="1">(B2 + stillbirth*B2/(1000-stillbirth))/(1-abortion)</f>
        <v>1302799.1990077666</v>
      </c>
      <c r="I2" s="17">
        <f t="shared" ref="I2:I13" si="2">G2-H2</f>
        <v>15039685.300992234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1114545</v>
      </c>
      <c r="C3" s="50">
        <v>3204738.5</v>
      </c>
      <c r="D3" s="50">
        <v>4602513.5</v>
      </c>
      <c r="E3" s="50">
        <v>5428826.5</v>
      </c>
      <c r="F3" s="50">
        <v>3327221</v>
      </c>
      <c r="G3" s="17">
        <f t="shared" si="0"/>
        <v>16563299.5</v>
      </c>
      <c r="H3" s="17">
        <f t="shared" si="1"/>
        <v>1287336.7660977005</v>
      </c>
      <c r="I3" s="17">
        <f t="shared" si="2"/>
        <v>15275962.7339023</v>
      </c>
    </row>
    <row r="4" spans="1:9" ht="15.75" customHeight="1" x14ac:dyDescent="0.25">
      <c r="A4" s="5">
        <f t="shared" si="3"/>
        <v>2026</v>
      </c>
      <c r="B4" s="49">
        <v>1105630</v>
      </c>
      <c r="C4" s="50">
        <v>3260227.5</v>
      </c>
      <c r="D4" s="50">
        <v>4594205.5</v>
      </c>
      <c r="E4" s="50">
        <v>5391733.5</v>
      </c>
      <c r="F4" s="50">
        <v>3541887</v>
      </c>
      <c r="G4" s="17">
        <f t="shared" si="0"/>
        <v>16788053.5</v>
      </c>
      <c r="H4" s="17">
        <f t="shared" si="1"/>
        <v>1277039.6428144225</v>
      </c>
      <c r="I4" s="17">
        <f t="shared" si="2"/>
        <v>15511013.857185578</v>
      </c>
    </row>
    <row r="5" spans="1:9" ht="15.75" customHeight="1" x14ac:dyDescent="0.25">
      <c r="A5" s="5">
        <f t="shared" si="3"/>
        <v>2027</v>
      </c>
      <c r="B5" s="49">
        <v>1097949</v>
      </c>
      <c r="C5" s="50">
        <v>3305278.5</v>
      </c>
      <c r="D5" s="50">
        <v>4626941.5</v>
      </c>
      <c r="E5" s="50">
        <v>5306996</v>
      </c>
      <c r="F5" s="50">
        <v>3765723</v>
      </c>
      <c r="G5" s="17">
        <f t="shared" si="0"/>
        <v>17004939</v>
      </c>
      <c r="H5" s="17">
        <f t="shared" si="1"/>
        <v>1268167.8308190373</v>
      </c>
      <c r="I5" s="17">
        <f t="shared" si="2"/>
        <v>15736771.169180963</v>
      </c>
    </row>
    <row r="6" spans="1:9" ht="15.75" customHeight="1" x14ac:dyDescent="0.25">
      <c r="A6" s="5">
        <f t="shared" si="3"/>
        <v>2028</v>
      </c>
      <c r="B6" s="49">
        <v>1089004</v>
      </c>
      <c r="C6" s="50">
        <v>3326839</v>
      </c>
      <c r="D6" s="50">
        <v>4708274</v>
      </c>
      <c r="E6" s="50">
        <v>5191814.5</v>
      </c>
      <c r="F6" s="50">
        <v>3985571.5</v>
      </c>
      <c r="G6" s="17">
        <f t="shared" si="0"/>
        <v>17212499</v>
      </c>
      <c r="H6" s="17">
        <f t="shared" si="1"/>
        <v>1257836.0565320021</v>
      </c>
      <c r="I6" s="17">
        <f t="shared" si="2"/>
        <v>15954662.943467997</v>
      </c>
    </row>
    <row r="7" spans="1:9" ht="15.75" customHeight="1" x14ac:dyDescent="0.25">
      <c r="A7" s="5">
        <f t="shared" si="3"/>
        <v>2029</v>
      </c>
      <c r="B7" s="49">
        <v>1085681</v>
      </c>
      <c r="C7" s="50">
        <v>3336093</v>
      </c>
      <c r="D7" s="50">
        <v>4807527.5</v>
      </c>
      <c r="E7" s="50">
        <v>5071644.5</v>
      </c>
      <c r="F7" s="50">
        <v>4180962</v>
      </c>
      <c r="G7" s="17">
        <f t="shared" si="0"/>
        <v>17396227</v>
      </c>
      <c r="H7" s="17">
        <f t="shared" si="1"/>
        <v>1253997.8803491266</v>
      </c>
      <c r="I7" s="17">
        <f t="shared" si="2"/>
        <v>16142229.119650874</v>
      </c>
    </row>
    <row r="8" spans="1:9" ht="15.75" customHeight="1" x14ac:dyDescent="0.25">
      <c r="A8" s="5">
        <f t="shared" si="3"/>
        <v>2030</v>
      </c>
      <c r="B8" s="49">
        <v>1082293</v>
      </c>
      <c r="C8" s="50">
        <v>3343308.5</v>
      </c>
      <c r="D8" s="50">
        <v>4905161.5</v>
      </c>
      <c r="E8" s="50">
        <v>4953088.5000000009</v>
      </c>
      <c r="F8" s="50">
        <v>4339853</v>
      </c>
      <c r="G8" s="17">
        <f t="shared" si="0"/>
        <v>17541411.5</v>
      </c>
      <c r="H8" s="17">
        <f t="shared" si="1"/>
        <v>1250084.6269914436</v>
      </c>
      <c r="I8" s="17">
        <f t="shared" si="2"/>
        <v>16291326.873008557</v>
      </c>
    </row>
    <row r="9" spans="1:9" ht="15.75" customHeight="1" x14ac:dyDescent="0.25">
      <c r="A9" s="5">
        <f t="shared" si="3"/>
        <v>2031</v>
      </c>
      <c r="B9" s="49">
        <v>1080262</v>
      </c>
      <c r="C9" s="50">
        <v>3345039.5</v>
      </c>
      <c r="D9" s="50">
        <v>5015503</v>
      </c>
      <c r="E9" s="50">
        <v>4835155.5</v>
      </c>
      <c r="F9" s="50">
        <v>4460900</v>
      </c>
      <c r="G9" s="17">
        <f t="shared" si="0"/>
        <v>17656598</v>
      </c>
      <c r="H9" s="17">
        <f t="shared" si="1"/>
        <v>1247738.7540370591</v>
      </c>
      <c r="I9" s="17">
        <f t="shared" si="2"/>
        <v>16408859.24596294</v>
      </c>
    </row>
    <row r="10" spans="1:9" ht="15.75" customHeight="1" x14ac:dyDescent="0.25">
      <c r="A10" s="5">
        <f t="shared" si="3"/>
        <v>2032</v>
      </c>
      <c r="B10" s="49">
        <v>1082157</v>
      </c>
      <c r="C10" s="50">
        <v>3355122.5</v>
      </c>
      <c r="D10" s="50">
        <v>5137047</v>
      </c>
      <c r="E10" s="50">
        <v>4722489</v>
      </c>
      <c r="F10" s="50">
        <v>4551714</v>
      </c>
      <c r="G10" s="17">
        <f t="shared" si="0"/>
        <v>17766372.5</v>
      </c>
      <c r="H10" s="17">
        <f t="shared" si="1"/>
        <v>1249927.5424410761</v>
      </c>
      <c r="I10" s="17">
        <f t="shared" si="2"/>
        <v>16516444.957558924</v>
      </c>
    </row>
    <row r="11" spans="1:9" ht="15.75" customHeight="1" x14ac:dyDescent="0.25">
      <c r="A11" s="5">
        <f t="shared" si="3"/>
        <v>2033</v>
      </c>
      <c r="B11" s="49">
        <v>1081745</v>
      </c>
      <c r="C11" s="50">
        <v>3375293.5</v>
      </c>
      <c r="D11" s="50">
        <v>5258236.5</v>
      </c>
      <c r="E11" s="50">
        <v>4627072</v>
      </c>
      <c r="F11" s="50">
        <v>4617307</v>
      </c>
      <c r="G11" s="17">
        <f t="shared" si="0"/>
        <v>17877909</v>
      </c>
      <c r="H11" s="17">
        <f t="shared" si="1"/>
        <v>1249451.6686561394</v>
      </c>
      <c r="I11" s="17">
        <f t="shared" si="2"/>
        <v>16628457.331343861</v>
      </c>
    </row>
    <row r="12" spans="1:9" ht="15.75" customHeight="1" x14ac:dyDescent="0.25">
      <c r="A12" s="5">
        <f t="shared" si="3"/>
        <v>2034</v>
      </c>
      <c r="B12" s="49">
        <v>1081601</v>
      </c>
      <c r="C12" s="50">
        <v>3387822</v>
      </c>
      <c r="D12" s="50">
        <v>5364742.5</v>
      </c>
      <c r="E12" s="50">
        <v>4559799</v>
      </c>
      <c r="F12" s="50">
        <v>4655375.9999999991</v>
      </c>
      <c r="G12" s="17">
        <f t="shared" si="0"/>
        <v>17967739.5</v>
      </c>
      <c r="H12" s="17">
        <f t="shared" si="1"/>
        <v>1249285.3438381031</v>
      </c>
      <c r="I12" s="17">
        <f t="shared" si="2"/>
        <v>16718454.156161897</v>
      </c>
    </row>
    <row r="13" spans="1:9" ht="15.75" customHeight="1" x14ac:dyDescent="0.25">
      <c r="A13" s="5">
        <f t="shared" si="3"/>
        <v>2035</v>
      </c>
      <c r="B13" s="49">
        <v>1083817</v>
      </c>
      <c r="C13" s="50">
        <v>3387662</v>
      </c>
      <c r="D13" s="50">
        <v>5447826</v>
      </c>
      <c r="E13" s="50">
        <v>4522452</v>
      </c>
      <c r="F13" s="50">
        <v>4665631</v>
      </c>
      <c r="G13" s="17">
        <f t="shared" si="0"/>
        <v>18023571</v>
      </c>
      <c r="H13" s="17">
        <f t="shared" si="1"/>
        <v>1251844.8979823256</v>
      </c>
      <c r="I13" s="17">
        <f t="shared" si="2"/>
        <v>16771726.102017675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0.14131246935840991</v>
      </c>
    </row>
    <row r="5" spans="1:8" ht="15.75" customHeight="1" x14ac:dyDescent="0.25">
      <c r="B5" s="19" t="s">
        <v>70</v>
      </c>
      <c r="C5" s="101">
        <v>5.2328941334510708E-2</v>
      </c>
    </row>
    <row r="6" spans="1:8" ht="15.75" customHeight="1" x14ac:dyDescent="0.25">
      <c r="B6" s="19" t="s">
        <v>71</v>
      </c>
      <c r="C6" s="101">
        <v>0.200539021228022</v>
      </c>
    </row>
    <row r="7" spans="1:8" ht="15.75" customHeight="1" x14ac:dyDescent="0.25">
      <c r="B7" s="19" t="s">
        <v>72</v>
      </c>
      <c r="C7" s="101">
        <v>0.35804108021250081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0.1016678551433597</v>
      </c>
    </row>
    <row r="10" spans="1:8" ht="15.75" customHeight="1" x14ac:dyDescent="0.25">
      <c r="B10" s="19" t="s">
        <v>75</v>
      </c>
      <c r="C10" s="101">
        <v>0.14611063272319719</v>
      </c>
    </row>
    <row r="11" spans="1:8" ht="15.75" customHeight="1" x14ac:dyDescent="0.25">
      <c r="B11" s="27" t="s">
        <v>30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82</v>
      </c>
      <c r="C15" s="101">
        <v>0.14028486062831391</v>
      </c>
      <c r="D15" s="101">
        <v>0.14028486062831391</v>
      </c>
      <c r="E15" s="101">
        <v>0.14028486062831391</v>
      </c>
      <c r="F15" s="101">
        <v>0.14028486062831391</v>
      </c>
    </row>
    <row r="16" spans="1:8" ht="15.75" customHeight="1" x14ac:dyDescent="0.25">
      <c r="B16" s="19" t="s">
        <v>83</v>
      </c>
      <c r="C16" s="101">
        <v>1.2786357296704E-2</v>
      </c>
      <c r="D16" s="101">
        <v>1.2786357296704E-2</v>
      </c>
      <c r="E16" s="101">
        <v>1.2786357296704E-2</v>
      </c>
      <c r="F16" s="101">
        <v>1.2786357296704E-2</v>
      </c>
    </row>
    <row r="17" spans="1:8" ht="15.75" customHeight="1" x14ac:dyDescent="0.25">
      <c r="B17" s="19" t="s">
        <v>84</v>
      </c>
      <c r="C17" s="101">
        <v>6.2816054194864109E-3</v>
      </c>
      <c r="D17" s="101">
        <v>6.2816054194864109E-3</v>
      </c>
      <c r="E17" s="101">
        <v>6.2816054194864109E-3</v>
      </c>
      <c r="F17" s="101">
        <v>6.2816054194864109E-3</v>
      </c>
    </row>
    <row r="18" spans="1:8" ht="15.75" customHeight="1" x14ac:dyDescent="0.25">
      <c r="B18" s="19" t="s">
        <v>85</v>
      </c>
      <c r="C18" s="101">
        <v>4.8197314204791912E-4</v>
      </c>
      <c r="D18" s="101">
        <v>4.8197314204791912E-4</v>
      </c>
      <c r="E18" s="101">
        <v>4.8197314204791912E-4</v>
      </c>
      <c r="F18" s="101">
        <v>4.8197314204791912E-4</v>
      </c>
    </row>
    <row r="19" spans="1:8" ht="15.75" customHeight="1" x14ac:dyDescent="0.25">
      <c r="B19" s="19" t="s">
        <v>86</v>
      </c>
      <c r="C19" s="101">
        <v>5.8874549489732484E-3</v>
      </c>
      <c r="D19" s="101">
        <v>5.8874549489732484E-3</v>
      </c>
      <c r="E19" s="101">
        <v>5.8874549489732484E-3</v>
      </c>
      <c r="F19" s="101">
        <v>5.8874549489732484E-3</v>
      </c>
    </row>
    <row r="20" spans="1:8" ht="15.75" customHeight="1" x14ac:dyDescent="0.25">
      <c r="B20" s="19" t="s">
        <v>87</v>
      </c>
      <c r="C20" s="101">
        <v>0.4883253174639669</v>
      </c>
      <c r="D20" s="101">
        <v>0.4883253174639669</v>
      </c>
      <c r="E20" s="101">
        <v>0.4883253174639669</v>
      </c>
      <c r="F20" s="101">
        <v>0.4883253174639669</v>
      </c>
    </row>
    <row r="21" spans="1:8" ht="15.75" customHeight="1" x14ac:dyDescent="0.25">
      <c r="B21" s="19" t="s">
        <v>88</v>
      </c>
      <c r="C21" s="101">
        <v>8.8324152768175151E-2</v>
      </c>
      <c r="D21" s="101">
        <v>8.8324152768175151E-2</v>
      </c>
      <c r="E21" s="101">
        <v>8.8324152768175151E-2</v>
      </c>
      <c r="F21" s="101">
        <v>8.8324152768175151E-2</v>
      </c>
    </row>
    <row r="22" spans="1:8" ht="15.75" customHeight="1" x14ac:dyDescent="0.25">
      <c r="B22" s="19" t="s">
        <v>89</v>
      </c>
      <c r="C22" s="101">
        <v>0.1435218984207379</v>
      </c>
      <c r="D22" s="101">
        <v>0.1435218984207379</v>
      </c>
      <c r="E22" s="101">
        <v>0.1435218984207379</v>
      </c>
      <c r="F22" s="101">
        <v>0.1435218984207379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3.3942822999999997E-2</v>
      </c>
    </row>
    <row r="27" spans="1:8" ht="15.75" customHeight="1" x14ac:dyDescent="0.25">
      <c r="B27" s="19" t="s">
        <v>92</v>
      </c>
      <c r="C27" s="101">
        <v>5.9011999999999997E-4</v>
      </c>
    </row>
    <row r="28" spans="1:8" ht="15.75" customHeight="1" x14ac:dyDescent="0.25">
      <c r="B28" s="19" t="s">
        <v>93</v>
      </c>
      <c r="C28" s="101">
        <v>0.106273149</v>
      </c>
    </row>
    <row r="29" spans="1:8" ht="15.75" customHeight="1" x14ac:dyDescent="0.25">
      <c r="B29" s="19" t="s">
        <v>94</v>
      </c>
      <c r="C29" s="101">
        <v>0.14667259199999999</v>
      </c>
    </row>
    <row r="30" spans="1:8" ht="15.75" customHeight="1" x14ac:dyDescent="0.25">
      <c r="B30" s="19" t="s">
        <v>95</v>
      </c>
      <c r="C30" s="101">
        <v>8.2104470999999998E-2</v>
      </c>
    </row>
    <row r="31" spans="1:8" ht="15.75" customHeight="1" x14ac:dyDescent="0.25">
      <c r="B31" s="19" t="s">
        <v>96</v>
      </c>
      <c r="C31" s="101">
        <v>5.7501955E-2</v>
      </c>
    </row>
    <row r="32" spans="1:8" ht="15.75" customHeight="1" x14ac:dyDescent="0.25">
      <c r="B32" s="19" t="s">
        <v>97</v>
      </c>
      <c r="C32" s="101">
        <v>2.0726010999999999E-2</v>
      </c>
    </row>
    <row r="33" spans="2:3" ht="15.75" customHeight="1" x14ac:dyDescent="0.25">
      <c r="B33" s="19" t="s">
        <v>98</v>
      </c>
      <c r="C33" s="101">
        <v>6.9730735000000002E-2</v>
      </c>
    </row>
    <row r="34" spans="2:3" ht="15.75" customHeight="1" x14ac:dyDescent="0.25">
      <c r="B34" s="19" t="s">
        <v>99</v>
      </c>
      <c r="C34" s="101">
        <v>0.48245814399999998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104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105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109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110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122</v>
      </c>
      <c r="C5" s="52">
        <v>0.19201679999999999</v>
      </c>
      <c r="D5" s="52">
        <v>0.25808700000000001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65.240473432681014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0.23223948127380001</v>
      </c>
      <c r="C3" s="98">
        <v>0.95</v>
      </c>
      <c r="D3" s="56">
        <v>40.041757421157321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527.45460078861561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3.667401424966358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0.50549569999999999</v>
      </c>
      <c r="C10" s="98">
        <v>0.95</v>
      </c>
      <c r="D10" s="56">
        <v>13.174056864953229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0.50549569999999999</v>
      </c>
      <c r="C11" s="98">
        <v>0.95</v>
      </c>
      <c r="D11" s="56">
        <v>13.174056864953229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0.50549569999999999</v>
      </c>
      <c r="C12" s="98">
        <v>0.95</v>
      </c>
      <c r="D12" s="56">
        <v>13.174056864953229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0.50549569999999999</v>
      </c>
      <c r="C13" s="98">
        <v>0.95</v>
      </c>
      <c r="D13" s="56">
        <v>13.174056864953229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0.50549569999999999</v>
      </c>
      <c r="C14" s="98">
        <v>0.95</v>
      </c>
      <c r="D14" s="56">
        <v>13.174056864953229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0.50549569999999999</v>
      </c>
      <c r="C15" s="98">
        <v>0.95</v>
      </c>
      <c r="D15" s="56">
        <v>13.174056864953229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0.88</v>
      </c>
      <c r="C16" s="98">
        <v>0.95</v>
      </c>
      <c r="D16" s="56">
        <v>0.8808226648485783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0.45208722222222197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0.12082171793384</v>
      </c>
      <c r="C18" s="98">
        <v>0.95</v>
      </c>
      <c r="D18" s="56">
        <v>12.125692061066291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0.77634249999999994</v>
      </c>
      <c r="C19" s="98">
        <v>0.95</v>
      </c>
      <c r="D19" s="56">
        <v>12.125692061066291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0.90452129999999997</v>
      </c>
      <c r="C21" s="98">
        <v>0.95</v>
      </c>
      <c r="D21" s="56">
        <v>42.928727714054823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22.81909077660552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4.3805110504495071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0.91554714264607995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0.50549569999999999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18.736558774124251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0.71797003271224002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130.1061963456628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0.42</v>
      </c>
      <c r="C31" s="98">
        <v>0.95</v>
      </c>
      <c r="D31" s="56">
        <v>0.45612429612360672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1.907908978834626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0.39905479999999999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0.51420810000000006</v>
      </c>
      <c r="C38" s="98">
        <v>0.95</v>
      </c>
      <c r="D38" s="56">
        <v>0.79566689708810245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205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0.189</v>
      </c>
      <c r="E2" s="60">
        <f>food_insecure</f>
        <v>0.189</v>
      </c>
      <c r="F2" s="60">
        <f>food_insecure</f>
        <v>0.189</v>
      </c>
      <c r="G2" s="60">
        <f>food_insecure</f>
        <v>0.189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0.189</v>
      </c>
      <c r="F5" s="60">
        <f>food_insecure</f>
        <v>0.189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0.189</v>
      </c>
      <c r="F8" s="60">
        <f>food_insecure</f>
        <v>0.189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0.189</v>
      </c>
      <c r="F9" s="60">
        <f>food_insecure</f>
        <v>0.189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0.189</v>
      </c>
      <c r="I15" s="60">
        <f>food_insecure</f>
        <v>0.189</v>
      </c>
      <c r="J15" s="60">
        <f>food_insecure</f>
        <v>0.189</v>
      </c>
      <c r="K15" s="60">
        <f>food_insecure</f>
        <v>0.189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8.3284207152557271E-2</v>
      </c>
      <c r="M25" s="60">
        <f>(1-food_insecure)*(0.49)+food_insecure*(0.7)</f>
        <v>0.52968999999999999</v>
      </c>
      <c r="N25" s="60">
        <f>(1-food_insecure)*(0.49)+food_insecure*(0.7)</f>
        <v>0.52968999999999999</v>
      </c>
      <c r="O25" s="60">
        <f>(1-food_insecure)*(0.49)+food_insecure*(0.7)</f>
        <v>0.52968999999999999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3.5693231636810263E-2</v>
      </c>
      <c r="M26" s="60">
        <f>(1-food_insecure)*(0.21)+food_insecure*(0.3)</f>
        <v>0.22700999999999999</v>
      </c>
      <c r="N26" s="60">
        <f>(1-food_insecure)*(0.21)+food_insecure*(0.3)</f>
        <v>0.22700999999999999</v>
      </c>
      <c r="O26" s="60">
        <f>(1-food_insecure)*(0.21)+food_insecure*(0.3)</f>
        <v>0.22700999999999999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3.8254540580749466E-2</v>
      </c>
      <c r="M27" s="60">
        <f>(1-food_insecure)*(0.3)</f>
        <v>0.24329999999999996</v>
      </c>
      <c r="N27" s="60">
        <f>(1-food_insecure)*(0.3)</f>
        <v>0.24329999999999996</v>
      </c>
      <c r="O27" s="60">
        <f>(1-food_insecure)*(0.3)</f>
        <v>0.24329999999999996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0.84276802062988287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0.15</v>
      </c>
      <c r="D34" s="60">
        <f t="shared" si="3"/>
        <v>0.15</v>
      </c>
      <c r="E34" s="60">
        <f t="shared" si="3"/>
        <v>0.15</v>
      </c>
      <c r="F34" s="60">
        <f t="shared" si="3"/>
        <v>0.15</v>
      </c>
      <c r="G34" s="60">
        <f t="shared" si="3"/>
        <v>0.15</v>
      </c>
      <c r="H34" s="60">
        <f t="shared" si="3"/>
        <v>0.15</v>
      </c>
      <c r="I34" s="60">
        <f t="shared" si="3"/>
        <v>0.15</v>
      </c>
      <c r="J34" s="60">
        <f t="shared" si="3"/>
        <v>0.15</v>
      </c>
      <c r="K34" s="60">
        <f t="shared" si="3"/>
        <v>0.15</v>
      </c>
      <c r="L34" s="60">
        <f t="shared" si="3"/>
        <v>0.15</v>
      </c>
      <c r="M34" s="60">
        <f t="shared" si="3"/>
        <v>0.15</v>
      </c>
      <c r="N34" s="60">
        <f t="shared" si="3"/>
        <v>0.15</v>
      </c>
      <c r="O34" s="60">
        <f t="shared" si="3"/>
        <v>0.15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2024-05-09T01:46:55Z</dcterms:modified>
</cp:coreProperties>
</file>