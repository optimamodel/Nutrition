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A569845-1D93-4309-88EA-7FAB31AF359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9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<sst xmlns="http://schemas.openxmlformats.org/spreadsheetml/2006/main" count="2092" uniqueCount="341">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</sst>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5650872.6875</v>
      </c>
    </row>
    <row r="8" spans="1:3" ht="15" customHeight="1" x14ac:dyDescent="0.25">
      <c r="B8" s="5" t="s">
        <v>8</v>
      </c>
      <c r="C8" s="44">
        <v>0.189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0.84276802062988299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9">
        <v>2.5198011863396302E-2</v>
      </c>
    </row>
    <row r="31" spans="1:3" ht="14.25" customHeight="1" x14ac:dyDescent="0.25">
      <c r="B31" s="25" t="s">
        <v>28</v>
      </c>
      <c r="C31" s="99">
        <v>4.3840922737282198E-2</v>
      </c>
    </row>
    <row r="32" spans="1:3" ht="14.25" customHeight="1" x14ac:dyDescent="0.25">
      <c r="B32" s="25" t="s">
        <v>29</v>
      </c>
      <c r="C32" s="99">
        <v>0.57222694436042698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1136051.2818</v>
      </c>
      <c r="C2" s="49">
        <v>2637000</v>
      </c>
      <c r="D2" s="49">
        <v>5095000</v>
      </c>
      <c r="E2" s="49">
        <v>944000</v>
      </c>
      <c r="F2" s="49">
        <v>619000</v>
      </c>
      <c r="G2" s="17">
        <f t="shared" ref="G2:G13" si="0">C2+D2+E2+F2</f>
        <v>9295000</v>
      </c>
      <c r="H2" s="17">
        <f t="shared" ref="H2:H13" si="1">(B2 + stillbirth*B2/(1000-stillbirth))/(1-abortion)</f>
        <v>1312177.2411464404</v>
      </c>
      <c r="I2" s="17">
        <f t="shared" ref="I2:I13" si="2">G2-H2</f>
        <v>7982822.7588535594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1129212.25</v>
      </c>
      <c r="C3" s="50">
        <v>2660000</v>
      </c>
      <c r="D3" s="50">
        <v>5102000</v>
      </c>
      <c r="E3" s="50">
        <v>978000</v>
      </c>
      <c r="F3" s="50">
        <v>639000</v>
      </c>
      <c r="G3" s="17">
        <f t="shared" si="0"/>
        <v>9379000</v>
      </c>
      <c r="H3" s="17">
        <f t="shared" si="1"/>
        <v>1304277.9305931192</v>
      </c>
      <c r="I3" s="17">
        <f t="shared" si="2"/>
        <v>8074722.069406881</v>
      </c>
    </row>
    <row r="4" spans="1:9" ht="15.75" customHeight="1" x14ac:dyDescent="0.25">
      <c r="A4" s="5">
        <f t="shared" si="3"/>
        <v>2026</v>
      </c>
      <c r="B4" s="49">
        <v>1124953.4556</v>
      </c>
      <c r="C4" s="50">
        <v>2686000</v>
      </c>
      <c r="D4" s="50">
        <v>5111000</v>
      </c>
      <c r="E4" s="50">
        <v>1011000</v>
      </c>
      <c r="F4" s="50">
        <v>660000</v>
      </c>
      <c r="G4" s="17">
        <f t="shared" si="0"/>
        <v>9468000</v>
      </c>
      <c r="H4" s="17">
        <f t="shared" si="1"/>
        <v>1299358.8805678883</v>
      </c>
      <c r="I4" s="17">
        <f t="shared" si="2"/>
        <v>8168641.1194321122</v>
      </c>
    </row>
    <row r="5" spans="1:9" ht="15.75" customHeight="1" x14ac:dyDescent="0.25">
      <c r="A5" s="5">
        <f t="shared" si="3"/>
        <v>2027</v>
      </c>
      <c r="B5" s="49">
        <v>1120128.4277999999</v>
      </c>
      <c r="C5" s="50">
        <v>2716000</v>
      </c>
      <c r="D5" s="50">
        <v>5123000</v>
      </c>
      <c r="E5" s="50">
        <v>1044000</v>
      </c>
      <c r="F5" s="50">
        <v>683000</v>
      </c>
      <c r="G5" s="17">
        <f t="shared" si="0"/>
        <v>9566000</v>
      </c>
      <c r="H5" s="17">
        <f t="shared" si="1"/>
        <v>1293785.8120202895</v>
      </c>
      <c r="I5" s="17">
        <f t="shared" si="2"/>
        <v>8272214.1879797103</v>
      </c>
    </row>
    <row r="6" spans="1:9" ht="15.75" customHeight="1" x14ac:dyDescent="0.25">
      <c r="A6" s="5">
        <f t="shared" si="3"/>
        <v>2028</v>
      </c>
      <c r="B6" s="49">
        <v>1114801.8027999999</v>
      </c>
      <c r="C6" s="50">
        <v>2747000</v>
      </c>
      <c r="D6" s="50">
        <v>5140000</v>
      </c>
      <c r="E6" s="50">
        <v>1077000</v>
      </c>
      <c r="F6" s="50">
        <v>707000</v>
      </c>
      <c r="G6" s="17">
        <f t="shared" si="0"/>
        <v>9671000</v>
      </c>
      <c r="H6" s="17">
        <f t="shared" si="1"/>
        <v>1287633.3819239587</v>
      </c>
      <c r="I6" s="17">
        <f t="shared" si="2"/>
        <v>8383366.6180760413</v>
      </c>
    </row>
    <row r="7" spans="1:9" ht="15.75" customHeight="1" x14ac:dyDescent="0.25">
      <c r="A7" s="5">
        <f t="shared" si="3"/>
        <v>2029</v>
      </c>
      <c r="B7" s="49">
        <v>1109018.0730000001</v>
      </c>
      <c r="C7" s="50">
        <v>2772000</v>
      </c>
      <c r="D7" s="50">
        <v>5164000</v>
      </c>
      <c r="E7" s="50">
        <v>1110000</v>
      </c>
      <c r="F7" s="50">
        <v>734000</v>
      </c>
      <c r="G7" s="17">
        <f t="shared" si="0"/>
        <v>9780000</v>
      </c>
      <c r="H7" s="17">
        <f t="shared" si="1"/>
        <v>1280952.9804895481</v>
      </c>
      <c r="I7" s="17">
        <f t="shared" si="2"/>
        <v>8499047.0195104517</v>
      </c>
    </row>
    <row r="8" spans="1:9" ht="15.75" customHeight="1" x14ac:dyDescent="0.25">
      <c r="A8" s="5">
        <f t="shared" si="3"/>
        <v>2030</v>
      </c>
      <c r="B8" s="49">
        <v>1102819.862</v>
      </c>
      <c r="C8" s="50">
        <v>2789000</v>
      </c>
      <c r="D8" s="50">
        <v>5194000</v>
      </c>
      <c r="E8" s="50">
        <v>1143000</v>
      </c>
      <c r="F8" s="50">
        <v>762000</v>
      </c>
      <c r="G8" s="17">
        <f t="shared" si="0"/>
        <v>9888000</v>
      </c>
      <c r="H8" s="17">
        <f t="shared" si="1"/>
        <v>1273793.8394011836</v>
      </c>
      <c r="I8" s="17">
        <f t="shared" si="2"/>
        <v>8614206.1605988164</v>
      </c>
    </row>
    <row r="9" spans="1:9" ht="15.75" customHeight="1" x14ac:dyDescent="0.25">
      <c r="A9" s="5">
        <f t="shared" si="3"/>
        <v>2031</v>
      </c>
      <c r="B9" s="49">
        <v>1098072.516314286</v>
      </c>
      <c r="C9" s="50">
        <v>2810714.2857142859</v>
      </c>
      <c r="D9" s="50">
        <v>5208142.8571428573</v>
      </c>
      <c r="E9" s="50">
        <v>1171428.5714285709</v>
      </c>
      <c r="F9" s="50">
        <v>782428.57142857148</v>
      </c>
      <c r="G9" s="17">
        <f t="shared" si="0"/>
        <v>9972714.2857142854</v>
      </c>
      <c r="H9" s="17">
        <f t="shared" si="1"/>
        <v>1268310.4962947189</v>
      </c>
      <c r="I9" s="17">
        <f t="shared" si="2"/>
        <v>8704403.7894195672</v>
      </c>
    </row>
    <row r="10" spans="1:9" ht="15.75" customHeight="1" x14ac:dyDescent="0.25">
      <c r="A10" s="5">
        <f t="shared" si="3"/>
        <v>2032</v>
      </c>
      <c r="B10" s="49">
        <v>1093623.9829306121</v>
      </c>
      <c r="C10" s="50">
        <v>2832244.8979591839</v>
      </c>
      <c r="D10" s="50">
        <v>5223306.1224489799</v>
      </c>
      <c r="E10" s="50">
        <v>1199061.224489796</v>
      </c>
      <c r="F10" s="50">
        <v>802918.36734693882</v>
      </c>
      <c r="G10" s="17">
        <f t="shared" si="0"/>
        <v>10057530.612244898</v>
      </c>
      <c r="H10" s="17">
        <f t="shared" si="1"/>
        <v>1263172.2913949466</v>
      </c>
      <c r="I10" s="17">
        <f t="shared" si="2"/>
        <v>8794358.3208499514</v>
      </c>
    </row>
    <row r="11" spans="1:9" ht="15.75" customHeight="1" x14ac:dyDescent="0.25">
      <c r="A11" s="5">
        <f t="shared" si="3"/>
        <v>2033</v>
      </c>
      <c r="B11" s="49">
        <v>1089148.343977842</v>
      </c>
      <c r="C11" s="50">
        <v>2853137.0262390669</v>
      </c>
      <c r="D11" s="50">
        <v>5239349.854227406</v>
      </c>
      <c r="E11" s="50">
        <v>1225927.1137026241</v>
      </c>
      <c r="F11" s="50">
        <v>823335.27696793003</v>
      </c>
      <c r="G11" s="17">
        <f t="shared" si="0"/>
        <v>10141749.271137027</v>
      </c>
      <c r="H11" s="17">
        <f t="shared" si="1"/>
        <v>1258002.7786559546</v>
      </c>
      <c r="I11" s="17">
        <f t="shared" si="2"/>
        <v>8883746.4924810715</v>
      </c>
    </row>
    <row r="12" spans="1:9" ht="15.75" customHeight="1" x14ac:dyDescent="0.25">
      <c r="A12" s="5">
        <f t="shared" si="3"/>
        <v>2034</v>
      </c>
      <c r="B12" s="49">
        <v>1084722.6177175341</v>
      </c>
      <c r="C12" s="50">
        <v>2872728.0299875061</v>
      </c>
      <c r="D12" s="50">
        <v>5255971.2619741783</v>
      </c>
      <c r="E12" s="50">
        <v>1251916.7013744269</v>
      </c>
      <c r="F12" s="50">
        <v>843383.17367763433</v>
      </c>
      <c r="G12" s="17">
        <f t="shared" si="0"/>
        <v>10223999.167013746</v>
      </c>
      <c r="H12" s="17">
        <f t="shared" si="1"/>
        <v>1252890.9167467642</v>
      </c>
      <c r="I12" s="17">
        <f t="shared" si="2"/>
        <v>8971108.2502669822</v>
      </c>
    </row>
    <row r="13" spans="1:9" ht="15.75" customHeight="1" x14ac:dyDescent="0.25">
      <c r="A13" s="5">
        <f t="shared" si="3"/>
        <v>2035</v>
      </c>
      <c r="B13" s="49">
        <v>1080425.5912771821</v>
      </c>
      <c r="C13" s="50">
        <v>2890689.1771285781</v>
      </c>
      <c r="D13" s="50">
        <v>5272538.5851133466</v>
      </c>
      <c r="E13" s="50">
        <v>1276904.8015707741</v>
      </c>
      <c r="F13" s="50">
        <v>862866.48420301068</v>
      </c>
      <c r="G13" s="17">
        <f t="shared" si="0"/>
        <v>10302999.04801571</v>
      </c>
      <c r="H13" s="17">
        <f t="shared" si="1"/>
        <v>1247927.7074357371</v>
      </c>
      <c r="I13" s="17">
        <f t="shared" si="2"/>
        <v>9055071.3405799735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0.14131246935840991</v>
      </c>
    </row>
    <row r="5" spans="1:8" ht="15.75" customHeight="1" x14ac:dyDescent="0.25">
      <c r="B5" s="19" t="s">
        <v>70</v>
      </c>
      <c r="C5" s="101">
        <v>5.2328941334510708E-2</v>
      </c>
    </row>
    <row r="6" spans="1:8" ht="15.75" customHeight="1" x14ac:dyDescent="0.25">
      <c r="B6" s="19" t="s">
        <v>71</v>
      </c>
      <c r="C6" s="101">
        <v>0.200539021228022</v>
      </c>
    </row>
    <row r="7" spans="1:8" ht="15.75" customHeight="1" x14ac:dyDescent="0.25">
      <c r="B7" s="19" t="s">
        <v>72</v>
      </c>
      <c r="C7" s="101">
        <v>0.35804108021250081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0.1016678551433597</v>
      </c>
    </row>
    <row r="10" spans="1:8" ht="15.75" customHeight="1" x14ac:dyDescent="0.25">
      <c r="B10" s="19" t="s">
        <v>75</v>
      </c>
      <c r="C10" s="101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83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84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85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86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87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89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101">
        <v>5.9011999999999997E-4</v>
      </c>
    </row>
    <row r="28" spans="1:8" ht="15.75" customHeight="1" x14ac:dyDescent="0.25">
      <c r="B28" s="19" t="s">
        <v>93</v>
      </c>
      <c r="C28" s="101">
        <v>0.106273149</v>
      </c>
    </row>
    <row r="29" spans="1:8" ht="15.75" customHeight="1" x14ac:dyDescent="0.25">
      <c r="B29" s="19" t="s">
        <v>94</v>
      </c>
      <c r="C29" s="101">
        <v>0.14667259199999999</v>
      </c>
    </row>
    <row r="30" spans="1:8" ht="15.75" customHeight="1" x14ac:dyDescent="0.25">
      <c r="B30" s="19" t="s">
        <v>95</v>
      </c>
      <c r="C30" s="101">
        <v>8.2104470999999998E-2</v>
      </c>
    </row>
    <row r="31" spans="1:8" ht="15.75" customHeight="1" x14ac:dyDescent="0.25">
      <c r="B31" s="19" t="s">
        <v>96</v>
      </c>
      <c r="C31" s="101">
        <v>5.7501955E-2</v>
      </c>
    </row>
    <row r="32" spans="1:8" ht="15.75" customHeight="1" x14ac:dyDescent="0.25">
      <c r="B32" s="19" t="s">
        <v>97</v>
      </c>
      <c r="C32" s="101">
        <v>2.0726010999999999E-2</v>
      </c>
    </row>
    <row r="33" spans="2:3" ht="15.75" customHeight="1" x14ac:dyDescent="0.25">
      <c r="B33" s="19" t="s">
        <v>98</v>
      </c>
      <c r="C33" s="101">
        <v>6.9730735000000002E-2</v>
      </c>
    </row>
    <row r="34" spans="2:3" ht="15.75" customHeight="1" x14ac:dyDescent="0.25">
      <c r="B34" s="19" t="s">
        <v>99</v>
      </c>
      <c r="C34" s="101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0.14361877431775999</v>
      </c>
      <c r="C2" s="98">
        <v>0.95</v>
      </c>
      <c r="D2" s="56">
        <v>65.240473432681014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40.041757421157321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527.45460078861561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3.456877580324591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13.174056864953229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13.174056864953229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13.174056864953229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13.174056864953229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13.174056864953229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13.174056864953229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0.23223948127380001</v>
      </c>
      <c r="C16" s="98">
        <v>0.95</v>
      </c>
      <c r="D16" s="56">
        <v>0.8808226648485783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12.125692061066291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12.125692061066291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0.15718509999999999</v>
      </c>
      <c r="C21" s="98">
        <v>0.95</v>
      </c>
      <c r="D21" s="56">
        <v>42.928727714054823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1.2015899999999999E-2</v>
      </c>
      <c r="C23" s="98">
        <v>0.95</v>
      </c>
      <c r="D23" s="56">
        <v>4.3805110504495071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0.71797003271224002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0.18414137988736001</v>
      </c>
      <c r="C27" s="98">
        <v>0.95</v>
      </c>
      <c r="D27" s="56">
        <v>18.736558774124251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0.51420810000000006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130.1061963456628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0.45612429612360672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0.27586660000000002</v>
      </c>
      <c r="C32" s="98">
        <v>0.95</v>
      </c>
      <c r="D32" s="56">
        <v>1.907908978834626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0.77634249999999994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0.36756499999999998</v>
      </c>
      <c r="C38" s="98">
        <v>0.95</v>
      </c>
      <c r="D38" s="56">
        <v>0.79566689708810245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0.39905479999999999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205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0.89522761799989525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2024-03-28T03:04:41Z</dcterms:modified>
</cp:coreProperties>
</file>