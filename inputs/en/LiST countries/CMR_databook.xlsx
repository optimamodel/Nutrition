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03EB410-8EF3-4470-9722-6EC257CC9DE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5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A25" i="2"/>
  <c r="A26" i="2"/>
  <c r="I39" i="2"/>
  <c r="A31" i="2"/>
  <c r="A34" i="2"/>
  <c r="A40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<sst xmlns="http://schemas.openxmlformats.org/spreadsheetml/2006/main" count="2159" uniqueCount="372">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</sst>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4443698</v>
      </c>
    </row>
    <row r="8" spans="1:3" ht="15" customHeight="1" x14ac:dyDescent="0.25">
      <c r="B8" s="5" t="s">
        <v>8</v>
      </c>
      <c r="C8" s="44">
        <v>0.499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0.4087461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1.3</v>
      </c>
      <c r="D51" s="12"/>
    </row>
    <row r="52" spans="1:4" ht="15" customHeight="1" x14ac:dyDescent="0.25">
      <c r="B52" s="11" t="s">
        <v>46</v>
      </c>
      <c r="C52" s="100">
        <v>1.3</v>
      </c>
    </row>
    <row r="53" spans="1:4" ht="15.75" customHeight="1" x14ac:dyDescent="0.25">
      <c r="B53" s="11" t="s">
        <v>47</v>
      </c>
      <c r="C53" s="100">
        <v>5.3039999999999994</v>
      </c>
    </row>
    <row r="54" spans="1:4" ht="15.75" customHeight="1" x14ac:dyDescent="0.25">
      <c r="B54" s="11" t="s">
        <v>48</v>
      </c>
      <c r="C54" s="100">
        <v>5.4860000000000007</v>
      </c>
    </row>
    <row r="55" spans="1:4" ht="15.75" customHeight="1" x14ac:dyDescent="0.25">
      <c r="B55" s="11" t="s">
        <v>49</v>
      </c>
      <c r="C55" s="100">
        <v>2.253333333333333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1563.48894034459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0.46167999999999998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0.67835999999999996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1.9259502231584416E-2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92436.565799999997</v>
      </c>
      <c r="C22" s="109">
        <v>91119.072910000003</v>
      </c>
      <c r="D22" s="109">
        <v>90367.517389999994</v>
      </c>
      <c r="E22" s="109">
        <v>89718.055229999998</v>
      </c>
      <c r="F22" s="109">
        <v>88816.005850000001</v>
      </c>
      <c r="G22" s="109">
        <v>87639.53757</v>
      </c>
      <c r="H22" s="109">
        <v>86004.167289999998</v>
      </c>
      <c r="I22" s="109">
        <v>83735.65264</v>
      </c>
      <c r="J22" s="109">
        <v>80694.012520000004</v>
      </c>
      <c r="K22" s="109">
        <v>76893.036900000006</v>
      </c>
      <c r="L22" s="109">
        <v>72098.622870000007</v>
      </c>
      <c r="M22" s="109">
        <v>66295.091880000007</v>
      </c>
      <c r="N22" s="109">
        <v>58699.027549999999</v>
      </c>
      <c r="O22" s="109">
        <v>49431.142720000003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0.70706266146872643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0.49185540000000011</v>
      </c>
      <c r="C10" s="98">
        <v>0.95</v>
      </c>
      <c r="D10" s="56">
        <v>12.61648392647521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12.61648392647521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12.61648392647521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12.61648392647521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0.49185540000000011</v>
      </c>
      <c r="C14" s="98">
        <v>0.95</v>
      </c>
      <c r="D14" s="56">
        <v>12.61648392647521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12.61648392647521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0.52177059999999997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0.17037333333333299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0.41499999999999998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0.36904480000000001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0.57258390000000003</v>
      </c>
      <c r="C23" s="98">
        <v>0.95</v>
      </c>
      <c r="D23" s="56">
        <v>4.0320279639007426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0.54842745280988192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0.49185540000000011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0.17947630000000001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0.19769629999999999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0.1133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0.85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0.36711830000000001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0.65054450000000008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4.2243700000000002E-2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0.4180431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0.2055438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1.3</v>
      </c>
      <c r="C2" s="21">
        <f>'Baseline year population inputs'!C52</f>
        <v>1.3</v>
      </c>
      <c r="D2" s="21">
        <f>'Baseline year population inputs'!C53</f>
        <v>5.3039999999999994</v>
      </c>
      <c r="E2" s="21">
        <f>'Baseline year population inputs'!C54</f>
        <v>5.4860000000000007</v>
      </c>
      <c r="F2" s="21">
        <f>'Baseline year population inputs'!C55</f>
        <v>2.253333333333333</v>
      </c>
    </row>
    <row r="3" spans="1:6" ht="15.75" customHeight="1" x14ac:dyDescent="0.25">
      <c r="A3" s="3" t="s">
        <v>197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198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