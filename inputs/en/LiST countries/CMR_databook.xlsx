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F9602107-4703-4787-9D99-9384C75B5482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I38" i="2" s="1"/>
  <c r="A34" i="2"/>
  <c r="A31" i="2"/>
  <c r="A26" i="2"/>
  <c r="A25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6" i="2" l="1"/>
  <c r="A35" i="2"/>
  <c r="A36" i="2"/>
  <c r="I7" i="2"/>
  <c r="I13" i="2"/>
  <c r="A37" i="2"/>
  <c r="A19" i="2"/>
  <c r="A22" i="2"/>
  <c r="I4" i="2"/>
  <c r="I2" i="2"/>
  <c r="I3" i="2"/>
  <c r="I9" i="2"/>
  <c r="A23" i="2"/>
  <c r="A2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<sst xmlns="http://schemas.openxmlformats.org/spreadsheetml/2006/main" count="2169" uniqueCount="373">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</sst>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4443698</v>
      </c>
    </row>
    <row r="8" spans="1:3" ht="15" customHeight="1" x14ac:dyDescent="0.25">
      <c r="B8" s="5" t="s">
        <v>8</v>
      </c>
      <c r="C8" s="44">
        <v>0.499</v>
      </c>
    </row>
    <row r="9" spans="1:3" ht="15" customHeight="1" x14ac:dyDescent="0.25">
      <c r="B9" s="5" t="s">
        <v>9</v>
      </c>
      <c r="C9" s="45">
        <v>0.74</v>
      </c>
    </row>
    <row r="10" spans="1:3" ht="15" customHeight="1" x14ac:dyDescent="0.25">
      <c r="B10" s="5" t="s">
        <v>10</v>
      </c>
      <c r="C10" s="45">
        <v>0.4087461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0.17973908890000001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0.11650000000000001</v>
      </c>
    </row>
    <row r="24" spans="1:3" ht="15" customHeight="1" x14ac:dyDescent="0.25">
      <c r="B24" s="15" t="s">
        <v>22</v>
      </c>
      <c r="C24" s="45">
        <v>0.45839999999999997</v>
      </c>
    </row>
    <row r="25" spans="1:3" ht="15" customHeight="1" x14ac:dyDescent="0.25">
      <c r="B25" s="15" t="s">
        <v>23</v>
      </c>
      <c r="C25" s="45">
        <v>0.35239999999999999</v>
      </c>
    </row>
    <row r="26" spans="1:3" ht="15" customHeight="1" x14ac:dyDescent="0.25">
      <c r="B26" s="15" t="s">
        <v>24</v>
      </c>
      <c r="C26" s="45">
        <v>7.2700000000000001E-2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0.22859451908270501</v>
      </c>
    </row>
    <row r="30" spans="1:3" ht="14.25" customHeight="1" x14ac:dyDescent="0.25">
      <c r="B30" s="25" t="s">
        <v>27</v>
      </c>
      <c r="C30" s="97">
        <v>6.8320687947238098E-2</v>
      </c>
    </row>
    <row r="31" spans="1:3" ht="14.25" customHeight="1" x14ac:dyDescent="0.25">
      <c r="B31" s="25" t="s">
        <v>28</v>
      </c>
      <c r="C31" s="97">
        <v>0.126664645857306</v>
      </c>
    </row>
    <row r="32" spans="1:3" ht="14.25" customHeight="1" x14ac:dyDescent="0.25">
      <c r="B32" s="25" t="s">
        <v>29</v>
      </c>
      <c r="C32" s="97">
        <v>0.57642014711275102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25.642800000000001</v>
      </c>
    </row>
    <row r="38" spans="1:5" ht="15" customHeight="1" x14ac:dyDescent="0.25">
      <c r="B38" s="11" t="s">
        <v>34</v>
      </c>
      <c r="C38" s="43">
        <v>46.950699999999998</v>
      </c>
      <c r="D38" s="12"/>
      <c r="E38" s="13"/>
    </row>
    <row r="39" spans="1:5" ht="15" customHeight="1" x14ac:dyDescent="0.25">
      <c r="B39" s="11" t="s">
        <v>35</v>
      </c>
      <c r="C39" s="43">
        <v>69.788030000000006</v>
      </c>
      <c r="D39" s="12"/>
      <c r="E39" s="12"/>
    </row>
    <row r="40" spans="1:5" ht="15" customHeight="1" x14ac:dyDescent="0.25">
      <c r="B40" s="11" t="s">
        <v>36</v>
      </c>
      <c r="C40" s="98">
        <v>4.38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18.876390000000001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7.9480999999999996E-3</v>
      </c>
      <c r="D45" s="12"/>
    </row>
    <row r="46" spans="1:5" ht="15.75" customHeight="1" x14ac:dyDescent="0.25">
      <c r="B46" s="11" t="s">
        <v>41</v>
      </c>
      <c r="C46" s="45">
        <v>8.5401100000000008E-2</v>
      </c>
      <c r="D46" s="12"/>
    </row>
    <row r="47" spans="1:5" ht="15.75" customHeight="1" x14ac:dyDescent="0.25">
      <c r="B47" s="11" t="s">
        <v>42</v>
      </c>
      <c r="C47" s="45">
        <v>7.3442199999999999E-2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1.3</v>
      </c>
      <c r="D51" s="12"/>
    </row>
    <row r="52" spans="1:4" ht="15" customHeight="1" x14ac:dyDescent="0.25">
      <c r="B52" s="11" t="s">
        <v>46</v>
      </c>
      <c r="C52" s="98">
        <v>1.3</v>
      </c>
    </row>
    <row r="53" spans="1:4" ht="15.75" customHeight="1" x14ac:dyDescent="0.25">
      <c r="B53" s="11" t="s">
        <v>47</v>
      </c>
      <c r="C53" s="98">
        <v>5.3039999999999994</v>
      </c>
    </row>
    <row r="54" spans="1:4" ht="15.75" customHeight="1" x14ac:dyDescent="0.25">
      <c r="B54" s="11" t="s">
        <v>48</v>
      </c>
      <c r="C54" s="98">
        <v>5.4860000000000007</v>
      </c>
    </row>
    <row r="55" spans="1:4" ht="15.75" customHeight="1" x14ac:dyDescent="0.25">
      <c r="B55" s="11" t="s">
        <v>49</v>
      </c>
      <c r="C55" s="98">
        <v>2.253333333333333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0.45496999999999999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0.11961432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971107</v>
      </c>
      <c r="C2" s="49">
        <v>1569078.5</v>
      </c>
      <c r="D2" s="49">
        <v>2445923</v>
      </c>
      <c r="E2" s="49">
        <v>1866478</v>
      </c>
      <c r="F2" s="49">
        <v>1267207</v>
      </c>
      <c r="G2" s="17">
        <f t="shared" ref="G2:G13" si="0">C2+D2+E2+F2</f>
        <v>7148686.5</v>
      </c>
      <c r="H2" s="17">
        <f t="shared" ref="H2:H13" si="1">(B2 + stillbirth*B2/(1000-stillbirth))/(1-abortion)</f>
        <v>1124762.1304497828</v>
      </c>
      <c r="I2" s="17">
        <f t="shared" ref="I2:I13" si="2">G2-H2</f>
        <v>6023924.3695502169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980661</v>
      </c>
      <c r="C3" s="50">
        <v>1612191</v>
      </c>
      <c r="D3" s="50">
        <v>2516446.5</v>
      </c>
      <c r="E3" s="50">
        <v>1917468.5</v>
      </c>
      <c r="F3" s="50">
        <v>1317534.9999999998</v>
      </c>
      <c r="G3" s="17">
        <f t="shared" si="0"/>
        <v>7363641</v>
      </c>
      <c r="H3" s="17">
        <f t="shared" si="1"/>
        <v>1135827.8290744629</v>
      </c>
      <c r="I3" s="17">
        <f t="shared" si="2"/>
        <v>6227813.1709255371</v>
      </c>
    </row>
    <row r="4" spans="1:9" ht="15.75" customHeight="1" x14ac:dyDescent="0.25">
      <c r="A4" s="5">
        <f t="shared" si="3"/>
        <v>2026</v>
      </c>
      <c r="B4" s="49">
        <v>991664</v>
      </c>
      <c r="C4" s="50">
        <v>1652728</v>
      </c>
      <c r="D4" s="50">
        <v>2592109</v>
      </c>
      <c r="E4" s="50">
        <v>1965057.5000000002</v>
      </c>
      <c r="F4" s="50">
        <v>1370047.5000000002</v>
      </c>
      <c r="G4" s="17">
        <f t="shared" si="0"/>
        <v>7579942</v>
      </c>
      <c r="H4" s="17">
        <f t="shared" si="1"/>
        <v>1148571.7982985948</v>
      </c>
      <c r="I4" s="17">
        <f t="shared" si="2"/>
        <v>6431370.2017014055</v>
      </c>
    </row>
    <row r="5" spans="1:9" ht="15.75" customHeight="1" x14ac:dyDescent="0.25">
      <c r="A5" s="5">
        <f t="shared" si="3"/>
        <v>2027</v>
      </c>
      <c r="B5" s="49">
        <v>1002767</v>
      </c>
      <c r="C5" s="50">
        <v>1690843</v>
      </c>
      <c r="D5" s="50">
        <v>2672020.9999999995</v>
      </c>
      <c r="E5" s="50">
        <v>2010302.0000000002</v>
      </c>
      <c r="F5" s="50">
        <v>1424154</v>
      </c>
      <c r="G5" s="17">
        <f t="shared" si="0"/>
        <v>7797320</v>
      </c>
      <c r="H5" s="17">
        <f t="shared" si="1"/>
        <v>1161431.5902003974</v>
      </c>
      <c r="I5" s="17">
        <f t="shared" si="2"/>
        <v>6635888.4097996028</v>
      </c>
    </row>
    <row r="6" spans="1:9" ht="15.75" customHeight="1" x14ac:dyDescent="0.25">
      <c r="A6" s="5">
        <f t="shared" si="3"/>
        <v>2028</v>
      </c>
      <c r="B6" s="49">
        <v>1017054</v>
      </c>
      <c r="C6" s="50">
        <v>1726409.5</v>
      </c>
      <c r="D6" s="50">
        <v>2754826.5</v>
      </c>
      <c r="E6" s="50">
        <v>2056103</v>
      </c>
      <c r="F6" s="50">
        <v>1478905</v>
      </c>
      <c r="G6" s="17">
        <f t="shared" si="0"/>
        <v>8016244</v>
      </c>
      <c r="H6" s="17">
        <f t="shared" si="1"/>
        <v>1177979.1761592424</v>
      </c>
      <c r="I6" s="17">
        <f t="shared" si="2"/>
        <v>6838264.8238407578</v>
      </c>
    </row>
    <row r="7" spans="1:9" ht="15.75" customHeight="1" x14ac:dyDescent="0.25">
      <c r="A7" s="5">
        <f t="shared" si="3"/>
        <v>2029</v>
      </c>
      <c r="B7" s="49">
        <v>1026451</v>
      </c>
      <c r="C7" s="50">
        <v>1760046</v>
      </c>
      <c r="D7" s="50">
        <v>2838943</v>
      </c>
      <c r="E7" s="50">
        <v>2104161.5</v>
      </c>
      <c r="F7" s="50">
        <v>1533454</v>
      </c>
      <c r="G7" s="17">
        <f t="shared" si="0"/>
        <v>8236604.5</v>
      </c>
      <c r="H7" s="17">
        <f t="shared" si="1"/>
        <v>1188863.0331799791</v>
      </c>
      <c r="I7" s="17">
        <f t="shared" si="2"/>
        <v>7047741.4668200212</v>
      </c>
    </row>
    <row r="8" spans="1:9" ht="15.75" customHeight="1" x14ac:dyDescent="0.25">
      <c r="A8" s="5">
        <f t="shared" si="3"/>
        <v>2030</v>
      </c>
      <c r="B8" s="49">
        <v>1038634</v>
      </c>
      <c r="C8" s="50">
        <v>1796707.5</v>
      </c>
      <c r="D8" s="50">
        <v>2924370</v>
      </c>
      <c r="E8" s="50">
        <v>2153932</v>
      </c>
      <c r="F8" s="50">
        <v>1587766</v>
      </c>
      <c r="G8" s="17">
        <f t="shared" si="0"/>
        <v>8462775.5</v>
      </c>
      <c r="H8" s="17">
        <f t="shared" si="1"/>
        <v>1202973.7100006279</v>
      </c>
      <c r="I8" s="17">
        <f t="shared" si="2"/>
        <v>7259801.7899993723</v>
      </c>
    </row>
    <row r="9" spans="1:9" ht="15.75" customHeight="1" x14ac:dyDescent="0.25">
      <c r="A9" s="5">
        <f t="shared" si="3"/>
        <v>2031</v>
      </c>
      <c r="B9" s="49">
        <v>1048294.0000000001</v>
      </c>
      <c r="C9" s="50">
        <v>1840465.5</v>
      </c>
      <c r="D9" s="50">
        <v>3010483.5000000005</v>
      </c>
      <c r="E9" s="50">
        <v>2204349</v>
      </c>
      <c r="F9" s="50">
        <v>1641330</v>
      </c>
      <c r="G9" s="17">
        <f t="shared" si="0"/>
        <v>8696628</v>
      </c>
      <c r="H9" s="17">
        <f t="shared" si="1"/>
        <v>1214162.1806636392</v>
      </c>
      <c r="I9" s="17">
        <f t="shared" si="2"/>
        <v>7482465.8193363603</v>
      </c>
    </row>
    <row r="10" spans="1:9" ht="15.75" customHeight="1" x14ac:dyDescent="0.25">
      <c r="A10" s="5">
        <f t="shared" si="3"/>
        <v>2032</v>
      </c>
      <c r="B10" s="49">
        <v>1061037</v>
      </c>
      <c r="C10" s="50">
        <v>1889422.5</v>
      </c>
      <c r="D10" s="50">
        <v>3095394</v>
      </c>
      <c r="E10" s="50">
        <v>2257388</v>
      </c>
      <c r="F10" s="50">
        <v>1693073.5</v>
      </c>
      <c r="G10" s="17">
        <f t="shared" si="0"/>
        <v>8935278</v>
      </c>
      <c r="H10" s="17">
        <f t="shared" si="1"/>
        <v>1228921.464479245</v>
      </c>
      <c r="I10" s="17">
        <f t="shared" si="2"/>
        <v>7706356.5355207548</v>
      </c>
    </row>
    <row r="11" spans="1:9" ht="15.75" customHeight="1" x14ac:dyDescent="0.25">
      <c r="A11" s="5">
        <f t="shared" si="3"/>
        <v>2033</v>
      </c>
      <c r="B11" s="49">
        <v>1072048</v>
      </c>
      <c r="C11" s="50">
        <v>1939853.5</v>
      </c>
      <c r="D11" s="50">
        <v>3177099.5000000005</v>
      </c>
      <c r="E11" s="50">
        <v>2315595.0000000005</v>
      </c>
      <c r="F11" s="50">
        <v>1744623.5000000002</v>
      </c>
      <c r="G11" s="17">
        <f t="shared" si="0"/>
        <v>9177171.5</v>
      </c>
      <c r="H11" s="17">
        <f t="shared" si="1"/>
        <v>1241674.6995175905</v>
      </c>
      <c r="I11" s="17">
        <f t="shared" si="2"/>
        <v>7935496.8004824091</v>
      </c>
    </row>
    <row r="12" spans="1:9" ht="15.75" customHeight="1" x14ac:dyDescent="0.25">
      <c r="A12" s="5">
        <f t="shared" si="3"/>
        <v>2034</v>
      </c>
      <c r="B12" s="49">
        <v>1085973</v>
      </c>
      <c r="C12" s="50">
        <v>1988608</v>
      </c>
      <c r="D12" s="50">
        <v>3255296</v>
      </c>
      <c r="E12" s="50">
        <v>2379648</v>
      </c>
      <c r="F12" s="50">
        <v>1796588.5</v>
      </c>
      <c r="G12" s="17">
        <f t="shared" si="0"/>
        <v>9420140.5</v>
      </c>
      <c r="H12" s="17">
        <f t="shared" si="1"/>
        <v>1257803.0073832667</v>
      </c>
      <c r="I12" s="17">
        <f t="shared" si="2"/>
        <v>8162337.4926167335</v>
      </c>
    </row>
    <row r="13" spans="1:9" ht="15.75" customHeight="1" x14ac:dyDescent="0.25">
      <c r="A13" s="5">
        <f t="shared" si="3"/>
        <v>2035</v>
      </c>
      <c r="B13" s="49">
        <v>1094052</v>
      </c>
      <c r="C13" s="50">
        <v>2030783.5</v>
      </c>
      <c r="D13" s="50">
        <v>3334426.5</v>
      </c>
      <c r="E13" s="50">
        <v>2449758.5</v>
      </c>
      <c r="F13" s="50">
        <v>1846932</v>
      </c>
      <c r="G13" s="17">
        <f t="shared" si="0"/>
        <v>9661900.5</v>
      </c>
      <c r="H13" s="17">
        <f t="shared" si="1"/>
        <v>1267160.3215123005</v>
      </c>
      <c r="I13" s="17">
        <f t="shared" si="2"/>
        <v>8394740.1784876995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1.143080228616046E-2</v>
      </c>
    </row>
    <row r="4" spans="1:8" ht="15.75" customHeight="1" x14ac:dyDescent="0.25">
      <c r="B4" s="19" t="s">
        <v>69</v>
      </c>
      <c r="C4" s="99">
        <v>6.6053313210662781E-2</v>
      </c>
    </row>
    <row r="5" spans="1:8" ht="15.75" customHeight="1" x14ac:dyDescent="0.25">
      <c r="B5" s="19" t="s">
        <v>70</v>
      </c>
      <c r="C5" s="99">
        <v>9.1041518208303807E-2</v>
      </c>
    </row>
    <row r="6" spans="1:8" ht="15.75" customHeight="1" x14ac:dyDescent="0.25">
      <c r="B6" s="19" t="s">
        <v>71</v>
      </c>
      <c r="C6" s="99">
        <v>0.2565140513028103</v>
      </c>
    </row>
    <row r="7" spans="1:8" ht="15.75" customHeight="1" x14ac:dyDescent="0.25">
      <c r="B7" s="19" t="s">
        <v>72</v>
      </c>
      <c r="C7" s="99">
        <v>0.39185437837087522</v>
      </c>
    </row>
    <row r="8" spans="1:8" ht="15.75" customHeight="1" x14ac:dyDescent="0.25">
      <c r="B8" s="19" t="s">
        <v>73</v>
      </c>
      <c r="C8" s="99">
        <v>2.516000503200104E-3</v>
      </c>
    </row>
    <row r="9" spans="1:8" ht="15.75" customHeight="1" x14ac:dyDescent="0.25">
      <c r="B9" s="19" t="s">
        <v>74</v>
      </c>
      <c r="C9" s="99">
        <v>6.3182812636562474E-2</v>
      </c>
    </row>
    <row r="10" spans="1:8" ht="15.75" customHeight="1" x14ac:dyDescent="0.25">
      <c r="B10" s="19" t="s">
        <v>75</v>
      </c>
      <c r="C10" s="99">
        <v>0.1174071234814246</v>
      </c>
    </row>
    <row r="11" spans="1:8" ht="15.75" customHeight="1" x14ac:dyDescent="0.25">
      <c r="B11" s="27" t="s">
        <v>30</v>
      </c>
      <c r="C11" s="48">
        <f>SUM(C3:C10)</f>
        <v>0.99999999999999967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0.16942774017284731</v>
      </c>
      <c r="D14" s="55">
        <v>0.16942774017284731</v>
      </c>
      <c r="E14" s="55">
        <v>0.16942774017284731</v>
      </c>
      <c r="F14" s="55">
        <v>0.16942774017284731</v>
      </c>
    </row>
    <row r="15" spans="1:8" ht="15.75" customHeight="1" x14ac:dyDescent="0.25">
      <c r="B15" s="19" t="s">
        <v>82</v>
      </c>
      <c r="C15" s="99">
        <v>0.23651425298997231</v>
      </c>
      <c r="D15" s="99">
        <v>0.23651425298997231</v>
      </c>
      <c r="E15" s="99">
        <v>0.23651425298997231</v>
      </c>
      <c r="F15" s="99">
        <v>0.23651425298997231</v>
      </c>
    </row>
    <row r="16" spans="1:8" ht="15.75" customHeight="1" x14ac:dyDescent="0.25">
      <c r="B16" s="19" t="s">
        <v>83</v>
      </c>
      <c r="C16" s="99">
        <v>2.918110732094047E-2</v>
      </c>
      <c r="D16" s="99">
        <v>2.918110732094047E-2</v>
      </c>
      <c r="E16" s="99">
        <v>2.918110732094047E-2</v>
      </c>
      <c r="F16" s="99">
        <v>2.918110732094047E-2</v>
      </c>
    </row>
    <row r="17" spans="1:8" ht="15.75" customHeight="1" x14ac:dyDescent="0.25">
      <c r="B17" s="19" t="s">
        <v>84</v>
      </c>
      <c r="C17" s="99">
        <v>2.2925787169298929E-2</v>
      </c>
      <c r="D17" s="99">
        <v>2.2925787169298929E-2</v>
      </c>
      <c r="E17" s="99">
        <v>2.2925787169298929E-2</v>
      </c>
      <c r="F17" s="99">
        <v>2.2925787169298929E-2</v>
      </c>
    </row>
    <row r="18" spans="1:8" ht="15.75" customHeight="1" x14ac:dyDescent="0.25">
      <c r="B18" s="19" t="s">
        <v>85</v>
      </c>
      <c r="C18" s="99">
        <v>0.2300598358149944</v>
      </c>
      <c r="D18" s="99">
        <v>0.2300598358149944</v>
      </c>
      <c r="E18" s="99">
        <v>0.2300598358149944</v>
      </c>
      <c r="F18" s="99">
        <v>0.2300598358149944</v>
      </c>
    </row>
    <row r="19" spans="1:8" ht="15.75" customHeight="1" x14ac:dyDescent="0.25">
      <c r="B19" s="19" t="s">
        <v>86</v>
      </c>
      <c r="C19" s="99">
        <v>1.7132730726974171E-2</v>
      </c>
      <c r="D19" s="99">
        <v>1.7132730726974171E-2</v>
      </c>
      <c r="E19" s="99">
        <v>1.7132730726974171E-2</v>
      </c>
      <c r="F19" s="99">
        <v>1.7132730726974171E-2</v>
      </c>
    </row>
    <row r="20" spans="1:8" ht="15.75" customHeight="1" x14ac:dyDescent="0.25">
      <c r="B20" s="19" t="s">
        <v>87</v>
      </c>
      <c r="C20" s="99">
        <v>5.5929038248185813E-2</v>
      </c>
      <c r="D20" s="99">
        <v>5.5929038248185813E-2</v>
      </c>
      <c r="E20" s="99">
        <v>5.5929038248185813E-2</v>
      </c>
      <c r="F20" s="99">
        <v>5.5929038248185813E-2</v>
      </c>
    </row>
    <row r="21" spans="1:8" ht="15.75" customHeight="1" x14ac:dyDescent="0.25">
      <c r="B21" s="19" t="s">
        <v>88</v>
      </c>
      <c r="C21" s="99">
        <v>8.607945043868627E-2</v>
      </c>
      <c r="D21" s="99">
        <v>8.607945043868627E-2</v>
      </c>
      <c r="E21" s="99">
        <v>8.607945043868627E-2</v>
      </c>
      <c r="F21" s="99">
        <v>8.607945043868627E-2</v>
      </c>
    </row>
    <row r="22" spans="1:8" ht="15.75" customHeight="1" x14ac:dyDescent="0.25">
      <c r="B22" s="19" t="s">
        <v>89</v>
      </c>
      <c r="C22" s="99">
        <v>0.1527500571181003</v>
      </c>
      <c r="D22" s="99">
        <v>0.1527500571181003</v>
      </c>
      <c r="E22" s="99">
        <v>0.1527500571181003</v>
      </c>
      <c r="F22" s="99">
        <v>0.1527500571181003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0.103690241</v>
      </c>
    </row>
    <row r="27" spans="1:8" ht="15.75" customHeight="1" x14ac:dyDescent="0.25">
      <c r="B27" s="19" t="s">
        <v>92</v>
      </c>
      <c r="C27" s="99">
        <v>9.3634809999999999E-3</v>
      </c>
    </row>
    <row r="28" spans="1:8" ht="15.75" customHeight="1" x14ac:dyDescent="0.25">
      <c r="B28" s="19" t="s">
        <v>93</v>
      </c>
      <c r="C28" s="99">
        <v>0.116756885</v>
      </c>
    </row>
    <row r="29" spans="1:8" ht="15.75" customHeight="1" x14ac:dyDescent="0.25">
      <c r="B29" s="19" t="s">
        <v>94</v>
      </c>
      <c r="C29" s="99">
        <v>0.15363832899999999</v>
      </c>
    </row>
    <row r="30" spans="1:8" ht="15.75" customHeight="1" x14ac:dyDescent="0.25">
      <c r="B30" s="19" t="s">
        <v>95</v>
      </c>
      <c r="C30" s="99">
        <v>0.13426711399999999</v>
      </c>
    </row>
    <row r="31" spans="1:8" ht="15.75" customHeight="1" x14ac:dyDescent="0.25">
      <c r="B31" s="19" t="s">
        <v>96</v>
      </c>
      <c r="C31" s="99">
        <v>6.5823823000000004E-2</v>
      </c>
    </row>
    <row r="32" spans="1:8" ht="15.75" customHeight="1" x14ac:dyDescent="0.25">
      <c r="B32" s="19" t="s">
        <v>97</v>
      </c>
      <c r="C32" s="99">
        <v>6.84434E-3</v>
      </c>
    </row>
    <row r="33" spans="2:3" ht="15.75" customHeight="1" x14ac:dyDescent="0.25">
      <c r="B33" s="19" t="s">
        <v>98</v>
      </c>
      <c r="C33" s="99">
        <v>0.192122402</v>
      </c>
    </row>
    <row r="34" spans="2:3" ht="15.75" customHeight="1" x14ac:dyDescent="0.25">
      <c r="B34" s="19" t="s">
        <v>99</v>
      </c>
      <c r="C34" s="99">
        <v>0.21749338600000001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0.46214196134405616</v>
      </c>
      <c r="D2" s="52">
        <f>IFERROR(1-_xlfn.NORM.DIST(_xlfn.NORM.INV(SUM(D4:D5), 0, 1) + 1, 0, 1, TRUE), "")</f>
        <v>0.46214196134405616</v>
      </c>
      <c r="E2" s="52">
        <f>IFERROR(1-_xlfn.NORM.DIST(_xlfn.NORM.INV(SUM(E4:E5), 0, 1) + 1, 0, 1, TRUE), "")</f>
        <v>0.45469858397748131</v>
      </c>
      <c r="F2" s="52">
        <f>IFERROR(1-_xlfn.NORM.DIST(_xlfn.NORM.INV(SUM(F4:F5), 0, 1) + 1, 0, 1, TRUE), "")</f>
        <v>0.25922423933317962</v>
      </c>
      <c r="G2" s="52">
        <f>IFERROR(1-_xlfn.NORM.DIST(_xlfn.NORM.INV(SUM(G4:G5), 0, 1) + 1, 0, 1, TRUE), "")</f>
        <v>0.31636718597168301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0.35511503865594385</v>
      </c>
      <c r="D3" s="52">
        <f>IFERROR(_xlfn.NORM.DIST(_xlfn.NORM.INV(SUM(D4:D5), 0, 1) + 1, 0, 1, TRUE) - SUM(D4:D5), "")</f>
        <v>0.35511503865594385</v>
      </c>
      <c r="E3" s="52">
        <f>IFERROR(_xlfn.NORM.DIST(_xlfn.NORM.INV(SUM(E4:E5), 0, 1) + 1, 0, 1, TRUE) - SUM(E4:E5), "")</f>
        <v>0.3575468160225187</v>
      </c>
      <c r="F3" s="52">
        <f>IFERROR(_xlfn.NORM.DIST(_xlfn.NORM.INV(SUM(F4:F5), 0, 1) + 1, 0, 1, TRUE) - SUM(F4:F5), "")</f>
        <v>0.37920416066682039</v>
      </c>
      <c r="G3" s="52">
        <f>IFERROR(_xlfn.NORM.DIST(_xlfn.NORM.INV(SUM(G4:G5), 0, 1) + 1, 0, 1, TRUE) - SUM(G4:G5), "")</f>
        <v>0.38283881402831699</v>
      </c>
    </row>
    <row r="4" spans="1:15" ht="15.75" customHeight="1" x14ac:dyDescent="0.25">
      <c r="B4" s="5" t="s">
        <v>104</v>
      </c>
      <c r="C4" s="45">
        <v>9.7811000000000009E-2</v>
      </c>
      <c r="D4" s="53">
        <v>9.7811000000000009E-2</v>
      </c>
      <c r="E4" s="53">
        <v>6.9759500000000002E-2</v>
      </c>
      <c r="F4" s="53">
        <v>0.20554059999999999</v>
      </c>
      <c r="G4" s="53">
        <v>0.16139339999999999</v>
      </c>
    </row>
    <row r="5" spans="1:15" ht="15.75" customHeight="1" x14ac:dyDescent="0.25">
      <c r="B5" s="5" t="s">
        <v>105</v>
      </c>
      <c r="C5" s="45">
        <v>8.4931999999999994E-2</v>
      </c>
      <c r="D5" s="53">
        <v>8.4931999999999994E-2</v>
      </c>
      <c r="E5" s="53">
        <v>0.11799510000000001</v>
      </c>
      <c r="F5" s="53">
        <v>0.156031</v>
      </c>
      <c r="G5" s="53">
        <v>0.13940060000000001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0.70520314683031926</v>
      </c>
      <c r="D8" s="52">
        <f>IFERROR(1-_xlfn.NORM.DIST(_xlfn.NORM.INV(SUM(D10:D11), 0, 1) + 1, 0, 1, TRUE), "")</f>
        <v>0.70520314683031926</v>
      </c>
      <c r="E8" s="52">
        <f>IFERROR(1-_xlfn.NORM.DIST(_xlfn.NORM.INV(SUM(E10:E11), 0, 1) + 1, 0, 1, TRUE), "")</f>
        <v>0.68307175669848463</v>
      </c>
      <c r="F8" s="52">
        <f>IFERROR(1-_xlfn.NORM.DIST(_xlfn.NORM.INV(SUM(F10:F11), 0, 1) + 1, 0, 1, TRUE), "")</f>
        <v>0.73949700149150088</v>
      </c>
      <c r="G8" s="52">
        <f>IFERROR(1-_xlfn.NORM.DIST(_xlfn.NORM.INV(SUM(G10:G11), 0, 1) + 1, 0, 1, TRUE), "")</f>
        <v>0.79853565175383845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0.23294655316968074</v>
      </c>
      <c r="D9" s="52">
        <f>IFERROR(_xlfn.NORM.DIST(_xlfn.NORM.INV(SUM(D10:D11), 0, 1) + 1, 0, 1, TRUE) - SUM(D10:D11), "")</f>
        <v>0.23294655316968074</v>
      </c>
      <c r="E9" s="52">
        <f>IFERROR(_xlfn.NORM.DIST(_xlfn.NORM.INV(SUM(E10:E11), 0, 1) + 1, 0, 1, TRUE) - SUM(E10:E11), "")</f>
        <v>0.24699734330151538</v>
      </c>
      <c r="F9" s="52">
        <f>IFERROR(_xlfn.NORM.DIST(_xlfn.NORM.INV(SUM(F10:F11), 0, 1) + 1, 0, 1, TRUE) - SUM(F10:F11), "")</f>
        <v>0.21018679850849911</v>
      </c>
      <c r="G9" s="52">
        <f>IFERROR(_xlfn.NORM.DIST(_xlfn.NORM.INV(SUM(G10:G11), 0, 1) + 1, 0, 1, TRUE) - SUM(G10:G11), "")</f>
        <v>0.16831524824616151</v>
      </c>
    </row>
    <row r="10" spans="1:15" ht="15.75" customHeight="1" x14ac:dyDescent="0.25">
      <c r="B10" s="5" t="s">
        <v>109</v>
      </c>
      <c r="C10" s="45">
        <v>3.4564400000000002E-2</v>
      </c>
      <c r="D10" s="53">
        <v>3.4564400000000002E-2</v>
      </c>
      <c r="E10" s="53">
        <v>4.6351499999999997E-2</v>
      </c>
      <c r="F10" s="53">
        <v>3.51717E-2</v>
      </c>
      <c r="G10" s="53">
        <v>2.0165800000000001E-2</v>
      </c>
    </row>
    <row r="11" spans="1:15" ht="15.75" customHeight="1" x14ac:dyDescent="0.25">
      <c r="B11" s="5" t="s">
        <v>110</v>
      </c>
      <c r="C11" s="45">
        <v>2.7285899999999998E-2</v>
      </c>
      <c r="D11" s="53">
        <v>2.7285899999999998E-2</v>
      </c>
      <c r="E11" s="53">
        <v>2.35794E-2</v>
      </c>
      <c r="F11" s="53">
        <v>1.51445E-2</v>
      </c>
      <c r="G11" s="53">
        <v>1.29833E-2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0.72753117025000014</v>
      </c>
      <c r="D14" s="54">
        <v>0.71009141495200001</v>
      </c>
      <c r="E14" s="54">
        <v>0.71009141495200001</v>
      </c>
      <c r="F14" s="54">
        <v>0.57832524795899998</v>
      </c>
      <c r="G14" s="54">
        <v>0.57832524795899998</v>
      </c>
      <c r="H14" s="45">
        <v>0.49299999999999999</v>
      </c>
      <c r="I14" s="55">
        <v>0.49299999999999999</v>
      </c>
      <c r="J14" s="55">
        <v>0.49299999999999999</v>
      </c>
      <c r="K14" s="55">
        <v>0.49299999999999999</v>
      </c>
      <c r="L14" s="45">
        <v>0.40600000000000003</v>
      </c>
      <c r="M14" s="55">
        <v>0.40600000000000003</v>
      </c>
      <c r="N14" s="55">
        <v>0.40600000000000003</v>
      </c>
      <c r="O14" s="55">
        <v>0.40600000000000003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0.33100485652864253</v>
      </c>
      <c r="D15" s="52">
        <f t="shared" si="0"/>
        <v>0.32307029106071145</v>
      </c>
      <c r="E15" s="52">
        <f t="shared" si="0"/>
        <v>0.32307029106071145</v>
      </c>
      <c r="F15" s="52">
        <f t="shared" si="0"/>
        <v>0.26312063806390623</v>
      </c>
      <c r="G15" s="52">
        <f t="shared" si="0"/>
        <v>0.26312063806390623</v>
      </c>
      <c r="H15" s="52">
        <f t="shared" si="0"/>
        <v>0.22430021</v>
      </c>
      <c r="I15" s="52">
        <f t="shared" si="0"/>
        <v>0.22430021</v>
      </c>
      <c r="J15" s="52">
        <f t="shared" si="0"/>
        <v>0.22430021</v>
      </c>
      <c r="K15" s="52">
        <f t="shared" si="0"/>
        <v>0.22430021</v>
      </c>
      <c r="L15" s="52">
        <f t="shared" si="0"/>
        <v>0.18471782</v>
      </c>
      <c r="M15" s="52">
        <f t="shared" si="0"/>
        <v>0.18471782</v>
      </c>
      <c r="N15" s="52">
        <f t="shared" si="0"/>
        <v>0.18471782</v>
      </c>
      <c r="O15" s="52">
        <f t="shared" si="0"/>
        <v>0.18471782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0.51480320000000002</v>
      </c>
      <c r="D2" s="53">
        <v>0.36904480000000001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0.31314429999999999</v>
      </c>
      <c r="D3" s="53">
        <v>0.31275219999999998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9.5658800000000002E-2</v>
      </c>
      <c r="D4" s="53">
        <v>0.23787720000000001</v>
      </c>
      <c r="E4" s="53">
        <v>0.87246250000000003</v>
      </c>
      <c r="F4" s="53">
        <v>0.43296560000000001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7.6393699999999898E-2</v>
      </c>
      <c r="D5" s="52">
        <f t="shared" si="0"/>
        <v>8.0325800000000003E-2</v>
      </c>
      <c r="E5" s="52">
        <f>1-SUM(E2:E4)</f>
        <v>0.12753749999999997</v>
      </c>
      <c r="F5" s="52">
        <f>1-SUM(F2:F4)</f>
        <v>0.56703440000000005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1563.48894034459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0.46167999999999998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0.67835999999999996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1.9259502231584416E-2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92436.565799999997</v>
      </c>
      <c r="C22" s="107">
        <v>91119.072910000003</v>
      </c>
      <c r="D22" s="107">
        <v>90367.517389999994</v>
      </c>
      <c r="E22" s="107">
        <v>89718.055229999998</v>
      </c>
      <c r="F22" s="107">
        <v>88816.005850000001</v>
      </c>
      <c r="G22" s="107">
        <v>87639.53757</v>
      </c>
      <c r="H22" s="107">
        <v>86004.167289999998</v>
      </c>
      <c r="I22" s="107">
        <v>83735.65264</v>
      </c>
      <c r="J22" s="107">
        <v>80694.012520000004</v>
      </c>
      <c r="K22" s="107">
        <v>76893.036900000006</v>
      </c>
      <c r="L22" s="107">
        <v>72098.622870000007</v>
      </c>
      <c r="M22" s="107">
        <v>66295.091880000007</v>
      </c>
      <c r="N22" s="107">
        <v>58699.027549999999</v>
      </c>
      <c r="O22" s="107">
        <v>49431.142720000003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18.025735670419653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18.025735670419653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5.2668836507008754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0.56149571024496792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0.70706266146872643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0.23003335421429147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0.49185540000000011</v>
      </c>
      <c r="C10" s="96">
        <v>0.95</v>
      </c>
      <c r="D10" s="56">
        <v>12.61648392647521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12.61648392647521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12.61648392647521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12.61648392647521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0.49185540000000011</v>
      </c>
      <c r="C14" s="96">
        <v>0.95</v>
      </c>
      <c r="D14" s="56">
        <v>12.61648392647521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12.61648392647521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0.52177059999999997</v>
      </c>
      <c r="C16" s="96">
        <v>0.95</v>
      </c>
      <c r="D16" s="56">
        <v>2.8407188685968858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0.17037333333333299</v>
      </c>
      <c r="C17" s="96">
        <v>0.95</v>
      </c>
      <c r="D17" s="56">
        <v>0.35500000000000004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0.41499999999999998</v>
      </c>
      <c r="C18" s="96">
        <v>0.95</v>
      </c>
      <c r="D18" s="56">
        <v>5.2668836507008754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0.36904480000000001</v>
      </c>
      <c r="C19" s="96">
        <v>0.95</v>
      </c>
      <c r="D19" s="56">
        <v>7.2861200073283072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2.1939130069251829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5.2668836507008754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0.57258390000000003</v>
      </c>
      <c r="C23" s="96">
        <v>0.95</v>
      </c>
      <c r="D23" s="56">
        <v>4.0320279639007426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0.54842745280988192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0.49185540000000011</v>
      </c>
      <c r="C26" s="96">
        <v>0.95</v>
      </c>
      <c r="D26" s="56">
        <v>3.8681355531509101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13.457928721749347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0.17947630000000001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0.19769629999999999</v>
      </c>
      <c r="C29" s="96">
        <v>0.95</v>
      </c>
      <c r="D29" s="56">
        <v>88.005851455993124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44.783843336315748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0.1133</v>
      </c>
      <c r="C31" s="96">
        <v>0.95</v>
      </c>
      <c r="D31" s="56">
        <v>126.62714253872848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0.85</v>
      </c>
      <c r="C32" s="96">
        <v>0.95</v>
      </c>
      <c r="D32" s="56">
        <v>0.46210405728622134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0.36711830000000001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0.65054450000000008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4.2243700000000002E-2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0.4180431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0.2055438</v>
      </c>
      <c r="C38" s="96">
        <v>0.95</v>
      </c>
      <c r="D38" s="56">
        <v>4.0706758054007581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3.4125000000000001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1.3</v>
      </c>
      <c r="C2" s="21">
        <f>'Baseline year population inputs'!C52</f>
        <v>1.3</v>
      </c>
      <c r="D2" s="21">
        <f>'Baseline year population inputs'!C53</f>
        <v>5.3039999999999994</v>
      </c>
      <c r="E2" s="21">
        <f>'Baseline year population inputs'!C54</f>
        <v>5.4860000000000007</v>
      </c>
      <c r="F2" s="21">
        <f>'Baseline year population inputs'!C55</f>
        <v>2.253333333333333</v>
      </c>
    </row>
    <row r="3" spans="1:6" ht="15.75" customHeight="1" x14ac:dyDescent="0.25">
      <c r="A3" s="3" t="s">
        <v>197</v>
      </c>
      <c r="B3" s="21">
        <f>frac_mam_1month * 2.6</f>
        <v>8.9867440000000007E-2</v>
      </c>
      <c r="C3" s="21">
        <f>frac_mam_1_5months * 2.6</f>
        <v>8.9867440000000007E-2</v>
      </c>
      <c r="D3" s="21">
        <f>frac_mam_6_11months * 2.6</f>
        <v>0.12051389999999999</v>
      </c>
      <c r="E3" s="21">
        <f>frac_mam_12_23months * 2.6</f>
        <v>9.144642E-2</v>
      </c>
      <c r="F3" s="21">
        <f>frac_mam_24_59months * 2.6</f>
        <v>5.2431080000000005E-2</v>
      </c>
    </row>
    <row r="4" spans="1:6" ht="15.75" customHeight="1" x14ac:dyDescent="0.25">
      <c r="A4" s="3" t="s">
        <v>198</v>
      </c>
      <c r="B4" s="21">
        <f>frac_sam_1month * 2.6</f>
        <v>7.0943339999999994E-2</v>
      </c>
      <c r="C4" s="21">
        <f>frac_sam_1_5months * 2.6</f>
        <v>7.0943339999999994E-2</v>
      </c>
      <c r="D4" s="21">
        <f>frac_sam_6_11months * 2.6</f>
        <v>6.1306440000000004E-2</v>
      </c>
      <c r="E4" s="21">
        <f>frac_sam_12_23months * 2.6</f>
        <v>3.93757E-2</v>
      </c>
      <c r="F4" s="21">
        <f>frac_sam_24_59months * 2.6</f>
        <v>3.3756580000000001E-2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0.499</v>
      </c>
      <c r="F2" s="60">
        <f>food_insecure</f>
        <v>0.499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0.499</v>
      </c>
      <c r="F5" s="60">
        <f>food_insecure</f>
        <v>0.499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2.8363636363636365E-2</v>
      </c>
      <c r="D7" s="60">
        <f>diarrhoea_1_5mo*frac_diarrhea_severe</f>
        <v>2.8363636363636365E-2</v>
      </c>
      <c r="E7" s="60">
        <f>diarrhoea_6_11mo*frac_diarrhea_severe</f>
        <v>0.11572363636363636</v>
      </c>
      <c r="F7" s="60">
        <f>diarrhoea_12_23mo*frac_diarrhea_severe</f>
        <v>0.11969454545454548</v>
      </c>
      <c r="G7" s="60">
        <f>diarrhoea_24_59mo*frac_diarrhea_severe</f>
        <v>4.9163636363636361E-2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0.499</v>
      </c>
      <c r="F8" s="60">
        <f>food_insecure</f>
        <v>0.499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0.499</v>
      </c>
      <c r="F9" s="60">
        <f>food_insecure</f>
        <v>0.499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2.8363636363636365E-2</v>
      </c>
      <c r="D12" s="60">
        <f>diarrhoea_1_5mo*frac_diarrhea_severe</f>
        <v>2.8363636363636365E-2</v>
      </c>
      <c r="E12" s="60">
        <f>diarrhoea_6_11mo*frac_diarrhea_severe</f>
        <v>0.11572363636363636</v>
      </c>
      <c r="F12" s="60">
        <f>diarrhoea_12_23mo*frac_diarrhea_severe</f>
        <v>0.11969454545454548</v>
      </c>
      <c r="G12" s="60">
        <f>diarrhoea_24_59mo*frac_diarrhea_severe</f>
        <v>4.9163636363636361E-2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0.499</v>
      </c>
      <c r="I15" s="60">
        <f t="shared" si="0"/>
        <v>0.499</v>
      </c>
      <c r="J15" s="60">
        <f t="shared" si="0"/>
        <v>0.499</v>
      </c>
      <c r="K15" s="60">
        <f t="shared" si="0"/>
        <v>0.499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0.499</v>
      </c>
      <c r="I16" s="60">
        <f t="shared" si="0"/>
        <v>0.499</v>
      </c>
      <c r="J16" s="60">
        <f t="shared" si="0"/>
        <v>0.499</v>
      </c>
      <c r="K16" s="60">
        <f t="shared" si="0"/>
        <v>0.499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0.74</v>
      </c>
      <c r="I19" s="60">
        <f>frac_malaria_risk</f>
        <v>0.74</v>
      </c>
      <c r="J19" s="60">
        <f>frac_malaria_risk</f>
        <v>0.74</v>
      </c>
      <c r="K19" s="60">
        <f>frac_malaria_risk</f>
        <v>0.74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0.17973908890000001</v>
      </c>
      <c r="M24" s="60">
        <f>famplan_unmet_need</f>
        <v>0.17973908890000001</v>
      </c>
      <c r="N24" s="60">
        <f>famplan_unmet_need</f>
        <v>0.17973908890000001</v>
      </c>
      <c r="O24" s="60">
        <f>famplan_unmet_need</f>
        <v>0.17973908890000001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0.35167190718099994</v>
      </c>
      <c r="M25" s="60">
        <f>(1-food_insecure)*(0.49)+food_insecure*(0.7)</f>
        <v>0.59478999999999993</v>
      </c>
      <c r="N25" s="60">
        <f>(1-food_insecure)*(0.49)+food_insecure*(0.7)</f>
        <v>0.59478999999999993</v>
      </c>
      <c r="O25" s="60">
        <f>(1-food_insecure)*(0.49)+food_insecure*(0.7)</f>
        <v>0.59478999999999993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0.15071653164900001</v>
      </c>
      <c r="M26" s="60">
        <f>(1-food_insecure)*(0.21)+food_insecure*(0.3)</f>
        <v>0.25490999999999997</v>
      </c>
      <c r="N26" s="60">
        <f>(1-food_insecure)*(0.21)+food_insecure*(0.3)</f>
        <v>0.25490999999999997</v>
      </c>
      <c r="O26" s="60">
        <f>(1-food_insecure)*(0.21)+food_insecure*(0.3)</f>
        <v>0.25490999999999997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8.8865461169999993E-2</v>
      </c>
      <c r="M27" s="60">
        <f>(1-food_insecure)*(0.3)</f>
        <v>0.15029999999999999</v>
      </c>
      <c r="N27" s="60">
        <f>(1-food_insecure)*(0.3)</f>
        <v>0.15029999999999999</v>
      </c>
      <c r="O27" s="60">
        <f>(1-food_insecure)*(0.3)</f>
        <v>0.15029999999999999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0.4087461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0.74</v>
      </c>
      <c r="D34" s="60">
        <f t="shared" si="4"/>
        <v>0.74</v>
      </c>
      <c r="E34" s="60">
        <f t="shared" si="4"/>
        <v>0.74</v>
      </c>
      <c r="F34" s="60">
        <f t="shared" si="4"/>
        <v>0.74</v>
      </c>
      <c r="G34" s="60">
        <f t="shared" si="4"/>
        <v>0.74</v>
      </c>
      <c r="H34" s="60">
        <f t="shared" si="4"/>
        <v>0.74</v>
      </c>
      <c r="I34" s="60">
        <f t="shared" si="4"/>
        <v>0.74</v>
      </c>
      <c r="J34" s="60">
        <f t="shared" si="4"/>
        <v>0.74</v>
      </c>
      <c r="K34" s="60">
        <f t="shared" si="4"/>
        <v>0.74</v>
      </c>
      <c r="L34" s="60">
        <f t="shared" si="4"/>
        <v>0.74</v>
      </c>
      <c r="M34" s="60">
        <f t="shared" si="4"/>
        <v>0.74</v>
      </c>
      <c r="N34" s="60">
        <f t="shared" si="4"/>
        <v>0.74</v>
      </c>
      <c r="O34" s="60">
        <f t="shared" si="4"/>
        <v>0.74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