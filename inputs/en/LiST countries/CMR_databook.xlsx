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2A46654-DDBA-4FC5-8454-59274B4D2EF1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28" i="2"/>
  <c r="A27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14" i="2"/>
  <c r="A40" i="2"/>
  <c r="A38" i="2"/>
  <c r="A23" i="2"/>
  <c r="A16" i="2"/>
  <c r="A32" i="2"/>
  <c r="A22" i="2"/>
  <c r="A15" i="2"/>
  <c r="A24" i="2"/>
  <c r="A17" i="2"/>
  <c r="A25" i="2"/>
  <c r="A33" i="2"/>
  <c r="A30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<sst xmlns="http://schemas.openxmlformats.org/spreadsheetml/2006/main" count="2092" uniqueCount="341">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</sst>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4551792.875</v>
      </c>
    </row>
    <row r="8" spans="1:3" ht="15" customHeight="1" x14ac:dyDescent="0.25">
      <c r="B8" s="5" t="s">
        <v>8</v>
      </c>
      <c r="C8" s="44">
        <v>0.23799999999999999</v>
      </c>
    </row>
    <row r="9" spans="1:3" ht="15" customHeight="1" x14ac:dyDescent="0.25">
      <c r="B9" s="5" t="s">
        <v>9</v>
      </c>
      <c r="C9" s="45">
        <v>0.74</v>
      </c>
    </row>
    <row r="10" spans="1:3" ht="15" customHeight="1" x14ac:dyDescent="0.25">
      <c r="B10" s="5" t="s">
        <v>10</v>
      </c>
      <c r="C10" s="45">
        <v>0.44305671691894499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0.59899999999999998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0.11650000000000001</v>
      </c>
    </row>
    <row r="24" spans="1:3" ht="15" customHeight="1" x14ac:dyDescent="0.25">
      <c r="B24" s="15" t="s">
        <v>22</v>
      </c>
      <c r="C24" s="45">
        <v>0.45839999999999997</v>
      </c>
    </row>
    <row r="25" spans="1:3" ht="15" customHeight="1" x14ac:dyDescent="0.25">
      <c r="B25" s="15" t="s">
        <v>23</v>
      </c>
      <c r="C25" s="45">
        <v>0.35239999999999999</v>
      </c>
    </row>
    <row r="26" spans="1:3" ht="15" customHeight="1" x14ac:dyDescent="0.25">
      <c r="B26" s="15" t="s">
        <v>24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0.22859451908270501</v>
      </c>
    </row>
    <row r="30" spans="1:3" ht="14.25" customHeight="1" x14ac:dyDescent="0.25">
      <c r="B30" s="25" t="s">
        <v>27</v>
      </c>
      <c r="C30" s="99">
        <v>6.8320687947238098E-2</v>
      </c>
    </row>
    <row r="31" spans="1:3" ht="14.25" customHeight="1" x14ac:dyDescent="0.25">
      <c r="B31" s="25" t="s">
        <v>28</v>
      </c>
      <c r="C31" s="99">
        <v>0.126664645857306</v>
      </c>
    </row>
    <row r="32" spans="1:3" ht="14.25" customHeight="1" x14ac:dyDescent="0.25">
      <c r="B32" s="25" t="s">
        <v>29</v>
      </c>
      <c r="C32" s="99">
        <v>0.57642014711275102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25.642800000000001</v>
      </c>
    </row>
    <row r="38" spans="1:5" ht="15" customHeight="1" x14ac:dyDescent="0.25">
      <c r="B38" s="11" t="s">
        <v>34</v>
      </c>
      <c r="C38" s="43">
        <v>46.950699999999998</v>
      </c>
      <c r="D38" s="12"/>
      <c r="E38" s="13"/>
    </row>
    <row r="39" spans="1:5" ht="15" customHeight="1" x14ac:dyDescent="0.25">
      <c r="B39" s="11" t="s">
        <v>35</v>
      </c>
      <c r="C39" s="43">
        <v>69.788030000000006</v>
      </c>
      <c r="D39" s="12"/>
      <c r="E39" s="12"/>
    </row>
    <row r="40" spans="1:5" ht="15" customHeight="1" x14ac:dyDescent="0.25">
      <c r="B40" s="11" t="s">
        <v>36</v>
      </c>
      <c r="C40" s="100">
        <v>4.38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7.9480999999999996E-3</v>
      </c>
      <c r="D45" s="12"/>
    </row>
    <row r="46" spans="1:5" ht="15.75" customHeight="1" x14ac:dyDescent="0.25">
      <c r="B46" s="11" t="s">
        <v>41</v>
      </c>
      <c r="C46" s="45">
        <v>8.5401100000000008E-2</v>
      </c>
      <c r="D46" s="12"/>
    </row>
    <row r="47" spans="1:5" ht="15.75" customHeight="1" x14ac:dyDescent="0.25">
      <c r="B47" s="11" t="s">
        <v>42</v>
      </c>
      <c r="C47" s="45">
        <v>7.3442199999999999E-2</v>
      </c>
      <c r="D47" s="12"/>
      <c r="E47" s="13"/>
    </row>
    <row r="48" spans="1:5" ht="15" customHeight="1" x14ac:dyDescent="0.25">
      <c r="B48" s="11" t="s">
        <v>43</v>
      </c>
      <c r="C48" s="46">
        <v>0.83320859999999997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0.45496999999999999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0.11961432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932474.68040000007</v>
      </c>
      <c r="C2" s="49">
        <v>1549000</v>
      </c>
      <c r="D2" s="49">
        <v>2445000</v>
      </c>
      <c r="E2" s="49">
        <v>1850000</v>
      </c>
      <c r="F2" s="49">
        <v>1222000</v>
      </c>
      <c r="G2" s="17">
        <f t="shared" ref="G2:G13" si="0">C2+D2+E2+F2</f>
        <v>7066000</v>
      </c>
      <c r="H2" s="17">
        <f t="shared" ref="H2:H13" si="1">(B2 + stillbirth*B2/(1000-stillbirth))/(1-abortion)</f>
        <v>1080017.1434426736</v>
      </c>
      <c r="I2" s="17">
        <f t="shared" ref="I2:I13" si="2">G2-H2</f>
        <v>5985982.8565573264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942632.73099999991</v>
      </c>
      <c r="C3" s="50">
        <v>1590000</v>
      </c>
      <c r="D3" s="50">
        <v>2516000</v>
      </c>
      <c r="E3" s="50">
        <v>1895000</v>
      </c>
      <c r="F3" s="50">
        <v>1274000</v>
      </c>
      <c r="G3" s="17">
        <f t="shared" si="0"/>
        <v>7275000</v>
      </c>
      <c r="H3" s="17">
        <f t="shared" si="1"/>
        <v>1091782.4696467607</v>
      </c>
      <c r="I3" s="17">
        <f t="shared" si="2"/>
        <v>6183217.5303532388</v>
      </c>
    </row>
    <row r="4" spans="1:9" ht="15.75" customHeight="1" x14ac:dyDescent="0.25">
      <c r="A4" s="5">
        <f t="shared" si="3"/>
        <v>2026</v>
      </c>
      <c r="B4" s="49">
        <v>954405.18079999997</v>
      </c>
      <c r="C4" s="50">
        <v>1628000</v>
      </c>
      <c r="D4" s="50">
        <v>2588000</v>
      </c>
      <c r="E4" s="50">
        <v>1938000</v>
      </c>
      <c r="F4" s="50">
        <v>1328000</v>
      </c>
      <c r="G4" s="17">
        <f t="shared" si="0"/>
        <v>7482000</v>
      </c>
      <c r="H4" s="17">
        <f t="shared" si="1"/>
        <v>1105417.6362325861</v>
      </c>
      <c r="I4" s="17">
        <f t="shared" si="2"/>
        <v>6376582.3637674134</v>
      </c>
    </row>
    <row r="5" spans="1:9" ht="15.75" customHeight="1" x14ac:dyDescent="0.25">
      <c r="A5" s="5">
        <f t="shared" si="3"/>
        <v>2027</v>
      </c>
      <c r="B5" s="49">
        <v>966008.05839999986</v>
      </c>
      <c r="C5" s="50">
        <v>1666000</v>
      </c>
      <c r="D5" s="50">
        <v>2666000</v>
      </c>
      <c r="E5" s="50">
        <v>1979000</v>
      </c>
      <c r="F5" s="50">
        <v>1383000</v>
      </c>
      <c r="G5" s="17">
        <f t="shared" si="0"/>
        <v>7694000</v>
      </c>
      <c r="H5" s="17">
        <f t="shared" si="1"/>
        <v>1118856.3997557859</v>
      </c>
      <c r="I5" s="17">
        <f t="shared" si="2"/>
        <v>6575143.6002442138</v>
      </c>
    </row>
    <row r="6" spans="1:9" ht="15.75" customHeight="1" x14ac:dyDescent="0.25">
      <c r="A6" s="5">
        <f t="shared" si="3"/>
        <v>2028</v>
      </c>
      <c r="B6" s="49">
        <v>977398.3088</v>
      </c>
      <c r="C6" s="50">
        <v>1702000</v>
      </c>
      <c r="D6" s="50">
        <v>2748000</v>
      </c>
      <c r="E6" s="50">
        <v>2022000</v>
      </c>
      <c r="F6" s="50">
        <v>1439000</v>
      </c>
      <c r="G6" s="17">
        <f t="shared" si="0"/>
        <v>7911000</v>
      </c>
      <c r="H6" s="17">
        <f t="shared" si="1"/>
        <v>1132048.8927624894</v>
      </c>
      <c r="I6" s="17">
        <f t="shared" si="2"/>
        <v>6778951.1072375104</v>
      </c>
    </row>
    <row r="7" spans="1:9" ht="15.75" customHeight="1" x14ac:dyDescent="0.25">
      <c r="A7" s="5">
        <f t="shared" si="3"/>
        <v>2029</v>
      </c>
      <c r="B7" s="49">
        <v>988565.00599999994</v>
      </c>
      <c r="C7" s="50">
        <v>1737000</v>
      </c>
      <c r="D7" s="50">
        <v>2831000</v>
      </c>
      <c r="E7" s="50">
        <v>2068000</v>
      </c>
      <c r="F7" s="50">
        <v>1493000</v>
      </c>
      <c r="G7" s="17">
        <f t="shared" si="0"/>
        <v>8129000</v>
      </c>
      <c r="H7" s="17">
        <f t="shared" si="1"/>
        <v>1144982.4604669332</v>
      </c>
      <c r="I7" s="17">
        <f t="shared" si="2"/>
        <v>6984017.5395330666</v>
      </c>
    </row>
    <row r="8" spans="1:9" ht="15.75" customHeight="1" x14ac:dyDescent="0.25">
      <c r="A8" s="5">
        <f t="shared" si="3"/>
        <v>2030</v>
      </c>
      <c r="B8" s="49">
        <v>999557.84</v>
      </c>
      <c r="C8" s="50">
        <v>1770000</v>
      </c>
      <c r="D8" s="50">
        <v>2915000</v>
      </c>
      <c r="E8" s="50">
        <v>2118000</v>
      </c>
      <c r="F8" s="50">
        <v>1546000</v>
      </c>
      <c r="G8" s="17">
        <f t="shared" si="0"/>
        <v>8349000</v>
      </c>
      <c r="H8" s="17">
        <f t="shared" si="1"/>
        <v>1157714.6551576531</v>
      </c>
      <c r="I8" s="17">
        <f t="shared" si="2"/>
        <v>7191285.3448423464</v>
      </c>
    </row>
    <row r="9" spans="1:9" ht="15.75" customHeight="1" x14ac:dyDescent="0.25">
      <c r="A9" s="5">
        <f t="shared" si="3"/>
        <v>2031</v>
      </c>
      <c r="B9" s="49">
        <v>1009141.148514286</v>
      </c>
      <c r="C9" s="50">
        <v>1801571.4285714291</v>
      </c>
      <c r="D9" s="50">
        <v>2982142.8571428568</v>
      </c>
      <c r="E9" s="50">
        <v>2156285.7142857141</v>
      </c>
      <c r="F9" s="50">
        <v>1592285.7142857141</v>
      </c>
      <c r="G9" s="17">
        <f t="shared" si="0"/>
        <v>8532285.7142857146</v>
      </c>
      <c r="H9" s="17">
        <f t="shared" si="1"/>
        <v>1168814.2996883648</v>
      </c>
      <c r="I9" s="17">
        <f t="shared" si="2"/>
        <v>7363471.4145973492</v>
      </c>
    </row>
    <row r="10" spans="1:9" ht="15.75" customHeight="1" x14ac:dyDescent="0.25">
      <c r="A10" s="5">
        <f t="shared" si="3"/>
        <v>2032</v>
      </c>
      <c r="B10" s="49">
        <v>1018642.351016326</v>
      </c>
      <c r="C10" s="50">
        <v>1831795.918367347</v>
      </c>
      <c r="D10" s="50">
        <v>3048734.6938775508</v>
      </c>
      <c r="E10" s="50">
        <v>2193612.2448979588</v>
      </c>
      <c r="F10" s="50">
        <v>1637755.1020408161</v>
      </c>
      <c r="G10" s="17">
        <f t="shared" si="0"/>
        <v>8711897.9591836724</v>
      </c>
      <c r="H10" s="17">
        <f t="shared" si="1"/>
        <v>1179818.8468371646</v>
      </c>
      <c r="I10" s="17">
        <f t="shared" si="2"/>
        <v>7532079.1123465076</v>
      </c>
    </row>
    <row r="11" spans="1:9" ht="15.75" customHeight="1" x14ac:dyDescent="0.25">
      <c r="A11" s="5">
        <f t="shared" si="3"/>
        <v>2033</v>
      </c>
      <c r="B11" s="49">
        <v>1027819.089618659</v>
      </c>
      <c r="C11" s="50">
        <v>1860909.620991254</v>
      </c>
      <c r="D11" s="50">
        <v>3114553.9358600592</v>
      </c>
      <c r="E11" s="50">
        <v>2230128.279883381</v>
      </c>
      <c r="F11" s="50">
        <v>1682005.83090379</v>
      </c>
      <c r="G11" s="17">
        <f t="shared" si="0"/>
        <v>8887597.6676384844</v>
      </c>
      <c r="H11" s="17">
        <f t="shared" si="1"/>
        <v>1190447.5912092479</v>
      </c>
      <c r="I11" s="17">
        <f t="shared" si="2"/>
        <v>7697150.0764292367</v>
      </c>
    </row>
    <row r="12" spans="1:9" ht="15.75" customHeight="1" x14ac:dyDescent="0.25">
      <c r="A12" s="5">
        <f t="shared" si="3"/>
        <v>2034</v>
      </c>
      <c r="B12" s="49">
        <v>1036649.23693561</v>
      </c>
      <c r="C12" s="50">
        <v>1888753.8525614331</v>
      </c>
      <c r="D12" s="50">
        <v>3178633.0695543531</v>
      </c>
      <c r="E12" s="50">
        <v>2266003.7484381502</v>
      </c>
      <c r="F12" s="50">
        <v>1724720.949604332</v>
      </c>
      <c r="G12" s="17">
        <f t="shared" si="0"/>
        <v>9058111.6201582681</v>
      </c>
      <c r="H12" s="17">
        <f t="shared" si="1"/>
        <v>1200674.9042740278</v>
      </c>
      <c r="I12" s="17">
        <f t="shared" si="2"/>
        <v>7857436.7158842403</v>
      </c>
    </row>
    <row r="13" spans="1:9" ht="15.75" customHeight="1" x14ac:dyDescent="0.25">
      <c r="A13" s="5">
        <f t="shared" si="3"/>
        <v>2035</v>
      </c>
      <c r="B13" s="49">
        <v>1045113.655240697</v>
      </c>
      <c r="C13" s="50">
        <v>1915432.974355923</v>
      </c>
      <c r="D13" s="50">
        <v>3240152.0794906891</v>
      </c>
      <c r="E13" s="50">
        <v>2300861.4267864572</v>
      </c>
      <c r="F13" s="50">
        <v>1765538.228119236</v>
      </c>
      <c r="G13" s="17">
        <f t="shared" si="0"/>
        <v>9221984.7087523062</v>
      </c>
      <c r="H13" s="17">
        <f t="shared" si="1"/>
        <v>1210478.6202042475</v>
      </c>
      <c r="I13" s="17">
        <f t="shared" si="2"/>
        <v>8011506.0885480586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1.143080228616046E-2</v>
      </c>
    </row>
    <row r="4" spans="1:8" ht="15.75" customHeight="1" x14ac:dyDescent="0.25">
      <c r="B4" s="19" t="s">
        <v>69</v>
      </c>
      <c r="C4" s="101">
        <v>6.6053313210662781E-2</v>
      </c>
    </row>
    <row r="5" spans="1:8" ht="15.75" customHeight="1" x14ac:dyDescent="0.25">
      <c r="B5" s="19" t="s">
        <v>70</v>
      </c>
      <c r="C5" s="101">
        <v>9.1041518208303807E-2</v>
      </c>
    </row>
    <row r="6" spans="1:8" ht="15.75" customHeight="1" x14ac:dyDescent="0.25">
      <c r="B6" s="19" t="s">
        <v>71</v>
      </c>
      <c r="C6" s="101">
        <v>0.2565140513028103</v>
      </c>
    </row>
    <row r="7" spans="1:8" ht="15.75" customHeight="1" x14ac:dyDescent="0.25">
      <c r="B7" s="19" t="s">
        <v>72</v>
      </c>
      <c r="C7" s="101">
        <v>0.39185437837087522</v>
      </c>
    </row>
    <row r="8" spans="1:8" ht="15.75" customHeight="1" x14ac:dyDescent="0.25">
      <c r="B8" s="19" t="s">
        <v>73</v>
      </c>
      <c r="C8" s="101">
        <v>2.516000503200104E-3</v>
      </c>
    </row>
    <row r="9" spans="1:8" ht="15.75" customHeight="1" x14ac:dyDescent="0.25">
      <c r="B9" s="19" t="s">
        <v>74</v>
      </c>
      <c r="C9" s="101">
        <v>6.3182812636562474E-2</v>
      </c>
    </row>
    <row r="10" spans="1:8" ht="15.75" customHeight="1" x14ac:dyDescent="0.25">
      <c r="B10" s="19" t="s">
        <v>75</v>
      </c>
      <c r="C10" s="101">
        <v>0.1174071234814246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82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83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84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85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86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87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88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89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0.103690241</v>
      </c>
    </row>
    <row r="27" spans="1:8" ht="15.75" customHeight="1" x14ac:dyDescent="0.25">
      <c r="B27" s="19" t="s">
        <v>92</v>
      </c>
      <c r="C27" s="101">
        <v>9.3634809999999999E-3</v>
      </c>
    </row>
    <row r="28" spans="1:8" ht="15.75" customHeight="1" x14ac:dyDescent="0.25">
      <c r="B28" s="19" t="s">
        <v>93</v>
      </c>
      <c r="C28" s="101">
        <v>0.116756885</v>
      </c>
    </row>
    <row r="29" spans="1:8" ht="15.75" customHeight="1" x14ac:dyDescent="0.25">
      <c r="B29" s="19" t="s">
        <v>94</v>
      </c>
      <c r="C29" s="101">
        <v>0.15363832899999999</v>
      </c>
    </row>
    <row r="30" spans="1:8" ht="15.75" customHeight="1" x14ac:dyDescent="0.25">
      <c r="B30" s="19" t="s">
        <v>95</v>
      </c>
      <c r="C30" s="101">
        <v>0.13426711399999999</v>
      </c>
    </row>
    <row r="31" spans="1:8" ht="15.75" customHeight="1" x14ac:dyDescent="0.25">
      <c r="B31" s="19" t="s">
        <v>96</v>
      </c>
      <c r="C31" s="101">
        <v>6.5823823000000004E-2</v>
      </c>
    </row>
    <row r="32" spans="1:8" ht="15.75" customHeight="1" x14ac:dyDescent="0.25">
      <c r="B32" s="19" t="s">
        <v>97</v>
      </c>
      <c r="C32" s="101">
        <v>6.84434E-3</v>
      </c>
    </row>
    <row r="33" spans="2:3" ht="15.75" customHeight="1" x14ac:dyDescent="0.25">
      <c r="B33" s="19" t="s">
        <v>98</v>
      </c>
      <c r="C33" s="101">
        <v>0.192122402</v>
      </c>
    </row>
    <row r="34" spans="2:3" ht="15.75" customHeight="1" x14ac:dyDescent="0.25">
      <c r="B34" s="19" t="s">
        <v>99</v>
      </c>
      <c r="C34" s="101">
        <v>0.21749338600000001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104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105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109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110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122</v>
      </c>
      <c r="C5" s="52">
        <v>7.6393799999999998E-2</v>
      </c>
      <c r="D5" s="52">
        <v>8.0325799999999989E-2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0.48636659620772599</v>
      </c>
      <c r="C2" s="98">
        <v>0.95</v>
      </c>
      <c r="D2" s="56">
        <v>40.364147140219387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39.484184482679296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137.4514172418211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0.29705202383888901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12.61648392647521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12.61648392647521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12.61648392647521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12.61648392647521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12.61648392647521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12.61648392647521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0.6810218812589881</v>
      </c>
      <c r="C16" s="98">
        <v>0.95</v>
      </c>
      <c r="D16" s="56">
        <v>0.3232422749080891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3.252104381193762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3.252104381193762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0.65054450000000008</v>
      </c>
      <c r="C21" s="98">
        <v>0.95</v>
      </c>
      <c r="D21" s="56">
        <v>2.861030426392877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21.56455166502997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4.2243700000000002E-2</v>
      </c>
      <c r="C23" s="98">
        <v>0.95</v>
      </c>
      <c r="D23" s="56">
        <v>4.0320279639007426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0.56262922834778106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0.49580504478728898</v>
      </c>
      <c r="C27" s="98">
        <v>0.95</v>
      </c>
      <c r="D27" s="56">
        <v>18.17825495848718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0.17947630000000001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73.329717310870137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0.1133</v>
      </c>
      <c r="C31" s="98">
        <v>0.95</v>
      </c>
      <c r="D31" s="56">
        <v>0.86324334465165042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0.36904480000000001</v>
      </c>
      <c r="C32" s="98">
        <v>0.95</v>
      </c>
      <c r="D32" s="56">
        <v>0.65336917399036021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0.43119160000000001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0.2055438</v>
      </c>
      <c r="C38" s="98">
        <v>0.95</v>
      </c>
      <c r="D38" s="56">
        <v>5.3958083837356767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0.19769629999999999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205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0.23799999999999999</v>
      </c>
      <c r="E2" s="60">
        <f>food_insecure</f>
        <v>0.23799999999999999</v>
      </c>
      <c r="F2" s="60">
        <f>food_insecure</f>
        <v>0.23799999999999999</v>
      </c>
      <c r="G2" s="60">
        <f>food_insecure</f>
        <v>0.23799999999999999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0.23799999999999999</v>
      </c>
      <c r="F5" s="60">
        <f>food_insecure</f>
        <v>0.23799999999999999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0.23799999999999999</v>
      </c>
      <c r="F8" s="60">
        <f>food_insecure</f>
        <v>0.23799999999999999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0.23799999999999999</v>
      </c>
      <c r="F9" s="60">
        <f>food_insecure</f>
        <v>0.23799999999999999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0.23799999999999999</v>
      </c>
      <c r="I15" s="60">
        <f>food_insecure</f>
        <v>0.23799999999999999</v>
      </c>
      <c r="J15" s="60">
        <f>food_insecure</f>
        <v>0.23799999999999999</v>
      </c>
      <c r="K15" s="60">
        <f>food_insecure</f>
        <v>0.23799999999999999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0.59899999999999998</v>
      </c>
      <c r="M24" s="60">
        <f>famplan_unmet_need</f>
        <v>0.59899999999999998</v>
      </c>
      <c r="N24" s="60">
        <f>famplan_unmet_need</f>
        <v>0.59899999999999998</v>
      </c>
      <c r="O24" s="60">
        <f>famplan_unmet_need</f>
        <v>0.59899999999999998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0.30073823399810806</v>
      </c>
      <c r="M25" s="60">
        <f>(1-food_insecure)*(0.49)+food_insecure*(0.7)</f>
        <v>0.5399799999999999</v>
      </c>
      <c r="N25" s="60">
        <f>(1-food_insecure)*(0.49)+food_insecure*(0.7)</f>
        <v>0.5399799999999999</v>
      </c>
      <c r="O25" s="60">
        <f>(1-food_insecure)*(0.49)+food_insecure*(0.7)</f>
        <v>0.5399799999999999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0.12888781457061774</v>
      </c>
      <c r="M26" s="60">
        <f>(1-food_insecure)*(0.21)+food_insecure*(0.3)</f>
        <v>0.23141999999999999</v>
      </c>
      <c r="N26" s="60">
        <f>(1-food_insecure)*(0.21)+food_insecure*(0.3)</f>
        <v>0.23141999999999999</v>
      </c>
      <c r="O26" s="60">
        <f>(1-food_insecure)*(0.21)+food_insecure*(0.3)</f>
        <v>0.23141999999999999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0.12731723451232918</v>
      </c>
      <c r="M27" s="60">
        <f>(1-food_insecure)*(0.3)</f>
        <v>0.2286</v>
      </c>
      <c r="N27" s="60">
        <f>(1-food_insecure)*(0.3)</f>
        <v>0.2286</v>
      </c>
      <c r="O27" s="60">
        <f>(1-food_insecure)*(0.3)</f>
        <v>0.2286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0.44305671691894499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0.74</v>
      </c>
      <c r="D34" s="60">
        <f t="shared" si="3"/>
        <v>0.74</v>
      </c>
      <c r="E34" s="60">
        <f t="shared" si="3"/>
        <v>0.74</v>
      </c>
      <c r="F34" s="60">
        <f t="shared" si="3"/>
        <v>0.74</v>
      </c>
      <c r="G34" s="60">
        <f t="shared" si="3"/>
        <v>0.74</v>
      </c>
      <c r="H34" s="60">
        <f t="shared" si="3"/>
        <v>0.74</v>
      </c>
      <c r="I34" s="60">
        <f t="shared" si="3"/>
        <v>0.74</v>
      </c>
      <c r="J34" s="60">
        <f t="shared" si="3"/>
        <v>0.74</v>
      </c>
      <c r="K34" s="60">
        <f t="shared" si="3"/>
        <v>0.74</v>
      </c>
      <c r="L34" s="60">
        <f t="shared" si="3"/>
        <v>0.74</v>
      </c>
      <c r="M34" s="60">
        <f t="shared" si="3"/>
        <v>0.74</v>
      </c>
      <c r="N34" s="60">
        <f t="shared" si="3"/>
        <v>0.74</v>
      </c>
      <c r="O34" s="60">
        <f t="shared" si="3"/>
        <v>0.74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0.87230238794534543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2024-03-28T03:03:48Z</dcterms:modified>
</cp:coreProperties>
</file>