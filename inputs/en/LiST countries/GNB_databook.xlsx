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C9FC602-0438-49AE-B235-AA7318E20F5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6" i="2"/>
  <c r="A33" i="2"/>
  <c r="A32" i="2"/>
  <c r="A29" i="2"/>
  <c r="A28" i="2"/>
  <c r="A25" i="2"/>
  <c r="A24" i="2"/>
  <c r="A21" i="2"/>
  <c r="A20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1" i="2" s="1"/>
  <c r="C33" i="1"/>
  <c r="C20" i="1"/>
  <c r="A18" i="2" l="1"/>
  <c r="A26" i="2"/>
  <c r="A34" i="2"/>
  <c r="A39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<sst xmlns="http://schemas.openxmlformats.org/spreadsheetml/2006/main" count="2103" uniqueCount="341">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</sst>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304521.15234375</v>
      </c>
    </row>
    <row r="8" spans="1:3" ht="15" customHeight="1" x14ac:dyDescent="0.25">
      <c r="B8" s="5" t="s">
        <v>8</v>
      </c>
      <c r="C8" s="44">
        <v>0.67099999999999993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9.4700000000000006E-2</v>
      </c>
    </row>
    <row r="24" spans="1:3" ht="15" customHeight="1" x14ac:dyDescent="0.25">
      <c r="B24" s="15" t="s">
        <v>22</v>
      </c>
      <c r="C24" s="45">
        <v>0.47560000000000002</v>
      </c>
    </row>
    <row r="25" spans="1:3" ht="15" customHeight="1" x14ac:dyDescent="0.25">
      <c r="B25" s="15" t="s">
        <v>23</v>
      </c>
      <c r="C25" s="45">
        <v>0.35120000000000001</v>
      </c>
    </row>
    <row r="26" spans="1:3" ht="15" customHeight="1" x14ac:dyDescent="0.25">
      <c r="B26" s="15" t="s">
        <v>24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34.303510000000003</v>
      </c>
    </row>
    <row r="38" spans="1:5" ht="15" customHeight="1" x14ac:dyDescent="0.25">
      <c r="B38" s="11" t="s">
        <v>34</v>
      </c>
      <c r="C38" s="43">
        <v>49.96163</v>
      </c>
      <c r="D38" s="12"/>
      <c r="E38" s="13"/>
    </row>
    <row r="39" spans="1:5" ht="15" customHeight="1" x14ac:dyDescent="0.25">
      <c r="B39" s="11" t="s">
        <v>35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100">
        <v>7.25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7.9141000000000003E-3</v>
      </c>
      <c r="D45" s="12"/>
    </row>
    <row r="46" spans="1:5" ht="15.75" customHeight="1" x14ac:dyDescent="0.25">
      <c r="B46" s="11" t="s">
        <v>41</v>
      </c>
      <c r="C46" s="45">
        <v>8.5036E-2</v>
      </c>
      <c r="D46" s="12"/>
    </row>
    <row r="47" spans="1:5" ht="15.75" customHeight="1" x14ac:dyDescent="0.25">
      <c r="B47" s="11" t="s">
        <v>42</v>
      </c>
      <c r="C47" s="45">
        <v>7.3474499999999998E-2</v>
      </c>
      <c r="D47" s="12"/>
      <c r="E47" s="13"/>
    </row>
    <row r="48" spans="1:5" ht="15" customHeight="1" x14ac:dyDescent="0.25">
      <c r="B48" s="11" t="s">
        <v>43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0.44195400000000001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2.2703597729640201E-2</v>
      </c>
    </row>
    <row r="4" spans="1:8" ht="15.75" customHeight="1" x14ac:dyDescent="0.25">
      <c r="B4" s="19" t="s">
        <v>69</v>
      </c>
      <c r="C4" s="101">
        <v>6.8627193137280607E-2</v>
      </c>
    </row>
    <row r="5" spans="1:8" ht="15.75" customHeight="1" x14ac:dyDescent="0.25">
      <c r="B5" s="19" t="s">
        <v>70</v>
      </c>
      <c r="C5" s="101">
        <v>0.107747889225211</v>
      </c>
    </row>
    <row r="6" spans="1:8" ht="15.75" customHeight="1" x14ac:dyDescent="0.25">
      <c r="B6" s="19" t="s">
        <v>71</v>
      </c>
      <c r="C6" s="101">
        <v>0.25067987493201233</v>
      </c>
    </row>
    <row r="7" spans="1:8" ht="15.75" customHeight="1" x14ac:dyDescent="0.25">
      <c r="B7" s="19" t="s">
        <v>72</v>
      </c>
      <c r="C7" s="101">
        <v>0.38467066153293428</v>
      </c>
    </row>
    <row r="8" spans="1:8" ht="15.75" customHeight="1" x14ac:dyDescent="0.25">
      <c r="B8" s="19" t="s">
        <v>73</v>
      </c>
      <c r="C8" s="101">
        <v>3.6380996361900331E-3</v>
      </c>
    </row>
    <row r="9" spans="1:8" ht="15.75" customHeight="1" x14ac:dyDescent="0.25">
      <c r="B9" s="19" t="s">
        <v>74</v>
      </c>
      <c r="C9" s="101">
        <v>4.9439595056040453E-2</v>
      </c>
    </row>
    <row r="10" spans="1:8" ht="15.75" customHeight="1" x14ac:dyDescent="0.25">
      <c r="B10" s="19" t="s">
        <v>75</v>
      </c>
      <c r="C10" s="101">
        <v>0.1124930887506911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82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83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84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85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86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87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88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89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8.7170950000000011E-2</v>
      </c>
    </row>
    <row r="27" spans="1:8" ht="15.75" customHeight="1" x14ac:dyDescent="0.25">
      <c r="B27" s="19" t="s">
        <v>92</v>
      </c>
      <c r="C27" s="101">
        <v>8.9932480000000006E-3</v>
      </c>
    </row>
    <row r="28" spans="1:8" ht="15.75" customHeight="1" x14ac:dyDescent="0.25">
      <c r="B28" s="19" t="s">
        <v>93</v>
      </c>
      <c r="C28" s="101">
        <v>0.15608702499999999</v>
      </c>
    </row>
    <row r="29" spans="1:8" ht="15.75" customHeight="1" x14ac:dyDescent="0.25">
      <c r="B29" s="19" t="s">
        <v>94</v>
      </c>
      <c r="C29" s="101">
        <v>0.16826559799999999</v>
      </c>
    </row>
    <row r="30" spans="1:8" ht="15.75" customHeight="1" x14ac:dyDescent="0.25">
      <c r="B30" s="19" t="s">
        <v>95</v>
      </c>
      <c r="C30" s="101">
        <v>0.106258319</v>
      </c>
    </row>
    <row r="31" spans="1:8" ht="15.75" customHeight="1" x14ac:dyDescent="0.25">
      <c r="B31" s="19" t="s">
        <v>96</v>
      </c>
      <c r="C31" s="101">
        <v>0.11025383499999999</v>
      </c>
    </row>
    <row r="32" spans="1:8" ht="15.75" customHeight="1" x14ac:dyDescent="0.25">
      <c r="B32" s="19" t="s">
        <v>97</v>
      </c>
      <c r="C32" s="101">
        <v>1.8920856E-2</v>
      </c>
    </row>
    <row r="33" spans="2:3" ht="15.75" customHeight="1" x14ac:dyDescent="0.25">
      <c r="B33" s="19" t="s">
        <v>98</v>
      </c>
      <c r="C33" s="101">
        <v>8.4360093999999997E-2</v>
      </c>
    </row>
    <row r="34" spans="2:3" ht="15.75" customHeight="1" x14ac:dyDescent="0.25">
      <c r="B34" s="19" t="s">
        <v>99</v>
      </c>
      <c r="C34" s="101">
        <v>0.25969007599999999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104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122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35.689233383193283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47.382446889693739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64.159596471670312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0.24803417483777829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15.04169622018882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15.04169622018882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15.04169622018882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15.04169622018882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15.04169622018882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15.04169622018882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0.94460179999999994</v>
      </c>
      <c r="C16" s="98">
        <v>0.95</v>
      </c>
      <c r="D16" s="56">
        <v>0.2442892100584034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0.57174320000000001</v>
      </c>
      <c r="C18" s="98">
        <v>0.95</v>
      </c>
      <c r="D18" s="56">
        <v>1.584524665800485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0.57174320000000001</v>
      </c>
      <c r="C19" s="98">
        <v>0.95</v>
      </c>
      <c r="D19" s="56">
        <v>1.584524665800485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2.2607379783053059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25.63150323579427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0.96602919999999992</v>
      </c>
      <c r="C23" s="98">
        <v>0.95</v>
      </c>
      <c r="D23" s="56">
        <v>4.9266956385450174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0.27148055616163802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21.753258409153641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0.2996625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8.0891400000000002E-2</v>
      </c>
      <c r="C29" s="98">
        <v>0.95</v>
      </c>
      <c r="D29" s="56">
        <v>62.659928701621617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2.7E-2</v>
      </c>
      <c r="C31" s="98">
        <v>0.95</v>
      </c>
      <c r="D31" s="56">
        <v>0.91267686391518921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0.46063596943431279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0.19689090000000001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0.77036389999999999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4.0261999999999997E-3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0.47813240000000001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0.34075339999999998</v>
      </c>
      <c r="C38" s="98">
        <v>0.95</v>
      </c>
      <c r="D38" s="56">
        <v>4.0683420963409054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205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0.108665219927498</v>
      </c>
      <c r="G18" s="90">
        <f>MIN(MAX(1-0.89/(1-frac_sam_12_23months+(frac_sam_12_23months*0.89)),0),1)</f>
        <v>0.10839265843141666</v>
      </c>
      <c r="H18" s="90">
        <f>MIN(MAX(1-0.89/(1-frac_sam_24_59months+(frac_sam_24_59months*0.89)),0),1)</f>
        <v>0.10933360518473201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0.10496375366182087</v>
      </c>
      <c r="G20" s="90">
        <f>MIN(MAX(1-0.89/(1-frac_mam_12_23months+(frac_mam_12_23months*0.89)),0),1)</f>
        <v>0.10522230586930303</v>
      </c>
      <c r="H20" s="90">
        <f>MIN(MAX(1-0.89/(1-frac_mam_24_59months+(frac_mam_24_59months*0.89)),0),1)</f>
        <v>0.10621682406775879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9.8652060195519864E-3</v>
      </c>
      <c r="G73" s="90">
        <f>MIN(MAX(1-0.99/(1-frac_sam_12_23months+(frac_sam_12_23months*0.99)),0),1)</f>
        <v>9.8377262656068609E-3</v>
      </c>
      <c r="H73" s="90">
        <f>MIN(MAX(1-0.99/(1-frac_sam_24_59months+(frac_sam_24_59months*0.99)),0),1)</f>
        <v>9.9326575995045685E-3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9.4933231480699432E-3</v>
      </c>
      <c r="G75" s="90">
        <f>MIN(MAX(1-0.99/(1-frac_mam_12_23months+(frac_mam_12_23months*0.99)),0),1)</f>
        <v>9.5192087381520407E-3</v>
      </c>
      <c r="H75" s="90">
        <f>MIN(MAX(1-0.99/(1-frac_mam_24_59months+(frac_mam_24_59months*0.99)),0),1)</f>
        <v>9.6189043255276996E-3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0.1978158611578088</v>
      </c>
      <c r="G128" s="90">
        <f>MIN(MAX(1-0.8/(1-frac_sam_12_23months+(frac_sam_12_23months*0.8)),0),1)</f>
        <v>0.19736920097742772</v>
      </c>
      <c r="H128" s="90">
        <f>MIN(MAX(1-0.8/(1-frac_sam_24_59months+(frac_sam_24_59months*0.8)),0),1)</f>
        <v>0.19891022951982962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0.19173087337702333</v>
      </c>
      <c r="G130" s="90">
        <f>MIN(MAX(1-0.8/(1-frac_mam_12_23months+(frac_mam_12_23months*0.8)),0),1)</f>
        <v>0.19215726888407114</v>
      </c>
      <c r="H130" s="90">
        <f>MIN(MAX(1-0.8/(1-frac_mam_24_59months+(frac_mam_24_59months*0.8)),0),1)</f>
        <v>0.19379549852894884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2024-06-18T06:55:26Z</dcterms:modified>
</cp:coreProperties>
</file>