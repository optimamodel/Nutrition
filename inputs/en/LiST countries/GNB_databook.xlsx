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6EA2245-2918-4A3B-ADF1-C220BAA8B2DA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4" i="2"/>
  <c r="A33" i="2"/>
  <c r="A32" i="2"/>
  <c r="A31" i="2"/>
  <c r="A28" i="2"/>
  <c r="A26" i="2"/>
  <c r="A25" i="2"/>
  <c r="A24" i="2"/>
  <c r="A23" i="2"/>
  <c r="A20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9" i="2" l="1"/>
  <c r="A27" i="2"/>
  <c r="A35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<sst xmlns="http://schemas.openxmlformats.org/spreadsheetml/2006/main" count="2101" uniqueCount="341">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</sst>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304521.15234375</v>
      </c>
    </row>
    <row r="8" spans="1:3" ht="15" customHeight="1" x14ac:dyDescent="0.25">
      <c r="B8" s="5" t="s">
        <v>8</v>
      </c>
      <c r="C8" s="44">
        <v>0.67099999999999993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9.4700000000000006E-2</v>
      </c>
    </row>
    <row r="24" spans="1:3" ht="15" customHeight="1" x14ac:dyDescent="0.25">
      <c r="B24" s="15" t="s">
        <v>22</v>
      </c>
      <c r="C24" s="45">
        <v>0.47560000000000002</v>
      </c>
    </row>
    <row r="25" spans="1:3" ht="15" customHeight="1" x14ac:dyDescent="0.25">
      <c r="B25" s="15" t="s">
        <v>23</v>
      </c>
      <c r="C25" s="45">
        <v>0.35120000000000001</v>
      </c>
    </row>
    <row r="26" spans="1:3" ht="15" customHeight="1" x14ac:dyDescent="0.25">
      <c r="B26" s="15" t="s">
        <v>24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34.303510000000003</v>
      </c>
    </row>
    <row r="38" spans="1:5" ht="15" customHeight="1" x14ac:dyDescent="0.25">
      <c r="B38" s="11" t="s">
        <v>34</v>
      </c>
      <c r="C38" s="43">
        <v>49.96163</v>
      </c>
      <c r="D38" s="12"/>
      <c r="E38" s="13"/>
    </row>
    <row r="39" spans="1:5" ht="15" customHeight="1" x14ac:dyDescent="0.25">
      <c r="B39" s="11" t="s">
        <v>35</v>
      </c>
      <c r="C39" s="43">
        <v>74.305310000000006</v>
      </c>
      <c r="D39" s="12"/>
      <c r="E39" s="12"/>
    </row>
    <row r="40" spans="1:5" ht="15" customHeight="1" x14ac:dyDescent="0.25">
      <c r="B40" s="11" t="s">
        <v>36</v>
      </c>
      <c r="C40" s="100">
        <v>7.25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7.9141000000000003E-3</v>
      </c>
      <c r="D45" s="12"/>
    </row>
    <row r="46" spans="1:5" ht="15.75" customHeight="1" x14ac:dyDescent="0.25">
      <c r="B46" s="11" t="s">
        <v>41</v>
      </c>
      <c r="C46" s="45">
        <v>8.5036E-2</v>
      </c>
      <c r="D46" s="12"/>
    </row>
    <row r="47" spans="1:5" ht="15.75" customHeight="1" x14ac:dyDescent="0.25">
      <c r="B47" s="11" t="s">
        <v>42</v>
      </c>
      <c r="C47" s="45">
        <v>7.3474499999999998E-2</v>
      </c>
      <c r="D47" s="12"/>
      <c r="E47" s="13"/>
    </row>
    <row r="48" spans="1:5" ht="15" customHeight="1" x14ac:dyDescent="0.25">
      <c r="B48" s="11" t="s">
        <v>43</v>
      </c>
      <c r="C48" s="46">
        <v>0.83357539999999997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0.44195400000000001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65299.000000000007</v>
      </c>
      <c r="C2" s="49">
        <v>146800</v>
      </c>
      <c r="D2" s="49">
        <v>193207</v>
      </c>
      <c r="E2" s="49">
        <v>143607.5</v>
      </c>
      <c r="F2" s="49">
        <v>93350.5</v>
      </c>
      <c r="G2" s="17">
        <f t="shared" ref="G2:G13" si="0">C2+D2+E2+F2</f>
        <v>576965</v>
      </c>
      <c r="H2" s="17">
        <f t="shared" ref="H2:H13" si="1">(B2 + stillbirth*B2/(1000-stillbirth))/(1-abortion)</f>
        <v>76593.711952282683</v>
      </c>
      <c r="I2" s="17">
        <f t="shared" ref="I2:I13" si="2">G2-H2</f>
        <v>500371.2880477173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65981</v>
      </c>
      <c r="C3" s="50">
        <v>149891.5</v>
      </c>
      <c r="D3" s="50">
        <v>198809</v>
      </c>
      <c r="E3" s="50">
        <v>146623.5</v>
      </c>
      <c r="F3" s="50">
        <v>96554</v>
      </c>
      <c r="G3" s="17">
        <f t="shared" si="0"/>
        <v>591878</v>
      </c>
      <c r="H3" s="17">
        <f t="shared" si="1"/>
        <v>77393.676906592169</v>
      </c>
      <c r="I3" s="17">
        <f t="shared" si="2"/>
        <v>514484.32309340785</v>
      </c>
    </row>
    <row r="4" spans="1:9" ht="15.75" customHeight="1" x14ac:dyDescent="0.25">
      <c r="A4" s="5">
        <f t="shared" si="3"/>
        <v>2026</v>
      </c>
      <c r="B4" s="49">
        <v>66446</v>
      </c>
      <c r="C4" s="50">
        <v>153045.5</v>
      </c>
      <c r="D4" s="50">
        <v>204581</v>
      </c>
      <c r="E4" s="50">
        <v>149845</v>
      </c>
      <c r="F4" s="50">
        <v>99638</v>
      </c>
      <c r="G4" s="17">
        <f t="shared" si="0"/>
        <v>607109.5</v>
      </c>
      <c r="H4" s="17">
        <f t="shared" si="1"/>
        <v>77939.107557257754</v>
      </c>
      <c r="I4" s="17">
        <f t="shared" si="2"/>
        <v>529170.39244274225</v>
      </c>
    </row>
    <row r="5" spans="1:9" ht="15.75" customHeight="1" x14ac:dyDescent="0.25">
      <c r="A5" s="5">
        <f t="shared" si="3"/>
        <v>2027</v>
      </c>
      <c r="B5" s="49">
        <v>67017</v>
      </c>
      <c r="C5" s="50">
        <v>156053.5</v>
      </c>
      <c r="D5" s="50">
        <v>210539.5</v>
      </c>
      <c r="E5" s="50">
        <v>153353</v>
      </c>
      <c r="F5" s="50">
        <v>102656</v>
      </c>
      <c r="G5" s="17">
        <f t="shared" si="0"/>
        <v>622602</v>
      </c>
      <c r="H5" s="17">
        <f t="shared" si="1"/>
        <v>78608.872936892265</v>
      </c>
      <c r="I5" s="17">
        <f t="shared" si="2"/>
        <v>543993.12706310768</v>
      </c>
    </row>
    <row r="6" spans="1:9" ht="15.75" customHeight="1" x14ac:dyDescent="0.25">
      <c r="A6" s="5">
        <f t="shared" si="3"/>
        <v>2028</v>
      </c>
      <c r="B6" s="49">
        <v>67699</v>
      </c>
      <c r="C6" s="50">
        <v>158831.5</v>
      </c>
      <c r="D6" s="50">
        <v>216509</v>
      </c>
      <c r="E6" s="50">
        <v>157153</v>
      </c>
      <c r="F6" s="50">
        <v>105768</v>
      </c>
      <c r="G6" s="17">
        <f t="shared" si="0"/>
        <v>638261.5</v>
      </c>
      <c r="H6" s="17">
        <f t="shared" si="1"/>
        <v>79408.837891201765</v>
      </c>
      <c r="I6" s="17">
        <f t="shared" si="2"/>
        <v>558852.66210879828</v>
      </c>
    </row>
    <row r="7" spans="1:9" ht="15.75" customHeight="1" x14ac:dyDescent="0.25">
      <c r="A7" s="5">
        <f t="shared" si="3"/>
        <v>2029</v>
      </c>
      <c r="B7" s="49">
        <v>68210</v>
      </c>
      <c r="C7" s="50">
        <v>161417</v>
      </c>
      <c r="D7" s="50">
        <v>222276.5</v>
      </c>
      <c r="E7" s="50">
        <v>161210.5</v>
      </c>
      <c r="F7" s="50">
        <v>108824.5</v>
      </c>
      <c r="G7" s="17">
        <f t="shared" si="0"/>
        <v>653728.5</v>
      </c>
      <c r="H7" s="17">
        <f t="shared" si="1"/>
        <v>80008.225122363292</v>
      </c>
      <c r="I7" s="17">
        <f t="shared" si="2"/>
        <v>573720.27487763669</v>
      </c>
    </row>
    <row r="8" spans="1:9" ht="15.75" customHeight="1" x14ac:dyDescent="0.25">
      <c r="A8" s="5">
        <f t="shared" si="3"/>
        <v>2030</v>
      </c>
      <c r="B8" s="49">
        <v>68811</v>
      </c>
      <c r="C8" s="50">
        <v>163706.5</v>
      </c>
      <c r="D8" s="50">
        <v>227856.5</v>
      </c>
      <c r="E8" s="50">
        <v>165687</v>
      </c>
      <c r="F8" s="50">
        <v>111570</v>
      </c>
      <c r="G8" s="17">
        <f t="shared" si="0"/>
        <v>668820</v>
      </c>
      <c r="H8" s="17">
        <f t="shared" si="1"/>
        <v>80713.179576234295</v>
      </c>
      <c r="I8" s="17">
        <f t="shared" si="2"/>
        <v>588106.82042376569</v>
      </c>
    </row>
    <row r="9" spans="1:9" ht="15.75" customHeight="1" x14ac:dyDescent="0.25">
      <c r="A9" s="5">
        <f t="shared" si="3"/>
        <v>2031</v>
      </c>
      <c r="B9" s="49">
        <v>69216</v>
      </c>
      <c r="C9" s="50">
        <v>165285.5</v>
      </c>
      <c r="D9" s="50">
        <v>233490.5</v>
      </c>
      <c r="E9" s="50">
        <v>170560</v>
      </c>
      <c r="F9" s="50">
        <v>113942.5</v>
      </c>
      <c r="G9" s="17">
        <f t="shared" si="0"/>
        <v>683278.5</v>
      </c>
      <c r="H9" s="17">
        <f t="shared" si="1"/>
        <v>81188.232078426881</v>
      </c>
      <c r="I9" s="17">
        <f t="shared" si="2"/>
        <v>602090.26792157313</v>
      </c>
    </row>
    <row r="10" spans="1:9" ht="15.75" customHeight="1" x14ac:dyDescent="0.25">
      <c r="A10" s="5">
        <f t="shared" si="3"/>
        <v>2032</v>
      </c>
      <c r="B10" s="49">
        <v>69693</v>
      </c>
      <c r="C10" s="50">
        <v>166159</v>
      </c>
      <c r="D10" s="50">
        <v>239177</v>
      </c>
      <c r="E10" s="50">
        <v>175670.5</v>
      </c>
      <c r="F10" s="50">
        <v>116046</v>
      </c>
      <c r="G10" s="17">
        <f t="shared" si="0"/>
        <v>697052.5</v>
      </c>
      <c r="H10" s="17">
        <f t="shared" si="1"/>
        <v>81747.738358787057</v>
      </c>
      <c r="I10" s="17">
        <f t="shared" si="2"/>
        <v>615304.76164121297</v>
      </c>
    </row>
    <row r="11" spans="1:9" ht="15.75" customHeight="1" x14ac:dyDescent="0.25">
      <c r="A11" s="5">
        <f t="shared" si="3"/>
        <v>2033</v>
      </c>
      <c r="B11" s="49">
        <v>70210</v>
      </c>
      <c r="C11" s="50">
        <v>166706.5</v>
      </c>
      <c r="D11" s="50">
        <v>244717</v>
      </c>
      <c r="E11" s="50">
        <v>180991.5</v>
      </c>
      <c r="F11" s="50">
        <v>118187</v>
      </c>
      <c r="G11" s="17">
        <f t="shared" si="0"/>
        <v>710602</v>
      </c>
      <c r="H11" s="17">
        <f t="shared" si="1"/>
        <v>82354.163404795894</v>
      </c>
      <c r="I11" s="17">
        <f t="shared" si="2"/>
        <v>628247.83659520408</v>
      </c>
    </row>
    <row r="12" spans="1:9" ht="15.75" customHeight="1" x14ac:dyDescent="0.25">
      <c r="A12" s="5">
        <f t="shared" si="3"/>
        <v>2034</v>
      </c>
      <c r="B12" s="49">
        <v>70747</v>
      </c>
      <c r="C12" s="50">
        <v>167211.5</v>
      </c>
      <c r="D12" s="50">
        <v>249967.50000000009</v>
      </c>
      <c r="E12" s="50">
        <v>186416</v>
      </c>
      <c r="F12" s="50">
        <v>120493.5</v>
      </c>
      <c r="G12" s="17">
        <f t="shared" si="0"/>
        <v>724088.50000000012</v>
      </c>
      <c r="H12" s="17">
        <f t="shared" si="1"/>
        <v>82984.04783362904</v>
      </c>
      <c r="I12" s="17">
        <f t="shared" si="2"/>
        <v>641104.45216637105</v>
      </c>
    </row>
    <row r="13" spans="1:9" ht="15.75" customHeight="1" x14ac:dyDescent="0.25">
      <c r="A13" s="5">
        <f t="shared" si="3"/>
        <v>2035</v>
      </c>
      <c r="B13" s="49">
        <v>71004</v>
      </c>
      <c r="C13" s="50">
        <v>167860.5</v>
      </c>
      <c r="D13" s="50">
        <v>254719</v>
      </c>
      <c r="E13" s="50">
        <v>191956.5</v>
      </c>
      <c r="F13" s="50">
        <v>122999</v>
      </c>
      <c r="G13" s="17">
        <f t="shared" si="0"/>
        <v>737535</v>
      </c>
      <c r="H13" s="17">
        <f t="shared" si="1"/>
        <v>83285.500902921631</v>
      </c>
      <c r="I13" s="17">
        <f t="shared" si="2"/>
        <v>654249.49909707834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2.2703597729640201E-2</v>
      </c>
    </row>
    <row r="4" spans="1:8" ht="15.75" customHeight="1" x14ac:dyDescent="0.25">
      <c r="B4" s="19" t="s">
        <v>69</v>
      </c>
      <c r="C4" s="101">
        <v>6.8627193137280607E-2</v>
      </c>
    </row>
    <row r="5" spans="1:8" ht="15.75" customHeight="1" x14ac:dyDescent="0.25">
      <c r="B5" s="19" t="s">
        <v>70</v>
      </c>
      <c r="C5" s="101">
        <v>0.107747889225211</v>
      </c>
    </row>
    <row r="6" spans="1:8" ht="15.75" customHeight="1" x14ac:dyDescent="0.25">
      <c r="B6" s="19" t="s">
        <v>71</v>
      </c>
      <c r="C6" s="101">
        <v>0.25067987493201233</v>
      </c>
    </row>
    <row r="7" spans="1:8" ht="15.75" customHeight="1" x14ac:dyDescent="0.25">
      <c r="B7" s="19" t="s">
        <v>72</v>
      </c>
      <c r="C7" s="101">
        <v>0.38467066153293428</v>
      </c>
    </row>
    <row r="8" spans="1:8" ht="15.75" customHeight="1" x14ac:dyDescent="0.25">
      <c r="B8" s="19" t="s">
        <v>73</v>
      </c>
      <c r="C8" s="101">
        <v>3.6380996361900331E-3</v>
      </c>
    </row>
    <row r="9" spans="1:8" ht="15.75" customHeight="1" x14ac:dyDescent="0.25">
      <c r="B9" s="19" t="s">
        <v>74</v>
      </c>
      <c r="C9" s="101">
        <v>4.9439595056040453E-2</v>
      </c>
    </row>
    <row r="10" spans="1:8" ht="15.75" customHeight="1" x14ac:dyDescent="0.25">
      <c r="B10" s="19" t="s">
        <v>75</v>
      </c>
      <c r="C10" s="101">
        <v>0.1124930887506911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82</v>
      </c>
      <c r="C15" s="101">
        <v>0.1776060016341538</v>
      </c>
      <c r="D15" s="101">
        <v>0.1776060016341538</v>
      </c>
      <c r="E15" s="101">
        <v>0.1776060016341538</v>
      </c>
      <c r="F15" s="101">
        <v>0.1776060016341538</v>
      </c>
    </row>
    <row r="16" spans="1:8" ht="15.75" customHeight="1" x14ac:dyDescent="0.25">
      <c r="B16" s="19" t="s">
        <v>83</v>
      </c>
      <c r="C16" s="101">
        <v>2.4094016967912031E-2</v>
      </c>
      <c r="D16" s="101">
        <v>2.4094016967912031E-2</v>
      </c>
      <c r="E16" s="101">
        <v>2.4094016967912031E-2</v>
      </c>
      <c r="F16" s="101">
        <v>2.4094016967912031E-2</v>
      </c>
    </row>
    <row r="17" spans="1:8" ht="15.75" customHeight="1" x14ac:dyDescent="0.25">
      <c r="B17" s="19" t="s">
        <v>84</v>
      </c>
      <c r="C17" s="101">
        <v>4.9735591408575953E-2</v>
      </c>
      <c r="D17" s="101">
        <v>4.9735591408575953E-2</v>
      </c>
      <c r="E17" s="101">
        <v>4.9735591408575953E-2</v>
      </c>
      <c r="F17" s="101">
        <v>4.9735591408575953E-2</v>
      </c>
    </row>
    <row r="18" spans="1:8" ht="15.75" customHeight="1" x14ac:dyDescent="0.25">
      <c r="B18" s="19" t="s">
        <v>85</v>
      </c>
      <c r="C18" s="101">
        <v>0.1483260063722035</v>
      </c>
      <c r="D18" s="101">
        <v>0.1483260063722035</v>
      </c>
      <c r="E18" s="101">
        <v>0.1483260063722035</v>
      </c>
      <c r="F18" s="101">
        <v>0.1483260063722035</v>
      </c>
    </row>
    <row r="19" spans="1:8" ht="15.75" customHeight="1" x14ac:dyDescent="0.25">
      <c r="B19" s="19" t="s">
        <v>86</v>
      </c>
      <c r="C19" s="101">
        <v>2.6308364059891669E-2</v>
      </c>
      <c r="D19" s="101">
        <v>2.6308364059891669E-2</v>
      </c>
      <c r="E19" s="101">
        <v>2.6308364059891669E-2</v>
      </c>
      <c r="F19" s="101">
        <v>2.6308364059891669E-2</v>
      </c>
    </row>
    <row r="20" spans="1:8" ht="15.75" customHeight="1" x14ac:dyDescent="0.25">
      <c r="B20" s="19" t="s">
        <v>87</v>
      </c>
      <c r="C20" s="101">
        <v>0.1045476359491857</v>
      </c>
      <c r="D20" s="101">
        <v>0.1045476359491857</v>
      </c>
      <c r="E20" s="101">
        <v>0.1045476359491857</v>
      </c>
      <c r="F20" s="101">
        <v>0.1045476359491857</v>
      </c>
    </row>
    <row r="21" spans="1:8" ht="15.75" customHeight="1" x14ac:dyDescent="0.25">
      <c r="B21" s="19" t="s">
        <v>88</v>
      </c>
      <c r="C21" s="101">
        <v>8.989209806027508E-2</v>
      </c>
      <c r="D21" s="101">
        <v>8.989209806027508E-2</v>
      </c>
      <c r="E21" s="101">
        <v>8.989209806027508E-2</v>
      </c>
      <c r="F21" s="101">
        <v>8.989209806027508E-2</v>
      </c>
    </row>
    <row r="22" spans="1:8" ht="15.75" customHeight="1" x14ac:dyDescent="0.25">
      <c r="B22" s="19" t="s">
        <v>89</v>
      </c>
      <c r="C22" s="101">
        <v>0.2111181112872042</v>
      </c>
      <c r="D22" s="101">
        <v>0.2111181112872042</v>
      </c>
      <c r="E22" s="101">
        <v>0.2111181112872042</v>
      </c>
      <c r="F22" s="101">
        <v>0.2111181112872042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8.7170950000000011E-2</v>
      </c>
    </row>
    <row r="27" spans="1:8" ht="15.75" customHeight="1" x14ac:dyDescent="0.25">
      <c r="B27" s="19" t="s">
        <v>92</v>
      </c>
      <c r="C27" s="101">
        <v>8.9932480000000006E-3</v>
      </c>
    </row>
    <row r="28" spans="1:8" ht="15.75" customHeight="1" x14ac:dyDescent="0.25">
      <c r="B28" s="19" t="s">
        <v>93</v>
      </c>
      <c r="C28" s="101">
        <v>0.15608702499999999</v>
      </c>
    </row>
    <row r="29" spans="1:8" ht="15.75" customHeight="1" x14ac:dyDescent="0.25">
      <c r="B29" s="19" t="s">
        <v>94</v>
      </c>
      <c r="C29" s="101">
        <v>0.16826559799999999</v>
      </c>
    </row>
    <row r="30" spans="1:8" ht="15.75" customHeight="1" x14ac:dyDescent="0.25">
      <c r="B30" s="19" t="s">
        <v>95</v>
      </c>
      <c r="C30" s="101">
        <v>0.106258319</v>
      </c>
    </row>
    <row r="31" spans="1:8" ht="15.75" customHeight="1" x14ac:dyDescent="0.25">
      <c r="B31" s="19" t="s">
        <v>96</v>
      </c>
      <c r="C31" s="101">
        <v>0.11025383499999999</v>
      </c>
    </row>
    <row r="32" spans="1:8" ht="15.75" customHeight="1" x14ac:dyDescent="0.25">
      <c r="B32" s="19" t="s">
        <v>97</v>
      </c>
      <c r="C32" s="101">
        <v>1.8920856E-2</v>
      </c>
    </row>
    <row r="33" spans="2:3" ht="15.75" customHeight="1" x14ac:dyDescent="0.25">
      <c r="B33" s="19" t="s">
        <v>98</v>
      </c>
      <c r="C33" s="101">
        <v>8.4360093999999997E-2</v>
      </c>
    </row>
    <row r="34" spans="2:3" ht="15.75" customHeight="1" x14ac:dyDescent="0.25">
      <c r="B34" s="19" t="s">
        <v>99</v>
      </c>
      <c r="C34" s="101">
        <v>0.25969007599999999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104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105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109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110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122</v>
      </c>
      <c r="C5" s="52">
        <v>4.9451500000000002E-2</v>
      </c>
      <c r="D5" s="52">
        <v>4.5463700000000003E-2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40.132891251391328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0.24803417483777829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1.812651550310735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0.73277403097668004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15.04169622018882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15.04169622018882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15.04169622018882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15.04169622018882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15.04169622018882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15.04169622018882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0.94460179999999994</v>
      </c>
      <c r="C16" s="98">
        <v>0.95</v>
      </c>
      <c r="D16" s="56">
        <v>0.26987654526012661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0.57174320000000001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0.57174320000000001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25.63150323579427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0.96602919999999992</v>
      </c>
      <c r="C23" s="98">
        <v>0.95</v>
      </c>
      <c r="D23" s="56">
        <v>4.9266956385450174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0.27148055616163802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24.45756191419898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0.2996625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8.0891400000000002E-2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2.7E-2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0.19689090000000001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0.77036389999999999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4.0261999999999997E-3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0.47813240000000001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0.34075339999999998</v>
      </c>
      <c r="C38" s="98">
        <v>0.95</v>
      </c>
      <c r="D38" s="56">
        <v>4.5766564133696477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205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0.67099999999999993</v>
      </c>
      <c r="E2" s="60">
        <f>food_insecure</f>
        <v>0.67099999999999993</v>
      </c>
      <c r="F2" s="60">
        <f>food_insecure</f>
        <v>0.67099999999999993</v>
      </c>
      <c r="G2" s="60">
        <f>food_insecure</f>
        <v>0.67099999999999993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0.67099999999999993</v>
      </c>
      <c r="I15" s="60">
        <f>food_insecure</f>
        <v>0.67099999999999993</v>
      </c>
      <c r="J15" s="60">
        <f>food_insecure</f>
        <v>0.67099999999999993</v>
      </c>
      <c r="K15" s="60">
        <f>food_insecure</f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0.624</v>
      </c>
      <c r="M24" s="60">
        <f>famplan_unmet_need</f>
        <v>0.624</v>
      </c>
      <c r="N24" s="60">
        <f>famplan_unmet_need</f>
        <v>0.624</v>
      </c>
      <c r="O24" s="60">
        <f>famplan_unmet_need</f>
        <v>0.624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0.108665219927498</v>
      </c>
      <c r="G18" s="90">
        <f>MIN(MAX(1-0.89/(1-frac_sam_12_23months+(frac_sam_12_23months*0.89)),0),1)</f>
        <v>0.10839265843141666</v>
      </c>
      <c r="H18" s="90">
        <f>MIN(MAX(1-0.89/(1-frac_sam_24_59months+(frac_sam_24_59months*0.89)),0),1)</f>
        <v>0.10933360518473201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0.10496375366182087</v>
      </c>
      <c r="G20" s="90">
        <f>MIN(MAX(1-0.89/(1-frac_mam_12_23months+(frac_mam_12_23months*0.89)),0),1)</f>
        <v>0.10522230586930303</v>
      </c>
      <c r="H20" s="90">
        <f>MIN(MAX(1-0.89/(1-frac_mam_24_59months+(frac_mam_24_59months*0.89)),0),1)</f>
        <v>0.10621682406775879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9.8652060195519864E-3</v>
      </c>
      <c r="G73" s="90">
        <f>MIN(MAX(1-0.99/(1-frac_sam_12_23months+(frac_sam_12_23months*0.99)),0),1)</f>
        <v>9.8377262656068609E-3</v>
      </c>
      <c r="H73" s="90">
        <f>MIN(MAX(1-0.99/(1-frac_sam_24_59months+(frac_sam_24_59months*0.99)),0),1)</f>
        <v>9.9326575995045685E-3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9.4933231480699432E-3</v>
      </c>
      <c r="G75" s="90">
        <f>MIN(MAX(1-0.99/(1-frac_mam_12_23months+(frac_mam_12_23months*0.99)),0),1)</f>
        <v>9.5192087381520407E-3</v>
      </c>
      <c r="H75" s="90">
        <f>MIN(MAX(1-0.99/(1-frac_mam_24_59months+(frac_mam_24_59months*0.99)),0),1)</f>
        <v>9.6189043255276996E-3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0.1978158611578088</v>
      </c>
      <c r="G128" s="90">
        <f>MIN(MAX(1-0.8/(1-frac_sam_12_23months+(frac_sam_12_23months*0.8)),0),1)</f>
        <v>0.19736920097742772</v>
      </c>
      <c r="H128" s="90">
        <f>MIN(MAX(1-0.8/(1-frac_sam_24_59months+(frac_sam_24_59months*0.8)),0),1)</f>
        <v>0.19891022951982962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0.19173087337702333</v>
      </c>
      <c r="G130" s="90">
        <f>MIN(MAX(1-0.8/(1-frac_mam_12_23months+(frac_mam_12_23months*0.8)),0),1)</f>
        <v>0.19215726888407114</v>
      </c>
      <c r="H130" s="90">
        <f>MIN(MAX(1-0.8/(1-frac_mam_24_59months+(frac_mam_24_59months*0.8)),0),1)</f>
        <v>0.19379549852894884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2024-08-06T06:31:33Z</dcterms:modified>
</cp:coreProperties>
</file>