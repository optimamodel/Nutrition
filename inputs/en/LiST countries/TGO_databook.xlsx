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C58B7B6F-5876-4BDE-911D-02606F2693F6}" xr6:coauthVersionLast="47" xr6:coauthVersionMax="47" xr10:uidLastSave="{00000000-0000-0000-0000-000000000000}"/>
  <bookViews>
    <workbookView xWindow="0" yWindow="3670" windowWidth="19200" windowHeight="6530" tabRatio="961" firstSheet="4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state="hidden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F152" i="27"/>
  <c r="D152" i="27"/>
  <c r="H136" i="27"/>
  <c r="G136" i="27"/>
  <c r="F136" i="27"/>
  <c r="E136" i="27"/>
  <c r="H135" i="27"/>
  <c r="G135" i="27"/>
  <c r="F135" i="27"/>
  <c r="E135" i="27"/>
  <c r="D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D131" i="27"/>
  <c r="E130" i="27"/>
  <c r="D130" i="27"/>
  <c r="H129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F112" i="27"/>
  <c r="E112" i="27"/>
  <c r="D112" i="27"/>
  <c r="H97" i="27"/>
  <c r="H152" i="27" s="1"/>
  <c r="G97" i="27"/>
  <c r="G152" i="27" s="1"/>
  <c r="F97" i="27"/>
  <c r="E97" i="27"/>
  <c r="E152" i="27" s="1"/>
  <c r="D97" i="27"/>
  <c r="H81" i="27"/>
  <c r="G81" i="27"/>
  <c r="F81" i="27"/>
  <c r="E81" i="27"/>
  <c r="H80" i="27"/>
  <c r="G80" i="27"/>
  <c r="F80" i="27"/>
  <c r="E80" i="27"/>
  <c r="D80" i="27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E75" i="27"/>
  <c r="D75" i="27"/>
  <c r="H74" i="27"/>
  <c r="G74" i="27"/>
  <c r="G129" i="27" s="1"/>
  <c r="F74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G112" i="27" s="1"/>
  <c r="F57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O67" i="25"/>
  <c r="D67" i="25"/>
  <c r="C67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9" i="25"/>
  <c r="N19" i="25"/>
  <c r="M19" i="25"/>
  <c r="L19" i="25"/>
  <c r="K19" i="25"/>
  <c r="J19" i="25"/>
  <c r="I19" i="25"/>
  <c r="H19" i="25"/>
  <c r="G19" i="25"/>
  <c r="F19" i="25"/>
  <c r="E19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I40" i="2" s="1"/>
  <c r="G40" i="2"/>
  <c r="H39" i="2"/>
  <c r="G39" i="2"/>
  <c r="I39" i="2" s="1"/>
  <c r="H38" i="2"/>
  <c r="I38" i="2" s="1"/>
  <c r="G38" i="2"/>
  <c r="A35" i="2"/>
  <c r="A33" i="2"/>
  <c r="A32" i="2"/>
  <c r="A29" i="2"/>
  <c r="A27" i="2"/>
  <c r="A26" i="2"/>
  <c r="A25" i="2"/>
  <c r="A24" i="2"/>
  <c r="A21" i="2"/>
  <c r="A19" i="2"/>
  <c r="A18" i="2"/>
  <c r="A17" i="2"/>
  <c r="A16" i="2"/>
  <c r="H13" i="2"/>
  <c r="G13" i="2"/>
  <c r="I13" i="2" s="1"/>
  <c r="H12" i="2"/>
  <c r="I12" i="2" s="1"/>
  <c r="G12" i="2"/>
  <c r="H11" i="2"/>
  <c r="G11" i="2"/>
  <c r="I11" i="2" s="1"/>
  <c r="H10" i="2"/>
  <c r="I10" i="2" s="1"/>
  <c r="G10" i="2"/>
  <c r="H9" i="2"/>
  <c r="G9" i="2"/>
  <c r="I9" i="2" s="1"/>
  <c r="H8" i="2"/>
  <c r="I8" i="2" s="1"/>
  <c r="G8" i="2"/>
  <c r="H7" i="2"/>
  <c r="G7" i="2"/>
  <c r="I7" i="2" s="1"/>
  <c r="H6" i="2"/>
  <c r="I6" i="2" s="1"/>
  <c r="G6" i="2"/>
  <c r="H5" i="2"/>
  <c r="G5" i="2"/>
  <c r="I5" i="2" s="1"/>
  <c r="H4" i="2"/>
  <c r="I4" i="2" s="1"/>
  <c r="G4" i="2"/>
  <c r="H3" i="2"/>
  <c r="G3" i="2"/>
  <c r="I3" i="2" s="1"/>
  <c r="A3" i="2"/>
  <c r="H2" i="2"/>
  <c r="I2" i="2" s="1"/>
  <c r="G2" i="2"/>
  <c r="A2" i="2"/>
  <c r="A39" i="2" s="1"/>
  <c r="C33" i="1"/>
  <c r="C20" i="1"/>
  <c r="A20" i="2" l="1"/>
  <c r="A28" i="2"/>
  <c r="A36" i="2"/>
  <c r="A37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/>
  <c r="A22" i="2"/>
  <c r="A30" i="2"/>
  <c r="A38" i="2"/>
  <c r="A40" i="2"/>
  <c r="A15" i="2"/>
  <c r="A23" i="2"/>
  <c r="A31" i="2"/>
  <c r="A3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29" authorId="1" shapeId="0" xr:uid="{00000000-0006-0000-1600-00000E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29" authorId="1" shapeId="0" xr:uid="{00000000-0006-0000-1600-00000F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30" authorId="0" shapeId="0" xr:uid="{00000000-0006-0000-1600-000010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1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2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4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6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7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52" authorId="1" shapeId="0" xr:uid="{00000000-0006-0000-1600-000018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52" authorId="1" shapeId="0" xr:uid="{00000000-0006-0000-1600-000019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53" authorId="0" shapeId="0" xr:uid="{00000000-0006-0000-1600-00001A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B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C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Peña‐Rosas et al 2019, anemia RR 0.72 (0.54-0.97)
If no data for anaemia prev. the use RR otherwise convert RR to OR using prev.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Larson et al 2021, RR 0.80 (0.70-0.92)
If no data for anaemia prev. the use RR otherwise convert RR to OR using prev.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C49" authorId="0" shapeId="0" xr:uid="{00000000-0006-0000-1800-000052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50" authorId="0" shapeId="0" xr:uid="{00000000-0006-0000-1800-00005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6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<sst xmlns="http://schemas.openxmlformats.org/spreadsheetml/2006/main" count="2092" uniqueCount="341">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</sst>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1323554.78125</v>
      </c>
    </row>
    <row r="8" spans="1:3" ht="15" customHeight="1" x14ac:dyDescent="0.25">
      <c r="B8" s="5" t="s">
        <v>8</v>
      </c>
      <c r="C8" s="44">
        <v>0.498</v>
      </c>
    </row>
    <row r="9" spans="1:3" ht="15" customHeight="1" x14ac:dyDescent="0.25">
      <c r="B9" s="5" t="s">
        <v>9</v>
      </c>
      <c r="C9" s="45">
        <v>1</v>
      </c>
    </row>
    <row r="10" spans="1:3" ht="15" customHeight="1" x14ac:dyDescent="0.25">
      <c r="B10" s="5" t="s">
        <v>10</v>
      </c>
      <c r="C10" s="45">
        <v>0.33364898681640598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0.67900000000000005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0.7</v>
      </c>
    </row>
    <row r="18" spans="1:3" ht="15" customHeight="1" x14ac:dyDescent="0.25">
      <c r="B18" s="5" t="s">
        <v>17</v>
      </c>
      <c r="C18" s="45">
        <v>0.05</v>
      </c>
    </row>
    <row r="19" spans="1:3" ht="15" customHeight="1" x14ac:dyDescent="0.25">
      <c r="B19" s="5" t="s">
        <v>18</v>
      </c>
      <c r="C19" s="45">
        <v>0.05</v>
      </c>
    </row>
    <row r="20" spans="1:3" ht="15" customHeight="1" x14ac:dyDescent="0.25">
      <c r="B20" s="5" t="s">
        <v>19</v>
      </c>
      <c r="C20" s="46">
        <f>1-frac_rice-frac_wheat-frac_maize</f>
        <v>0.20000000000000007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0.10150000000000001</v>
      </c>
    </row>
    <row r="24" spans="1:3" ht="15" customHeight="1" x14ac:dyDescent="0.25">
      <c r="B24" s="15" t="s">
        <v>22</v>
      </c>
      <c r="C24" s="45">
        <v>0.48739999999999989</v>
      </c>
    </row>
    <row r="25" spans="1:3" ht="15" customHeight="1" x14ac:dyDescent="0.25">
      <c r="B25" s="15" t="s">
        <v>23</v>
      </c>
      <c r="C25" s="45">
        <v>0.33069999999999999</v>
      </c>
    </row>
    <row r="26" spans="1:3" ht="15" customHeight="1" x14ac:dyDescent="0.25">
      <c r="B26" s="15" t="s">
        <v>24</v>
      </c>
      <c r="C26" s="45">
        <v>8.0400000000000013E-2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0.23555809089780999</v>
      </c>
    </row>
    <row r="30" spans="1:3" ht="14.25" customHeight="1" x14ac:dyDescent="0.25">
      <c r="B30" s="25" t="s">
        <v>27</v>
      </c>
      <c r="C30" s="99">
        <v>3.4184984059818603E-2</v>
      </c>
    </row>
    <row r="31" spans="1:3" ht="14.25" customHeight="1" x14ac:dyDescent="0.25">
      <c r="B31" s="25" t="s">
        <v>28</v>
      </c>
      <c r="C31" s="99">
        <v>6.8897621814072496E-2</v>
      </c>
    </row>
    <row r="32" spans="1:3" ht="14.25" customHeight="1" x14ac:dyDescent="0.25">
      <c r="B32" s="25" t="s">
        <v>29</v>
      </c>
      <c r="C32" s="99">
        <v>0.66135930322829906</v>
      </c>
    </row>
    <row r="33" spans="1:5" ht="13" customHeight="1" x14ac:dyDescent="0.25">
      <c r="B33" s="27" t="s">
        <v>30</v>
      </c>
      <c r="C33" s="48">
        <f>SUM(C29:C32)</f>
        <v>1.0000000000000002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24.042400000000001</v>
      </c>
    </row>
    <row r="38" spans="1:5" ht="15" customHeight="1" x14ac:dyDescent="0.25">
      <c r="B38" s="11" t="s">
        <v>34</v>
      </c>
      <c r="C38" s="43">
        <v>43.35671</v>
      </c>
      <c r="D38" s="12"/>
      <c r="E38" s="13"/>
    </row>
    <row r="39" spans="1:5" ht="15" customHeight="1" x14ac:dyDescent="0.25">
      <c r="B39" s="11" t="s">
        <v>35</v>
      </c>
      <c r="C39" s="43">
        <v>62.60445</v>
      </c>
      <c r="D39" s="12"/>
      <c r="E39" s="12"/>
    </row>
    <row r="40" spans="1:5" ht="15" customHeight="1" x14ac:dyDescent="0.25">
      <c r="B40" s="11" t="s">
        <v>36</v>
      </c>
      <c r="C40" s="100">
        <v>3.99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20.872589999999999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7.9379999999999989E-3</v>
      </c>
      <c r="D45" s="12"/>
    </row>
    <row r="46" spans="1:5" ht="15.75" customHeight="1" x14ac:dyDescent="0.25">
      <c r="B46" s="11" t="s">
        <v>41</v>
      </c>
      <c r="C46" s="45">
        <v>8.529260000000001E-2</v>
      </c>
      <c r="D46" s="12"/>
    </row>
    <row r="47" spans="1:5" ht="15.75" customHeight="1" x14ac:dyDescent="0.25">
      <c r="B47" s="11" t="s">
        <v>42</v>
      </c>
      <c r="C47" s="45">
        <v>7.3451799999999998E-2</v>
      </c>
      <c r="D47" s="12"/>
      <c r="E47" s="13"/>
    </row>
    <row r="48" spans="1:5" ht="15" customHeight="1" x14ac:dyDescent="0.25">
      <c r="B48" s="11" t="s">
        <v>43</v>
      </c>
      <c r="C48" s="46">
        <v>0.83331759999999999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3.3</v>
      </c>
      <c r="D51" s="12"/>
    </row>
    <row r="52" spans="1:4" ht="15" customHeight="1" x14ac:dyDescent="0.25">
      <c r="B52" s="11" t="s">
        <v>46</v>
      </c>
      <c r="C52" s="100">
        <v>3.3</v>
      </c>
    </row>
    <row r="53" spans="1:4" ht="15.75" customHeight="1" x14ac:dyDescent="0.25">
      <c r="B53" s="11" t="s">
        <v>47</v>
      </c>
      <c r="C53" s="100">
        <v>3.3</v>
      </c>
    </row>
    <row r="54" spans="1:4" ht="15.75" customHeight="1" x14ac:dyDescent="0.25">
      <c r="B54" s="11" t="s">
        <v>48</v>
      </c>
      <c r="C54" s="100">
        <v>3.3</v>
      </c>
    </row>
    <row r="55" spans="1:4" ht="15.75" customHeight="1" x14ac:dyDescent="0.25">
      <c r="B55" s="11" t="s">
        <v>49</v>
      </c>
      <c r="C55" s="100">
        <v>3.3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2.181818181818182E-2</v>
      </c>
    </row>
    <row r="59" spans="1:4" ht="15.75" customHeight="1" x14ac:dyDescent="0.25">
      <c r="B59" s="11" t="s">
        <v>52</v>
      </c>
      <c r="C59" s="45">
        <v>0.42155599999999999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0.16087605999999999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284756.22840000002</v>
      </c>
      <c r="C2" s="49">
        <v>499000</v>
      </c>
      <c r="D2" s="49">
        <v>777000</v>
      </c>
      <c r="E2" s="49">
        <v>6300</v>
      </c>
      <c r="F2" s="49">
        <v>5500</v>
      </c>
      <c r="G2" s="17">
        <f t="shared" ref="G2:G13" si="0">C2+D2+E2+F2</f>
        <v>1287800</v>
      </c>
      <c r="H2" s="17">
        <f t="shared" ref="H2:H13" si="1">(B2 + stillbirth*B2/(1000-stillbirth))/(1-abortion)</f>
        <v>330484.69471589831</v>
      </c>
      <c r="I2" s="17">
        <f t="shared" ref="I2:I13" si="2">G2-H2</f>
        <v>957315.30528410175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288193.05300000001</v>
      </c>
      <c r="C3" s="50">
        <v>510000</v>
      </c>
      <c r="D3" s="50">
        <v>802000</v>
      </c>
      <c r="E3" s="50">
        <v>6400</v>
      </c>
      <c r="F3" s="50">
        <v>5500</v>
      </c>
      <c r="G3" s="17">
        <f t="shared" si="0"/>
        <v>1323900</v>
      </c>
      <c r="H3" s="17">
        <f t="shared" si="1"/>
        <v>334473.43250437465</v>
      </c>
      <c r="I3" s="17">
        <f t="shared" si="2"/>
        <v>989426.56749562535</v>
      </c>
    </row>
    <row r="4" spans="1:9" ht="15.75" customHeight="1" x14ac:dyDescent="0.25">
      <c r="A4" s="5">
        <f t="shared" si="3"/>
        <v>2026</v>
      </c>
      <c r="B4" s="49">
        <v>292184.2</v>
      </c>
      <c r="C4" s="50">
        <v>520000</v>
      </c>
      <c r="D4" s="50">
        <v>827000</v>
      </c>
      <c r="E4" s="50">
        <v>6600</v>
      </c>
      <c r="F4" s="50">
        <v>5400</v>
      </c>
      <c r="G4" s="17">
        <f t="shared" si="0"/>
        <v>1359000</v>
      </c>
      <c r="H4" s="17">
        <f t="shared" si="1"/>
        <v>339105.51028287527</v>
      </c>
      <c r="I4" s="17">
        <f t="shared" si="2"/>
        <v>1019894.4897171247</v>
      </c>
    </row>
    <row r="5" spans="1:9" ht="15.75" customHeight="1" x14ac:dyDescent="0.25">
      <c r="A5" s="5">
        <f t="shared" si="3"/>
        <v>2027</v>
      </c>
      <c r="B5" s="49">
        <v>296151.68520000001</v>
      </c>
      <c r="C5" s="50">
        <v>529000</v>
      </c>
      <c r="D5" s="50">
        <v>854000</v>
      </c>
      <c r="E5" s="50">
        <v>6900</v>
      </c>
      <c r="F5" s="50">
        <v>5300</v>
      </c>
      <c r="G5" s="17">
        <f t="shared" si="0"/>
        <v>1395200</v>
      </c>
      <c r="H5" s="17">
        <f t="shared" si="1"/>
        <v>343710.12645748619</v>
      </c>
      <c r="I5" s="17">
        <f t="shared" si="2"/>
        <v>1051489.8735425137</v>
      </c>
    </row>
    <row r="6" spans="1:9" ht="15.75" customHeight="1" x14ac:dyDescent="0.25">
      <c r="A6" s="5">
        <f t="shared" si="3"/>
        <v>2028</v>
      </c>
      <c r="B6" s="49">
        <v>300063.28840000002</v>
      </c>
      <c r="C6" s="50">
        <v>537000</v>
      </c>
      <c r="D6" s="50">
        <v>881000</v>
      </c>
      <c r="E6" s="50">
        <v>7200</v>
      </c>
      <c r="F6" s="50">
        <v>5200</v>
      </c>
      <c r="G6" s="17">
        <f t="shared" si="0"/>
        <v>1430400</v>
      </c>
      <c r="H6" s="17">
        <f t="shared" si="1"/>
        <v>348249.88664698356</v>
      </c>
      <c r="I6" s="17">
        <f t="shared" si="2"/>
        <v>1082150.1133530163</v>
      </c>
    </row>
    <row r="7" spans="1:9" ht="15.75" customHeight="1" x14ac:dyDescent="0.25">
      <c r="A7" s="5">
        <f t="shared" si="3"/>
        <v>2029</v>
      </c>
      <c r="B7" s="49">
        <v>303946.97059999988</v>
      </c>
      <c r="C7" s="50">
        <v>545000</v>
      </c>
      <c r="D7" s="50">
        <v>907000</v>
      </c>
      <c r="E7" s="50">
        <v>7500</v>
      </c>
      <c r="F7" s="50">
        <v>5100</v>
      </c>
      <c r="G7" s="17">
        <f t="shared" si="0"/>
        <v>1464600</v>
      </c>
      <c r="H7" s="17">
        <f t="shared" si="1"/>
        <v>352757.24205568619</v>
      </c>
      <c r="I7" s="17">
        <f t="shared" si="2"/>
        <v>1111842.7579443138</v>
      </c>
    </row>
    <row r="8" spans="1:9" ht="15.75" customHeight="1" x14ac:dyDescent="0.25">
      <c r="A8" s="5">
        <f t="shared" si="3"/>
        <v>2030</v>
      </c>
      <c r="B8" s="49">
        <v>307771.04399999999</v>
      </c>
      <c r="C8" s="50">
        <v>553000</v>
      </c>
      <c r="D8" s="50">
        <v>932000</v>
      </c>
      <c r="E8" s="50">
        <v>7700</v>
      </c>
      <c r="F8" s="50">
        <v>5000</v>
      </c>
      <c r="G8" s="17">
        <f t="shared" si="0"/>
        <v>1497700</v>
      </c>
      <c r="H8" s="17">
        <f t="shared" si="1"/>
        <v>357195.41619948391</v>
      </c>
      <c r="I8" s="17">
        <f t="shared" si="2"/>
        <v>1140504.5838005161</v>
      </c>
    </row>
    <row r="9" spans="1:9" ht="15.75" customHeight="1" x14ac:dyDescent="0.25">
      <c r="A9" s="5">
        <f t="shared" si="3"/>
        <v>2031</v>
      </c>
      <c r="B9" s="49">
        <v>311058.87479999999</v>
      </c>
      <c r="C9" s="50">
        <v>560714.28571428568</v>
      </c>
      <c r="D9" s="50">
        <v>954142.85714285716</v>
      </c>
      <c r="E9" s="50">
        <v>7900</v>
      </c>
      <c r="F9" s="50">
        <v>4928.5714285714284</v>
      </c>
      <c r="G9" s="17">
        <f t="shared" si="0"/>
        <v>1527685.7142857141</v>
      </c>
      <c r="H9" s="17">
        <f t="shared" si="1"/>
        <v>361011.23355428182</v>
      </c>
      <c r="I9" s="17">
        <f t="shared" si="2"/>
        <v>1166674.4807314323</v>
      </c>
    </row>
    <row r="10" spans="1:9" ht="15.75" customHeight="1" x14ac:dyDescent="0.25">
      <c r="A10" s="5">
        <f t="shared" si="3"/>
        <v>2032</v>
      </c>
      <c r="B10" s="49">
        <v>314325.42077142862</v>
      </c>
      <c r="C10" s="50">
        <v>567959.18367346935</v>
      </c>
      <c r="D10" s="50">
        <v>975877.55102040817</v>
      </c>
      <c r="E10" s="50">
        <v>8114.2857142857147</v>
      </c>
      <c r="F10" s="50">
        <v>4846.9387755102043</v>
      </c>
      <c r="G10" s="17">
        <f t="shared" si="0"/>
        <v>1556797.9591836734</v>
      </c>
      <c r="H10" s="17">
        <f t="shared" si="1"/>
        <v>364802.34798998293</v>
      </c>
      <c r="I10" s="17">
        <f t="shared" si="2"/>
        <v>1191995.6111936904</v>
      </c>
    </row>
    <row r="11" spans="1:9" ht="15.75" customHeight="1" x14ac:dyDescent="0.25">
      <c r="A11" s="5">
        <f t="shared" si="3"/>
        <v>2033</v>
      </c>
      <c r="B11" s="49">
        <v>317488.45231020398</v>
      </c>
      <c r="C11" s="50">
        <v>574810.49562682211</v>
      </c>
      <c r="D11" s="50">
        <v>997145.77259475214</v>
      </c>
      <c r="E11" s="50">
        <v>8330.6122448979604</v>
      </c>
      <c r="F11" s="50">
        <v>4767.9300291545196</v>
      </c>
      <c r="G11" s="17">
        <f t="shared" si="0"/>
        <v>1585054.8104956269</v>
      </c>
      <c r="H11" s="17">
        <f t="shared" si="1"/>
        <v>368473.32480528386</v>
      </c>
      <c r="I11" s="17">
        <f t="shared" si="2"/>
        <v>1216581.485690343</v>
      </c>
    </row>
    <row r="12" spans="1:9" ht="15.75" customHeight="1" x14ac:dyDescent="0.25">
      <c r="A12" s="5">
        <f t="shared" si="3"/>
        <v>2034</v>
      </c>
      <c r="B12" s="49">
        <v>320536.56189737603</v>
      </c>
      <c r="C12" s="50">
        <v>581354.85214493959</v>
      </c>
      <c r="D12" s="50">
        <v>1017595.168679717</v>
      </c>
      <c r="E12" s="50">
        <v>8534.9854227405267</v>
      </c>
      <c r="F12" s="50">
        <v>4691.9200333194512</v>
      </c>
      <c r="G12" s="17">
        <f t="shared" si="0"/>
        <v>1612176.9262807164</v>
      </c>
      <c r="H12" s="17">
        <f t="shared" si="1"/>
        <v>372010.92456925503</v>
      </c>
      <c r="I12" s="17">
        <f t="shared" si="2"/>
        <v>1240166.0017114615</v>
      </c>
    </row>
    <row r="13" spans="1:9" ht="15.75" customHeight="1" x14ac:dyDescent="0.25">
      <c r="A13" s="5">
        <f t="shared" si="3"/>
        <v>2035</v>
      </c>
      <c r="B13" s="49">
        <v>323461.31525414402</v>
      </c>
      <c r="C13" s="50">
        <v>587691.25959421671</v>
      </c>
      <c r="D13" s="50">
        <v>1037108.7642053911</v>
      </c>
      <c r="E13" s="50">
        <v>8725.6976259891726</v>
      </c>
      <c r="F13" s="50">
        <v>4619.3371809365153</v>
      </c>
      <c r="G13" s="17">
        <f t="shared" si="0"/>
        <v>1638145.0586065333</v>
      </c>
      <c r="H13" s="17">
        <f t="shared" si="1"/>
        <v>375405.35855815094</v>
      </c>
      <c r="I13" s="17">
        <f t="shared" si="2"/>
        <v>1262739.7000483824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1.657067544407495E-2</v>
      </c>
    </row>
    <row r="4" spans="1:8" ht="15.75" customHeight="1" x14ac:dyDescent="0.25">
      <c r="B4" s="19" t="s">
        <v>69</v>
      </c>
      <c r="C4" s="101">
        <v>7.4120555470898866E-2</v>
      </c>
    </row>
    <row r="5" spans="1:8" ht="15.75" customHeight="1" x14ac:dyDescent="0.25">
      <c r="B5" s="19" t="s">
        <v>70</v>
      </c>
      <c r="C5" s="101">
        <v>0.1088008429259477</v>
      </c>
    </row>
    <row r="6" spans="1:8" ht="15.75" customHeight="1" x14ac:dyDescent="0.25">
      <c r="B6" s="19" t="s">
        <v>71</v>
      </c>
      <c r="C6" s="101">
        <v>0.25677873974801529</v>
      </c>
    </row>
    <row r="7" spans="1:8" ht="15.75" customHeight="1" x14ac:dyDescent="0.25">
      <c r="B7" s="19" t="s">
        <v>72</v>
      </c>
      <c r="C7" s="101">
        <v>0.36988411970846008</v>
      </c>
    </row>
    <row r="8" spans="1:8" ht="15.75" customHeight="1" x14ac:dyDescent="0.25">
      <c r="B8" s="19" t="s">
        <v>73</v>
      </c>
      <c r="C8" s="101">
        <v>2.8233694090527761E-3</v>
      </c>
    </row>
    <row r="9" spans="1:8" ht="15.75" customHeight="1" x14ac:dyDescent="0.25">
      <c r="B9" s="19" t="s">
        <v>74</v>
      </c>
      <c r="C9" s="101">
        <v>5.5443065754671679E-2</v>
      </c>
    </row>
    <row r="10" spans="1:8" ht="15.75" customHeight="1" x14ac:dyDescent="0.25">
      <c r="B10" s="19" t="s">
        <v>75</v>
      </c>
      <c r="C10" s="101">
        <v>0.1155786315388786</v>
      </c>
    </row>
    <row r="11" spans="1:8" ht="15.75" customHeight="1" x14ac:dyDescent="0.25">
      <c r="B11" s="27" t="s">
        <v>30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0.15073770571059761</v>
      </c>
      <c r="D14" s="55">
        <v>0.15073770571059761</v>
      </c>
      <c r="E14" s="55">
        <v>0.15073770571059761</v>
      </c>
      <c r="F14" s="55">
        <v>0.15073770571059761</v>
      </c>
    </row>
    <row r="15" spans="1:8" ht="15.75" customHeight="1" x14ac:dyDescent="0.25">
      <c r="B15" s="19" t="s">
        <v>82</v>
      </c>
      <c r="C15" s="101">
        <v>0.2246449483302744</v>
      </c>
      <c r="D15" s="101">
        <v>0.2246449483302744</v>
      </c>
      <c r="E15" s="101">
        <v>0.2246449483302744</v>
      </c>
      <c r="F15" s="101">
        <v>0.2246449483302744</v>
      </c>
    </row>
    <row r="16" spans="1:8" ht="15.75" customHeight="1" x14ac:dyDescent="0.25">
      <c r="B16" s="19" t="s">
        <v>83</v>
      </c>
      <c r="C16" s="101">
        <v>2.822839752136674E-2</v>
      </c>
      <c r="D16" s="101">
        <v>2.822839752136674E-2</v>
      </c>
      <c r="E16" s="101">
        <v>2.822839752136674E-2</v>
      </c>
      <c r="F16" s="101">
        <v>2.822839752136674E-2</v>
      </c>
    </row>
    <row r="17" spans="1:8" ht="15.75" customHeight="1" x14ac:dyDescent="0.25">
      <c r="B17" s="19" t="s">
        <v>84</v>
      </c>
      <c r="C17" s="101">
        <v>2.7112007522432147E-4</v>
      </c>
      <c r="D17" s="101">
        <v>2.7112007522432147E-4</v>
      </c>
      <c r="E17" s="101">
        <v>2.7112007522432147E-4</v>
      </c>
      <c r="F17" s="101">
        <v>2.7112007522432147E-4</v>
      </c>
    </row>
    <row r="18" spans="1:8" ht="15.75" customHeight="1" x14ac:dyDescent="0.25">
      <c r="B18" s="19" t="s">
        <v>85</v>
      </c>
      <c r="C18" s="101">
        <v>0.27503508057082687</v>
      </c>
      <c r="D18" s="101">
        <v>0.27503508057082687</v>
      </c>
      <c r="E18" s="101">
        <v>0.27503508057082687</v>
      </c>
      <c r="F18" s="101">
        <v>0.27503508057082687</v>
      </c>
    </row>
    <row r="19" spans="1:8" ht="15.75" customHeight="1" x14ac:dyDescent="0.25">
      <c r="B19" s="19" t="s">
        <v>86</v>
      </c>
      <c r="C19" s="101">
        <v>2.040962263752499E-2</v>
      </c>
      <c r="D19" s="101">
        <v>2.040962263752499E-2</v>
      </c>
      <c r="E19" s="101">
        <v>2.040962263752499E-2</v>
      </c>
      <c r="F19" s="101">
        <v>2.040962263752499E-2</v>
      </c>
    </row>
    <row r="20" spans="1:8" ht="15.75" customHeight="1" x14ac:dyDescent="0.25">
      <c r="B20" s="19" t="s">
        <v>87</v>
      </c>
      <c r="C20" s="101">
        <v>5.8000995162372573E-2</v>
      </c>
      <c r="D20" s="101">
        <v>5.8000995162372573E-2</v>
      </c>
      <c r="E20" s="101">
        <v>5.8000995162372573E-2</v>
      </c>
      <c r="F20" s="101">
        <v>5.8000995162372573E-2</v>
      </c>
    </row>
    <row r="21" spans="1:8" ht="15.75" customHeight="1" x14ac:dyDescent="0.25">
      <c r="B21" s="19" t="s">
        <v>88</v>
      </c>
      <c r="C21" s="101">
        <v>9.9798367117911957E-2</v>
      </c>
      <c r="D21" s="101">
        <v>9.9798367117911957E-2</v>
      </c>
      <c r="E21" s="101">
        <v>9.9798367117911957E-2</v>
      </c>
      <c r="F21" s="101">
        <v>9.9798367117911957E-2</v>
      </c>
    </row>
    <row r="22" spans="1:8" ht="15.75" customHeight="1" x14ac:dyDescent="0.25">
      <c r="B22" s="19" t="s">
        <v>89</v>
      </c>
      <c r="C22" s="101">
        <v>0.14287376287390041</v>
      </c>
      <c r="D22" s="101">
        <v>0.14287376287390041</v>
      </c>
      <c r="E22" s="101">
        <v>0.14287376287390041</v>
      </c>
      <c r="F22" s="101">
        <v>0.14287376287390041</v>
      </c>
    </row>
    <row r="23" spans="1:8" ht="15.75" customHeight="1" x14ac:dyDescent="0.25">
      <c r="B23" s="27" t="s">
        <v>30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8.6770851999999982E-2</v>
      </c>
    </row>
    <row r="27" spans="1:8" ht="15.75" customHeight="1" x14ac:dyDescent="0.25">
      <c r="B27" s="19" t="s">
        <v>92</v>
      </c>
      <c r="C27" s="101">
        <v>8.6437730000000004E-3</v>
      </c>
    </row>
    <row r="28" spans="1:8" ht="15.75" customHeight="1" x14ac:dyDescent="0.25">
      <c r="B28" s="19" t="s">
        <v>93</v>
      </c>
      <c r="C28" s="101">
        <v>0.153215352</v>
      </c>
    </row>
    <row r="29" spans="1:8" ht="15.75" customHeight="1" x14ac:dyDescent="0.25">
      <c r="B29" s="19" t="s">
        <v>94</v>
      </c>
      <c r="C29" s="101">
        <v>0.165097191</v>
      </c>
    </row>
    <row r="30" spans="1:8" ht="15.75" customHeight="1" x14ac:dyDescent="0.25">
      <c r="B30" s="19" t="s">
        <v>95</v>
      </c>
      <c r="C30" s="101">
        <v>0.10312302</v>
      </c>
    </row>
    <row r="31" spans="1:8" ht="15.75" customHeight="1" x14ac:dyDescent="0.25">
      <c r="B31" s="19" t="s">
        <v>96</v>
      </c>
      <c r="C31" s="101">
        <v>0.106218667</v>
      </c>
    </row>
    <row r="32" spans="1:8" ht="15.75" customHeight="1" x14ac:dyDescent="0.25">
      <c r="B32" s="19" t="s">
        <v>97</v>
      </c>
      <c r="C32" s="101">
        <v>1.8201770999999999E-2</v>
      </c>
    </row>
    <row r="33" spans="2:3" ht="15.75" customHeight="1" x14ac:dyDescent="0.25">
      <c r="B33" s="19" t="s">
        <v>98</v>
      </c>
      <c r="C33" s="101">
        <v>8.2691194999999981E-2</v>
      </c>
    </row>
    <row r="34" spans="2:3" ht="15.75" customHeight="1" x14ac:dyDescent="0.25">
      <c r="B34" s="19" t="s">
        <v>99</v>
      </c>
      <c r="C34" s="101">
        <v>0.27603818000000002</v>
      </c>
    </row>
    <row r="35" spans="2:3" ht="15.75" customHeight="1" x14ac:dyDescent="0.25">
      <c r="B35" s="27" t="s">
        <v>30</v>
      </c>
      <c r="C35" s="48">
        <f>SUM(C26:C34)</f>
        <v>1.0000000010000001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0.57919360397197361</v>
      </c>
      <c r="D2" s="52">
        <f>IFERROR(1-_xlfn.NORM.DIST(_xlfn.NORM.INV(SUM(D4:D5), 0, 1) + 1, 0, 1, TRUE), "")</f>
        <v>0.57919360397197361</v>
      </c>
      <c r="E2" s="52">
        <f>IFERROR(1-_xlfn.NORM.DIST(_xlfn.NORM.INV(SUM(E4:E5), 0, 1) + 1, 0, 1, TRUE), "")</f>
        <v>0.5463948001767307</v>
      </c>
      <c r="F2" s="52">
        <f>IFERROR(1-_xlfn.NORM.DIST(_xlfn.NORM.INV(SUM(F4:F5), 0, 1) + 1, 0, 1, TRUE), "")</f>
        <v>0.37279200832134851</v>
      </c>
      <c r="G2" s="52">
        <f>IFERROR(1-_xlfn.NORM.DIST(_xlfn.NORM.INV(SUM(G4:G5), 0, 1) + 1, 0, 1, TRUE), "")</f>
        <v>0.34714277559116313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0.30570389602802639</v>
      </c>
      <c r="D3" s="52">
        <f>IFERROR(_xlfn.NORM.DIST(_xlfn.NORM.INV(SUM(D4:D5), 0, 1) + 1, 0, 1, TRUE) - SUM(D4:D5), "")</f>
        <v>0.30570389602802639</v>
      </c>
      <c r="E3" s="52">
        <f>IFERROR(_xlfn.NORM.DIST(_xlfn.NORM.INV(SUM(E4:E5), 0, 1) + 1, 0, 1, TRUE) - SUM(E4:E5), "")</f>
        <v>0.32151349982326938</v>
      </c>
      <c r="F3" s="52">
        <f>IFERROR(_xlfn.NORM.DIST(_xlfn.NORM.INV(SUM(F4:F5), 0, 1) + 1, 0, 1, TRUE) - SUM(F4:F5), "")</f>
        <v>0.37753919167865146</v>
      </c>
      <c r="G3" s="52">
        <f>IFERROR(_xlfn.NORM.DIST(_xlfn.NORM.INV(SUM(G4:G5), 0, 1) + 1, 0, 1, TRUE) - SUM(G4:G5), "")</f>
        <v>0.38091652440883683</v>
      </c>
    </row>
    <row r="4" spans="1:15" ht="15.75" customHeight="1" x14ac:dyDescent="0.25">
      <c r="B4" s="5" t="s">
        <v>104</v>
      </c>
      <c r="C4" s="45">
        <v>8.1605000000000011E-2</v>
      </c>
      <c r="D4" s="53">
        <v>8.1605000000000011E-2</v>
      </c>
      <c r="E4" s="53">
        <v>0.1052949</v>
      </c>
      <c r="F4" s="53">
        <v>0.18231169999999999</v>
      </c>
      <c r="G4" s="53">
        <v>0.19312360000000001</v>
      </c>
    </row>
    <row r="5" spans="1:15" ht="15.75" customHeight="1" x14ac:dyDescent="0.25">
      <c r="B5" s="5" t="s">
        <v>105</v>
      </c>
      <c r="C5" s="45">
        <v>3.3497499999999999E-2</v>
      </c>
      <c r="D5" s="53">
        <v>3.3497499999999999E-2</v>
      </c>
      <c r="E5" s="53">
        <v>2.6796799999999999E-2</v>
      </c>
      <c r="F5" s="53">
        <v>6.7357100000000003E-2</v>
      </c>
      <c r="G5" s="53">
        <v>7.8817100000000001E-2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0.73361145467145561</v>
      </c>
      <c r="D8" s="52">
        <f>IFERROR(1-_xlfn.NORM.DIST(_xlfn.NORM.INV(SUM(D10:D11), 0, 1) + 1, 0, 1, TRUE), "")</f>
        <v>0.73361145467145561</v>
      </c>
      <c r="E8" s="52">
        <f>IFERROR(1-_xlfn.NORM.DIST(_xlfn.NORM.INV(SUM(E10:E11), 0, 1) + 1, 0, 1, TRUE), "")</f>
        <v>0.64267290186158221</v>
      </c>
      <c r="F8" s="52">
        <f>IFERROR(1-_xlfn.NORM.DIST(_xlfn.NORM.INV(SUM(F10:F11), 0, 1) + 1, 0, 1, TRUE), "")</f>
        <v>0.64945178546766857</v>
      </c>
      <c r="G8" s="52">
        <f>IFERROR(1-_xlfn.NORM.DIST(_xlfn.NORM.INV(SUM(G10:G11), 0, 1) + 1, 0, 1, TRUE), "")</f>
        <v>0.75907848725239124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0.21417634532854435</v>
      </c>
      <c r="D9" s="52">
        <f>IFERROR(_xlfn.NORM.DIST(_xlfn.NORM.INV(SUM(D10:D11), 0, 1) + 1, 0, 1, TRUE) - SUM(D10:D11), "")</f>
        <v>0.21417634532854435</v>
      </c>
      <c r="E9" s="52">
        <f>IFERROR(_xlfn.NORM.DIST(_xlfn.NORM.INV(SUM(E10:E11), 0, 1) + 1, 0, 1, TRUE) - SUM(E10:E11), "")</f>
        <v>0.27129679813841778</v>
      </c>
      <c r="F9" s="52">
        <f>IFERROR(_xlfn.NORM.DIST(_xlfn.NORM.INV(SUM(F10:F11), 0, 1) + 1, 0, 1, TRUE) - SUM(F10:F11), "")</f>
        <v>0.26734461453233144</v>
      </c>
      <c r="G9" s="52">
        <f>IFERROR(_xlfn.NORM.DIST(_xlfn.NORM.INV(SUM(G10:G11), 0, 1) + 1, 0, 1, TRUE) - SUM(G10:G11), "")</f>
        <v>0.1966694127476088</v>
      </c>
    </row>
    <row r="10" spans="1:15" ht="15.75" customHeight="1" x14ac:dyDescent="0.25">
      <c r="B10" s="5" t="s">
        <v>109</v>
      </c>
      <c r="C10" s="45">
        <v>2.8096699999999999E-2</v>
      </c>
      <c r="D10" s="53">
        <v>2.8096699999999999E-2</v>
      </c>
      <c r="E10" s="53">
        <v>6.3847899999999999E-2</v>
      </c>
      <c r="F10" s="53">
        <v>7.6616400000000001E-2</v>
      </c>
      <c r="G10" s="53">
        <v>3.5812400000000001E-2</v>
      </c>
    </row>
    <row r="11" spans="1:15" ht="15.75" customHeight="1" x14ac:dyDescent="0.25">
      <c r="B11" s="5" t="s">
        <v>110</v>
      </c>
      <c r="C11" s="45">
        <v>2.4115500000000002E-2</v>
      </c>
      <c r="D11" s="53">
        <v>2.4115500000000002E-2</v>
      </c>
      <c r="E11" s="53">
        <v>2.2182400000000001E-2</v>
      </c>
      <c r="F11" s="53">
        <v>6.5871999999999997E-3</v>
      </c>
      <c r="G11" s="53">
        <v>8.4396999999999996E-3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0.88048884075</v>
      </c>
      <c r="D14" s="54">
        <v>0.87291714786499996</v>
      </c>
      <c r="E14" s="54">
        <v>0.87291714786499996</v>
      </c>
      <c r="F14" s="54">
        <v>0.76156848676900002</v>
      </c>
      <c r="G14" s="54">
        <v>0.76156848676900002</v>
      </c>
      <c r="H14" s="45">
        <v>0.61399999999999999</v>
      </c>
      <c r="I14" s="55">
        <v>0.61399999999999999</v>
      </c>
      <c r="J14" s="55">
        <v>0.61399999999999999</v>
      </c>
      <c r="K14" s="55">
        <v>0.61399999999999999</v>
      </c>
      <c r="L14" s="45">
        <v>0.47699999999999998</v>
      </c>
      <c r="M14" s="55">
        <v>0.47699999999999998</v>
      </c>
      <c r="N14" s="55">
        <v>0.47699999999999998</v>
      </c>
      <c r="O14" s="55">
        <v>0.47699999999999998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0.37117535375120697</v>
      </c>
      <c r="D15" s="52">
        <f t="shared" si="0"/>
        <v>0.36798346118537789</v>
      </c>
      <c r="E15" s="52">
        <f t="shared" si="0"/>
        <v>0.36798346118537789</v>
      </c>
      <c r="F15" s="52">
        <f t="shared" si="0"/>
        <v>0.32104376500839255</v>
      </c>
      <c r="G15" s="52">
        <f t="shared" si="0"/>
        <v>0.32104376500839255</v>
      </c>
      <c r="H15" s="52">
        <f t="shared" si="0"/>
        <v>0.258835384</v>
      </c>
      <c r="I15" s="52">
        <f t="shared" si="0"/>
        <v>0.258835384</v>
      </c>
      <c r="J15" s="52">
        <f t="shared" si="0"/>
        <v>0.258835384</v>
      </c>
      <c r="K15" s="52">
        <f t="shared" si="0"/>
        <v>0.258835384</v>
      </c>
      <c r="L15" s="52">
        <f t="shared" si="0"/>
        <v>0.20108221199999998</v>
      </c>
      <c r="M15" s="52">
        <f t="shared" si="0"/>
        <v>0.20108221199999998</v>
      </c>
      <c r="N15" s="52">
        <f t="shared" si="0"/>
        <v>0.20108221199999998</v>
      </c>
      <c r="O15" s="52">
        <f t="shared" si="0"/>
        <v>0.20108221199999998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0.85698930000000006</v>
      </c>
      <c r="D2" s="53">
        <v>0.61859039999999998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4.8051399999999987E-2</v>
      </c>
      <c r="D3" s="53">
        <v>0.16119710000000001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8.3939299999999994E-2</v>
      </c>
      <c r="D4" s="53">
        <v>0.21219060000000001</v>
      </c>
      <c r="E4" s="53">
        <v>0.97784219999999999</v>
      </c>
      <c r="F4" s="53">
        <v>0.79836010000000002</v>
      </c>
      <c r="G4" s="53">
        <v>0</v>
      </c>
    </row>
    <row r="5" spans="1:7" x14ac:dyDescent="0.25">
      <c r="B5" s="3" t="s">
        <v>122</v>
      </c>
      <c r="C5" s="52">
        <v>1.102E-2</v>
      </c>
      <c r="D5" s="52">
        <v>8.0219000000000002E-3</v>
      </c>
      <c r="E5" s="52">
        <f>1-SUM(E2:E4)</f>
        <v>2.2157800000000005E-2</v>
      </c>
      <c r="F5" s="52">
        <f>1-SUM(F2:F4)</f>
        <v>0.20163989999999998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x14ac:dyDescent="0.25">
      <c r="A2" s="8" t="s">
        <v>137</v>
      </c>
      <c r="B2" s="41">
        <v>10</v>
      </c>
    </row>
    <row r="3" spans="1:2" x14ac:dyDescent="0.25">
      <c r="A3" s="8" t="s">
        <v>138</v>
      </c>
      <c r="B3" s="41">
        <v>10</v>
      </c>
    </row>
    <row r="4" spans="1:2" x14ac:dyDescent="0.25">
      <c r="A4" s="8" t="s">
        <v>139</v>
      </c>
      <c r="B4" s="41">
        <v>10</v>
      </c>
    </row>
    <row r="5" spans="1:2" x14ac:dyDescent="0.25">
      <c r="A5" s="8" t="s">
        <v>140</v>
      </c>
      <c r="B5" s="41">
        <v>10</v>
      </c>
    </row>
    <row r="6" spans="1:2" x14ac:dyDescent="0.25">
      <c r="A6" s="8" t="s">
        <v>141</v>
      </c>
      <c r="B6" s="41">
        <v>10</v>
      </c>
    </row>
    <row r="7" spans="1:2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topLeftCell="A3" zoomScale="115" zoomScaleNormal="115" workbookViewId="0">
      <selection activeCell="D12" sqref="D12:D13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x14ac:dyDescent="0.25">
      <c r="B5" s="32" t="s">
        <v>78</v>
      </c>
      <c r="C5" s="47"/>
      <c r="D5" s="47"/>
      <c r="E5" s="38" t="str">
        <f>IF(E$7="","",E$7)</f>
        <v/>
      </c>
    </row>
    <row r="6" spans="1:5" x14ac:dyDescent="0.25">
      <c r="B6" s="32" t="s">
        <v>79</v>
      </c>
      <c r="C6" s="47"/>
      <c r="D6" s="47"/>
      <c r="E6" s="38" t="str">
        <f>IF(E$7="","",E$7)</f>
        <v/>
      </c>
    </row>
    <row r="7" spans="1:5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0.17805546630350999</v>
      </c>
      <c r="C2" s="98">
        <v>0.95</v>
      </c>
      <c r="D2" s="56">
        <v>35.286531868543193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</v>
      </c>
      <c r="C3" s="98">
        <v>0.95</v>
      </c>
      <c r="D3" s="56">
        <v>44.645110031904643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57.846169364861282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0.14631853752647689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</v>
      </c>
      <c r="C10" s="98">
        <v>0.95</v>
      </c>
      <c r="D10" s="56">
        <v>14.170171901025009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</v>
      </c>
      <c r="C11" s="98">
        <v>0.95</v>
      </c>
      <c r="D11" s="56">
        <v>14.170171901025009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</v>
      </c>
      <c r="C12" s="98">
        <v>0.95</v>
      </c>
      <c r="D12" s="56">
        <v>14.170171901025009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</v>
      </c>
      <c r="C13" s="98">
        <v>0.95</v>
      </c>
      <c r="D13" s="56">
        <v>14.170171901025009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</v>
      </c>
      <c r="C14" s="98">
        <v>0.95</v>
      </c>
      <c r="D14" s="56">
        <v>14.170171901025009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</v>
      </c>
      <c r="C15" s="98">
        <v>0.95</v>
      </c>
      <c r="D15" s="56">
        <v>14.170171901025009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0.19669800138324001</v>
      </c>
      <c r="C16" s="98">
        <v>0.95</v>
      </c>
      <c r="D16" s="56">
        <v>0.22645423336558179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0.83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</v>
      </c>
      <c r="C18" s="98">
        <v>0.95</v>
      </c>
      <c r="D18" s="56">
        <v>1.4408777640412029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</v>
      </c>
      <c r="C19" s="98">
        <v>0.95</v>
      </c>
      <c r="D19" s="56">
        <v>1.4408777640412029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0.29872090000000001</v>
      </c>
      <c r="C21" s="98">
        <v>0.95</v>
      </c>
      <c r="D21" s="56">
        <v>1.33337149951185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24.144360821115921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4.0841000000000002E-3</v>
      </c>
      <c r="C23" s="98">
        <v>0.95</v>
      </c>
      <c r="D23" s="56">
        <v>4.6467238358608798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0.63168587413639998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0.16281336903467999</v>
      </c>
      <c r="C27" s="98">
        <v>0.95</v>
      </c>
      <c r="D27" s="56">
        <v>20.475417278229141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0.13601840000000001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</v>
      </c>
      <c r="C29" s="98">
        <v>0.95</v>
      </c>
      <c r="D29" s="56">
        <v>61.740822968925912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6.4000000000000001E-2</v>
      </c>
      <c r="C31" s="98">
        <v>0.95</v>
      </c>
      <c r="D31" s="56">
        <v>0.95248474388694404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0.61859039999999998</v>
      </c>
      <c r="C32" s="98">
        <v>0.95</v>
      </c>
      <c r="D32" s="56">
        <v>0.42565395189955457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0.19197639999999999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0.96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0.1043224</v>
      </c>
      <c r="C38" s="98">
        <v>0.95</v>
      </c>
      <c r="D38" s="56">
        <v>5.316248687042834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0.1860724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tabSelected="1" workbookViewId="0">
      <selection activeCell="C13" sqref="C13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x14ac:dyDescent="0.25">
      <c r="A2" s="57" t="s">
        <v>179</v>
      </c>
      <c r="B2" s="47" t="s">
        <v>189</v>
      </c>
      <c r="C2" s="47"/>
    </row>
    <row r="3" spans="1:3" x14ac:dyDescent="0.25">
      <c r="A3" s="57" t="s">
        <v>180</v>
      </c>
      <c r="B3" s="47" t="s">
        <v>189</v>
      </c>
      <c r="C3" s="47"/>
    </row>
    <row r="4" spans="1:3" x14ac:dyDescent="0.25">
      <c r="A4" s="57" t="s">
        <v>191</v>
      </c>
      <c r="B4" s="47" t="s">
        <v>184</v>
      </c>
      <c r="C4" s="47"/>
    </row>
    <row r="5" spans="1:3" x14ac:dyDescent="0.25">
      <c r="A5" s="57" t="s">
        <v>188</v>
      </c>
      <c r="B5" s="47" t="s">
        <v>184</v>
      </c>
      <c r="C5" s="47"/>
    </row>
    <row r="6" spans="1:3" x14ac:dyDescent="0.25">
      <c r="A6" s="57"/>
      <c r="B6" s="58"/>
      <c r="C6" s="58"/>
    </row>
    <row r="7" spans="1:3" x14ac:dyDescent="0.25">
      <c r="A7" s="57"/>
      <c r="B7" s="58"/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x14ac:dyDescent="0.25">
      <c r="A2" s="33" t="s">
        <v>171</v>
      </c>
    </row>
    <row r="3" spans="1:1" x14ac:dyDescent="0.25">
      <c r="A3" s="33" t="s">
        <v>181</v>
      </c>
    </row>
    <row r="4" spans="1:1" x14ac:dyDescent="0.25">
      <c r="A4" s="33" t="s">
        <v>185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3.3</v>
      </c>
      <c r="C2" s="21">
        <f>'Baseline year population inputs'!C52</f>
        <v>3.3</v>
      </c>
      <c r="D2" s="21">
        <f>'Baseline year population inputs'!C53</f>
        <v>3.3</v>
      </c>
      <c r="E2" s="21">
        <f>'Baseline year population inputs'!C54</f>
        <v>3.3</v>
      </c>
      <c r="F2" s="21">
        <f>'Baseline year population inputs'!C55</f>
        <v>3.3</v>
      </c>
    </row>
    <row r="3" spans="1:6" ht="15.75" customHeight="1" x14ac:dyDescent="0.25">
      <c r="A3" s="3" t="s">
        <v>204</v>
      </c>
      <c r="B3" s="21">
        <f>frac_mam_1month * 2.6</f>
        <v>7.3051420000000006E-2</v>
      </c>
      <c r="C3" s="21">
        <f>frac_mam_1_5months * 2.6</f>
        <v>7.3051420000000006E-2</v>
      </c>
      <c r="D3" s="21">
        <f>frac_mam_6_11months * 2.6</f>
        <v>0.16600454000000001</v>
      </c>
      <c r="E3" s="21">
        <f>frac_mam_12_23months * 2.6</f>
        <v>0.19920264000000001</v>
      </c>
      <c r="F3" s="21">
        <f>frac_mam_24_59months * 2.6</f>
        <v>9.3112240000000013E-2</v>
      </c>
    </row>
    <row r="4" spans="1:6" ht="15.75" customHeight="1" x14ac:dyDescent="0.25">
      <c r="A4" s="3" t="s">
        <v>205</v>
      </c>
      <c r="B4" s="21">
        <f>frac_sam_1month * 2.6</f>
        <v>6.27003E-2</v>
      </c>
      <c r="C4" s="21">
        <f>frac_sam_1_5months * 2.6</f>
        <v>6.27003E-2</v>
      </c>
      <c r="D4" s="21">
        <f>frac_sam_6_11months * 2.6</f>
        <v>5.7674240000000009E-2</v>
      </c>
      <c r="E4" s="21">
        <f>frac_sam_12_23months * 2.6</f>
        <v>1.7126719999999998E-2</v>
      </c>
      <c r="F4" s="21">
        <f>frac_sam_24_59months * 2.6</f>
        <v>2.1943219999999999E-2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0.498</v>
      </c>
      <c r="E2" s="60">
        <f>food_insecure</f>
        <v>0.498</v>
      </c>
      <c r="F2" s="60">
        <f>food_insecure</f>
        <v>0.498</v>
      </c>
      <c r="G2" s="60">
        <f>food_insecure</f>
        <v>0.498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0.498</v>
      </c>
      <c r="F5" s="60">
        <f>food_insecure</f>
        <v>0.498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0.498</v>
      </c>
      <c r="F8" s="60">
        <f>food_insecure</f>
        <v>0.498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0.498</v>
      </c>
      <c r="F9" s="60">
        <f>food_insecure</f>
        <v>0.498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0.498</v>
      </c>
      <c r="I15" s="60">
        <f>food_insecure</f>
        <v>0.498</v>
      </c>
      <c r="J15" s="60">
        <f>food_insecure</f>
        <v>0.498</v>
      </c>
      <c r="K15" s="60">
        <f>food_insecure</f>
        <v>0.498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1</v>
      </c>
      <c r="I19" s="60">
        <f>frac_malaria_risk</f>
        <v>1</v>
      </c>
      <c r="J19" s="60">
        <f>frac_malaria_risk</f>
        <v>1</v>
      </c>
      <c r="K19" s="60">
        <f>frac_malaria_risk</f>
        <v>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0.67900000000000005</v>
      </c>
      <c r="M24" s="60">
        <f>famplan_unmet_need</f>
        <v>0.67900000000000005</v>
      </c>
      <c r="N24" s="60">
        <f>famplan_unmet_need</f>
        <v>0.67900000000000005</v>
      </c>
      <c r="O24" s="60">
        <f>famplan_unmet_need</f>
        <v>0.67900000000000005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0.39619898541870135</v>
      </c>
      <c r="M25" s="60">
        <f>(1-food_insecure)*(0.49)+food_insecure*(0.7)</f>
        <v>0.59458</v>
      </c>
      <c r="N25" s="60">
        <f>(1-food_insecure)*(0.49)+food_insecure*(0.7)</f>
        <v>0.59458</v>
      </c>
      <c r="O25" s="60">
        <f>(1-food_insecure)*(0.49)+food_insecure*(0.7)</f>
        <v>0.59458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0.16979956517944345</v>
      </c>
      <c r="M26" s="60">
        <f>(1-food_insecure)*(0.21)+food_insecure*(0.3)</f>
        <v>0.25481999999999999</v>
      </c>
      <c r="N26" s="60">
        <f>(1-food_insecure)*(0.21)+food_insecure*(0.3)</f>
        <v>0.25481999999999999</v>
      </c>
      <c r="O26" s="60">
        <f>(1-food_insecure)*(0.21)+food_insecure*(0.3)</f>
        <v>0.25481999999999999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0.10035246258544925</v>
      </c>
      <c r="M27" s="60">
        <f>(1-food_insecure)*(0.3)</f>
        <v>0.15059999999999998</v>
      </c>
      <c r="N27" s="60">
        <f>(1-food_insecure)*(0.3)</f>
        <v>0.15059999999999998</v>
      </c>
      <c r="O27" s="60">
        <f>(1-food_insecure)*(0.3)</f>
        <v>0.15059999999999998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0.33364898681640598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0.05</v>
      </c>
      <c r="F30" s="60">
        <f t="shared" si="0"/>
        <v>0.05</v>
      </c>
      <c r="G30" s="60">
        <f t="shared" si="0"/>
        <v>0.05</v>
      </c>
      <c r="H30" s="60">
        <f t="shared" si="0"/>
        <v>0.05</v>
      </c>
      <c r="I30" s="60">
        <f t="shared" si="0"/>
        <v>0.05</v>
      </c>
      <c r="J30" s="60">
        <f t="shared" si="0"/>
        <v>0.05</v>
      </c>
      <c r="K30" s="60">
        <f t="shared" si="0"/>
        <v>0.05</v>
      </c>
      <c r="L30" s="60">
        <f t="shared" si="0"/>
        <v>0.05</v>
      </c>
      <c r="M30" s="60">
        <f t="shared" si="0"/>
        <v>0.05</v>
      </c>
      <c r="N30" s="60">
        <f t="shared" si="0"/>
        <v>0.05</v>
      </c>
      <c r="O30" s="60">
        <f t="shared" si="0"/>
        <v>0.05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0.7</v>
      </c>
      <c r="F31" s="60">
        <f t="shared" si="1"/>
        <v>0.7</v>
      </c>
      <c r="G31" s="60">
        <f t="shared" si="1"/>
        <v>0.7</v>
      </c>
      <c r="H31" s="60">
        <f t="shared" si="1"/>
        <v>0.7</v>
      </c>
      <c r="I31" s="60">
        <f t="shared" si="1"/>
        <v>0.7</v>
      </c>
      <c r="J31" s="60">
        <f t="shared" si="1"/>
        <v>0.7</v>
      </c>
      <c r="K31" s="60">
        <f t="shared" si="1"/>
        <v>0.7</v>
      </c>
      <c r="L31" s="60">
        <f t="shared" si="1"/>
        <v>0.7</v>
      </c>
      <c r="M31" s="60">
        <f t="shared" si="1"/>
        <v>0.7</v>
      </c>
      <c r="N31" s="60">
        <f t="shared" si="1"/>
        <v>0.7</v>
      </c>
      <c r="O31" s="60">
        <f t="shared" si="1"/>
        <v>0.7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0.05</v>
      </c>
      <c r="F32" s="60">
        <f t="shared" si="2"/>
        <v>0.05</v>
      </c>
      <c r="G32" s="60">
        <f t="shared" si="2"/>
        <v>0.05</v>
      </c>
      <c r="H32" s="60">
        <f t="shared" si="2"/>
        <v>0.05</v>
      </c>
      <c r="I32" s="60">
        <f t="shared" si="2"/>
        <v>0.05</v>
      </c>
      <c r="J32" s="60">
        <f t="shared" si="2"/>
        <v>0.05</v>
      </c>
      <c r="K32" s="60">
        <f t="shared" si="2"/>
        <v>0.05</v>
      </c>
      <c r="L32" s="60">
        <f t="shared" si="2"/>
        <v>0.05</v>
      </c>
      <c r="M32" s="60">
        <f t="shared" si="2"/>
        <v>0.05</v>
      </c>
      <c r="N32" s="60">
        <f t="shared" si="2"/>
        <v>0.05</v>
      </c>
      <c r="O32" s="60">
        <f t="shared" si="2"/>
        <v>0.05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1</v>
      </c>
      <c r="D34" s="60">
        <f t="shared" si="3"/>
        <v>1</v>
      </c>
      <c r="E34" s="60">
        <f t="shared" si="3"/>
        <v>1</v>
      </c>
      <c r="F34" s="60">
        <f t="shared" si="3"/>
        <v>1</v>
      </c>
      <c r="G34" s="60">
        <f t="shared" si="3"/>
        <v>1</v>
      </c>
      <c r="H34" s="60">
        <f t="shared" si="3"/>
        <v>1</v>
      </c>
      <c r="I34" s="60">
        <f t="shared" si="3"/>
        <v>1</v>
      </c>
      <c r="J34" s="60">
        <f t="shared" si="3"/>
        <v>1</v>
      </c>
      <c r="K34" s="60">
        <f t="shared" si="3"/>
        <v>1</v>
      </c>
      <c r="L34" s="60">
        <f t="shared" si="3"/>
        <v>1</v>
      </c>
      <c r="M34" s="60">
        <f t="shared" si="3"/>
        <v>1</v>
      </c>
      <c r="N34" s="60">
        <f t="shared" si="3"/>
        <v>1</v>
      </c>
      <c r="O34" s="60">
        <f t="shared" si="3"/>
        <v>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67</v>
      </c>
      <c r="C5" s="8" t="s">
        <v>145</v>
      </c>
      <c r="D5" s="88">
        <v>1.56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146</v>
      </c>
      <c r="D6" s="88">
        <v>1.56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77</v>
      </c>
      <c r="C8" s="8" t="s">
        <v>145</v>
      </c>
      <c r="D8" s="88">
        <v>1</v>
      </c>
      <c r="E8" s="88">
        <v>1.56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146</v>
      </c>
      <c r="D9" s="88">
        <v>1</v>
      </c>
      <c r="E9" s="88">
        <v>1.56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146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67</v>
      </c>
      <c r="C58" s="8" t="s">
        <v>145</v>
      </c>
      <c r="D58" s="88">
        <v>1.37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146</v>
      </c>
      <c r="D59" s="88">
        <v>1.37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77</v>
      </c>
      <c r="C61" s="8" t="s">
        <v>145</v>
      </c>
      <c r="D61" s="88">
        <f t="shared" si="2"/>
        <v>1</v>
      </c>
      <c r="E61" s="88">
        <v>1.37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146</v>
      </c>
      <c r="D62" s="88">
        <f t="shared" si="2"/>
        <v>1</v>
      </c>
      <c r="E62" s="88">
        <v>1.37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67</v>
      </c>
      <c r="C111" s="8" t="s">
        <v>145</v>
      </c>
      <c r="D111" s="88">
        <v>1.77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146</v>
      </c>
      <c r="D112" s="88">
        <v>1.77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147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77</v>
      </c>
      <c r="C114" s="8" t="s">
        <v>145</v>
      </c>
      <c r="D114" s="88">
        <f t="shared" si="12"/>
        <v>1</v>
      </c>
      <c r="E114" s="88">
        <v>1.77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146</v>
      </c>
      <c r="D115" s="88">
        <f t="shared" si="12"/>
        <v>1</v>
      </c>
      <c r="E115" s="88">
        <v>1.77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147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78</v>
      </c>
      <c r="C117" s="8" t="s">
        <v>145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146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147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79</v>
      </c>
      <c r="C120" s="8" t="s">
        <v>145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146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147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146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147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67</v>
      </c>
      <c r="C128" s="8" t="s">
        <v>145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146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147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77</v>
      </c>
      <c r="C131" s="8" t="s">
        <v>145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146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147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78</v>
      </c>
      <c r="C134" s="8" t="s">
        <v>145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146</v>
      </c>
      <c r="D135" s="88">
        <f t="shared" ref="D135:H144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147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79</v>
      </c>
      <c r="C137" s="8" t="s">
        <v>145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146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147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146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147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67</v>
      </c>
      <c r="C145" s="8" t="s">
        <v>145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146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147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77</v>
      </c>
      <c r="C148" s="8" t="s">
        <v>145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146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147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78</v>
      </c>
      <c r="C151" s="8" t="s">
        <v>145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146</v>
      </c>
      <c r="D152" s="88">
        <f t="shared" ref="D152:H161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147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79</v>
      </c>
      <c r="C154" s="8" t="s">
        <v>145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146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147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riIqDHxQDNIc95k8WEEMlpv2yK5yRhEl3GZr9d21PG7QnhNwxgtjaWmZN+9widROwyhXiwQ4XZiTM/cZ2Cl95g==" saltValue="b1Xx0XPjIcbtdUQJGdoNkQ==" spinCount="100000" sheet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31" zoomScale="85" zoomScaleNormal="85" workbookViewId="0">
      <selection activeCell="D5" sqref="D5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OEa5xq8Dht0iRzVx1fQ1EOJdDm09uSIzQRujIfp/VJ8GNGNECqE8Uut2U6j1omy5Y9ajcKxMUHwzsTWrCb+nAw==" saltValue="Poj67khbkyqhF7WVYd6Cs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topLeftCell="A54" zoomScaleNormal="100" workbookViewId="0">
      <selection activeCell="D5" sqref="D5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rzjjr+eUY+zLxtgvRuigrXBCYk8ZjZeKkvy/Wu7lqFGhk7GKsrVngS9i2Jt2gxX9Fn0pC2b9tyB7+BxRGGivEA==" saltValue="vsQDJsypwJz22iUc18xJ6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6"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0.64</v>
      </c>
      <c r="F6" s="90">
        <v>0.64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289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v>0.44</v>
      </c>
      <c r="F29" s="90">
        <v>0.44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302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111</v>
      </c>
      <c r="B40" s="11" t="s">
        <v>303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307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3">IF(C6=1,1,C6*1.1)</f>
        <v>1</v>
      </c>
      <c r="D52" s="90">
        <f t="shared" si="3"/>
        <v>1</v>
      </c>
      <c r="E52" s="90">
        <v>0.92</v>
      </c>
      <c r="F52" s="90">
        <v>0.92</v>
      </c>
      <c r="G52" s="90">
        <f>IF(G6=1,1,G6*1.1)</f>
        <v>1</v>
      </c>
    </row>
    <row r="53" spans="1:7" x14ac:dyDescent="0.25">
      <c r="B53" s="5" t="s">
        <v>310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316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111</v>
      </c>
      <c r="B63" s="11" t="s">
        <v>317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uxH3qxfpHv3MxEVFpMF959vuuHVMbjUY0YDJlIXIgHOAA25UaRTm/IIjRx7RzEUfWaTP3eP7cZpYIm+m6J8PbA==" saltValue="wm1A0TwV/0DyOIoqtNvf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topLeftCell="A10" zoomScale="70" zoomScaleNormal="70" workbookViewId="0">
      <selection activeCell="D5" sqref="D5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Evf/7Nn9p0s2t120JFgJzNA1BIMAO9h8EmTziKGX5ZA7K3Y+rQ77oXfzNqKwsdbYQwCY96ujjsdxuDmqt1luA==" saltValue="pZcegXbvW/wKpwHEQP8pc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D5" sqref="D5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0.53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v>0.51</v>
      </c>
      <c r="M14" s="90">
        <v>0.51</v>
      </c>
      <c r="N14" s="90">
        <v>0.51</v>
      </c>
      <c r="O14" s="90">
        <v>0.51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f t="shared" ref="E19:O19" si="0">0.72</f>
        <v>0.72</v>
      </c>
      <c r="F19" s="90">
        <f t="shared" si="0"/>
        <v>0.72</v>
      </c>
      <c r="G19" s="90">
        <f t="shared" si="0"/>
        <v>0.72</v>
      </c>
      <c r="H19" s="90">
        <f t="shared" si="0"/>
        <v>0.72</v>
      </c>
      <c r="I19" s="90">
        <f t="shared" si="0"/>
        <v>0.72</v>
      </c>
      <c r="J19" s="90">
        <f t="shared" si="0"/>
        <v>0.72</v>
      </c>
      <c r="K19" s="90">
        <f t="shared" si="0"/>
        <v>0.72</v>
      </c>
      <c r="L19" s="90">
        <f t="shared" si="0"/>
        <v>0.72</v>
      </c>
      <c r="M19" s="90">
        <f t="shared" si="0"/>
        <v>0.72</v>
      </c>
      <c r="N19" s="90">
        <f t="shared" si="0"/>
        <v>0.72</v>
      </c>
      <c r="O19" s="90">
        <f t="shared" si="0"/>
        <v>0.72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90">
        <v>1</v>
      </c>
      <c r="J20" s="90">
        <v>1</v>
      </c>
      <c r="K20" s="90">
        <v>1</v>
      </c>
      <c r="L20" s="90">
        <v>1</v>
      </c>
      <c r="M20" s="90">
        <v>1</v>
      </c>
      <c r="N20" s="90">
        <v>1</v>
      </c>
      <c r="O20" s="90">
        <v>1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0.8</v>
      </c>
      <c r="F21" s="90">
        <v>0.8</v>
      </c>
      <c r="G21" s="90">
        <v>0.8</v>
      </c>
      <c r="H21" s="90">
        <v>0.8</v>
      </c>
      <c r="I21" s="90">
        <v>0.8</v>
      </c>
      <c r="J21" s="90">
        <v>0.8</v>
      </c>
      <c r="K21" s="90">
        <v>0.8</v>
      </c>
      <c r="L21" s="90">
        <v>0.8</v>
      </c>
      <c r="M21" s="90">
        <v>0.8</v>
      </c>
      <c r="N21" s="90">
        <v>0.8</v>
      </c>
      <c r="O21" s="90">
        <v>0.8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0.4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175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176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177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178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179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189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f>L32</f>
        <v>0.38</v>
      </c>
      <c r="M37" s="90">
        <f>M32</f>
        <v>0.38</v>
      </c>
      <c r="N37" s="90">
        <f>N32</f>
        <v>0.38</v>
      </c>
      <c r="O37" s="90">
        <f>O32</f>
        <v>0.38</v>
      </c>
    </row>
    <row r="38" spans="1:15" x14ac:dyDescent="0.25">
      <c r="B38" s="5" t="s">
        <v>192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173</v>
      </c>
      <c r="C42" s="90">
        <f t="shared" ref="C42:D44" si="10">IF(C19=1,1,C19*0.9)</f>
        <v>1</v>
      </c>
      <c r="D42" s="90">
        <f t="shared" si="10"/>
        <v>1</v>
      </c>
      <c r="E42" s="90">
        <v>0.54</v>
      </c>
      <c r="F42" s="90">
        <v>0.54</v>
      </c>
      <c r="G42" s="90">
        <v>0.54</v>
      </c>
      <c r="H42" s="90">
        <v>0.54</v>
      </c>
      <c r="I42" s="90">
        <v>0.54</v>
      </c>
      <c r="J42" s="90">
        <v>0.54</v>
      </c>
      <c r="K42" s="90">
        <v>0.54</v>
      </c>
      <c r="L42" s="90">
        <v>0.54</v>
      </c>
      <c r="M42" s="90">
        <v>0.54</v>
      </c>
      <c r="N42" s="90">
        <v>0.54</v>
      </c>
      <c r="O42" s="90">
        <v>0.54</v>
      </c>
    </row>
    <row r="43" spans="1:15" x14ac:dyDescent="0.25">
      <c r="B43" s="5" t="s">
        <v>174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1</v>
      </c>
      <c r="F43" s="90">
        <f t="shared" si="11"/>
        <v>1</v>
      </c>
      <c r="G43" s="90">
        <f t="shared" si="11"/>
        <v>1</v>
      </c>
      <c r="H43" s="90">
        <f t="shared" si="11"/>
        <v>1</v>
      </c>
      <c r="I43" s="90">
        <f t="shared" si="11"/>
        <v>1</v>
      </c>
      <c r="J43" s="90">
        <f t="shared" si="11"/>
        <v>1</v>
      </c>
      <c r="K43" s="90">
        <f t="shared" si="11"/>
        <v>1</v>
      </c>
      <c r="L43" s="90">
        <f t="shared" si="11"/>
        <v>1</v>
      </c>
      <c r="M43" s="90">
        <f t="shared" si="11"/>
        <v>1</v>
      </c>
      <c r="N43" s="90">
        <f t="shared" si="11"/>
        <v>1</v>
      </c>
      <c r="O43" s="90">
        <f t="shared" si="11"/>
        <v>1</v>
      </c>
    </row>
    <row r="44" spans="1:15" x14ac:dyDescent="0.25">
      <c r="B44" s="5" t="s">
        <v>182</v>
      </c>
      <c r="C44" s="90">
        <f t="shared" si="10"/>
        <v>1</v>
      </c>
      <c r="D44" s="90">
        <f t="shared" si="10"/>
        <v>1</v>
      </c>
      <c r="E44" s="90">
        <v>0.7</v>
      </c>
      <c r="F44" s="90">
        <v>0.7</v>
      </c>
      <c r="G44" s="90">
        <v>0.7</v>
      </c>
      <c r="H44" s="90">
        <v>0.7</v>
      </c>
      <c r="I44" s="90">
        <v>0.7</v>
      </c>
      <c r="J44" s="90">
        <v>0.7</v>
      </c>
      <c r="K44" s="90">
        <v>0.7</v>
      </c>
      <c r="L44" s="90">
        <v>0.7</v>
      </c>
      <c r="M44" s="90">
        <v>0.7</v>
      </c>
      <c r="N44" s="90">
        <v>0.7</v>
      </c>
      <c r="O44" s="90">
        <v>0.7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0.7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175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176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177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178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179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189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f>L54</f>
        <v>0.7</v>
      </c>
      <c r="M60" s="90">
        <f>M54</f>
        <v>0.7</v>
      </c>
      <c r="N60" s="90">
        <f>N54</f>
        <v>0.7</v>
      </c>
      <c r="O60" s="90">
        <f>O54</f>
        <v>0.7</v>
      </c>
    </row>
    <row r="61" spans="1:15" x14ac:dyDescent="0.25">
      <c r="B61" s="5" t="s">
        <v>192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173</v>
      </c>
      <c r="C65" s="90">
        <f t="shared" ref="C65:D67" si="21">IF(C19=1,1,C19*1.05)</f>
        <v>1</v>
      </c>
      <c r="D65" s="90">
        <f t="shared" si="21"/>
        <v>1</v>
      </c>
      <c r="E65" s="90">
        <v>0.97</v>
      </c>
      <c r="F65" s="90">
        <v>0.97</v>
      </c>
      <c r="G65" s="90">
        <v>0.97</v>
      </c>
      <c r="H65" s="90">
        <v>0.97</v>
      </c>
      <c r="I65" s="90">
        <v>0.97</v>
      </c>
      <c r="J65" s="90">
        <v>0.97</v>
      </c>
      <c r="K65" s="90">
        <v>0.97</v>
      </c>
      <c r="L65" s="90">
        <v>0.97</v>
      </c>
      <c r="M65" s="90">
        <v>0.97</v>
      </c>
      <c r="N65" s="90">
        <v>0.97</v>
      </c>
      <c r="O65" s="90">
        <v>0.97</v>
      </c>
    </row>
    <row r="66" spans="2:15" x14ac:dyDescent="0.25">
      <c r="B66" s="5" t="s">
        <v>174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</v>
      </c>
      <c r="F66" s="90">
        <f t="shared" si="22"/>
        <v>1</v>
      </c>
      <c r="G66" s="90">
        <f t="shared" si="22"/>
        <v>1</v>
      </c>
      <c r="H66" s="90">
        <f t="shared" si="22"/>
        <v>1</v>
      </c>
      <c r="I66" s="90">
        <f t="shared" si="22"/>
        <v>1</v>
      </c>
      <c r="J66" s="90">
        <f t="shared" si="22"/>
        <v>1</v>
      </c>
      <c r="K66" s="90">
        <f t="shared" si="22"/>
        <v>1</v>
      </c>
      <c r="L66" s="90">
        <f t="shared" si="22"/>
        <v>1</v>
      </c>
      <c r="M66" s="90">
        <f t="shared" si="22"/>
        <v>1</v>
      </c>
      <c r="N66" s="90">
        <f t="shared" si="22"/>
        <v>1</v>
      </c>
      <c r="O66" s="90">
        <f t="shared" si="22"/>
        <v>1</v>
      </c>
    </row>
    <row r="67" spans="2:15" x14ac:dyDescent="0.25">
      <c r="B67" s="5" t="s">
        <v>182</v>
      </c>
      <c r="C67" s="90">
        <f t="shared" si="21"/>
        <v>1</v>
      </c>
      <c r="D67" s="90">
        <f t="shared" si="21"/>
        <v>1</v>
      </c>
      <c r="E67" s="90">
        <v>0.92</v>
      </c>
      <c r="F67" s="90">
        <v>0.92</v>
      </c>
      <c r="G67" s="90">
        <v>0.92</v>
      </c>
      <c r="H67" s="90">
        <v>0.92</v>
      </c>
      <c r="I67" s="90">
        <v>0.92</v>
      </c>
      <c r="J67" s="90">
        <v>0.92</v>
      </c>
      <c r="K67" s="90">
        <v>0.92</v>
      </c>
      <c r="L67" s="90">
        <v>0.92</v>
      </c>
      <c r="M67" s="90">
        <v>0.92</v>
      </c>
      <c r="N67" s="90">
        <v>0.92</v>
      </c>
      <c r="O67" s="90">
        <f>IF(ISBLANK('Nutritional status distribution'!O$14),0.92,(0.92*'Nutritional status distribution'!O$14/(1-0.92*'Nutritional status distribution'!O$14))
/ ('Nutritional status distribution'!O$14/(1-'Nutritional status distribution'!O$14)))</f>
        <v>0.85743816380354998</v>
      </c>
    </row>
  </sheetData>
  <sheetProtection algorithmName="SHA-512" hashValue="QTNrTNcX0LQnvnw9OcFIuF8iiKsb7nBsadUCrO1kCxqB4CvEkER3v8YCwNBmR8txM/1IAuOQ/zC/vA8HLWjOhA==" saltValue="f5+QlQPEjGE24L/HhPaCM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ZIjv20oIFeX8hEAP3JXu7+FjYQdIWvRgXIH4IkxRsMm14MAW5JMg2x9QOPJ7rc+IAMFEDvKO0XCydnz4Atw3VA==" saltValue="eIHIWivrA2mRyU/FI0KAAQ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53" zoomScale="80" zoomScaleNormal="80" workbookViewId="0">
      <selection activeCell="D5" sqref="D5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340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340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gIF3gzcRwMevsVP9JM+eFJliWIfkjL6RYnVy29HH1zFwKTB/eJc1NVFGROY84dwrfqcI+B8KpOZ1waT1qDgCXQ==" saltValue="0Itsi1W8Rg+oXl6coWpoc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SSCu+FR+SN+siPEoAiap+3g3Z0SGqFtJklZqGSbEJvGKfBY2J7BHBpfevFvAYPx8Hf15tBeGKZdJ4ehQEpyLRg==" saltValue="A0PmMaoo+OfazXy7x4UxVw==" spinCount="100000" sheet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2024-03-28T03:04:47Z</dcterms:modified>
</cp:coreProperties>
</file>