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83AD4D50-96BA-47B2-BA2E-58FE944266ED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1" i="2"/>
  <c r="A26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A22" i="2"/>
  <c r="A36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<sst xmlns="http://schemas.openxmlformats.org/spreadsheetml/2006/main" count="2159" uniqueCount="372">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</sst>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1356700</v>
      </c>
    </row>
    <row r="8" spans="1:3" ht="15" customHeight="1" x14ac:dyDescent="0.25">
      <c r="B8" s="5" t="s">
        <v>8</v>
      </c>
      <c r="C8" s="44">
        <v>0.60399999999999998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0.33452150000000003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0.10150000000000001</v>
      </c>
    </row>
    <row r="24" spans="1:3" ht="15" customHeight="1" x14ac:dyDescent="0.25">
      <c r="B24" s="15" t="s">
        <v>22</v>
      </c>
      <c r="C24" s="45">
        <v>0.48739999999999989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0.23555809089780999</v>
      </c>
    </row>
    <row r="30" spans="1:3" ht="14.25" customHeight="1" x14ac:dyDescent="0.25">
      <c r="B30" s="25" t="s">
        <v>27</v>
      </c>
      <c r="C30" s="99">
        <v>3.4184984059818603E-2</v>
      </c>
    </row>
    <row r="31" spans="1:3" ht="14.25" customHeight="1" x14ac:dyDescent="0.25">
      <c r="B31" s="25" t="s">
        <v>28</v>
      </c>
      <c r="C31" s="99">
        <v>6.8897621814072496E-2</v>
      </c>
    </row>
    <row r="32" spans="1:3" ht="14.25" customHeight="1" x14ac:dyDescent="0.25">
      <c r="B32" s="25" t="s">
        <v>29</v>
      </c>
      <c r="C32" s="99">
        <v>0.66135930322829906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24.042400000000001</v>
      </c>
    </row>
    <row r="38" spans="1:5" ht="15" customHeight="1" x14ac:dyDescent="0.25">
      <c r="B38" s="11" t="s">
        <v>34</v>
      </c>
      <c r="C38" s="43">
        <v>43.35671</v>
      </c>
      <c r="D38" s="12"/>
      <c r="E38" s="13"/>
    </row>
    <row r="39" spans="1:5" ht="15" customHeight="1" x14ac:dyDescent="0.25">
      <c r="B39" s="11" t="s">
        <v>35</v>
      </c>
      <c r="C39" s="43">
        <v>62.60445</v>
      </c>
      <c r="D39" s="12"/>
      <c r="E39" s="12"/>
    </row>
    <row r="40" spans="1:5" ht="15" customHeight="1" x14ac:dyDescent="0.25">
      <c r="B40" s="11" t="s">
        <v>36</v>
      </c>
      <c r="C40" s="100">
        <v>3.99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7.9379999999999989E-3</v>
      </c>
      <c r="D45" s="12"/>
    </row>
    <row r="46" spans="1:5" ht="15.75" customHeight="1" x14ac:dyDescent="0.25">
      <c r="B46" s="11" t="s">
        <v>41</v>
      </c>
      <c r="C46" s="45">
        <v>8.529260000000001E-2</v>
      </c>
      <c r="D46" s="12"/>
    </row>
    <row r="47" spans="1:5" ht="15.75" customHeight="1" x14ac:dyDescent="0.25">
      <c r="B47" s="11" t="s">
        <v>42</v>
      </c>
      <c r="C47" s="45">
        <v>7.3451799999999998E-2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2.3660000000000001</v>
      </c>
      <c r="D51" s="12"/>
    </row>
    <row r="52" spans="1:4" ht="15" customHeight="1" x14ac:dyDescent="0.25">
      <c r="B52" s="11" t="s">
        <v>46</v>
      </c>
      <c r="C52" s="100">
        <v>2.3660000000000001</v>
      </c>
    </row>
    <row r="53" spans="1:4" ht="15.75" customHeight="1" x14ac:dyDescent="0.25">
      <c r="B53" s="11" t="s">
        <v>47</v>
      </c>
      <c r="C53" s="100">
        <v>5.8760000000000003</v>
      </c>
    </row>
    <row r="54" spans="1:4" ht="15.75" customHeight="1" x14ac:dyDescent="0.25">
      <c r="B54" s="11" t="s">
        <v>48</v>
      </c>
      <c r="C54" s="100">
        <v>5.72</v>
      </c>
    </row>
    <row r="55" spans="1:4" ht="15.75" customHeight="1" x14ac:dyDescent="0.25">
      <c r="B55" s="11" t="s">
        <v>49</v>
      </c>
      <c r="C55" s="100">
        <v>3.0680000000000001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0.42155599999999999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1.657067544407495E-2</v>
      </c>
    </row>
    <row r="4" spans="1:8" ht="15.75" customHeight="1" x14ac:dyDescent="0.25">
      <c r="B4" s="19" t="s">
        <v>69</v>
      </c>
      <c r="C4" s="101">
        <v>7.4120555470898866E-2</v>
      </c>
    </row>
    <row r="5" spans="1:8" ht="15.75" customHeight="1" x14ac:dyDescent="0.25">
      <c r="B5" s="19" t="s">
        <v>70</v>
      </c>
      <c r="C5" s="101">
        <v>0.1088008429259477</v>
      </c>
    </row>
    <row r="6" spans="1:8" ht="15.75" customHeight="1" x14ac:dyDescent="0.25">
      <c r="B6" s="19" t="s">
        <v>71</v>
      </c>
      <c r="C6" s="101">
        <v>0.25677873974801529</v>
      </c>
    </row>
    <row r="7" spans="1:8" ht="15.75" customHeight="1" x14ac:dyDescent="0.25">
      <c r="B7" s="19" t="s">
        <v>72</v>
      </c>
      <c r="C7" s="101">
        <v>0.36988411970846008</v>
      </c>
    </row>
    <row r="8" spans="1:8" ht="15.75" customHeight="1" x14ac:dyDescent="0.25">
      <c r="B8" s="19" t="s">
        <v>73</v>
      </c>
      <c r="C8" s="101">
        <v>2.8233694090527761E-3</v>
      </c>
    </row>
    <row r="9" spans="1:8" ht="15.75" customHeight="1" x14ac:dyDescent="0.25">
      <c r="B9" s="19" t="s">
        <v>74</v>
      </c>
      <c r="C9" s="101">
        <v>5.5443065754671679E-2</v>
      </c>
    </row>
    <row r="10" spans="1:8" ht="15.75" customHeight="1" x14ac:dyDescent="0.25">
      <c r="B10" s="19" t="s">
        <v>75</v>
      </c>
      <c r="C10" s="101">
        <v>0.1155786315388786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82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83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84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85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86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87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88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89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8.6770851999999982E-2</v>
      </c>
    </row>
    <row r="27" spans="1:8" ht="15.75" customHeight="1" x14ac:dyDescent="0.25">
      <c r="B27" s="19" t="s">
        <v>92</v>
      </c>
      <c r="C27" s="101">
        <v>8.6437730000000004E-3</v>
      </c>
    </row>
    <row r="28" spans="1:8" ht="15.75" customHeight="1" x14ac:dyDescent="0.25">
      <c r="B28" s="19" t="s">
        <v>93</v>
      </c>
      <c r="C28" s="101">
        <v>0.153215352</v>
      </c>
    </row>
    <row r="29" spans="1:8" ht="15.75" customHeight="1" x14ac:dyDescent="0.25">
      <c r="B29" s="19" t="s">
        <v>94</v>
      </c>
      <c r="C29" s="101">
        <v>0.165097191</v>
      </c>
    </row>
    <row r="30" spans="1:8" ht="15.75" customHeight="1" x14ac:dyDescent="0.25">
      <c r="B30" s="19" t="s">
        <v>95</v>
      </c>
      <c r="C30" s="101">
        <v>0.10312302</v>
      </c>
    </row>
    <row r="31" spans="1:8" ht="15.75" customHeight="1" x14ac:dyDescent="0.25">
      <c r="B31" s="19" t="s">
        <v>96</v>
      </c>
      <c r="C31" s="101">
        <v>0.106218667</v>
      </c>
    </row>
    <row r="32" spans="1:8" ht="15.75" customHeight="1" x14ac:dyDescent="0.25">
      <c r="B32" s="19" t="s">
        <v>97</v>
      </c>
      <c r="C32" s="101">
        <v>1.8201770999999999E-2</v>
      </c>
    </row>
    <row r="33" spans="2:3" ht="15.75" customHeight="1" x14ac:dyDescent="0.25">
      <c r="B33" s="19" t="s">
        <v>98</v>
      </c>
      <c r="C33" s="101">
        <v>8.2691194999999981E-2</v>
      </c>
    </row>
    <row r="34" spans="2:3" ht="15.75" customHeight="1" x14ac:dyDescent="0.25">
      <c r="B34" s="19" t="s">
        <v>99</v>
      </c>
      <c r="C34" s="101">
        <v>0.27603818000000002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104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105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109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110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942.64990157953605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0.36761000000000005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0.57177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1.7520841453780484E-2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93257.122029999999</v>
      </c>
      <c r="C22" s="109">
        <v>92584.312149999998</v>
      </c>
      <c r="D22" s="109">
        <v>92057.16545</v>
      </c>
      <c r="E22" s="109">
        <v>91422.733919999999</v>
      </c>
      <c r="F22" s="109">
        <v>90580.78314</v>
      </c>
      <c r="G22" s="109">
        <v>89580.938460000005</v>
      </c>
      <c r="H22" s="109">
        <v>88268.341130000001</v>
      </c>
      <c r="I22" s="109">
        <v>86452.289130000005</v>
      </c>
      <c r="J22" s="109">
        <v>83870.802960000001</v>
      </c>
      <c r="K22" s="109">
        <v>80455.663520000002</v>
      </c>
      <c r="L22" s="109">
        <v>75831.760609999998</v>
      </c>
      <c r="M22" s="109">
        <v>69893.728610000006</v>
      </c>
      <c r="N22" s="109">
        <v>61930.883269999998</v>
      </c>
      <c r="O22" s="109">
        <v>52101.292840000002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9.2882626538987694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1.0608034800409418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0.32139211884942109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0.96417635654826328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5.6224350205198365E-2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0.37144779999999999</v>
      </c>
      <c r="C10" s="98">
        <v>0.95</v>
      </c>
      <c r="D10" s="56">
        <v>14.170171901025009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14.170171901025009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14.170171901025009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14.170171901025009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0.37144779999999999</v>
      </c>
      <c r="C14" s="98">
        <v>0.95</v>
      </c>
      <c r="D14" s="56">
        <v>14.170171901025009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14.170171901025009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0.690859</v>
      </c>
      <c r="C16" s="98">
        <v>0.95</v>
      </c>
      <c r="D16" s="56">
        <v>3.3847058823529408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0.107333333333333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0.58099999999999996</v>
      </c>
      <c r="C18" s="98">
        <v>0.95</v>
      </c>
      <c r="D18" s="56">
        <v>9.2882626538987694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0.61859039999999998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0.32610123119015044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9.2882626538987694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0.71000929999999995</v>
      </c>
      <c r="C23" s="98">
        <v>0.95</v>
      </c>
      <c r="D23" s="56">
        <v>4.6467238358608798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0.14178560559202999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0.37144779999999999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0.13601840000000001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0.1860724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6.4000000000000001E-2</v>
      </c>
      <c r="C31" s="98">
        <v>0.95</v>
      </c>
      <c r="D31" s="56">
        <v>84.685116279069774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</v>
      </c>
      <c r="C32" s="98">
        <v>0.95</v>
      </c>
      <c r="D32" s="56">
        <v>0.24738714090287278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0.17338333982328599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0.29872090000000001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4.0841000000000002E-3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0.30379200000000001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1E-3</v>
      </c>
      <c r="C38" s="98">
        <v>0.95</v>
      </c>
      <c r="D38" s="56">
        <v>7.9276333789329687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2.3660000000000001</v>
      </c>
      <c r="C2" s="21">
        <f>'Baseline year population inputs'!C52</f>
        <v>2.3660000000000001</v>
      </c>
      <c r="D2" s="21">
        <f>'Baseline year population inputs'!C53</f>
        <v>5.8760000000000003</v>
      </c>
      <c r="E2" s="21">
        <f>'Baseline year population inputs'!C54</f>
        <v>5.72</v>
      </c>
      <c r="F2" s="21">
        <f>'Baseline year population inputs'!C55</f>
        <v>3.0680000000000001</v>
      </c>
    </row>
    <row r="3" spans="1:6" ht="15.75" customHeight="1" x14ac:dyDescent="0.25">
      <c r="A3" s="3" t="s">
        <v>197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198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