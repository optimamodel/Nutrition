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6AA8948-7794-49E4-9D91-4B6186E6CAEC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<sst xmlns="http://schemas.openxmlformats.org/spreadsheetml/2006/main" count="2102" uniqueCount="341">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</sst>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1323554.78125</v>
      </c>
    </row>
    <row r="8" spans="1:3" ht="15" customHeight="1" x14ac:dyDescent="0.25">
      <c r="B8" s="5" t="s">
        <v>8</v>
      </c>
      <c r="C8" s="44">
        <v>0.498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0.33364898681640598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0.67900000000000005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0.10150000000000001</v>
      </c>
    </row>
    <row r="24" spans="1:3" ht="15" customHeight="1" x14ac:dyDescent="0.25">
      <c r="B24" s="15" t="s">
        <v>22</v>
      </c>
      <c r="C24" s="45">
        <v>0.48739999999999989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0.23555809089780999</v>
      </c>
    </row>
    <row r="30" spans="1:3" ht="14.25" customHeight="1" x14ac:dyDescent="0.25">
      <c r="B30" s="25" t="s">
        <v>27</v>
      </c>
      <c r="C30" s="99">
        <v>3.4184984059818603E-2</v>
      </c>
    </row>
    <row r="31" spans="1:3" ht="14.25" customHeight="1" x14ac:dyDescent="0.25">
      <c r="B31" s="25" t="s">
        <v>28</v>
      </c>
      <c r="C31" s="99">
        <v>6.8897621814072496E-2</v>
      </c>
    </row>
    <row r="32" spans="1:3" ht="14.25" customHeight="1" x14ac:dyDescent="0.25">
      <c r="B32" s="25" t="s">
        <v>29</v>
      </c>
      <c r="C32" s="99">
        <v>0.66135930322829906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24.042400000000001</v>
      </c>
    </row>
    <row r="38" spans="1:5" ht="15" customHeight="1" x14ac:dyDescent="0.25">
      <c r="B38" s="11" t="s">
        <v>34</v>
      </c>
      <c r="C38" s="43">
        <v>43.35671</v>
      </c>
      <c r="D38" s="12"/>
      <c r="E38" s="13"/>
    </row>
    <row r="39" spans="1:5" ht="15" customHeight="1" x14ac:dyDescent="0.25">
      <c r="B39" s="11" t="s">
        <v>35</v>
      </c>
      <c r="C39" s="43">
        <v>62.60445</v>
      </c>
      <c r="D39" s="12"/>
      <c r="E39" s="12"/>
    </row>
    <row r="40" spans="1:5" ht="15" customHeight="1" x14ac:dyDescent="0.25">
      <c r="B40" s="11" t="s">
        <v>36</v>
      </c>
      <c r="C40" s="100">
        <v>3.99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7.9379999999999989E-3</v>
      </c>
      <c r="D45" s="12"/>
    </row>
    <row r="46" spans="1:5" ht="15.75" customHeight="1" x14ac:dyDescent="0.25">
      <c r="B46" s="11" t="s">
        <v>41</v>
      </c>
      <c r="C46" s="45">
        <v>8.529260000000001E-2</v>
      </c>
      <c r="D46" s="12"/>
    </row>
    <row r="47" spans="1:5" ht="15.75" customHeight="1" x14ac:dyDescent="0.25">
      <c r="B47" s="11" t="s">
        <v>42</v>
      </c>
      <c r="C47" s="45">
        <v>7.3451799999999998E-2</v>
      </c>
      <c r="D47" s="12"/>
      <c r="E47" s="13"/>
    </row>
    <row r="48" spans="1:5" ht="15" customHeight="1" x14ac:dyDescent="0.25">
      <c r="B48" s="11" t="s">
        <v>43</v>
      </c>
      <c r="C48" s="46">
        <v>0.83331759999999999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0.42155599999999999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284629</v>
      </c>
      <c r="C2" s="49">
        <v>592092.50000000012</v>
      </c>
      <c r="D2" s="49">
        <v>768076.5</v>
      </c>
      <c r="E2" s="49">
        <v>577717.5</v>
      </c>
      <c r="F2" s="49">
        <v>380112</v>
      </c>
      <c r="G2" s="17">
        <f t="shared" ref="G2:G13" si="0">C2+D2+E2+F2</f>
        <v>2317998.5</v>
      </c>
      <c r="H2" s="17">
        <f t="shared" ref="H2:H13" si="1">(B2 + stillbirth*B2/(1000-stillbirth))/(1-abortion)</f>
        <v>330337.0349468058</v>
      </c>
      <c r="I2" s="17">
        <f t="shared" ref="I2:I13" si="2">G2-H2</f>
        <v>1987661.4650531942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288578</v>
      </c>
      <c r="C3" s="50">
        <v>609174</v>
      </c>
      <c r="D3" s="50">
        <v>788384.5</v>
      </c>
      <c r="E3" s="50">
        <v>590757.5</v>
      </c>
      <c r="F3" s="50">
        <v>390511</v>
      </c>
      <c r="G3" s="17">
        <f t="shared" si="0"/>
        <v>2378827</v>
      </c>
      <c r="H3" s="17">
        <f t="shared" si="1"/>
        <v>334920.19741796982</v>
      </c>
      <c r="I3" s="17">
        <f t="shared" si="2"/>
        <v>2043906.8025820302</v>
      </c>
    </row>
    <row r="4" spans="1:9" ht="15.75" customHeight="1" x14ac:dyDescent="0.25">
      <c r="A4" s="5">
        <f t="shared" si="3"/>
        <v>2026</v>
      </c>
      <c r="B4" s="49">
        <v>292230</v>
      </c>
      <c r="C4" s="50">
        <v>624479.5</v>
      </c>
      <c r="D4" s="50">
        <v>810139.00000000012</v>
      </c>
      <c r="E4" s="50">
        <v>603882</v>
      </c>
      <c r="F4" s="50">
        <v>400762</v>
      </c>
      <c r="G4" s="17">
        <f t="shared" si="0"/>
        <v>2439262.5</v>
      </c>
      <c r="H4" s="17">
        <f t="shared" si="1"/>
        <v>339158.66521860054</v>
      </c>
      <c r="I4" s="17">
        <f t="shared" si="2"/>
        <v>2100103.8347813995</v>
      </c>
    </row>
    <row r="5" spans="1:9" ht="15.75" customHeight="1" x14ac:dyDescent="0.25">
      <c r="A5" s="5">
        <f t="shared" si="3"/>
        <v>2027</v>
      </c>
      <c r="B5" s="49">
        <v>295652</v>
      </c>
      <c r="C5" s="50">
        <v>637618.5</v>
      </c>
      <c r="D5" s="50">
        <v>833777.5</v>
      </c>
      <c r="E5" s="50">
        <v>617127.5</v>
      </c>
      <c r="F5" s="50">
        <v>410950.5</v>
      </c>
      <c r="G5" s="17">
        <f t="shared" si="0"/>
        <v>2499474</v>
      </c>
      <c r="H5" s="17">
        <f t="shared" si="1"/>
        <v>343130.19775248843</v>
      </c>
      <c r="I5" s="17">
        <f t="shared" si="2"/>
        <v>2156343.8022475117</v>
      </c>
    </row>
    <row r="6" spans="1:9" ht="15.75" customHeight="1" x14ac:dyDescent="0.25">
      <c r="A6" s="5">
        <f t="shared" si="3"/>
        <v>2028</v>
      </c>
      <c r="B6" s="49">
        <v>299710</v>
      </c>
      <c r="C6" s="50">
        <v>649249.5</v>
      </c>
      <c r="D6" s="50">
        <v>858575.5</v>
      </c>
      <c r="E6" s="50">
        <v>631026.5</v>
      </c>
      <c r="F6" s="50">
        <v>421288</v>
      </c>
      <c r="G6" s="17">
        <f t="shared" si="0"/>
        <v>2560139.5</v>
      </c>
      <c r="H6" s="17">
        <f t="shared" si="1"/>
        <v>347839.86432832619</v>
      </c>
      <c r="I6" s="17">
        <f t="shared" si="2"/>
        <v>2212299.6356716738</v>
      </c>
    </row>
    <row r="7" spans="1:9" ht="15.75" customHeight="1" x14ac:dyDescent="0.25">
      <c r="A7" s="5">
        <f t="shared" si="3"/>
        <v>2029</v>
      </c>
      <c r="B7" s="49">
        <v>305305</v>
      </c>
      <c r="C7" s="50">
        <v>659837.5</v>
      </c>
      <c r="D7" s="50">
        <v>883674</v>
      </c>
      <c r="E7" s="50">
        <v>646179</v>
      </c>
      <c r="F7" s="50">
        <v>431796</v>
      </c>
      <c r="G7" s="17">
        <f t="shared" si="0"/>
        <v>2621486.5</v>
      </c>
      <c r="H7" s="17">
        <f t="shared" si="1"/>
        <v>354333.3548388764</v>
      </c>
      <c r="I7" s="17">
        <f t="shared" si="2"/>
        <v>2267153.1451611235</v>
      </c>
    </row>
    <row r="8" spans="1:9" ht="15.75" customHeight="1" x14ac:dyDescent="0.25">
      <c r="A8" s="5">
        <f t="shared" si="3"/>
        <v>2030</v>
      </c>
      <c r="B8" s="49">
        <v>309803</v>
      </c>
      <c r="C8" s="50">
        <v>669460.49999999988</v>
      </c>
      <c r="D8" s="50">
        <v>909383</v>
      </c>
      <c r="E8" s="50">
        <v>662411</v>
      </c>
      <c r="F8" s="50">
        <v>442427</v>
      </c>
      <c r="G8" s="17">
        <f t="shared" si="0"/>
        <v>2683681.5</v>
      </c>
      <c r="H8" s="17">
        <f t="shared" si="1"/>
        <v>359553.68018587452</v>
      </c>
      <c r="I8" s="17">
        <f t="shared" si="2"/>
        <v>2324127.8198141255</v>
      </c>
    </row>
    <row r="9" spans="1:9" ht="15.75" customHeight="1" x14ac:dyDescent="0.25">
      <c r="A9" s="5">
        <f t="shared" si="3"/>
        <v>2031</v>
      </c>
      <c r="B9" s="49">
        <v>312774</v>
      </c>
      <c r="C9" s="50">
        <v>679026</v>
      </c>
      <c r="D9" s="50">
        <v>934839</v>
      </c>
      <c r="E9" s="50">
        <v>679550.00000000012</v>
      </c>
      <c r="F9" s="50">
        <v>453193</v>
      </c>
      <c r="G9" s="17">
        <f t="shared" si="0"/>
        <v>2746608</v>
      </c>
      <c r="H9" s="17">
        <f t="shared" si="1"/>
        <v>363001.78747932304</v>
      </c>
      <c r="I9" s="17">
        <f t="shared" si="2"/>
        <v>2383606.2125206771</v>
      </c>
    </row>
    <row r="10" spans="1:9" ht="15.75" customHeight="1" x14ac:dyDescent="0.25">
      <c r="A10" s="5">
        <f t="shared" si="3"/>
        <v>2032</v>
      </c>
      <c r="B10" s="49">
        <v>317742</v>
      </c>
      <c r="C10" s="50">
        <v>689190</v>
      </c>
      <c r="D10" s="50">
        <v>958975</v>
      </c>
      <c r="E10" s="50">
        <v>697711</v>
      </c>
      <c r="F10" s="50">
        <v>464167.5</v>
      </c>
      <c r="G10" s="17">
        <f t="shared" si="0"/>
        <v>2810043.5</v>
      </c>
      <c r="H10" s="17">
        <f t="shared" si="1"/>
        <v>368767.58924096974</v>
      </c>
      <c r="I10" s="17">
        <f t="shared" si="2"/>
        <v>2441275.9107590304</v>
      </c>
    </row>
    <row r="11" spans="1:9" ht="15.75" customHeight="1" x14ac:dyDescent="0.25">
      <c r="A11" s="5">
        <f t="shared" si="3"/>
        <v>2033</v>
      </c>
      <c r="B11" s="49">
        <v>321744</v>
      </c>
      <c r="C11" s="50">
        <v>699728</v>
      </c>
      <c r="D11" s="50">
        <v>982140.5</v>
      </c>
      <c r="E11" s="50">
        <v>716761.5</v>
      </c>
      <c r="F11" s="50">
        <v>475324.5</v>
      </c>
      <c r="G11" s="17">
        <f t="shared" si="0"/>
        <v>2873954.5</v>
      </c>
      <c r="H11" s="17">
        <f t="shared" si="1"/>
        <v>373412.26288229617</v>
      </c>
      <c r="I11" s="17">
        <f t="shared" si="2"/>
        <v>2500542.237117704</v>
      </c>
    </row>
    <row r="12" spans="1:9" ht="15.75" customHeight="1" x14ac:dyDescent="0.25">
      <c r="A12" s="5">
        <f t="shared" si="3"/>
        <v>2034</v>
      </c>
      <c r="B12" s="49">
        <v>325570</v>
      </c>
      <c r="C12" s="50">
        <v>710202.5</v>
      </c>
      <c r="D12" s="50">
        <v>1005113.5</v>
      </c>
      <c r="E12" s="50">
        <v>736208.00000000012</v>
      </c>
      <c r="F12" s="50">
        <v>486599.5</v>
      </c>
      <c r="G12" s="17">
        <f t="shared" si="0"/>
        <v>2938123.5</v>
      </c>
      <c r="H12" s="17">
        <f t="shared" si="1"/>
        <v>377852.67301515857</v>
      </c>
      <c r="I12" s="17">
        <f t="shared" si="2"/>
        <v>2560270.8269848414</v>
      </c>
    </row>
    <row r="13" spans="1:9" ht="15.75" customHeight="1" x14ac:dyDescent="0.25">
      <c r="A13" s="5">
        <f t="shared" si="3"/>
        <v>2035</v>
      </c>
      <c r="B13" s="49">
        <v>330172</v>
      </c>
      <c r="C13" s="50">
        <v>720422</v>
      </c>
      <c r="D13" s="50">
        <v>1027745</v>
      </c>
      <c r="E13" s="50">
        <v>756369.5</v>
      </c>
      <c r="F13" s="50">
        <v>498114</v>
      </c>
      <c r="G13" s="17">
        <f t="shared" si="0"/>
        <v>3002650.5</v>
      </c>
      <c r="H13" s="17">
        <f t="shared" si="1"/>
        <v>383193.69952624908</v>
      </c>
      <c r="I13" s="17">
        <f t="shared" si="2"/>
        <v>2619456.800473751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1.657067544407495E-2</v>
      </c>
    </row>
    <row r="4" spans="1:8" ht="15.75" customHeight="1" x14ac:dyDescent="0.25">
      <c r="B4" s="19" t="s">
        <v>69</v>
      </c>
      <c r="C4" s="101">
        <v>7.4120555470898866E-2</v>
      </c>
    </row>
    <row r="5" spans="1:8" ht="15.75" customHeight="1" x14ac:dyDescent="0.25">
      <c r="B5" s="19" t="s">
        <v>70</v>
      </c>
      <c r="C5" s="101">
        <v>0.1088008429259477</v>
      </c>
    </row>
    <row r="6" spans="1:8" ht="15.75" customHeight="1" x14ac:dyDescent="0.25">
      <c r="B6" s="19" t="s">
        <v>71</v>
      </c>
      <c r="C6" s="101">
        <v>0.25677873974801529</v>
      </c>
    </row>
    <row r="7" spans="1:8" ht="15.75" customHeight="1" x14ac:dyDescent="0.25">
      <c r="B7" s="19" t="s">
        <v>72</v>
      </c>
      <c r="C7" s="101">
        <v>0.36988411970846008</v>
      </c>
    </row>
    <row r="8" spans="1:8" ht="15.75" customHeight="1" x14ac:dyDescent="0.25">
      <c r="B8" s="19" t="s">
        <v>73</v>
      </c>
      <c r="C8" s="101">
        <v>2.8233694090527761E-3</v>
      </c>
    </row>
    <row r="9" spans="1:8" ht="15.75" customHeight="1" x14ac:dyDescent="0.25">
      <c r="B9" s="19" t="s">
        <v>74</v>
      </c>
      <c r="C9" s="101">
        <v>5.5443065754671679E-2</v>
      </c>
    </row>
    <row r="10" spans="1:8" ht="15.75" customHeight="1" x14ac:dyDescent="0.25">
      <c r="B10" s="19" t="s">
        <v>75</v>
      </c>
      <c r="C10" s="101">
        <v>0.1155786315388786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82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83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84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85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86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87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88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89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8.6770851999999982E-2</v>
      </c>
    </row>
    <row r="27" spans="1:8" ht="15.75" customHeight="1" x14ac:dyDescent="0.25">
      <c r="B27" s="19" t="s">
        <v>92</v>
      </c>
      <c r="C27" s="101">
        <v>8.6437730000000004E-3</v>
      </c>
    </row>
    <row r="28" spans="1:8" ht="15.75" customHeight="1" x14ac:dyDescent="0.25">
      <c r="B28" s="19" t="s">
        <v>93</v>
      </c>
      <c r="C28" s="101">
        <v>0.153215352</v>
      </c>
    </row>
    <row r="29" spans="1:8" ht="15.75" customHeight="1" x14ac:dyDescent="0.25">
      <c r="B29" s="19" t="s">
        <v>94</v>
      </c>
      <c r="C29" s="101">
        <v>0.165097191</v>
      </c>
    </row>
    <row r="30" spans="1:8" ht="15.75" customHeight="1" x14ac:dyDescent="0.25">
      <c r="B30" s="19" t="s">
        <v>95</v>
      </c>
      <c r="C30" s="101">
        <v>0.10312302</v>
      </c>
    </row>
    <row r="31" spans="1:8" ht="15.75" customHeight="1" x14ac:dyDescent="0.25">
      <c r="B31" s="19" t="s">
        <v>96</v>
      </c>
      <c r="C31" s="101">
        <v>0.106218667</v>
      </c>
    </row>
    <row r="32" spans="1:8" ht="15.75" customHeight="1" x14ac:dyDescent="0.25">
      <c r="B32" s="19" t="s">
        <v>97</v>
      </c>
      <c r="C32" s="101">
        <v>1.8201770999999999E-2</v>
      </c>
    </row>
    <row r="33" spans="2:3" ht="15.75" customHeight="1" x14ac:dyDescent="0.25">
      <c r="B33" s="19" t="s">
        <v>98</v>
      </c>
      <c r="C33" s="101">
        <v>8.2691194999999981E-2</v>
      </c>
    </row>
    <row r="34" spans="2:3" ht="15.75" customHeight="1" x14ac:dyDescent="0.25">
      <c r="B34" s="19" t="s">
        <v>99</v>
      </c>
      <c r="C34" s="101">
        <v>0.27603818000000002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104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105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109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110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122</v>
      </c>
      <c r="C5" s="52">
        <v>1.102E-2</v>
      </c>
      <c r="D5" s="52">
        <v>8.0219000000000002E-3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35.286531868543193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0.19669800138324001</v>
      </c>
      <c r="C3" s="98">
        <v>0.95</v>
      </c>
      <c r="D3" s="56">
        <v>44.645110031904643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57.846169364861282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0.15522933646183931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0.37144779999999999</v>
      </c>
      <c r="C10" s="98">
        <v>0.95</v>
      </c>
      <c r="D10" s="56">
        <v>14.170171901025009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0.37144779999999999</v>
      </c>
      <c r="C11" s="98">
        <v>0.95</v>
      </c>
      <c r="D11" s="56">
        <v>14.170171901025009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0.37144779999999999</v>
      </c>
      <c r="C12" s="98">
        <v>0.95</v>
      </c>
      <c r="D12" s="56">
        <v>14.170171901025009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0.37144779999999999</v>
      </c>
      <c r="C13" s="98">
        <v>0.95</v>
      </c>
      <c r="D13" s="56">
        <v>14.170171901025009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0.37144779999999999</v>
      </c>
      <c r="C14" s="98">
        <v>0.95</v>
      </c>
      <c r="D14" s="56">
        <v>14.170171901025009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0.37144779999999999</v>
      </c>
      <c r="C15" s="98">
        <v>0.95</v>
      </c>
      <c r="D15" s="56">
        <v>14.170171901025009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0.22645423336558179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0.107333333333333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0.10070697464047</v>
      </c>
      <c r="C18" s="98">
        <v>0.95</v>
      </c>
      <c r="D18" s="56">
        <v>1.4408777640412029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0.19197639999999999</v>
      </c>
      <c r="C19" s="98">
        <v>0.95</v>
      </c>
      <c r="D19" s="56">
        <v>1.4408777640412029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0.30379200000000001</v>
      </c>
      <c r="C21" s="98">
        <v>0.95</v>
      </c>
      <c r="D21" s="56">
        <v>1.33337149951185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24.144360821115921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4.6467238358608798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0.60380408565823995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0.37144779999999999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20.475417278229141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0.63168587413639998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61.740822968925912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0.96</v>
      </c>
      <c r="C31" s="98">
        <v>0.95</v>
      </c>
      <c r="D31" s="56">
        <v>0.95248474388694404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0.42565395189955457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0.1860724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0.13601840000000001</v>
      </c>
      <c r="C38" s="98">
        <v>0.95</v>
      </c>
      <c r="D38" s="56">
        <v>5.316248687042834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205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0.498</v>
      </c>
      <c r="E2" s="60">
        <f>food_insecure</f>
        <v>0.498</v>
      </c>
      <c r="F2" s="60">
        <f>food_insecure</f>
        <v>0.498</v>
      </c>
      <c r="G2" s="60">
        <f>food_insecure</f>
        <v>0.498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0.498</v>
      </c>
      <c r="F5" s="60">
        <f>food_insecure</f>
        <v>0.498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0.498</v>
      </c>
      <c r="F8" s="60">
        <f>food_insecure</f>
        <v>0.498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0.498</v>
      </c>
      <c r="F9" s="60">
        <f>food_insecure</f>
        <v>0.498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0.498</v>
      </c>
      <c r="I15" s="60">
        <f>food_insecure</f>
        <v>0.498</v>
      </c>
      <c r="J15" s="60">
        <f>food_insecure</f>
        <v>0.498</v>
      </c>
      <c r="K15" s="60">
        <f>food_insecure</f>
        <v>0.498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0.67900000000000005</v>
      </c>
      <c r="M24" s="60">
        <f>famplan_unmet_need</f>
        <v>0.67900000000000005</v>
      </c>
      <c r="N24" s="60">
        <f>famplan_unmet_need</f>
        <v>0.67900000000000005</v>
      </c>
      <c r="O24" s="60">
        <f>famplan_unmet_need</f>
        <v>0.67900000000000005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0.39619898541870135</v>
      </c>
      <c r="M25" s="60">
        <f>(1-food_insecure)*(0.49)+food_insecure*(0.7)</f>
        <v>0.59458</v>
      </c>
      <c r="N25" s="60">
        <f>(1-food_insecure)*(0.49)+food_insecure*(0.7)</f>
        <v>0.59458</v>
      </c>
      <c r="O25" s="60">
        <f>(1-food_insecure)*(0.49)+food_insecure*(0.7)</f>
        <v>0.59458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0.16979956517944345</v>
      </c>
      <c r="M26" s="60">
        <f>(1-food_insecure)*(0.21)+food_insecure*(0.3)</f>
        <v>0.25481999999999999</v>
      </c>
      <c r="N26" s="60">
        <f>(1-food_insecure)*(0.21)+food_insecure*(0.3)</f>
        <v>0.25481999999999999</v>
      </c>
      <c r="O26" s="60">
        <f>(1-food_insecure)*(0.21)+food_insecure*(0.3)</f>
        <v>0.25481999999999999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0.10035246258544925</v>
      </c>
      <c r="M27" s="60">
        <f>(1-food_insecure)*(0.3)</f>
        <v>0.15059999999999998</v>
      </c>
      <c r="N27" s="60">
        <f>(1-food_insecure)*(0.3)</f>
        <v>0.15059999999999998</v>
      </c>
      <c r="O27" s="60">
        <f>(1-food_insecure)*(0.3)</f>
        <v>0.15059999999999998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0.33364898681640598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2024-05-09T01:47:01Z</dcterms:modified>
</cp:coreProperties>
</file>