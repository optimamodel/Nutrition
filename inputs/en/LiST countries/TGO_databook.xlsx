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01854B7-4B14-4BCD-8A6D-C3394FAE017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3" i="2"/>
  <c r="A31" i="2"/>
  <c r="A25" i="2"/>
  <c r="A23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26" i="2"/>
  <c r="A34" i="2"/>
  <c r="A39" i="2"/>
  <c r="A3" i="2"/>
  <c r="A18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<sst xmlns="http://schemas.openxmlformats.org/spreadsheetml/2006/main" count="2101" uniqueCount="341">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</sst>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1323554.78125</v>
      </c>
    </row>
    <row r="8" spans="1:3" ht="15" customHeight="1" x14ac:dyDescent="0.25">
      <c r="B8" s="5" t="s">
        <v>8</v>
      </c>
      <c r="C8" s="44">
        <v>0.498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0.33364898681640598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9">
        <v>3.4184984059818603E-2</v>
      </c>
    </row>
    <row r="31" spans="1:3" ht="14.25" customHeight="1" x14ac:dyDescent="0.25">
      <c r="B31" s="25" t="s">
        <v>28</v>
      </c>
      <c r="C31" s="99">
        <v>6.8897621814072496E-2</v>
      </c>
    </row>
    <row r="32" spans="1:3" ht="14.25" customHeight="1" x14ac:dyDescent="0.25">
      <c r="B32" s="25" t="s">
        <v>29</v>
      </c>
      <c r="C32" s="99">
        <v>0.66135930322829906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101">
        <v>7.4120555470898866E-2</v>
      </c>
    </row>
    <row r="5" spans="1:8" ht="15.75" customHeight="1" x14ac:dyDescent="0.25">
      <c r="B5" s="19" t="s">
        <v>70</v>
      </c>
      <c r="C5" s="101">
        <v>0.1088008429259477</v>
      </c>
    </row>
    <row r="6" spans="1:8" ht="15.75" customHeight="1" x14ac:dyDescent="0.25">
      <c r="B6" s="19" t="s">
        <v>71</v>
      </c>
      <c r="C6" s="101">
        <v>0.25677873974801529</v>
      </c>
    </row>
    <row r="7" spans="1:8" ht="15.75" customHeight="1" x14ac:dyDescent="0.25">
      <c r="B7" s="19" t="s">
        <v>72</v>
      </c>
      <c r="C7" s="101">
        <v>0.36988411970846008</v>
      </c>
    </row>
    <row r="8" spans="1:8" ht="15.75" customHeight="1" x14ac:dyDescent="0.25">
      <c r="B8" s="19" t="s">
        <v>73</v>
      </c>
      <c r="C8" s="101">
        <v>2.8233694090527761E-3</v>
      </c>
    </row>
    <row r="9" spans="1:8" ht="15.75" customHeight="1" x14ac:dyDescent="0.25">
      <c r="B9" s="19" t="s">
        <v>74</v>
      </c>
      <c r="C9" s="101">
        <v>5.5443065754671679E-2</v>
      </c>
    </row>
    <row r="10" spans="1:8" ht="15.75" customHeight="1" x14ac:dyDescent="0.25">
      <c r="B10" s="19" t="s">
        <v>75</v>
      </c>
      <c r="C10" s="101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83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84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85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86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87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89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101">
        <v>8.6437730000000004E-3</v>
      </c>
    </row>
    <row r="28" spans="1:8" ht="15.75" customHeight="1" x14ac:dyDescent="0.25">
      <c r="B28" s="19" t="s">
        <v>93</v>
      </c>
      <c r="C28" s="101">
        <v>0.153215352</v>
      </c>
    </row>
    <row r="29" spans="1:8" ht="15.75" customHeight="1" x14ac:dyDescent="0.25">
      <c r="B29" s="19" t="s">
        <v>94</v>
      </c>
      <c r="C29" s="101">
        <v>0.165097191</v>
      </c>
    </row>
    <row r="30" spans="1:8" ht="15.75" customHeight="1" x14ac:dyDescent="0.25">
      <c r="B30" s="19" t="s">
        <v>95</v>
      </c>
      <c r="C30" s="101">
        <v>0.10312302</v>
      </c>
    </row>
    <row r="31" spans="1:8" ht="15.75" customHeight="1" x14ac:dyDescent="0.25">
      <c r="B31" s="19" t="s">
        <v>96</v>
      </c>
      <c r="C31" s="101">
        <v>0.106218667</v>
      </c>
    </row>
    <row r="32" spans="1:8" ht="15.75" customHeight="1" x14ac:dyDescent="0.25">
      <c r="B32" s="19" t="s">
        <v>97</v>
      </c>
      <c r="C32" s="101">
        <v>1.8201770999999999E-2</v>
      </c>
    </row>
    <row r="33" spans="2:3" ht="15.75" customHeight="1" x14ac:dyDescent="0.25">
      <c r="B33" s="19" t="s">
        <v>98</v>
      </c>
      <c r="C33" s="101">
        <v>8.2691194999999981E-2</v>
      </c>
    </row>
    <row r="34" spans="2:3" ht="15.75" customHeight="1" x14ac:dyDescent="0.25">
      <c r="B34" s="19" t="s">
        <v>99</v>
      </c>
      <c r="C34" s="101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0.15522933646183931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0.32139211884942109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0.96417635654826328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0.5099421619077481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0.37144779999999999</v>
      </c>
      <c r="C10" s="98">
        <v>0.95</v>
      </c>
      <c r="D10" s="56">
        <v>14.170171901025009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14.170171901025009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14.170171901025009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14.170171901025009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0.37144779999999999</v>
      </c>
      <c r="C14" s="98">
        <v>0.95</v>
      </c>
      <c r="D14" s="56">
        <v>14.170171901025009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14.170171901025009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0.690859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0.107333333333333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0.58099999999999996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0.61859039999999998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24.144360821115921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0.71000929999999995</v>
      </c>
      <c r="C23" s="98">
        <v>0.95</v>
      </c>
      <c r="D23" s="56">
        <v>4.6467238358608798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0.14178560559202999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0.37144779999999999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4.505138165037935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0.13601840000000001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0.1860724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6.4000000000000001E-2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0.17338329999999999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0.29872090000000001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4.0841000000000002E-3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0.30379200000000001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205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0.10782303109654945</v>
      </c>
      <c r="G18" s="90">
        <f>MIN(MAX(1-0.89/(1-frac_sam_12_23months+(frac_sam_12_23months*0.89)),0),1)</f>
        <v>0.10935464550129304</v>
      </c>
      <c r="H18" s="90">
        <f>MIN(MAX(1-0.89/(1-frac_sam_24_59months+(frac_sam_24_59months*0.89)),0),1)</f>
        <v>0.10917298559711974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0.10370507967119724</v>
      </c>
      <c r="G20" s="90">
        <f>MIN(MAX(1-0.89/(1-frac_mam_12_23months+(frac_mam_12_23months*0.89)),0),1)</f>
        <v>0.10243550233633214</v>
      </c>
      <c r="H20" s="90">
        <f>MIN(MAX(1-0.89/(1-frac_mam_24_59months+(frac_mam_24_59months*0.89)),0),1)</f>
        <v>0.10648009987215279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9.7803455153635532E-3</v>
      </c>
      <c r="G73" s="90">
        <f>MIN(MAX(1-0.99/(1-frac_sam_12_23months+(frac_sam_12_23months*0.99)),0),1)</f>
        <v>9.9347824239878202E-3</v>
      </c>
      <c r="H73" s="90">
        <f>MIN(MAX(1-0.99/(1-frac_sam_24_59months+(frac_sam_24_59months*0.99)),0),1)</f>
        <v>9.9164399177796847E-3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9.3675019532797332E-3</v>
      </c>
      <c r="G75" s="90">
        <f>MIN(MAX(1-0.99/(1-frac_mam_12_23months+(frac_mam_12_23months*0.99)),0),1)</f>
        <v>9.2409160572100024E-3</v>
      </c>
      <c r="H75" s="90">
        <f>MIN(MAX(1-0.99/(1-frac_mam_24_59months+(frac_mam_24_59months*0.99)),0),1)</f>
        <v>9.6453302242411887E-3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0.19643499994857172</v>
      </c>
      <c r="G128" s="90">
        <f>MIN(MAX(1-0.8/(1-frac_sam_12_23months+(frac_sam_12_23months*0.8)),0),1)</f>
        <v>0.19894465764977409</v>
      </c>
      <c r="H128" s="90">
        <f>MIN(MAX(1-0.8/(1-frac_sam_24_59months+(frac_sam_24_59months*0.8)),0),1)</f>
        <v>0.19864736483299616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0.1896521989263662</v>
      </c>
      <c r="G130" s="90">
        <f>MIN(MAX(1-0.8/(1-frac_mam_12_23months+(frac_mam_12_23months*0.8)),0),1)</f>
        <v>0.18755061051915589</v>
      </c>
      <c r="H130" s="90">
        <f>MIN(MAX(1-0.8/(1-frac_mam_24_59months+(frac_mam_24_59months*0.8)),0),1)</f>
        <v>0.19422867902897145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2024-08-06T06:32:27Z</dcterms:modified>
</cp:coreProperties>
</file>