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ED09168-D9A0-4F9A-9CCD-5755229952F2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1" i="2"/>
  <c r="A29" i="2"/>
  <c r="A27" i="2"/>
  <c r="A26" i="2"/>
  <c r="A25" i="2"/>
  <c r="A23" i="2"/>
  <c r="A21" i="2"/>
  <c r="A19" i="2"/>
  <c r="A18" i="2"/>
  <c r="A17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<sst xmlns="http://schemas.openxmlformats.org/spreadsheetml/2006/main" count="2092" uniqueCount="341">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</sst>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674530.5234375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9">
        <v>0.12625974442754401</v>
      </c>
    </row>
    <row r="31" spans="1:3" ht="14.25" customHeight="1" x14ac:dyDescent="0.25">
      <c r="B31" s="25" t="s">
        <v>28</v>
      </c>
      <c r="C31" s="99">
        <v>0.15756466930712501</v>
      </c>
    </row>
    <row r="32" spans="1:3" ht="14.25" customHeight="1" x14ac:dyDescent="0.25">
      <c r="B32" s="25" t="s">
        <v>29</v>
      </c>
      <c r="C32" s="99">
        <v>0.46904136925631501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139703.71479999999</v>
      </c>
      <c r="C2" s="49">
        <v>322000</v>
      </c>
      <c r="D2" s="49">
        <v>638000</v>
      </c>
      <c r="E2" s="49">
        <v>2637000</v>
      </c>
      <c r="F2" s="49">
        <v>2239000</v>
      </c>
      <c r="G2" s="17">
        <f t="shared" ref="G2:G13" si="0">C2+D2+E2+F2</f>
        <v>5836000</v>
      </c>
      <c r="H2" s="17">
        <f t="shared" ref="H2:H13" si="1">(B2 + stillbirth*B2/(1000-stillbirth))/(1-abortion)</f>
        <v>160360.28251188612</v>
      </c>
      <c r="I2" s="17">
        <f t="shared" ref="I2:I13" si="2">G2-H2</f>
        <v>5675639.7174881138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139035.16500000001</v>
      </c>
      <c r="C3" s="50">
        <v>323000</v>
      </c>
      <c r="D3" s="50">
        <v>636000</v>
      </c>
      <c r="E3" s="50">
        <v>2652000</v>
      </c>
      <c r="F3" s="50">
        <v>2276000</v>
      </c>
      <c r="G3" s="17">
        <f t="shared" si="0"/>
        <v>5887000</v>
      </c>
      <c r="H3" s="17">
        <f t="shared" si="1"/>
        <v>159592.88105119666</v>
      </c>
      <c r="I3" s="17">
        <f t="shared" si="2"/>
        <v>5727407.1189488033</v>
      </c>
    </row>
    <row r="4" spans="1:9" ht="15.75" customHeight="1" x14ac:dyDescent="0.25">
      <c r="A4" s="5">
        <f t="shared" si="3"/>
        <v>2026</v>
      </c>
      <c r="B4" s="49">
        <v>138270.8916</v>
      </c>
      <c r="C4" s="50">
        <v>323000</v>
      </c>
      <c r="D4" s="50">
        <v>633000</v>
      </c>
      <c r="E4" s="50">
        <v>2661000</v>
      </c>
      <c r="F4" s="50">
        <v>2314000</v>
      </c>
      <c r="G4" s="17">
        <f t="shared" si="0"/>
        <v>5931000</v>
      </c>
      <c r="H4" s="17">
        <f t="shared" si="1"/>
        <v>158715.6023151532</v>
      </c>
      <c r="I4" s="17">
        <f t="shared" si="2"/>
        <v>5772284.397684847</v>
      </c>
    </row>
    <row r="5" spans="1:9" ht="15.75" customHeight="1" x14ac:dyDescent="0.25">
      <c r="A5" s="5">
        <f t="shared" si="3"/>
        <v>2027</v>
      </c>
      <c r="B5" s="49">
        <v>137406.79319999999</v>
      </c>
      <c r="C5" s="50">
        <v>323000</v>
      </c>
      <c r="D5" s="50">
        <v>630000</v>
      </c>
      <c r="E5" s="50">
        <v>2662000</v>
      </c>
      <c r="F5" s="50">
        <v>2352000</v>
      </c>
      <c r="G5" s="17">
        <f t="shared" si="0"/>
        <v>5967000</v>
      </c>
      <c r="H5" s="17">
        <f t="shared" si="1"/>
        <v>157723.73847144336</v>
      </c>
      <c r="I5" s="17">
        <f t="shared" si="2"/>
        <v>5809276.2615285562</v>
      </c>
    </row>
    <row r="6" spans="1:9" ht="15.75" customHeight="1" x14ac:dyDescent="0.25">
      <c r="A6" s="5">
        <f t="shared" si="3"/>
        <v>2028</v>
      </c>
      <c r="B6" s="49">
        <v>136498.68479999999</v>
      </c>
      <c r="C6" s="50">
        <v>322000</v>
      </c>
      <c r="D6" s="50">
        <v>628000</v>
      </c>
      <c r="E6" s="50">
        <v>2656000</v>
      </c>
      <c r="F6" s="50">
        <v>2389000</v>
      </c>
      <c r="G6" s="17">
        <f t="shared" si="0"/>
        <v>5995000</v>
      </c>
      <c r="H6" s="17">
        <f t="shared" si="1"/>
        <v>156681.35731655502</v>
      </c>
      <c r="I6" s="17">
        <f t="shared" si="2"/>
        <v>5838318.6426834445</v>
      </c>
    </row>
    <row r="7" spans="1:9" ht="15.75" customHeight="1" x14ac:dyDescent="0.25">
      <c r="A7" s="5">
        <f t="shared" si="3"/>
        <v>2029</v>
      </c>
      <c r="B7" s="49">
        <v>135511.7036000001</v>
      </c>
      <c r="C7" s="50">
        <v>322000</v>
      </c>
      <c r="D7" s="50">
        <v>625000</v>
      </c>
      <c r="E7" s="50">
        <v>2649000</v>
      </c>
      <c r="F7" s="50">
        <v>2425000</v>
      </c>
      <c r="G7" s="17">
        <f t="shared" si="0"/>
        <v>6021000</v>
      </c>
      <c r="H7" s="17">
        <f t="shared" si="1"/>
        <v>155548.4412427592</v>
      </c>
      <c r="I7" s="17">
        <f t="shared" si="2"/>
        <v>5865451.5587572409</v>
      </c>
    </row>
    <row r="8" spans="1:9" ht="15.75" customHeight="1" x14ac:dyDescent="0.25">
      <c r="A8" s="5">
        <f t="shared" si="3"/>
        <v>2030</v>
      </c>
      <c r="B8" s="49">
        <v>134447.60999999999</v>
      </c>
      <c r="C8" s="50">
        <v>323000</v>
      </c>
      <c r="D8" s="50">
        <v>624000</v>
      </c>
      <c r="E8" s="50">
        <v>2643000</v>
      </c>
      <c r="F8" s="50">
        <v>2461000</v>
      </c>
      <c r="G8" s="17">
        <f t="shared" si="0"/>
        <v>6051000</v>
      </c>
      <c r="H8" s="17">
        <f t="shared" si="1"/>
        <v>154327.01094250276</v>
      </c>
      <c r="I8" s="17">
        <f t="shared" si="2"/>
        <v>5896672.9890574971</v>
      </c>
    </row>
    <row r="9" spans="1:9" ht="15.75" customHeight="1" x14ac:dyDescent="0.25">
      <c r="A9" s="5">
        <f t="shared" si="3"/>
        <v>2031</v>
      </c>
      <c r="B9" s="49">
        <v>133696.7378857143</v>
      </c>
      <c r="C9" s="50">
        <v>323142.85714285722</v>
      </c>
      <c r="D9" s="50">
        <v>622000</v>
      </c>
      <c r="E9" s="50">
        <v>2643857.1428571432</v>
      </c>
      <c r="F9" s="50">
        <v>2492714.2857142859</v>
      </c>
      <c r="G9" s="17">
        <f t="shared" si="0"/>
        <v>6081714.2857142864</v>
      </c>
      <c r="H9" s="17">
        <f t="shared" si="1"/>
        <v>153465.11500401946</v>
      </c>
      <c r="I9" s="17">
        <f t="shared" si="2"/>
        <v>5928249.1707102666</v>
      </c>
    </row>
    <row r="10" spans="1:9" ht="15.75" customHeight="1" x14ac:dyDescent="0.25">
      <c r="A10" s="5">
        <f t="shared" si="3"/>
        <v>2032</v>
      </c>
      <c r="B10" s="49">
        <v>132934.10544081629</v>
      </c>
      <c r="C10" s="50">
        <v>323163.26530612248</v>
      </c>
      <c r="D10" s="50">
        <v>620000</v>
      </c>
      <c r="E10" s="50">
        <v>2642693.8775510201</v>
      </c>
      <c r="F10" s="50">
        <v>2523673.4693877548</v>
      </c>
      <c r="G10" s="17">
        <f t="shared" si="0"/>
        <v>6109530.6122448975</v>
      </c>
      <c r="H10" s="17">
        <f t="shared" si="1"/>
        <v>152589.71985442264</v>
      </c>
      <c r="I10" s="17">
        <f t="shared" si="2"/>
        <v>5956940.8923904747</v>
      </c>
    </row>
    <row r="11" spans="1:9" ht="15.75" customHeight="1" x14ac:dyDescent="0.25">
      <c r="A11" s="5">
        <f t="shared" si="3"/>
        <v>2033</v>
      </c>
      <c r="B11" s="49">
        <v>132171.70741807579</v>
      </c>
      <c r="C11" s="50">
        <v>323186.58892128279</v>
      </c>
      <c r="D11" s="50">
        <v>618142.85714285716</v>
      </c>
      <c r="E11" s="50">
        <v>2640078.7172011659</v>
      </c>
      <c r="F11" s="50">
        <v>2553626.8221574351</v>
      </c>
      <c r="G11" s="17">
        <f t="shared" si="0"/>
        <v>6135034.9854227407</v>
      </c>
      <c r="H11" s="17">
        <f t="shared" si="1"/>
        <v>151714.59378860405</v>
      </c>
      <c r="I11" s="17">
        <f t="shared" si="2"/>
        <v>5983320.3916341364</v>
      </c>
    </row>
    <row r="12" spans="1:9" ht="15.75" customHeight="1" x14ac:dyDescent="0.25">
      <c r="A12" s="5">
        <f t="shared" si="3"/>
        <v>2034</v>
      </c>
      <c r="B12" s="49">
        <v>131423.838020658</v>
      </c>
      <c r="C12" s="50">
        <v>323213.24448146613</v>
      </c>
      <c r="D12" s="50">
        <v>616448.9795918368</v>
      </c>
      <c r="E12" s="50">
        <v>2636947.1053727609</v>
      </c>
      <c r="F12" s="50">
        <v>2582430.6538942112</v>
      </c>
      <c r="G12" s="17">
        <f t="shared" si="0"/>
        <v>6159039.9833402745</v>
      </c>
      <c r="H12" s="17">
        <f t="shared" si="1"/>
        <v>150856.14454819835</v>
      </c>
      <c r="I12" s="17">
        <f t="shared" si="2"/>
        <v>6008183.8387920763</v>
      </c>
    </row>
    <row r="13" spans="1:9" ht="15.75" customHeight="1" x14ac:dyDescent="0.25">
      <c r="A13" s="5">
        <f t="shared" si="3"/>
        <v>2035</v>
      </c>
      <c r="B13" s="49">
        <v>130698.8599093235</v>
      </c>
      <c r="C13" s="50">
        <v>323386.56512167561</v>
      </c>
      <c r="D13" s="50">
        <v>614798.83381924208</v>
      </c>
      <c r="E13" s="50">
        <v>2634225.2632831549</v>
      </c>
      <c r="F13" s="50">
        <v>2610063.6044505271</v>
      </c>
      <c r="G13" s="17">
        <f t="shared" si="0"/>
        <v>6182474.2666745996</v>
      </c>
      <c r="H13" s="17">
        <f t="shared" si="1"/>
        <v>150023.97129557605</v>
      </c>
      <c r="I13" s="17">
        <f t="shared" si="2"/>
        <v>6032450.295379024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101">
        <v>6.4427525134935867E-2</v>
      </c>
    </row>
    <row r="5" spans="1:8" ht="15.75" customHeight="1" x14ac:dyDescent="0.25">
      <c r="B5" s="19" t="s">
        <v>70</v>
      </c>
      <c r="C5" s="101">
        <v>3.1018022905075229E-2</v>
      </c>
    </row>
    <row r="6" spans="1:8" ht="15.75" customHeight="1" x14ac:dyDescent="0.25">
      <c r="B6" s="19" t="s">
        <v>71</v>
      </c>
      <c r="C6" s="101">
        <v>0.1851606267612057</v>
      </c>
    </row>
    <row r="7" spans="1:8" ht="15.75" customHeight="1" x14ac:dyDescent="0.25">
      <c r="B7" s="19" t="s">
        <v>72</v>
      </c>
      <c r="C7" s="101">
        <v>0.44250568466396889</v>
      </c>
    </row>
    <row r="8" spans="1:8" ht="15.75" customHeight="1" x14ac:dyDescent="0.25">
      <c r="B8" s="19" t="s">
        <v>73</v>
      </c>
      <c r="C8" s="101">
        <v>1.07512557466712E-4</v>
      </c>
    </row>
    <row r="9" spans="1:8" ht="15.75" customHeight="1" x14ac:dyDescent="0.25">
      <c r="B9" s="19" t="s">
        <v>74</v>
      </c>
      <c r="C9" s="101">
        <v>0.17925163659115381</v>
      </c>
    </row>
    <row r="10" spans="1:8" ht="15.75" customHeight="1" x14ac:dyDescent="0.25">
      <c r="B10" s="19" t="s">
        <v>75</v>
      </c>
      <c r="C10" s="101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83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87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89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101">
        <v>2.2885193000000002E-2</v>
      </c>
    </row>
    <row r="28" spans="1:8" ht="15.75" customHeight="1" x14ac:dyDescent="0.25">
      <c r="B28" s="19" t="s">
        <v>93</v>
      </c>
      <c r="C28" s="101">
        <v>0.17241262399999999</v>
      </c>
    </row>
    <row r="29" spans="1:8" ht="15.75" customHeight="1" x14ac:dyDescent="0.25">
      <c r="B29" s="19" t="s">
        <v>94</v>
      </c>
      <c r="C29" s="101">
        <v>0.185358881</v>
      </c>
    </row>
    <row r="30" spans="1:8" ht="15.75" customHeight="1" x14ac:dyDescent="0.25">
      <c r="B30" s="19" t="s">
        <v>95</v>
      </c>
      <c r="C30" s="101">
        <v>0.10644221299999999</v>
      </c>
    </row>
    <row r="31" spans="1:8" ht="15.75" customHeight="1" x14ac:dyDescent="0.25">
      <c r="B31" s="19" t="s">
        <v>96</v>
      </c>
      <c r="C31" s="101">
        <v>0.22565471400000001</v>
      </c>
    </row>
    <row r="32" spans="1:8" ht="15.75" customHeight="1" x14ac:dyDescent="0.25">
      <c r="B32" s="19" t="s">
        <v>97</v>
      </c>
      <c r="C32" s="101">
        <v>2.5746142999999999E-2</v>
      </c>
    </row>
    <row r="33" spans="2:3" ht="15.75" customHeight="1" x14ac:dyDescent="0.25">
      <c r="B33" s="19" t="s">
        <v>98</v>
      </c>
      <c r="C33" s="101">
        <v>9.9438820999999997E-2</v>
      </c>
    </row>
    <row r="34" spans="2:3" ht="15.75" customHeight="1" x14ac:dyDescent="0.25">
      <c r="B34" s="19" t="s">
        <v>99</v>
      </c>
      <c r="C34" s="101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0.17533328055139999</v>
      </c>
      <c r="C2" s="98">
        <v>0.95</v>
      </c>
      <c r="D2" s="56">
        <v>57.606667746332491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39.870654846835578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407.77420725897531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0.96257147415530553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13.0029542906315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13.0029542906315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13.0029542906315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13.0029542906315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13.0029542906315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13.0029542906315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0.243933691358</v>
      </c>
      <c r="C16" s="98">
        <v>0.95</v>
      </c>
      <c r="D16" s="56">
        <v>0.70972009052684637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9.4026515569123248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9.4026515569123248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0.22192899999999999</v>
      </c>
      <c r="C21" s="98">
        <v>0.95</v>
      </c>
      <c r="D21" s="56">
        <v>12.07130746537854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22.434109984381621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2.98415E-2</v>
      </c>
      <c r="C23" s="98">
        <v>0.95</v>
      </c>
      <c r="D23" s="56">
        <v>4.2735719414984246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0.69751328097054999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0.22480425957040001</v>
      </c>
      <c r="C27" s="98">
        <v>0.95</v>
      </c>
      <c r="D27" s="56">
        <v>18.56902833381691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0.28195290000000001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112.6831812504641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0.38594540069210109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0.30086489999999999</v>
      </c>
      <c r="C32" s="98">
        <v>0.95</v>
      </c>
      <c r="D32" s="56">
        <v>1.5229281476965579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0.94572749999999994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7.1380600000000002E-2</v>
      </c>
      <c r="C38" s="98">
        <v>0.95</v>
      </c>
      <c r="D38" s="56">
        <v>5.5334670981932863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0.520675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205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0.89935081274218709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2024-03-28T03:04:32Z</dcterms:modified>
</cp:coreProperties>
</file>