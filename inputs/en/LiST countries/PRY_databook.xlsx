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2E823BF-ED51-4A4D-9FCB-593A4C76820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<sst xmlns="http://schemas.openxmlformats.org/spreadsheetml/2006/main" count="2103" uniqueCount="341">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</sst>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674530.5234375</v>
      </c>
    </row>
    <row r="8" spans="1:3" ht="15" customHeight="1" x14ac:dyDescent="0.25">
      <c r="B8" s="5" t="s">
        <v>8</v>
      </c>
      <c r="C8" s="44">
        <v>1.6E-2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0.66318046569824207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0.1144</v>
      </c>
    </row>
    <row r="24" spans="1:3" ht="15" customHeight="1" x14ac:dyDescent="0.25">
      <c r="B24" s="15" t="s">
        <v>22</v>
      </c>
      <c r="C24" s="45">
        <v>0.50659999999999994</v>
      </c>
    </row>
    <row r="25" spans="1:3" ht="15" customHeight="1" x14ac:dyDescent="0.25">
      <c r="B25" s="15" t="s">
        <v>23</v>
      </c>
      <c r="C25" s="45">
        <v>0.32169999999999999</v>
      </c>
    </row>
    <row r="26" spans="1:3" ht="15" customHeight="1" x14ac:dyDescent="0.25">
      <c r="B26" s="15" t="s">
        <v>24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0.247134217009016</v>
      </c>
    </row>
    <row r="30" spans="1:3" ht="14.25" customHeight="1" x14ac:dyDescent="0.25">
      <c r="B30" s="25" t="s">
        <v>27</v>
      </c>
      <c r="C30" s="99">
        <v>0.12625974442754401</v>
      </c>
    </row>
    <row r="31" spans="1:3" ht="14.25" customHeight="1" x14ac:dyDescent="0.25">
      <c r="B31" s="25" t="s">
        <v>28</v>
      </c>
      <c r="C31" s="99">
        <v>0.15756466930712501</v>
      </c>
    </row>
    <row r="32" spans="1:3" ht="14.25" customHeight="1" x14ac:dyDescent="0.25">
      <c r="B32" s="25" t="s">
        <v>29</v>
      </c>
      <c r="C32" s="99">
        <v>0.46904136925631501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9.6517900000000001</v>
      </c>
    </row>
    <row r="38" spans="1:5" ht="15" customHeight="1" x14ac:dyDescent="0.25">
      <c r="B38" s="11" t="s">
        <v>34</v>
      </c>
      <c r="C38" s="43">
        <v>15.57174</v>
      </c>
      <c r="D38" s="12"/>
      <c r="E38" s="13"/>
    </row>
    <row r="39" spans="1:5" ht="15" customHeight="1" x14ac:dyDescent="0.25">
      <c r="B39" s="11" t="s">
        <v>35</v>
      </c>
      <c r="C39" s="43">
        <v>18.157489999999999</v>
      </c>
      <c r="D39" s="12"/>
      <c r="E39" s="12"/>
    </row>
    <row r="40" spans="1:5" ht="15" customHeight="1" x14ac:dyDescent="0.25">
      <c r="B40" s="11" t="s">
        <v>36</v>
      </c>
      <c r="C40" s="100">
        <v>0.71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6.6461999999999997E-3</v>
      </c>
      <c r="D45" s="12"/>
    </row>
    <row r="46" spans="1:5" ht="15.75" customHeight="1" x14ac:dyDescent="0.25">
      <c r="B46" s="11" t="s">
        <v>41</v>
      </c>
      <c r="C46" s="45">
        <v>7.1412900000000001E-2</v>
      </c>
      <c r="D46" s="12"/>
    </row>
    <row r="47" spans="1:5" ht="15.75" customHeight="1" x14ac:dyDescent="0.25">
      <c r="B47" s="11" t="s">
        <v>42</v>
      </c>
      <c r="C47" s="45">
        <v>7.4680700000000003E-2</v>
      </c>
      <c r="D47" s="12"/>
      <c r="E47" s="13"/>
    </row>
    <row r="48" spans="1:5" ht="15" customHeight="1" x14ac:dyDescent="0.25">
      <c r="B48" s="11" t="s">
        <v>43</v>
      </c>
      <c r="C48" s="46">
        <v>0.84726020000000002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0.56980299999999995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136586</v>
      </c>
      <c r="C2" s="49">
        <v>355057.5</v>
      </c>
      <c r="D2" s="49">
        <v>585919</v>
      </c>
      <c r="E2" s="49">
        <v>545690</v>
      </c>
      <c r="F2" s="49">
        <v>350057</v>
      </c>
      <c r="G2" s="17">
        <f t="shared" ref="G2:G13" si="0">C2+D2+E2+F2</f>
        <v>1836723.5</v>
      </c>
      <c r="H2" s="17">
        <f t="shared" ref="H2:H13" si="1">(B2 + stillbirth*B2/(1000-stillbirth))/(1-abortion)</f>
        <v>156781.58292730295</v>
      </c>
      <c r="I2" s="17">
        <f t="shared" ref="I2:I13" si="2">G2-H2</f>
        <v>1679941.9170726971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135746</v>
      </c>
      <c r="C3" s="50">
        <v>356596.5</v>
      </c>
      <c r="D3" s="50">
        <v>582284.5</v>
      </c>
      <c r="E3" s="50">
        <v>553058.5</v>
      </c>
      <c r="F3" s="50">
        <v>362878</v>
      </c>
      <c r="G3" s="17">
        <f t="shared" si="0"/>
        <v>1854817.5</v>
      </c>
      <c r="H3" s="17">
        <f t="shared" si="1"/>
        <v>155817.38066895338</v>
      </c>
      <c r="I3" s="17">
        <f t="shared" si="2"/>
        <v>1699000.1193310467</v>
      </c>
    </row>
    <row r="4" spans="1:9" ht="15.75" customHeight="1" x14ac:dyDescent="0.25">
      <c r="A4" s="5">
        <f t="shared" si="3"/>
        <v>2026</v>
      </c>
      <c r="B4" s="49">
        <v>135253</v>
      </c>
      <c r="C4" s="50">
        <v>358223.5</v>
      </c>
      <c r="D4" s="50">
        <v>578843</v>
      </c>
      <c r="E4" s="50">
        <v>559152.5</v>
      </c>
      <c r="F4" s="50">
        <v>376414.5</v>
      </c>
      <c r="G4" s="17">
        <f t="shared" si="0"/>
        <v>1872633.5</v>
      </c>
      <c r="H4" s="17">
        <f t="shared" si="1"/>
        <v>155251.48577208869</v>
      </c>
      <c r="I4" s="17">
        <f t="shared" si="2"/>
        <v>1717382.0142279114</v>
      </c>
    </row>
    <row r="5" spans="1:9" ht="15.75" customHeight="1" x14ac:dyDescent="0.25">
      <c r="A5" s="5">
        <f t="shared" si="3"/>
        <v>2027</v>
      </c>
      <c r="B5" s="49">
        <v>134015</v>
      </c>
      <c r="C5" s="50">
        <v>360497.5</v>
      </c>
      <c r="D5" s="50">
        <v>575855.5</v>
      </c>
      <c r="E5" s="50">
        <v>563972.5</v>
      </c>
      <c r="F5" s="50">
        <v>390259</v>
      </c>
      <c r="G5" s="17">
        <f t="shared" si="0"/>
        <v>1890584.5</v>
      </c>
      <c r="H5" s="17">
        <f t="shared" si="1"/>
        <v>153830.43530085444</v>
      </c>
      <c r="I5" s="17">
        <f t="shared" si="2"/>
        <v>1736754.0646991455</v>
      </c>
    </row>
    <row r="6" spans="1:9" ht="15.75" customHeight="1" x14ac:dyDescent="0.25">
      <c r="A6" s="5">
        <f t="shared" si="3"/>
        <v>2028</v>
      </c>
      <c r="B6" s="49">
        <v>133242</v>
      </c>
      <c r="C6" s="50">
        <v>363985.50000000012</v>
      </c>
      <c r="D6" s="50">
        <v>573514.5</v>
      </c>
      <c r="E6" s="50">
        <v>567361</v>
      </c>
      <c r="F6" s="50">
        <v>404181.5</v>
      </c>
      <c r="G6" s="17">
        <f t="shared" si="0"/>
        <v>1909042.5</v>
      </c>
      <c r="H6" s="17">
        <f t="shared" si="1"/>
        <v>152943.13965120655</v>
      </c>
      <c r="I6" s="17">
        <f t="shared" si="2"/>
        <v>1756099.3603487934</v>
      </c>
    </row>
    <row r="7" spans="1:9" ht="15.75" customHeight="1" x14ac:dyDescent="0.25">
      <c r="A7" s="5">
        <f t="shared" si="3"/>
        <v>2029</v>
      </c>
      <c r="B7" s="49">
        <v>131980</v>
      </c>
      <c r="C7" s="50">
        <v>368489.5</v>
      </c>
      <c r="D7" s="50">
        <v>571956.5</v>
      </c>
      <c r="E7" s="50">
        <v>569416.5</v>
      </c>
      <c r="F7" s="50">
        <v>417897.5</v>
      </c>
      <c r="G7" s="17">
        <f t="shared" si="0"/>
        <v>1927760</v>
      </c>
      <c r="H7" s="17">
        <f t="shared" si="1"/>
        <v>151494.54054401946</v>
      </c>
      <c r="I7" s="17">
        <f t="shared" si="2"/>
        <v>1776265.4594559805</v>
      </c>
    </row>
    <row r="8" spans="1:9" ht="15.75" customHeight="1" x14ac:dyDescent="0.25">
      <c r="A8" s="5">
        <f t="shared" si="3"/>
        <v>2030</v>
      </c>
      <c r="B8" s="49">
        <v>131206</v>
      </c>
      <c r="C8" s="50">
        <v>373690</v>
      </c>
      <c r="D8" s="50">
        <v>571146</v>
      </c>
      <c r="E8" s="50">
        <v>570176.5</v>
      </c>
      <c r="F8" s="50">
        <v>430736</v>
      </c>
      <c r="G8" s="17">
        <f t="shared" si="0"/>
        <v>1945748.5</v>
      </c>
      <c r="H8" s="17">
        <f t="shared" si="1"/>
        <v>150606.09703454023</v>
      </c>
      <c r="I8" s="17">
        <f t="shared" si="2"/>
        <v>1795142.4029654597</v>
      </c>
    </row>
    <row r="9" spans="1:9" ht="15.75" customHeight="1" x14ac:dyDescent="0.25">
      <c r="A9" s="5">
        <f t="shared" si="3"/>
        <v>2031</v>
      </c>
      <c r="B9" s="49">
        <v>129929</v>
      </c>
      <c r="C9" s="50">
        <v>379121.5</v>
      </c>
      <c r="D9" s="50">
        <v>571213.5</v>
      </c>
      <c r="E9" s="50">
        <v>569516.5</v>
      </c>
      <c r="F9" s="50">
        <v>442324</v>
      </c>
      <c r="G9" s="17">
        <f t="shared" si="0"/>
        <v>1962175.5</v>
      </c>
      <c r="H9" s="17">
        <f t="shared" si="1"/>
        <v>149140.28002988262</v>
      </c>
      <c r="I9" s="17">
        <f t="shared" si="2"/>
        <v>1813035.2199701173</v>
      </c>
    </row>
    <row r="10" spans="1:9" ht="15.75" customHeight="1" x14ac:dyDescent="0.25">
      <c r="A10" s="5">
        <f t="shared" si="3"/>
        <v>2032</v>
      </c>
      <c r="B10" s="49">
        <v>129556</v>
      </c>
      <c r="C10" s="50">
        <v>384437.50000000012</v>
      </c>
      <c r="D10" s="50">
        <v>572328</v>
      </c>
      <c r="E10" s="50">
        <v>567573</v>
      </c>
      <c r="F10" s="50">
        <v>452811</v>
      </c>
      <c r="G10" s="17">
        <f t="shared" si="0"/>
        <v>1977149.5</v>
      </c>
      <c r="H10" s="17">
        <f t="shared" si="1"/>
        <v>148712.12831278212</v>
      </c>
      <c r="I10" s="17">
        <f t="shared" si="2"/>
        <v>1828437.3716872178</v>
      </c>
    </row>
    <row r="11" spans="1:9" ht="15.75" customHeight="1" x14ac:dyDescent="0.25">
      <c r="A11" s="5">
        <f t="shared" si="3"/>
        <v>2033</v>
      </c>
      <c r="B11" s="49">
        <v>128809</v>
      </c>
      <c r="C11" s="50">
        <v>388779.5</v>
      </c>
      <c r="D11" s="50">
        <v>574894.5</v>
      </c>
      <c r="E11" s="50">
        <v>564747.5</v>
      </c>
      <c r="F11" s="50">
        <v>462279</v>
      </c>
      <c r="G11" s="17">
        <f t="shared" si="0"/>
        <v>1990700.5</v>
      </c>
      <c r="H11" s="17">
        <f t="shared" si="1"/>
        <v>147854.67701874982</v>
      </c>
      <c r="I11" s="17">
        <f t="shared" si="2"/>
        <v>1842845.8229812502</v>
      </c>
    </row>
    <row r="12" spans="1:9" ht="15.75" customHeight="1" x14ac:dyDescent="0.25">
      <c r="A12" s="5">
        <f t="shared" si="3"/>
        <v>2034</v>
      </c>
      <c r="B12" s="49">
        <v>128412</v>
      </c>
      <c r="C12" s="50">
        <v>391398</v>
      </c>
      <c r="D12" s="50">
        <v>579219</v>
      </c>
      <c r="E12" s="50">
        <v>561399.49999999988</v>
      </c>
      <c r="F12" s="50">
        <v>470573.5</v>
      </c>
      <c r="G12" s="17">
        <f t="shared" si="0"/>
        <v>2002590</v>
      </c>
      <c r="H12" s="17">
        <f t="shared" si="1"/>
        <v>147398.97666569651</v>
      </c>
      <c r="I12" s="17">
        <f t="shared" si="2"/>
        <v>1855191.0233343034</v>
      </c>
    </row>
    <row r="13" spans="1:9" ht="15.75" customHeight="1" x14ac:dyDescent="0.25">
      <c r="A13" s="5">
        <f t="shared" si="3"/>
        <v>2035</v>
      </c>
      <c r="B13" s="49">
        <v>127620</v>
      </c>
      <c r="C13" s="50">
        <v>392517.50000000012</v>
      </c>
      <c r="D13" s="50">
        <v>584908.5</v>
      </c>
      <c r="E13" s="50">
        <v>557852.5</v>
      </c>
      <c r="F13" s="50">
        <v>477711.5</v>
      </c>
      <c r="G13" s="17">
        <f t="shared" si="0"/>
        <v>2012990</v>
      </c>
      <c r="H13" s="17">
        <f t="shared" si="1"/>
        <v>146489.87167925265</v>
      </c>
      <c r="I13" s="17">
        <f t="shared" si="2"/>
        <v>1866500.1283207473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7.6678956102072828E-4</v>
      </c>
    </row>
    <row r="4" spans="1:8" ht="15.75" customHeight="1" x14ac:dyDescent="0.25">
      <c r="B4" s="19" t="s">
        <v>69</v>
      </c>
      <c r="C4" s="101">
        <v>6.4427525134935867E-2</v>
      </c>
    </row>
    <row r="5" spans="1:8" ht="15.75" customHeight="1" x14ac:dyDescent="0.25">
      <c r="B5" s="19" t="s">
        <v>70</v>
      </c>
      <c r="C5" s="101">
        <v>3.1018022905075229E-2</v>
      </c>
    </row>
    <row r="6" spans="1:8" ht="15.75" customHeight="1" x14ac:dyDescent="0.25">
      <c r="B6" s="19" t="s">
        <v>71</v>
      </c>
      <c r="C6" s="101">
        <v>0.1851606267612057</v>
      </c>
    </row>
    <row r="7" spans="1:8" ht="15.75" customHeight="1" x14ac:dyDescent="0.25">
      <c r="B7" s="19" t="s">
        <v>72</v>
      </c>
      <c r="C7" s="101">
        <v>0.44250568466396889</v>
      </c>
    </row>
    <row r="8" spans="1:8" ht="15.75" customHeight="1" x14ac:dyDescent="0.25">
      <c r="B8" s="19" t="s">
        <v>73</v>
      </c>
      <c r="C8" s="101">
        <v>1.07512557466712E-4</v>
      </c>
    </row>
    <row r="9" spans="1:8" ht="15.75" customHeight="1" x14ac:dyDescent="0.25">
      <c r="B9" s="19" t="s">
        <v>74</v>
      </c>
      <c r="C9" s="101">
        <v>0.17925163659115381</v>
      </c>
    </row>
    <row r="10" spans="1:8" ht="15.75" customHeight="1" x14ac:dyDescent="0.25">
      <c r="B10" s="19" t="s">
        <v>75</v>
      </c>
      <c r="C10" s="101">
        <v>9.6762201825173214E-2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82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83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87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88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89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2.8053887999999999E-2</v>
      </c>
    </row>
    <row r="27" spans="1:8" ht="15.75" customHeight="1" x14ac:dyDescent="0.25">
      <c r="B27" s="19" t="s">
        <v>92</v>
      </c>
      <c r="C27" s="101">
        <v>2.2885193000000002E-2</v>
      </c>
    </row>
    <row r="28" spans="1:8" ht="15.75" customHeight="1" x14ac:dyDescent="0.25">
      <c r="B28" s="19" t="s">
        <v>93</v>
      </c>
      <c r="C28" s="101">
        <v>0.17241262399999999</v>
      </c>
    </row>
    <row r="29" spans="1:8" ht="15.75" customHeight="1" x14ac:dyDescent="0.25">
      <c r="B29" s="19" t="s">
        <v>94</v>
      </c>
      <c r="C29" s="101">
        <v>0.185358881</v>
      </c>
    </row>
    <row r="30" spans="1:8" ht="15.75" customHeight="1" x14ac:dyDescent="0.25">
      <c r="B30" s="19" t="s">
        <v>95</v>
      </c>
      <c r="C30" s="101">
        <v>0.10644221299999999</v>
      </c>
    </row>
    <row r="31" spans="1:8" ht="15.75" customHeight="1" x14ac:dyDescent="0.25">
      <c r="B31" s="19" t="s">
        <v>96</v>
      </c>
      <c r="C31" s="101">
        <v>0.22565471400000001</v>
      </c>
    </row>
    <row r="32" spans="1:8" ht="15.75" customHeight="1" x14ac:dyDescent="0.25">
      <c r="B32" s="19" t="s">
        <v>97</v>
      </c>
      <c r="C32" s="101">
        <v>2.5746142999999999E-2</v>
      </c>
    </row>
    <row r="33" spans="2:3" ht="15.75" customHeight="1" x14ac:dyDescent="0.25">
      <c r="B33" s="19" t="s">
        <v>98</v>
      </c>
      <c r="C33" s="101">
        <v>9.9438820999999997E-2</v>
      </c>
    </row>
    <row r="34" spans="2:3" ht="15.75" customHeight="1" x14ac:dyDescent="0.25">
      <c r="B34" s="19" t="s">
        <v>99</v>
      </c>
      <c r="C34" s="101">
        <v>0.13400752399999999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104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105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109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110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122</v>
      </c>
      <c r="C5" s="52">
        <v>1.5739099999999999E-2</v>
      </c>
      <c r="D5" s="52">
        <v>9.1313900000000003E-2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57.606667746332491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39.870654846835578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407.77420725897531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1.021192076931364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13.0029542906315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13.0029542906315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13.0029542906315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13.0029542906315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13.0029542906315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13.0029542906315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0.70972009052684637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0.20165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0.30086489999999999</v>
      </c>
      <c r="C18" s="98">
        <v>0.95</v>
      </c>
      <c r="D18" s="56">
        <v>9.4026515569123248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0.30086489999999999</v>
      </c>
      <c r="C19" s="98">
        <v>0.95</v>
      </c>
      <c r="D19" s="56">
        <v>9.4026515569123248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12.07130746537854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22.434109984381621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4.2735719414984246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0.66650893535570011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18.56902833381691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0.28195290000000001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0.520675</v>
      </c>
      <c r="C29" s="98">
        <v>0.95</v>
      </c>
      <c r="D29" s="56">
        <v>112.6831812504641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0.38594540069210109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1.5229281476965579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0.80153059999999998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0.22192899999999999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2.98415E-2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7.1380600000000002E-2</v>
      </c>
      <c r="C38" s="98">
        <v>0.95</v>
      </c>
      <c r="D38" s="56">
        <v>5.5334670981932863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205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1.6E-2</v>
      </c>
      <c r="E2" s="60">
        <f>food_insecure</f>
        <v>1.6E-2</v>
      </c>
      <c r="F2" s="60">
        <f>food_insecure</f>
        <v>1.6E-2</v>
      </c>
      <c r="G2" s="60">
        <f>food_insecure</f>
        <v>1.6E-2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1.6E-2</v>
      </c>
      <c r="I15" s="60">
        <f>food_insecure</f>
        <v>1.6E-2</v>
      </c>
      <c r="J15" s="60">
        <f>food_insecure</f>
        <v>1.6E-2</v>
      </c>
      <c r="K15" s="60">
        <f>food_insecure</f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0.10976069744379768</v>
      </c>
      <c r="H18" s="90">
        <f>MIN(MAX(1-0.89/(1-frac_sam_24_59months+(frac_sam_24_59months*0.89)),0),1)</f>
        <v>0.10985119649496444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0.10977589943604449</v>
      </c>
      <c r="G20" s="90">
        <f>MIN(MAX(1-0.89/(1-frac_mam_12_23months+(frac_mam_12_23months*0.89)),0),1)</f>
        <v>0.10950266436202483</v>
      </c>
      <c r="H20" s="90">
        <f>MIN(MAX(1-0.89/(1-frac_mam_24_59months+(frac_mam_24_59months*0.89)),0),1)</f>
        <v>0.10963010740292911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9.975806778790175E-3</v>
      </c>
      <c r="H73" s="90">
        <f>MIN(MAX(1-0.99/(1-frac_sam_24_59months+(frac_sam_24_59months*0.99)),0),1)</f>
        <v>9.9849547413572992E-3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9.9773433315021309E-3</v>
      </c>
      <c r="G75" s="90">
        <f>MIN(MAX(1-0.99/(1-frac_mam_12_23months+(frac_mam_12_23months*0.99)),0),1)</f>
        <v>9.9497331678524148E-3</v>
      </c>
      <c r="H75" s="90">
        <f>MIN(MAX(1-0.99/(1-frac_mam_24_59months+(frac_mam_24_59months*0.99)),0),1)</f>
        <v>9.9626092578638525E-3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0.19960881681312914</v>
      </c>
      <c r="H128" s="90">
        <f>MIN(MAX(1-0.8/(1-frac_sam_24_59months+(frac_sam_24_59months*0.8)),0),1)</f>
        <v>0.19975677407391201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0.19963367233182627</v>
      </c>
      <c r="G130" s="90">
        <f>MIN(MAX(1-0.8/(1-frac_mam_12_23months+(frac_mam_12_23months*0.8)),0),1)</f>
        <v>0.19918682226680262</v>
      </c>
      <c r="H130" s="90">
        <f>MIN(MAX(1-0.8/(1-frac_mam_24_59months+(frac_mam_24_59months*0.8)),0),1)</f>
        <v>0.19939527122416645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2024-06-18T06:56:46Z</dcterms:modified>
</cp:coreProperties>
</file>