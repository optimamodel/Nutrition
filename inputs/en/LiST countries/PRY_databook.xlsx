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5D21B943-B832-4AD9-8219-EAC8F51B6485}" xr6:coauthVersionLast="47" xr6:coauthVersionMax="47" xr10:uidLastSave="{00000000-0000-0000-0000-000000000000}"/>
  <bookViews>
    <workbookView xWindow="-110" yWindow="-110" windowWidth="19420" windowHeight="1042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9" i="27" l="1"/>
  <c r="G159" i="27"/>
  <c r="F159" i="27"/>
  <c r="E159" i="27"/>
  <c r="D159" i="27"/>
  <c r="H158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A37" i="2"/>
  <c r="A36" i="2"/>
  <c r="A31" i="2"/>
  <c r="A25" i="2"/>
  <c r="A23" i="2"/>
  <c r="A22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I7" i="2" s="1"/>
  <c r="H6" i="2"/>
  <c r="G6" i="2"/>
  <c r="H5" i="2"/>
  <c r="G5" i="2"/>
  <c r="H4" i="2"/>
  <c r="G4" i="2"/>
  <c r="I4" i="2" s="1"/>
  <c r="H3" i="2"/>
  <c r="G3" i="2"/>
  <c r="I3" i="2" s="1"/>
  <c r="H2" i="2"/>
  <c r="G2" i="2"/>
  <c r="A2" i="2"/>
  <c r="A39" i="2" s="1"/>
  <c r="C33" i="1"/>
  <c r="C20" i="1"/>
  <c r="A26" i="2" l="1"/>
  <c r="I39" i="2"/>
  <c r="A34" i="2"/>
  <c r="A40" i="2"/>
  <c r="I2" i="2"/>
  <c r="I6" i="2"/>
  <c r="A19" i="2"/>
  <c r="A35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<sst xmlns="http://schemas.openxmlformats.org/spreadsheetml/2006/main" count="2169" uniqueCount="373">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</sst>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672592.5</v>
      </c>
    </row>
    <row r="8" spans="1:3" ht="15" customHeight="1" x14ac:dyDescent="0.25">
      <c r="B8" s="5" t="s">
        <v>8</v>
      </c>
      <c r="C8" s="44">
        <v>1.6E-2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0.66318046569824207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0.17399999999999999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0.1144</v>
      </c>
    </row>
    <row r="24" spans="1:3" ht="15" customHeight="1" x14ac:dyDescent="0.25">
      <c r="B24" s="15" t="s">
        <v>22</v>
      </c>
      <c r="C24" s="45">
        <v>0.50659999999999994</v>
      </c>
    </row>
    <row r="25" spans="1:3" ht="15" customHeight="1" x14ac:dyDescent="0.25">
      <c r="B25" s="15" t="s">
        <v>23</v>
      </c>
      <c r="C25" s="45">
        <v>0.32169999999999999</v>
      </c>
    </row>
    <row r="26" spans="1:3" ht="15" customHeight="1" x14ac:dyDescent="0.25">
      <c r="B26" s="15" t="s">
        <v>24</v>
      </c>
      <c r="C26" s="45">
        <v>5.7299999999999997E-2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0.247134217009016</v>
      </c>
    </row>
    <row r="30" spans="1:3" ht="14.25" customHeight="1" x14ac:dyDescent="0.25">
      <c r="B30" s="25" t="s">
        <v>27</v>
      </c>
      <c r="C30" s="97">
        <v>0.12625974442754401</v>
      </c>
    </row>
    <row r="31" spans="1:3" ht="14.25" customHeight="1" x14ac:dyDescent="0.25">
      <c r="B31" s="25" t="s">
        <v>28</v>
      </c>
      <c r="C31" s="97">
        <v>0.15756466930712501</v>
      </c>
    </row>
    <row r="32" spans="1:3" ht="14.25" customHeight="1" x14ac:dyDescent="0.25">
      <c r="B32" s="25" t="s">
        <v>29</v>
      </c>
      <c r="C32" s="97">
        <v>0.46904136925631501</v>
      </c>
    </row>
    <row r="33" spans="1:5" ht="13.25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9.6517900000000001</v>
      </c>
    </row>
    <row r="38" spans="1:5" ht="15" customHeight="1" x14ac:dyDescent="0.25">
      <c r="B38" s="11" t="s">
        <v>34</v>
      </c>
      <c r="C38" s="43">
        <v>15.57174</v>
      </c>
      <c r="D38" s="12"/>
      <c r="E38" s="13"/>
    </row>
    <row r="39" spans="1:5" ht="15" customHeight="1" x14ac:dyDescent="0.25">
      <c r="B39" s="11" t="s">
        <v>35</v>
      </c>
      <c r="C39" s="43">
        <v>18.157489999999999</v>
      </c>
      <c r="D39" s="12"/>
      <c r="E39" s="12"/>
    </row>
    <row r="40" spans="1:5" ht="15" customHeight="1" x14ac:dyDescent="0.25">
      <c r="B40" s="11" t="s">
        <v>36</v>
      </c>
      <c r="C40" s="98">
        <v>0.71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10.015330000000001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6.6461999999999997E-3</v>
      </c>
      <c r="D45" s="12"/>
    </row>
    <row r="46" spans="1:5" ht="15.75" customHeight="1" x14ac:dyDescent="0.25">
      <c r="B46" s="11" t="s">
        <v>41</v>
      </c>
      <c r="C46" s="45">
        <v>7.1412900000000001E-2</v>
      </c>
      <c r="D46" s="12"/>
    </row>
    <row r="47" spans="1:5" ht="15.75" customHeight="1" x14ac:dyDescent="0.25">
      <c r="B47" s="11" t="s">
        <v>42</v>
      </c>
      <c r="C47" s="45">
        <v>7.4680700000000003E-2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3.2</v>
      </c>
      <c r="D51" s="12"/>
    </row>
    <row r="52" spans="1:4" ht="15" customHeight="1" x14ac:dyDescent="0.25">
      <c r="B52" s="11" t="s">
        <v>46</v>
      </c>
      <c r="C52" s="98">
        <v>3.2</v>
      </c>
    </row>
    <row r="53" spans="1:4" ht="15.75" customHeight="1" x14ac:dyDescent="0.25">
      <c r="B53" s="11" t="s">
        <v>47</v>
      </c>
      <c r="C53" s="98">
        <v>3.2</v>
      </c>
    </row>
    <row r="54" spans="1:4" ht="15.75" customHeight="1" x14ac:dyDescent="0.25">
      <c r="B54" s="11" t="s">
        <v>48</v>
      </c>
      <c r="C54" s="98">
        <v>3.2</v>
      </c>
    </row>
    <row r="55" spans="1:4" ht="15.75" customHeight="1" x14ac:dyDescent="0.25">
      <c r="B55" s="11" t="s">
        <v>49</v>
      </c>
      <c r="C55" s="98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0.56980299999999995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8.0900145000000007E-2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136695</v>
      </c>
      <c r="C2" s="49">
        <v>287354</v>
      </c>
      <c r="D2" s="49">
        <v>578966</v>
      </c>
      <c r="E2" s="49">
        <v>547535.5</v>
      </c>
      <c r="F2" s="49">
        <v>397018</v>
      </c>
      <c r="G2" s="17">
        <f t="shared" ref="G2:G13" si="0">C2+D2+E2+F2</f>
        <v>1810873.5</v>
      </c>
      <c r="H2" s="17">
        <f t="shared" ref="H2:H13" si="1">(B2 + stillbirth*B2/(1000-stillbirth))/(1-abortion)</f>
        <v>156906.69964892213</v>
      </c>
      <c r="I2" s="17">
        <f t="shared" ref="I2:I13" si="2">G2-H2</f>
        <v>1653966.8003510779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135786</v>
      </c>
      <c r="C3" s="50">
        <v>289685.5</v>
      </c>
      <c r="D3" s="50">
        <v>574550.99999999988</v>
      </c>
      <c r="E3" s="50">
        <v>554684.50000000012</v>
      </c>
      <c r="F3" s="50">
        <v>412006.49999999994</v>
      </c>
      <c r="G3" s="17">
        <f t="shared" si="0"/>
        <v>1830927.5</v>
      </c>
      <c r="H3" s="17">
        <f t="shared" si="1"/>
        <v>155863.29506220811</v>
      </c>
      <c r="I3" s="17">
        <f t="shared" si="2"/>
        <v>1675064.2049377919</v>
      </c>
    </row>
    <row r="4" spans="1:9" ht="15.75" customHeight="1" x14ac:dyDescent="0.25">
      <c r="A4" s="5">
        <f t="shared" si="3"/>
        <v>2026</v>
      </c>
      <c r="B4" s="49">
        <v>134692</v>
      </c>
      <c r="C4" s="50">
        <v>292438.5</v>
      </c>
      <c r="D4" s="50">
        <v>570163</v>
      </c>
      <c r="E4" s="50">
        <v>560512.5</v>
      </c>
      <c r="F4" s="50">
        <v>427706.5</v>
      </c>
      <c r="G4" s="17">
        <f t="shared" si="0"/>
        <v>1850820.5</v>
      </c>
      <c r="H4" s="17">
        <f t="shared" si="1"/>
        <v>154607.53640669092</v>
      </c>
      <c r="I4" s="17">
        <f t="shared" si="2"/>
        <v>1696212.963593309</v>
      </c>
    </row>
    <row r="5" spans="1:9" ht="15.75" customHeight="1" x14ac:dyDescent="0.25">
      <c r="A5" s="5">
        <f t="shared" si="3"/>
        <v>2027</v>
      </c>
      <c r="B5" s="49">
        <v>133752</v>
      </c>
      <c r="C5" s="50">
        <v>296112.5</v>
      </c>
      <c r="D5" s="50">
        <v>566020</v>
      </c>
      <c r="E5" s="50">
        <v>565031.5</v>
      </c>
      <c r="F5" s="50">
        <v>443664.5</v>
      </c>
      <c r="G5" s="17">
        <f t="shared" si="0"/>
        <v>1870828.5</v>
      </c>
      <c r="H5" s="17">
        <f t="shared" si="1"/>
        <v>153528.54816520453</v>
      </c>
      <c r="I5" s="17">
        <f t="shared" si="2"/>
        <v>1717299.9518347955</v>
      </c>
    </row>
    <row r="6" spans="1:9" ht="15.75" customHeight="1" x14ac:dyDescent="0.25">
      <c r="A6" s="5">
        <f t="shared" si="3"/>
        <v>2028</v>
      </c>
      <c r="B6" s="49">
        <v>132847</v>
      </c>
      <c r="C6" s="50">
        <v>300178.5</v>
      </c>
      <c r="D6" s="50">
        <v>562815</v>
      </c>
      <c r="E6" s="50">
        <v>568221</v>
      </c>
      <c r="F6" s="50">
        <v>459585.5</v>
      </c>
      <c r="G6" s="17">
        <f t="shared" si="0"/>
        <v>1890800</v>
      </c>
      <c r="H6" s="17">
        <f t="shared" si="1"/>
        <v>152489.73501781598</v>
      </c>
      <c r="I6" s="17">
        <f t="shared" si="2"/>
        <v>1738310.2649821839</v>
      </c>
    </row>
    <row r="7" spans="1:9" ht="15.75" customHeight="1" x14ac:dyDescent="0.25">
      <c r="A7" s="5">
        <f t="shared" si="3"/>
        <v>2029</v>
      </c>
      <c r="B7" s="49">
        <v>132003</v>
      </c>
      <c r="C7" s="50">
        <v>304485</v>
      </c>
      <c r="D7" s="50">
        <v>561043</v>
      </c>
      <c r="E7" s="50">
        <v>570051.99999999988</v>
      </c>
      <c r="F7" s="50">
        <v>474999.5</v>
      </c>
      <c r="G7" s="17">
        <f t="shared" si="0"/>
        <v>1910579.5</v>
      </c>
      <c r="H7" s="17">
        <f t="shared" si="1"/>
        <v>151520.94132014093</v>
      </c>
      <c r="I7" s="17">
        <f t="shared" si="2"/>
        <v>1759058.5586798592</v>
      </c>
    </row>
    <row r="8" spans="1:9" ht="15.75" customHeight="1" x14ac:dyDescent="0.25">
      <c r="A8" s="5">
        <f t="shared" si="3"/>
        <v>2030</v>
      </c>
      <c r="B8" s="49">
        <v>131254</v>
      </c>
      <c r="C8" s="50">
        <v>309638</v>
      </c>
      <c r="D8" s="50">
        <v>560643</v>
      </c>
      <c r="E8" s="50">
        <v>570429.5</v>
      </c>
      <c r="F8" s="50">
        <v>489104</v>
      </c>
      <c r="G8" s="17">
        <f t="shared" si="0"/>
        <v>1929814.5</v>
      </c>
      <c r="H8" s="17">
        <f t="shared" si="1"/>
        <v>150661.19430644589</v>
      </c>
      <c r="I8" s="17">
        <f t="shared" si="2"/>
        <v>1779153.3056935542</v>
      </c>
    </row>
    <row r="9" spans="1:9" ht="15.75" customHeight="1" x14ac:dyDescent="0.25">
      <c r="A9" s="5">
        <f t="shared" si="3"/>
        <v>2031</v>
      </c>
      <c r="B9" s="49">
        <v>130380</v>
      </c>
      <c r="C9" s="50">
        <v>315159.5</v>
      </c>
      <c r="D9" s="50">
        <v>561904</v>
      </c>
      <c r="E9" s="50">
        <v>569065.49999999988</v>
      </c>
      <c r="F9" s="50">
        <v>501645</v>
      </c>
      <c r="G9" s="17">
        <f t="shared" si="0"/>
        <v>1947774</v>
      </c>
      <c r="H9" s="17">
        <f t="shared" si="1"/>
        <v>149657.96481382981</v>
      </c>
      <c r="I9" s="17">
        <f t="shared" si="2"/>
        <v>1798116.0351861701</v>
      </c>
    </row>
    <row r="10" spans="1:9" ht="15.75" customHeight="1" x14ac:dyDescent="0.25">
      <c r="A10" s="5">
        <f t="shared" si="3"/>
        <v>2032</v>
      </c>
      <c r="B10" s="49">
        <v>129862</v>
      </c>
      <c r="C10" s="50">
        <v>319938.5</v>
      </c>
      <c r="D10" s="50">
        <v>565360.5</v>
      </c>
      <c r="E10" s="50">
        <v>566016.00000000012</v>
      </c>
      <c r="F10" s="50">
        <v>512853.00000000006</v>
      </c>
      <c r="G10" s="17">
        <f t="shared" si="0"/>
        <v>1964168</v>
      </c>
      <c r="H10" s="17">
        <f t="shared" si="1"/>
        <v>149063.37342118091</v>
      </c>
      <c r="I10" s="17">
        <f t="shared" si="2"/>
        <v>1815104.626578819</v>
      </c>
    </row>
    <row r="11" spans="1:9" ht="15.75" customHeight="1" x14ac:dyDescent="0.25">
      <c r="A11" s="5">
        <f t="shared" si="3"/>
        <v>2033</v>
      </c>
      <c r="B11" s="49">
        <v>129392</v>
      </c>
      <c r="C11" s="50">
        <v>323734</v>
      </c>
      <c r="D11" s="50">
        <v>570612.5</v>
      </c>
      <c r="E11" s="50">
        <v>561997.00000000012</v>
      </c>
      <c r="F11" s="50">
        <v>522710.5</v>
      </c>
      <c r="G11" s="17">
        <f t="shared" si="0"/>
        <v>1979054</v>
      </c>
      <c r="H11" s="17">
        <f t="shared" si="1"/>
        <v>148523.87930043769</v>
      </c>
      <c r="I11" s="17">
        <f t="shared" si="2"/>
        <v>1830530.1206995624</v>
      </c>
    </row>
    <row r="12" spans="1:9" ht="15.75" customHeight="1" x14ac:dyDescent="0.25">
      <c r="A12" s="5">
        <f t="shared" si="3"/>
        <v>2034</v>
      </c>
      <c r="B12" s="49">
        <v>128959</v>
      </c>
      <c r="C12" s="50">
        <v>326221.5</v>
      </c>
      <c r="D12" s="50">
        <v>577078</v>
      </c>
      <c r="E12" s="50">
        <v>557773.5</v>
      </c>
      <c r="F12" s="50">
        <v>531141.5</v>
      </c>
      <c r="G12" s="17">
        <f t="shared" si="0"/>
        <v>1992214.5</v>
      </c>
      <c r="H12" s="17">
        <f t="shared" si="1"/>
        <v>148026.8559934551</v>
      </c>
      <c r="I12" s="17">
        <f t="shared" si="2"/>
        <v>1844187.644006545</v>
      </c>
    </row>
    <row r="13" spans="1:9" ht="15.75" customHeight="1" x14ac:dyDescent="0.25">
      <c r="A13" s="5">
        <f t="shared" si="3"/>
        <v>2035</v>
      </c>
      <c r="B13" s="49">
        <v>128570</v>
      </c>
      <c r="C13" s="50">
        <v>327092</v>
      </c>
      <c r="D13" s="50">
        <v>584670.5</v>
      </c>
      <c r="E13" s="50">
        <v>553597</v>
      </c>
      <c r="F13" s="50">
        <v>538337</v>
      </c>
      <c r="G13" s="17">
        <f t="shared" si="0"/>
        <v>2003696.5</v>
      </c>
      <c r="H13" s="17">
        <f t="shared" si="1"/>
        <v>147580.33851905275</v>
      </c>
      <c r="I13" s="17">
        <f t="shared" si="2"/>
        <v>1856116.1614809472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7.6678956102072828E-4</v>
      </c>
    </row>
    <row r="4" spans="1:8" ht="15.75" customHeight="1" x14ac:dyDescent="0.25">
      <c r="B4" s="19" t="s">
        <v>69</v>
      </c>
      <c r="C4" s="99">
        <v>6.4427525134935867E-2</v>
      </c>
    </row>
    <row r="5" spans="1:8" ht="15.75" customHeight="1" x14ac:dyDescent="0.25">
      <c r="B5" s="19" t="s">
        <v>70</v>
      </c>
      <c r="C5" s="99">
        <v>3.1018022905075229E-2</v>
      </c>
    </row>
    <row r="6" spans="1:8" ht="15.75" customHeight="1" x14ac:dyDescent="0.25">
      <c r="B6" s="19" t="s">
        <v>71</v>
      </c>
      <c r="C6" s="99">
        <v>0.1851606267612057</v>
      </c>
    </row>
    <row r="7" spans="1:8" ht="15.75" customHeight="1" x14ac:dyDescent="0.25">
      <c r="B7" s="19" t="s">
        <v>72</v>
      </c>
      <c r="C7" s="99">
        <v>0.44250568466396889</v>
      </c>
    </row>
    <row r="8" spans="1:8" ht="15.75" customHeight="1" x14ac:dyDescent="0.25">
      <c r="B8" s="19" t="s">
        <v>73</v>
      </c>
      <c r="C8" s="99">
        <v>1.07512557466712E-4</v>
      </c>
    </row>
    <row r="9" spans="1:8" ht="15.75" customHeight="1" x14ac:dyDescent="0.25">
      <c r="B9" s="19" t="s">
        <v>74</v>
      </c>
      <c r="C9" s="99">
        <v>0.17925163659115381</v>
      </c>
    </row>
    <row r="10" spans="1:8" ht="15.75" customHeight="1" x14ac:dyDescent="0.25">
      <c r="B10" s="19" t="s">
        <v>75</v>
      </c>
      <c r="C10" s="99">
        <v>9.6762201825173214E-2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0.1732830632560021</v>
      </c>
      <c r="D14" s="55">
        <v>0.1732830632560021</v>
      </c>
      <c r="E14" s="55">
        <v>0.1732830632560021</v>
      </c>
      <c r="F14" s="55">
        <v>0.1732830632560021</v>
      </c>
    </row>
    <row r="15" spans="1:8" ht="15.75" customHeight="1" x14ac:dyDescent="0.25">
      <c r="B15" s="19" t="s">
        <v>82</v>
      </c>
      <c r="C15" s="99">
        <v>0.36070214212649582</v>
      </c>
      <c r="D15" s="99">
        <v>0.36070214212649582</v>
      </c>
      <c r="E15" s="99">
        <v>0.36070214212649582</v>
      </c>
      <c r="F15" s="99">
        <v>0.36070214212649582</v>
      </c>
    </row>
    <row r="16" spans="1:8" ht="15.75" customHeight="1" x14ac:dyDescent="0.25">
      <c r="B16" s="19" t="s">
        <v>83</v>
      </c>
      <c r="C16" s="99">
        <v>3.7287091450664667E-2</v>
      </c>
      <c r="D16" s="99">
        <v>3.7287091450664667E-2</v>
      </c>
      <c r="E16" s="99">
        <v>3.7287091450664667E-2</v>
      </c>
      <c r="F16" s="99">
        <v>3.7287091450664667E-2</v>
      </c>
    </row>
    <row r="17" spans="1:8" ht="15.75" customHeight="1" x14ac:dyDescent="0.25">
      <c r="B17" s="19" t="s">
        <v>84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85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86</v>
      </c>
      <c r="C19" s="99">
        <v>0.104489465138261</v>
      </c>
      <c r="D19" s="99">
        <v>0.104489465138261</v>
      </c>
      <c r="E19" s="99">
        <v>0.104489465138261</v>
      </c>
      <c r="F19" s="99">
        <v>0.104489465138261</v>
      </c>
    </row>
    <row r="20" spans="1:8" ht="15.75" customHeight="1" x14ac:dyDescent="0.25">
      <c r="B20" s="19" t="s">
        <v>87</v>
      </c>
      <c r="C20" s="99">
        <v>3.0766079362013359E-2</v>
      </c>
      <c r="D20" s="99">
        <v>3.0766079362013359E-2</v>
      </c>
      <c r="E20" s="99">
        <v>3.0766079362013359E-2</v>
      </c>
      <c r="F20" s="99">
        <v>3.0766079362013359E-2</v>
      </c>
    </row>
    <row r="21" spans="1:8" ht="15.75" customHeight="1" x14ac:dyDescent="0.25">
      <c r="B21" s="19" t="s">
        <v>88</v>
      </c>
      <c r="C21" s="99">
        <v>0.28076527745822938</v>
      </c>
      <c r="D21" s="99">
        <v>0.28076527745822938</v>
      </c>
      <c r="E21" s="99">
        <v>0.28076527745822938</v>
      </c>
      <c r="F21" s="99">
        <v>0.28076527745822938</v>
      </c>
    </row>
    <row r="22" spans="1:8" ht="15.75" customHeight="1" x14ac:dyDescent="0.25">
      <c r="B22" s="19" t="s">
        <v>89</v>
      </c>
      <c r="C22" s="99">
        <v>1.2706881208333839E-2</v>
      </c>
      <c r="D22" s="99">
        <v>1.2706881208333839E-2</v>
      </c>
      <c r="E22" s="99">
        <v>1.2706881208333839E-2</v>
      </c>
      <c r="F22" s="99">
        <v>1.2706881208333839E-2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2.8053887999999999E-2</v>
      </c>
    </row>
    <row r="27" spans="1:8" ht="15.75" customHeight="1" x14ac:dyDescent="0.25">
      <c r="B27" s="19" t="s">
        <v>92</v>
      </c>
      <c r="C27" s="99">
        <v>2.2885193000000002E-2</v>
      </c>
    </row>
    <row r="28" spans="1:8" ht="15.75" customHeight="1" x14ac:dyDescent="0.25">
      <c r="B28" s="19" t="s">
        <v>93</v>
      </c>
      <c r="C28" s="99">
        <v>0.17241262399999999</v>
      </c>
    </row>
    <row r="29" spans="1:8" ht="15.75" customHeight="1" x14ac:dyDescent="0.25">
      <c r="B29" s="19" t="s">
        <v>94</v>
      </c>
      <c r="C29" s="99">
        <v>0.185358881</v>
      </c>
    </row>
    <row r="30" spans="1:8" ht="15.75" customHeight="1" x14ac:dyDescent="0.25">
      <c r="B30" s="19" t="s">
        <v>95</v>
      </c>
      <c r="C30" s="99">
        <v>0.10644221299999999</v>
      </c>
    </row>
    <row r="31" spans="1:8" ht="15.75" customHeight="1" x14ac:dyDescent="0.25">
      <c r="B31" s="19" t="s">
        <v>96</v>
      </c>
      <c r="C31" s="99">
        <v>0.22565471400000001</v>
      </c>
    </row>
    <row r="32" spans="1:8" ht="15.75" customHeight="1" x14ac:dyDescent="0.25">
      <c r="B32" s="19" t="s">
        <v>97</v>
      </c>
      <c r="C32" s="99">
        <v>2.5746142999999999E-2</v>
      </c>
    </row>
    <row r="33" spans="2:3" ht="15.75" customHeight="1" x14ac:dyDescent="0.25">
      <c r="B33" s="19" t="s">
        <v>98</v>
      </c>
      <c r="C33" s="99">
        <v>9.9438820999999997E-2</v>
      </c>
    </row>
    <row r="34" spans="2:3" ht="15.75" customHeight="1" x14ac:dyDescent="0.25">
      <c r="B34" s="19" t="s">
        <v>99</v>
      </c>
      <c r="C34" s="99">
        <v>0.13400752399999999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0.67504211304196526</v>
      </c>
      <c r="D2" s="52">
        <f>IFERROR(1-_xlfn.NORM.DIST(_xlfn.NORM.INV(SUM(D4:D5), 0, 1) + 1, 0, 1, TRUE), "")</f>
        <v>0.67504211304196526</v>
      </c>
      <c r="E2" s="52">
        <f>IFERROR(1-_xlfn.NORM.DIST(_xlfn.NORM.INV(SUM(E4:E5), 0, 1) + 1, 0, 1, TRUE), "")</f>
        <v>0.75043817851002848</v>
      </c>
      <c r="F2" s="52">
        <f>IFERROR(1-_xlfn.NORM.DIST(_xlfn.NORM.INV(SUM(F4:F5), 0, 1) + 1, 0, 1, TRUE), "")</f>
        <v>0.66568741422070443</v>
      </c>
      <c r="G2" s="52">
        <f>IFERROR(1-_xlfn.NORM.DIST(_xlfn.NORM.INV(SUM(G4:G5), 0, 1) + 1, 0, 1, TRUE), "")</f>
        <v>0.74912990734345564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0.25196798695803474</v>
      </c>
      <c r="D3" s="52">
        <f>IFERROR(_xlfn.NORM.DIST(_xlfn.NORM.INV(SUM(D4:D5), 0, 1) + 1, 0, 1, TRUE) - SUM(D4:D5), "")</f>
        <v>0.25196798695803474</v>
      </c>
      <c r="E3" s="52">
        <f>IFERROR(_xlfn.NORM.DIST(_xlfn.NORM.INV(SUM(E4:E5), 0, 1) + 1, 0, 1, TRUE) - SUM(E4:E5), "")</f>
        <v>0.20267992148997147</v>
      </c>
      <c r="F3" s="52">
        <f>IFERROR(_xlfn.NORM.DIST(_xlfn.NORM.INV(SUM(F4:F5), 0, 1) + 1, 0, 1, TRUE) - SUM(F4:F5), "")</f>
        <v>0.25767178577929556</v>
      </c>
      <c r="G3" s="52">
        <f>IFERROR(_xlfn.NORM.DIST(_xlfn.NORM.INV(SUM(G4:G5), 0, 1) + 1, 0, 1, TRUE) - SUM(G4:G5), "")</f>
        <v>0.20358369265654436</v>
      </c>
    </row>
    <row r="4" spans="1:15" ht="15.75" customHeight="1" x14ac:dyDescent="0.25">
      <c r="B4" s="5" t="s">
        <v>104</v>
      </c>
      <c r="C4" s="45">
        <v>3.4070999999999997E-2</v>
      </c>
      <c r="D4" s="53">
        <v>3.4070999999999997E-2</v>
      </c>
      <c r="E4" s="53">
        <v>3.6088299999999997E-2</v>
      </c>
      <c r="F4" s="53">
        <v>6.3694899999999999E-2</v>
      </c>
      <c r="G4" s="53">
        <v>3.83731E-2</v>
      </c>
    </row>
    <row r="5" spans="1:15" ht="15.75" customHeight="1" x14ac:dyDescent="0.25">
      <c r="B5" s="5" t="s">
        <v>105</v>
      </c>
      <c r="C5" s="45">
        <v>3.8918899999999999E-2</v>
      </c>
      <c r="D5" s="53">
        <v>3.8918899999999999E-2</v>
      </c>
      <c r="E5" s="53">
        <v>1.07936E-2</v>
      </c>
      <c r="F5" s="53">
        <v>1.29459E-2</v>
      </c>
      <c r="G5" s="53">
        <v>8.913299999999999E-3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0.74089077144279414</v>
      </c>
      <c r="D8" s="52">
        <f>IFERROR(1-_xlfn.NORM.DIST(_xlfn.NORM.INV(SUM(D10:D11), 0, 1) + 1, 0, 1, TRUE), "")</f>
        <v>0.74089077144279414</v>
      </c>
      <c r="E8" s="52">
        <f>IFERROR(1-_xlfn.NORM.DIST(_xlfn.NORM.INV(SUM(E10:E11), 0, 1) + 1, 0, 1, TRUE), "")</f>
        <v>0.96677592100387766</v>
      </c>
      <c r="F8" s="52">
        <f>IFERROR(1-_xlfn.NORM.DIST(_xlfn.NORM.INV(SUM(F10:F11), 0, 1) + 1, 0, 1, TRUE), "")</f>
        <v>0.92383805480570158</v>
      </c>
      <c r="G8" s="52">
        <f>IFERROR(1-_xlfn.NORM.DIST(_xlfn.NORM.INV(SUM(G10:G11), 0, 1) + 1, 0, 1, TRUE), "")</f>
        <v>0.94012841859528262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0.20923702855720591</v>
      </c>
      <c r="D9" s="52">
        <f>IFERROR(_xlfn.NORM.DIST(_xlfn.NORM.INV(SUM(D10:D11), 0, 1) + 1, 0, 1, TRUE) - SUM(D10:D11), "")</f>
        <v>0.20923702855720591</v>
      </c>
      <c r="E9" s="52">
        <f>IFERROR(_xlfn.NORM.DIST(_xlfn.NORM.INV(SUM(E10:E11), 0, 1) + 1, 0, 1, TRUE) - SUM(E10:E11), "")</f>
        <v>3.0935578996122301E-2</v>
      </c>
      <c r="F9" s="52">
        <f>IFERROR(_xlfn.NORM.DIST(_xlfn.NORM.INV(SUM(F10:F11), 0, 1) + 1, 0, 1, TRUE) - SUM(F10:F11), "")</f>
        <v>6.8641045194298395E-2</v>
      </c>
      <c r="G9" s="52">
        <f>IFERROR(_xlfn.NORM.DIST(_xlfn.NORM.INV(SUM(G10:G11), 0, 1) + 1, 0, 1, TRUE) - SUM(G10:G11), "")</f>
        <v>5.4575181404717336E-2</v>
      </c>
    </row>
    <row r="10" spans="1:15" ht="15.75" customHeight="1" x14ac:dyDescent="0.25">
      <c r="B10" s="5" t="s">
        <v>109</v>
      </c>
      <c r="C10" s="45">
        <v>2.6520800000000001E-2</v>
      </c>
      <c r="D10" s="53">
        <v>2.6520800000000001E-2</v>
      </c>
      <c r="E10" s="53">
        <v>2.2885000000000002E-3</v>
      </c>
      <c r="F10" s="53">
        <v>5.0771999999999996E-3</v>
      </c>
      <c r="G10" s="53">
        <v>3.7767E-3</v>
      </c>
    </row>
    <row r="11" spans="1:15" ht="15.75" customHeight="1" x14ac:dyDescent="0.25">
      <c r="B11" s="5" t="s">
        <v>110</v>
      </c>
      <c r="C11" s="45">
        <v>2.3351400000000001E-2</v>
      </c>
      <c r="D11" s="53">
        <v>2.3351400000000001E-2</v>
      </c>
      <c r="E11" s="53">
        <v>0</v>
      </c>
      <c r="F11" s="53">
        <v>2.4437E-3</v>
      </c>
      <c r="G11" s="53">
        <v>1.5196999999999999E-3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0.33770807775</v>
      </c>
      <c r="D14" s="54">
        <v>0.33097332158499992</v>
      </c>
      <c r="E14" s="54">
        <v>0.33097332158499992</v>
      </c>
      <c r="F14" s="54">
        <v>0.254121780247</v>
      </c>
      <c r="G14" s="54">
        <v>0.254121780247</v>
      </c>
      <c r="H14" s="45">
        <v>0.32700000000000001</v>
      </c>
      <c r="I14" s="55">
        <v>0.32700000000000001</v>
      </c>
      <c r="J14" s="55">
        <v>0.32700000000000001</v>
      </c>
      <c r="K14" s="55">
        <v>0.32700000000000001</v>
      </c>
      <c r="L14" s="45">
        <v>0.223</v>
      </c>
      <c r="M14" s="55">
        <v>0.223</v>
      </c>
      <c r="N14" s="55">
        <v>0.223</v>
      </c>
      <c r="O14" s="55">
        <v>0.223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0.19242707582618324</v>
      </c>
      <c r="D15" s="52">
        <f t="shared" si="0"/>
        <v>0.18858959155909769</v>
      </c>
      <c r="E15" s="52">
        <f t="shared" si="0"/>
        <v>0.18858959155909769</v>
      </c>
      <c r="F15" s="52">
        <f t="shared" si="0"/>
        <v>0.14479935275008132</v>
      </c>
      <c r="G15" s="52">
        <f t="shared" si="0"/>
        <v>0.14479935275008132</v>
      </c>
      <c r="H15" s="52">
        <f t="shared" si="0"/>
        <v>0.18632558099999999</v>
      </c>
      <c r="I15" s="52">
        <f t="shared" si="0"/>
        <v>0.18632558099999999</v>
      </c>
      <c r="J15" s="52">
        <f t="shared" si="0"/>
        <v>0.18632558099999999</v>
      </c>
      <c r="K15" s="52">
        <f t="shared" si="0"/>
        <v>0.18632558099999999</v>
      </c>
      <c r="L15" s="52">
        <f t="shared" si="0"/>
        <v>0.127066069</v>
      </c>
      <c r="M15" s="52">
        <f t="shared" si="0"/>
        <v>0.127066069</v>
      </c>
      <c r="N15" s="52">
        <f t="shared" si="0"/>
        <v>0.127066069</v>
      </c>
      <c r="O15" s="52">
        <f t="shared" si="0"/>
        <v>0.127066069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0.64318549999999997</v>
      </c>
      <c r="D2" s="53">
        <v>0.30086489999999999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0.1938405</v>
      </c>
      <c r="D3" s="53">
        <v>0.2158948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0.1472349</v>
      </c>
      <c r="D4" s="53">
        <v>0.39192640000000001</v>
      </c>
      <c r="E4" s="53">
        <v>0.77740080000000011</v>
      </c>
      <c r="F4" s="53">
        <v>0.32832830000000002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1.5739100000000006E-2</v>
      </c>
      <c r="D5" s="52">
        <f t="shared" si="0"/>
        <v>9.1313900000000059E-2</v>
      </c>
      <c r="E5" s="52">
        <f>1-SUM(E2:E4)</f>
        <v>0.22259919999999989</v>
      </c>
      <c r="F5" s="52">
        <f>1-SUM(F2:F4)</f>
        <v>0.67167169999999998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6153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0.43396999999999997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0.62719999999999998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1.4142721183422214E-2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98110.334319999994</v>
      </c>
      <c r="C22" s="107">
        <v>98029.074359999999</v>
      </c>
      <c r="D22" s="107">
        <v>97835.277960000007</v>
      </c>
      <c r="E22" s="107">
        <v>97466.06379</v>
      </c>
      <c r="F22" s="107">
        <v>96921.835269999996</v>
      </c>
      <c r="G22" s="107">
        <v>96347.975090000007</v>
      </c>
      <c r="H22" s="107">
        <v>95679.103470000002</v>
      </c>
      <c r="I22" s="107">
        <v>94850.121780000001</v>
      </c>
      <c r="J22" s="107">
        <v>93681.443079999997</v>
      </c>
      <c r="K22" s="107">
        <v>91993.682570000004</v>
      </c>
      <c r="L22" s="107">
        <v>89430.391820000004</v>
      </c>
      <c r="M22" s="107">
        <v>85805.020550000001</v>
      </c>
      <c r="N22" s="107">
        <v>80444.589720000004</v>
      </c>
      <c r="O22" s="107">
        <v>73189.294370000003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19.75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19.75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21.195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0.48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0.19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0.79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0.5</v>
      </c>
      <c r="C9" s="96">
        <v>0.95</v>
      </c>
      <c r="D9" s="56">
        <v>0.32855565777368906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</v>
      </c>
      <c r="C10" s="96">
        <v>0.95</v>
      </c>
      <c r="D10" s="56">
        <v>13.0029542906315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13.0029542906315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13.0029542906315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13.0029542906315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</v>
      </c>
      <c r="C14" s="96">
        <v>0.95</v>
      </c>
      <c r="D14" s="56">
        <v>13.0029542906315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13.0029542906315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</v>
      </c>
      <c r="C16" s="96">
        <v>0.95</v>
      </c>
      <c r="D16" s="56">
        <v>2.5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0.20165</v>
      </c>
      <c r="C17" s="96">
        <v>0.95</v>
      </c>
      <c r="D17" s="56">
        <v>0.14000000000000001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0.30086489999999999</v>
      </c>
      <c r="C18" s="96">
        <v>0.95</v>
      </c>
      <c r="D18" s="56">
        <v>21.195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0.30086489999999999</v>
      </c>
      <c r="C19" s="96">
        <v>0.95</v>
      </c>
      <c r="D19" s="56">
        <v>9.4026515569123248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7.48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21.195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</v>
      </c>
      <c r="C23" s="96">
        <v>0.95</v>
      </c>
      <c r="D23" s="56">
        <v>4.2735719414984246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0.66650893535570011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</v>
      </c>
      <c r="C26" s="96">
        <v>0.95</v>
      </c>
      <c r="D26" s="56">
        <v>4.4421306161984946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9.2958524157825622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0.28195290000000001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0.520675</v>
      </c>
      <c r="C29" s="96">
        <v>0.95</v>
      </c>
      <c r="D29" s="56">
        <v>112.6831812504641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53.05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</v>
      </c>
      <c r="C31" s="96">
        <v>0.95</v>
      </c>
      <c r="D31" s="56">
        <v>123.05968780269725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</v>
      </c>
      <c r="C32" s="96">
        <v>0.95</v>
      </c>
      <c r="D32" s="56">
        <v>1.5917274986535743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0.80153059999999998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0.22192899999999999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2.98415E-2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0.99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7.1380600000000002E-2</v>
      </c>
      <c r="C38" s="96">
        <v>0.95</v>
      </c>
      <c r="D38" s="56">
        <v>2.4500000000000002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3.43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197</v>
      </c>
      <c r="B3" s="21">
        <f>frac_mam_1month * 2.6</f>
        <v>6.8954080000000001E-2</v>
      </c>
      <c r="C3" s="21">
        <f>frac_mam_1_5months * 2.6</f>
        <v>6.8954080000000001E-2</v>
      </c>
      <c r="D3" s="21">
        <f>frac_mam_6_11months * 2.6</f>
        <v>5.9501000000000007E-3</v>
      </c>
      <c r="E3" s="21">
        <f>frac_mam_12_23months * 2.6</f>
        <v>1.3200719999999999E-2</v>
      </c>
      <c r="F3" s="21">
        <f>frac_mam_24_59months * 2.6</f>
        <v>9.8194200000000006E-3</v>
      </c>
    </row>
    <row r="4" spans="1:6" ht="15.75" customHeight="1" x14ac:dyDescent="0.25">
      <c r="A4" s="3" t="s">
        <v>198</v>
      </c>
      <c r="B4" s="21">
        <f>frac_sam_1month * 2.6</f>
        <v>6.0713640000000006E-2</v>
      </c>
      <c r="C4" s="21">
        <f>frac_sam_1_5months * 2.6</f>
        <v>6.0713640000000006E-2</v>
      </c>
      <c r="D4" s="21">
        <f>frac_sam_6_11months * 2.6</f>
        <v>0</v>
      </c>
      <c r="E4" s="21">
        <f>frac_sam_12_23months * 2.6</f>
        <v>6.3536199999999999E-3</v>
      </c>
      <c r="F4" s="21">
        <f>frac_sam_24_59months * 2.6</f>
        <v>3.9512200000000001E-3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1.6E-2</v>
      </c>
      <c r="F2" s="60">
        <f>food_insecure</f>
        <v>1.6E-2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1.6E-2</v>
      </c>
      <c r="F5" s="60">
        <f>food_insecure</f>
        <v>1.6E-2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1.6E-2</v>
      </c>
      <c r="F8" s="60">
        <f>food_insecure</f>
        <v>1.6E-2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1.6E-2</v>
      </c>
      <c r="F9" s="60">
        <f>food_insecure</f>
        <v>1.6E-2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1.6E-2</v>
      </c>
      <c r="I15" s="60">
        <f t="shared" si="0"/>
        <v>1.6E-2</v>
      </c>
      <c r="J15" s="60">
        <f t="shared" si="0"/>
        <v>1.6E-2</v>
      </c>
      <c r="K15" s="60">
        <f t="shared" si="0"/>
        <v>1.6E-2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1.6E-2</v>
      </c>
      <c r="I16" s="60">
        <f t="shared" si="0"/>
        <v>1.6E-2</v>
      </c>
      <c r="J16" s="60">
        <f t="shared" si="0"/>
        <v>1.6E-2</v>
      </c>
      <c r="K16" s="60">
        <f t="shared" si="0"/>
        <v>1.6E-2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0.17399999999999999</v>
      </c>
      <c r="M24" s="60">
        <f>famplan_unmet_need</f>
        <v>0.17399999999999999</v>
      </c>
      <c r="N24" s="60">
        <f>famplan_unmet_need</f>
        <v>0.17399999999999999</v>
      </c>
      <c r="O24" s="60">
        <f>famplan_unmet_need</f>
        <v>0.17399999999999999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0.16617328544311527</v>
      </c>
      <c r="M25" s="60">
        <f>(1-food_insecure)*(0.49)+food_insecure*(0.7)</f>
        <v>0.49335999999999997</v>
      </c>
      <c r="N25" s="60">
        <f>(1-food_insecure)*(0.49)+food_insecure*(0.7)</f>
        <v>0.49335999999999997</v>
      </c>
      <c r="O25" s="60">
        <f>(1-food_insecure)*(0.49)+food_insecure*(0.7)</f>
        <v>0.49335999999999997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7.1217122332763685E-2</v>
      </c>
      <c r="M26" s="60">
        <f>(1-food_insecure)*(0.21)+food_insecure*(0.3)</f>
        <v>0.21143999999999999</v>
      </c>
      <c r="N26" s="60">
        <f>(1-food_insecure)*(0.21)+food_insecure*(0.3)</f>
        <v>0.21143999999999999</v>
      </c>
      <c r="O26" s="60">
        <f>(1-food_insecure)*(0.21)+food_insecure*(0.3)</f>
        <v>0.21143999999999999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9.942912652587893E-2</v>
      </c>
      <c r="M27" s="60">
        <f>(1-food_insecure)*(0.3)</f>
        <v>0.29519999999999996</v>
      </c>
      <c r="N27" s="60">
        <f>(1-food_insecure)*(0.3)</f>
        <v>0.29519999999999996</v>
      </c>
      <c r="O27" s="60">
        <f>(1-food_insecure)*(0.3)</f>
        <v>0.29519999999999996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0.66318046569824207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QZuJBLT18RLClOQpds4MuooJcG/7vFHLggKJjPvPOQAFJAkJ01ilC4kkb2DTiT5pCXWheznDmX2e8pP9U30oZA==" saltValue="StP3eyhH6xyKX3Qyhj6KZ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2025-07-29T06:41:08Z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