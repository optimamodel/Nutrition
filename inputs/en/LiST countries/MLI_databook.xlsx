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0AD8E8E-03C2-42D8-94AD-23BF51B85AB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<sst xmlns="http://schemas.openxmlformats.org/spreadsheetml/2006/main" count="2101" uniqueCount="341">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</sst>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4307000.125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0.26102539062500002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0.14249999999999999</v>
      </c>
    </row>
    <row r="24" spans="1:3" ht="15" customHeight="1" x14ac:dyDescent="0.25">
      <c r="B24" s="15" t="s">
        <v>22</v>
      </c>
      <c r="C24" s="45">
        <v>0.43409999999999999</v>
      </c>
    </row>
    <row r="25" spans="1:3" ht="15" customHeight="1" x14ac:dyDescent="0.25">
      <c r="B25" s="15" t="s">
        <v>23</v>
      </c>
      <c r="C25" s="45">
        <v>0.32079999999999997</v>
      </c>
    </row>
    <row r="26" spans="1:3" ht="15" customHeight="1" x14ac:dyDescent="0.25">
      <c r="B26" s="15" t="s">
        <v>24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974125</v>
      </c>
      <c r="C2" s="49">
        <v>1638677.5</v>
      </c>
      <c r="D2" s="49">
        <v>1890205</v>
      </c>
      <c r="E2" s="49">
        <v>1265558.5</v>
      </c>
      <c r="F2" s="49">
        <v>780952.5</v>
      </c>
      <c r="G2" s="17">
        <f t="shared" ref="G2:G13" si="0">C2+D2+E2+F2</f>
        <v>5575393.5</v>
      </c>
      <c r="H2" s="17">
        <f t="shared" ref="H2:H13" si="1">(B2 + stillbirth*B2/(1000-stillbirth))/(1-abortion)</f>
        <v>1133464.1440337237</v>
      </c>
      <c r="I2" s="17">
        <f t="shared" ref="I2:I13" si="2">G2-H2</f>
        <v>4441929.3559662765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995183</v>
      </c>
      <c r="C3" s="50">
        <v>1694470.5</v>
      </c>
      <c r="D3" s="50">
        <v>1972308.5</v>
      </c>
      <c r="E3" s="50">
        <v>1296365</v>
      </c>
      <c r="F3" s="50">
        <v>811575</v>
      </c>
      <c r="G3" s="17">
        <f t="shared" si="0"/>
        <v>5774719</v>
      </c>
      <c r="H3" s="17">
        <f t="shared" si="1"/>
        <v>1157966.633904184</v>
      </c>
      <c r="I3" s="17">
        <f t="shared" si="2"/>
        <v>4616752.3660958158</v>
      </c>
    </row>
    <row r="4" spans="1:9" ht="15.75" customHeight="1" x14ac:dyDescent="0.25">
      <c r="A4" s="5">
        <f t="shared" si="3"/>
        <v>2026</v>
      </c>
      <c r="B4" s="49">
        <v>1013097</v>
      </c>
      <c r="C4" s="50">
        <v>1750502</v>
      </c>
      <c r="D4" s="50">
        <v>2059751.5</v>
      </c>
      <c r="E4" s="50">
        <v>1328253.5</v>
      </c>
      <c r="F4" s="50">
        <v>841395.5</v>
      </c>
      <c r="G4" s="17">
        <f t="shared" si="0"/>
        <v>5979902.5</v>
      </c>
      <c r="H4" s="17">
        <f t="shared" si="1"/>
        <v>1178810.8547959793</v>
      </c>
      <c r="I4" s="17">
        <f t="shared" si="2"/>
        <v>4801091.6452040207</v>
      </c>
    </row>
    <row r="5" spans="1:9" ht="15.75" customHeight="1" x14ac:dyDescent="0.25">
      <c r="A5" s="5">
        <f t="shared" si="3"/>
        <v>2027</v>
      </c>
      <c r="B5" s="49">
        <v>1031556</v>
      </c>
      <c r="C5" s="50">
        <v>1806156.5</v>
      </c>
      <c r="D5" s="50">
        <v>2149573</v>
      </c>
      <c r="E5" s="50">
        <v>1363598</v>
      </c>
      <c r="F5" s="50">
        <v>870372.5</v>
      </c>
      <c r="G5" s="17">
        <f t="shared" si="0"/>
        <v>6189700</v>
      </c>
      <c r="H5" s="17">
        <f t="shared" si="1"/>
        <v>1200289.2221869391</v>
      </c>
      <c r="I5" s="17">
        <f t="shared" si="2"/>
        <v>4989410.7778130611</v>
      </c>
    </row>
    <row r="6" spans="1:9" ht="15.75" customHeight="1" x14ac:dyDescent="0.25">
      <c r="A6" s="5">
        <f t="shared" si="3"/>
        <v>2028</v>
      </c>
      <c r="B6" s="49">
        <v>1051442</v>
      </c>
      <c r="C6" s="50">
        <v>1860621.5</v>
      </c>
      <c r="D6" s="50">
        <v>2241021.5</v>
      </c>
      <c r="E6" s="50">
        <v>1403520.5</v>
      </c>
      <c r="F6" s="50">
        <v>898117.5</v>
      </c>
      <c r="G6" s="17">
        <f t="shared" si="0"/>
        <v>6403281</v>
      </c>
      <c r="H6" s="17">
        <f t="shared" si="1"/>
        <v>1223428.0061913065</v>
      </c>
      <c r="I6" s="17">
        <f t="shared" si="2"/>
        <v>5179852.9938086933</v>
      </c>
    </row>
    <row r="7" spans="1:9" ht="15.75" customHeight="1" x14ac:dyDescent="0.25">
      <c r="A7" s="5">
        <f t="shared" si="3"/>
        <v>2029</v>
      </c>
      <c r="B7" s="49">
        <v>1069812</v>
      </c>
      <c r="C7" s="50">
        <v>1914701</v>
      </c>
      <c r="D7" s="50">
        <v>2333172</v>
      </c>
      <c r="E7" s="50">
        <v>1449537.5</v>
      </c>
      <c r="F7" s="50">
        <v>924388.50000000012</v>
      </c>
      <c r="G7" s="17">
        <f t="shared" si="0"/>
        <v>6621799</v>
      </c>
      <c r="H7" s="17">
        <f t="shared" si="1"/>
        <v>1244802.8157135954</v>
      </c>
      <c r="I7" s="17">
        <f t="shared" si="2"/>
        <v>5376996.1842864044</v>
      </c>
    </row>
    <row r="8" spans="1:9" ht="15.75" customHeight="1" x14ac:dyDescent="0.25">
      <c r="A8" s="5">
        <f t="shared" si="3"/>
        <v>2030</v>
      </c>
      <c r="B8" s="49">
        <v>1087522</v>
      </c>
      <c r="C8" s="50">
        <v>1967613.5</v>
      </c>
      <c r="D8" s="50">
        <v>2426191</v>
      </c>
      <c r="E8" s="50">
        <v>1502488.5</v>
      </c>
      <c r="F8" s="50">
        <v>949184.5</v>
      </c>
      <c r="G8" s="17">
        <f t="shared" si="0"/>
        <v>6845477.5</v>
      </c>
      <c r="H8" s="17">
        <f t="shared" si="1"/>
        <v>1265409.6680075382</v>
      </c>
      <c r="I8" s="17">
        <f t="shared" si="2"/>
        <v>5580067.8319924623</v>
      </c>
    </row>
    <row r="9" spans="1:9" ht="15.75" customHeight="1" x14ac:dyDescent="0.25">
      <c r="A9" s="5">
        <f t="shared" si="3"/>
        <v>2031</v>
      </c>
      <c r="B9" s="49">
        <v>1109163</v>
      </c>
      <c r="C9" s="50">
        <v>2019718.5</v>
      </c>
      <c r="D9" s="50">
        <v>2520341.5</v>
      </c>
      <c r="E9" s="50">
        <v>1560383.5</v>
      </c>
      <c r="F9" s="50">
        <v>972234</v>
      </c>
      <c r="G9" s="17">
        <f t="shared" si="0"/>
        <v>7072677.5</v>
      </c>
      <c r="H9" s="17">
        <f t="shared" si="1"/>
        <v>1290590.5200963707</v>
      </c>
      <c r="I9" s="17">
        <f t="shared" si="2"/>
        <v>5782086.979903629</v>
      </c>
    </row>
    <row r="10" spans="1:9" ht="15.75" customHeight="1" x14ac:dyDescent="0.25">
      <c r="A10" s="5">
        <f t="shared" si="3"/>
        <v>2032</v>
      </c>
      <c r="B10" s="49">
        <v>1126364</v>
      </c>
      <c r="C10" s="50">
        <v>2071319.5</v>
      </c>
      <c r="D10" s="50">
        <v>2615062.5</v>
      </c>
      <c r="E10" s="50">
        <v>1622970</v>
      </c>
      <c r="F10" s="50">
        <v>995379</v>
      </c>
      <c r="G10" s="17">
        <f t="shared" si="0"/>
        <v>7304731</v>
      </c>
      <c r="H10" s="17">
        <f t="shared" si="1"/>
        <v>1310605.1144672409</v>
      </c>
      <c r="I10" s="17">
        <f t="shared" si="2"/>
        <v>5994125.8855327591</v>
      </c>
    </row>
    <row r="11" spans="1:9" ht="15.75" customHeight="1" x14ac:dyDescent="0.25">
      <c r="A11" s="5">
        <f t="shared" si="3"/>
        <v>2033</v>
      </c>
      <c r="B11" s="49">
        <v>1143541</v>
      </c>
      <c r="C11" s="50">
        <v>2123472</v>
      </c>
      <c r="D11" s="50">
        <v>2708550.5</v>
      </c>
      <c r="E11" s="50">
        <v>1691117.5</v>
      </c>
      <c r="F11" s="50">
        <v>1019838.5</v>
      </c>
      <c r="G11" s="17">
        <f t="shared" si="0"/>
        <v>7542978.5</v>
      </c>
      <c r="H11" s="17">
        <f t="shared" si="1"/>
        <v>1330591.7831207172</v>
      </c>
      <c r="I11" s="17">
        <f t="shared" si="2"/>
        <v>6212386.7168792831</v>
      </c>
    </row>
    <row r="12" spans="1:9" ht="15.75" customHeight="1" x14ac:dyDescent="0.25">
      <c r="A12" s="5">
        <f t="shared" si="3"/>
        <v>2034</v>
      </c>
      <c r="B12" s="49">
        <v>1162537</v>
      </c>
      <c r="C12" s="50">
        <v>2176982</v>
      </c>
      <c r="D12" s="50">
        <v>2799563</v>
      </c>
      <c r="E12" s="50">
        <v>1764895.5</v>
      </c>
      <c r="F12" s="50">
        <v>1044968.5</v>
      </c>
      <c r="G12" s="17">
        <f t="shared" si="0"/>
        <v>7786409</v>
      </c>
      <c r="H12" s="17">
        <f t="shared" si="1"/>
        <v>1352694.988438376</v>
      </c>
      <c r="I12" s="17">
        <f t="shared" si="2"/>
        <v>6433714.0115616238</v>
      </c>
    </row>
    <row r="13" spans="1:9" ht="15.75" customHeight="1" x14ac:dyDescent="0.25">
      <c r="A13" s="5">
        <f t="shared" si="3"/>
        <v>2035</v>
      </c>
      <c r="B13" s="49">
        <v>1177551</v>
      </c>
      <c r="C13" s="50">
        <v>2231318.5</v>
      </c>
      <c r="D13" s="50">
        <v>2888994</v>
      </c>
      <c r="E13" s="50">
        <v>1845323.5</v>
      </c>
      <c r="F13" s="50">
        <v>1071507</v>
      </c>
      <c r="G13" s="17">
        <f t="shared" si="0"/>
        <v>8037143</v>
      </c>
      <c r="H13" s="17">
        <f t="shared" si="1"/>
        <v>1370164.8518116828</v>
      </c>
      <c r="I13" s="17">
        <f t="shared" si="2"/>
        <v>6666978.1481883172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46.32880693632174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6.4278423769884219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0.2047995797130811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0.419850339385831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0.28031230000000001</v>
      </c>
      <c r="C10" s="98">
        <v>0.95</v>
      </c>
      <c r="D10" s="56">
        <v>14.198977192068339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14.198977192068339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14.198977192068339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14.198977192068339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0.28031230000000001</v>
      </c>
      <c r="C14" s="98">
        <v>0.95</v>
      </c>
      <c r="D14" s="56">
        <v>14.198977192068339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14.198977192068339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0.7607335999999999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0.12279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0.17799999999999999</v>
      </c>
      <c r="C18" s="98">
        <v>0.95</v>
      </c>
      <c r="D18" s="56">
        <v>6.4278423769884219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0.34721740000000001</v>
      </c>
      <c r="C19" s="98">
        <v>0.95</v>
      </c>
      <c r="D19" s="56">
        <v>6.4278423769884219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24.209172725963409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0.85079989999999994</v>
      </c>
      <c r="C23" s="98">
        <v>0.95</v>
      </c>
      <c r="D23" s="56">
        <v>4.6647271427629606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0.47779756487578001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0.28031230000000001</v>
      </c>
      <c r="C26" s="98">
        <v>0.95</v>
      </c>
      <c r="D26" s="56">
        <v>1.259857105889731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21.89373473422777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0.21443380000000001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0.2174344</v>
      </c>
      <c r="C29" s="98">
        <v>0.95</v>
      </c>
      <c r="D29" s="56">
        <v>204.3668205339699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0.41820000000000002</v>
      </c>
      <c r="C31" s="98">
        <v>0.95</v>
      </c>
      <c r="D31" s="56">
        <v>174.23309547064821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0.85</v>
      </c>
      <c r="C32" s="98">
        <v>0.95</v>
      </c>
      <c r="D32" s="56">
        <v>0.47566033589714318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0.17300869999999999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0.64071500000000003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4.764E-3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0.52630830000000006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0.15360070000000001</v>
      </c>
      <c r="C38" s="98">
        <v>0.95</v>
      </c>
      <c r="D38" s="56">
        <v>1.105588888842008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205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0.43922433857421878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0.18823900224609377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0.11151126855468747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0.26102539062500002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0.10616740493456134</v>
      </c>
      <c r="G18" s="90">
        <f>MIN(MAX(1-0.89/(1-frac_sam_12_23months+(frac_sam_12_23months*0.89)),0),1)</f>
        <v>0.10560358098639233</v>
      </c>
      <c r="H18" s="90">
        <f>MIN(MAX(1-0.89/(1-frac_sam_24_59months+(frac_sam_24_59months*0.89)),0),1)</f>
        <v>0.10850556737822414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9.7544369659478658E-2</v>
      </c>
      <c r="G20" s="90">
        <f>MIN(MAX(1-0.89/(1-frac_mam_12_23months+(frac_mam_12_23months*0.89)),0),1)</f>
        <v>0.10099688475622304</v>
      </c>
      <c r="H20" s="90">
        <f>MIN(MAX(1-0.89/(1-frac_mam_24_59months+(frac_mam_24_59months*0.89)),0),1)</f>
        <v>0.10562537131558014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9.6139455351974545E-3</v>
      </c>
      <c r="G73" s="90">
        <f>MIN(MAX(1-0.99/(1-frac_sam_12_23months+(frac_sam_12_23months*0.99)),0),1)</f>
        <v>9.5574058701741738E-3</v>
      </c>
      <c r="H73" s="90">
        <f>MIN(MAX(1-0.99/(1-frac_sam_24_59months+(frac_sam_24_59months*0.99)),0),1)</f>
        <v>9.8491079351056277E-3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8.7562656704182062E-3</v>
      </c>
      <c r="G75" s="90">
        <f>MIN(MAX(1-0.99/(1-frac_mam_12_23months+(frac_mam_12_23months*0.99)),0),1)</f>
        <v>9.0978688271504682E-3</v>
      </c>
      <c r="H75" s="90">
        <f>MIN(MAX(1-0.99/(1-frac_mam_24_59months+(frac_mam_24_59months*0.99)),0),1)</f>
        <v>9.5595897767497551E-3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0.19371416336616909</v>
      </c>
      <c r="G128" s="90">
        <f>MIN(MAX(1-0.8/(1-frac_sam_12_23months+(frac_sam_12_23months*0.8)),0),1)</f>
        <v>0.19278568348904668</v>
      </c>
      <c r="H128" s="90">
        <f>MIN(MAX(1-0.8/(1-frac_sam_24_59months+(frac_sam_24_59months*0.8)),0),1)</f>
        <v>0.19755425771993429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0.1794077124884238</v>
      </c>
      <c r="G130" s="90">
        <f>MIN(MAX(1-0.8/(1-frac_mam_12_23months+(frac_mam_12_23months*0.8)),0),1)</f>
        <v>0.1851632238251103</v>
      </c>
      <c r="H130" s="90">
        <f>MIN(MAX(1-0.8/(1-frac_mam_24_59months+(frac_mam_24_59months*0.8)),0),1)</f>
        <v>0.19282158477414513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2024-08-06T06:31:51Z</dcterms:modified>
</cp:coreProperties>
</file>