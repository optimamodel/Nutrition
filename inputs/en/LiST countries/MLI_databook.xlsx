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B3698E3-7825-49E0-9D19-5C83A120014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40" i="2"/>
  <c r="A34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<sst xmlns="http://schemas.openxmlformats.org/spreadsheetml/2006/main" count="2159" uniqueCount="372">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</sst>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4248418</v>
      </c>
    </row>
    <row r="8" spans="1:3" ht="15" customHeight="1" x14ac:dyDescent="0.25">
      <c r="B8" s="5" t="s">
        <v>8</v>
      </c>
      <c r="C8" s="44">
        <v>0.25900000000000001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0.29840820000000001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3.0939999999999999</v>
      </c>
      <c r="D51" s="12"/>
    </row>
    <row r="52" spans="1:4" ht="15" customHeight="1" x14ac:dyDescent="0.25">
      <c r="B52" s="11" t="s">
        <v>46</v>
      </c>
      <c r="C52" s="100">
        <v>3.0939999999999999</v>
      </c>
    </row>
    <row r="53" spans="1:4" ht="15.75" customHeight="1" x14ac:dyDescent="0.25">
      <c r="B53" s="11" t="s">
        <v>47</v>
      </c>
      <c r="C53" s="100">
        <v>7.072000000000001</v>
      </c>
    </row>
    <row r="54" spans="1:4" ht="15.75" customHeight="1" x14ac:dyDescent="0.25">
      <c r="B54" s="11" t="s">
        <v>48</v>
      </c>
      <c r="C54" s="100">
        <v>6.8900000000000006</v>
      </c>
    </row>
    <row r="55" spans="1:4" ht="15.75" customHeight="1" x14ac:dyDescent="0.25">
      <c r="B55" s="11" t="s">
        <v>49</v>
      </c>
      <c r="C55" s="100">
        <v>3.336666666666666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833.29725509307104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0.38020000000000004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0.52363000000000004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2.2861690599383398E-2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90556.550409999996</v>
      </c>
      <c r="C22" s="109">
        <v>89299.466709999993</v>
      </c>
      <c r="D22" s="109">
        <v>88538.110260000001</v>
      </c>
      <c r="E22" s="109">
        <v>87946.478520000004</v>
      </c>
      <c r="F22" s="109">
        <v>87151.389460000006</v>
      </c>
      <c r="G22" s="109">
        <v>86151.818369999994</v>
      </c>
      <c r="H22" s="109">
        <v>84892.036080000005</v>
      </c>
      <c r="I22" s="109">
        <v>83253.688800000004</v>
      </c>
      <c r="J22" s="109">
        <v>81102.464080000005</v>
      </c>
      <c r="K22" s="109">
        <v>78306.822390000001</v>
      </c>
      <c r="L22" s="109">
        <v>74454.921520000004</v>
      </c>
      <c r="M22" s="109">
        <v>69357.25546</v>
      </c>
      <c r="N22" s="109">
        <v>62195.856039999999</v>
      </c>
      <c r="O22" s="109">
        <v>52987.173470000002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6.4277828886844528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0.25711131554737809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0.28031230000000001</v>
      </c>
      <c r="C10" s="98">
        <v>0.95</v>
      </c>
      <c r="D10" s="56">
        <v>14.198977192068339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14.198977192068339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14.198977192068339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14.198977192068339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0.28031230000000001</v>
      </c>
      <c r="C14" s="98">
        <v>0.95</v>
      </c>
      <c r="D14" s="56">
        <v>14.198977192068339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14.198977192068339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0.7607335999999999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0.12279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0.17799999999999999</v>
      </c>
      <c r="C18" s="98">
        <v>0.95</v>
      </c>
      <c r="D18" s="56">
        <v>6.4277828886844528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0.34721740000000001</v>
      </c>
      <c r="C19" s="98">
        <v>0.95</v>
      </c>
      <c r="D19" s="56">
        <v>6.4278423769884219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6.4277828886844528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0.85079989999999994</v>
      </c>
      <c r="C23" s="98">
        <v>0.95</v>
      </c>
      <c r="D23" s="56">
        <v>4.6647271427629606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0.47779756487578001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0.28031230000000001</v>
      </c>
      <c r="C26" s="98">
        <v>0.95</v>
      </c>
      <c r="D26" s="56">
        <v>1.2598454461821527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21.89376196990424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0.21443380000000001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0.2174344</v>
      </c>
      <c r="C29" s="98">
        <v>0.95</v>
      </c>
      <c r="D29" s="56">
        <v>204.3668205339699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62.971272229822162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0.41820000000000002</v>
      </c>
      <c r="C31" s="98">
        <v>0.95</v>
      </c>
      <c r="D31" s="56">
        <v>173.97437166513339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0.76</v>
      </c>
      <c r="C32" s="98">
        <v>0.95</v>
      </c>
      <c r="D32" s="56">
        <v>0.47565593376264947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0.173008689916163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0.64071500000000003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4.764E-3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0.52630830000000006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0.15360070000000001</v>
      </c>
      <c r="C38" s="98">
        <v>0.95</v>
      </c>
      <c r="D38" s="56">
        <v>1.1055786568537258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3.0939999999999999</v>
      </c>
      <c r="C2" s="21">
        <f>'Baseline year population inputs'!C52</f>
        <v>3.0939999999999999</v>
      </c>
      <c r="D2" s="21">
        <f>'Baseline year population inputs'!C53</f>
        <v>7.072000000000001</v>
      </c>
      <c r="E2" s="21">
        <f>'Baseline year population inputs'!C54</f>
        <v>6.8900000000000006</v>
      </c>
      <c r="F2" s="21">
        <f>'Baseline year population inputs'!C55</f>
        <v>3.336666666666666</v>
      </c>
    </row>
    <row r="3" spans="1:6" ht="15.75" customHeight="1" x14ac:dyDescent="0.25">
      <c r="A3" s="3" t="s">
        <v>197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198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