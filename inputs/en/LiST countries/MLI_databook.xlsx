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DAB435B0-13AF-437D-A2A8-190AEBC0609A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31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6" i="2" l="1"/>
  <c r="I12" i="2"/>
  <c r="A35" i="2"/>
  <c r="A37" i="2"/>
  <c r="I2" i="2"/>
  <c r="I8" i="2"/>
  <c r="A19" i="2"/>
  <c r="A22" i="2"/>
  <c r="I39" i="2"/>
  <c r="A23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<sst xmlns="http://schemas.openxmlformats.org/spreadsheetml/2006/main" count="2169" uniqueCount="373">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</sst>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4248418</v>
      </c>
    </row>
    <row r="8" spans="1:3" ht="15" customHeight="1" x14ac:dyDescent="0.25">
      <c r="B8" s="5" t="s">
        <v>8</v>
      </c>
      <c r="C8" s="44">
        <v>0.25900000000000001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0.29840820000000001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0.14249999999999999</v>
      </c>
    </row>
    <row r="24" spans="1:3" ht="15" customHeight="1" x14ac:dyDescent="0.25">
      <c r="B24" s="15" t="s">
        <v>22</v>
      </c>
      <c r="C24" s="45">
        <v>0.43409999999999999</v>
      </c>
    </row>
    <row r="25" spans="1:3" ht="15" customHeight="1" x14ac:dyDescent="0.25">
      <c r="B25" s="15" t="s">
        <v>23</v>
      </c>
      <c r="C25" s="45">
        <v>0.32079999999999997</v>
      </c>
    </row>
    <row r="26" spans="1:3" ht="15" customHeight="1" x14ac:dyDescent="0.25">
      <c r="B26" s="15" t="s">
        <v>24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7">
        <v>6.3697307314517504E-2</v>
      </c>
    </row>
    <row r="31" spans="1:3" ht="14.25" customHeight="1" x14ac:dyDescent="0.25">
      <c r="B31" s="25" t="s">
        <v>28</v>
      </c>
      <c r="C31" s="97">
        <v>0.122289508790448</v>
      </c>
    </row>
    <row r="32" spans="1:3" ht="14.25" customHeight="1" x14ac:dyDescent="0.25">
      <c r="B32" s="25" t="s">
        <v>29</v>
      </c>
      <c r="C32" s="97">
        <v>0.63249284441993503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98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3.0939999999999999</v>
      </c>
      <c r="D51" s="12"/>
    </row>
    <row r="52" spans="1:4" ht="15" customHeight="1" x14ac:dyDescent="0.25">
      <c r="B52" s="11" t="s">
        <v>46</v>
      </c>
      <c r="C52" s="98">
        <v>3.0939999999999999</v>
      </c>
    </row>
    <row r="53" spans="1:4" ht="15.75" customHeight="1" x14ac:dyDescent="0.25">
      <c r="B53" s="11" t="s">
        <v>47</v>
      </c>
      <c r="C53" s="98">
        <v>7.072000000000001</v>
      </c>
    </row>
    <row r="54" spans="1:4" ht="15.75" customHeight="1" x14ac:dyDescent="0.25">
      <c r="B54" s="11" t="s">
        <v>48</v>
      </c>
      <c r="C54" s="98">
        <v>6.8900000000000006</v>
      </c>
    </row>
    <row r="55" spans="1:4" ht="15.75" customHeight="1" x14ac:dyDescent="0.25">
      <c r="B55" s="11" t="s">
        <v>49</v>
      </c>
      <c r="C55" s="98">
        <v>3.336666666666666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99">
        <v>6.3736599999999907E-2</v>
      </c>
    </row>
    <row r="5" spans="1:8" ht="15.75" customHeight="1" x14ac:dyDescent="0.25">
      <c r="B5" s="19" t="s">
        <v>70</v>
      </c>
      <c r="C5" s="99">
        <v>0.1035504000000001</v>
      </c>
    </row>
    <row r="6" spans="1:8" ht="15.75" customHeight="1" x14ac:dyDescent="0.25">
      <c r="B6" s="19" t="s">
        <v>71</v>
      </c>
      <c r="C6" s="99">
        <v>0.24952009999999991</v>
      </c>
    </row>
    <row r="7" spans="1:8" ht="15.75" customHeight="1" x14ac:dyDescent="0.25">
      <c r="B7" s="19" t="s">
        <v>72</v>
      </c>
      <c r="C7" s="99">
        <v>0.38443950000000021</v>
      </c>
    </row>
    <row r="8" spans="1:8" ht="15.75" customHeight="1" x14ac:dyDescent="0.25">
      <c r="B8" s="19" t="s">
        <v>73</v>
      </c>
      <c r="C8" s="99">
        <v>6.0205000000000067E-3</v>
      </c>
    </row>
    <row r="9" spans="1:8" ht="15.75" customHeight="1" x14ac:dyDescent="0.25">
      <c r="B9" s="19" t="s">
        <v>74</v>
      </c>
      <c r="C9" s="99">
        <v>5.4902399999999983E-2</v>
      </c>
    </row>
    <row r="10" spans="1:8" ht="15.75" customHeight="1" x14ac:dyDescent="0.25">
      <c r="B10" s="19" t="s">
        <v>75</v>
      </c>
      <c r="C10" s="99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83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84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85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86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87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88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89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99">
        <v>8.9405939999999996E-3</v>
      </c>
    </row>
    <row r="28" spans="1:8" ht="15.75" customHeight="1" x14ac:dyDescent="0.25">
      <c r="B28" s="19" t="s">
        <v>93</v>
      </c>
      <c r="C28" s="99">
        <v>0.15585153099999999</v>
      </c>
    </row>
    <row r="29" spans="1:8" ht="15.75" customHeight="1" x14ac:dyDescent="0.25">
      <c r="B29" s="19" t="s">
        <v>94</v>
      </c>
      <c r="C29" s="99">
        <v>0.170199079</v>
      </c>
    </row>
    <row r="30" spans="1:8" ht="15.75" customHeight="1" x14ac:dyDescent="0.25">
      <c r="B30" s="19" t="s">
        <v>95</v>
      </c>
      <c r="C30" s="99">
        <v>0.10628299300000001</v>
      </c>
    </row>
    <row r="31" spans="1:8" ht="15.75" customHeight="1" x14ac:dyDescent="0.25">
      <c r="B31" s="19" t="s">
        <v>96</v>
      </c>
      <c r="C31" s="99">
        <v>0.108972139</v>
      </c>
    </row>
    <row r="32" spans="1:8" ht="15.75" customHeight="1" x14ac:dyDescent="0.25">
      <c r="B32" s="19" t="s">
        <v>97</v>
      </c>
      <c r="C32" s="99">
        <v>1.8807035E-2</v>
      </c>
    </row>
    <row r="33" spans="2:3" ht="15.75" customHeight="1" x14ac:dyDescent="0.25">
      <c r="B33" s="19" t="s">
        <v>98</v>
      </c>
      <c r="C33" s="99">
        <v>8.4353397999999996E-2</v>
      </c>
    </row>
    <row r="34" spans="2:3" ht="15.75" customHeight="1" x14ac:dyDescent="0.25">
      <c r="B34" s="19" t="s">
        <v>99</v>
      </c>
      <c r="C34" s="99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833.29725509307104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0.38020000000000004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0.52363000000000004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2.2861690599383398E-2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90556.550409999996</v>
      </c>
      <c r="C22" s="107">
        <v>89299.466709999993</v>
      </c>
      <c r="D22" s="107">
        <v>88538.110260000001</v>
      </c>
      <c r="E22" s="107">
        <v>87946.478520000004</v>
      </c>
      <c r="F22" s="107">
        <v>87151.389460000006</v>
      </c>
      <c r="G22" s="107">
        <v>86151.818369999994</v>
      </c>
      <c r="H22" s="107">
        <v>84892.036080000005</v>
      </c>
      <c r="I22" s="107">
        <v>83253.688800000004</v>
      </c>
      <c r="J22" s="107">
        <v>81102.464080000005</v>
      </c>
      <c r="K22" s="107">
        <v>78306.822390000001</v>
      </c>
      <c r="L22" s="107">
        <v>74454.921520000004</v>
      </c>
      <c r="M22" s="107">
        <v>69357.25546</v>
      </c>
      <c r="N22" s="107">
        <v>62195.856039999999</v>
      </c>
      <c r="O22" s="107">
        <v>52987.173470000002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6.4277828886844528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0.28031230000000001</v>
      </c>
      <c r="C10" s="96">
        <v>0.95</v>
      </c>
      <c r="D10" s="56">
        <v>14.198977192068339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14.198977192068339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14.198977192068339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14.198977192068339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0.28031230000000001</v>
      </c>
      <c r="C14" s="96">
        <v>0.95</v>
      </c>
      <c r="D14" s="56">
        <v>14.198977192068339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14.198977192068339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0.7607335999999999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0.12279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0.17799999999999999</v>
      </c>
      <c r="C18" s="96">
        <v>0.95</v>
      </c>
      <c r="D18" s="56">
        <v>6.4277828886844528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0.34721740000000001</v>
      </c>
      <c r="C19" s="96">
        <v>0.95</v>
      </c>
      <c r="D19" s="56">
        <v>6.4278423769884219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6.4277828886844528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0.85079989999999994</v>
      </c>
      <c r="C23" s="96">
        <v>0.95</v>
      </c>
      <c r="D23" s="56">
        <v>4.6647271427629606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0.47779756487578001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0.28031230000000001</v>
      </c>
      <c r="C26" s="96">
        <v>0.95</v>
      </c>
      <c r="D26" s="56">
        <v>1.2598454461821527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21.89376196990424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0.21443380000000001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0.2174344</v>
      </c>
      <c r="C29" s="96">
        <v>0.95</v>
      </c>
      <c r="D29" s="56">
        <v>204.3668205339699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62.971272229822162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0.41820000000000002</v>
      </c>
      <c r="C31" s="96">
        <v>0.95</v>
      </c>
      <c r="D31" s="56">
        <v>173.97437166513339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0.76</v>
      </c>
      <c r="C32" s="96">
        <v>0.95</v>
      </c>
      <c r="D32" s="56">
        <v>0.47565593376264947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0.173008689916163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0.64071500000000003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4.764E-3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0.52630830000000006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0.15360070000000001</v>
      </c>
      <c r="C38" s="96">
        <v>0.95</v>
      </c>
      <c r="D38" s="56">
        <v>1.1055786568537258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3.0939999999999999</v>
      </c>
      <c r="C2" s="21">
        <f>'Baseline year population inputs'!C52</f>
        <v>3.0939999999999999</v>
      </c>
      <c r="D2" s="21">
        <f>'Baseline year population inputs'!C53</f>
        <v>7.072000000000001</v>
      </c>
      <c r="E2" s="21">
        <f>'Baseline year population inputs'!C54</f>
        <v>6.8900000000000006</v>
      </c>
      <c r="F2" s="21">
        <f>'Baseline year population inputs'!C55</f>
        <v>3.336666666666666</v>
      </c>
    </row>
    <row r="3" spans="1:6" ht="15.75" customHeight="1" x14ac:dyDescent="0.25">
      <c r="A3" s="3" t="s">
        <v>197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198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