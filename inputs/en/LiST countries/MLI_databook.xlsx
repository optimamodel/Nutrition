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4AA81BF-91BF-4A22-B78D-EB96007E8C7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<sst xmlns="http://schemas.openxmlformats.org/spreadsheetml/2006/main" count="2103" uniqueCount="341">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</sst>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0.26102539062500002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0.14249999999999999</v>
      </c>
    </row>
    <row r="24" spans="1:3" ht="15" customHeight="1" x14ac:dyDescent="0.25">
      <c r="B24" s="15" t="s">
        <v>22</v>
      </c>
      <c r="C24" s="45">
        <v>0.43409999999999999</v>
      </c>
    </row>
    <row r="25" spans="1:3" ht="15" customHeight="1" x14ac:dyDescent="0.25">
      <c r="B25" s="15" t="s">
        <v>23</v>
      </c>
      <c r="C25" s="45">
        <v>0.32079999999999997</v>
      </c>
    </row>
    <row r="26" spans="1:3" ht="15" customHeight="1" x14ac:dyDescent="0.25">
      <c r="B26" s="15" t="s">
        <v>24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36.571690758964152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44.673915322947977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77.994484382723172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0.2047995797130811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14.198977192068339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14.198977192068339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14.198977192068339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14.198977192068339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14.198977192068339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14.198977192068339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0.7607335999999999</v>
      </c>
      <c r="C16" s="98">
        <v>0.95</v>
      </c>
      <c r="D16" s="56">
        <v>0.25525323351447138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0.34721740000000001</v>
      </c>
      <c r="C18" s="98">
        <v>0.95</v>
      </c>
      <c r="D18" s="56">
        <v>1.899304380682495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0.34721740000000001</v>
      </c>
      <c r="C19" s="98">
        <v>0.95</v>
      </c>
      <c r="D19" s="56">
        <v>1.899304380682495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1.901510417689166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24.209172725963409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0.85079989999999994</v>
      </c>
      <c r="C23" s="98">
        <v>0.95</v>
      </c>
      <c r="D23" s="56">
        <v>4.6647271427629606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0.47779756487578001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20.51058971486929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0.21443380000000001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0.2174344</v>
      </c>
      <c r="C29" s="98">
        <v>0.95</v>
      </c>
      <c r="D29" s="56">
        <v>64.674005141426761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0.41820000000000002</v>
      </c>
      <c r="C31" s="98">
        <v>0.95</v>
      </c>
      <c r="D31" s="56">
        <v>2.213974651533833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0.85</v>
      </c>
      <c r="C32" s="98">
        <v>0.95</v>
      </c>
      <c r="D32" s="56">
        <v>0.49047047831897028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0.17300869999999999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0.64071500000000003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4.764E-3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0.52630830000000006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0.15360070000000001</v>
      </c>
      <c r="C38" s="98">
        <v>0.95</v>
      </c>
      <c r="D38" s="56">
        <v>3.8385823182066949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0.10616740493456134</v>
      </c>
      <c r="G18" s="90">
        <f>MIN(MAX(1-0.89/(1-frac_sam_12_23months+(frac_sam_12_23months*0.89)),0),1)</f>
        <v>0.10560358098639233</v>
      </c>
      <c r="H18" s="90">
        <f>MIN(MAX(1-0.89/(1-frac_sam_24_59months+(frac_sam_24_59months*0.89)),0),1)</f>
        <v>0.10850556737822414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9.7544369659478658E-2</v>
      </c>
      <c r="G20" s="90">
        <f>MIN(MAX(1-0.89/(1-frac_mam_12_23months+(frac_mam_12_23months*0.89)),0),1)</f>
        <v>0.10099688475622304</v>
      </c>
      <c r="H20" s="90">
        <f>MIN(MAX(1-0.89/(1-frac_mam_24_59months+(frac_mam_24_59months*0.89)),0),1)</f>
        <v>0.10562537131558014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9.6139455351974545E-3</v>
      </c>
      <c r="G73" s="90">
        <f>MIN(MAX(1-0.99/(1-frac_sam_12_23months+(frac_sam_12_23months*0.99)),0),1)</f>
        <v>9.5574058701741738E-3</v>
      </c>
      <c r="H73" s="90">
        <f>MIN(MAX(1-0.99/(1-frac_sam_24_59months+(frac_sam_24_59months*0.99)),0),1)</f>
        <v>9.8491079351056277E-3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8.7562656704182062E-3</v>
      </c>
      <c r="G75" s="90">
        <f>MIN(MAX(1-0.99/(1-frac_mam_12_23months+(frac_mam_12_23months*0.99)),0),1)</f>
        <v>9.0978688271504682E-3</v>
      </c>
      <c r="H75" s="90">
        <f>MIN(MAX(1-0.99/(1-frac_mam_24_59months+(frac_mam_24_59months*0.99)),0),1)</f>
        <v>9.5595897767497551E-3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0.19371416336616909</v>
      </c>
      <c r="G128" s="90">
        <f>MIN(MAX(1-0.8/(1-frac_sam_12_23months+(frac_sam_12_23months*0.8)),0),1)</f>
        <v>0.19278568348904668</v>
      </c>
      <c r="H128" s="90">
        <f>MIN(MAX(1-0.8/(1-frac_sam_24_59months+(frac_sam_24_59months*0.8)),0),1)</f>
        <v>0.19755425771993429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0.1794077124884238</v>
      </c>
      <c r="G130" s="90">
        <f>MIN(MAX(1-0.8/(1-frac_mam_12_23months+(frac_mam_12_23months*0.8)),0),1)</f>
        <v>0.1851632238251103</v>
      </c>
      <c r="H130" s="90">
        <f>MIN(MAX(1-0.8/(1-frac_mam_24_59months+(frac_mam_24_59months*0.8)),0),1)</f>
        <v>0.19282158477414513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2024-06-18T06:56:10Z</dcterms:modified>
</cp:coreProperties>
</file>