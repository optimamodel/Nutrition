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5B4209F4-D895-4927-A2D7-F099B9AE2587}" xr6:coauthVersionLast="47" xr6:coauthVersionMax="47" xr10:uidLastSave="{00000000-0000-0000-0000-000000000000}"/>
  <bookViews>
    <workbookView xWindow="0" yWindow="3670" windowWidth="19200" windowHeight="6530" tabRatio="961" firstSheet="4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state="hidden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E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G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O67" i="25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9" i="25"/>
  <c r="N19" i="25"/>
  <c r="M19" i="25"/>
  <c r="L19" i="25"/>
  <c r="K19" i="25"/>
  <c r="J19" i="25"/>
  <c r="I19" i="25"/>
  <c r="H19" i="25"/>
  <c r="G19" i="25"/>
  <c r="F19" i="25"/>
  <c r="E19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I40" i="2" s="1"/>
  <c r="G40" i="2"/>
  <c r="H39" i="2"/>
  <c r="G39" i="2"/>
  <c r="I39" i="2" s="1"/>
  <c r="A39" i="2"/>
  <c r="H38" i="2"/>
  <c r="I38" i="2" s="1"/>
  <c r="G38" i="2"/>
  <c r="A37" i="2"/>
  <c r="A35" i="2"/>
  <c r="A34" i="2"/>
  <c r="A33" i="2"/>
  <c r="A32" i="2"/>
  <c r="A29" i="2"/>
  <c r="A27" i="2"/>
  <c r="A26" i="2"/>
  <c r="A25" i="2"/>
  <c r="A24" i="2"/>
  <c r="A21" i="2"/>
  <c r="A19" i="2"/>
  <c r="A18" i="2"/>
  <c r="A17" i="2"/>
  <c r="A16" i="2"/>
  <c r="H13" i="2"/>
  <c r="G13" i="2"/>
  <c r="I13" i="2" s="1"/>
  <c r="H12" i="2"/>
  <c r="I12" i="2" s="1"/>
  <c r="G12" i="2"/>
  <c r="H11" i="2"/>
  <c r="G11" i="2"/>
  <c r="I11" i="2" s="1"/>
  <c r="H10" i="2"/>
  <c r="I10" i="2" s="1"/>
  <c r="G10" i="2"/>
  <c r="H9" i="2"/>
  <c r="G9" i="2"/>
  <c r="I9" i="2" s="1"/>
  <c r="H8" i="2"/>
  <c r="I8" i="2" s="1"/>
  <c r="G8" i="2"/>
  <c r="H7" i="2"/>
  <c r="G7" i="2"/>
  <c r="I7" i="2" s="1"/>
  <c r="H6" i="2"/>
  <c r="I6" i="2" s="1"/>
  <c r="G6" i="2"/>
  <c r="H5" i="2"/>
  <c r="G5" i="2"/>
  <c r="I5" i="2" s="1"/>
  <c r="H4" i="2"/>
  <c r="I4" i="2" s="1"/>
  <c r="G4" i="2"/>
  <c r="H3" i="2"/>
  <c r="G3" i="2"/>
  <c r="I3" i="2" s="1"/>
  <c r="A3" i="2"/>
  <c r="H2" i="2"/>
  <c r="I2" i="2" s="1"/>
  <c r="G2" i="2"/>
  <c r="A2" i="2"/>
  <c r="A31" i="2" s="1"/>
  <c r="C33" i="1"/>
  <c r="C20" i="1"/>
  <c r="A20" i="2" l="1"/>
  <c r="A28" i="2"/>
  <c r="A3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  <c r="A40" i="2"/>
  <c r="A15" i="2"/>
  <c r="A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>Tharindu Wickramaarachchi:
RR converted to an OR using BF prev.
Lassi et al 2019, EIBF RR 1.56 (1.37-1.77)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29" authorId="1" shapeId="0" xr:uid="{00000000-0006-0000-1600-00000E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29" authorId="1" shapeId="0" xr:uid="{00000000-0006-0000-1600-00000F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30" authorId="0" shapeId="0" xr:uid="{00000000-0006-0000-1600-000010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1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2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4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6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7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52" authorId="1" shapeId="0" xr:uid="{00000000-0006-0000-1600-000018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F52" authorId="1" shapeId="0" xr:uid="{00000000-0006-0000-1600-000019000000}">
      <text>
        <r>
          <rPr>
            <sz val="10"/>
            <color rgb="FF000000"/>
            <rFont val="Arial"/>
          </rPr>
          <t>Tharindu Wickramaarachchi:
Lassi et al 2020, RR 0.64 (0.44-0.92) 
RR converted to OR</t>
        </r>
      </text>
    </comment>
    <comment ref="B53" authorId="0" shapeId="0" xr:uid="{00000000-0006-0000-1600-00001A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B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C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Peña‐Rosas et al 2019, anemia RR 0.72 (0.54-0.97)
If no data for anaemia prev. the use RR otherwise convert RR to OR using prev.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Larson et al 2021, RR 0.80 (0.70-0.92)
If no data for anaemia prev. the use RR otherwise convert RR to OR using prev.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C49" authorId="0" shapeId="0" xr:uid="{00000000-0006-0000-1800-000052000000}">
      <text>
        <r>
          <rPr>
            <sz val="10"/>
            <color rgb="FF000000"/>
            <rFont val="Arial"/>
          </rPr>
          <t>Tharindu Wickramaarachchi:
RR from the lterature was used.
RRR = 0.53 (0.40-0.70) for being anaemic [Hutton and Hassan, 2007 Jama [63]]</t>
        </r>
      </text>
    </comment>
    <comment ref="H50" authorId="0" shapeId="0" xr:uid="{00000000-0006-0000-1800-00005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6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<sst xmlns="http://schemas.openxmlformats.org/spreadsheetml/2006/main" count="2092" uniqueCount="341">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</sst>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2269547.265625</v>
      </c>
    </row>
    <row r="8" spans="1:3" ht="15" customHeight="1" x14ac:dyDescent="0.25">
      <c r="B8" s="5" t="s">
        <v>8</v>
      </c>
      <c r="C8" s="44">
        <v>0.10199999999999999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0.73104637145996099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0.18629999999999999</v>
      </c>
    </row>
    <row r="24" spans="1:3" ht="15" customHeight="1" x14ac:dyDescent="0.25">
      <c r="B24" s="15" t="s">
        <v>22</v>
      </c>
      <c r="C24" s="45">
        <v>0.53220000000000001</v>
      </c>
    </row>
    <row r="25" spans="1:3" ht="15" customHeight="1" x14ac:dyDescent="0.25">
      <c r="B25" s="15" t="s">
        <v>23</v>
      </c>
      <c r="C25" s="45">
        <v>0.24540000000000001</v>
      </c>
    </row>
    <row r="26" spans="1:3" ht="15" customHeight="1" x14ac:dyDescent="0.25">
      <c r="B26" s="15" t="s">
        <v>24</v>
      </c>
      <c r="C26" s="45">
        <v>3.61E-2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0.34994163924792399</v>
      </c>
    </row>
    <row r="30" spans="1:3" ht="14.25" customHeight="1" x14ac:dyDescent="0.25">
      <c r="B30" s="25" t="s">
        <v>27</v>
      </c>
      <c r="C30" s="99">
        <v>0.10516916316476101</v>
      </c>
    </row>
    <row r="31" spans="1:3" ht="14.25" customHeight="1" x14ac:dyDescent="0.25">
      <c r="B31" s="25" t="s">
        <v>28</v>
      </c>
      <c r="C31" s="99">
        <v>8.4505866375242988E-2</v>
      </c>
    </row>
    <row r="32" spans="1:3" ht="14.25" customHeight="1" x14ac:dyDescent="0.25">
      <c r="B32" s="25" t="s">
        <v>29</v>
      </c>
      <c r="C32" s="99">
        <v>0.46038333121207198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14.99222</v>
      </c>
    </row>
    <row r="38" spans="1:5" ht="15" customHeight="1" x14ac:dyDescent="0.25">
      <c r="B38" s="11" t="s">
        <v>34</v>
      </c>
      <c r="C38" s="43">
        <v>21.063030000000001</v>
      </c>
      <c r="D38" s="12"/>
      <c r="E38" s="13"/>
    </row>
    <row r="39" spans="1:5" ht="15" customHeight="1" x14ac:dyDescent="0.25">
      <c r="B39" s="11" t="s">
        <v>35</v>
      </c>
      <c r="C39" s="43">
        <v>24.22973</v>
      </c>
      <c r="D39" s="12"/>
      <c r="E39" s="12"/>
    </row>
    <row r="40" spans="1:5" ht="15" customHeight="1" x14ac:dyDescent="0.25">
      <c r="B40" s="11" t="s">
        <v>36</v>
      </c>
      <c r="C40" s="100">
        <v>2.59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10.689030000000001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7.0407000000000004E-3</v>
      </c>
      <c r="D45" s="12"/>
    </row>
    <row r="46" spans="1:5" ht="15.75" customHeight="1" x14ac:dyDescent="0.25">
      <c r="B46" s="11" t="s">
        <v>41</v>
      </c>
      <c r="C46" s="45">
        <v>7.5650899999999993E-2</v>
      </c>
      <c r="D46" s="12"/>
    </row>
    <row r="47" spans="1:5" ht="15.75" customHeight="1" x14ac:dyDescent="0.25">
      <c r="B47" s="11" t="s">
        <v>42</v>
      </c>
      <c r="C47" s="45">
        <v>7.4305499999999997E-2</v>
      </c>
      <c r="D47" s="12"/>
      <c r="E47" s="13"/>
    </row>
    <row r="48" spans="1:5" ht="15" customHeight="1" x14ac:dyDescent="0.25">
      <c r="B48" s="11" t="s">
        <v>43</v>
      </c>
      <c r="C48" s="46">
        <v>0.8430029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3.2</v>
      </c>
      <c r="D51" s="12"/>
    </row>
    <row r="52" spans="1:4" ht="15" customHeight="1" x14ac:dyDescent="0.25">
      <c r="B52" s="11" t="s">
        <v>46</v>
      </c>
      <c r="C52" s="100">
        <v>3.2</v>
      </c>
    </row>
    <row r="53" spans="1:4" ht="15.75" customHeight="1" x14ac:dyDescent="0.25">
      <c r="B53" s="11" t="s">
        <v>47</v>
      </c>
      <c r="C53" s="100">
        <v>3.2</v>
      </c>
    </row>
    <row r="54" spans="1:4" ht="15.75" customHeight="1" x14ac:dyDescent="0.25">
      <c r="B54" s="11" t="s">
        <v>48</v>
      </c>
      <c r="C54" s="100">
        <v>3.2</v>
      </c>
    </row>
    <row r="55" spans="1:4" ht="15.75" customHeight="1" x14ac:dyDescent="0.25">
      <c r="B55" s="11" t="s">
        <v>49</v>
      </c>
      <c r="C55" s="100">
        <v>3.2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1.9375E-2</v>
      </c>
    </row>
    <row r="59" spans="1:4" ht="15.75" customHeight="1" x14ac:dyDescent="0.25">
      <c r="B59" s="11" t="s">
        <v>52</v>
      </c>
      <c r="C59" s="45">
        <v>0.58011699999999999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9.1047744999999902E-2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583508.85400000017</v>
      </c>
      <c r="C2" s="49">
        <v>1425000</v>
      </c>
      <c r="D2" s="49">
        <v>2734000</v>
      </c>
      <c r="E2" s="49">
        <v>8540000</v>
      </c>
      <c r="F2" s="49">
        <v>7340000</v>
      </c>
      <c r="G2" s="17">
        <f t="shared" ref="G2:G13" si="0">C2+D2+E2+F2</f>
        <v>20039000</v>
      </c>
      <c r="H2" s="17">
        <f t="shared" ref="H2:H13" si="1">(B2 + stillbirth*B2/(1000-stillbirth))/(1-abortion)</f>
        <v>670242.48521354049</v>
      </c>
      <c r="I2" s="17">
        <f t="shared" ref="I2:I13" si="2">G2-H2</f>
        <v>19368757.51478646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580437.6</v>
      </c>
      <c r="C3" s="50">
        <v>1430000</v>
      </c>
      <c r="D3" s="50">
        <v>2744000</v>
      </c>
      <c r="E3" s="50">
        <v>8501000</v>
      </c>
      <c r="F3" s="50">
        <v>7463000</v>
      </c>
      <c r="G3" s="17">
        <f t="shared" si="0"/>
        <v>20138000</v>
      </c>
      <c r="H3" s="17">
        <f t="shared" si="1"/>
        <v>666714.71541266935</v>
      </c>
      <c r="I3" s="17">
        <f t="shared" si="2"/>
        <v>19471285.284587331</v>
      </c>
    </row>
    <row r="4" spans="1:9" ht="15.75" customHeight="1" x14ac:dyDescent="0.25">
      <c r="A4" s="5">
        <f t="shared" si="3"/>
        <v>2026</v>
      </c>
      <c r="B4" s="49">
        <v>578349.40240000014</v>
      </c>
      <c r="C4" s="50">
        <v>1435000</v>
      </c>
      <c r="D4" s="50">
        <v>2758000</v>
      </c>
      <c r="E4" s="50">
        <v>8402000</v>
      </c>
      <c r="F4" s="50">
        <v>7591000</v>
      </c>
      <c r="G4" s="17">
        <f t="shared" si="0"/>
        <v>20186000</v>
      </c>
      <c r="H4" s="17">
        <f t="shared" si="1"/>
        <v>664316.12498949666</v>
      </c>
      <c r="I4" s="17">
        <f t="shared" si="2"/>
        <v>19521683.875010502</v>
      </c>
    </row>
    <row r="5" spans="1:9" ht="15.75" customHeight="1" x14ac:dyDescent="0.25">
      <c r="A5" s="5">
        <f t="shared" si="3"/>
        <v>2027</v>
      </c>
      <c r="B5" s="49">
        <v>575987.78099999996</v>
      </c>
      <c r="C5" s="50">
        <v>1439000</v>
      </c>
      <c r="D5" s="50">
        <v>2771000</v>
      </c>
      <c r="E5" s="50">
        <v>8244000</v>
      </c>
      <c r="F5" s="50">
        <v>7724000</v>
      </c>
      <c r="G5" s="17">
        <f t="shared" si="0"/>
        <v>20178000</v>
      </c>
      <c r="H5" s="17">
        <f t="shared" si="1"/>
        <v>661603.46864260663</v>
      </c>
      <c r="I5" s="17">
        <f t="shared" si="2"/>
        <v>19516396.531357393</v>
      </c>
    </row>
    <row r="6" spans="1:9" ht="15.75" customHeight="1" x14ac:dyDescent="0.25">
      <c r="A6" s="5">
        <f t="shared" si="3"/>
        <v>2028</v>
      </c>
      <c r="B6" s="49">
        <v>573357.47340000013</v>
      </c>
      <c r="C6" s="50">
        <v>1442000</v>
      </c>
      <c r="D6" s="50">
        <v>2785000</v>
      </c>
      <c r="E6" s="50">
        <v>8039000</v>
      </c>
      <c r="F6" s="50">
        <v>7857000</v>
      </c>
      <c r="G6" s="17">
        <f t="shared" si="0"/>
        <v>20123000</v>
      </c>
      <c r="H6" s="17">
        <f t="shared" si="1"/>
        <v>658582.18817596964</v>
      </c>
      <c r="I6" s="17">
        <f t="shared" si="2"/>
        <v>19464417.811824031</v>
      </c>
    </row>
    <row r="7" spans="1:9" ht="15.75" customHeight="1" x14ac:dyDescent="0.25">
      <c r="A7" s="5">
        <f t="shared" si="3"/>
        <v>2029</v>
      </c>
      <c r="B7" s="49">
        <v>570478.87980000011</v>
      </c>
      <c r="C7" s="50">
        <v>1444000</v>
      </c>
      <c r="D7" s="50">
        <v>2799000</v>
      </c>
      <c r="E7" s="50">
        <v>7803000</v>
      </c>
      <c r="F7" s="50">
        <v>7985000</v>
      </c>
      <c r="G7" s="17">
        <f t="shared" si="0"/>
        <v>20031000</v>
      </c>
      <c r="H7" s="17">
        <f t="shared" si="1"/>
        <v>655275.71610590955</v>
      </c>
      <c r="I7" s="17">
        <f t="shared" si="2"/>
        <v>19375724.283894092</v>
      </c>
    </row>
    <row r="8" spans="1:9" ht="15.75" customHeight="1" x14ac:dyDescent="0.25">
      <c r="A8" s="5">
        <f t="shared" si="3"/>
        <v>2030</v>
      </c>
      <c r="B8" s="49">
        <v>567309.75</v>
      </c>
      <c r="C8" s="50">
        <v>1445000</v>
      </c>
      <c r="D8" s="50">
        <v>2811000</v>
      </c>
      <c r="E8" s="50">
        <v>7556000</v>
      </c>
      <c r="F8" s="50">
        <v>8102000</v>
      </c>
      <c r="G8" s="17">
        <f t="shared" si="0"/>
        <v>19914000</v>
      </c>
      <c r="H8" s="17">
        <f t="shared" si="1"/>
        <v>651635.5220993309</v>
      </c>
      <c r="I8" s="17">
        <f t="shared" si="2"/>
        <v>19262364.477900669</v>
      </c>
    </row>
    <row r="9" spans="1:9" ht="15.75" customHeight="1" x14ac:dyDescent="0.25">
      <c r="A9" s="5">
        <f t="shared" si="3"/>
        <v>2031</v>
      </c>
      <c r="B9" s="49">
        <v>564995.59228571423</v>
      </c>
      <c r="C9" s="50">
        <v>1447857.142857143</v>
      </c>
      <c r="D9" s="50">
        <v>2822000</v>
      </c>
      <c r="E9" s="50">
        <v>7415428.5714285718</v>
      </c>
      <c r="F9" s="50">
        <v>8210857.1428571427</v>
      </c>
      <c r="G9" s="17">
        <f t="shared" si="0"/>
        <v>19896142.857142858</v>
      </c>
      <c r="H9" s="17">
        <f t="shared" si="1"/>
        <v>648977.38451158651</v>
      </c>
      <c r="I9" s="17">
        <f t="shared" si="2"/>
        <v>19247165.472631272</v>
      </c>
    </row>
    <row r="10" spans="1:9" ht="15.75" customHeight="1" x14ac:dyDescent="0.25">
      <c r="A10" s="5">
        <f t="shared" si="3"/>
        <v>2032</v>
      </c>
      <c r="B10" s="49">
        <v>562789.59118367336</v>
      </c>
      <c r="C10" s="50">
        <v>1450408.163265306</v>
      </c>
      <c r="D10" s="50">
        <v>2833142.8571428568</v>
      </c>
      <c r="E10" s="50">
        <v>7260346.9387755115</v>
      </c>
      <c r="F10" s="50">
        <v>8317693.8775510201</v>
      </c>
      <c r="G10" s="17">
        <f t="shared" si="0"/>
        <v>19861591.836734693</v>
      </c>
      <c r="H10" s="17">
        <f t="shared" si="1"/>
        <v>646443.48009714624</v>
      </c>
      <c r="I10" s="17">
        <f t="shared" si="2"/>
        <v>19215148.356637549</v>
      </c>
    </row>
    <row r="11" spans="1:9" ht="15.75" customHeight="1" x14ac:dyDescent="0.25">
      <c r="A11" s="5">
        <f t="shared" si="3"/>
        <v>2033</v>
      </c>
      <c r="B11" s="49">
        <v>560566.76100991236</v>
      </c>
      <c r="C11" s="50">
        <v>1452609.3294460641</v>
      </c>
      <c r="D11" s="50">
        <v>2843877.551020409</v>
      </c>
      <c r="E11" s="50">
        <v>7097253.6443148693</v>
      </c>
      <c r="F11" s="50">
        <v>8421507.2886297368</v>
      </c>
      <c r="G11" s="17">
        <f t="shared" si="0"/>
        <v>19815247.813411079</v>
      </c>
      <c r="H11" s="17">
        <f t="shared" si="1"/>
        <v>643890.2451125246</v>
      </c>
      <c r="I11" s="17">
        <f t="shared" si="2"/>
        <v>19171357.568298556</v>
      </c>
    </row>
    <row r="12" spans="1:9" ht="15.75" customHeight="1" x14ac:dyDescent="0.25">
      <c r="A12" s="5">
        <f t="shared" si="3"/>
        <v>2034</v>
      </c>
      <c r="B12" s="49">
        <v>558363.75815418561</v>
      </c>
      <c r="C12" s="50">
        <v>1454553.5193669309</v>
      </c>
      <c r="D12" s="50">
        <v>2854288.62973761</v>
      </c>
      <c r="E12" s="50">
        <v>6933432.7363598514</v>
      </c>
      <c r="F12" s="50">
        <v>8521151.1870054137</v>
      </c>
      <c r="G12" s="17">
        <f t="shared" si="0"/>
        <v>19763426.072469808</v>
      </c>
      <c r="H12" s="17">
        <f t="shared" si="1"/>
        <v>641359.78460822732</v>
      </c>
      <c r="I12" s="17">
        <f t="shared" si="2"/>
        <v>19122066.287861582</v>
      </c>
    </row>
    <row r="13" spans="1:9" ht="15.75" customHeight="1" x14ac:dyDescent="0.25">
      <c r="A13" s="5">
        <f t="shared" si="3"/>
        <v>2035</v>
      </c>
      <c r="B13" s="49">
        <v>556221.79883335496</v>
      </c>
      <c r="C13" s="50">
        <v>1456346.8792764919</v>
      </c>
      <c r="D13" s="50">
        <v>2864187.005414411</v>
      </c>
      <c r="E13" s="50">
        <v>6775494.5558398291</v>
      </c>
      <c r="F13" s="50">
        <v>8616029.9280061871</v>
      </c>
      <c r="G13" s="17">
        <f t="shared" si="0"/>
        <v>19712058.368536919</v>
      </c>
      <c r="H13" s="17">
        <f t="shared" si="1"/>
        <v>638899.44124140695</v>
      </c>
      <c r="I13" s="17">
        <f t="shared" si="2"/>
        <v>19073158.927295513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0.16119969142408941</v>
      </c>
    </row>
    <row r="5" spans="1:8" ht="15.75" customHeight="1" x14ac:dyDescent="0.25">
      <c r="B5" s="19" t="s">
        <v>70</v>
      </c>
      <c r="C5" s="101">
        <v>6.5832262834305141E-2</v>
      </c>
    </row>
    <row r="6" spans="1:8" ht="15.75" customHeight="1" x14ac:dyDescent="0.25">
      <c r="B6" s="19" t="s">
        <v>71</v>
      </c>
      <c r="C6" s="101">
        <v>0.14184394821056301</v>
      </c>
    </row>
    <row r="7" spans="1:8" ht="15.75" customHeight="1" x14ac:dyDescent="0.25">
      <c r="B7" s="19" t="s">
        <v>72</v>
      </c>
      <c r="C7" s="101">
        <v>0.39461551247407772</v>
      </c>
    </row>
    <row r="8" spans="1:8" ht="15.75" customHeight="1" x14ac:dyDescent="0.25">
      <c r="B8" s="19" t="s">
        <v>73</v>
      </c>
      <c r="C8" s="101">
        <v>7.4852374206232171E-5</v>
      </c>
    </row>
    <row r="9" spans="1:8" ht="15.75" customHeight="1" x14ac:dyDescent="0.25">
      <c r="B9" s="19" t="s">
        <v>74</v>
      </c>
      <c r="C9" s="101">
        <v>0.1777144467984253</v>
      </c>
    </row>
    <row r="10" spans="1:8" ht="15.75" customHeight="1" x14ac:dyDescent="0.25">
      <c r="B10" s="19" t="s">
        <v>75</v>
      </c>
      <c r="C10" s="101">
        <v>5.8719285884333283E-2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0.1802786786201154</v>
      </c>
      <c r="D14" s="55">
        <v>0.1802786786201154</v>
      </c>
      <c r="E14" s="55">
        <v>0.1802786786201154</v>
      </c>
      <c r="F14" s="55">
        <v>0.1802786786201154</v>
      </c>
    </row>
    <row r="15" spans="1:8" ht="15.75" customHeight="1" x14ac:dyDescent="0.25">
      <c r="B15" s="19" t="s">
        <v>82</v>
      </c>
      <c r="C15" s="101">
        <v>0.27581630038978422</v>
      </c>
      <c r="D15" s="101">
        <v>0.27581630038978422</v>
      </c>
      <c r="E15" s="101">
        <v>0.27581630038978422</v>
      </c>
      <c r="F15" s="101">
        <v>0.27581630038978422</v>
      </c>
    </row>
    <row r="16" spans="1:8" ht="15.75" customHeight="1" x14ac:dyDescent="0.25">
      <c r="B16" s="19" t="s">
        <v>83</v>
      </c>
      <c r="C16" s="101">
        <v>5.0478112893712693E-2</v>
      </c>
      <c r="D16" s="101">
        <v>5.0478112893712693E-2</v>
      </c>
      <c r="E16" s="101">
        <v>5.0478112893712693E-2</v>
      </c>
      <c r="F16" s="101">
        <v>5.0478112893712693E-2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3.0939452737560089E-2</v>
      </c>
      <c r="D18" s="101">
        <v>3.0939452737560089E-2</v>
      </c>
      <c r="E18" s="101">
        <v>3.0939452737560089E-2</v>
      </c>
      <c r="F18" s="101">
        <v>3.0939452737560089E-2</v>
      </c>
    </row>
    <row r="19" spans="1:8" ht="15.75" customHeight="1" x14ac:dyDescent="0.25">
      <c r="B19" s="19" t="s">
        <v>86</v>
      </c>
      <c r="C19" s="101">
        <v>1.026055393849703E-2</v>
      </c>
      <c r="D19" s="101">
        <v>1.026055393849703E-2</v>
      </c>
      <c r="E19" s="101">
        <v>1.026055393849703E-2</v>
      </c>
      <c r="F19" s="101">
        <v>1.026055393849703E-2</v>
      </c>
    </row>
    <row r="20" spans="1:8" ht="15.75" customHeight="1" x14ac:dyDescent="0.25">
      <c r="B20" s="19" t="s">
        <v>87</v>
      </c>
      <c r="C20" s="101">
        <v>3.5903363395069353E-2</v>
      </c>
      <c r="D20" s="101">
        <v>3.5903363395069353E-2</v>
      </c>
      <c r="E20" s="101">
        <v>3.5903363395069353E-2</v>
      </c>
      <c r="F20" s="101">
        <v>3.5903363395069353E-2</v>
      </c>
    </row>
    <row r="21" spans="1:8" ht="15.75" customHeight="1" x14ac:dyDescent="0.25">
      <c r="B21" s="19" t="s">
        <v>88</v>
      </c>
      <c r="C21" s="101">
        <v>0.31616327977805031</v>
      </c>
      <c r="D21" s="101">
        <v>0.31616327977805031</v>
      </c>
      <c r="E21" s="101">
        <v>0.31616327977805031</v>
      </c>
      <c r="F21" s="101">
        <v>0.31616327977805031</v>
      </c>
    </row>
    <row r="22" spans="1:8" ht="15.75" customHeight="1" x14ac:dyDescent="0.25">
      <c r="B22" s="19" t="s">
        <v>89</v>
      </c>
      <c r="C22" s="101">
        <v>0.1001602582472108</v>
      </c>
      <c r="D22" s="101">
        <v>0.1001602582472108</v>
      </c>
      <c r="E22" s="101">
        <v>0.1001602582472108</v>
      </c>
      <c r="F22" s="101">
        <v>0.1001602582472108</v>
      </c>
    </row>
    <row r="23" spans="1:8" ht="15.75" customHeight="1" x14ac:dyDescent="0.25">
      <c r="B23" s="27" t="s">
        <v>30</v>
      </c>
      <c r="C23" s="48">
        <f>SUM(C14:C22)</f>
        <v>0.99999999999999978</v>
      </c>
      <c r="D23" s="48">
        <f>SUM(D14:D22)</f>
        <v>0.99999999999999978</v>
      </c>
      <c r="E23" s="48">
        <f>SUM(E14:E22)</f>
        <v>0.99999999999999978</v>
      </c>
      <c r="F23" s="48">
        <f>SUM(F14:F22)</f>
        <v>0.99999999999999978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5.6534050000000002E-2</v>
      </c>
    </row>
    <row r="27" spans="1:8" ht="15.75" customHeight="1" x14ac:dyDescent="0.25">
      <c r="B27" s="19" t="s">
        <v>92</v>
      </c>
      <c r="C27" s="101">
        <v>3.5322311000000002E-2</v>
      </c>
    </row>
    <row r="28" spans="1:8" ht="15.75" customHeight="1" x14ac:dyDescent="0.25">
      <c r="B28" s="19" t="s">
        <v>93</v>
      </c>
      <c r="C28" s="101">
        <v>4.2593103E-2</v>
      </c>
    </row>
    <row r="29" spans="1:8" ht="15.75" customHeight="1" x14ac:dyDescent="0.25">
      <c r="B29" s="19" t="s">
        <v>94</v>
      </c>
      <c r="C29" s="101">
        <v>0.27419058800000001</v>
      </c>
    </row>
    <row r="30" spans="1:8" ht="15.75" customHeight="1" x14ac:dyDescent="0.25">
      <c r="B30" s="19" t="s">
        <v>95</v>
      </c>
      <c r="C30" s="101">
        <v>6.2699299999999999E-2</v>
      </c>
    </row>
    <row r="31" spans="1:8" ht="15.75" customHeight="1" x14ac:dyDescent="0.25">
      <c r="B31" s="19" t="s">
        <v>96</v>
      </c>
      <c r="C31" s="101">
        <v>0.140173941</v>
      </c>
    </row>
    <row r="32" spans="1:8" ht="15.75" customHeight="1" x14ac:dyDescent="0.25">
      <c r="B32" s="19" t="s">
        <v>97</v>
      </c>
      <c r="C32" s="101">
        <v>2.4544165999999999E-2</v>
      </c>
    </row>
    <row r="33" spans="2:3" ht="15.75" customHeight="1" x14ac:dyDescent="0.25">
      <c r="B33" s="19" t="s">
        <v>98</v>
      </c>
      <c r="C33" s="101">
        <v>0.119318915</v>
      </c>
    </row>
    <row r="34" spans="2:3" ht="15.75" customHeight="1" x14ac:dyDescent="0.25">
      <c r="B34" s="19" t="s">
        <v>99</v>
      </c>
      <c r="C34" s="101">
        <v>0.24462362800000001</v>
      </c>
    </row>
    <row r="35" spans="2:3" ht="15.75" customHeight="1" x14ac:dyDescent="0.25">
      <c r="B35" s="27" t="s">
        <v>30</v>
      </c>
      <c r="C35" s="48">
        <f>SUM(C26:C34)</f>
        <v>1.0000000019999999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104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105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109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110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0.10628020924999999</v>
      </c>
      <c r="D14" s="54">
        <v>0.10001147951100001</v>
      </c>
      <c r="E14" s="54">
        <v>0.10001147951100001</v>
      </c>
      <c r="F14" s="54">
        <v>3.3530111506E-2</v>
      </c>
      <c r="G14" s="54">
        <v>3.3530111506E-2</v>
      </c>
      <c r="H14" s="45">
        <v>0.29099999999999998</v>
      </c>
      <c r="I14" s="55">
        <v>0.29099999999999998</v>
      </c>
      <c r="J14" s="55">
        <v>0.29099999999999998</v>
      </c>
      <c r="K14" s="55">
        <v>0.29099999999999998</v>
      </c>
      <c r="L14" s="45">
        <v>0.23599999999999999</v>
      </c>
      <c r="M14" s="55">
        <v>0.23599999999999999</v>
      </c>
      <c r="N14" s="55">
        <v>0.23599999999999999</v>
      </c>
      <c r="O14" s="55">
        <v>0.23599999999999999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6.1654956149482243E-2</v>
      </c>
      <c r="D15" s="52">
        <f t="shared" si="0"/>
        <v>5.8018359459482791E-2</v>
      </c>
      <c r="E15" s="52">
        <f t="shared" si="0"/>
        <v>5.8018359459482791E-2</v>
      </c>
      <c r="F15" s="52">
        <f t="shared" si="0"/>
        <v>1.9451387696526202E-2</v>
      </c>
      <c r="G15" s="52">
        <f t="shared" si="0"/>
        <v>1.9451387696526202E-2</v>
      </c>
      <c r="H15" s="52">
        <f t="shared" si="0"/>
        <v>0.16881404699999999</v>
      </c>
      <c r="I15" s="52">
        <f t="shared" si="0"/>
        <v>0.16881404699999999</v>
      </c>
      <c r="J15" s="52">
        <f t="shared" si="0"/>
        <v>0.16881404699999999</v>
      </c>
      <c r="K15" s="52">
        <f t="shared" si="0"/>
        <v>0.16881404699999999</v>
      </c>
      <c r="L15" s="52">
        <f t="shared" si="0"/>
        <v>0.13690761199999998</v>
      </c>
      <c r="M15" s="52">
        <f t="shared" si="0"/>
        <v>0.13690761199999998</v>
      </c>
      <c r="N15" s="52">
        <f t="shared" si="0"/>
        <v>0.13690761199999998</v>
      </c>
      <c r="O15" s="52">
        <f t="shared" si="0"/>
        <v>0.13690761199999998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122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opLeftCell="A3" zoomScale="115" zoomScaleNormal="115" workbookViewId="0">
      <selection activeCell="D12" sqref="D12:D13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/>
      <c r="E5" s="38" t="str">
        <f>IF(E$7="","",E$7)</f>
        <v/>
      </c>
    </row>
    <row r="6" spans="1:5" x14ac:dyDescent="0.25">
      <c r="B6" s="32" t="s">
        <v>79</v>
      </c>
      <c r="C6" s="47"/>
      <c r="D6" s="47"/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91.27399970601509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43.717353164893979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935.6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1.4824883808812159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14.73506506491457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14.73506506491457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14.73506506491457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14.73506506491457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14.73506506491457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14.73506506491457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1.474307802764647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0.67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21.412062375026149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21.412062375026149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17.19927253299581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25.79440028261962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5.2081376493661544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0.71090409500000007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20.734427315471159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189.5238105577576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0.83911365311495534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3.2374309865658208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0.98395579999999994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8.6805561005393574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tabSelected="1" workbookViewId="0">
      <selection activeCell="C13" sqref="C13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3.2</v>
      </c>
      <c r="C2" s="21">
        <f>'Baseline year population inputs'!C52</f>
        <v>3.2</v>
      </c>
      <c r="D2" s="21">
        <f>'Baseline year population inputs'!C53</f>
        <v>3.2</v>
      </c>
      <c r="E2" s="21">
        <f>'Baseline year population inputs'!C54</f>
        <v>3.2</v>
      </c>
      <c r="F2" s="21">
        <f>'Baseline year population inputs'!C55</f>
        <v>3.2</v>
      </c>
    </row>
    <row r="3" spans="1:6" ht="15.75" customHeight="1" x14ac:dyDescent="0.25">
      <c r="A3" s="3" t="s">
        <v>204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205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0.10199999999999999</v>
      </c>
      <c r="E2" s="60">
        <f>food_insecure</f>
        <v>0.10199999999999999</v>
      </c>
      <c r="F2" s="60">
        <f>food_insecure</f>
        <v>0.10199999999999999</v>
      </c>
      <c r="G2" s="60">
        <f>food_insecure</f>
        <v>0.10199999999999999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0.10199999999999999</v>
      </c>
      <c r="F5" s="60">
        <f>food_insecure</f>
        <v>0.10199999999999999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0.10199999999999999</v>
      </c>
      <c r="F8" s="60">
        <f>food_insecure</f>
        <v>0.10199999999999999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0.10199999999999999</v>
      </c>
      <c r="F9" s="60">
        <f>food_insecure</f>
        <v>0.10199999999999999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0.10199999999999999</v>
      </c>
      <c r="I15" s="60">
        <f>food_insecure</f>
        <v>0.10199999999999999</v>
      </c>
      <c r="J15" s="60">
        <f>food_insecure</f>
        <v>0.10199999999999999</v>
      </c>
      <c r="K15" s="60">
        <f>food_insecure</f>
        <v>0.10199999999999999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0.13754826470794676</v>
      </c>
      <c r="M25" s="60">
        <f>(1-food_insecure)*(0.49)+food_insecure*(0.7)</f>
        <v>0.51141999999999999</v>
      </c>
      <c r="N25" s="60">
        <f>(1-food_insecure)*(0.49)+food_insecure*(0.7)</f>
        <v>0.51141999999999999</v>
      </c>
      <c r="O25" s="60">
        <f>(1-food_insecure)*(0.49)+food_insecure*(0.7)</f>
        <v>0.51141999999999999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5.894925630340575E-2</v>
      </c>
      <c r="M26" s="60">
        <f>(1-food_insecure)*(0.21)+food_insecure*(0.3)</f>
        <v>0.21917999999999999</v>
      </c>
      <c r="N26" s="60">
        <f>(1-food_insecure)*(0.21)+food_insecure*(0.3)</f>
        <v>0.21917999999999999</v>
      </c>
      <c r="O26" s="60">
        <f>(1-food_insecure)*(0.21)+food_insecure*(0.3)</f>
        <v>0.21917999999999999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7.2456107528686503E-2</v>
      </c>
      <c r="M27" s="60">
        <f>(1-food_insecure)*(0.3)</f>
        <v>0.26939999999999997</v>
      </c>
      <c r="N27" s="60">
        <f>(1-food_insecure)*(0.3)</f>
        <v>0.26939999999999997</v>
      </c>
      <c r="O27" s="60">
        <f>(1-food_insecure)*(0.3)</f>
        <v>0.26939999999999997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0.73104637145996099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1.56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1.56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1.56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1.56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1.37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1.37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1.37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1.37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1.77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1.77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1.77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1.77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riIqDHxQDNIc95k8WEEMlpv2yK5yRhEl3GZr9d21PG7QnhNwxgtjaWmZN+9widROwyhXiwQ4XZiTM/cZ2Cl95g==" saltValue="b1Xx0XPjIcbtdUQJGdoNkQ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31" zoomScale="85" zoomScaleNormal="85" workbookViewId="0">
      <selection activeCell="D5" sqref="D5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OEa5xq8Dht0iRzVx1fQ1EOJdDm09uSIzQRujIfp/VJ8GNGNECqE8Uut2U6j1omy5Y9ajcKxMUHwzsTWrCb+nAw==" saltValue="Poj67khbkyqhF7WVYd6Cs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topLeftCell="A54" zoomScaleNormal="100" workbookViewId="0">
      <selection activeCell="D5" sqref="D5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zjjr+eUY+zLxtgvRuigrXBCYk8ZjZeKkvy/Wu7lqFGhk7GKsrVngS9i2Jt2gxX9Fn0pC2b9tyB7+BxRGGivEA==" saltValue="vsQDJsypwJz22iUc18xJ6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6"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0.64</v>
      </c>
      <c r="F6" s="90">
        <v>0.64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v>0.44</v>
      </c>
      <c r="F29" s="90">
        <v>0.44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v>0.92</v>
      </c>
      <c r="F52" s="90">
        <v>0.92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xH3qxfpHv3MxEVFpMF959vuuHVMbjUY0YDJlIXIgHOAA25UaRTm/IIjRx7RzEUfWaTP3eP7cZpYIm+m6J8PbA==" saltValue="wm1A0TwV/0DyOIoqtNvf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10" zoomScale="70" zoomScaleNormal="70" workbookViewId="0">
      <selection activeCell="D5" sqref="D5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Evf/7Nn9p0s2t120JFgJzNA1BIMAO9h8EmTziKGX5ZA7K3Y+rQ77oXfzNqKwsdbYQwCY96ujjsdxuDmqt1luA==" saltValue="pZcegXbvW/wKpwHEQP8p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D5" sqref="D5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0.53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0.51</v>
      </c>
      <c r="M14" s="90">
        <v>0.51</v>
      </c>
      <c r="N14" s="90">
        <v>0.51</v>
      </c>
      <c r="O14" s="90"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f t="shared" ref="E19:O19" si="0">0.72</f>
        <v>0.72</v>
      </c>
      <c r="F19" s="90">
        <f t="shared" si="0"/>
        <v>0.72</v>
      </c>
      <c r="G19" s="90">
        <f t="shared" si="0"/>
        <v>0.72</v>
      </c>
      <c r="H19" s="90">
        <f t="shared" si="0"/>
        <v>0.72</v>
      </c>
      <c r="I19" s="90">
        <f t="shared" si="0"/>
        <v>0.72</v>
      </c>
      <c r="J19" s="90">
        <f t="shared" si="0"/>
        <v>0.72</v>
      </c>
      <c r="K19" s="90">
        <f t="shared" si="0"/>
        <v>0.72</v>
      </c>
      <c r="L19" s="90">
        <f t="shared" si="0"/>
        <v>0.72</v>
      </c>
      <c r="M19" s="90">
        <f t="shared" si="0"/>
        <v>0.72</v>
      </c>
      <c r="N19" s="90">
        <f t="shared" si="0"/>
        <v>0.72</v>
      </c>
      <c r="O19" s="90">
        <f t="shared" si="0"/>
        <v>0.72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0.8</v>
      </c>
      <c r="F21" s="90">
        <v>0.8</v>
      </c>
      <c r="G21" s="90">
        <v>0.8</v>
      </c>
      <c r="H21" s="90">
        <v>0.8</v>
      </c>
      <c r="I21" s="90">
        <v>0.8</v>
      </c>
      <c r="J21" s="90">
        <v>0.8</v>
      </c>
      <c r="K21" s="90">
        <v>0.8</v>
      </c>
      <c r="L21" s="90">
        <v>0.8</v>
      </c>
      <c r="M21" s="90">
        <v>0.8</v>
      </c>
      <c r="N21" s="90">
        <v>0.8</v>
      </c>
      <c r="O21" s="90">
        <v>0.8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0.4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175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176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177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178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179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189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f>L32</f>
        <v>0.38</v>
      </c>
      <c r="M37" s="90">
        <f>M32</f>
        <v>0.38</v>
      </c>
      <c r="N37" s="90">
        <f>N32</f>
        <v>0.38</v>
      </c>
      <c r="O37" s="90">
        <f>O32</f>
        <v>0.38</v>
      </c>
    </row>
    <row r="38" spans="1:15" x14ac:dyDescent="0.25">
      <c r="B38" s="5" t="s">
        <v>192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173</v>
      </c>
      <c r="C42" s="90">
        <f t="shared" ref="C42:D44" si="10">IF(C19=1,1,C19*0.9)</f>
        <v>1</v>
      </c>
      <c r="D42" s="90">
        <f t="shared" si="10"/>
        <v>1</v>
      </c>
      <c r="E42" s="90">
        <v>0.54</v>
      </c>
      <c r="F42" s="90">
        <v>0.54</v>
      </c>
      <c r="G42" s="90">
        <v>0.54</v>
      </c>
      <c r="H42" s="90">
        <v>0.54</v>
      </c>
      <c r="I42" s="90">
        <v>0.54</v>
      </c>
      <c r="J42" s="90">
        <v>0.54</v>
      </c>
      <c r="K42" s="90">
        <v>0.54</v>
      </c>
      <c r="L42" s="90">
        <v>0.54</v>
      </c>
      <c r="M42" s="90">
        <v>0.54</v>
      </c>
      <c r="N42" s="90">
        <v>0.54</v>
      </c>
      <c r="O42" s="90">
        <v>0.54</v>
      </c>
    </row>
    <row r="43" spans="1:15" x14ac:dyDescent="0.25">
      <c r="B43" s="5" t="s">
        <v>174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1</v>
      </c>
      <c r="F43" s="90">
        <f t="shared" si="11"/>
        <v>1</v>
      </c>
      <c r="G43" s="90">
        <f t="shared" si="11"/>
        <v>1</v>
      </c>
      <c r="H43" s="90">
        <f t="shared" si="11"/>
        <v>1</v>
      </c>
      <c r="I43" s="90">
        <f t="shared" si="11"/>
        <v>1</v>
      </c>
      <c r="J43" s="90">
        <f t="shared" si="11"/>
        <v>1</v>
      </c>
      <c r="K43" s="90">
        <f t="shared" si="11"/>
        <v>1</v>
      </c>
      <c r="L43" s="90">
        <f t="shared" si="11"/>
        <v>1</v>
      </c>
      <c r="M43" s="90">
        <f t="shared" si="11"/>
        <v>1</v>
      </c>
      <c r="N43" s="90">
        <f t="shared" si="11"/>
        <v>1</v>
      </c>
      <c r="O43" s="90">
        <f t="shared" si="11"/>
        <v>1</v>
      </c>
    </row>
    <row r="44" spans="1:15" x14ac:dyDescent="0.25">
      <c r="B44" s="5" t="s">
        <v>182</v>
      </c>
      <c r="C44" s="90">
        <f t="shared" si="10"/>
        <v>1</v>
      </c>
      <c r="D44" s="90">
        <f t="shared" si="10"/>
        <v>1</v>
      </c>
      <c r="E44" s="90">
        <v>0.7</v>
      </c>
      <c r="F44" s="90">
        <v>0.7</v>
      </c>
      <c r="G44" s="90">
        <v>0.7</v>
      </c>
      <c r="H44" s="90">
        <v>0.7</v>
      </c>
      <c r="I44" s="90">
        <v>0.7</v>
      </c>
      <c r="J44" s="90">
        <v>0.7</v>
      </c>
      <c r="K44" s="90">
        <v>0.7</v>
      </c>
      <c r="L44" s="90">
        <v>0.7</v>
      </c>
      <c r="M44" s="90">
        <v>0.7</v>
      </c>
      <c r="N44" s="90">
        <v>0.7</v>
      </c>
      <c r="O44" s="90">
        <v>0.7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0.7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175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176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177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178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179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189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f>L54</f>
        <v>0.7</v>
      </c>
      <c r="M60" s="90">
        <f>M54</f>
        <v>0.7</v>
      </c>
      <c r="N60" s="90">
        <f>N54</f>
        <v>0.7</v>
      </c>
      <c r="O60" s="90">
        <f>O54</f>
        <v>0.7</v>
      </c>
    </row>
    <row r="61" spans="1:15" x14ac:dyDescent="0.25">
      <c r="B61" s="5" t="s">
        <v>192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173</v>
      </c>
      <c r="C65" s="90">
        <f t="shared" ref="C65:D67" si="21">IF(C19=1,1,C19*1.05)</f>
        <v>1</v>
      </c>
      <c r="D65" s="90">
        <f t="shared" si="21"/>
        <v>1</v>
      </c>
      <c r="E65" s="90">
        <v>0.97</v>
      </c>
      <c r="F65" s="90">
        <v>0.97</v>
      </c>
      <c r="G65" s="90">
        <v>0.97</v>
      </c>
      <c r="H65" s="90">
        <v>0.97</v>
      </c>
      <c r="I65" s="90">
        <v>0.97</v>
      </c>
      <c r="J65" s="90">
        <v>0.97</v>
      </c>
      <c r="K65" s="90">
        <v>0.97</v>
      </c>
      <c r="L65" s="90">
        <v>0.97</v>
      </c>
      <c r="M65" s="90">
        <v>0.97</v>
      </c>
      <c r="N65" s="90">
        <v>0.97</v>
      </c>
      <c r="O65" s="90">
        <v>0.97</v>
      </c>
    </row>
    <row r="66" spans="2:15" x14ac:dyDescent="0.25">
      <c r="B66" s="5" t="s">
        <v>174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</v>
      </c>
      <c r="F66" s="90">
        <f t="shared" si="22"/>
        <v>1</v>
      </c>
      <c r="G66" s="90">
        <f t="shared" si="22"/>
        <v>1</v>
      </c>
      <c r="H66" s="90">
        <f t="shared" si="22"/>
        <v>1</v>
      </c>
      <c r="I66" s="90">
        <f t="shared" si="22"/>
        <v>1</v>
      </c>
      <c r="J66" s="90">
        <f t="shared" si="22"/>
        <v>1</v>
      </c>
      <c r="K66" s="90">
        <f t="shared" si="22"/>
        <v>1</v>
      </c>
      <c r="L66" s="90">
        <f t="shared" si="22"/>
        <v>1</v>
      </c>
      <c r="M66" s="90">
        <f t="shared" si="22"/>
        <v>1</v>
      </c>
      <c r="N66" s="90">
        <f t="shared" si="22"/>
        <v>1</v>
      </c>
      <c r="O66" s="90">
        <f t="shared" si="22"/>
        <v>1</v>
      </c>
    </row>
    <row r="67" spans="2:15" x14ac:dyDescent="0.25">
      <c r="B67" s="5" t="s">
        <v>182</v>
      </c>
      <c r="C67" s="90">
        <f t="shared" si="21"/>
        <v>1</v>
      </c>
      <c r="D67" s="90">
        <f t="shared" si="21"/>
        <v>1</v>
      </c>
      <c r="E67" s="90">
        <v>0.92</v>
      </c>
      <c r="F67" s="90">
        <v>0.92</v>
      </c>
      <c r="G67" s="90">
        <v>0.92</v>
      </c>
      <c r="H67" s="90">
        <v>0.92</v>
      </c>
      <c r="I67" s="90">
        <v>0.92</v>
      </c>
      <c r="J67" s="90">
        <v>0.92</v>
      </c>
      <c r="K67" s="90">
        <v>0.92</v>
      </c>
      <c r="L67" s="90">
        <v>0.92</v>
      </c>
      <c r="M67" s="90">
        <v>0.92</v>
      </c>
      <c r="N67" s="90">
        <v>0.92</v>
      </c>
      <c r="O67" s="90">
        <f>IF(ISBLANK('Nutritional status distribution'!O$14),0.92,(0.92*'Nutritional status distribution'!O$14/(1-0.92*'Nutritional status distribution'!O$14))
/ ('Nutritional status distribution'!O$14/(1-'Nutritional status distribution'!O$14)))</f>
        <v>0.89781320253423269</v>
      </c>
    </row>
  </sheetData>
  <sheetProtection algorithmName="SHA-512" hashValue="QTNrTNcX0LQnvnw9OcFIuF8iiKsb7nBsadUCrO1kCxqB4CvEkER3v8YCwNBmR8txM/1IAuOQ/zC/vA8HLWjOhA==" saltValue="f5+QlQPEjGE24L/HhPaCM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ZIjv20oIFeX8hEAP3JXu7+FjYQdIWvRgXIH4IkxRsMm14MAW5JMg2x9QOPJ7rc+IAMFEDvKO0XCydnz4Atw3VA==" saltValue="eIHIWivrA2mRyU/FI0KAAQ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53" zoomScale="80" zoomScaleNormal="80" workbookViewId="0">
      <selection activeCell="D5" sqref="D5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gIF3gzcRwMevsVP9JM+eFJliWIfkjL6RYnVy29HH1zFwKTB/eJc1NVFGROY84dwrfqcI+B8KpOZ1waT1qDgCXQ==" saltValue="0Itsi1W8Rg+oXl6coWpoc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5" sqref="D5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SSCu+FR+SN+siPEoAiap+3g3Z0SGqFtJklZqGSbEJvGKfBY2J7BHBpfevFvAYPx8Hf15tBeGKZdJ4ehQEpyLRg==" saltValue="A0PmMaoo+OfazXy7x4UxV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2024-03-28T03:04:53Z</dcterms:modified>
</cp:coreProperties>
</file>