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C17BE2C4-52C4-481B-90C5-7E0B74BA288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I38" i="2"/>
  <c r="H38" i="2"/>
  <c r="G38" i="2"/>
  <c r="A33" i="2"/>
  <c r="A25" i="2"/>
  <c r="A17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  <c r="A3" i="2"/>
  <c r="I2" i="2"/>
  <c r="H2" i="2"/>
  <c r="G2" i="2"/>
  <c r="A2" i="2"/>
  <c r="A38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40" i="2"/>
  <c r="A15" i="2"/>
  <c r="A23" i="2"/>
  <c r="A31" i="2"/>
  <c r="A16" i="2"/>
  <c r="A24" i="2"/>
  <c r="A32" i="2"/>
  <c r="A18" i="2"/>
  <c r="A26" i="2"/>
  <c r="A39" i="2"/>
  <c r="A19" i="2"/>
  <c r="A27" i="2"/>
  <c r="A35" i="2"/>
  <c r="A34" i="2"/>
  <c r="A20" i="2"/>
  <c r="A28" i="2"/>
  <c r="A36" i="2"/>
  <c r="A21" i="2"/>
  <c r="A29" i="2"/>
  <c r="A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<sst xmlns="http://schemas.openxmlformats.org/spreadsheetml/2006/main" count="2101" uniqueCount="341">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</sst>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3853603.25</v>
      </c>
    </row>
    <row r="8" spans="1:3" ht="15" customHeight="1" x14ac:dyDescent="0.25">
      <c r="B8" s="5" t="s">
        <v>8</v>
      </c>
      <c r="C8" s="44">
        <v>0.621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0.90041511535644503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9.3399999999999997E-2</v>
      </c>
    </row>
    <row r="24" spans="1:3" ht="15" customHeight="1" x14ac:dyDescent="0.25">
      <c r="B24" s="15" t="s">
        <v>22</v>
      </c>
      <c r="C24" s="45">
        <v>0.65379999999999994</v>
      </c>
    </row>
    <row r="25" spans="1:3" ht="15" customHeight="1" x14ac:dyDescent="0.25">
      <c r="B25" s="15" t="s">
        <v>23</v>
      </c>
      <c r="C25" s="45">
        <v>0.23599999999999999</v>
      </c>
    </row>
    <row r="26" spans="1:3" ht="15" customHeight="1" x14ac:dyDescent="0.25">
      <c r="B26" s="15" t="s">
        <v>24</v>
      </c>
      <c r="C26" s="45">
        <v>1.6799999999999999E-2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0.305826683497959</v>
      </c>
    </row>
    <row r="30" spans="1:3" ht="14.25" customHeight="1" x14ac:dyDescent="0.25">
      <c r="B30" s="25" t="s">
        <v>27</v>
      </c>
      <c r="C30" s="99">
        <v>8.0334841914884408E-2</v>
      </c>
    </row>
    <row r="31" spans="1:3" ht="14.25" customHeight="1" x14ac:dyDescent="0.25">
      <c r="B31" s="25" t="s">
        <v>28</v>
      </c>
      <c r="C31" s="99">
        <v>0.12438567345943199</v>
      </c>
    </row>
    <row r="32" spans="1:3" ht="14.25" customHeight="1" x14ac:dyDescent="0.25">
      <c r="B32" s="25" t="s">
        <v>29</v>
      </c>
      <c r="C32" s="99">
        <v>0.48945280112772499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7.6795799999999996</v>
      </c>
    </row>
    <row r="38" spans="1:5" ht="15" customHeight="1" x14ac:dyDescent="0.25">
      <c r="B38" s="11" t="s">
        <v>34</v>
      </c>
      <c r="C38" s="43">
        <v>12.565189999999999</v>
      </c>
      <c r="D38" s="12"/>
      <c r="E38" s="13"/>
    </row>
    <row r="39" spans="1:5" ht="15" customHeight="1" x14ac:dyDescent="0.25">
      <c r="B39" s="11" t="s">
        <v>35</v>
      </c>
      <c r="C39" s="43">
        <v>14.06606</v>
      </c>
      <c r="D39" s="12"/>
      <c r="E39" s="12"/>
    </row>
    <row r="40" spans="1:5" ht="15" customHeight="1" x14ac:dyDescent="0.25">
      <c r="B40" s="11" t="s">
        <v>36</v>
      </c>
      <c r="C40" s="100">
        <v>0.3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5.8695899999999996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5.9385999999999996E-3</v>
      </c>
      <c r="D45" s="12"/>
    </row>
    <row r="46" spans="1:5" ht="15.75" customHeight="1" x14ac:dyDescent="0.25">
      <c r="B46" s="11" t="s">
        <v>41</v>
      </c>
      <c r="C46" s="45">
        <v>6.3809699999999997E-2</v>
      </c>
      <c r="D46" s="12"/>
    </row>
    <row r="47" spans="1:5" ht="15.75" customHeight="1" x14ac:dyDescent="0.25">
      <c r="B47" s="11" t="s">
        <v>42</v>
      </c>
      <c r="C47" s="45">
        <v>7.5353900000000001E-2</v>
      </c>
      <c r="D47" s="12"/>
      <c r="E47" s="13"/>
    </row>
    <row r="48" spans="1:5" ht="15" customHeight="1" x14ac:dyDescent="0.25">
      <c r="B48" s="11" t="s">
        <v>43</v>
      </c>
      <c r="C48" s="46">
        <v>0.85489779999999993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0.59351200000000004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5.2605475999999901E-2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732525</v>
      </c>
      <c r="C2" s="49">
        <v>1678074.5</v>
      </c>
      <c r="D2" s="49">
        <v>2625416.5</v>
      </c>
      <c r="E2" s="49">
        <v>2937205</v>
      </c>
      <c r="F2" s="49">
        <v>1953296</v>
      </c>
      <c r="G2" s="17">
        <f t="shared" ref="G2:G13" si="0">C2+D2+E2+F2</f>
        <v>9193992</v>
      </c>
      <c r="H2" s="17">
        <f t="shared" ref="H2:H13" si="1">(B2 + stillbirth*B2/(1000-stillbirth))/(1-abortion)</f>
        <v>837329.55390356958</v>
      </c>
      <c r="I2" s="17">
        <f t="shared" ref="I2:I13" si="2">G2-H2</f>
        <v>8356662.4460964305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714952</v>
      </c>
      <c r="C3" s="50">
        <v>1727863.5</v>
      </c>
      <c r="D3" s="50">
        <v>2576514.5</v>
      </c>
      <c r="E3" s="50">
        <v>2959064</v>
      </c>
      <c r="F3" s="50">
        <v>2010970.5</v>
      </c>
      <c r="G3" s="17">
        <f t="shared" si="0"/>
        <v>9274412.5</v>
      </c>
      <c r="H3" s="17">
        <f t="shared" si="1"/>
        <v>817242.33196473133</v>
      </c>
      <c r="I3" s="17">
        <f t="shared" si="2"/>
        <v>8457170.1680352688</v>
      </c>
    </row>
    <row r="4" spans="1:9" ht="15.75" customHeight="1" x14ac:dyDescent="0.25">
      <c r="A4" s="5">
        <f t="shared" si="3"/>
        <v>2026</v>
      </c>
      <c r="B4" s="49">
        <v>698119</v>
      </c>
      <c r="C4" s="50">
        <v>1772315</v>
      </c>
      <c r="D4" s="50">
        <v>2541203</v>
      </c>
      <c r="E4" s="50">
        <v>2963134.5</v>
      </c>
      <c r="F4" s="50">
        <v>2076009.5</v>
      </c>
      <c r="G4" s="17">
        <f t="shared" si="0"/>
        <v>9352662</v>
      </c>
      <c r="H4" s="17">
        <f t="shared" si="1"/>
        <v>798000.9840505186</v>
      </c>
      <c r="I4" s="17">
        <f t="shared" si="2"/>
        <v>8554661.0159494821</v>
      </c>
    </row>
    <row r="5" spans="1:9" ht="15.75" customHeight="1" x14ac:dyDescent="0.25">
      <c r="A5" s="5">
        <f t="shared" si="3"/>
        <v>2027</v>
      </c>
      <c r="B5" s="49">
        <v>684830</v>
      </c>
      <c r="C5" s="50">
        <v>1811713.5</v>
      </c>
      <c r="D5" s="50">
        <v>2530522.5</v>
      </c>
      <c r="E5" s="50">
        <v>2949002</v>
      </c>
      <c r="F5" s="50">
        <v>2147697</v>
      </c>
      <c r="G5" s="17">
        <f t="shared" si="0"/>
        <v>9438935</v>
      </c>
      <c r="H5" s="17">
        <f t="shared" si="1"/>
        <v>782810.68687045702</v>
      </c>
      <c r="I5" s="17">
        <f t="shared" si="2"/>
        <v>8656124.3131295424</v>
      </c>
    </row>
    <row r="6" spans="1:9" ht="15.75" customHeight="1" x14ac:dyDescent="0.25">
      <c r="A6" s="5">
        <f t="shared" si="3"/>
        <v>2028</v>
      </c>
      <c r="B6" s="49">
        <v>678347</v>
      </c>
      <c r="C6" s="50">
        <v>1847655</v>
      </c>
      <c r="D6" s="50">
        <v>2549681</v>
      </c>
      <c r="E6" s="50">
        <v>2920168.5</v>
      </c>
      <c r="F6" s="50">
        <v>2222669.5</v>
      </c>
      <c r="G6" s="17">
        <f t="shared" si="0"/>
        <v>9540174</v>
      </c>
      <c r="H6" s="17">
        <f t="shared" si="1"/>
        <v>775400.14457093575</v>
      </c>
      <c r="I6" s="17">
        <f t="shared" si="2"/>
        <v>8764773.8554290645</v>
      </c>
    </row>
    <row r="7" spans="1:9" ht="15.75" customHeight="1" x14ac:dyDescent="0.25">
      <c r="A7" s="5">
        <f t="shared" si="3"/>
        <v>2029</v>
      </c>
      <c r="B7" s="49">
        <v>672981</v>
      </c>
      <c r="C7" s="50">
        <v>1882559</v>
      </c>
      <c r="D7" s="50">
        <v>2592138</v>
      </c>
      <c r="E7" s="50">
        <v>2879461</v>
      </c>
      <c r="F7" s="50">
        <v>2292972</v>
      </c>
      <c r="G7" s="17">
        <f t="shared" si="0"/>
        <v>9647130</v>
      </c>
      <c r="H7" s="17">
        <f t="shared" si="1"/>
        <v>769266.4148193961</v>
      </c>
      <c r="I7" s="17">
        <f t="shared" si="2"/>
        <v>8877863.585180603</v>
      </c>
    </row>
    <row r="8" spans="1:9" ht="15.75" customHeight="1" x14ac:dyDescent="0.25">
      <c r="A8" s="5">
        <f t="shared" si="3"/>
        <v>2030</v>
      </c>
      <c r="B8" s="49">
        <v>671944</v>
      </c>
      <c r="C8" s="50">
        <v>1919143</v>
      </c>
      <c r="D8" s="50">
        <v>2644051</v>
      </c>
      <c r="E8" s="50">
        <v>2827141.5</v>
      </c>
      <c r="F8" s="50">
        <v>2356372.5</v>
      </c>
      <c r="G8" s="17">
        <f t="shared" si="0"/>
        <v>9746708</v>
      </c>
      <c r="H8" s="17">
        <f t="shared" si="1"/>
        <v>768081.04811191442</v>
      </c>
      <c r="I8" s="17">
        <f t="shared" si="2"/>
        <v>8978626.9518880863</v>
      </c>
    </row>
    <row r="9" spans="1:9" ht="15.75" customHeight="1" x14ac:dyDescent="0.25">
      <c r="A9" s="5">
        <f t="shared" si="3"/>
        <v>2031</v>
      </c>
      <c r="B9" s="49">
        <v>668197</v>
      </c>
      <c r="C9" s="50">
        <v>1958617.5</v>
      </c>
      <c r="D9" s="50">
        <v>2696658.5</v>
      </c>
      <c r="E9" s="50">
        <v>2765324</v>
      </c>
      <c r="F9" s="50">
        <v>2419521.5</v>
      </c>
      <c r="G9" s="17">
        <f t="shared" si="0"/>
        <v>9840121.5</v>
      </c>
      <c r="H9" s="17">
        <f t="shared" si="1"/>
        <v>763797.95355749433</v>
      </c>
      <c r="I9" s="17">
        <f t="shared" si="2"/>
        <v>9076323.546442505</v>
      </c>
    </row>
    <row r="10" spans="1:9" ht="15.75" customHeight="1" x14ac:dyDescent="0.25">
      <c r="A10" s="5">
        <f t="shared" si="3"/>
        <v>2032</v>
      </c>
      <c r="B10" s="49">
        <v>664696</v>
      </c>
      <c r="C10" s="50">
        <v>2009074.5</v>
      </c>
      <c r="D10" s="50">
        <v>2750849.5</v>
      </c>
      <c r="E10" s="50">
        <v>2702334</v>
      </c>
      <c r="F10" s="50">
        <v>2484054</v>
      </c>
      <c r="G10" s="17">
        <f t="shared" si="0"/>
        <v>9946312</v>
      </c>
      <c r="H10" s="17">
        <f t="shared" si="1"/>
        <v>759796.05496261152</v>
      </c>
      <c r="I10" s="17">
        <f t="shared" si="2"/>
        <v>9186515.9450373892</v>
      </c>
    </row>
    <row r="11" spans="1:9" ht="15.75" customHeight="1" x14ac:dyDescent="0.25">
      <c r="A11" s="5">
        <f t="shared" si="3"/>
        <v>2033</v>
      </c>
      <c r="B11" s="49">
        <v>667198</v>
      </c>
      <c r="C11" s="50">
        <v>2068905.5</v>
      </c>
      <c r="D11" s="50">
        <v>2815605.5</v>
      </c>
      <c r="E11" s="50">
        <v>2640574.5</v>
      </c>
      <c r="F11" s="50">
        <v>2541504</v>
      </c>
      <c r="G11" s="17">
        <f t="shared" si="0"/>
        <v>10066589.5</v>
      </c>
      <c r="H11" s="17">
        <f t="shared" si="1"/>
        <v>762656.02362425008</v>
      </c>
      <c r="I11" s="17">
        <f t="shared" si="2"/>
        <v>9303933.4763757493</v>
      </c>
    </row>
    <row r="12" spans="1:9" ht="15.75" customHeight="1" x14ac:dyDescent="0.25">
      <c r="A12" s="5">
        <f t="shared" si="3"/>
        <v>2034</v>
      </c>
      <c r="B12" s="49">
        <v>669130</v>
      </c>
      <c r="C12" s="50">
        <v>2129417.5</v>
      </c>
      <c r="D12" s="50">
        <v>2892515.5</v>
      </c>
      <c r="E12" s="50">
        <v>2583608.5</v>
      </c>
      <c r="F12" s="50">
        <v>2584338</v>
      </c>
      <c r="G12" s="17">
        <f t="shared" si="0"/>
        <v>10189879.5</v>
      </c>
      <c r="H12" s="17">
        <f t="shared" si="1"/>
        <v>764864.4406723259</v>
      </c>
      <c r="I12" s="17">
        <f t="shared" si="2"/>
        <v>9425015.0593276732</v>
      </c>
    </row>
    <row r="13" spans="1:9" ht="15.75" customHeight="1" x14ac:dyDescent="0.25">
      <c r="A13" s="5">
        <f t="shared" si="3"/>
        <v>2035</v>
      </c>
      <c r="B13" s="49">
        <v>671915</v>
      </c>
      <c r="C13" s="50">
        <v>2180307</v>
      </c>
      <c r="D13" s="50">
        <v>2975157.5</v>
      </c>
      <c r="E13" s="50">
        <v>2535472.5</v>
      </c>
      <c r="F13" s="50">
        <v>2610650</v>
      </c>
      <c r="G13" s="17">
        <f t="shared" si="0"/>
        <v>10301587</v>
      </c>
      <c r="H13" s="17">
        <f t="shared" si="1"/>
        <v>768047.89899473323</v>
      </c>
      <c r="I13" s="17">
        <f t="shared" si="2"/>
        <v>9533539.1010052674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4.4007592784674611E-4</v>
      </c>
    </row>
    <row r="4" spans="1:8" ht="15.75" customHeight="1" x14ac:dyDescent="0.25">
      <c r="B4" s="19" t="s">
        <v>69</v>
      </c>
      <c r="C4" s="101">
        <v>5.7395460468312433E-2</v>
      </c>
    </row>
    <row r="5" spans="1:8" ht="15.75" customHeight="1" x14ac:dyDescent="0.25">
      <c r="B5" s="19" t="s">
        <v>70</v>
      </c>
      <c r="C5" s="101">
        <v>4.4677456143148997E-2</v>
      </c>
    </row>
    <row r="6" spans="1:8" ht="15.75" customHeight="1" x14ac:dyDescent="0.25">
      <c r="B6" s="19" t="s">
        <v>71</v>
      </c>
      <c r="C6" s="101">
        <v>0.17366390058463799</v>
      </c>
    </row>
    <row r="7" spans="1:8" ht="15.75" customHeight="1" x14ac:dyDescent="0.25">
      <c r="B7" s="19" t="s">
        <v>72</v>
      </c>
      <c r="C7" s="101">
        <v>0.43792874529763209</v>
      </c>
    </row>
    <row r="8" spans="1:8" ht="15.75" customHeight="1" x14ac:dyDescent="0.25">
      <c r="B8" s="19" t="s">
        <v>73</v>
      </c>
      <c r="C8" s="101">
        <v>5.1597177634383427E-5</v>
      </c>
    </row>
    <row r="9" spans="1:8" ht="15.75" customHeight="1" x14ac:dyDescent="0.25">
      <c r="B9" s="19" t="s">
        <v>74</v>
      </c>
      <c r="C9" s="101">
        <v>0.2093974459597063</v>
      </c>
    </row>
    <row r="10" spans="1:8" ht="15.75" customHeight="1" x14ac:dyDescent="0.25">
      <c r="B10" s="19" t="s">
        <v>75</v>
      </c>
      <c r="C10" s="101">
        <v>7.6445318441081156E-2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5.764566260160673E-2</v>
      </c>
      <c r="D14" s="55">
        <v>5.764566260160673E-2</v>
      </c>
      <c r="E14" s="55">
        <v>5.764566260160673E-2</v>
      </c>
      <c r="F14" s="55">
        <v>5.764566260160673E-2</v>
      </c>
    </row>
    <row r="15" spans="1:8" ht="15.75" customHeight="1" x14ac:dyDescent="0.25">
      <c r="B15" s="19" t="s">
        <v>82</v>
      </c>
      <c r="C15" s="101">
        <v>0.36879511464592329</v>
      </c>
      <c r="D15" s="101">
        <v>0.36879511464592329</v>
      </c>
      <c r="E15" s="101">
        <v>0.36879511464592329</v>
      </c>
      <c r="F15" s="101">
        <v>0.36879511464592329</v>
      </c>
    </row>
    <row r="16" spans="1:8" ht="15.75" customHeight="1" x14ac:dyDescent="0.25">
      <c r="B16" s="19" t="s">
        <v>83</v>
      </c>
      <c r="C16" s="101">
        <v>2.4413339123503991E-2</v>
      </c>
      <c r="D16" s="101">
        <v>2.4413339123503991E-2</v>
      </c>
      <c r="E16" s="101">
        <v>2.4413339123503991E-2</v>
      </c>
      <c r="F16" s="101">
        <v>2.4413339123503991E-2</v>
      </c>
    </row>
    <row r="17" spans="1:8" ht="15.75" customHeight="1" x14ac:dyDescent="0.25">
      <c r="B17" s="19" t="s">
        <v>84</v>
      </c>
      <c r="C17" s="101">
        <v>2.4697229962766711E-4</v>
      </c>
      <c r="D17" s="101">
        <v>2.4697229962766711E-4</v>
      </c>
      <c r="E17" s="101">
        <v>2.4697229962766711E-4</v>
      </c>
      <c r="F17" s="101">
        <v>2.4697229962766711E-4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5.9231523023368969E-3</v>
      </c>
      <c r="D19" s="101">
        <v>5.9231523023368969E-3</v>
      </c>
      <c r="E19" s="101">
        <v>5.9231523023368969E-3</v>
      </c>
      <c r="F19" s="101">
        <v>5.9231523023368969E-3</v>
      </c>
    </row>
    <row r="20" spans="1:8" ht="15.75" customHeight="1" x14ac:dyDescent="0.25">
      <c r="B20" s="19" t="s">
        <v>87</v>
      </c>
      <c r="C20" s="101">
        <v>9.0116220308402023E-2</v>
      </c>
      <c r="D20" s="101">
        <v>9.0116220308402023E-2</v>
      </c>
      <c r="E20" s="101">
        <v>9.0116220308402023E-2</v>
      </c>
      <c r="F20" s="101">
        <v>9.0116220308402023E-2</v>
      </c>
    </row>
    <row r="21" spans="1:8" ht="15.75" customHeight="1" x14ac:dyDescent="0.25">
      <c r="B21" s="19" t="s">
        <v>88</v>
      </c>
      <c r="C21" s="101">
        <v>0.31442374459401951</v>
      </c>
      <c r="D21" s="101">
        <v>0.31442374459401951</v>
      </c>
      <c r="E21" s="101">
        <v>0.31442374459401951</v>
      </c>
      <c r="F21" s="101">
        <v>0.31442374459401951</v>
      </c>
    </row>
    <row r="22" spans="1:8" ht="15.75" customHeight="1" x14ac:dyDescent="0.25">
      <c r="B22" s="19" t="s">
        <v>89</v>
      </c>
      <c r="C22" s="101">
        <v>0.1384357941245801</v>
      </c>
      <c r="D22" s="101">
        <v>0.1384357941245801</v>
      </c>
      <c r="E22" s="101">
        <v>0.1384357941245801</v>
      </c>
      <c r="F22" s="101">
        <v>0.1384357941245801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6.9449472999999998E-2</v>
      </c>
    </row>
    <row r="27" spans="1:8" ht="15.75" customHeight="1" x14ac:dyDescent="0.25">
      <c r="B27" s="19" t="s">
        <v>92</v>
      </c>
      <c r="C27" s="101">
        <v>2.9846799E-2</v>
      </c>
    </row>
    <row r="28" spans="1:8" ht="15.75" customHeight="1" x14ac:dyDescent="0.25">
      <c r="B28" s="19" t="s">
        <v>93</v>
      </c>
      <c r="C28" s="101">
        <v>7.5538350000000004E-2</v>
      </c>
    </row>
    <row r="29" spans="1:8" ht="15.75" customHeight="1" x14ac:dyDescent="0.25">
      <c r="B29" s="19" t="s">
        <v>94</v>
      </c>
      <c r="C29" s="101">
        <v>0.20332114100000001</v>
      </c>
    </row>
    <row r="30" spans="1:8" ht="15.75" customHeight="1" x14ac:dyDescent="0.25">
      <c r="B30" s="19" t="s">
        <v>95</v>
      </c>
      <c r="C30" s="101">
        <v>4.5681777999999999E-2</v>
      </c>
    </row>
    <row r="31" spans="1:8" ht="15.75" customHeight="1" x14ac:dyDescent="0.25">
      <c r="B31" s="19" t="s">
        <v>96</v>
      </c>
      <c r="C31" s="101">
        <v>1.9566962E-2</v>
      </c>
    </row>
    <row r="32" spans="1:8" ht="15.75" customHeight="1" x14ac:dyDescent="0.25">
      <c r="B32" s="19" t="s">
        <v>97</v>
      </c>
      <c r="C32" s="101">
        <v>8.5306862999999997E-2</v>
      </c>
    </row>
    <row r="33" spans="2:3" ht="15.75" customHeight="1" x14ac:dyDescent="0.25">
      <c r="B33" s="19" t="s">
        <v>98</v>
      </c>
      <c r="C33" s="101">
        <v>0.392452888</v>
      </c>
    </row>
    <row r="34" spans="2:3" ht="15.75" customHeight="1" x14ac:dyDescent="0.25">
      <c r="B34" s="19" t="s">
        <v>99</v>
      </c>
      <c r="C34" s="101">
        <v>7.8835746999999998E-2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0.75765132796850709</v>
      </c>
      <c r="D2" s="52">
        <f>IFERROR(1-_xlfn.NORM.DIST(_xlfn.NORM.INV(SUM(D4:D5), 0, 1) + 1, 0, 1, TRUE), "")</f>
        <v>0.75765132796850709</v>
      </c>
      <c r="E2" s="52">
        <f>IFERROR(1-_xlfn.NORM.DIST(_xlfn.NORM.INV(SUM(E4:E5), 0, 1) + 1, 0, 1, TRUE), "")</f>
        <v>0.84134937098361795</v>
      </c>
      <c r="F2" s="52">
        <f>IFERROR(1-_xlfn.NORM.DIST(_xlfn.NORM.INV(SUM(F4:F5), 0, 1) + 1, 0, 1, TRUE), "")</f>
        <v>0.69808734986810583</v>
      </c>
      <c r="G2" s="52">
        <f>IFERROR(1-_xlfn.NORM.DIST(_xlfn.NORM.INV(SUM(G4:G5), 0, 1) + 1, 0, 1, TRUE), "")</f>
        <v>0.66053563833455031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0.19766717203149292</v>
      </c>
      <c r="D3" s="52">
        <f>IFERROR(_xlfn.NORM.DIST(_xlfn.NORM.INV(SUM(D4:D5), 0, 1) + 1, 0, 1, TRUE) - SUM(D4:D5), "")</f>
        <v>0.19766717203149292</v>
      </c>
      <c r="E3" s="52">
        <f>IFERROR(_xlfn.NORM.DIST(_xlfn.NORM.INV(SUM(E4:E5), 0, 1) + 1, 0, 1, TRUE) - SUM(E4:E5), "")</f>
        <v>0.13590152901638203</v>
      </c>
      <c r="F3" s="52">
        <f>IFERROR(_xlfn.NORM.DIST(_xlfn.NORM.INV(SUM(F4:F5), 0, 1) + 1, 0, 1, TRUE) - SUM(F4:F5), "")</f>
        <v>0.23751975013189416</v>
      </c>
      <c r="G3" s="52">
        <f>IFERROR(_xlfn.NORM.DIST(_xlfn.NORM.INV(SUM(G4:G5), 0, 1) + 1, 0, 1, TRUE) - SUM(G4:G5), "")</f>
        <v>0.26077246166544965</v>
      </c>
    </row>
    <row r="4" spans="1:15" ht="15.75" customHeight="1" x14ac:dyDescent="0.25">
      <c r="B4" s="5" t="s">
        <v>104</v>
      </c>
      <c r="C4" s="45">
        <v>3.5156E-2</v>
      </c>
      <c r="D4" s="53">
        <v>3.5156E-2</v>
      </c>
      <c r="E4" s="53">
        <v>9.1557999999999987E-3</v>
      </c>
      <c r="F4" s="53">
        <v>4.33821E-2</v>
      </c>
      <c r="G4" s="53">
        <v>6.2159000000000013E-2</v>
      </c>
    </row>
    <row r="5" spans="1:15" ht="15.75" customHeight="1" x14ac:dyDescent="0.25">
      <c r="B5" s="5" t="s">
        <v>105</v>
      </c>
      <c r="C5" s="45">
        <v>9.5254999999999992E-3</v>
      </c>
      <c r="D5" s="53">
        <v>9.5254999999999992E-3</v>
      </c>
      <c r="E5" s="53">
        <v>1.3593299999999999E-2</v>
      </c>
      <c r="F5" s="53">
        <v>2.10108E-2</v>
      </c>
      <c r="G5" s="53">
        <v>1.65329E-2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0.57494409810404734</v>
      </c>
      <c r="D8" s="52">
        <f>IFERROR(1-_xlfn.NORM.DIST(_xlfn.NORM.INV(SUM(D10:D11), 0, 1) + 1, 0, 1, TRUE), "")</f>
        <v>0.57494409810404734</v>
      </c>
      <c r="E8" s="52">
        <f>IFERROR(1-_xlfn.NORM.DIST(_xlfn.NORM.INV(SUM(E10:E11), 0, 1) + 1, 0, 1, TRUE), "")</f>
        <v>0.8071329654504702</v>
      </c>
      <c r="F8" s="52">
        <f>IFERROR(1-_xlfn.NORM.DIST(_xlfn.NORM.INV(SUM(F10:F11), 0, 1) + 1, 0, 1, TRUE), "")</f>
        <v>0.91760446438558874</v>
      </c>
      <c r="G8" s="52">
        <f>IFERROR(1-_xlfn.NORM.DIST(_xlfn.NORM.INV(SUM(G10:G11), 0, 1) + 1, 0, 1, TRUE), "")</f>
        <v>0.89121309206922394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0.30783130189595265</v>
      </c>
      <c r="D9" s="52">
        <f>IFERROR(_xlfn.NORM.DIST(_xlfn.NORM.INV(SUM(D10:D11), 0, 1) + 1, 0, 1, TRUE) - SUM(D10:D11), "")</f>
        <v>0.30783130189595265</v>
      </c>
      <c r="E9" s="52">
        <f>IFERROR(_xlfn.NORM.DIST(_xlfn.NORM.INV(SUM(E10:E11), 0, 1) + 1, 0, 1, TRUE) - SUM(E10:E11), "")</f>
        <v>0.16194273454952973</v>
      </c>
      <c r="F9" s="52">
        <f>IFERROR(_xlfn.NORM.DIST(_xlfn.NORM.INV(SUM(F10:F11), 0, 1) + 1, 0, 1, TRUE) - SUM(F10:F11), "")</f>
        <v>7.3951535614411285E-2</v>
      </c>
      <c r="G9" s="52">
        <f>IFERROR(_xlfn.NORM.DIST(_xlfn.NORM.INV(SUM(G10:G11), 0, 1) + 1, 0, 1, TRUE) - SUM(G10:G11), "")</f>
        <v>9.6012607930776053E-2</v>
      </c>
    </row>
    <row r="10" spans="1:15" ht="15.75" customHeight="1" x14ac:dyDescent="0.25">
      <c r="B10" s="5" t="s">
        <v>109</v>
      </c>
      <c r="C10" s="45">
        <v>5.5227199999999997E-2</v>
      </c>
      <c r="D10" s="53">
        <v>5.5227199999999997E-2</v>
      </c>
      <c r="E10" s="53">
        <v>1.86021E-2</v>
      </c>
      <c r="F10" s="53">
        <v>5.7038999999999996E-3</v>
      </c>
      <c r="G10" s="53">
        <v>7.8141000000000009E-3</v>
      </c>
    </row>
    <row r="11" spans="1:15" ht="15.75" customHeight="1" x14ac:dyDescent="0.25">
      <c r="B11" s="5" t="s">
        <v>110</v>
      </c>
      <c r="C11" s="45">
        <v>6.1997400000000001E-2</v>
      </c>
      <c r="D11" s="53">
        <v>6.1997400000000001E-2</v>
      </c>
      <c r="E11" s="53">
        <v>1.23222E-2</v>
      </c>
      <c r="F11" s="53">
        <v>2.7401000000000001E-3</v>
      </c>
      <c r="G11" s="53">
        <v>4.9602000000000014E-3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0.57191562900000004</v>
      </c>
      <c r="D14" s="54">
        <v>0.54790967291399995</v>
      </c>
      <c r="E14" s="54">
        <v>0.54790967291399995</v>
      </c>
      <c r="F14" s="54">
        <v>0.52659723782500001</v>
      </c>
      <c r="G14" s="54">
        <v>0.52659723782500001</v>
      </c>
      <c r="H14" s="45">
        <v>0.249</v>
      </c>
      <c r="I14" s="55">
        <v>0.249</v>
      </c>
      <c r="J14" s="55">
        <v>0.249</v>
      </c>
      <c r="K14" s="55">
        <v>0.249</v>
      </c>
      <c r="L14" s="45">
        <v>0.36799999999999999</v>
      </c>
      <c r="M14" s="55">
        <v>0.36799999999999999</v>
      </c>
      <c r="N14" s="55">
        <v>0.36799999999999999</v>
      </c>
      <c r="O14" s="55">
        <v>0.36799999999999999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0.33943878879904804</v>
      </c>
      <c r="D15" s="52">
        <f t="shared" si="0"/>
        <v>0.32519096579053397</v>
      </c>
      <c r="E15" s="52">
        <f t="shared" si="0"/>
        <v>0.32519096579053397</v>
      </c>
      <c r="F15" s="52">
        <f t="shared" si="0"/>
        <v>0.31254177981599141</v>
      </c>
      <c r="G15" s="52">
        <f t="shared" si="0"/>
        <v>0.31254177981599141</v>
      </c>
      <c r="H15" s="52">
        <f t="shared" si="0"/>
        <v>0.14778448800000002</v>
      </c>
      <c r="I15" s="52">
        <f t="shared" si="0"/>
        <v>0.14778448800000002</v>
      </c>
      <c r="J15" s="52">
        <f t="shared" si="0"/>
        <v>0.14778448800000002</v>
      </c>
      <c r="K15" s="52">
        <f t="shared" si="0"/>
        <v>0.14778448800000002</v>
      </c>
      <c r="L15" s="52">
        <f t="shared" si="0"/>
        <v>0.218412416</v>
      </c>
      <c r="M15" s="52">
        <f t="shared" si="0"/>
        <v>0.218412416</v>
      </c>
      <c r="N15" s="52">
        <f t="shared" si="0"/>
        <v>0.218412416</v>
      </c>
      <c r="O15" s="52">
        <f t="shared" si="0"/>
        <v>0.218412416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0.38405719999999999</v>
      </c>
      <c r="D2" s="53">
        <v>0.2368297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0.26003510000000002</v>
      </c>
      <c r="D3" s="53">
        <v>0.27036789999999999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0.33245069999999999</v>
      </c>
      <c r="D4" s="53">
        <v>0.39943759999999989</v>
      </c>
      <c r="E4" s="53">
        <v>0.8590527</v>
      </c>
      <c r="F4" s="53">
        <v>0.64502399999999993</v>
      </c>
      <c r="G4" s="53">
        <v>0</v>
      </c>
    </row>
    <row r="5" spans="1:7" x14ac:dyDescent="0.25">
      <c r="B5" s="3" t="s">
        <v>122</v>
      </c>
      <c r="C5" s="52">
        <v>2.3456899999999999E-2</v>
      </c>
      <c r="D5" s="52">
        <v>9.3364799999999998E-2</v>
      </c>
      <c r="E5" s="52">
        <f>1-SUM(E2:E4)</f>
        <v>0.1409473</v>
      </c>
      <c r="F5" s="52">
        <f>1-SUM(F2:F4)</f>
        <v>0.35497600000000007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45.059697708734632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42.681515161267903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211.06677542197349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7.2395987071572607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13.699227061288489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13.699227061288489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13.699227061288489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13.699227061288489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13.699227061288489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13.699227061288489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0.43846979913857109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0.76225600000000004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0.2368297</v>
      </c>
      <c r="C18" s="98">
        <v>0.95</v>
      </c>
      <c r="D18" s="56">
        <v>4.9270454148954128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0.2368297</v>
      </c>
      <c r="C19" s="98">
        <v>0.95</v>
      </c>
      <c r="D19" s="56">
        <v>4.9270454148954128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78.708084515042287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23.463764774460952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4.5607388970998564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0.70884126301032002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19.698516154118199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0.67195470000000002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0.56111960000000005</v>
      </c>
      <c r="C29" s="98">
        <v>0.95</v>
      </c>
      <c r="D29" s="56">
        <v>84.046606343271279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1.310082435231509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0.99</v>
      </c>
      <c r="C32" s="98">
        <v>0.95</v>
      </c>
      <c r="D32" s="56">
        <v>0.90679548983180225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0.8162645999999999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0.7434151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5.2288500000000002E-2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0.72948809999999997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0.1601621</v>
      </c>
      <c r="C38" s="98">
        <v>0.95</v>
      </c>
      <c r="D38" s="56">
        <v>1.362241488981754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0.14359072000000001</v>
      </c>
      <c r="C3" s="21">
        <f>frac_mam_1_5months * 2.6</f>
        <v>0.14359072000000001</v>
      </c>
      <c r="D3" s="21">
        <f>frac_mam_6_11months * 2.6</f>
        <v>4.8365459999999999E-2</v>
      </c>
      <c r="E3" s="21">
        <f>frac_mam_12_23months * 2.6</f>
        <v>1.4830139999999999E-2</v>
      </c>
      <c r="F3" s="21">
        <f>frac_mam_24_59months * 2.6</f>
        <v>2.0316660000000004E-2</v>
      </c>
    </row>
    <row r="4" spans="1:6" ht="15.75" customHeight="1" x14ac:dyDescent="0.25">
      <c r="A4" s="3" t="s">
        <v>205</v>
      </c>
      <c r="B4" s="21">
        <f>frac_sam_1month * 2.6</f>
        <v>0.16119324000000002</v>
      </c>
      <c r="C4" s="21">
        <f>frac_sam_1_5months * 2.6</f>
        <v>0.16119324000000002</v>
      </c>
      <c r="D4" s="21">
        <f>frac_sam_6_11months * 2.6</f>
        <v>3.2037719999999999E-2</v>
      </c>
      <c r="E4" s="21">
        <f>frac_sam_12_23months * 2.6</f>
        <v>7.1242600000000003E-3</v>
      </c>
      <c r="F4" s="21">
        <f>frac_sam_24_59months * 2.6</f>
        <v>1.2896520000000003E-2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0.621</v>
      </c>
      <c r="E2" s="60">
        <f>food_insecure</f>
        <v>0.621</v>
      </c>
      <c r="F2" s="60">
        <f>food_insecure</f>
        <v>0.621</v>
      </c>
      <c r="G2" s="60">
        <f>food_insecure</f>
        <v>0.621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0.621</v>
      </c>
      <c r="F5" s="60">
        <f>food_insecure</f>
        <v>0.621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0.621</v>
      </c>
      <c r="F8" s="60">
        <f>food_insecure</f>
        <v>0.621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0.621</v>
      </c>
      <c r="F9" s="60">
        <f>food_insecure</f>
        <v>0.621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0.621</v>
      </c>
      <c r="I15" s="60">
        <f>food_insecure</f>
        <v>0.621</v>
      </c>
      <c r="J15" s="60">
        <f>food_insecure</f>
        <v>0.621</v>
      </c>
      <c r="K15" s="60">
        <f>food_insecure</f>
        <v>0.621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6.1783458281707934E-2</v>
      </c>
      <c r="M25" s="60">
        <f>(1-food_insecure)*(0.49)+food_insecure*(0.7)</f>
        <v>0.62040999999999991</v>
      </c>
      <c r="N25" s="60">
        <f>(1-food_insecure)*(0.49)+food_insecure*(0.7)</f>
        <v>0.62040999999999991</v>
      </c>
      <c r="O25" s="60">
        <f>(1-food_insecure)*(0.49)+food_insecure*(0.7)</f>
        <v>0.62040999999999991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2.6478624977874829E-2</v>
      </c>
      <c r="M26" s="60">
        <f>(1-food_insecure)*(0.21)+food_insecure*(0.3)</f>
        <v>0.26588999999999996</v>
      </c>
      <c r="N26" s="60">
        <f>(1-food_insecure)*(0.21)+food_insecure*(0.3)</f>
        <v>0.26588999999999996</v>
      </c>
      <c r="O26" s="60">
        <f>(1-food_insecure)*(0.21)+food_insecure*(0.3)</f>
        <v>0.26588999999999996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1.13228013839722E-2</v>
      </c>
      <c r="M27" s="60">
        <f>(1-food_insecure)*(0.3)</f>
        <v>0.1137</v>
      </c>
      <c r="N27" s="60">
        <f>(1-food_insecure)*(0.3)</f>
        <v>0.1137</v>
      </c>
      <c r="O27" s="60">
        <f>(1-food_insecure)*(0.3)</f>
        <v>0.1137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0.90041511535644503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0.1087920192721864</v>
      </c>
      <c r="G18" s="90">
        <f>MIN(MAX(1-0.89/(1-frac_sam_12_23months+(frac_sam_12_23months*0.89)),0),1)</f>
        <v>0.10973166333037598</v>
      </c>
      <c r="H18" s="90">
        <f>MIN(MAX(1-0.89/(1-frac_sam_24_59months+(frac_sam_24_59months*0.89)),0),1)</f>
        <v>0.10951413131935872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0.108175120284555</v>
      </c>
      <c r="G20" s="90">
        <f>MIN(MAX(1-0.89/(1-frac_mam_12_23months+(frac_mam_12_23months*0.89)),0),1)</f>
        <v>0.10944123760627</v>
      </c>
      <c r="H20" s="90">
        <f>MIN(MAX(1-0.89/(1-frac_mam_24_59months+(frac_mam_24_59months*0.89)),0),1)</f>
        <v>0.10923434148745981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9.8779951863229298E-3</v>
      </c>
      <c r="G73" s="90">
        <f>MIN(MAX(1-0.99/(1-frac_sam_12_23months+(frac_sam_12_23months*0.99)),0),1)</f>
        <v>9.972872266672983E-3</v>
      </c>
      <c r="H73" s="90">
        <f>MIN(MAX(1-0.99/(1-frac_sam_24_59months+(frac_sam_24_59months*0.99)),0),1)</f>
        <v>9.9508915841244328E-3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9.8158049458518803E-3</v>
      </c>
      <c r="G75" s="90">
        <f>MIN(MAX(1-0.99/(1-frac_mam_12_23months+(frac_mam_12_23months*0.99)),0),1)</f>
        <v>9.943528168903204E-3</v>
      </c>
      <c r="H75" s="90">
        <f>MIN(MAX(1-0.99/(1-frac_mam_24_59months+(frac_mam_24_59months*0.99)),0),1)</f>
        <v>9.9226343645718584E-3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0.19802357722465558</v>
      </c>
      <c r="G128" s="90">
        <f>MIN(MAX(1-0.8/(1-frac_sam_12_23months+(frac_sam_12_23months*0.8)),0),1)</f>
        <v>0.19956134360752376</v>
      </c>
      <c r="H128" s="90">
        <f>MIN(MAX(1-0.8/(1-frac_sam_24_59months+(frac_sam_24_59months*0.8)),0),1)</f>
        <v>0.19920557990348742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0.19701254942914714</v>
      </c>
      <c r="G130" s="90">
        <f>MIN(MAX(1-0.8/(1-frac_mam_12_23months+(frac_mam_12_23months*0.8)),0),1)</f>
        <v>0.19908633370776718</v>
      </c>
      <c r="H130" s="90">
        <f>MIN(MAX(1-0.8/(1-frac_mam_24_59months+(frac_mam_24_59months*0.8)),0),1)</f>
        <v>0.19874778701650508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2024-08-06T06:32:32Z</dcterms:modified>
</cp:coreProperties>
</file>