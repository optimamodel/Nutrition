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F41251B-923F-4EDB-8798-00404F528CEE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A40" i="2"/>
  <c r="I39" i="2"/>
  <c r="H39" i="2"/>
  <c r="G39" i="2"/>
  <c r="I38" i="2"/>
  <c r="H38" i="2"/>
  <c r="G38" i="2"/>
  <c r="A37" i="2"/>
  <c r="A33" i="2"/>
  <c r="A29" i="2"/>
  <c r="A25" i="2"/>
  <c r="A21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H4" i="2"/>
  <c r="I4" i="2" s="1"/>
  <c r="G4" i="2"/>
  <c r="I3" i="2"/>
  <c r="H3" i="2"/>
  <c r="G3" i="2"/>
  <c r="A3" i="2"/>
  <c r="H2" i="2"/>
  <c r="I2" i="2" s="1"/>
  <c r="G2" i="2"/>
  <c r="A2" i="2"/>
  <c r="A34" i="2" s="1"/>
  <c r="C33" i="1"/>
  <c r="C20" i="1"/>
  <c r="A5" i="2" l="1"/>
  <c r="A6" i="2" s="1"/>
  <c r="A7" i="2" s="1"/>
  <c r="A8" i="2" s="1"/>
  <c r="A9" i="2" s="1"/>
  <c r="A10" i="2" s="1"/>
  <c r="A11" i="2" s="1"/>
  <c r="A12" i="2" s="1"/>
  <c r="A13" i="2" s="1"/>
  <c r="A18" i="2"/>
  <c r="A26" i="2"/>
  <c r="A39" i="2"/>
  <c r="A19" i="2"/>
  <c r="A27" i="2"/>
  <c r="A35" i="2"/>
  <c r="A20" i="2"/>
  <c r="A28" i="2"/>
  <c r="A36" i="2"/>
  <c r="A4" i="2"/>
  <c r="A14" i="2"/>
  <c r="A22" i="2"/>
  <c r="A30" i="2"/>
  <c r="A38" i="2"/>
  <c r="A15" i="2"/>
  <c r="A23" i="2"/>
  <c r="A31" i="2"/>
  <c r="A16" i="2"/>
  <c r="A24" i="2"/>
  <c r="A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<sst xmlns="http://schemas.openxmlformats.org/spreadsheetml/2006/main" count="2092" uniqueCount="341">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</sst>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3853603.25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587893.07519999996</v>
      </c>
      <c r="C2" s="49">
        <v>1390000</v>
      </c>
      <c r="D2" s="49">
        <v>2648000</v>
      </c>
      <c r="E2" s="49">
        <v>23000</v>
      </c>
      <c r="F2" s="49">
        <v>16600</v>
      </c>
      <c r="G2" s="17">
        <f t="shared" ref="G2:G13" si="0">C2+D2+E2+F2</f>
        <v>4077600</v>
      </c>
      <c r="H2" s="17">
        <f t="shared" ref="H2:H13" si="1">(B2 + stillbirth*B2/(1000-stillbirth))/(1-abortion)</f>
        <v>672004.70482265262</v>
      </c>
      <c r="I2" s="17">
        <f t="shared" ref="I2:I13" si="2">G2-H2</f>
        <v>3405595.2951773475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574916.54399999999</v>
      </c>
      <c r="C3" s="50">
        <v>1427000</v>
      </c>
      <c r="D3" s="50">
        <v>2599000</v>
      </c>
      <c r="E3" s="50">
        <v>24000</v>
      </c>
      <c r="F3" s="50">
        <v>17200</v>
      </c>
      <c r="G3" s="17">
        <f t="shared" si="0"/>
        <v>4067200</v>
      </c>
      <c r="H3" s="17">
        <f t="shared" si="1"/>
        <v>657171.58229316678</v>
      </c>
      <c r="I3" s="17">
        <f t="shared" si="2"/>
        <v>3410028.4177068332</v>
      </c>
    </row>
    <row r="4" spans="1:9" ht="15.75" customHeight="1" x14ac:dyDescent="0.25">
      <c r="A4" s="5">
        <f t="shared" si="3"/>
        <v>2026</v>
      </c>
      <c r="B4" s="49">
        <v>568791.88800000004</v>
      </c>
      <c r="C4" s="50">
        <v>1458000</v>
      </c>
      <c r="D4" s="50">
        <v>2572000</v>
      </c>
      <c r="E4" s="50">
        <v>24000</v>
      </c>
      <c r="F4" s="50">
        <v>18000</v>
      </c>
      <c r="G4" s="17">
        <f t="shared" si="0"/>
        <v>4072000</v>
      </c>
      <c r="H4" s="17">
        <f t="shared" si="1"/>
        <v>650170.65334699722</v>
      </c>
      <c r="I4" s="17">
        <f t="shared" si="2"/>
        <v>3421829.3466530028</v>
      </c>
    </row>
    <row r="5" spans="1:9" ht="15.75" customHeight="1" x14ac:dyDescent="0.25">
      <c r="A5" s="5">
        <f t="shared" si="3"/>
        <v>2027</v>
      </c>
      <c r="B5" s="49">
        <v>562281.21600000001</v>
      </c>
      <c r="C5" s="50">
        <v>1483000</v>
      </c>
      <c r="D5" s="50">
        <v>2565000</v>
      </c>
      <c r="E5" s="50">
        <v>24000</v>
      </c>
      <c r="F5" s="50">
        <v>18300</v>
      </c>
      <c r="G5" s="17">
        <f t="shared" si="0"/>
        <v>4090300</v>
      </c>
      <c r="H5" s="17">
        <f t="shared" si="1"/>
        <v>642728.47993124684</v>
      </c>
      <c r="I5" s="17">
        <f t="shared" si="2"/>
        <v>3447571.520068753</v>
      </c>
    </row>
    <row r="6" spans="1:9" ht="15.75" customHeight="1" x14ac:dyDescent="0.25">
      <c r="A6" s="5">
        <f t="shared" si="3"/>
        <v>2028</v>
      </c>
      <c r="B6" s="49">
        <v>555412.57200000004</v>
      </c>
      <c r="C6" s="50">
        <v>1500000</v>
      </c>
      <c r="D6" s="50">
        <v>2574000</v>
      </c>
      <c r="E6" s="50">
        <v>24000</v>
      </c>
      <c r="F6" s="50">
        <v>19700</v>
      </c>
      <c r="G6" s="17">
        <f t="shared" si="0"/>
        <v>4117700</v>
      </c>
      <c r="H6" s="17">
        <f t="shared" si="1"/>
        <v>634877.11838530318</v>
      </c>
      <c r="I6" s="17">
        <f t="shared" si="2"/>
        <v>3482822.8816146967</v>
      </c>
    </row>
    <row r="7" spans="1:9" ht="15.75" customHeight="1" x14ac:dyDescent="0.25">
      <c r="A7" s="5">
        <f t="shared" si="3"/>
        <v>2029</v>
      </c>
      <c r="B7" s="49">
        <v>548212.79999999993</v>
      </c>
      <c r="C7" s="50">
        <v>1512000</v>
      </c>
      <c r="D7" s="50">
        <v>2597000</v>
      </c>
      <c r="E7" s="50">
        <v>25000</v>
      </c>
      <c r="F7" s="50">
        <v>20100</v>
      </c>
      <c r="G7" s="17">
        <f t="shared" si="0"/>
        <v>4154100</v>
      </c>
      <c r="H7" s="17">
        <f t="shared" si="1"/>
        <v>626647.25336094573</v>
      </c>
      <c r="I7" s="17">
        <f t="shared" si="2"/>
        <v>3527452.7466390543</v>
      </c>
    </row>
    <row r="8" spans="1:9" ht="15.75" customHeight="1" x14ac:dyDescent="0.25">
      <c r="A8" s="5">
        <f t="shared" si="3"/>
        <v>2030</v>
      </c>
      <c r="B8" s="49">
        <v>540707.54399999999</v>
      </c>
      <c r="C8" s="50">
        <v>1520000</v>
      </c>
      <c r="D8" s="50">
        <v>2631000</v>
      </c>
      <c r="E8" s="50">
        <v>25000</v>
      </c>
      <c r="F8" s="50">
        <v>20600</v>
      </c>
      <c r="G8" s="17">
        <f t="shared" si="0"/>
        <v>4196600</v>
      </c>
      <c r="H8" s="17">
        <f t="shared" si="1"/>
        <v>618068.19782234693</v>
      </c>
      <c r="I8" s="17">
        <f t="shared" si="2"/>
        <v>3578531.8021776532</v>
      </c>
    </row>
    <row r="9" spans="1:9" ht="15.75" customHeight="1" x14ac:dyDescent="0.25">
      <c r="A9" s="5">
        <f t="shared" si="3"/>
        <v>2031</v>
      </c>
      <c r="B9" s="49">
        <v>533966.75382857141</v>
      </c>
      <c r="C9" s="50">
        <v>1538571.4285714291</v>
      </c>
      <c r="D9" s="50">
        <v>2628571.4285714291</v>
      </c>
      <c r="E9" s="50">
        <v>25285.71428571429</v>
      </c>
      <c r="F9" s="50">
        <v>21171.428571428569</v>
      </c>
      <c r="G9" s="17">
        <f t="shared" si="0"/>
        <v>4213600.0000000009</v>
      </c>
      <c r="H9" s="17">
        <f t="shared" si="1"/>
        <v>610362.98253658891</v>
      </c>
      <c r="I9" s="17">
        <f t="shared" si="2"/>
        <v>3603237.0174634121</v>
      </c>
    </row>
    <row r="10" spans="1:9" ht="15.75" customHeight="1" x14ac:dyDescent="0.25">
      <c r="A10" s="5">
        <f t="shared" si="3"/>
        <v>2032</v>
      </c>
      <c r="B10" s="49">
        <v>528116.78380408161</v>
      </c>
      <c r="C10" s="50">
        <v>1554510.2040816329</v>
      </c>
      <c r="D10" s="50">
        <v>2632795.9183673472</v>
      </c>
      <c r="E10" s="50">
        <v>25469.387755102041</v>
      </c>
      <c r="F10" s="50">
        <v>21738.775510204079</v>
      </c>
      <c r="G10" s="17">
        <f t="shared" si="0"/>
        <v>4234514.2857142864</v>
      </c>
      <c r="H10" s="17">
        <f t="shared" si="1"/>
        <v>603676.03971422079</v>
      </c>
      <c r="I10" s="17">
        <f t="shared" si="2"/>
        <v>3630838.2460000655</v>
      </c>
    </row>
    <row r="11" spans="1:9" ht="15.75" customHeight="1" x14ac:dyDescent="0.25">
      <c r="A11" s="5">
        <f t="shared" si="3"/>
        <v>2033</v>
      </c>
      <c r="B11" s="49">
        <v>522306.05463323608</v>
      </c>
      <c r="C11" s="50">
        <v>1568297.376093294</v>
      </c>
      <c r="D11" s="50">
        <v>2641481.0495626819</v>
      </c>
      <c r="E11" s="50">
        <v>25679.300291545191</v>
      </c>
      <c r="F11" s="50">
        <v>22272.886297376099</v>
      </c>
      <c r="G11" s="17">
        <f t="shared" si="0"/>
        <v>4257730.6122448966</v>
      </c>
      <c r="H11" s="17">
        <f t="shared" si="1"/>
        <v>597033.95205239544</v>
      </c>
      <c r="I11" s="17">
        <f t="shared" si="2"/>
        <v>3660696.6601925013</v>
      </c>
    </row>
    <row r="12" spans="1:9" ht="15.75" customHeight="1" x14ac:dyDescent="0.25">
      <c r="A12" s="5">
        <f t="shared" si="3"/>
        <v>2034</v>
      </c>
      <c r="B12" s="49">
        <v>516595.31729512702</v>
      </c>
      <c r="C12" s="50">
        <v>1580482.7155351939</v>
      </c>
      <c r="D12" s="50">
        <v>2652406.9137859228</v>
      </c>
      <c r="E12" s="50">
        <v>25919.200333194509</v>
      </c>
      <c r="F12" s="50">
        <v>22840.441482715541</v>
      </c>
      <c r="G12" s="17">
        <f t="shared" si="0"/>
        <v>4281649.2711370271</v>
      </c>
      <c r="H12" s="17">
        <f t="shared" si="1"/>
        <v>590506.1623554168</v>
      </c>
      <c r="I12" s="17">
        <f t="shared" si="2"/>
        <v>3691143.1087816101</v>
      </c>
    </row>
    <row r="13" spans="1:9" ht="15.75" customHeight="1" x14ac:dyDescent="0.25">
      <c r="A13" s="5">
        <f t="shared" si="3"/>
        <v>2035</v>
      </c>
      <c r="B13" s="49">
        <v>511049.99519443093</v>
      </c>
      <c r="C13" s="50">
        <v>1591980.2463259359</v>
      </c>
      <c r="D13" s="50">
        <v>2663607.901469626</v>
      </c>
      <c r="E13" s="50">
        <v>26193.371809365151</v>
      </c>
      <c r="F13" s="50">
        <v>23289.075980246329</v>
      </c>
      <c r="G13" s="17">
        <f t="shared" si="0"/>
        <v>4305070.595585173</v>
      </c>
      <c r="H13" s="17">
        <f t="shared" si="1"/>
        <v>584167.4543511474</v>
      </c>
      <c r="I13" s="17">
        <f t="shared" si="2"/>
        <v>3720903.1412340254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0.16771253890241</v>
      </c>
      <c r="C2" s="98">
        <v>0.95</v>
      </c>
      <c r="D2" s="56">
        <v>45.059697708734632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42.681515161267903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211.06677542197349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6.8240161251364508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13.699227061288489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13.699227061288489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13.699227061288489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13.699227061288489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13.699227061288489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13.699227061288489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0.24284238634880001</v>
      </c>
      <c r="C16" s="98">
        <v>0.95</v>
      </c>
      <c r="D16" s="56">
        <v>0.43846979913857109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4.9270454148954128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4.9270454148954128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0.7434151</v>
      </c>
      <c r="C21" s="98">
        <v>0.95</v>
      </c>
      <c r="D21" s="56">
        <v>78.708084515042287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5.2288500000000002E-2</v>
      </c>
      <c r="C23" s="98">
        <v>0.95</v>
      </c>
      <c r="D23" s="56">
        <v>4.5607388970998564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0.74181480370667996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0.21503329550476</v>
      </c>
      <c r="C27" s="98">
        <v>0.95</v>
      </c>
      <c r="D27" s="56">
        <v>19.698516154118199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0.67195470000000002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84.046606343271279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1.310082435231509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0.2368297</v>
      </c>
      <c r="C32" s="98">
        <v>0.95</v>
      </c>
      <c r="D32" s="56">
        <v>0.90679548983180225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0.96306690000000006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0.1601621</v>
      </c>
      <c r="C38" s="98">
        <v>0.95</v>
      </c>
      <c r="D38" s="56">
        <v>1.362241488981754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0.56111960000000005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205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0.87905176584421874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2024-03-28T03:04:51Z</dcterms:modified>
</cp:coreProperties>
</file>