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D0C6257A-81F6-4E7A-8898-1FEC11E0B508}" xr6:coauthVersionLast="47" xr6:coauthVersionMax="47" xr10:uidLastSave="{00000000-0000-0000-0000-000000000000}"/>
  <bookViews>
    <workbookView xWindow="-110" yWindow="-110" windowWidth="19420" windowHeight="1042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27" l="1"/>
  <c r="G159" i="27"/>
  <c r="F159" i="27"/>
  <c r="E159" i="27"/>
  <c r="D159" i="27"/>
  <c r="H158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I38" i="2" s="1"/>
  <c r="A31" i="2"/>
  <c r="A26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I39" i="2" l="1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<sst xmlns="http://schemas.openxmlformats.org/spreadsheetml/2006/main" count="2169" uniqueCount="373">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</sst>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4532514.5</v>
      </c>
    </row>
    <row r="8" spans="1:3" ht="15" customHeight="1" x14ac:dyDescent="0.25">
      <c r="B8" s="5" t="s">
        <v>8</v>
      </c>
      <c r="C8" s="44">
        <v>0.621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0.90041511535644503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9.3399999999999997E-2</v>
      </c>
    </row>
    <row r="24" spans="1:3" ht="15" customHeight="1" x14ac:dyDescent="0.25">
      <c r="B24" s="15" t="s">
        <v>22</v>
      </c>
      <c r="C24" s="45">
        <v>0.65379999999999994</v>
      </c>
    </row>
    <row r="25" spans="1:3" ht="15" customHeight="1" x14ac:dyDescent="0.25">
      <c r="B25" s="15" t="s">
        <v>23</v>
      </c>
      <c r="C25" s="45">
        <v>0.23599999999999999</v>
      </c>
    </row>
    <row r="26" spans="1:3" ht="15" customHeight="1" x14ac:dyDescent="0.25">
      <c r="B26" s="15" t="s">
        <v>24</v>
      </c>
      <c r="C26" s="45">
        <v>1.6799999999999999E-2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0.305826683497959</v>
      </c>
    </row>
    <row r="30" spans="1:3" ht="14.25" customHeight="1" x14ac:dyDescent="0.25">
      <c r="B30" s="25" t="s">
        <v>27</v>
      </c>
      <c r="C30" s="97">
        <v>8.0334841914884408E-2</v>
      </c>
    </row>
    <row r="31" spans="1:3" ht="14.25" customHeight="1" x14ac:dyDescent="0.25">
      <c r="B31" s="25" t="s">
        <v>28</v>
      </c>
      <c r="C31" s="97">
        <v>0.12438567345943199</v>
      </c>
    </row>
    <row r="32" spans="1:3" ht="14.25" customHeight="1" x14ac:dyDescent="0.25">
      <c r="B32" s="25" t="s">
        <v>29</v>
      </c>
      <c r="C32" s="97">
        <v>0.48945280112772499</v>
      </c>
    </row>
    <row r="33" spans="1:5" ht="13.25" customHeight="1" x14ac:dyDescent="0.25">
      <c r="B33" s="27" t="s">
        <v>30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7.6795799999999996</v>
      </c>
    </row>
    <row r="38" spans="1:5" ht="15" customHeight="1" x14ac:dyDescent="0.25">
      <c r="B38" s="11" t="s">
        <v>34</v>
      </c>
      <c r="C38" s="43">
        <v>12.565189999999999</v>
      </c>
      <c r="D38" s="12"/>
      <c r="E38" s="13"/>
    </row>
    <row r="39" spans="1:5" ht="15" customHeight="1" x14ac:dyDescent="0.25">
      <c r="B39" s="11" t="s">
        <v>35</v>
      </c>
      <c r="C39" s="43">
        <v>14.06606</v>
      </c>
      <c r="D39" s="12"/>
      <c r="E39" s="12"/>
    </row>
    <row r="40" spans="1:5" ht="15" customHeight="1" x14ac:dyDescent="0.25">
      <c r="B40" s="11" t="s">
        <v>36</v>
      </c>
      <c r="C40" s="98">
        <v>0.3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5.8695899999999996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5.9385999999999996E-3</v>
      </c>
      <c r="D45" s="12"/>
    </row>
    <row r="46" spans="1:5" ht="15.75" customHeight="1" x14ac:dyDescent="0.25">
      <c r="B46" s="11" t="s">
        <v>41</v>
      </c>
      <c r="C46" s="45">
        <v>6.3809699999999997E-2</v>
      </c>
      <c r="D46" s="12"/>
    </row>
    <row r="47" spans="1:5" ht="15.75" customHeight="1" x14ac:dyDescent="0.25">
      <c r="B47" s="11" t="s">
        <v>42</v>
      </c>
      <c r="C47" s="45">
        <v>7.5353900000000001E-2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2.8</v>
      </c>
      <c r="D51" s="12"/>
    </row>
    <row r="52" spans="1:4" ht="15" customHeight="1" x14ac:dyDescent="0.25">
      <c r="B52" s="11" t="s">
        <v>46</v>
      </c>
      <c r="C52" s="98">
        <v>2.8</v>
      </c>
    </row>
    <row r="53" spans="1:4" ht="15.75" customHeight="1" x14ac:dyDescent="0.25">
      <c r="B53" s="11" t="s">
        <v>47</v>
      </c>
      <c r="C53" s="98">
        <v>2.8</v>
      </c>
    </row>
    <row r="54" spans="1:4" ht="15.75" customHeight="1" x14ac:dyDescent="0.25">
      <c r="B54" s="11" t="s">
        <v>48</v>
      </c>
      <c r="C54" s="98">
        <v>2.8</v>
      </c>
    </row>
    <row r="55" spans="1:4" ht="15.75" customHeight="1" x14ac:dyDescent="0.25">
      <c r="B55" s="11" t="s">
        <v>49</v>
      </c>
      <c r="C55" s="98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0.59351200000000004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5.2605475999999901E-2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929292</v>
      </c>
      <c r="C2" s="49">
        <v>1353663</v>
      </c>
      <c r="D2" s="49">
        <v>2584046.0000000005</v>
      </c>
      <c r="E2" s="49">
        <v>2926165</v>
      </c>
      <c r="F2" s="49">
        <v>2136783</v>
      </c>
      <c r="G2" s="17">
        <f t="shared" ref="G2:G13" si="0">C2+D2+E2+F2</f>
        <v>9000657</v>
      </c>
      <c r="H2" s="17">
        <f t="shared" ref="H2:H13" si="1">(B2 + stillbirth*B2/(1000-stillbirth))/(1-abortion)</f>
        <v>1062248.6001244409</v>
      </c>
      <c r="I2" s="17">
        <f t="shared" ref="I2:I13" si="2">G2-H2</f>
        <v>7938408.3998755589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911213</v>
      </c>
      <c r="C3" s="50">
        <v>1405256.5</v>
      </c>
      <c r="D3" s="50">
        <v>2532712.5</v>
      </c>
      <c r="E3" s="50">
        <v>2947605.5</v>
      </c>
      <c r="F3" s="50">
        <v>2213733</v>
      </c>
      <c r="G3" s="17">
        <f t="shared" si="0"/>
        <v>9099307.5</v>
      </c>
      <c r="H3" s="17">
        <f t="shared" si="1"/>
        <v>1041582.9832444398</v>
      </c>
      <c r="I3" s="17">
        <f t="shared" si="2"/>
        <v>8057724.5167555604</v>
      </c>
    </row>
    <row r="4" spans="1:9" ht="15.75" customHeight="1" x14ac:dyDescent="0.25">
      <c r="A4" s="5">
        <f t="shared" si="3"/>
        <v>2026</v>
      </c>
      <c r="B4" s="49">
        <v>894379</v>
      </c>
      <c r="C4" s="50">
        <v>1448170.5</v>
      </c>
      <c r="D4" s="50">
        <v>2492321.5</v>
      </c>
      <c r="E4" s="50">
        <v>2952274.0000000005</v>
      </c>
      <c r="F4" s="50">
        <v>2298902.5</v>
      </c>
      <c r="G4" s="17">
        <f t="shared" si="0"/>
        <v>9191668.5</v>
      </c>
      <c r="H4" s="17">
        <f t="shared" si="1"/>
        <v>1022340.4922572208</v>
      </c>
      <c r="I4" s="17">
        <f t="shared" si="2"/>
        <v>8169328.0077427793</v>
      </c>
    </row>
    <row r="5" spans="1:9" ht="15.75" customHeight="1" x14ac:dyDescent="0.25">
      <c r="A5" s="5">
        <f t="shared" si="3"/>
        <v>2027</v>
      </c>
      <c r="B5" s="49">
        <v>881880</v>
      </c>
      <c r="C5" s="50">
        <v>1477142.5</v>
      </c>
      <c r="D5" s="50">
        <v>2477961.5000000005</v>
      </c>
      <c r="E5" s="50">
        <v>2939273.5000000005</v>
      </c>
      <c r="F5" s="50">
        <v>2387910.5</v>
      </c>
      <c r="G5" s="17">
        <f t="shared" si="0"/>
        <v>9282288</v>
      </c>
      <c r="H5" s="17">
        <f t="shared" si="1"/>
        <v>1008053.2227520971</v>
      </c>
      <c r="I5" s="17">
        <f t="shared" si="2"/>
        <v>8274234.7772479029</v>
      </c>
    </row>
    <row r="6" spans="1:9" ht="15.75" customHeight="1" x14ac:dyDescent="0.25">
      <c r="A6" s="5">
        <f t="shared" si="3"/>
        <v>2028</v>
      </c>
      <c r="B6" s="49">
        <v>872359</v>
      </c>
      <c r="C6" s="50">
        <v>1499598.5</v>
      </c>
      <c r="D6" s="50">
        <v>2495352.5</v>
      </c>
      <c r="E6" s="50">
        <v>2914077</v>
      </c>
      <c r="F6" s="50">
        <v>2473071.5</v>
      </c>
      <c r="G6" s="17">
        <f t="shared" si="0"/>
        <v>9382099.5</v>
      </c>
      <c r="H6" s="17">
        <f t="shared" si="1"/>
        <v>997170.02465958719</v>
      </c>
      <c r="I6" s="17">
        <f t="shared" si="2"/>
        <v>8384929.4753404129</v>
      </c>
    </row>
    <row r="7" spans="1:9" ht="15.75" customHeight="1" x14ac:dyDescent="0.25">
      <c r="A7" s="5">
        <f t="shared" si="3"/>
        <v>2029</v>
      </c>
      <c r="B7" s="49">
        <v>864944</v>
      </c>
      <c r="C7" s="50">
        <v>1529797.5</v>
      </c>
      <c r="D7" s="50">
        <v>2535561.5</v>
      </c>
      <c r="E7" s="50">
        <v>2879735.5</v>
      </c>
      <c r="F7" s="50">
        <v>2551100</v>
      </c>
      <c r="G7" s="17">
        <f t="shared" si="0"/>
        <v>9496194.5</v>
      </c>
      <c r="H7" s="17">
        <f t="shared" si="1"/>
        <v>988694.13831824041</v>
      </c>
      <c r="I7" s="17">
        <f t="shared" si="2"/>
        <v>8507500.3616817594</v>
      </c>
    </row>
    <row r="8" spans="1:9" ht="15.75" customHeight="1" x14ac:dyDescent="0.25">
      <c r="A8" s="5">
        <f t="shared" si="3"/>
        <v>2030</v>
      </c>
      <c r="B8" s="49">
        <v>859689</v>
      </c>
      <c r="C8" s="50">
        <v>1572467.5</v>
      </c>
      <c r="D8" s="50">
        <v>2585301</v>
      </c>
      <c r="E8" s="50">
        <v>2831749.5</v>
      </c>
      <c r="F8" s="50">
        <v>2626655.5</v>
      </c>
      <c r="G8" s="17">
        <f t="shared" si="0"/>
        <v>9616173.5</v>
      </c>
      <c r="H8" s="17">
        <f t="shared" si="1"/>
        <v>982687.28967039462</v>
      </c>
      <c r="I8" s="17">
        <f t="shared" si="2"/>
        <v>8633486.2103296053</v>
      </c>
    </row>
    <row r="9" spans="1:9" ht="15.75" customHeight="1" x14ac:dyDescent="0.25">
      <c r="A9" s="5">
        <f t="shared" si="3"/>
        <v>2031</v>
      </c>
      <c r="B9" s="49">
        <v>855161</v>
      </c>
      <c r="C9" s="50">
        <v>1621930.5</v>
      </c>
      <c r="D9" s="50">
        <v>2637468.5</v>
      </c>
      <c r="E9" s="50">
        <v>2767270.5</v>
      </c>
      <c r="F9" s="50">
        <v>2705511</v>
      </c>
      <c r="G9" s="17">
        <f t="shared" si="0"/>
        <v>9732180.5</v>
      </c>
      <c r="H9" s="17">
        <f t="shared" si="1"/>
        <v>977511.45509809279</v>
      </c>
      <c r="I9" s="17">
        <f t="shared" si="2"/>
        <v>8754669.0449019074</v>
      </c>
    </row>
    <row r="10" spans="1:9" ht="15.75" customHeight="1" x14ac:dyDescent="0.25">
      <c r="A10" s="5">
        <f t="shared" si="3"/>
        <v>2032</v>
      </c>
      <c r="B10" s="49">
        <v>851864</v>
      </c>
      <c r="C10" s="50">
        <v>1670227</v>
      </c>
      <c r="D10" s="50">
        <v>2692181.4999999995</v>
      </c>
      <c r="E10" s="50">
        <v>2696521.5</v>
      </c>
      <c r="F10" s="50">
        <v>2781294</v>
      </c>
      <c r="G10" s="17">
        <f t="shared" si="0"/>
        <v>9840224</v>
      </c>
      <c r="H10" s="17">
        <f t="shared" si="1"/>
        <v>973742.74339648534</v>
      </c>
      <c r="I10" s="17">
        <f t="shared" si="2"/>
        <v>8866481.2566035148</v>
      </c>
    </row>
    <row r="11" spans="1:9" ht="15.75" customHeight="1" x14ac:dyDescent="0.25">
      <c r="A11" s="5">
        <f t="shared" si="3"/>
        <v>2033</v>
      </c>
      <c r="B11" s="49">
        <v>850842</v>
      </c>
      <c r="C11" s="50">
        <v>1716187.5</v>
      </c>
      <c r="D11" s="50">
        <v>2759478.5</v>
      </c>
      <c r="E11" s="50">
        <v>2629085.5</v>
      </c>
      <c r="F11" s="50">
        <v>2843047</v>
      </c>
      <c r="G11" s="17">
        <f t="shared" si="0"/>
        <v>9947798.5</v>
      </c>
      <c r="H11" s="17">
        <f t="shared" si="1"/>
        <v>972574.52278409735</v>
      </c>
      <c r="I11" s="17">
        <f t="shared" si="2"/>
        <v>8975223.9772159029</v>
      </c>
    </row>
    <row r="12" spans="1:9" ht="15.75" customHeight="1" x14ac:dyDescent="0.25">
      <c r="A12" s="5">
        <f t="shared" si="3"/>
        <v>2034</v>
      </c>
      <c r="B12" s="49">
        <v>851642</v>
      </c>
      <c r="C12" s="50">
        <v>1762079</v>
      </c>
      <c r="D12" s="50">
        <v>2843484.9999999995</v>
      </c>
      <c r="E12" s="50">
        <v>2570953.9999999995</v>
      </c>
      <c r="F12" s="50">
        <v>2883655.5</v>
      </c>
      <c r="G12" s="17">
        <f t="shared" si="0"/>
        <v>10060173.5</v>
      </c>
      <c r="H12" s="17">
        <f t="shared" si="1"/>
        <v>973488.98118909774</v>
      </c>
      <c r="I12" s="17">
        <f t="shared" si="2"/>
        <v>9086684.5188109018</v>
      </c>
    </row>
    <row r="13" spans="1:9" ht="15.75" customHeight="1" x14ac:dyDescent="0.25">
      <c r="A13" s="5">
        <f t="shared" si="3"/>
        <v>2035</v>
      </c>
      <c r="B13" s="49">
        <v>855103</v>
      </c>
      <c r="C13" s="50">
        <v>1815421.5</v>
      </c>
      <c r="D13" s="50">
        <v>2937148</v>
      </c>
      <c r="E13" s="50">
        <v>2521215</v>
      </c>
      <c r="F13" s="50">
        <v>2905680</v>
      </c>
      <c r="G13" s="17">
        <f t="shared" si="0"/>
        <v>10179464.5</v>
      </c>
      <c r="H13" s="17">
        <f t="shared" si="1"/>
        <v>977445.1568637304</v>
      </c>
      <c r="I13" s="17">
        <f t="shared" si="2"/>
        <v>9202019.3431362696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4.4007592784674611E-4</v>
      </c>
    </row>
    <row r="4" spans="1:8" ht="15.75" customHeight="1" x14ac:dyDescent="0.25">
      <c r="B4" s="19" t="s">
        <v>69</v>
      </c>
      <c r="C4" s="99">
        <v>5.7395460468312433E-2</v>
      </c>
    </row>
    <row r="5" spans="1:8" ht="15.75" customHeight="1" x14ac:dyDescent="0.25">
      <c r="B5" s="19" t="s">
        <v>70</v>
      </c>
      <c r="C5" s="99">
        <v>4.4677456143148997E-2</v>
      </c>
    </row>
    <row r="6" spans="1:8" ht="15.75" customHeight="1" x14ac:dyDescent="0.25">
      <c r="B6" s="19" t="s">
        <v>71</v>
      </c>
      <c r="C6" s="99">
        <v>0.17366390058463799</v>
      </c>
    </row>
    <row r="7" spans="1:8" ht="15.75" customHeight="1" x14ac:dyDescent="0.25">
      <c r="B7" s="19" t="s">
        <v>72</v>
      </c>
      <c r="C7" s="99">
        <v>0.43792874529763209</v>
      </c>
    </row>
    <row r="8" spans="1:8" ht="15.75" customHeight="1" x14ac:dyDescent="0.25">
      <c r="B8" s="19" t="s">
        <v>73</v>
      </c>
      <c r="C8" s="99">
        <v>5.1597177634383427E-5</v>
      </c>
    </row>
    <row r="9" spans="1:8" ht="15.75" customHeight="1" x14ac:dyDescent="0.25">
      <c r="B9" s="19" t="s">
        <v>74</v>
      </c>
      <c r="C9" s="99">
        <v>0.2093974459597063</v>
      </c>
    </row>
    <row r="10" spans="1:8" ht="15.75" customHeight="1" x14ac:dyDescent="0.25">
      <c r="B10" s="19" t="s">
        <v>75</v>
      </c>
      <c r="C10" s="99">
        <v>7.6445318441081156E-2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5.764566260160673E-2</v>
      </c>
      <c r="D14" s="55">
        <v>5.764566260160673E-2</v>
      </c>
      <c r="E14" s="55">
        <v>5.764566260160673E-2</v>
      </c>
      <c r="F14" s="55">
        <v>5.764566260160673E-2</v>
      </c>
    </row>
    <row r="15" spans="1:8" ht="15.75" customHeight="1" x14ac:dyDescent="0.25">
      <c r="B15" s="19" t="s">
        <v>82</v>
      </c>
      <c r="C15" s="99">
        <v>0.36879511464592329</v>
      </c>
      <c r="D15" s="99">
        <v>0.36879511464592329</v>
      </c>
      <c r="E15" s="99">
        <v>0.36879511464592329</v>
      </c>
      <c r="F15" s="99">
        <v>0.36879511464592329</v>
      </c>
    </row>
    <row r="16" spans="1:8" ht="15.75" customHeight="1" x14ac:dyDescent="0.25">
      <c r="B16" s="19" t="s">
        <v>83</v>
      </c>
      <c r="C16" s="99">
        <v>2.4413339123503991E-2</v>
      </c>
      <c r="D16" s="99">
        <v>2.4413339123503991E-2</v>
      </c>
      <c r="E16" s="99">
        <v>2.4413339123503991E-2</v>
      </c>
      <c r="F16" s="99">
        <v>2.4413339123503991E-2</v>
      </c>
    </row>
    <row r="17" spans="1:8" ht="15.75" customHeight="1" x14ac:dyDescent="0.25">
      <c r="B17" s="19" t="s">
        <v>84</v>
      </c>
      <c r="C17" s="99">
        <v>2.4697229962766711E-4</v>
      </c>
      <c r="D17" s="99">
        <v>2.4697229962766711E-4</v>
      </c>
      <c r="E17" s="99">
        <v>2.4697229962766711E-4</v>
      </c>
      <c r="F17" s="99">
        <v>2.4697229962766711E-4</v>
      </c>
    </row>
    <row r="18" spans="1:8" ht="15.75" customHeight="1" x14ac:dyDescent="0.25">
      <c r="B18" s="19" t="s">
        <v>85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86</v>
      </c>
      <c r="C19" s="99">
        <v>5.9231523023368969E-3</v>
      </c>
      <c r="D19" s="99">
        <v>5.9231523023368969E-3</v>
      </c>
      <c r="E19" s="99">
        <v>5.9231523023368969E-3</v>
      </c>
      <c r="F19" s="99">
        <v>5.9231523023368969E-3</v>
      </c>
    </row>
    <row r="20" spans="1:8" ht="15.75" customHeight="1" x14ac:dyDescent="0.25">
      <c r="B20" s="19" t="s">
        <v>87</v>
      </c>
      <c r="C20" s="99">
        <v>9.0116220308402023E-2</v>
      </c>
      <c r="D20" s="99">
        <v>9.0116220308402023E-2</v>
      </c>
      <c r="E20" s="99">
        <v>9.0116220308402023E-2</v>
      </c>
      <c r="F20" s="99">
        <v>9.0116220308402023E-2</v>
      </c>
    </row>
    <row r="21" spans="1:8" ht="15.75" customHeight="1" x14ac:dyDescent="0.25">
      <c r="B21" s="19" t="s">
        <v>88</v>
      </c>
      <c r="C21" s="99">
        <v>0.31442374459401951</v>
      </c>
      <c r="D21" s="99">
        <v>0.31442374459401951</v>
      </c>
      <c r="E21" s="99">
        <v>0.31442374459401951</v>
      </c>
      <c r="F21" s="99">
        <v>0.31442374459401951</v>
      </c>
    </row>
    <row r="22" spans="1:8" ht="15.75" customHeight="1" x14ac:dyDescent="0.25">
      <c r="B22" s="19" t="s">
        <v>89</v>
      </c>
      <c r="C22" s="99">
        <v>0.1384357941245801</v>
      </c>
      <c r="D22" s="99">
        <v>0.1384357941245801</v>
      </c>
      <c r="E22" s="99">
        <v>0.1384357941245801</v>
      </c>
      <c r="F22" s="99">
        <v>0.1384357941245801</v>
      </c>
    </row>
    <row r="23" spans="1:8" ht="15.75" customHeight="1" x14ac:dyDescent="0.25">
      <c r="B23" s="27" t="s">
        <v>30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6.9449472999999998E-2</v>
      </c>
    </row>
    <row r="27" spans="1:8" ht="15.75" customHeight="1" x14ac:dyDescent="0.25">
      <c r="B27" s="19" t="s">
        <v>92</v>
      </c>
      <c r="C27" s="99">
        <v>2.9846799E-2</v>
      </c>
    </row>
    <row r="28" spans="1:8" ht="15.75" customHeight="1" x14ac:dyDescent="0.25">
      <c r="B28" s="19" t="s">
        <v>93</v>
      </c>
      <c r="C28" s="99">
        <v>7.5538350000000004E-2</v>
      </c>
    </row>
    <row r="29" spans="1:8" ht="15.75" customHeight="1" x14ac:dyDescent="0.25">
      <c r="B29" s="19" t="s">
        <v>94</v>
      </c>
      <c r="C29" s="99">
        <v>0.20332114100000001</v>
      </c>
    </row>
    <row r="30" spans="1:8" ht="15.75" customHeight="1" x14ac:dyDescent="0.25">
      <c r="B30" s="19" t="s">
        <v>95</v>
      </c>
      <c r="C30" s="99">
        <v>4.5681777999999999E-2</v>
      </c>
    </row>
    <row r="31" spans="1:8" ht="15.75" customHeight="1" x14ac:dyDescent="0.25">
      <c r="B31" s="19" t="s">
        <v>96</v>
      </c>
      <c r="C31" s="99">
        <v>1.9566962E-2</v>
      </c>
    </row>
    <row r="32" spans="1:8" ht="15.75" customHeight="1" x14ac:dyDescent="0.25">
      <c r="B32" s="19" t="s">
        <v>97</v>
      </c>
      <c r="C32" s="99">
        <v>8.5306862999999997E-2</v>
      </c>
    </row>
    <row r="33" spans="2:3" ht="15.75" customHeight="1" x14ac:dyDescent="0.25">
      <c r="B33" s="19" t="s">
        <v>98</v>
      </c>
      <c r="C33" s="99">
        <v>0.392452888</v>
      </c>
    </row>
    <row r="34" spans="2:3" ht="15.75" customHeight="1" x14ac:dyDescent="0.25">
      <c r="B34" s="19" t="s">
        <v>99</v>
      </c>
      <c r="C34" s="99">
        <v>7.8835746999999998E-2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0.75765132796850709</v>
      </c>
      <c r="D2" s="52">
        <f>IFERROR(1-_xlfn.NORM.DIST(_xlfn.NORM.INV(SUM(D4:D5), 0, 1) + 1, 0, 1, TRUE), "")</f>
        <v>0.75765132796850709</v>
      </c>
      <c r="E2" s="52">
        <f>IFERROR(1-_xlfn.NORM.DIST(_xlfn.NORM.INV(SUM(E4:E5), 0, 1) + 1, 0, 1, TRUE), "")</f>
        <v>0.84134937098361795</v>
      </c>
      <c r="F2" s="52">
        <f>IFERROR(1-_xlfn.NORM.DIST(_xlfn.NORM.INV(SUM(F4:F5), 0, 1) + 1, 0, 1, TRUE), "")</f>
        <v>0.69808734986810583</v>
      </c>
      <c r="G2" s="52">
        <f>IFERROR(1-_xlfn.NORM.DIST(_xlfn.NORM.INV(SUM(G4:G5), 0, 1) + 1, 0, 1, TRUE), "")</f>
        <v>0.66053563833455031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0.19766717203149292</v>
      </c>
      <c r="D3" s="52">
        <f>IFERROR(_xlfn.NORM.DIST(_xlfn.NORM.INV(SUM(D4:D5), 0, 1) + 1, 0, 1, TRUE) - SUM(D4:D5), "")</f>
        <v>0.19766717203149292</v>
      </c>
      <c r="E3" s="52">
        <f>IFERROR(_xlfn.NORM.DIST(_xlfn.NORM.INV(SUM(E4:E5), 0, 1) + 1, 0, 1, TRUE) - SUM(E4:E5), "")</f>
        <v>0.13590152901638203</v>
      </c>
      <c r="F3" s="52">
        <f>IFERROR(_xlfn.NORM.DIST(_xlfn.NORM.INV(SUM(F4:F5), 0, 1) + 1, 0, 1, TRUE) - SUM(F4:F5), "")</f>
        <v>0.23751975013189416</v>
      </c>
      <c r="G3" s="52">
        <f>IFERROR(_xlfn.NORM.DIST(_xlfn.NORM.INV(SUM(G4:G5), 0, 1) + 1, 0, 1, TRUE) - SUM(G4:G5), "")</f>
        <v>0.26077246166544965</v>
      </c>
    </row>
    <row r="4" spans="1:15" ht="15.75" customHeight="1" x14ac:dyDescent="0.25">
      <c r="B4" s="5" t="s">
        <v>104</v>
      </c>
      <c r="C4" s="45">
        <v>3.5156E-2</v>
      </c>
      <c r="D4" s="53">
        <v>3.5156E-2</v>
      </c>
      <c r="E4" s="53">
        <v>9.1557999999999987E-3</v>
      </c>
      <c r="F4" s="53">
        <v>4.33821E-2</v>
      </c>
      <c r="G4" s="53">
        <v>6.2159000000000013E-2</v>
      </c>
    </row>
    <row r="5" spans="1:15" ht="15.75" customHeight="1" x14ac:dyDescent="0.25">
      <c r="B5" s="5" t="s">
        <v>105</v>
      </c>
      <c r="C5" s="45">
        <v>9.5254999999999992E-3</v>
      </c>
      <c r="D5" s="53">
        <v>9.5254999999999992E-3</v>
      </c>
      <c r="E5" s="53">
        <v>1.3593299999999999E-2</v>
      </c>
      <c r="F5" s="53">
        <v>2.10108E-2</v>
      </c>
      <c r="G5" s="53">
        <v>1.65329E-2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0.57494409810404734</v>
      </c>
      <c r="D8" s="52">
        <f>IFERROR(1-_xlfn.NORM.DIST(_xlfn.NORM.INV(SUM(D10:D11), 0, 1) + 1, 0, 1, TRUE), "")</f>
        <v>0.57494409810404734</v>
      </c>
      <c r="E8" s="52">
        <f>IFERROR(1-_xlfn.NORM.DIST(_xlfn.NORM.INV(SUM(E10:E11), 0, 1) + 1, 0, 1, TRUE), "")</f>
        <v>0.8071329654504702</v>
      </c>
      <c r="F8" s="52">
        <f>IFERROR(1-_xlfn.NORM.DIST(_xlfn.NORM.INV(SUM(F10:F11), 0, 1) + 1, 0, 1, TRUE), "")</f>
        <v>0.91760446438558874</v>
      </c>
      <c r="G8" s="52">
        <f>IFERROR(1-_xlfn.NORM.DIST(_xlfn.NORM.INV(SUM(G10:G11), 0, 1) + 1, 0, 1, TRUE), "")</f>
        <v>0.89121309206922394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0.30783130189595265</v>
      </c>
      <c r="D9" s="52">
        <f>IFERROR(_xlfn.NORM.DIST(_xlfn.NORM.INV(SUM(D10:D11), 0, 1) + 1, 0, 1, TRUE) - SUM(D10:D11), "")</f>
        <v>0.30783130189595265</v>
      </c>
      <c r="E9" s="52">
        <f>IFERROR(_xlfn.NORM.DIST(_xlfn.NORM.INV(SUM(E10:E11), 0, 1) + 1, 0, 1, TRUE) - SUM(E10:E11), "")</f>
        <v>0.16194273454952973</v>
      </c>
      <c r="F9" s="52">
        <f>IFERROR(_xlfn.NORM.DIST(_xlfn.NORM.INV(SUM(F10:F11), 0, 1) + 1, 0, 1, TRUE) - SUM(F10:F11), "")</f>
        <v>7.3951535614411285E-2</v>
      </c>
      <c r="G9" s="52">
        <f>IFERROR(_xlfn.NORM.DIST(_xlfn.NORM.INV(SUM(G10:G11), 0, 1) + 1, 0, 1, TRUE) - SUM(G10:G11), "")</f>
        <v>9.6012607930776053E-2</v>
      </c>
    </row>
    <row r="10" spans="1:15" ht="15.75" customHeight="1" x14ac:dyDescent="0.25">
      <c r="B10" s="5" t="s">
        <v>109</v>
      </c>
      <c r="C10" s="45">
        <v>5.5227199999999997E-2</v>
      </c>
      <c r="D10" s="53">
        <v>5.5227199999999997E-2</v>
      </c>
      <c r="E10" s="53">
        <v>1.86021E-2</v>
      </c>
      <c r="F10" s="53">
        <v>5.7038999999999996E-3</v>
      </c>
      <c r="G10" s="53">
        <v>7.8141000000000009E-3</v>
      </c>
    </row>
    <row r="11" spans="1:15" ht="15.75" customHeight="1" x14ac:dyDescent="0.25">
      <c r="B11" s="5" t="s">
        <v>110</v>
      </c>
      <c r="C11" s="45">
        <v>6.1997400000000001E-2</v>
      </c>
      <c r="D11" s="53">
        <v>6.1997400000000001E-2</v>
      </c>
      <c r="E11" s="53">
        <v>1.23222E-2</v>
      </c>
      <c r="F11" s="53">
        <v>2.7401000000000001E-3</v>
      </c>
      <c r="G11" s="53">
        <v>4.9602000000000014E-3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0.57191562900000004</v>
      </c>
      <c r="D14" s="54">
        <v>0.54790967291399995</v>
      </c>
      <c r="E14" s="54">
        <v>0.54790967291399995</v>
      </c>
      <c r="F14" s="54">
        <v>0.52659723782500001</v>
      </c>
      <c r="G14" s="54">
        <v>0.52659723782500001</v>
      </c>
      <c r="H14" s="45">
        <v>0.249</v>
      </c>
      <c r="I14" s="55">
        <v>0.249</v>
      </c>
      <c r="J14" s="55">
        <v>0.249</v>
      </c>
      <c r="K14" s="55">
        <v>0.249</v>
      </c>
      <c r="L14" s="45">
        <v>0.36799999999999999</v>
      </c>
      <c r="M14" s="55">
        <v>0.36799999999999999</v>
      </c>
      <c r="N14" s="55">
        <v>0.36799999999999999</v>
      </c>
      <c r="O14" s="55">
        <v>0.36799999999999999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0.33943878879904804</v>
      </c>
      <c r="D15" s="52">
        <f t="shared" si="0"/>
        <v>0.32519096579053397</v>
      </c>
      <c r="E15" s="52">
        <f t="shared" si="0"/>
        <v>0.32519096579053397</v>
      </c>
      <c r="F15" s="52">
        <f t="shared" si="0"/>
        <v>0.31254177981599141</v>
      </c>
      <c r="G15" s="52">
        <f t="shared" si="0"/>
        <v>0.31254177981599141</v>
      </c>
      <c r="H15" s="52">
        <f t="shared" si="0"/>
        <v>0.14778448800000002</v>
      </c>
      <c r="I15" s="52">
        <f t="shared" si="0"/>
        <v>0.14778448800000002</v>
      </c>
      <c r="J15" s="52">
        <f t="shared" si="0"/>
        <v>0.14778448800000002</v>
      </c>
      <c r="K15" s="52">
        <f t="shared" si="0"/>
        <v>0.14778448800000002</v>
      </c>
      <c r="L15" s="52">
        <f t="shared" si="0"/>
        <v>0.218412416</v>
      </c>
      <c r="M15" s="52">
        <f t="shared" si="0"/>
        <v>0.218412416</v>
      </c>
      <c r="N15" s="52">
        <f t="shared" si="0"/>
        <v>0.218412416</v>
      </c>
      <c r="O15" s="52">
        <f t="shared" si="0"/>
        <v>0.218412416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0.38405719999999999</v>
      </c>
      <c r="D2" s="53">
        <v>0.2368297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0.26003510000000002</v>
      </c>
      <c r="D3" s="53">
        <v>0.27036789999999999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0.33245069999999999</v>
      </c>
      <c r="D4" s="53">
        <v>0.39943759999999989</v>
      </c>
      <c r="E4" s="53">
        <v>0.8590527</v>
      </c>
      <c r="F4" s="53">
        <v>0.64502399999999993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2.345699999999995E-2</v>
      </c>
      <c r="D5" s="52">
        <f t="shared" si="0"/>
        <v>9.3364800000000026E-2</v>
      </c>
      <c r="E5" s="52">
        <f>1-SUM(E2:E4)</f>
        <v>0.1409473</v>
      </c>
      <c r="F5" s="52">
        <f>1-SUM(F2:F4)</f>
        <v>0.35497600000000007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2255.1511549677198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0.46069000000000004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0.435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2.1279788177068569E-2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98275.212390000001</v>
      </c>
      <c r="C22" s="107">
        <v>98094.732669999998</v>
      </c>
      <c r="D22" s="107">
        <v>97905.343120000005</v>
      </c>
      <c r="E22" s="107">
        <v>97549.245630000005</v>
      </c>
      <c r="F22" s="107">
        <v>97145.366559999995</v>
      </c>
      <c r="G22" s="107">
        <v>96705.299660000004</v>
      </c>
      <c r="H22" s="107">
        <v>96136.363230000003</v>
      </c>
      <c r="I22" s="107">
        <v>95272.509839999999</v>
      </c>
      <c r="J22" s="107">
        <v>94077.053740000003</v>
      </c>
      <c r="K22" s="107">
        <v>92214.830979999999</v>
      </c>
      <c r="L22" s="107">
        <v>89415.223240000007</v>
      </c>
      <c r="M22" s="107">
        <v>84716.518179999999</v>
      </c>
      <c r="N22" s="107">
        <v>78642.434909999996</v>
      </c>
      <c r="O22" s="107">
        <v>67126.741980000006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12.008526100307062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12.008526100307062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8.8894216990788131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0.48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0.40262538382804508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</v>
      </c>
      <c r="C10" s="96">
        <v>0.95</v>
      </c>
      <c r="D10" s="56">
        <v>13.699227061288489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13.699227061288489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13.699227061288489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13.699227061288489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</v>
      </c>
      <c r="C14" s="96">
        <v>0.95</v>
      </c>
      <c r="D14" s="56">
        <v>13.699227061288489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13.699227061288489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</v>
      </c>
      <c r="C16" s="96">
        <v>0.95</v>
      </c>
      <c r="D16" s="56">
        <v>2.5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0.76225600000000004</v>
      </c>
      <c r="C17" s="96">
        <v>0.95</v>
      </c>
      <c r="D17" s="56">
        <v>0.14000000000000001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0.2368297</v>
      </c>
      <c r="C18" s="96">
        <v>0.95</v>
      </c>
      <c r="D18" s="56">
        <v>8.8894216990788131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0.2368297</v>
      </c>
      <c r="C19" s="96">
        <v>0.95</v>
      </c>
      <c r="D19" s="56">
        <v>4.9270454148954128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7.48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8.8894216990788131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</v>
      </c>
      <c r="C23" s="96">
        <v>0.95</v>
      </c>
      <c r="D23" s="56">
        <v>4.5607388970998564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0.70884126301032002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</v>
      </c>
      <c r="C26" s="96">
        <v>0.95</v>
      </c>
      <c r="D26" s="56">
        <v>5.1498336745138182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11.470990276356194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0.67195470000000002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0.56111960000000005</v>
      </c>
      <c r="C29" s="96">
        <v>0.95</v>
      </c>
      <c r="D29" s="56">
        <v>84.046606343271279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170.92419651995908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0.99</v>
      </c>
      <c r="C32" s="96">
        <v>0.95</v>
      </c>
      <c r="D32" s="56">
        <v>1.1057036847492325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0.8162645999999999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0.7434151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5.2288500000000002E-2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0.72948809999999997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0.1601621</v>
      </c>
      <c r="C38" s="96">
        <v>0.95</v>
      </c>
      <c r="D38" s="56">
        <v>2.6374181166837261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3.43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197</v>
      </c>
      <c r="B3" s="21">
        <f>frac_mam_1month * 2.6</f>
        <v>0.14359072000000001</v>
      </c>
      <c r="C3" s="21">
        <f>frac_mam_1_5months * 2.6</f>
        <v>0.14359072000000001</v>
      </c>
      <c r="D3" s="21">
        <f>frac_mam_6_11months * 2.6</f>
        <v>4.8365459999999999E-2</v>
      </c>
      <c r="E3" s="21">
        <f>frac_mam_12_23months * 2.6</f>
        <v>1.4830139999999999E-2</v>
      </c>
      <c r="F3" s="21">
        <f>frac_mam_24_59months * 2.6</f>
        <v>2.0316660000000004E-2</v>
      </c>
    </row>
    <row r="4" spans="1:6" ht="15.75" customHeight="1" x14ac:dyDescent="0.25">
      <c r="A4" s="3" t="s">
        <v>198</v>
      </c>
      <c r="B4" s="21">
        <f>frac_sam_1month * 2.6</f>
        <v>0.16119324000000002</v>
      </c>
      <c r="C4" s="21">
        <f>frac_sam_1_5months * 2.6</f>
        <v>0.16119324000000002</v>
      </c>
      <c r="D4" s="21">
        <f>frac_sam_6_11months * 2.6</f>
        <v>3.2037719999999999E-2</v>
      </c>
      <c r="E4" s="21">
        <f>frac_sam_12_23months * 2.6</f>
        <v>7.1242600000000003E-3</v>
      </c>
      <c r="F4" s="21">
        <f>frac_sam_24_59months * 2.6</f>
        <v>1.2896520000000003E-2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0.621</v>
      </c>
      <c r="F2" s="60">
        <f>food_insecure</f>
        <v>0.621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0.621</v>
      </c>
      <c r="F5" s="60">
        <f>food_insecure</f>
        <v>0.621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0.621</v>
      </c>
      <c r="F8" s="60">
        <f>food_insecure</f>
        <v>0.621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0.621</v>
      </c>
      <c r="F9" s="60">
        <f>food_insecure</f>
        <v>0.621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0.621</v>
      </c>
      <c r="I15" s="60">
        <f t="shared" si="0"/>
        <v>0.621</v>
      </c>
      <c r="J15" s="60">
        <f t="shared" si="0"/>
        <v>0.621</v>
      </c>
      <c r="K15" s="60">
        <f t="shared" si="0"/>
        <v>0.621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0.621</v>
      </c>
      <c r="I16" s="60">
        <f t="shared" si="0"/>
        <v>0.621</v>
      </c>
      <c r="J16" s="60">
        <f t="shared" si="0"/>
        <v>0.621</v>
      </c>
      <c r="K16" s="60">
        <f t="shared" si="0"/>
        <v>0.621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6.1783458281707934E-2</v>
      </c>
      <c r="M25" s="60">
        <f>(1-food_insecure)*(0.49)+food_insecure*(0.7)</f>
        <v>0.62040999999999991</v>
      </c>
      <c r="N25" s="60">
        <f>(1-food_insecure)*(0.49)+food_insecure*(0.7)</f>
        <v>0.62040999999999991</v>
      </c>
      <c r="O25" s="60">
        <f>(1-food_insecure)*(0.49)+food_insecure*(0.7)</f>
        <v>0.62040999999999991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2.6478624977874829E-2</v>
      </c>
      <c r="M26" s="60">
        <f>(1-food_insecure)*(0.21)+food_insecure*(0.3)</f>
        <v>0.26588999999999996</v>
      </c>
      <c r="N26" s="60">
        <f>(1-food_insecure)*(0.21)+food_insecure*(0.3)</f>
        <v>0.26588999999999996</v>
      </c>
      <c r="O26" s="60">
        <f>(1-food_insecure)*(0.21)+food_insecure*(0.3)</f>
        <v>0.26588999999999996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1.13228013839722E-2</v>
      </c>
      <c r="M27" s="60">
        <f>(1-food_insecure)*(0.3)</f>
        <v>0.1137</v>
      </c>
      <c r="N27" s="60">
        <f>(1-food_insecure)*(0.3)</f>
        <v>0.1137</v>
      </c>
      <c r="O27" s="60">
        <f>(1-food_insecure)*(0.3)</f>
        <v>0.1137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0.90041511535644503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ZuJBLT18RLClOQpds4MuooJcG/7vFHLggKJjPvPOQAFJAkJ01ilC4kkb2DTiT5pCXWheznDmX2e8pP9U30oZA==" saltValue="StP3eyhH6xyKX3Qyhj6KZ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2025-07-29T06:41:35Z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