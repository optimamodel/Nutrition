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C9FEA9B-173B-49E8-B422-14BD432DEF8B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A39" i="2"/>
  <c r="H38" i="2"/>
  <c r="I38" i="2" s="1"/>
  <c r="G38" i="2"/>
  <c r="A37" i="2"/>
  <c r="A35" i="2"/>
  <c r="A34" i="2"/>
  <c r="A29" i="2"/>
  <c r="A27" i="2"/>
  <c r="A26" i="2"/>
  <c r="A21" i="2"/>
  <c r="A19" i="2"/>
  <c r="A18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3" i="2" s="1"/>
  <c r="C33" i="1"/>
  <c r="C20" i="1"/>
  <c r="A20" i="2" l="1"/>
  <c r="A28" i="2"/>
  <c r="A36" i="2"/>
  <c r="A15" i="2"/>
  <c r="A23" i="2"/>
  <c r="A31" i="2"/>
  <c r="A22" i="2"/>
  <c r="A40" i="2"/>
  <c r="A16" i="2"/>
  <c r="A24" i="2"/>
  <c r="A32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30" i="2"/>
  <c r="A38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<sst xmlns="http://schemas.openxmlformats.org/spreadsheetml/2006/main" count="2094" uniqueCount="341">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</sst>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3853603.25</v>
      </c>
    </row>
    <row r="8" spans="1:3" ht="15" customHeight="1" x14ac:dyDescent="0.25">
      <c r="B8" s="5" t="s">
        <v>8</v>
      </c>
      <c r="C8" s="44">
        <v>0.621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0.90041511535644503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9.3399999999999997E-2</v>
      </c>
    </row>
    <row r="24" spans="1:3" ht="15" customHeight="1" x14ac:dyDescent="0.25">
      <c r="B24" s="15" t="s">
        <v>22</v>
      </c>
      <c r="C24" s="45">
        <v>0.65379999999999994</v>
      </c>
    </row>
    <row r="25" spans="1:3" ht="15" customHeight="1" x14ac:dyDescent="0.25">
      <c r="B25" s="15" t="s">
        <v>23</v>
      </c>
      <c r="C25" s="45">
        <v>0.23599999999999999</v>
      </c>
    </row>
    <row r="26" spans="1:3" ht="15" customHeight="1" x14ac:dyDescent="0.25">
      <c r="B26" s="15" t="s">
        <v>24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0.305826683497959</v>
      </c>
    </row>
    <row r="30" spans="1:3" ht="14.25" customHeight="1" x14ac:dyDescent="0.25">
      <c r="B30" s="25" t="s">
        <v>27</v>
      </c>
      <c r="C30" s="99">
        <v>8.0334841914884408E-2</v>
      </c>
    </row>
    <row r="31" spans="1:3" ht="14.25" customHeight="1" x14ac:dyDescent="0.25">
      <c r="B31" s="25" t="s">
        <v>28</v>
      </c>
      <c r="C31" s="99">
        <v>0.12438567345943199</v>
      </c>
    </row>
    <row r="32" spans="1:3" ht="14.25" customHeight="1" x14ac:dyDescent="0.25">
      <c r="B32" s="25" t="s">
        <v>29</v>
      </c>
      <c r="C32" s="99">
        <v>0.48945280112772499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7.6795799999999996</v>
      </c>
    </row>
    <row r="38" spans="1:5" ht="15" customHeight="1" x14ac:dyDescent="0.25">
      <c r="B38" s="11" t="s">
        <v>34</v>
      </c>
      <c r="C38" s="43">
        <v>12.565189999999999</v>
      </c>
      <c r="D38" s="12"/>
      <c r="E38" s="13"/>
    </row>
    <row r="39" spans="1:5" ht="15" customHeight="1" x14ac:dyDescent="0.25">
      <c r="B39" s="11" t="s">
        <v>35</v>
      </c>
      <c r="C39" s="43">
        <v>14.06606</v>
      </c>
      <c r="D39" s="12"/>
      <c r="E39" s="12"/>
    </row>
    <row r="40" spans="1:5" ht="15" customHeight="1" x14ac:dyDescent="0.25">
      <c r="B40" s="11" t="s">
        <v>36</v>
      </c>
      <c r="C40" s="100">
        <v>0.3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5.9385999999999996E-3</v>
      </c>
      <c r="D45" s="12"/>
    </row>
    <row r="46" spans="1:5" ht="15.75" customHeight="1" x14ac:dyDescent="0.25">
      <c r="B46" s="11" t="s">
        <v>41</v>
      </c>
      <c r="C46" s="45">
        <v>6.3809699999999997E-2</v>
      </c>
      <c r="D46" s="12"/>
    </row>
    <row r="47" spans="1:5" ht="15.75" customHeight="1" x14ac:dyDescent="0.25">
      <c r="B47" s="11" t="s">
        <v>42</v>
      </c>
      <c r="C47" s="45">
        <v>7.5353900000000001E-2</v>
      </c>
      <c r="D47" s="12"/>
      <c r="E47" s="13"/>
    </row>
    <row r="48" spans="1:5" ht="15" customHeight="1" x14ac:dyDescent="0.25">
      <c r="B48" s="11" t="s">
        <v>43</v>
      </c>
      <c r="C48" s="46">
        <v>0.85489779999999993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0.59351200000000004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732525</v>
      </c>
      <c r="C2" s="49">
        <v>1678074.5</v>
      </c>
      <c r="D2" s="49">
        <v>2625416.5</v>
      </c>
      <c r="E2" s="49">
        <v>2937205</v>
      </c>
      <c r="F2" s="49">
        <v>1953296</v>
      </c>
      <c r="G2" s="17">
        <f t="shared" ref="G2:G13" si="0">C2+D2+E2+F2</f>
        <v>9193992</v>
      </c>
      <c r="H2" s="17">
        <f t="shared" ref="H2:H13" si="1">(B2 + stillbirth*B2/(1000-stillbirth))/(1-abortion)</f>
        <v>837329.55390356958</v>
      </c>
      <c r="I2" s="17">
        <f t="shared" ref="I2:I13" si="2">G2-H2</f>
        <v>8356662.4460964305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714952</v>
      </c>
      <c r="C3" s="50">
        <v>1727863.5</v>
      </c>
      <c r="D3" s="50">
        <v>2576514.5</v>
      </c>
      <c r="E3" s="50">
        <v>2959064</v>
      </c>
      <c r="F3" s="50">
        <v>2010970.5</v>
      </c>
      <c r="G3" s="17">
        <f t="shared" si="0"/>
        <v>9274412.5</v>
      </c>
      <c r="H3" s="17">
        <f t="shared" si="1"/>
        <v>817242.33196473133</v>
      </c>
      <c r="I3" s="17">
        <f t="shared" si="2"/>
        <v>8457170.1680352688</v>
      </c>
    </row>
    <row r="4" spans="1:9" ht="15.75" customHeight="1" x14ac:dyDescent="0.25">
      <c r="A4" s="5">
        <f t="shared" si="3"/>
        <v>2026</v>
      </c>
      <c r="B4" s="49">
        <v>698119</v>
      </c>
      <c r="C4" s="50">
        <v>1772315</v>
      </c>
      <c r="D4" s="50">
        <v>2541203</v>
      </c>
      <c r="E4" s="50">
        <v>2963134.5</v>
      </c>
      <c r="F4" s="50">
        <v>2076009.5</v>
      </c>
      <c r="G4" s="17">
        <f t="shared" si="0"/>
        <v>9352662</v>
      </c>
      <c r="H4" s="17">
        <f t="shared" si="1"/>
        <v>798000.9840505186</v>
      </c>
      <c r="I4" s="17">
        <f t="shared" si="2"/>
        <v>8554661.0159494821</v>
      </c>
    </row>
    <row r="5" spans="1:9" ht="15.75" customHeight="1" x14ac:dyDescent="0.25">
      <c r="A5" s="5">
        <f t="shared" si="3"/>
        <v>2027</v>
      </c>
      <c r="B5" s="49">
        <v>684830</v>
      </c>
      <c r="C5" s="50">
        <v>1811713.5</v>
      </c>
      <c r="D5" s="50">
        <v>2530522.5</v>
      </c>
      <c r="E5" s="50">
        <v>2949002</v>
      </c>
      <c r="F5" s="50">
        <v>2147697</v>
      </c>
      <c r="G5" s="17">
        <f t="shared" si="0"/>
        <v>9438935</v>
      </c>
      <c r="H5" s="17">
        <f t="shared" si="1"/>
        <v>782810.68687045702</v>
      </c>
      <c r="I5" s="17">
        <f t="shared" si="2"/>
        <v>8656124.3131295424</v>
      </c>
    </row>
    <row r="6" spans="1:9" ht="15.75" customHeight="1" x14ac:dyDescent="0.25">
      <c r="A6" s="5">
        <f t="shared" si="3"/>
        <v>2028</v>
      </c>
      <c r="B6" s="49">
        <v>678347</v>
      </c>
      <c r="C6" s="50">
        <v>1847655</v>
      </c>
      <c r="D6" s="50">
        <v>2549681</v>
      </c>
      <c r="E6" s="50">
        <v>2920168.5</v>
      </c>
      <c r="F6" s="50">
        <v>2222669.5</v>
      </c>
      <c r="G6" s="17">
        <f t="shared" si="0"/>
        <v>9540174</v>
      </c>
      <c r="H6" s="17">
        <f t="shared" si="1"/>
        <v>775400.14457093575</v>
      </c>
      <c r="I6" s="17">
        <f t="shared" si="2"/>
        <v>8764773.8554290645</v>
      </c>
    </row>
    <row r="7" spans="1:9" ht="15.75" customHeight="1" x14ac:dyDescent="0.25">
      <c r="A7" s="5">
        <f t="shared" si="3"/>
        <v>2029</v>
      </c>
      <c r="B7" s="49">
        <v>672981</v>
      </c>
      <c r="C7" s="50">
        <v>1882559</v>
      </c>
      <c r="D7" s="50">
        <v>2592138</v>
      </c>
      <c r="E7" s="50">
        <v>2879461</v>
      </c>
      <c r="F7" s="50">
        <v>2292972</v>
      </c>
      <c r="G7" s="17">
        <f t="shared" si="0"/>
        <v>9647130</v>
      </c>
      <c r="H7" s="17">
        <f t="shared" si="1"/>
        <v>769266.4148193961</v>
      </c>
      <c r="I7" s="17">
        <f t="shared" si="2"/>
        <v>8877863.585180603</v>
      </c>
    </row>
    <row r="8" spans="1:9" ht="15.75" customHeight="1" x14ac:dyDescent="0.25">
      <c r="A8" s="5">
        <f t="shared" si="3"/>
        <v>2030</v>
      </c>
      <c r="B8" s="49">
        <v>671944</v>
      </c>
      <c r="C8" s="50">
        <v>1919143</v>
      </c>
      <c r="D8" s="50">
        <v>2644051</v>
      </c>
      <c r="E8" s="50">
        <v>2827141.5</v>
      </c>
      <c r="F8" s="50">
        <v>2356372.5</v>
      </c>
      <c r="G8" s="17">
        <f t="shared" si="0"/>
        <v>9746708</v>
      </c>
      <c r="H8" s="17">
        <f t="shared" si="1"/>
        <v>768081.04811191442</v>
      </c>
      <c r="I8" s="17">
        <f t="shared" si="2"/>
        <v>8978626.9518880863</v>
      </c>
    </row>
    <row r="9" spans="1:9" ht="15.75" customHeight="1" x14ac:dyDescent="0.25">
      <c r="A9" s="5">
        <f t="shared" si="3"/>
        <v>2031</v>
      </c>
      <c r="B9" s="49">
        <v>668197</v>
      </c>
      <c r="C9" s="50">
        <v>1958617.5</v>
      </c>
      <c r="D9" s="50">
        <v>2696658.5</v>
      </c>
      <c r="E9" s="50">
        <v>2765324</v>
      </c>
      <c r="F9" s="50">
        <v>2419521.5</v>
      </c>
      <c r="G9" s="17">
        <f t="shared" si="0"/>
        <v>9840121.5</v>
      </c>
      <c r="H9" s="17">
        <f t="shared" si="1"/>
        <v>763797.95355749433</v>
      </c>
      <c r="I9" s="17">
        <f t="shared" si="2"/>
        <v>9076323.546442505</v>
      </c>
    </row>
    <row r="10" spans="1:9" ht="15.75" customHeight="1" x14ac:dyDescent="0.25">
      <c r="A10" s="5">
        <f t="shared" si="3"/>
        <v>2032</v>
      </c>
      <c r="B10" s="49">
        <v>664696</v>
      </c>
      <c r="C10" s="50">
        <v>2009074.5</v>
      </c>
      <c r="D10" s="50">
        <v>2750849.5</v>
      </c>
      <c r="E10" s="50">
        <v>2702334</v>
      </c>
      <c r="F10" s="50">
        <v>2484054</v>
      </c>
      <c r="G10" s="17">
        <f t="shared" si="0"/>
        <v>9946312</v>
      </c>
      <c r="H10" s="17">
        <f t="shared" si="1"/>
        <v>759796.05496261152</v>
      </c>
      <c r="I10" s="17">
        <f t="shared" si="2"/>
        <v>9186515.9450373892</v>
      </c>
    </row>
    <row r="11" spans="1:9" ht="15.75" customHeight="1" x14ac:dyDescent="0.25">
      <c r="A11" s="5">
        <f t="shared" si="3"/>
        <v>2033</v>
      </c>
      <c r="B11" s="49">
        <v>667198</v>
      </c>
      <c r="C11" s="50">
        <v>2068905.5</v>
      </c>
      <c r="D11" s="50">
        <v>2815605.5</v>
      </c>
      <c r="E11" s="50">
        <v>2640574.5</v>
      </c>
      <c r="F11" s="50">
        <v>2541504</v>
      </c>
      <c r="G11" s="17">
        <f t="shared" si="0"/>
        <v>10066589.5</v>
      </c>
      <c r="H11" s="17">
        <f t="shared" si="1"/>
        <v>762656.02362425008</v>
      </c>
      <c r="I11" s="17">
        <f t="shared" si="2"/>
        <v>9303933.4763757493</v>
      </c>
    </row>
    <row r="12" spans="1:9" ht="15.75" customHeight="1" x14ac:dyDescent="0.25">
      <c r="A12" s="5">
        <f t="shared" si="3"/>
        <v>2034</v>
      </c>
      <c r="B12" s="49">
        <v>669130</v>
      </c>
      <c r="C12" s="50">
        <v>2129417.5</v>
      </c>
      <c r="D12" s="50">
        <v>2892515.5</v>
      </c>
      <c r="E12" s="50">
        <v>2583608.5</v>
      </c>
      <c r="F12" s="50">
        <v>2584338</v>
      </c>
      <c r="G12" s="17">
        <f t="shared" si="0"/>
        <v>10189879.5</v>
      </c>
      <c r="H12" s="17">
        <f t="shared" si="1"/>
        <v>764864.4406723259</v>
      </c>
      <c r="I12" s="17">
        <f t="shared" si="2"/>
        <v>9425015.0593276732</v>
      </c>
    </row>
    <row r="13" spans="1:9" ht="15.75" customHeight="1" x14ac:dyDescent="0.25">
      <c r="A13" s="5">
        <f t="shared" si="3"/>
        <v>2035</v>
      </c>
      <c r="B13" s="49">
        <v>671915</v>
      </c>
      <c r="C13" s="50">
        <v>2180307</v>
      </c>
      <c r="D13" s="50">
        <v>2975157.5</v>
      </c>
      <c r="E13" s="50">
        <v>2535472.5</v>
      </c>
      <c r="F13" s="50">
        <v>2610650</v>
      </c>
      <c r="G13" s="17">
        <f t="shared" si="0"/>
        <v>10301587</v>
      </c>
      <c r="H13" s="17">
        <f t="shared" si="1"/>
        <v>768047.89899473323</v>
      </c>
      <c r="I13" s="17">
        <f t="shared" si="2"/>
        <v>9533539.1010052674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4.4007592784674611E-4</v>
      </c>
    </row>
    <row r="4" spans="1:8" ht="15.75" customHeight="1" x14ac:dyDescent="0.25">
      <c r="B4" s="19" t="s">
        <v>69</v>
      </c>
      <c r="C4" s="101">
        <v>5.7395460468312433E-2</v>
      </c>
    </row>
    <row r="5" spans="1:8" ht="15.75" customHeight="1" x14ac:dyDescent="0.25">
      <c r="B5" s="19" t="s">
        <v>70</v>
      </c>
      <c r="C5" s="101">
        <v>4.4677456143148997E-2</v>
      </c>
    </row>
    <row r="6" spans="1:8" ht="15.75" customHeight="1" x14ac:dyDescent="0.25">
      <c r="B6" s="19" t="s">
        <v>71</v>
      </c>
      <c r="C6" s="101">
        <v>0.17366390058463799</v>
      </c>
    </row>
    <row r="7" spans="1:8" ht="15.75" customHeight="1" x14ac:dyDescent="0.25">
      <c r="B7" s="19" t="s">
        <v>72</v>
      </c>
      <c r="C7" s="101">
        <v>0.43792874529763209</v>
      </c>
    </row>
    <row r="8" spans="1:8" ht="15.75" customHeight="1" x14ac:dyDescent="0.25">
      <c r="B8" s="19" t="s">
        <v>73</v>
      </c>
      <c r="C8" s="101">
        <v>5.1597177634383427E-5</v>
      </c>
    </row>
    <row r="9" spans="1:8" ht="15.75" customHeight="1" x14ac:dyDescent="0.25">
      <c r="B9" s="19" t="s">
        <v>74</v>
      </c>
      <c r="C9" s="101">
        <v>0.2093974459597063</v>
      </c>
    </row>
    <row r="10" spans="1:8" ht="15.75" customHeight="1" x14ac:dyDescent="0.25">
      <c r="B10" s="19" t="s">
        <v>75</v>
      </c>
      <c r="C10" s="101">
        <v>7.6445318441081156E-2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82</v>
      </c>
      <c r="C15" s="101">
        <v>0.36879511464592329</v>
      </c>
      <c r="D15" s="101">
        <v>0.36879511464592329</v>
      </c>
      <c r="E15" s="101">
        <v>0.36879511464592329</v>
      </c>
      <c r="F15" s="101">
        <v>0.36879511464592329</v>
      </c>
    </row>
    <row r="16" spans="1:8" ht="15.75" customHeight="1" x14ac:dyDescent="0.25">
      <c r="B16" s="19" t="s">
        <v>83</v>
      </c>
      <c r="C16" s="101">
        <v>2.4413339123503991E-2</v>
      </c>
      <c r="D16" s="101">
        <v>2.4413339123503991E-2</v>
      </c>
      <c r="E16" s="101">
        <v>2.4413339123503991E-2</v>
      </c>
      <c r="F16" s="101">
        <v>2.4413339123503991E-2</v>
      </c>
    </row>
    <row r="17" spans="1:8" ht="15.75" customHeight="1" x14ac:dyDescent="0.25">
      <c r="B17" s="19" t="s">
        <v>84</v>
      </c>
      <c r="C17" s="101">
        <v>2.4697229962766711E-4</v>
      </c>
      <c r="D17" s="101">
        <v>2.4697229962766711E-4</v>
      </c>
      <c r="E17" s="101">
        <v>2.4697229962766711E-4</v>
      </c>
      <c r="F17" s="101">
        <v>2.4697229962766711E-4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5.9231523023368969E-3</v>
      </c>
      <c r="D19" s="101">
        <v>5.9231523023368969E-3</v>
      </c>
      <c r="E19" s="101">
        <v>5.9231523023368969E-3</v>
      </c>
      <c r="F19" s="101">
        <v>5.9231523023368969E-3</v>
      </c>
    </row>
    <row r="20" spans="1:8" ht="15.75" customHeight="1" x14ac:dyDescent="0.25">
      <c r="B20" s="19" t="s">
        <v>87</v>
      </c>
      <c r="C20" s="101">
        <v>9.0116220308402023E-2</v>
      </c>
      <c r="D20" s="101">
        <v>9.0116220308402023E-2</v>
      </c>
      <c r="E20" s="101">
        <v>9.0116220308402023E-2</v>
      </c>
      <c r="F20" s="101">
        <v>9.0116220308402023E-2</v>
      </c>
    </row>
    <row r="21" spans="1:8" ht="15.75" customHeight="1" x14ac:dyDescent="0.25">
      <c r="B21" s="19" t="s">
        <v>88</v>
      </c>
      <c r="C21" s="101">
        <v>0.31442374459401951</v>
      </c>
      <c r="D21" s="101">
        <v>0.31442374459401951</v>
      </c>
      <c r="E21" s="101">
        <v>0.31442374459401951</v>
      </c>
      <c r="F21" s="101">
        <v>0.31442374459401951</v>
      </c>
    </row>
    <row r="22" spans="1:8" ht="15.75" customHeight="1" x14ac:dyDescent="0.25">
      <c r="B22" s="19" t="s">
        <v>89</v>
      </c>
      <c r="C22" s="101">
        <v>0.1384357941245801</v>
      </c>
      <c r="D22" s="101">
        <v>0.1384357941245801</v>
      </c>
      <c r="E22" s="101">
        <v>0.1384357941245801</v>
      </c>
      <c r="F22" s="101">
        <v>0.1384357941245801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6.9449472999999998E-2</v>
      </c>
    </row>
    <row r="27" spans="1:8" ht="15.75" customHeight="1" x14ac:dyDescent="0.25">
      <c r="B27" s="19" t="s">
        <v>92</v>
      </c>
      <c r="C27" s="101">
        <v>2.9846799E-2</v>
      </c>
    </row>
    <row r="28" spans="1:8" ht="15.75" customHeight="1" x14ac:dyDescent="0.25">
      <c r="B28" s="19" t="s">
        <v>93</v>
      </c>
      <c r="C28" s="101">
        <v>7.5538350000000004E-2</v>
      </c>
    </row>
    <row r="29" spans="1:8" ht="15.75" customHeight="1" x14ac:dyDescent="0.25">
      <c r="B29" s="19" t="s">
        <v>94</v>
      </c>
      <c r="C29" s="101">
        <v>0.20332114100000001</v>
      </c>
    </row>
    <row r="30" spans="1:8" ht="15.75" customHeight="1" x14ac:dyDescent="0.25">
      <c r="B30" s="19" t="s">
        <v>95</v>
      </c>
      <c r="C30" s="101">
        <v>4.5681777999999999E-2</v>
      </c>
    </row>
    <row r="31" spans="1:8" ht="15.75" customHeight="1" x14ac:dyDescent="0.25">
      <c r="B31" s="19" t="s">
        <v>96</v>
      </c>
      <c r="C31" s="101">
        <v>1.9566962E-2</v>
      </c>
    </row>
    <row r="32" spans="1:8" ht="15.75" customHeight="1" x14ac:dyDescent="0.25">
      <c r="B32" s="19" t="s">
        <v>97</v>
      </c>
      <c r="C32" s="101">
        <v>8.5306862999999997E-2</v>
      </c>
    </row>
    <row r="33" spans="2:3" ht="15.75" customHeight="1" x14ac:dyDescent="0.25">
      <c r="B33" s="19" t="s">
        <v>98</v>
      </c>
      <c r="C33" s="101">
        <v>0.392452888</v>
      </c>
    </row>
    <row r="34" spans="2:3" ht="15.75" customHeight="1" x14ac:dyDescent="0.25">
      <c r="B34" s="19" t="s">
        <v>99</v>
      </c>
      <c r="C34" s="101">
        <v>7.8835746999999998E-2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104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105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109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110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122</v>
      </c>
      <c r="C5" s="52">
        <v>2.3456899999999999E-2</v>
      </c>
      <c r="D5" s="52">
        <v>9.3364799999999998E-2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45.059697708734632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0.24284238634880001</v>
      </c>
      <c r="C3" s="98">
        <v>0.95</v>
      </c>
      <c r="D3" s="56">
        <v>42.681515161267903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211.06677542197349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7.2395987071572607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13.699227061288489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13.699227061288489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13.699227061288489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13.699227061288489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13.699227061288489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13.699227061288489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0.43846979913857109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0.76225600000000004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0.12483437314788</v>
      </c>
      <c r="C18" s="98">
        <v>0.95</v>
      </c>
      <c r="D18" s="56">
        <v>4.9270454148954128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0.96306690000000006</v>
      </c>
      <c r="C19" s="98">
        <v>0.95</v>
      </c>
      <c r="D19" s="56">
        <v>4.9270454148954128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0.72948809999999997</v>
      </c>
      <c r="C21" s="98">
        <v>0.95</v>
      </c>
      <c r="D21" s="56">
        <v>78.708084515042287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23.463764774460952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4.5607388970998564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0.94595372085456009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19.698516154118199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0.74181480370667996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84.046606343271279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0.99</v>
      </c>
      <c r="C31" s="98">
        <v>0.95</v>
      </c>
      <c r="D31" s="56">
        <v>1.310082435231509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0.90679548983180225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0.56111960000000005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0.67195470000000002</v>
      </c>
      <c r="C38" s="98">
        <v>0.95</v>
      </c>
      <c r="D38" s="56">
        <v>1.362241488981754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205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0.621</v>
      </c>
      <c r="E2" s="60">
        <f>food_insecure</f>
        <v>0.621</v>
      </c>
      <c r="F2" s="60">
        <f>food_insecure</f>
        <v>0.621</v>
      </c>
      <c r="G2" s="60">
        <f>food_insecure</f>
        <v>0.621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0.621</v>
      </c>
      <c r="I15" s="60">
        <f>food_insecure</f>
        <v>0.621</v>
      </c>
      <c r="J15" s="60">
        <f>food_insecure</f>
        <v>0.621</v>
      </c>
      <c r="K15" s="60">
        <f>food_insecure</f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B242365-EB1A-4EA9-9D3E-CC0FE4A30848}"/>
</file>

<file path=customXml/itemProps2.xml><?xml version="1.0" encoding="utf-8"?>
<ds:datastoreItem xmlns:ds="http://schemas.openxmlformats.org/officeDocument/2006/customXml" ds:itemID="{3E696552-C754-4A04-918E-BB842BDDDCE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2024-04-11T00:42:23Z</dcterms:modified>
</cp:coreProperties>
</file>