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EA63E06-6AB8-40F2-8F47-30D0165AB97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3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<sst xmlns="http://schemas.openxmlformats.org/spreadsheetml/2006/main" count="2103" uniqueCount="341">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</sst>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3853603.25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45.059697708734632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42.681515161267903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211.06677542197349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7.2395987071572607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13.699227061288489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13.699227061288489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13.699227061288489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13.699227061288489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13.699227061288489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13.699227061288489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0.43846979913857109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0.76225600000000004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0.2368297</v>
      </c>
      <c r="C18" s="98">
        <v>0.95</v>
      </c>
      <c r="D18" s="56">
        <v>4.9270454148954128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0.2368297</v>
      </c>
      <c r="C19" s="98">
        <v>0.95</v>
      </c>
      <c r="D19" s="56">
        <v>4.9270454148954128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78.708084515042287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0.70884126301032002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19.698516154118199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0.67195470000000002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0.56111960000000005</v>
      </c>
      <c r="C29" s="98">
        <v>0.95</v>
      </c>
      <c r="D29" s="56">
        <v>84.046606343271279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1.310082435231509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0.90679548983180225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0.8162645999999999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0.7434151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5.2288500000000002E-2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0.72948809999999997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0.1601621</v>
      </c>
      <c r="C38" s="98">
        <v>0.95</v>
      </c>
      <c r="D38" s="56">
        <v>1.362241488981754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205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0.1087920192721864</v>
      </c>
      <c r="G18" s="90">
        <f>MIN(MAX(1-0.89/(1-frac_sam_12_23months+(frac_sam_12_23months*0.89)),0),1)</f>
        <v>0.10973166333037598</v>
      </c>
      <c r="H18" s="90">
        <f>MIN(MAX(1-0.89/(1-frac_sam_24_59months+(frac_sam_24_59months*0.89)),0),1)</f>
        <v>0.10951413131935872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0.108175120284555</v>
      </c>
      <c r="G20" s="90">
        <f>MIN(MAX(1-0.89/(1-frac_mam_12_23months+(frac_mam_12_23months*0.89)),0),1)</f>
        <v>0.10944123760627</v>
      </c>
      <c r="H20" s="90">
        <f>MIN(MAX(1-0.89/(1-frac_mam_24_59months+(frac_mam_24_59months*0.89)),0),1)</f>
        <v>0.10923434148745981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9.8779951863229298E-3</v>
      </c>
      <c r="G73" s="90">
        <f>MIN(MAX(1-0.99/(1-frac_sam_12_23months+(frac_sam_12_23months*0.99)),0),1)</f>
        <v>9.972872266672983E-3</v>
      </c>
      <c r="H73" s="90">
        <f>MIN(MAX(1-0.99/(1-frac_sam_24_59months+(frac_sam_24_59months*0.99)),0),1)</f>
        <v>9.9508915841244328E-3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9.8158049458518803E-3</v>
      </c>
      <c r="G75" s="90">
        <f>MIN(MAX(1-0.99/(1-frac_mam_12_23months+(frac_mam_12_23months*0.99)),0),1)</f>
        <v>9.943528168903204E-3</v>
      </c>
      <c r="H75" s="90">
        <f>MIN(MAX(1-0.99/(1-frac_mam_24_59months+(frac_mam_24_59months*0.99)),0),1)</f>
        <v>9.9226343645718584E-3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0.19802357722465558</v>
      </c>
      <c r="G128" s="90">
        <f>MIN(MAX(1-0.8/(1-frac_sam_12_23months+(frac_sam_12_23months*0.8)),0),1)</f>
        <v>0.19956134360752376</v>
      </c>
      <c r="H128" s="90">
        <f>MIN(MAX(1-0.8/(1-frac_sam_24_59months+(frac_sam_24_59months*0.8)),0),1)</f>
        <v>0.19920557990348742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0.19701254942914714</v>
      </c>
      <c r="G130" s="90">
        <f>MIN(MAX(1-0.8/(1-frac_mam_12_23months+(frac_mam_12_23months*0.8)),0),1)</f>
        <v>0.19908633370776718</v>
      </c>
      <c r="H130" s="90">
        <f>MIN(MAX(1-0.8/(1-frac_mam_24_59months+(frac_mam_24_59months*0.8)),0),1)</f>
        <v>0.19874778701650508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2024-06-18T06:57:44Z</dcterms:modified>
</cp:coreProperties>
</file>