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7A3A52D-7C5B-4C38-BBFF-8137F414C334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6" i="2"/>
  <c r="A35" i="2"/>
  <c r="A34" i="2"/>
  <c r="A29" i="2"/>
  <c r="A28" i="2"/>
  <c r="A27" i="2"/>
  <c r="A26" i="2"/>
  <c r="A21" i="2"/>
  <c r="A20" i="2"/>
  <c r="A19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3" i="2" s="1"/>
  <c r="C33" i="1"/>
  <c r="C20" i="1"/>
  <c r="A38" i="2" l="1"/>
  <c r="A15" i="2"/>
  <c r="A4" i="2"/>
  <c r="A5" i="2" s="1"/>
  <c r="A14" i="2"/>
  <c r="A22" i="2"/>
  <c r="A30" i="2"/>
  <c r="A40" i="2"/>
  <c r="A24" i="2"/>
  <c r="A32" i="2"/>
  <c r="A6" i="2"/>
  <c r="A7" i="2" s="1"/>
  <c r="A8" i="2" s="1"/>
  <c r="A9" i="2" s="1"/>
  <c r="A10" i="2" s="1"/>
  <c r="A11" i="2" s="1"/>
  <c r="A12" i="2" s="1"/>
  <c r="A13" i="2" s="1"/>
  <c r="A23" i="2"/>
  <c r="A31" i="2"/>
  <c r="A16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<sst xmlns="http://schemas.openxmlformats.org/spreadsheetml/2006/main" count="2094" uniqueCount="341">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</sst>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1263402.15625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0.23430719375610401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0.47099999999999997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0.1169</v>
      </c>
    </row>
    <row r="24" spans="1:3" ht="15" customHeight="1" x14ac:dyDescent="0.25">
      <c r="B24" s="15" t="s">
        <v>22</v>
      </c>
      <c r="C24" s="45">
        <v>0.50690000000000002</v>
      </c>
    </row>
    <row r="25" spans="1:3" ht="15" customHeight="1" x14ac:dyDescent="0.25">
      <c r="B25" s="15" t="s">
        <v>23</v>
      </c>
      <c r="C25" s="45">
        <v>0.31080000000000002</v>
      </c>
    </row>
    <row r="26" spans="1:3" ht="15" customHeight="1" x14ac:dyDescent="0.25">
      <c r="B26" s="15" t="s">
        <v>24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0.32097876330389902</v>
      </c>
    </row>
    <row r="30" spans="1:3" ht="14.25" customHeight="1" x14ac:dyDescent="0.25">
      <c r="B30" s="25" t="s">
        <v>27</v>
      </c>
      <c r="C30" s="99">
        <v>0.11435649369624799</v>
      </c>
    </row>
    <row r="31" spans="1:3" ht="14.25" customHeight="1" x14ac:dyDescent="0.25">
      <c r="B31" s="25" t="s">
        <v>28</v>
      </c>
      <c r="C31" s="99">
        <v>0.128931423055959</v>
      </c>
    </row>
    <row r="32" spans="1:3" ht="14.25" customHeight="1" x14ac:dyDescent="0.25">
      <c r="B32" s="25" t="s">
        <v>29</v>
      </c>
      <c r="C32" s="99">
        <v>0.43573331994389503</v>
      </c>
    </row>
    <row r="33" spans="1:5" ht="13" customHeight="1" x14ac:dyDescent="0.25">
      <c r="B33" s="27" t="s">
        <v>30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13.569990000000001</v>
      </c>
    </row>
    <row r="38" spans="1:5" ht="15" customHeight="1" x14ac:dyDescent="0.25">
      <c r="B38" s="11" t="s">
        <v>34</v>
      </c>
      <c r="C38" s="43">
        <v>27.63936</v>
      </c>
      <c r="D38" s="12"/>
      <c r="E38" s="13"/>
    </row>
    <row r="39" spans="1:5" ht="15" customHeight="1" x14ac:dyDescent="0.25">
      <c r="B39" s="11" t="s">
        <v>35</v>
      </c>
      <c r="C39" s="43">
        <v>31.419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5.9144999999999996E-3</v>
      </c>
      <c r="D45" s="12"/>
    </row>
    <row r="46" spans="1:5" ht="15.75" customHeight="1" x14ac:dyDescent="0.25">
      <c r="B46" s="11" t="s">
        <v>41</v>
      </c>
      <c r="C46" s="45">
        <v>6.3550899999999994E-2</v>
      </c>
      <c r="D46" s="12"/>
    </row>
    <row r="47" spans="1:5" ht="15.75" customHeight="1" x14ac:dyDescent="0.25">
      <c r="B47" s="11" t="s">
        <v>42</v>
      </c>
      <c r="C47" s="45">
        <v>7.5376799999999994E-2</v>
      </c>
      <c r="D47" s="12"/>
      <c r="E47" s="13"/>
    </row>
    <row r="48" spans="1:5" ht="15" customHeight="1" x14ac:dyDescent="0.25">
      <c r="B48" s="11" t="s">
        <v>43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0.58725400000000005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0.10496649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2416633</v>
      </c>
      <c r="C2" s="49">
        <v>4619149</v>
      </c>
      <c r="D2" s="49">
        <v>5806295</v>
      </c>
      <c r="E2" s="49">
        <v>4324552</v>
      </c>
      <c r="F2" s="49">
        <v>2611899</v>
      </c>
      <c r="G2" s="17">
        <f t="shared" ref="G2:G13" si="0">C2+D2+E2+F2</f>
        <v>17361895</v>
      </c>
      <c r="H2" s="17">
        <f t="shared" ref="H2:H13" si="1">(B2 + stillbirth*B2/(1000-stillbirth))/(1-abortion)</f>
        <v>2771477.3968399647</v>
      </c>
      <c r="I2" s="17">
        <f t="shared" ref="I2:I13" si="2">G2-H2</f>
        <v>14590417.603160035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2446942</v>
      </c>
      <c r="C3" s="50">
        <v>4724884</v>
      </c>
      <c r="D3" s="50">
        <v>6030799.5</v>
      </c>
      <c r="E3" s="50">
        <v>4403188</v>
      </c>
      <c r="F3" s="50">
        <v>2747410.5</v>
      </c>
      <c r="G3" s="17">
        <f t="shared" si="0"/>
        <v>17906282</v>
      </c>
      <c r="H3" s="17">
        <f t="shared" si="1"/>
        <v>2806236.7949036439</v>
      </c>
      <c r="I3" s="17">
        <f t="shared" si="2"/>
        <v>15100045.205096357</v>
      </c>
    </row>
    <row r="4" spans="1:9" ht="15.75" customHeight="1" x14ac:dyDescent="0.25">
      <c r="A4" s="5">
        <f t="shared" si="3"/>
        <v>2026</v>
      </c>
      <c r="B4" s="49">
        <v>2482397</v>
      </c>
      <c r="C4" s="50">
        <v>4819044.5</v>
      </c>
      <c r="D4" s="50">
        <v>6256111.5</v>
      </c>
      <c r="E4" s="50">
        <v>4493230.5</v>
      </c>
      <c r="F4" s="50">
        <v>2882318</v>
      </c>
      <c r="G4" s="17">
        <f t="shared" si="0"/>
        <v>18450704.5</v>
      </c>
      <c r="H4" s="17">
        <f t="shared" si="1"/>
        <v>2846897.8018107582</v>
      </c>
      <c r="I4" s="17">
        <f t="shared" si="2"/>
        <v>15603806.698189242</v>
      </c>
    </row>
    <row r="5" spans="1:9" ht="15.75" customHeight="1" x14ac:dyDescent="0.25">
      <c r="A5" s="5">
        <f t="shared" si="3"/>
        <v>2027</v>
      </c>
      <c r="B5" s="49">
        <v>2517660</v>
      </c>
      <c r="C5" s="50">
        <v>4920401</v>
      </c>
      <c r="D5" s="50">
        <v>6479876</v>
      </c>
      <c r="E5" s="50">
        <v>4592857.5</v>
      </c>
      <c r="F5" s="50">
        <v>3013574.5</v>
      </c>
      <c r="G5" s="17">
        <f t="shared" si="0"/>
        <v>19006709</v>
      </c>
      <c r="H5" s="17">
        <f t="shared" si="1"/>
        <v>2887338.6165495985</v>
      </c>
      <c r="I5" s="17">
        <f t="shared" si="2"/>
        <v>16119370.383450402</v>
      </c>
    </row>
    <row r="6" spans="1:9" ht="15.75" customHeight="1" x14ac:dyDescent="0.25">
      <c r="A6" s="5">
        <f t="shared" si="3"/>
        <v>2028</v>
      </c>
      <c r="B6" s="49">
        <v>2554608</v>
      </c>
      <c r="C6" s="50">
        <v>5042170.5</v>
      </c>
      <c r="D6" s="50">
        <v>6702982</v>
      </c>
      <c r="E6" s="50">
        <v>4699942</v>
      </c>
      <c r="F6" s="50">
        <v>3137718.5</v>
      </c>
      <c r="G6" s="17">
        <f t="shared" si="0"/>
        <v>19582813</v>
      </c>
      <c r="H6" s="17">
        <f t="shared" si="1"/>
        <v>2929711.8469318878</v>
      </c>
      <c r="I6" s="17">
        <f t="shared" si="2"/>
        <v>16653101.153068112</v>
      </c>
    </row>
    <row r="7" spans="1:9" ht="15.75" customHeight="1" x14ac:dyDescent="0.25">
      <c r="A7" s="5">
        <f t="shared" si="3"/>
        <v>2029</v>
      </c>
      <c r="B7" s="49">
        <v>2583691</v>
      </c>
      <c r="C7" s="50">
        <v>5175783</v>
      </c>
      <c r="D7" s="50">
        <v>6924557</v>
      </c>
      <c r="E7" s="50">
        <v>4818036.5</v>
      </c>
      <c r="F7" s="50">
        <v>3255143.5</v>
      </c>
      <c r="G7" s="17">
        <f t="shared" si="0"/>
        <v>20173520</v>
      </c>
      <c r="H7" s="17">
        <f t="shared" si="1"/>
        <v>2963065.226254398</v>
      </c>
      <c r="I7" s="17">
        <f t="shared" si="2"/>
        <v>17210454.773745604</v>
      </c>
    </row>
    <row r="8" spans="1:9" ht="15.75" customHeight="1" x14ac:dyDescent="0.25">
      <c r="A8" s="5">
        <f t="shared" si="3"/>
        <v>2030</v>
      </c>
      <c r="B8" s="49">
        <v>2618789</v>
      </c>
      <c r="C8" s="50">
        <v>5317584</v>
      </c>
      <c r="D8" s="50">
        <v>7141920.4999999991</v>
      </c>
      <c r="E8" s="50">
        <v>4950691</v>
      </c>
      <c r="F8" s="50">
        <v>3365886.5</v>
      </c>
      <c r="G8" s="17">
        <f t="shared" si="0"/>
        <v>20776082</v>
      </c>
      <c r="H8" s="17">
        <f t="shared" si="1"/>
        <v>3003316.8133486272</v>
      </c>
      <c r="I8" s="17">
        <f t="shared" si="2"/>
        <v>17772765.186651371</v>
      </c>
    </row>
    <row r="9" spans="1:9" ht="15.75" customHeight="1" x14ac:dyDescent="0.25">
      <c r="A9" s="5">
        <f t="shared" si="3"/>
        <v>2031</v>
      </c>
      <c r="B9" s="49">
        <v>2661087</v>
      </c>
      <c r="C9" s="50">
        <v>5470340</v>
      </c>
      <c r="D9" s="50">
        <v>7348283</v>
      </c>
      <c r="E9" s="50">
        <v>5101501.5</v>
      </c>
      <c r="F9" s="50">
        <v>3467196</v>
      </c>
      <c r="G9" s="17">
        <f t="shared" si="0"/>
        <v>21387320.5</v>
      </c>
      <c r="H9" s="17">
        <f t="shared" si="1"/>
        <v>3051825.6067531444</v>
      </c>
      <c r="I9" s="17">
        <f t="shared" si="2"/>
        <v>18335494.893246856</v>
      </c>
    </row>
    <row r="10" spans="1:9" ht="15.75" customHeight="1" x14ac:dyDescent="0.25">
      <c r="A10" s="5">
        <f t="shared" si="3"/>
        <v>2032</v>
      </c>
      <c r="B10" s="49">
        <v>2696627</v>
      </c>
      <c r="C10" s="50">
        <v>5633988.4999999991</v>
      </c>
      <c r="D10" s="50">
        <v>7542555</v>
      </c>
      <c r="E10" s="50">
        <v>5268999</v>
      </c>
      <c r="F10" s="50">
        <v>3559075</v>
      </c>
      <c r="G10" s="17">
        <f t="shared" si="0"/>
        <v>22004617.5</v>
      </c>
      <c r="H10" s="17">
        <f t="shared" si="1"/>
        <v>3092584.0945680887</v>
      </c>
      <c r="I10" s="17">
        <f t="shared" si="2"/>
        <v>18912033.405431911</v>
      </c>
    </row>
    <row r="11" spans="1:9" ht="15.75" customHeight="1" x14ac:dyDescent="0.25">
      <c r="A11" s="5">
        <f t="shared" si="3"/>
        <v>2033</v>
      </c>
      <c r="B11" s="49">
        <v>2737070</v>
      </c>
      <c r="C11" s="50">
        <v>5795246.4999999991</v>
      </c>
      <c r="D11" s="50">
        <v>7737675.5</v>
      </c>
      <c r="E11" s="50">
        <v>5455316.5</v>
      </c>
      <c r="F11" s="50">
        <v>3642969</v>
      </c>
      <c r="G11" s="17">
        <f t="shared" si="0"/>
        <v>22631207.5</v>
      </c>
      <c r="H11" s="17">
        <f t="shared" si="1"/>
        <v>3138965.5105134966</v>
      </c>
      <c r="I11" s="17">
        <f t="shared" si="2"/>
        <v>19492241.989486504</v>
      </c>
    </row>
    <row r="12" spans="1:9" ht="15.75" customHeight="1" x14ac:dyDescent="0.25">
      <c r="A12" s="5">
        <f t="shared" si="3"/>
        <v>2034</v>
      </c>
      <c r="B12" s="49">
        <v>2783878</v>
      </c>
      <c r="C12" s="50">
        <v>5941306.5000000009</v>
      </c>
      <c r="D12" s="50">
        <v>7943202.5</v>
      </c>
      <c r="E12" s="50">
        <v>5663874</v>
      </c>
      <c r="F12" s="50">
        <v>3717155</v>
      </c>
      <c r="G12" s="17">
        <f t="shared" si="0"/>
        <v>23265538</v>
      </c>
      <c r="H12" s="17">
        <f t="shared" si="1"/>
        <v>3192646.5262040393</v>
      </c>
      <c r="I12" s="17">
        <f t="shared" si="2"/>
        <v>20072891.473795962</v>
      </c>
    </row>
    <row r="13" spans="1:9" ht="15.75" customHeight="1" x14ac:dyDescent="0.25">
      <c r="A13" s="5">
        <f t="shared" si="3"/>
        <v>2035</v>
      </c>
      <c r="B13" s="49">
        <v>2811205</v>
      </c>
      <c r="C13" s="50">
        <v>6077727.9999999991</v>
      </c>
      <c r="D13" s="50">
        <v>8151855</v>
      </c>
      <c r="E13" s="50">
        <v>5886503.5</v>
      </c>
      <c r="F13" s="50">
        <v>3782645.5</v>
      </c>
      <c r="G13" s="17">
        <f t="shared" si="0"/>
        <v>23898732</v>
      </c>
      <c r="H13" s="17">
        <f t="shared" si="1"/>
        <v>3223986.0646542083</v>
      </c>
      <c r="I13" s="17">
        <f t="shared" si="2"/>
        <v>20674745.935345791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3.0741955489755001E-3</v>
      </c>
    </row>
    <row r="4" spans="1:8" ht="15.75" customHeight="1" x14ac:dyDescent="0.25">
      <c r="B4" s="19" t="s">
        <v>69</v>
      </c>
      <c r="C4" s="101">
        <v>4.5714087306233192E-2</v>
      </c>
    </row>
    <row r="5" spans="1:8" ht="15.75" customHeight="1" x14ac:dyDescent="0.25">
      <c r="B5" s="19" t="s">
        <v>70</v>
      </c>
      <c r="C5" s="101">
        <v>6.2934905662831719E-2</v>
      </c>
    </row>
    <row r="6" spans="1:8" ht="15.75" customHeight="1" x14ac:dyDescent="0.25">
      <c r="B6" s="19" t="s">
        <v>71</v>
      </c>
      <c r="C6" s="101">
        <v>0.20706367546229029</v>
      </c>
    </row>
    <row r="7" spans="1:8" ht="15.75" customHeight="1" x14ac:dyDescent="0.25">
      <c r="B7" s="19" t="s">
        <v>72</v>
      </c>
      <c r="C7" s="101">
        <v>0.45319363919792882</v>
      </c>
    </row>
    <row r="8" spans="1:8" ht="15.75" customHeight="1" x14ac:dyDescent="0.25">
      <c r="B8" s="19" t="s">
        <v>73</v>
      </c>
      <c r="C8" s="101">
        <v>3.9374278179925862E-4</v>
      </c>
    </row>
    <row r="9" spans="1:8" ht="15.75" customHeight="1" x14ac:dyDescent="0.25">
      <c r="B9" s="19" t="s">
        <v>74</v>
      </c>
      <c r="C9" s="101">
        <v>0.12922187821010439</v>
      </c>
    </row>
    <row r="10" spans="1:8" ht="15.75" customHeight="1" x14ac:dyDescent="0.25">
      <c r="B10" s="19" t="s">
        <v>75</v>
      </c>
      <c r="C10" s="101">
        <v>9.8403875829836771E-2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82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83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87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88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89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5.4573182999999997E-2</v>
      </c>
    </row>
    <row r="27" spans="1:8" ht="15.75" customHeight="1" x14ac:dyDescent="0.25">
      <c r="B27" s="19" t="s">
        <v>92</v>
      </c>
      <c r="C27" s="101">
        <v>5.9409878999999999E-2</v>
      </c>
    </row>
    <row r="28" spans="1:8" ht="15.75" customHeight="1" x14ac:dyDescent="0.25">
      <c r="B28" s="19" t="s">
        <v>93</v>
      </c>
      <c r="C28" s="101">
        <v>0.12098242100000001</v>
      </c>
    </row>
    <row r="29" spans="1:8" ht="15.75" customHeight="1" x14ac:dyDescent="0.25">
      <c r="B29" s="19" t="s">
        <v>94</v>
      </c>
      <c r="C29" s="101">
        <v>0.13495797500000001</v>
      </c>
    </row>
    <row r="30" spans="1:8" ht="15.75" customHeight="1" x14ac:dyDescent="0.25">
      <c r="B30" s="19" t="s">
        <v>95</v>
      </c>
      <c r="C30" s="101">
        <v>8.1454253000000018E-2</v>
      </c>
    </row>
    <row r="31" spans="1:8" ht="15.75" customHeight="1" x14ac:dyDescent="0.25">
      <c r="B31" s="19" t="s">
        <v>96</v>
      </c>
      <c r="C31" s="101">
        <v>6.5903797E-2</v>
      </c>
    </row>
    <row r="32" spans="1:8" ht="15.75" customHeight="1" x14ac:dyDescent="0.25">
      <c r="B32" s="19" t="s">
        <v>97</v>
      </c>
      <c r="C32" s="101">
        <v>0.13216685</v>
      </c>
    </row>
    <row r="33" spans="2:3" ht="15.75" customHeight="1" x14ac:dyDescent="0.25">
      <c r="B33" s="19" t="s">
        <v>98</v>
      </c>
      <c r="C33" s="101">
        <v>0.12743632599999999</v>
      </c>
    </row>
    <row r="34" spans="2:3" ht="15.75" customHeight="1" x14ac:dyDescent="0.25">
      <c r="B34" s="19" t="s">
        <v>99</v>
      </c>
      <c r="C34" s="101">
        <v>0.22311531600000001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104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105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109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110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122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37.19399420609443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0.2297651940206</v>
      </c>
      <c r="C3" s="98">
        <v>0.95</v>
      </c>
      <c r="D3" s="56">
        <v>44.687863506355853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87.750761200273303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0.21403234422682621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2.19022E-2</v>
      </c>
      <c r="C10" s="98">
        <v>0.95</v>
      </c>
      <c r="D10" s="56">
        <v>14.21292537547621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2.19022E-2</v>
      </c>
      <c r="C11" s="98">
        <v>0.95</v>
      </c>
      <c r="D11" s="56">
        <v>14.21292537547621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2.19022E-2</v>
      </c>
      <c r="C12" s="98">
        <v>0.95</v>
      </c>
      <c r="D12" s="56">
        <v>14.21292537547621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2.19022E-2</v>
      </c>
      <c r="C13" s="98">
        <v>0.95</v>
      </c>
      <c r="D13" s="56">
        <v>14.21292537547621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2.19022E-2</v>
      </c>
      <c r="C14" s="98">
        <v>0.95</v>
      </c>
      <c r="D14" s="56">
        <v>14.21292537547621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2.19022E-2</v>
      </c>
      <c r="C15" s="98">
        <v>0.95</v>
      </c>
      <c r="D15" s="56">
        <v>14.21292537547621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0.2692044645575572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0.11101765896826001</v>
      </c>
      <c r="C18" s="98">
        <v>0.95</v>
      </c>
      <c r="D18" s="56">
        <v>2.121285075768927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0.96748329999999994</v>
      </c>
      <c r="C19" s="98">
        <v>0.95</v>
      </c>
      <c r="D19" s="56">
        <v>2.121285075768927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0.65150499999999989</v>
      </c>
      <c r="C21" s="98">
        <v>0.95</v>
      </c>
      <c r="D21" s="56">
        <v>2.018086277984164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24.240556138631131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4.6734447573928826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0.84125521627911992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2.19022E-2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20.520932391194329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0.65971046931085997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66.094319306946403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0.95</v>
      </c>
      <c r="C31" s="98">
        <v>0.95</v>
      </c>
      <c r="D31" s="56">
        <v>0.87641819162715673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0.52185419969466551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0.22507530000000001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0.61705699999999997</v>
      </c>
      <c r="C38" s="98">
        <v>0.95</v>
      </c>
      <c r="D38" s="56">
        <v>3.1822727770799002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205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0.47099999999999997</v>
      </c>
      <c r="M24" s="60">
        <f>famplan_unmet_need</f>
        <v>0.47099999999999997</v>
      </c>
      <c r="N24" s="60">
        <f>famplan_unmet_need</f>
        <v>0.47099999999999997</v>
      </c>
      <c r="O24" s="60">
        <f>famplan_unmet_need</f>
        <v>0.47099999999999997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0.38290765854644748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0.16410328223419177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0.21868186546325669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0.23430719375610398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6C6940D-EED4-4689-85A6-DEC2E32B414E}"/>
</file>

<file path=customXml/itemProps2.xml><?xml version="1.0" encoding="utf-8"?>
<ds:datastoreItem xmlns:ds="http://schemas.openxmlformats.org/officeDocument/2006/customXml" ds:itemID="{8ED5A6B6-3752-4C07-B26F-8C76CA4F1A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2024-04-11T00:42:09Z</dcterms:modified>
</cp:coreProperties>
</file>