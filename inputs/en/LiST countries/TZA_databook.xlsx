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63B92AB-5A77-413D-92D3-227A09C620B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25" i="2"/>
  <c r="H13" i="2"/>
  <c r="G13" i="2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<sst xmlns="http://schemas.openxmlformats.org/spreadsheetml/2006/main" count="2159" uniqueCount="372">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</sst>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11187258.5</v>
      </c>
    </row>
    <row r="8" spans="1:3" ht="15" customHeight="1" x14ac:dyDescent="0.25">
      <c r="B8" s="5" t="s">
        <v>8</v>
      </c>
      <c r="C8" s="44">
        <v>0.26400000000000001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0.2731307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0.1169</v>
      </c>
    </row>
    <row r="24" spans="1:3" ht="15" customHeight="1" x14ac:dyDescent="0.25">
      <c r="B24" s="15" t="s">
        <v>22</v>
      </c>
      <c r="C24" s="45">
        <v>0.50690000000000002</v>
      </c>
    </row>
    <row r="25" spans="1:3" ht="15" customHeight="1" x14ac:dyDescent="0.25">
      <c r="B25" s="15" t="s">
        <v>23</v>
      </c>
      <c r="C25" s="45">
        <v>0.31080000000000002</v>
      </c>
    </row>
    <row r="26" spans="1:3" ht="15" customHeight="1" x14ac:dyDescent="0.25">
      <c r="B26" s="15" t="s">
        <v>24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.25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1.95</v>
      </c>
      <c r="D51" s="12"/>
    </row>
    <row r="52" spans="1:4" ht="15" customHeight="1" x14ac:dyDescent="0.25">
      <c r="B52" s="11" t="s">
        <v>46</v>
      </c>
      <c r="C52" s="100">
        <v>1.95</v>
      </c>
    </row>
    <row r="53" spans="1:4" ht="15.75" customHeight="1" x14ac:dyDescent="0.25">
      <c r="B53" s="11" t="s">
        <v>47</v>
      </c>
      <c r="C53" s="100">
        <v>4.8360000000000003</v>
      </c>
    </row>
    <row r="54" spans="1:4" ht="15.75" customHeight="1" x14ac:dyDescent="0.25">
      <c r="B54" s="11" t="s">
        <v>48</v>
      </c>
      <c r="C54" s="100">
        <v>3.952</v>
      </c>
    </row>
    <row r="55" spans="1:4" ht="15.75" customHeight="1" x14ac:dyDescent="0.25">
      <c r="B55" s="11" t="s">
        <v>49</v>
      </c>
      <c r="C55" s="100">
        <v>1.3606666666666669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9.7035635879999999E-2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11226125</v>
      </c>
      <c r="C2" s="49">
        <v>2803251</v>
      </c>
      <c r="D2" s="49">
        <v>4916485.5</v>
      </c>
      <c r="E2" s="49">
        <v>7917039.5000000009</v>
      </c>
      <c r="F2" s="49">
        <v>5956140</v>
      </c>
      <c r="G2" s="17">
        <f t="shared" ref="G2:G13" si="0">C2+D2+E2+F2</f>
        <v>21592916</v>
      </c>
      <c r="H2" s="17">
        <f t="shared" ref="H2:H13" si="1">(B2 + stillbirth*B2/(1000-stillbirth))/(1-abortion)</f>
        <v>12874504.19306533</v>
      </c>
      <c r="I2" s="17">
        <f t="shared" ref="I2:I13" si="2">G2-H2</f>
        <v>8718411.8069346696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2385984</v>
      </c>
      <c r="C3" s="50">
        <v>3720956.5</v>
      </c>
      <c r="D3" s="50">
        <v>5877352.5</v>
      </c>
      <c r="E3" s="50">
        <v>4125888</v>
      </c>
      <c r="F3" s="50">
        <v>2894238.0000000005</v>
      </c>
      <c r="G3" s="17">
        <f t="shared" si="0"/>
        <v>16618435</v>
      </c>
      <c r="H3" s="17">
        <f t="shared" si="1"/>
        <v>2736328.0751449666</v>
      </c>
      <c r="I3" s="17">
        <f t="shared" si="2"/>
        <v>13882106.924855033</v>
      </c>
    </row>
    <row r="4" spans="1:9" ht="15.75" customHeight="1" x14ac:dyDescent="0.25">
      <c r="A4" s="5">
        <f t="shared" si="3"/>
        <v>2026</v>
      </c>
      <c r="B4" s="49">
        <v>2419272</v>
      </c>
      <c r="C4" s="50">
        <v>3793164.5</v>
      </c>
      <c r="D4" s="50">
        <v>6073421.5</v>
      </c>
      <c r="E4" s="50">
        <v>4258950</v>
      </c>
      <c r="F4" s="50">
        <v>2995191.5</v>
      </c>
      <c r="G4" s="17">
        <f t="shared" si="0"/>
        <v>17120727.5</v>
      </c>
      <c r="H4" s="17">
        <f t="shared" si="1"/>
        <v>2774503.8923195265</v>
      </c>
      <c r="I4" s="17">
        <f t="shared" si="2"/>
        <v>14346223.607680473</v>
      </c>
    </row>
    <row r="5" spans="1:9" ht="15.75" customHeight="1" x14ac:dyDescent="0.25">
      <c r="A5" s="5">
        <f t="shared" si="3"/>
        <v>2027</v>
      </c>
      <c r="B5" s="49">
        <v>2459538</v>
      </c>
      <c r="C5" s="50">
        <v>3860668</v>
      </c>
      <c r="D5" s="50">
        <v>6267362.9999999991</v>
      </c>
      <c r="E5" s="50">
        <v>4403649.5</v>
      </c>
      <c r="F5" s="50">
        <v>3096166.5000000005</v>
      </c>
      <c r="G5" s="17">
        <f t="shared" si="0"/>
        <v>17627847</v>
      </c>
      <c r="H5" s="17">
        <f t="shared" si="1"/>
        <v>2820682.3186098067</v>
      </c>
      <c r="I5" s="17">
        <f t="shared" si="2"/>
        <v>14807164.681390192</v>
      </c>
    </row>
    <row r="6" spans="1:9" ht="15.75" customHeight="1" x14ac:dyDescent="0.25">
      <c r="A6" s="5">
        <f t="shared" si="3"/>
        <v>2028</v>
      </c>
      <c r="B6" s="49">
        <v>2494507</v>
      </c>
      <c r="C6" s="50">
        <v>3934696</v>
      </c>
      <c r="D6" s="50">
        <v>6455538.5000000009</v>
      </c>
      <c r="E6" s="50">
        <v>4553597.5</v>
      </c>
      <c r="F6" s="50">
        <v>3197340.5000000005</v>
      </c>
      <c r="G6" s="17">
        <f t="shared" si="0"/>
        <v>18141172.5</v>
      </c>
      <c r="H6" s="17">
        <f t="shared" si="1"/>
        <v>2860785.9640909764</v>
      </c>
      <c r="I6" s="17">
        <f t="shared" si="2"/>
        <v>15280386.535909023</v>
      </c>
    </row>
    <row r="7" spans="1:9" ht="15.75" customHeight="1" x14ac:dyDescent="0.25">
      <c r="A7" s="5">
        <f t="shared" si="3"/>
        <v>2029</v>
      </c>
      <c r="B7" s="49">
        <v>2528941</v>
      </c>
      <c r="C7" s="50">
        <v>4028147</v>
      </c>
      <c r="D7" s="50">
        <v>6637328.5</v>
      </c>
      <c r="E7" s="50">
        <v>4707016.5</v>
      </c>
      <c r="F7" s="50">
        <v>3301018</v>
      </c>
      <c r="G7" s="17">
        <f t="shared" si="0"/>
        <v>18673510</v>
      </c>
      <c r="H7" s="17">
        <f t="shared" si="1"/>
        <v>2900276.0532699246</v>
      </c>
      <c r="I7" s="17">
        <f t="shared" si="2"/>
        <v>15773233.946730075</v>
      </c>
    </row>
    <row r="8" spans="1:9" ht="15.75" customHeight="1" x14ac:dyDescent="0.25">
      <c r="A8" s="5">
        <f t="shared" si="3"/>
        <v>2030</v>
      </c>
      <c r="B8" s="49">
        <v>2567418</v>
      </c>
      <c r="C8" s="50">
        <v>4139706</v>
      </c>
      <c r="D8" s="50">
        <v>6816209.5</v>
      </c>
      <c r="E8" s="50">
        <v>4866302.5</v>
      </c>
      <c r="F8" s="50">
        <v>3407693.5</v>
      </c>
      <c r="G8" s="17">
        <f t="shared" si="0"/>
        <v>19229911.5</v>
      </c>
      <c r="H8" s="17">
        <f t="shared" si="1"/>
        <v>2944402.79315894</v>
      </c>
      <c r="I8" s="17">
        <f t="shared" si="2"/>
        <v>16285508.706841059</v>
      </c>
    </row>
    <row r="9" spans="1:9" ht="15.75" customHeight="1" x14ac:dyDescent="0.25">
      <c r="A9" s="5">
        <f t="shared" si="3"/>
        <v>2031</v>
      </c>
      <c r="B9" s="49">
        <v>2604947</v>
      </c>
      <c r="C9" s="50">
        <v>4257185</v>
      </c>
      <c r="D9" s="50">
        <v>6995133.5</v>
      </c>
      <c r="E9" s="50">
        <v>5031657.5</v>
      </c>
      <c r="F9" s="50">
        <v>3516080.5</v>
      </c>
      <c r="G9" s="17">
        <f t="shared" si="0"/>
        <v>19800056.5</v>
      </c>
      <c r="H9" s="17">
        <f t="shared" si="1"/>
        <v>2987442.3342171009</v>
      </c>
      <c r="I9" s="17">
        <f t="shared" si="2"/>
        <v>16812614.165782899</v>
      </c>
    </row>
    <row r="10" spans="1:9" ht="15.75" customHeight="1" x14ac:dyDescent="0.25">
      <c r="A10" s="5">
        <f t="shared" si="3"/>
        <v>2032</v>
      </c>
      <c r="B10" s="49">
        <v>2647100</v>
      </c>
      <c r="C10" s="50">
        <v>4383812</v>
      </c>
      <c r="D10" s="50">
        <v>7170707</v>
      </c>
      <c r="E10" s="50">
        <v>5203170.5</v>
      </c>
      <c r="F10" s="50">
        <v>3627158.0000000005</v>
      </c>
      <c r="G10" s="17">
        <f t="shared" si="0"/>
        <v>20384847.5</v>
      </c>
      <c r="H10" s="17">
        <f t="shared" si="1"/>
        <v>3035784.8366612019</v>
      </c>
      <c r="I10" s="17">
        <f t="shared" si="2"/>
        <v>17349062.663338799</v>
      </c>
    </row>
    <row r="11" spans="1:9" ht="15.75" customHeight="1" x14ac:dyDescent="0.25">
      <c r="A11" s="5">
        <f t="shared" si="3"/>
        <v>2033</v>
      </c>
      <c r="B11" s="49">
        <v>2676718</v>
      </c>
      <c r="C11" s="50">
        <v>4523641</v>
      </c>
      <c r="D11" s="50">
        <v>7347722.5</v>
      </c>
      <c r="E11" s="50">
        <v>5379992</v>
      </c>
      <c r="F11" s="50">
        <v>3741170</v>
      </c>
      <c r="G11" s="17">
        <f t="shared" si="0"/>
        <v>20992525.5</v>
      </c>
      <c r="H11" s="17">
        <f t="shared" si="1"/>
        <v>3069751.772285935</v>
      </c>
      <c r="I11" s="17">
        <f t="shared" si="2"/>
        <v>17922773.727714065</v>
      </c>
    </row>
    <row r="12" spans="1:9" ht="15.75" customHeight="1" x14ac:dyDescent="0.25">
      <c r="A12" s="5">
        <f t="shared" si="3"/>
        <v>2034</v>
      </c>
      <c r="B12" s="49">
        <v>2715622</v>
      </c>
      <c r="C12" s="50">
        <v>4661204</v>
      </c>
      <c r="D12" s="50">
        <v>7533575.5</v>
      </c>
      <c r="E12" s="50">
        <v>5564419.5</v>
      </c>
      <c r="F12" s="50">
        <v>3856900.4999999995</v>
      </c>
      <c r="G12" s="17">
        <f t="shared" si="0"/>
        <v>21616099.5</v>
      </c>
      <c r="H12" s="17">
        <f t="shared" si="1"/>
        <v>3114368.2103825193</v>
      </c>
      <c r="I12" s="17">
        <f t="shared" si="2"/>
        <v>18501731.289617479</v>
      </c>
    </row>
    <row r="13" spans="1:9" ht="15.75" customHeight="1" x14ac:dyDescent="0.25">
      <c r="A13" s="5">
        <f t="shared" si="3"/>
        <v>2035</v>
      </c>
      <c r="B13" s="49">
        <v>2761758</v>
      </c>
      <c r="C13" s="50">
        <v>4789535</v>
      </c>
      <c r="D13" s="50">
        <v>7726864</v>
      </c>
      <c r="E13" s="50">
        <v>5758606</v>
      </c>
      <c r="F13" s="50">
        <v>3978458.5</v>
      </c>
      <c r="G13" s="17">
        <f t="shared" si="0"/>
        <v>22253463.5</v>
      </c>
      <c r="H13" s="17">
        <f t="shared" si="1"/>
        <v>3167278.5534841022</v>
      </c>
      <c r="I13" s="17">
        <f t="shared" si="2"/>
        <v>19086184.946515899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5.6723700000000044E-2</v>
      </c>
      <c r="D5" s="52">
        <f t="shared" si="0"/>
        <v>4.6961999999999948E-2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1192.76647949219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0.54902000000000006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0.78305000000000002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2.5664287235020775E-2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94933.443270000003</v>
      </c>
      <c r="C22" s="109">
        <v>94177.866850000006</v>
      </c>
      <c r="D22" s="109">
        <v>93852.443669999993</v>
      </c>
      <c r="E22" s="109">
        <v>93332.122340000002</v>
      </c>
      <c r="F22" s="109">
        <v>92616.516900000002</v>
      </c>
      <c r="G22" s="109">
        <v>91691.325100000002</v>
      </c>
      <c r="H22" s="109">
        <v>90462.714840000001</v>
      </c>
      <c r="I22" s="109">
        <v>88820.775750000001</v>
      </c>
      <c r="J22" s="109">
        <v>86592.444430000003</v>
      </c>
      <c r="K22" s="109">
        <v>83689.157200000001</v>
      </c>
      <c r="L22" s="109">
        <v>79765.358919999999</v>
      </c>
      <c r="M22" s="109">
        <v>74677.631829999998</v>
      </c>
      <c r="N22" s="109">
        <v>67594.334990000003</v>
      </c>
      <c r="O22" s="109">
        <v>58414.177989999996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12.73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0.46280465114316638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2.19022E-2</v>
      </c>
      <c r="C10" s="98">
        <v>0.95</v>
      </c>
      <c r="D10" s="56">
        <v>14.21292537547621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14.21292537547621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14.21292537547621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14.21292537547621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0.38819999999999999</v>
      </c>
      <c r="C14" s="98">
        <v>0.95</v>
      </c>
      <c r="D14" s="56">
        <v>4.586811392844738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14.21292537547621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2.4996908648836405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0.23</v>
      </c>
      <c r="C18" s="98">
        <v>0.95</v>
      </c>
      <c r="D18" s="56">
        <v>12.729008336227858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0.31436900000000001</v>
      </c>
      <c r="C19" s="98">
        <v>0.95</v>
      </c>
      <c r="D19" s="56">
        <v>2.121285075768927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10.472005904828066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12.73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1.96765E-2</v>
      </c>
      <c r="C23" s="98">
        <v>0.95</v>
      </c>
      <c r="D23" s="56">
        <v>4.6734447573928826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0.63038645218564004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1.4999999999999999E-2</v>
      </c>
      <c r="C26" s="98">
        <v>0.95</v>
      </c>
      <c r="D26" s="56">
        <v>5.6425060784994798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0.61705699999999997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0.22507530000000001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109.20979506773186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0.95</v>
      </c>
      <c r="C32" s="98">
        <v>0.95</v>
      </c>
      <c r="D32" s="56">
        <v>0.48537686696769716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0.72953559999999995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0.52023419999999998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2.6733799999999999E-2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0.65150499999999989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0.19674449999999999</v>
      </c>
      <c r="C38" s="98">
        <v>0.95</v>
      </c>
      <c r="D38" s="56">
        <v>6.7103351858284128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13.111054247697034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1.95</v>
      </c>
      <c r="C2" s="21">
        <f>'Baseline year population inputs'!C52</f>
        <v>1.95</v>
      </c>
      <c r="D2" s="21">
        <f>'Baseline year population inputs'!C53</f>
        <v>4.8360000000000003</v>
      </c>
      <c r="E2" s="21">
        <f>'Baseline year population inputs'!C54</f>
        <v>3.952</v>
      </c>
      <c r="F2" s="21">
        <f>'Baseline year population inputs'!C55</f>
        <v>1.3606666666666669</v>
      </c>
    </row>
    <row r="3" spans="1:6" ht="15.75" customHeight="1" x14ac:dyDescent="0.25">
      <c r="A3" s="3" t="s">
        <v>197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198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0.26400000000000001</v>
      </c>
      <c r="F2" s="60">
        <f>food_insecure</f>
        <v>0.26400000000000001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0.26400000000000001</v>
      </c>
      <c r="F5" s="60">
        <f>food_insecure</f>
        <v>0.26400000000000001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3.2035714285714292E-2</v>
      </c>
      <c r="D7" s="60">
        <f>diarrhoea_1_5mo*frac_diarrhea_severe</f>
        <v>3.2035714285714292E-2</v>
      </c>
      <c r="E7" s="60">
        <f>diarrhoea_6_11mo*frac_diarrhea_severe</f>
        <v>7.9448571428571452E-2</v>
      </c>
      <c r="F7" s="60">
        <f>diarrhoea_12_23mo*frac_diarrhea_severe</f>
        <v>6.4925714285714295E-2</v>
      </c>
      <c r="G7" s="60">
        <f>diarrhoea_24_59mo*frac_diarrhea_severe</f>
        <v>2.2353809523809533E-2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0.26400000000000001</v>
      </c>
      <c r="F8" s="60">
        <f>food_insecure</f>
        <v>0.26400000000000001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0.26400000000000001</v>
      </c>
      <c r="F9" s="60">
        <f>food_insecure</f>
        <v>0.26400000000000001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3.2035714285714292E-2</v>
      </c>
      <c r="D12" s="60">
        <f>diarrhoea_1_5mo*frac_diarrhea_severe</f>
        <v>3.2035714285714292E-2</v>
      </c>
      <c r="E12" s="60">
        <f>diarrhoea_6_11mo*frac_diarrhea_severe</f>
        <v>7.9448571428571452E-2</v>
      </c>
      <c r="F12" s="60">
        <f>diarrhoea_12_23mo*frac_diarrhea_severe</f>
        <v>6.4925714285714295E-2</v>
      </c>
      <c r="G12" s="60">
        <f>diarrhoea_24_59mo*frac_diarrhea_severe</f>
        <v>2.2353809523809533E-2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0.26400000000000001</v>
      </c>
      <c r="I15" s="60">
        <f t="shared" si="0"/>
        <v>0.26400000000000001</v>
      </c>
      <c r="J15" s="60">
        <f t="shared" si="0"/>
        <v>0.26400000000000001</v>
      </c>
      <c r="K15" s="60">
        <f t="shared" si="0"/>
        <v>0.26400000000000001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0.26400000000000001</v>
      </c>
      <c r="I16" s="60">
        <f t="shared" si="0"/>
        <v>0.26400000000000001</v>
      </c>
      <c r="J16" s="60">
        <f t="shared" si="0"/>
        <v>0.26400000000000001</v>
      </c>
      <c r="K16" s="60">
        <f t="shared" si="0"/>
        <v>0.26400000000000001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0.3964635909919999</v>
      </c>
      <c r="M25" s="60">
        <f>(1-food_insecure)*(0.49)+food_insecure*(0.7)</f>
        <v>0.54543999999999992</v>
      </c>
      <c r="N25" s="60">
        <f>(1-food_insecure)*(0.49)+food_insecure*(0.7)</f>
        <v>0.54543999999999992</v>
      </c>
      <c r="O25" s="60">
        <f>(1-food_insecure)*(0.49)+food_insecure*(0.7)</f>
        <v>0.54543999999999992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0.16991296756800001</v>
      </c>
      <c r="M26" s="60">
        <f>(1-food_insecure)*(0.21)+food_insecure*(0.3)</f>
        <v>0.23376000000000002</v>
      </c>
      <c r="N26" s="60">
        <f>(1-food_insecure)*(0.21)+food_insecure*(0.3)</f>
        <v>0.23376000000000002</v>
      </c>
      <c r="O26" s="60">
        <f>(1-food_insecure)*(0.21)+food_insecure*(0.3)</f>
        <v>0.23376000000000002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0.16049274143999998</v>
      </c>
      <c r="M27" s="60">
        <f>(1-food_insecure)*(0.3)</f>
        <v>0.2208</v>
      </c>
      <c r="N27" s="60">
        <f>(1-food_insecure)*(0.3)</f>
        <v>0.2208</v>
      </c>
      <c r="O27" s="60">
        <f>(1-food_insecure)*(0.3)</f>
        <v>0.2208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0.2731307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