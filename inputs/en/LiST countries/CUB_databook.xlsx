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3AE191A-09A3-4E4C-9BA1-2943FA5B20BA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<sst xmlns="http://schemas.openxmlformats.org/spreadsheetml/2006/main" count="2102" uniqueCount="341">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</sst>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498418.4453125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0.89261077880859407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0.13220000000000001</v>
      </c>
    </row>
    <row r="24" spans="1:3" ht="15" customHeight="1" x14ac:dyDescent="0.25">
      <c r="B24" s="15" t="s">
        <v>22</v>
      </c>
      <c r="C24" s="45">
        <v>0.57689999999999997</v>
      </c>
    </row>
    <row r="25" spans="1:3" ht="15" customHeight="1" x14ac:dyDescent="0.25">
      <c r="B25" s="15" t="s">
        <v>23</v>
      </c>
      <c r="C25" s="45">
        <v>0.27529999999999999</v>
      </c>
    </row>
    <row r="26" spans="1:3" ht="15" customHeight="1" x14ac:dyDescent="0.25">
      <c r="B26" s="15" t="s">
        <v>24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2.3803999999999998</v>
      </c>
    </row>
    <row r="38" spans="1:5" ht="15" customHeight="1" x14ac:dyDescent="0.25">
      <c r="B38" s="11" t="s">
        <v>34</v>
      </c>
      <c r="C38" s="43">
        <v>3.9929299999999999</v>
      </c>
      <c r="D38" s="12"/>
      <c r="E38" s="13"/>
    </row>
    <row r="39" spans="1:5" ht="15" customHeight="1" x14ac:dyDescent="0.25">
      <c r="B39" s="11" t="s">
        <v>35</v>
      </c>
      <c r="C39" s="43">
        <v>5.0016400000000001</v>
      </c>
      <c r="D39" s="12"/>
      <c r="E39" s="12"/>
    </row>
    <row r="40" spans="1:5" ht="15" customHeight="1" x14ac:dyDescent="0.25">
      <c r="B40" s="11" t="s">
        <v>36</v>
      </c>
      <c r="C40" s="100">
        <v>0.39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5.0914999999999997E-3</v>
      </c>
      <c r="D45" s="12"/>
    </row>
    <row r="46" spans="1:5" ht="15.75" customHeight="1" x14ac:dyDescent="0.25">
      <c r="B46" s="11" t="s">
        <v>41</v>
      </c>
      <c r="C46" s="45">
        <v>5.4706900000000003E-2</v>
      </c>
      <c r="D46" s="12"/>
    </row>
    <row r="47" spans="1:5" ht="15.75" customHeight="1" x14ac:dyDescent="0.25">
      <c r="B47" s="11" t="s">
        <v>42</v>
      </c>
      <c r="C47" s="45">
        <v>7.6159900000000003E-2</v>
      </c>
      <c r="D47" s="12"/>
      <c r="E47" s="13"/>
    </row>
    <row r="48" spans="1:5" ht="15" customHeight="1" x14ac:dyDescent="0.25">
      <c r="B48" s="11" t="s">
        <v>43</v>
      </c>
      <c r="C48" s="46">
        <v>0.86404169999999991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0.57630200000000009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97775</v>
      </c>
      <c r="C2" s="49">
        <v>346620</v>
      </c>
      <c r="D2" s="49">
        <v>666463.5</v>
      </c>
      <c r="E2" s="49">
        <v>752266.5</v>
      </c>
      <c r="F2" s="49">
        <v>600503</v>
      </c>
      <c r="G2" s="17">
        <f t="shared" ref="G2:G13" si="0">C2+D2+E2+F2</f>
        <v>2365853</v>
      </c>
      <c r="H2" s="17">
        <f t="shared" ref="H2:H13" si="1">(B2 + stillbirth*B2/(1000-stillbirth))/(1-abortion)</f>
        <v>111885.46228685058</v>
      </c>
      <c r="I2" s="17">
        <f t="shared" ref="I2:I13" si="2">G2-H2</f>
        <v>2253967.5377131496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97031</v>
      </c>
      <c r="C3" s="50">
        <v>350582.5</v>
      </c>
      <c r="D3" s="50">
        <v>656831.5</v>
      </c>
      <c r="E3" s="50">
        <v>744271</v>
      </c>
      <c r="F3" s="50">
        <v>588141</v>
      </c>
      <c r="G3" s="17">
        <f t="shared" si="0"/>
        <v>2339826</v>
      </c>
      <c r="H3" s="17">
        <f t="shared" si="1"/>
        <v>111034.09144623268</v>
      </c>
      <c r="I3" s="17">
        <f t="shared" si="2"/>
        <v>2228791.9085537675</v>
      </c>
    </row>
    <row r="4" spans="1:9" ht="15.75" customHeight="1" x14ac:dyDescent="0.25">
      <c r="A4" s="5">
        <f t="shared" si="3"/>
        <v>2026</v>
      </c>
      <c r="B4" s="49">
        <v>96330</v>
      </c>
      <c r="C4" s="50">
        <v>356295.5</v>
      </c>
      <c r="D4" s="50">
        <v>644317.5</v>
      </c>
      <c r="E4" s="50">
        <v>735001.49999999988</v>
      </c>
      <c r="F4" s="50">
        <v>583055.5</v>
      </c>
      <c r="G4" s="17">
        <f t="shared" si="0"/>
        <v>2318670</v>
      </c>
      <c r="H4" s="17">
        <f t="shared" si="1"/>
        <v>110231.9261783924</v>
      </c>
      <c r="I4" s="17">
        <f t="shared" si="2"/>
        <v>2208438.0738216075</v>
      </c>
    </row>
    <row r="5" spans="1:9" ht="15.75" customHeight="1" x14ac:dyDescent="0.25">
      <c r="A5" s="5">
        <f t="shared" si="3"/>
        <v>2027</v>
      </c>
      <c r="B5" s="49">
        <v>95687</v>
      </c>
      <c r="C5" s="50">
        <v>360816.00000000012</v>
      </c>
      <c r="D5" s="50">
        <v>630846.5</v>
      </c>
      <c r="E5" s="50">
        <v>725983.5</v>
      </c>
      <c r="F5" s="50">
        <v>585756.5</v>
      </c>
      <c r="G5" s="17">
        <f t="shared" si="0"/>
        <v>2303402.5</v>
      </c>
      <c r="H5" s="17">
        <f t="shared" si="1"/>
        <v>109496.13121801967</v>
      </c>
      <c r="I5" s="17">
        <f t="shared" si="2"/>
        <v>2193906.3687819801</v>
      </c>
    </row>
    <row r="6" spans="1:9" ht="15.75" customHeight="1" x14ac:dyDescent="0.25">
      <c r="A6" s="5">
        <f t="shared" si="3"/>
        <v>2028</v>
      </c>
      <c r="B6" s="49">
        <v>95122</v>
      </c>
      <c r="C6" s="50">
        <v>362814</v>
      </c>
      <c r="D6" s="50">
        <v>618333</v>
      </c>
      <c r="E6" s="50">
        <v>714739</v>
      </c>
      <c r="F6" s="50">
        <v>596077.5</v>
      </c>
      <c r="G6" s="17">
        <f t="shared" si="0"/>
        <v>2291963.5</v>
      </c>
      <c r="H6" s="17">
        <f t="shared" si="1"/>
        <v>108849.59287803428</v>
      </c>
      <c r="I6" s="17">
        <f t="shared" si="2"/>
        <v>2183113.9071219657</v>
      </c>
    </row>
    <row r="7" spans="1:9" ht="15.75" customHeight="1" x14ac:dyDescent="0.25">
      <c r="A7" s="5">
        <f t="shared" si="3"/>
        <v>2029</v>
      </c>
      <c r="B7" s="49">
        <v>94781</v>
      </c>
      <c r="C7" s="50">
        <v>362026.50000000012</v>
      </c>
      <c r="D7" s="50">
        <v>607909.5</v>
      </c>
      <c r="E7" s="50">
        <v>700785</v>
      </c>
      <c r="F7" s="50">
        <v>613532.5</v>
      </c>
      <c r="G7" s="17">
        <f t="shared" si="0"/>
        <v>2284253.5</v>
      </c>
      <c r="H7" s="17">
        <f t="shared" si="1"/>
        <v>108459.38124275106</v>
      </c>
      <c r="I7" s="17">
        <f t="shared" si="2"/>
        <v>2175794.1187572489</v>
      </c>
    </row>
    <row r="8" spans="1:9" ht="15.75" customHeight="1" x14ac:dyDescent="0.25">
      <c r="A8" s="5">
        <f t="shared" si="3"/>
        <v>2030</v>
      </c>
      <c r="B8" s="49">
        <v>94300</v>
      </c>
      <c r="C8" s="50">
        <v>358105.5</v>
      </c>
      <c r="D8" s="50">
        <v>599535.5</v>
      </c>
      <c r="E8" s="50">
        <v>686688.99999999988</v>
      </c>
      <c r="F8" s="50">
        <v>635877</v>
      </c>
      <c r="G8" s="17">
        <f t="shared" si="0"/>
        <v>2280207</v>
      </c>
      <c r="H8" s="17">
        <f t="shared" si="1"/>
        <v>107908.965417029</v>
      </c>
      <c r="I8" s="17">
        <f t="shared" si="2"/>
        <v>2172298.0345829711</v>
      </c>
    </row>
    <row r="9" spans="1:9" ht="15.75" customHeight="1" x14ac:dyDescent="0.25">
      <c r="A9" s="5">
        <f t="shared" si="3"/>
        <v>2031</v>
      </c>
      <c r="B9" s="49">
        <v>93634</v>
      </c>
      <c r="C9" s="50">
        <v>350802.5</v>
      </c>
      <c r="D9" s="50">
        <v>593356.5</v>
      </c>
      <c r="E9" s="50">
        <v>675030</v>
      </c>
      <c r="F9" s="50">
        <v>658392</v>
      </c>
      <c r="G9" s="17">
        <f t="shared" si="0"/>
        <v>2277581</v>
      </c>
      <c r="H9" s="17">
        <f t="shared" si="1"/>
        <v>107146.85119679844</v>
      </c>
      <c r="I9" s="17">
        <f t="shared" si="2"/>
        <v>2170434.1488032015</v>
      </c>
    </row>
    <row r="10" spans="1:9" ht="15.75" customHeight="1" x14ac:dyDescent="0.25">
      <c r="A10" s="5">
        <f t="shared" si="3"/>
        <v>2032</v>
      </c>
      <c r="B10" s="49">
        <v>92958</v>
      </c>
      <c r="C10" s="50">
        <v>344431</v>
      </c>
      <c r="D10" s="50">
        <v>587664.5</v>
      </c>
      <c r="E10" s="50">
        <v>666920</v>
      </c>
      <c r="F10" s="50">
        <v>672701.5</v>
      </c>
      <c r="G10" s="17">
        <f t="shared" si="0"/>
        <v>2271717</v>
      </c>
      <c r="H10" s="17">
        <f t="shared" si="1"/>
        <v>106373.29382010797</v>
      </c>
      <c r="I10" s="17">
        <f t="shared" si="2"/>
        <v>2165343.7061798922</v>
      </c>
    </row>
    <row r="11" spans="1:9" ht="15.75" customHeight="1" x14ac:dyDescent="0.25">
      <c r="A11" s="5">
        <f t="shared" si="3"/>
        <v>2033</v>
      </c>
      <c r="B11" s="49">
        <v>92924</v>
      </c>
      <c r="C11" s="50">
        <v>338617.5</v>
      </c>
      <c r="D11" s="50">
        <v>582312</v>
      </c>
      <c r="E11" s="50">
        <v>660774.99999999988</v>
      </c>
      <c r="F11" s="50">
        <v>676477.5</v>
      </c>
      <c r="G11" s="17">
        <f t="shared" si="0"/>
        <v>2258182</v>
      </c>
      <c r="H11" s="17">
        <f t="shared" si="1"/>
        <v>106334.38708814426</v>
      </c>
      <c r="I11" s="17">
        <f t="shared" si="2"/>
        <v>2151847.6129118558</v>
      </c>
    </row>
    <row r="12" spans="1:9" ht="15.75" customHeight="1" x14ac:dyDescent="0.25">
      <c r="A12" s="5">
        <f t="shared" si="3"/>
        <v>2034</v>
      </c>
      <c r="B12" s="49">
        <v>92277</v>
      </c>
      <c r="C12" s="50">
        <v>330937</v>
      </c>
      <c r="D12" s="50">
        <v>579270</v>
      </c>
      <c r="E12" s="50">
        <v>654086.5</v>
      </c>
      <c r="F12" s="50">
        <v>674362</v>
      </c>
      <c r="G12" s="17">
        <f t="shared" si="0"/>
        <v>2238655.5</v>
      </c>
      <c r="H12" s="17">
        <f t="shared" si="1"/>
        <v>105594.01486518754</v>
      </c>
      <c r="I12" s="17">
        <f t="shared" si="2"/>
        <v>2133061.4851348125</v>
      </c>
    </row>
    <row r="13" spans="1:9" ht="15.75" customHeight="1" x14ac:dyDescent="0.25">
      <c r="A13" s="5">
        <f t="shared" si="3"/>
        <v>2035</v>
      </c>
      <c r="B13" s="49">
        <v>91851</v>
      </c>
      <c r="C13" s="50">
        <v>321300.5</v>
      </c>
      <c r="D13" s="50">
        <v>579461.5</v>
      </c>
      <c r="E13" s="50">
        <v>644542</v>
      </c>
      <c r="F13" s="50">
        <v>667265.5</v>
      </c>
      <c r="G13" s="17">
        <f t="shared" si="0"/>
        <v>2212569.5</v>
      </c>
      <c r="H13" s="17">
        <f t="shared" si="1"/>
        <v>105106.53639999502</v>
      </c>
      <c r="I13" s="17">
        <f t="shared" si="2"/>
        <v>2107462.963600005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0.1140902</v>
      </c>
    </row>
    <row r="5" spans="1:8" ht="15.75" customHeight="1" x14ac:dyDescent="0.25">
      <c r="B5" s="19" t="s">
        <v>70</v>
      </c>
      <c r="C5" s="101">
        <v>0.1053632</v>
      </c>
    </row>
    <row r="6" spans="1:8" ht="15.75" customHeight="1" x14ac:dyDescent="0.25">
      <c r="B6" s="19" t="s">
        <v>71</v>
      </c>
      <c r="C6" s="101">
        <v>0.1239611999999998</v>
      </c>
    </row>
    <row r="7" spans="1:8" ht="15.75" customHeight="1" x14ac:dyDescent="0.25">
      <c r="B7" s="19" t="s">
        <v>72</v>
      </c>
      <c r="C7" s="101">
        <v>0.33435490000000018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0.18478</v>
      </c>
    </row>
    <row r="10" spans="1:8" ht="15.75" customHeight="1" x14ac:dyDescent="0.25">
      <c r="B10" s="19" t="s">
        <v>75</v>
      </c>
      <c r="C10" s="101">
        <v>0.13745049999999989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82</v>
      </c>
      <c r="C15" s="101">
        <v>0.281737931796603</v>
      </c>
      <c r="D15" s="101">
        <v>0.281737931796603</v>
      </c>
      <c r="E15" s="101">
        <v>0.281737931796603</v>
      </c>
      <c r="F15" s="101">
        <v>0.281737931796603</v>
      </c>
    </row>
    <row r="16" spans="1:8" ht="15.75" customHeight="1" x14ac:dyDescent="0.25">
      <c r="B16" s="19" t="s">
        <v>83</v>
      </c>
      <c r="C16" s="101">
        <v>9.9135393561145146E-2</v>
      </c>
      <c r="D16" s="101">
        <v>9.9135393561145146E-2</v>
      </c>
      <c r="E16" s="101">
        <v>9.9135393561145146E-2</v>
      </c>
      <c r="F16" s="101">
        <v>9.9135393561145146E-2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9.0770348326293812E-2</v>
      </c>
      <c r="D19" s="101">
        <v>9.0770348326293812E-2</v>
      </c>
      <c r="E19" s="101">
        <v>9.0770348326293812E-2</v>
      </c>
      <c r="F19" s="101">
        <v>9.0770348326293812E-2</v>
      </c>
    </row>
    <row r="20" spans="1:8" ht="15.75" customHeight="1" x14ac:dyDescent="0.25">
      <c r="B20" s="19" t="s">
        <v>87</v>
      </c>
      <c r="C20" s="101">
        <v>0.1381062373663336</v>
      </c>
      <c r="D20" s="101">
        <v>0.1381062373663336</v>
      </c>
      <c r="E20" s="101">
        <v>0.1381062373663336</v>
      </c>
      <c r="F20" s="101">
        <v>0.1381062373663336</v>
      </c>
    </row>
    <row r="21" spans="1:8" ht="15.75" customHeight="1" x14ac:dyDescent="0.25">
      <c r="B21" s="19" t="s">
        <v>88</v>
      </c>
      <c r="C21" s="101">
        <v>0.26144625539141192</v>
      </c>
      <c r="D21" s="101">
        <v>0.26144625539141192</v>
      </c>
      <c r="E21" s="101">
        <v>0.26144625539141192</v>
      </c>
      <c r="F21" s="101">
        <v>0.26144625539141192</v>
      </c>
    </row>
    <row r="22" spans="1:8" ht="15.75" customHeight="1" x14ac:dyDescent="0.25">
      <c r="B22" s="19" t="s">
        <v>89</v>
      </c>
      <c r="C22" s="101">
        <v>9.0770559743777526E-2</v>
      </c>
      <c r="D22" s="101">
        <v>9.0770559743777526E-2</v>
      </c>
      <c r="E22" s="101">
        <v>9.0770559743777526E-2</v>
      </c>
      <c r="F22" s="101">
        <v>9.0770559743777526E-2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2.9679839999999999E-2</v>
      </c>
    </row>
    <row r="27" spans="1:8" ht="15.75" customHeight="1" x14ac:dyDescent="0.25">
      <c r="B27" s="19" t="s">
        <v>92</v>
      </c>
      <c r="C27" s="101">
        <v>2.1739139000000001E-2</v>
      </c>
    </row>
    <row r="28" spans="1:8" ht="15.75" customHeight="1" x14ac:dyDescent="0.25">
      <c r="B28" s="19" t="s">
        <v>93</v>
      </c>
      <c r="C28" s="101">
        <v>0.105935959</v>
      </c>
    </row>
    <row r="29" spans="1:8" ht="15.75" customHeight="1" x14ac:dyDescent="0.25">
      <c r="B29" s="19" t="s">
        <v>94</v>
      </c>
      <c r="C29" s="101">
        <v>0.11928900100000001</v>
      </c>
    </row>
    <row r="30" spans="1:8" ht="15.75" customHeight="1" x14ac:dyDescent="0.25">
      <c r="B30" s="19" t="s">
        <v>95</v>
      </c>
      <c r="C30" s="101">
        <v>5.9336512000000001E-2</v>
      </c>
    </row>
    <row r="31" spans="1:8" ht="15.75" customHeight="1" x14ac:dyDescent="0.25">
      <c r="B31" s="19" t="s">
        <v>96</v>
      </c>
      <c r="C31" s="101">
        <v>0.21511585599999999</v>
      </c>
    </row>
    <row r="32" spans="1:8" ht="15.75" customHeight="1" x14ac:dyDescent="0.25">
      <c r="B32" s="19" t="s">
        <v>97</v>
      </c>
      <c r="C32" s="101">
        <v>9.6009434000000005E-2</v>
      </c>
    </row>
    <row r="33" spans="2:3" ht="15.75" customHeight="1" x14ac:dyDescent="0.25">
      <c r="B33" s="19" t="s">
        <v>98</v>
      </c>
      <c r="C33" s="101">
        <v>7.9330116000000006E-2</v>
      </c>
    </row>
    <row r="34" spans="2:3" ht="15.75" customHeight="1" x14ac:dyDescent="0.25">
      <c r="B34" s="19" t="s">
        <v>99</v>
      </c>
      <c r="C34" s="101">
        <v>0.27356414400000001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104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105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109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110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122</v>
      </c>
      <c r="C5" s="52">
        <v>0</v>
      </c>
      <c r="D5" s="52">
        <v>0.1379774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83.013851094978818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0.52699763328000004</v>
      </c>
      <c r="C3" s="98">
        <v>0.95</v>
      </c>
      <c r="D3" s="56">
        <v>40.440126307838547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806.1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9.8831856591429368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13.57242575163446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13.57242575163446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13.57242575163446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13.57242575163446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13.57242575163446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13.57242575163446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1.27919155152981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0.50578611111111105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0.21369175411999999</v>
      </c>
      <c r="C18" s="98">
        <v>0.95</v>
      </c>
      <c r="D18" s="56">
        <v>18.465600261324941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0.92149409999999998</v>
      </c>
      <c r="C19" s="98">
        <v>0.95</v>
      </c>
      <c r="D19" s="56">
        <v>18.465600261324941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0.79862369999999994</v>
      </c>
      <c r="C21" s="98">
        <v>0.95</v>
      </c>
      <c r="D21" s="56">
        <v>143.79383063706061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23.715420771638289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4.6294916046252768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0.96974739304372803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19.135548002264301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0.79148793754279589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170.67126179613081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1.646089855331895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2.8042389349532271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0.47701749999999998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0.35173209999999999</v>
      </c>
      <c r="C38" s="98">
        <v>0.95</v>
      </c>
      <c r="D38" s="56">
        <v>1.831778577435033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205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2024-05-09T01:46:07Z</dcterms:modified>
</cp:coreProperties>
</file>