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3B72388-C3AD-4667-A560-44C12A163D30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5" i="2"/>
  <c r="A34" i="2"/>
  <c r="A25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36" i="2" l="1"/>
  <c r="A19" i="2"/>
  <c r="I3" i="2"/>
  <c r="I9" i="2"/>
  <c r="A23" i="2"/>
  <c r="A22" i="2"/>
  <c r="A24" i="2"/>
  <c r="A40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<sst xmlns="http://schemas.openxmlformats.org/spreadsheetml/2006/main" count="2169" uniqueCount="373">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</sst>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474743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0.89261077880859407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0.13220000000000001</v>
      </c>
    </row>
    <row r="24" spans="1:3" ht="15" customHeight="1" x14ac:dyDescent="0.25">
      <c r="B24" s="15" t="s">
        <v>22</v>
      </c>
      <c r="C24" s="45">
        <v>0.57689999999999997</v>
      </c>
    </row>
    <row r="25" spans="1:3" ht="15" customHeight="1" x14ac:dyDescent="0.25">
      <c r="B25" s="15" t="s">
        <v>23</v>
      </c>
      <c r="C25" s="45">
        <v>0.27529999999999999</v>
      </c>
    </row>
    <row r="26" spans="1:3" ht="15" customHeight="1" x14ac:dyDescent="0.25">
      <c r="B26" s="15" t="s">
        <v>24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7">
        <v>5.4660418264349912E-2</v>
      </c>
    </row>
    <row r="31" spans="1:3" ht="14.25" customHeight="1" x14ac:dyDescent="0.25">
      <c r="B31" s="25" t="s">
        <v>28</v>
      </c>
      <c r="C31" s="97">
        <v>6.1967733026657798E-2</v>
      </c>
    </row>
    <row r="32" spans="1:3" ht="14.25" customHeight="1" x14ac:dyDescent="0.25">
      <c r="B32" s="25" t="s">
        <v>29</v>
      </c>
      <c r="C32" s="97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2.3803999999999998</v>
      </c>
    </row>
    <row r="38" spans="1:5" ht="15" customHeight="1" x14ac:dyDescent="0.25">
      <c r="B38" s="11" t="s">
        <v>34</v>
      </c>
      <c r="C38" s="43">
        <v>3.9929299999999999</v>
      </c>
      <c r="D38" s="12"/>
      <c r="E38" s="13"/>
    </row>
    <row r="39" spans="1:5" ht="15" customHeight="1" x14ac:dyDescent="0.25">
      <c r="B39" s="11" t="s">
        <v>35</v>
      </c>
      <c r="C39" s="43">
        <v>5.0016400000000001</v>
      </c>
      <c r="D39" s="12"/>
      <c r="E39" s="12"/>
    </row>
    <row r="40" spans="1:5" ht="15" customHeight="1" x14ac:dyDescent="0.25">
      <c r="B40" s="11" t="s">
        <v>36</v>
      </c>
      <c r="C40" s="98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5.0914999999999997E-3</v>
      </c>
      <c r="D45" s="12"/>
    </row>
    <row r="46" spans="1:5" ht="15.75" customHeight="1" x14ac:dyDescent="0.25">
      <c r="B46" s="11" t="s">
        <v>41</v>
      </c>
      <c r="C46" s="45">
        <v>5.4706900000000003E-2</v>
      </c>
      <c r="D46" s="12"/>
    </row>
    <row r="47" spans="1:5" ht="15.75" customHeight="1" x14ac:dyDescent="0.25">
      <c r="B47" s="11" t="s">
        <v>42</v>
      </c>
      <c r="C47" s="45">
        <v>7.6159900000000003E-2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0.57630200000000009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94650</v>
      </c>
      <c r="C2" s="49">
        <v>283213.5</v>
      </c>
      <c r="D2" s="49">
        <v>648262.99999999988</v>
      </c>
      <c r="E2" s="49">
        <v>733647.5</v>
      </c>
      <c r="F2" s="49">
        <v>662831.5</v>
      </c>
      <c r="G2" s="17">
        <f t="shared" ref="G2:G13" si="0">C2+D2+E2+F2</f>
        <v>2327955.5</v>
      </c>
      <c r="H2" s="17">
        <f t="shared" ref="H2:H13" si="1">(B2 + stillbirth*B2/(1000-stillbirth))/(1-abortion)</f>
        <v>108309.47589312613</v>
      </c>
      <c r="I2" s="17">
        <f t="shared" ref="I2:I13" si="2">G2-H2</f>
        <v>2219646.0241068737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93499</v>
      </c>
      <c r="C3" s="50">
        <v>285518.5</v>
      </c>
      <c r="D3" s="50">
        <v>638312</v>
      </c>
      <c r="E3" s="50">
        <v>722959.00000000012</v>
      </c>
      <c r="F3" s="50">
        <v>650970.5</v>
      </c>
      <c r="G3" s="17">
        <f t="shared" si="0"/>
        <v>2297760</v>
      </c>
      <c r="H3" s="17">
        <f t="shared" si="1"/>
        <v>106992.36858458955</v>
      </c>
      <c r="I3" s="17">
        <f t="shared" si="2"/>
        <v>2190767.6314154104</v>
      </c>
    </row>
    <row r="4" spans="1:9" ht="15.75" customHeight="1" x14ac:dyDescent="0.25">
      <c r="A4" s="5">
        <f t="shared" si="3"/>
        <v>2026</v>
      </c>
      <c r="B4" s="49">
        <v>92314</v>
      </c>
      <c r="C4" s="50">
        <v>291682.5</v>
      </c>
      <c r="D4" s="50">
        <v>625598</v>
      </c>
      <c r="E4" s="50">
        <v>711052.5</v>
      </c>
      <c r="F4" s="50">
        <v>645445.5</v>
      </c>
      <c r="G4" s="17">
        <f t="shared" si="0"/>
        <v>2273778.5</v>
      </c>
      <c r="H4" s="17">
        <f t="shared" si="1"/>
        <v>105636.35454408925</v>
      </c>
      <c r="I4" s="17">
        <f t="shared" si="2"/>
        <v>2168142.1454559108</v>
      </c>
    </row>
    <row r="5" spans="1:9" ht="15.75" customHeight="1" x14ac:dyDescent="0.25">
      <c r="A5" s="5">
        <f t="shared" si="3"/>
        <v>2027</v>
      </c>
      <c r="B5" s="49">
        <v>91231</v>
      </c>
      <c r="C5" s="50">
        <v>297379</v>
      </c>
      <c r="D5" s="50">
        <v>612069.99999999988</v>
      </c>
      <c r="E5" s="50">
        <v>699502</v>
      </c>
      <c r="F5" s="50">
        <v>646451</v>
      </c>
      <c r="G5" s="17">
        <f t="shared" si="0"/>
        <v>2255402</v>
      </c>
      <c r="H5" s="17">
        <f t="shared" si="1"/>
        <v>104397.06069948009</v>
      </c>
      <c r="I5" s="17">
        <f t="shared" si="2"/>
        <v>2151004.9393005199</v>
      </c>
    </row>
    <row r="6" spans="1:9" ht="15.75" customHeight="1" x14ac:dyDescent="0.25">
      <c r="A6" s="5">
        <f t="shared" si="3"/>
        <v>2028</v>
      </c>
      <c r="B6" s="49">
        <v>90374</v>
      </c>
      <c r="C6" s="50">
        <v>299581</v>
      </c>
      <c r="D6" s="50">
        <v>599646.50000000012</v>
      </c>
      <c r="E6" s="50">
        <v>685757.49999999988</v>
      </c>
      <c r="F6" s="50">
        <v>658002.5</v>
      </c>
      <c r="G6" s="17">
        <f t="shared" si="0"/>
        <v>2242987.5</v>
      </c>
      <c r="H6" s="17">
        <f t="shared" si="1"/>
        <v>103416.3821908651</v>
      </c>
      <c r="I6" s="17">
        <f t="shared" si="2"/>
        <v>2139571.117809135</v>
      </c>
    </row>
    <row r="7" spans="1:9" ht="15.75" customHeight="1" x14ac:dyDescent="0.25">
      <c r="A7" s="5">
        <f t="shared" si="3"/>
        <v>2029</v>
      </c>
      <c r="B7" s="49">
        <v>89461</v>
      </c>
      <c r="C7" s="50">
        <v>298380.5</v>
      </c>
      <c r="D7" s="50">
        <v>589367.99999999988</v>
      </c>
      <c r="E7" s="50">
        <v>669342.00000000012</v>
      </c>
      <c r="F7" s="50">
        <v>676914</v>
      </c>
      <c r="G7" s="17">
        <f t="shared" si="0"/>
        <v>2234004.5</v>
      </c>
      <c r="H7" s="17">
        <f t="shared" si="1"/>
        <v>102371.62200607457</v>
      </c>
      <c r="I7" s="17">
        <f t="shared" si="2"/>
        <v>2131632.8779939255</v>
      </c>
    </row>
    <row r="8" spans="1:9" ht="15.75" customHeight="1" x14ac:dyDescent="0.25">
      <c r="A8" s="5">
        <f t="shared" si="3"/>
        <v>2030</v>
      </c>
      <c r="B8" s="49">
        <v>88613</v>
      </c>
      <c r="C8" s="50">
        <v>294865.5</v>
      </c>
      <c r="D8" s="50">
        <v>581161</v>
      </c>
      <c r="E8" s="50">
        <v>653030</v>
      </c>
      <c r="F8" s="50">
        <v>697559</v>
      </c>
      <c r="G8" s="17">
        <f t="shared" si="0"/>
        <v>2226615.5</v>
      </c>
      <c r="H8" s="17">
        <f t="shared" si="1"/>
        <v>101401.2423382735</v>
      </c>
      <c r="I8" s="17">
        <f t="shared" si="2"/>
        <v>2125214.2576617263</v>
      </c>
    </row>
    <row r="9" spans="1:9" ht="15.75" customHeight="1" x14ac:dyDescent="0.25">
      <c r="A9" s="5">
        <f t="shared" si="3"/>
        <v>2031</v>
      </c>
      <c r="B9" s="49">
        <v>87798</v>
      </c>
      <c r="C9" s="50">
        <v>288561.5</v>
      </c>
      <c r="D9" s="50">
        <v>575143.5</v>
      </c>
      <c r="E9" s="50">
        <v>639615</v>
      </c>
      <c r="F9" s="50">
        <v>715069.50000000012</v>
      </c>
      <c r="G9" s="17">
        <f t="shared" si="0"/>
        <v>2218389.5</v>
      </c>
      <c r="H9" s="17">
        <f t="shared" si="1"/>
        <v>100468.62508679017</v>
      </c>
      <c r="I9" s="17">
        <f t="shared" si="2"/>
        <v>2117920.87491321</v>
      </c>
    </row>
    <row r="10" spans="1:9" ht="15.75" customHeight="1" x14ac:dyDescent="0.25">
      <c r="A10" s="5">
        <f t="shared" si="3"/>
        <v>2032</v>
      </c>
      <c r="B10" s="49">
        <v>87028</v>
      </c>
      <c r="C10" s="50">
        <v>280972.5</v>
      </c>
      <c r="D10" s="50">
        <v>569472</v>
      </c>
      <c r="E10" s="50">
        <v>630364.49999999988</v>
      </c>
      <c r="F10" s="50">
        <v>722563</v>
      </c>
      <c r="G10" s="17">
        <f t="shared" si="0"/>
        <v>2203372</v>
      </c>
      <c r="H10" s="17">
        <f t="shared" si="1"/>
        <v>99587.502039376457</v>
      </c>
      <c r="I10" s="17">
        <f t="shared" si="2"/>
        <v>2103784.4979606234</v>
      </c>
    </row>
    <row r="11" spans="1:9" ht="15.75" customHeight="1" x14ac:dyDescent="0.25">
      <c r="A11" s="5">
        <f t="shared" si="3"/>
        <v>2033</v>
      </c>
      <c r="B11" s="49">
        <v>86152</v>
      </c>
      <c r="C11" s="50">
        <v>274823.5</v>
      </c>
      <c r="D11" s="50">
        <v>563856</v>
      </c>
      <c r="E11" s="50">
        <v>623774.5</v>
      </c>
      <c r="F11" s="50">
        <v>720156.99999999988</v>
      </c>
      <c r="G11" s="17">
        <f t="shared" si="0"/>
        <v>2182611</v>
      </c>
      <c r="H11" s="17">
        <f t="shared" si="1"/>
        <v>98585.081533487624</v>
      </c>
      <c r="I11" s="17">
        <f t="shared" si="2"/>
        <v>2084025.9184665123</v>
      </c>
    </row>
    <row r="12" spans="1:9" ht="15.75" customHeight="1" x14ac:dyDescent="0.25">
      <c r="A12" s="5">
        <f t="shared" si="3"/>
        <v>2034</v>
      </c>
      <c r="B12" s="49">
        <v>85328</v>
      </c>
      <c r="C12" s="50">
        <v>268435.5</v>
      </c>
      <c r="D12" s="50">
        <v>560288</v>
      </c>
      <c r="E12" s="50">
        <v>617217.5</v>
      </c>
      <c r="F12" s="50">
        <v>713112</v>
      </c>
      <c r="G12" s="17">
        <f t="shared" si="0"/>
        <v>2159053</v>
      </c>
      <c r="H12" s="17">
        <f t="shared" si="1"/>
        <v>97642.165441190358</v>
      </c>
      <c r="I12" s="17">
        <f t="shared" si="2"/>
        <v>2061410.8345588096</v>
      </c>
    </row>
    <row r="13" spans="1:9" ht="15.75" customHeight="1" x14ac:dyDescent="0.25">
      <c r="A13" s="5">
        <f t="shared" si="3"/>
        <v>2035</v>
      </c>
      <c r="B13" s="49">
        <v>84480</v>
      </c>
      <c r="C13" s="50">
        <v>260136.5</v>
      </c>
      <c r="D13" s="50">
        <v>559729.5</v>
      </c>
      <c r="E13" s="50">
        <v>608153.5</v>
      </c>
      <c r="F13" s="50">
        <v>702971</v>
      </c>
      <c r="G13" s="17">
        <f t="shared" si="0"/>
        <v>2130990.5</v>
      </c>
      <c r="H13" s="17">
        <f t="shared" si="1"/>
        <v>96671.785773389289</v>
      </c>
      <c r="I13" s="17">
        <f t="shared" si="2"/>
        <v>2034318.7142266107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0.1140902</v>
      </c>
    </row>
    <row r="5" spans="1:8" ht="15.75" customHeight="1" x14ac:dyDescent="0.25">
      <c r="B5" s="19" t="s">
        <v>70</v>
      </c>
      <c r="C5" s="99">
        <v>0.1053632</v>
      </c>
    </row>
    <row r="6" spans="1:8" ht="15.75" customHeight="1" x14ac:dyDescent="0.25">
      <c r="B6" s="19" t="s">
        <v>71</v>
      </c>
      <c r="C6" s="99">
        <v>0.1239611999999998</v>
      </c>
    </row>
    <row r="7" spans="1:8" ht="15.75" customHeight="1" x14ac:dyDescent="0.25">
      <c r="B7" s="19" t="s">
        <v>72</v>
      </c>
      <c r="C7" s="99">
        <v>0.33435490000000018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0.18478</v>
      </c>
    </row>
    <row r="10" spans="1:8" ht="15.75" customHeight="1" x14ac:dyDescent="0.25">
      <c r="B10" s="19" t="s">
        <v>75</v>
      </c>
      <c r="C10" s="99">
        <v>0.13745049999999989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82</v>
      </c>
      <c r="C15" s="99">
        <v>0.281737931796603</v>
      </c>
      <c r="D15" s="99">
        <v>0.281737931796603</v>
      </c>
      <c r="E15" s="99">
        <v>0.281737931796603</v>
      </c>
      <c r="F15" s="99">
        <v>0.281737931796603</v>
      </c>
    </row>
    <row r="16" spans="1:8" ht="15.75" customHeight="1" x14ac:dyDescent="0.25">
      <c r="B16" s="19" t="s">
        <v>83</v>
      </c>
      <c r="C16" s="99">
        <v>9.9135393561145146E-2</v>
      </c>
      <c r="D16" s="99">
        <v>9.9135393561145146E-2</v>
      </c>
      <c r="E16" s="99">
        <v>9.9135393561145146E-2</v>
      </c>
      <c r="F16" s="99">
        <v>9.9135393561145146E-2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9.0770348326293812E-2</v>
      </c>
      <c r="D19" s="99">
        <v>9.0770348326293812E-2</v>
      </c>
      <c r="E19" s="99">
        <v>9.0770348326293812E-2</v>
      </c>
      <c r="F19" s="99">
        <v>9.0770348326293812E-2</v>
      </c>
    </row>
    <row r="20" spans="1:8" ht="15.75" customHeight="1" x14ac:dyDescent="0.25">
      <c r="B20" s="19" t="s">
        <v>87</v>
      </c>
      <c r="C20" s="99">
        <v>0.1381062373663336</v>
      </c>
      <c r="D20" s="99">
        <v>0.1381062373663336</v>
      </c>
      <c r="E20" s="99">
        <v>0.1381062373663336</v>
      </c>
      <c r="F20" s="99">
        <v>0.1381062373663336</v>
      </c>
    </row>
    <row r="21" spans="1:8" ht="15.75" customHeight="1" x14ac:dyDescent="0.25">
      <c r="B21" s="19" t="s">
        <v>88</v>
      </c>
      <c r="C21" s="99">
        <v>0.26144625539141192</v>
      </c>
      <c r="D21" s="99">
        <v>0.26144625539141192</v>
      </c>
      <c r="E21" s="99">
        <v>0.26144625539141192</v>
      </c>
      <c r="F21" s="99">
        <v>0.26144625539141192</v>
      </c>
    </row>
    <row r="22" spans="1:8" ht="15.75" customHeight="1" x14ac:dyDescent="0.25">
      <c r="B22" s="19" t="s">
        <v>89</v>
      </c>
      <c r="C22" s="99">
        <v>9.0770559743777526E-2</v>
      </c>
      <c r="D22" s="99">
        <v>9.0770559743777526E-2</v>
      </c>
      <c r="E22" s="99">
        <v>9.0770559743777526E-2</v>
      </c>
      <c r="F22" s="99">
        <v>9.0770559743777526E-2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2.9679839999999999E-2</v>
      </c>
    </row>
    <row r="27" spans="1:8" ht="15.75" customHeight="1" x14ac:dyDescent="0.25">
      <c r="B27" s="19" t="s">
        <v>92</v>
      </c>
      <c r="C27" s="99">
        <v>2.1739139000000001E-2</v>
      </c>
    </row>
    <row r="28" spans="1:8" ht="15.75" customHeight="1" x14ac:dyDescent="0.25">
      <c r="B28" s="19" t="s">
        <v>93</v>
      </c>
      <c r="C28" s="99">
        <v>0.105935959</v>
      </c>
    </row>
    <row r="29" spans="1:8" ht="15.75" customHeight="1" x14ac:dyDescent="0.25">
      <c r="B29" s="19" t="s">
        <v>94</v>
      </c>
      <c r="C29" s="99">
        <v>0.11928900100000001</v>
      </c>
    </row>
    <row r="30" spans="1:8" ht="15.75" customHeight="1" x14ac:dyDescent="0.25">
      <c r="B30" s="19" t="s">
        <v>95</v>
      </c>
      <c r="C30" s="99">
        <v>5.9336512000000001E-2</v>
      </c>
    </row>
    <row r="31" spans="1:8" ht="15.75" customHeight="1" x14ac:dyDescent="0.25">
      <c r="B31" s="19" t="s">
        <v>96</v>
      </c>
      <c r="C31" s="99">
        <v>0.21511585599999999</v>
      </c>
    </row>
    <row r="32" spans="1:8" ht="15.75" customHeight="1" x14ac:dyDescent="0.25">
      <c r="B32" s="19" t="s">
        <v>97</v>
      </c>
      <c r="C32" s="99">
        <v>9.6009434000000005E-2</v>
      </c>
    </row>
    <row r="33" spans="2:3" ht="15.75" customHeight="1" x14ac:dyDescent="0.25">
      <c r="B33" s="19" t="s">
        <v>98</v>
      </c>
      <c r="C33" s="99">
        <v>7.9330116000000006E-2</v>
      </c>
    </row>
    <row r="34" spans="2:3" ht="15.75" customHeight="1" x14ac:dyDescent="0.25">
      <c r="B34" s="19" t="s">
        <v>99</v>
      </c>
      <c r="C34" s="99">
        <v>0.27356414400000001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104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105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109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110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0.13797740000000003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0.41922999999999999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0.51119999999999999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1.0712240838871987E-2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99458.483229999998</v>
      </c>
      <c r="C22" s="107">
        <v>99367.002160000004</v>
      </c>
      <c r="D22" s="107">
        <v>99260.373470000006</v>
      </c>
      <c r="E22" s="107">
        <v>99067.585720000003</v>
      </c>
      <c r="F22" s="107">
        <v>98813.584170000002</v>
      </c>
      <c r="G22" s="107">
        <v>98472.610960000005</v>
      </c>
      <c r="H22" s="107">
        <v>98046.481</v>
      </c>
      <c r="I22" s="107">
        <v>97404.418040000004</v>
      </c>
      <c r="J22" s="107">
        <v>96507.249129999997</v>
      </c>
      <c r="K22" s="107">
        <v>95182.85626</v>
      </c>
      <c r="L22" s="107">
        <v>93093.032179999995</v>
      </c>
      <c r="M22" s="107">
        <v>89401.177710000004</v>
      </c>
      <c r="N22" s="107">
        <v>84152.425000000003</v>
      </c>
      <c r="O22" s="107">
        <v>76525.274690000006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13.57242575163446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13.57242575163446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13.57242575163446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13.57242575163446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13.57242575163446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13.57242575163446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0.50578611111111105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0.36791390000000002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0.36791390000000002</v>
      </c>
      <c r="C19" s="96">
        <v>0.95</v>
      </c>
      <c r="D19" s="56">
        <v>18.465600261324941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4.6294916046252768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0.918145914718136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0.35173209999999999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0.47701749999999998</v>
      </c>
      <c r="C29" s="96">
        <v>0.95</v>
      </c>
      <c r="D29" s="56">
        <v>170.67126179613081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0.93379220000000007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0.87967550000000005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8.3532200000000001E-2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0.79862369999999994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0.16102330000000001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198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