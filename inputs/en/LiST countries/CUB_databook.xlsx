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6D72177-AE52-4E47-BA51-49F494F3192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6" i="2"/>
  <c r="A34" i="2"/>
  <c r="A33" i="2"/>
  <c r="A31" i="2"/>
  <c r="A28" i="2"/>
  <c r="A26" i="2"/>
  <c r="A25" i="2"/>
  <c r="A23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<sst xmlns="http://schemas.openxmlformats.org/spreadsheetml/2006/main" count="2101" uniqueCount="341">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</sst>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498418.4453125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0.1140902</v>
      </c>
    </row>
    <row r="5" spans="1:8" ht="15.75" customHeight="1" x14ac:dyDescent="0.25">
      <c r="B5" s="19" t="s">
        <v>70</v>
      </c>
      <c r="C5" s="101">
        <v>0.1053632</v>
      </c>
    </row>
    <row r="6" spans="1:8" ht="15.75" customHeight="1" x14ac:dyDescent="0.25">
      <c r="B6" s="19" t="s">
        <v>71</v>
      </c>
      <c r="C6" s="101">
        <v>0.1239611999999998</v>
      </c>
    </row>
    <row r="7" spans="1:8" ht="15.75" customHeight="1" x14ac:dyDescent="0.25">
      <c r="B7" s="19" t="s">
        <v>72</v>
      </c>
      <c r="C7" s="101">
        <v>0.33435490000000018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0.18478</v>
      </c>
    </row>
    <row r="10" spans="1:8" ht="15.75" customHeight="1" x14ac:dyDescent="0.25">
      <c r="B10" s="19" t="s">
        <v>75</v>
      </c>
      <c r="C10" s="101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83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87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89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101">
        <v>2.1739139000000001E-2</v>
      </c>
    </row>
    <row r="28" spans="1:8" ht="15.75" customHeight="1" x14ac:dyDescent="0.25">
      <c r="B28" s="19" t="s">
        <v>93</v>
      </c>
      <c r="C28" s="101">
        <v>0.105935959</v>
      </c>
    </row>
    <row r="29" spans="1:8" ht="15.75" customHeight="1" x14ac:dyDescent="0.25">
      <c r="B29" s="19" t="s">
        <v>94</v>
      </c>
      <c r="C29" s="101">
        <v>0.11928900100000001</v>
      </c>
    </row>
    <row r="30" spans="1:8" ht="15.75" customHeight="1" x14ac:dyDescent="0.25">
      <c r="B30" s="19" t="s">
        <v>95</v>
      </c>
      <c r="C30" s="101">
        <v>5.9336512000000001E-2</v>
      </c>
    </row>
    <row r="31" spans="1:8" ht="15.75" customHeight="1" x14ac:dyDescent="0.25">
      <c r="B31" s="19" t="s">
        <v>96</v>
      </c>
      <c r="C31" s="101">
        <v>0.21511585599999999</v>
      </c>
    </row>
    <row r="32" spans="1:8" ht="15.75" customHeight="1" x14ac:dyDescent="0.25">
      <c r="B32" s="19" t="s">
        <v>97</v>
      </c>
      <c r="C32" s="101">
        <v>9.6009434000000005E-2</v>
      </c>
    </row>
    <row r="33" spans="2:3" ht="15.75" customHeight="1" x14ac:dyDescent="0.25">
      <c r="B33" s="19" t="s">
        <v>98</v>
      </c>
      <c r="C33" s="101">
        <v>7.9330116000000006E-2</v>
      </c>
    </row>
    <row r="34" spans="2:3" ht="15.75" customHeight="1" x14ac:dyDescent="0.25">
      <c r="B34" s="19" t="s">
        <v>99</v>
      </c>
      <c r="C34" s="101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83.013851094978818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40.440126307838547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806.1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9.8831856591429368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13.57242575163446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13.57242575163446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13.57242575163446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13.57242575163446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13.57242575163446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13.57242575163446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1.27919155152981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0.50578611111111105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0.36791390000000002</v>
      </c>
      <c r="C18" s="98">
        <v>0.95</v>
      </c>
      <c r="D18" s="56">
        <v>18.465600261324941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0.36791390000000002</v>
      </c>
      <c r="C19" s="98">
        <v>0.95</v>
      </c>
      <c r="D19" s="56">
        <v>18.465600261324941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143.79383063706061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4.6294916046252768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0.918145914718136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19.135548002264301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0.35173209999999999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0.47701749999999998</v>
      </c>
      <c r="C29" s="98">
        <v>0.95</v>
      </c>
      <c r="D29" s="56">
        <v>170.67126179613081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1.646089855331895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2.8042389349532271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0.93379220000000007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0.87967550000000005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8.3532200000000001E-2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0.79862369999999994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0.16102330000000001</v>
      </c>
      <c r="C38" s="98">
        <v>0.95</v>
      </c>
      <c r="D38" s="56">
        <v>1.831778577435033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205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0.1093175252419063</v>
      </c>
      <c r="G18" s="90">
        <f>MIN(MAX(1-0.89/(1-frac_sam_12_23months+(frac_sam_12_23months*0.89)),0),1)</f>
        <v>0.10969869889187112</v>
      </c>
      <c r="H18" s="90">
        <f>MIN(MAX(1-0.89/(1-frac_sam_24_59months+(frac_sam_24_59months*0.89)),0),1)</f>
        <v>0.10950909373515794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0.10837622024512317</v>
      </c>
      <c r="G20" s="90">
        <f>MIN(MAX(1-0.89/(1-frac_mam_12_23months+(frac_mam_12_23months*0.89)),0),1)</f>
        <v>0.10832059317159126</v>
      </c>
      <c r="H20" s="90">
        <f>MIN(MAX(1-0.89/(1-frac_mam_24_59months+(frac_mam_24_59months*0.89)),0),1)</f>
        <v>0.10884397547301916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9.9310337759507261E-3</v>
      </c>
      <c r="G73" s="90">
        <f>MIN(MAX(1-0.99/(1-frac_sam_12_23months+(frac_sam_12_23months*0.99)),0),1)</f>
        <v>9.9695407228899136E-3</v>
      </c>
      <c r="H73" s="90">
        <f>MIN(MAX(1-0.99/(1-frac_sam_24_59months+(frac_sam_24_59months*0.99)),0),1)</f>
        <v>9.9503826733779999E-3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9.8360694498220713E-3</v>
      </c>
      <c r="G75" s="90">
        <f>MIN(MAX(1-0.99/(1-frac_mam_12_23months+(frac_mam_12_23months*0.99)),0),1)</f>
        <v>9.8304631719043911E-3</v>
      </c>
      <c r="H75" s="90">
        <f>MIN(MAX(1-0.99/(1-frac_mam_24_59months+(frac_mam_24_59months*0.99)),0),1)</f>
        <v>9.8832365201996231E-3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0.19888391711797204</v>
      </c>
      <c r="G128" s="90">
        <f>MIN(MAX(1-0.8/(1-frac_sam_12_23months+(frac_sam_12_23months*0.8)),0),1)</f>
        <v>0.199507440918546</v>
      </c>
      <c r="H128" s="90">
        <f>MIN(MAX(1-0.8/(1-frac_sam_24_59months+(frac_sam_24_59months*0.8)),0),1)</f>
        <v>0.19919733947730489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0.19734225573032915</v>
      </c>
      <c r="G130" s="90">
        <f>MIN(MAX(1-0.8/(1-frac_mam_12_23months+(frac_mam_12_23months*0.8)),0),1)</f>
        <v>0.19725106655230162</v>
      </c>
      <c r="H130" s="90">
        <f>MIN(MAX(1-0.8/(1-frac_mam_24_59months+(frac_mam_24_59months*0.8)),0),1)</f>
        <v>0.19810867515905661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2024-08-06T06:31:18Z</dcterms:modified>
</cp:coreProperties>
</file>