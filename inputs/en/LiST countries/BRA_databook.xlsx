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2C41D966-DC8B-484B-BCE7-8F9273348F0B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5" i="2"/>
  <c r="A24" i="2"/>
  <c r="A19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I6" i="2" s="1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4" i="2" l="1"/>
  <c r="I8" i="2"/>
  <c r="I12" i="2"/>
  <c r="A25" i="2"/>
  <c r="A26" i="2"/>
  <c r="I39" i="2"/>
  <c r="A31" i="2"/>
  <c r="A34" i="2"/>
  <c r="A40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<sst xmlns="http://schemas.openxmlformats.org/spreadsheetml/2006/main" count="2159" uniqueCount="372">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</sst>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12879996.5</v>
      </c>
    </row>
    <row r="8" spans="1:3" ht="15" customHeight="1" x14ac:dyDescent="0.25">
      <c r="B8" s="5" t="s">
        <v>8</v>
      </c>
      <c r="C8" s="44">
        <v>4.3999999999999997E-2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0.83181569999999994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0.107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0.18279999999999999</v>
      </c>
    </row>
    <row r="24" spans="1:3" ht="15" customHeight="1" x14ac:dyDescent="0.25">
      <c r="B24" s="15" t="s">
        <v>22</v>
      </c>
      <c r="C24" s="45">
        <v>0.54590000000000005</v>
      </c>
    </row>
    <row r="25" spans="1:3" ht="15" customHeight="1" x14ac:dyDescent="0.25">
      <c r="B25" s="15" t="s">
        <v>23</v>
      </c>
      <c r="C25" s="45">
        <v>0.23910000000000001</v>
      </c>
    </row>
    <row r="26" spans="1:3" ht="15" customHeight="1" x14ac:dyDescent="0.25">
      <c r="B26" s="15" t="s">
        <v>24</v>
      </c>
      <c r="C26" s="45">
        <v>3.2199999999999999E-2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0.34994163924792399</v>
      </c>
    </row>
    <row r="30" spans="1:3" ht="14.25" customHeight="1" x14ac:dyDescent="0.25">
      <c r="B30" s="25" t="s">
        <v>27</v>
      </c>
      <c r="C30" s="99">
        <v>0.10516916316476101</v>
      </c>
    </row>
    <row r="31" spans="1:3" ht="14.25" customHeight="1" x14ac:dyDescent="0.25">
      <c r="B31" s="25" t="s">
        <v>28</v>
      </c>
      <c r="C31" s="99">
        <v>8.4505866375242988E-2</v>
      </c>
    </row>
    <row r="32" spans="1:3" ht="14.25" customHeight="1" x14ac:dyDescent="0.25">
      <c r="B32" s="25" t="s">
        <v>29</v>
      </c>
      <c r="C32" s="99">
        <v>0.46038333121207198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8.4704599999999992</v>
      </c>
    </row>
    <row r="38" spans="1:5" ht="15" customHeight="1" x14ac:dyDescent="0.25">
      <c r="B38" s="11" t="s">
        <v>34</v>
      </c>
      <c r="C38" s="43">
        <v>12.875</v>
      </c>
      <c r="D38" s="12"/>
      <c r="E38" s="13"/>
    </row>
    <row r="39" spans="1:5" ht="15" customHeight="1" x14ac:dyDescent="0.25">
      <c r="B39" s="11" t="s">
        <v>35</v>
      </c>
      <c r="C39" s="43">
        <v>14.41098</v>
      </c>
      <c r="D39" s="12"/>
      <c r="E39" s="12"/>
    </row>
    <row r="40" spans="1:5" ht="15" customHeight="1" x14ac:dyDescent="0.25">
      <c r="B40" s="11" t="s">
        <v>36</v>
      </c>
      <c r="C40" s="100">
        <v>0.72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6.9812700000000003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9.4821000000000003E-3</v>
      </c>
      <c r="D45" s="12"/>
    </row>
    <row r="46" spans="1:5" ht="15.75" customHeight="1" x14ac:dyDescent="0.25">
      <c r="B46" s="11" t="s">
        <v>41</v>
      </c>
      <c r="C46" s="45">
        <v>0.1019704</v>
      </c>
      <c r="D46" s="12"/>
    </row>
    <row r="47" spans="1:5" ht="15.75" customHeight="1" x14ac:dyDescent="0.25">
      <c r="B47" s="11" t="s">
        <v>42</v>
      </c>
      <c r="C47" s="45">
        <v>7.1473700000000001E-2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0.56287600000000004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8.6980708860000006E-2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2572100</v>
      </c>
      <c r="C2" s="49">
        <v>7301316</v>
      </c>
      <c r="D2" s="49">
        <v>15891051.5</v>
      </c>
      <c r="E2" s="49">
        <v>16413838.500000002</v>
      </c>
      <c r="F2" s="49">
        <v>15948186.5</v>
      </c>
      <c r="G2" s="17">
        <f t="shared" ref="G2:G13" si="0">C2+D2+E2+F2</f>
        <v>55554392.5</v>
      </c>
      <c r="H2" s="17">
        <f t="shared" ref="H2:H13" si="1">(B2 + stillbirth*B2/(1000-stillbirth))/(1-abortion)</f>
        <v>2943389.5059470925</v>
      </c>
      <c r="I2" s="17">
        <f t="shared" ref="I2:I13" si="2">G2-H2</f>
        <v>52611002.994052909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2528724</v>
      </c>
      <c r="C3" s="50">
        <v>7211480</v>
      </c>
      <c r="D3" s="50">
        <v>15731697.5</v>
      </c>
      <c r="E3" s="50">
        <v>16288397.5</v>
      </c>
      <c r="F3" s="50">
        <v>16165471.5</v>
      </c>
      <c r="G3" s="17">
        <f t="shared" si="0"/>
        <v>55397046.5</v>
      </c>
      <c r="H3" s="17">
        <f t="shared" si="1"/>
        <v>2893752.0644751582</v>
      </c>
      <c r="I3" s="17">
        <f t="shared" si="2"/>
        <v>52503294.435524844</v>
      </c>
    </row>
    <row r="4" spans="1:9" ht="15.75" customHeight="1" x14ac:dyDescent="0.25">
      <c r="A4" s="5">
        <f t="shared" si="3"/>
        <v>2026</v>
      </c>
      <c r="B4" s="49">
        <v>2492914</v>
      </c>
      <c r="C4" s="50">
        <v>7133131</v>
      </c>
      <c r="D4" s="50">
        <v>15551253</v>
      </c>
      <c r="E4" s="50">
        <v>16178066.5</v>
      </c>
      <c r="F4" s="50">
        <v>16341990</v>
      </c>
      <c r="G4" s="17">
        <f t="shared" si="0"/>
        <v>55204440.5</v>
      </c>
      <c r="H4" s="17">
        <f t="shared" si="1"/>
        <v>2852772.7953145639</v>
      </c>
      <c r="I4" s="17">
        <f t="shared" si="2"/>
        <v>52351667.704685435</v>
      </c>
    </row>
    <row r="5" spans="1:9" ht="15.75" customHeight="1" x14ac:dyDescent="0.25">
      <c r="A5" s="5">
        <f t="shared" si="3"/>
        <v>2027</v>
      </c>
      <c r="B5" s="49">
        <v>2461631</v>
      </c>
      <c r="C5" s="50">
        <v>7073603.5</v>
      </c>
      <c r="D5" s="50">
        <v>15346297</v>
      </c>
      <c r="E5" s="50">
        <v>16089223</v>
      </c>
      <c r="F5" s="50">
        <v>16467720.5</v>
      </c>
      <c r="G5" s="17">
        <f t="shared" si="0"/>
        <v>54976844</v>
      </c>
      <c r="H5" s="17">
        <f t="shared" si="1"/>
        <v>2816974.0106971143</v>
      </c>
      <c r="I5" s="17">
        <f t="shared" si="2"/>
        <v>52159869.989302889</v>
      </c>
    </row>
    <row r="6" spans="1:9" ht="15.75" customHeight="1" x14ac:dyDescent="0.25">
      <c r="A6" s="5">
        <f t="shared" si="3"/>
        <v>2028</v>
      </c>
      <c r="B6" s="49">
        <v>2433369</v>
      </c>
      <c r="C6" s="50">
        <v>7033997</v>
      </c>
      <c r="D6" s="50">
        <v>15116048.5</v>
      </c>
      <c r="E6" s="50">
        <v>16028374</v>
      </c>
      <c r="F6" s="50">
        <v>16537266</v>
      </c>
      <c r="G6" s="17">
        <f t="shared" si="0"/>
        <v>54715685.5</v>
      </c>
      <c r="H6" s="17">
        <f t="shared" si="1"/>
        <v>2784632.3154997746</v>
      </c>
      <c r="I6" s="17">
        <f t="shared" si="2"/>
        <v>51931053.184500225</v>
      </c>
    </row>
    <row r="7" spans="1:9" ht="15.75" customHeight="1" x14ac:dyDescent="0.25">
      <c r="A7" s="5">
        <f t="shared" si="3"/>
        <v>2029</v>
      </c>
      <c r="B7" s="49">
        <v>2410757</v>
      </c>
      <c r="C7" s="50">
        <v>7015177.5</v>
      </c>
      <c r="D7" s="50">
        <v>14883269.5</v>
      </c>
      <c r="E7" s="50">
        <v>15978235.499999998</v>
      </c>
      <c r="F7" s="50">
        <v>16554173.5</v>
      </c>
      <c r="G7" s="17">
        <f t="shared" si="0"/>
        <v>54430856</v>
      </c>
      <c r="H7" s="17">
        <f t="shared" si="1"/>
        <v>2758756.2128954916</v>
      </c>
      <c r="I7" s="17">
        <f t="shared" si="2"/>
        <v>51672099.78710451</v>
      </c>
    </row>
    <row r="8" spans="1:9" ht="15.75" customHeight="1" x14ac:dyDescent="0.25">
      <c r="A8" s="5">
        <f t="shared" si="3"/>
        <v>2030</v>
      </c>
      <c r="B8" s="49">
        <v>2388528</v>
      </c>
      <c r="C8" s="50">
        <v>7010191.5</v>
      </c>
      <c r="D8" s="50">
        <v>14672118</v>
      </c>
      <c r="E8" s="50">
        <v>15924241.999999998</v>
      </c>
      <c r="F8" s="50">
        <v>16520779.999999998</v>
      </c>
      <c r="G8" s="17">
        <f t="shared" si="0"/>
        <v>54127331.5</v>
      </c>
      <c r="H8" s="17">
        <f t="shared" si="1"/>
        <v>2733318.3973643314</v>
      </c>
      <c r="I8" s="17">
        <f t="shared" si="2"/>
        <v>51394013.102635667</v>
      </c>
    </row>
    <row r="9" spans="1:9" ht="15.75" customHeight="1" x14ac:dyDescent="0.25">
      <c r="A9" s="5">
        <f t="shared" si="3"/>
        <v>2031</v>
      </c>
      <c r="B9" s="49">
        <v>2366895</v>
      </c>
      <c r="C9" s="50">
        <v>6991206</v>
      </c>
      <c r="D9" s="50">
        <v>14487943</v>
      </c>
      <c r="E9" s="50">
        <v>15860319</v>
      </c>
      <c r="F9" s="50">
        <v>16442911</v>
      </c>
      <c r="G9" s="17">
        <f t="shared" si="0"/>
        <v>53782379</v>
      </c>
      <c r="H9" s="17">
        <f t="shared" si="1"/>
        <v>2708562.6160252881</v>
      </c>
      <c r="I9" s="17">
        <f t="shared" si="2"/>
        <v>51073816.383974709</v>
      </c>
    </row>
    <row r="10" spans="1:9" ht="15.75" customHeight="1" x14ac:dyDescent="0.25">
      <c r="A10" s="5">
        <f t="shared" si="3"/>
        <v>2032</v>
      </c>
      <c r="B10" s="49">
        <v>2344074</v>
      </c>
      <c r="C10" s="50">
        <v>6960954</v>
      </c>
      <c r="D10" s="50">
        <v>14333208.5</v>
      </c>
      <c r="E10" s="50">
        <v>15782591</v>
      </c>
      <c r="F10" s="50">
        <v>16329625.500000002</v>
      </c>
      <c r="G10" s="17">
        <f t="shared" si="0"/>
        <v>53406379</v>
      </c>
      <c r="H10" s="17">
        <f t="shared" si="1"/>
        <v>2682447.3437126959</v>
      </c>
      <c r="I10" s="17">
        <f t="shared" si="2"/>
        <v>50723931.656287305</v>
      </c>
    </row>
    <row r="11" spans="1:9" ht="15.75" customHeight="1" x14ac:dyDescent="0.25">
      <c r="A11" s="5">
        <f t="shared" si="3"/>
        <v>2033</v>
      </c>
      <c r="B11" s="49">
        <v>2325924</v>
      </c>
      <c r="C11" s="50">
        <v>6938473.5</v>
      </c>
      <c r="D11" s="50">
        <v>14210478</v>
      </c>
      <c r="E11" s="50">
        <v>15679108.5</v>
      </c>
      <c r="F11" s="50">
        <v>16200371.5</v>
      </c>
      <c r="G11" s="17">
        <f t="shared" si="0"/>
        <v>53028431.5</v>
      </c>
      <c r="H11" s="17">
        <f t="shared" si="1"/>
        <v>2661677.3427279205</v>
      </c>
      <c r="I11" s="17">
        <f t="shared" si="2"/>
        <v>50366754.157272078</v>
      </c>
    </row>
    <row r="12" spans="1:9" ht="15.75" customHeight="1" x14ac:dyDescent="0.25">
      <c r="A12" s="5">
        <f t="shared" si="3"/>
        <v>2034</v>
      </c>
      <c r="B12" s="49">
        <v>2307978</v>
      </c>
      <c r="C12" s="50">
        <v>6892351</v>
      </c>
      <c r="D12" s="50">
        <v>14114666.5</v>
      </c>
      <c r="E12" s="50">
        <v>15553131</v>
      </c>
      <c r="F12" s="50">
        <v>16075359.5</v>
      </c>
      <c r="G12" s="17">
        <f t="shared" si="0"/>
        <v>52635508</v>
      </c>
      <c r="H12" s="17">
        <f t="shared" si="1"/>
        <v>2641140.7896880987</v>
      </c>
      <c r="I12" s="17">
        <f t="shared" si="2"/>
        <v>49994367.210311905</v>
      </c>
    </row>
    <row r="13" spans="1:9" ht="15.75" customHeight="1" x14ac:dyDescent="0.25">
      <c r="A13" s="5">
        <f t="shared" si="3"/>
        <v>2035</v>
      </c>
      <c r="B13" s="49">
        <v>2289062</v>
      </c>
      <c r="C13" s="50">
        <v>6797001.5</v>
      </c>
      <c r="D13" s="50">
        <v>14034295.5</v>
      </c>
      <c r="E13" s="50">
        <v>15414352</v>
      </c>
      <c r="F13" s="50">
        <v>15963456.999999998</v>
      </c>
      <c r="G13" s="17">
        <f t="shared" si="0"/>
        <v>52209106</v>
      </c>
      <c r="H13" s="17">
        <f t="shared" si="1"/>
        <v>2619494.2145570791</v>
      </c>
      <c r="I13" s="17">
        <f t="shared" si="2"/>
        <v>49589611.785442919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0.13749251374925139</v>
      </c>
    </row>
    <row r="5" spans="1:8" ht="15.75" customHeight="1" x14ac:dyDescent="0.25">
      <c r="B5" s="19" t="s">
        <v>70</v>
      </c>
      <c r="C5" s="101">
        <v>1.6327201632720171E-2</v>
      </c>
    </row>
    <row r="6" spans="1:8" ht="15.75" customHeight="1" x14ac:dyDescent="0.25">
      <c r="B6" s="19" t="s">
        <v>71</v>
      </c>
      <c r="C6" s="101">
        <v>0.14921611492161169</v>
      </c>
    </row>
    <row r="7" spans="1:8" ht="15.75" customHeight="1" x14ac:dyDescent="0.25">
      <c r="B7" s="19" t="s">
        <v>72</v>
      </c>
      <c r="C7" s="101">
        <v>0.28350592835059218</v>
      </c>
    </row>
    <row r="8" spans="1:8" ht="15.75" customHeight="1" x14ac:dyDescent="0.25">
      <c r="B8" s="19" t="s">
        <v>73</v>
      </c>
      <c r="C8" s="101">
        <v>1.020000102000012E-5</v>
      </c>
    </row>
    <row r="9" spans="1:8" ht="15.75" customHeight="1" x14ac:dyDescent="0.25">
      <c r="B9" s="19" t="s">
        <v>74</v>
      </c>
      <c r="C9" s="101">
        <v>0.21483992148399311</v>
      </c>
    </row>
    <row r="10" spans="1:8" ht="15.75" customHeight="1" x14ac:dyDescent="0.25">
      <c r="B10" s="19" t="s">
        <v>75</v>
      </c>
      <c r="C10" s="101">
        <v>0.19860811986081151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0.1109368604774357</v>
      </c>
      <c r="D14" s="55">
        <v>0.1109368604774357</v>
      </c>
      <c r="E14" s="55">
        <v>0.1109368604774357</v>
      </c>
      <c r="F14" s="55">
        <v>0.1109368604774357</v>
      </c>
    </row>
    <row r="15" spans="1:8" ht="15.75" customHeight="1" x14ac:dyDescent="0.25">
      <c r="B15" s="19" t="s">
        <v>82</v>
      </c>
      <c r="C15" s="101">
        <v>0.36074007572504768</v>
      </c>
      <c r="D15" s="101">
        <v>0.36074007572504768</v>
      </c>
      <c r="E15" s="101">
        <v>0.36074007572504768</v>
      </c>
      <c r="F15" s="101">
        <v>0.36074007572504768</v>
      </c>
    </row>
    <row r="16" spans="1:8" ht="15.75" customHeight="1" x14ac:dyDescent="0.25">
      <c r="B16" s="19" t="s">
        <v>83</v>
      </c>
      <c r="C16" s="101">
        <v>5.0609090351469078E-2</v>
      </c>
      <c r="D16" s="101">
        <v>5.0609090351469078E-2</v>
      </c>
      <c r="E16" s="101">
        <v>5.0609090351469078E-2</v>
      </c>
      <c r="F16" s="101">
        <v>5.0609090351469078E-2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1.0086264100862669E-3</v>
      </c>
      <c r="D18" s="101">
        <v>1.0086264100862669E-3</v>
      </c>
      <c r="E18" s="101">
        <v>1.0086264100862669E-3</v>
      </c>
      <c r="F18" s="101">
        <v>1.0086264100862669E-3</v>
      </c>
    </row>
    <row r="19" spans="1:8" ht="15.75" customHeight="1" x14ac:dyDescent="0.25">
      <c r="B19" s="19" t="s">
        <v>86</v>
      </c>
      <c r="C19" s="101">
        <v>1.0261357363117779E-2</v>
      </c>
      <c r="D19" s="101">
        <v>1.0261357363117779E-2</v>
      </c>
      <c r="E19" s="101">
        <v>1.0261357363117779E-2</v>
      </c>
      <c r="F19" s="101">
        <v>1.0261357363117779E-2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0.2849055109767864</v>
      </c>
      <c r="D21" s="101">
        <v>0.2849055109767864</v>
      </c>
      <c r="E21" s="101">
        <v>0.2849055109767864</v>
      </c>
      <c r="F21" s="101">
        <v>0.2849055109767864</v>
      </c>
    </row>
    <row r="22" spans="1:8" ht="15.75" customHeight="1" x14ac:dyDescent="0.25">
      <c r="B22" s="19" t="s">
        <v>89</v>
      </c>
      <c r="C22" s="101">
        <v>0.1815384786960571</v>
      </c>
      <c r="D22" s="101">
        <v>0.1815384786960571</v>
      </c>
      <c r="E22" s="101">
        <v>0.1815384786960571</v>
      </c>
      <c r="F22" s="101">
        <v>0.1815384786960571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5.7909057E-2</v>
      </c>
    </row>
    <row r="27" spans="1:8" ht="15.75" customHeight="1" x14ac:dyDescent="0.25">
      <c r="B27" s="19" t="s">
        <v>92</v>
      </c>
      <c r="C27" s="101">
        <v>2.6758759999999999E-2</v>
      </c>
    </row>
    <row r="28" spans="1:8" ht="15.75" customHeight="1" x14ac:dyDescent="0.25">
      <c r="B28" s="19" t="s">
        <v>93</v>
      </c>
      <c r="C28" s="101">
        <v>6.3008400000000006E-2</v>
      </c>
    </row>
    <row r="29" spans="1:8" ht="15.75" customHeight="1" x14ac:dyDescent="0.25">
      <c r="B29" s="19" t="s">
        <v>94</v>
      </c>
      <c r="C29" s="101">
        <v>0.22726674099999999</v>
      </c>
    </row>
    <row r="30" spans="1:8" ht="15.75" customHeight="1" x14ac:dyDescent="0.25">
      <c r="B30" s="19" t="s">
        <v>95</v>
      </c>
      <c r="C30" s="101">
        <v>8.1734795999999998E-2</v>
      </c>
    </row>
    <row r="31" spans="1:8" ht="15.75" customHeight="1" x14ac:dyDescent="0.25">
      <c r="B31" s="19" t="s">
        <v>96</v>
      </c>
      <c r="C31" s="101">
        <v>8.8591216E-2</v>
      </c>
    </row>
    <row r="32" spans="1:8" ht="15.75" customHeight="1" x14ac:dyDescent="0.25">
      <c r="B32" s="19" t="s">
        <v>97</v>
      </c>
      <c r="C32" s="101">
        <v>4.6972499000000001E-2</v>
      </c>
    </row>
    <row r="33" spans="2:3" ht="15.75" customHeight="1" x14ac:dyDescent="0.25">
      <c r="B33" s="19" t="s">
        <v>98</v>
      </c>
      <c r="C33" s="101">
        <v>0.18240123999999999</v>
      </c>
    </row>
    <row r="34" spans="2:3" ht="15.75" customHeight="1" x14ac:dyDescent="0.25">
      <c r="B34" s="19" t="s">
        <v>99</v>
      </c>
      <c r="C34" s="101">
        <v>0.22535729099999999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0.77893077607755457</v>
      </c>
      <c r="D2" s="52">
        <f>IFERROR(1-_xlfn.NORM.DIST(_xlfn.NORM.INV(SUM(D4:D5), 0, 1) + 1, 0, 1, TRUE), "")</f>
        <v>0.77893077607755457</v>
      </c>
      <c r="E2" s="52">
        <f>IFERROR(1-_xlfn.NORM.DIST(_xlfn.NORM.INV(SUM(E4:E5), 0, 1) + 1, 0, 1, TRUE), "")</f>
        <v>0.69032615484919613</v>
      </c>
      <c r="F2" s="52">
        <f>IFERROR(1-_xlfn.NORM.DIST(_xlfn.NORM.INV(SUM(F4:F5), 0, 1) + 1, 0, 1, TRUE), "")</f>
        <v>0.57874487056268675</v>
      </c>
      <c r="G2" s="52">
        <f>IFERROR(1-_xlfn.NORM.DIST(_xlfn.NORM.INV(SUM(G4:G5), 0, 1) + 1, 0, 1, TRUE), "")</f>
        <v>0.6868770205641872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0.18258782392244544</v>
      </c>
      <c r="D3" s="52">
        <f>IFERROR(_xlfn.NORM.DIST(_xlfn.NORM.INV(SUM(D4:D5), 0, 1) + 1, 0, 1, TRUE) - SUM(D4:D5), "")</f>
        <v>0.18258782392244544</v>
      </c>
      <c r="E3" s="52">
        <f>IFERROR(_xlfn.NORM.DIST(_xlfn.NORM.INV(SUM(E4:E5), 0, 1) + 1, 0, 1, TRUE) - SUM(E4:E5), "")</f>
        <v>0.24244794515080387</v>
      </c>
      <c r="F3" s="52">
        <f>IFERROR(_xlfn.NORM.DIST(_xlfn.NORM.INV(SUM(F4:F5), 0, 1) + 1, 0, 1, TRUE) - SUM(F4:F5), "")</f>
        <v>0.30592962943731328</v>
      </c>
      <c r="G3" s="52">
        <f>IFERROR(_xlfn.NORM.DIST(_xlfn.NORM.INV(SUM(G4:G5), 0, 1) + 1, 0, 1, TRUE) - SUM(G4:G5), "")</f>
        <v>0.24461787943581279</v>
      </c>
    </row>
    <row r="4" spans="1:15" ht="15.75" customHeight="1" x14ac:dyDescent="0.25">
      <c r="B4" s="5" t="s">
        <v>104</v>
      </c>
      <c r="C4" s="45">
        <v>2.74743E-2</v>
      </c>
      <c r="D4" s="53">
        <v>2.74743E-2</v>
      </c>
      <c r="E4" s="53">
        <v>5.6535000000000002E-2</v>
      </c>
      <c r="F4" s="53">
        <v>9.7602899999999992E-2</v>
      </c>
      <c r="G4" s="53">
        <v>5.5185500000000012E-2</v>
      </c>
    </row>
    <row r="5" spans="1:15" ht="15.75" customHeight="1" x14ac:dyDescent="0.25">
      <c r="B5" s="5" t="s">
        <v>105</v>
      </c>
      <c r="C5" s="45">
        <v>1.1007100000000001E-2</v>
      </c>
      <c r="D5" s="53">
        <v>1.1007100000000001E-2</v>
      </c>
      <c r="E5" s="53">
        <v>1.06909E-2</v>
      </c>
      <c r="F5" s="53">
        <v>1.7722600000000002E-2</v>
      </c>
      <c r="G5" s="53">
        <v>1.3319599999999999E-2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0.72563962584924047</v>
      </c>
      <c r="D8" s="52">
        <f>IFERROR(1-_xlfn.NORM.DIST(_xlfn.NORM.INV(SUM(D10:D11), 0, 1) + 1, 0, 1, TRUE), "")</f>
        <v>0.72563962584924047</v>
      </c>
      <c r="E8" s="52">
        <f>IFERROR(1-_xlfn.NORM.DIST(_xlfn.NORM.INV(SUM(E10:E11), 0, 1) + 1, 0, 1, TRUE), "")</f>
        <v>0.85532146261431063</v>
      </c>
      <c r="F8" s="52">
        <f>IFERROR(1-_xlfn.NORM.DIST(_xlfn.NORM.INV(SUM(F10:F11), 0, 1) + 1, 0, 1, TRUE), "")</f>
        <v>0.83476209431629278</v>
      </c>
      <c r="G8" s="52">
        <f>IFERROR(1-_xlfn.NORM.DIST(_xlfn.NORM.INV(SUM(G10:G11), 0, 1) + 1, 0, 1, TRUE), "")</f>
        <v>0.91155947203969223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0.21952537415075954</v>
      </c>
      <c r="D9" s="52">
        <f>IFERROR(_xlfn.NORM.DIST(_xlfn.NORM.INV(SUM(D10:D11), 0, 1) + 1, 0, 1, TRUE) - SUM(D10:D11), "")</f>
        <v>0.21952537415075954</v>
      </c>
      <c r="E9" s="52">
        <f>IFERROR(_xlfn.NORM.DIST(_xlfn.NORM.INV(SUM(E10:E11), 0, 1) + 1, 0, 1, TRUE) - SUM(E10:E11), "")</f>
        <v>0.1249569373856893</v>
      </c>
      <c r="F9" s="52">
        <f>IFERROR(_xlfn.NORM.DIST(_xlfn.NORM.INV(SUM(F10:F11), 0, 1) + 1, 0, 1, TRUE) - SUM(F10:F11), "")</f>
        <v>0.14099900568370716</v>
      </c>
      <c r="G9" s="52">
        <f>IFERROR(_xlfn.NORM.DIST(_xlfn.NORM.INV(SUM(G10:G11), 0, 1) + 1, 0, 1, TRUE) - SUM(G10:G11), "")</f>
        <v>7.9064427960307784E-2</v>
      </c>
    </row>
    <row r="10" spans="1:15" ht="15.75" customHeight="1" x14ac:dyDescent="0.25">
      <c r="B10" s="5" t="s">
        <v>109</v>
      </c>
      <c r="C10" s="45">
        <v>4.2639799999999999E-2</v>
      </c>
      <c r="D10" s="53">
        <v>4.2639799999999999E-2</v>
      </c>
      <c r="E10" s="53">
        <v>4.6311E-3</v>
      </c>
      <c r="F10" s="53">
        <v>2.1639700000000001E-2</v>
      </c>
      <c r="G10" s="53">
        <v>8.1489000000000006E-3</v>
      </c>
    </row>
    <row r="11" spans="1:15" ht="15.75" customHeight="1" x14ac:dyDescent="0.25">
      <c r="B11" s="5" t="s">
        <v>110</v>
      </c>
      <c r="C11" s="45">
        <v>1.21952E-2</v>
      </c>
      <c r="D11" s="53">
        <v>1.21952E-2</v>
      </c>
      <c r="E11" s="53">
        <v>1.50905E-2</v>
      </c>
      <c r="F11" s="53">
        <v>2.5991999999999999E-3</v>
      </c>
      <c r="G11" s="53">
        <v>1.2271999999999999E-3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0.37730602575</v>
      </c>
      <c r="D14" s="54">
        <v>0.36074305567499998</v>
      </c>
      <c r="E14" s="54">
        <v>0.36074305567499998</v>
      </c>
      <c r="F14" s="54">
        <v>0.216636343014</v>
      </c>
      <c r="G14" s="54">
        <v>0.216636343014</v>
      </c>
      <c r="H14" s="45">
        <v>0.373</v>
      </c>
      <c r="I14" s="55">
        <v>0.373</v>
      </c>
      <c r="J14" s="55">
        <v>0.373</v>
      </c>
      <c r="K14" s="55">
        <v>0.373</v>
      </c>
      <c r="L14" s="45">
        <v>0.26800000000000002</v>
      </c>
      <c r="M14" s="55">
        <v>0.26800000000000002</v>
      </c>
      <c r="N14" s="55">
        <v>0.26800000000000002</v>
      </c>
      <c r="O14" s="55">
        <v>0.26800000000000002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0.21237650655005702</v>
      </c>
      <c r="D15" s="52">
        <f t="shared" si="0"/>
        <v>0.20305360820612131</v>
      </c>
      <c r="E15" s="52">
        <f t="shared" si="0"/>
        <v>0.20305360820612131</v>
      </c>
      <c r="F15" s="52">
        <f t="shared" si="0"/>
        <v>0.12193939821034827</v>
      </c>
      <c r="G15" s="52">
        <f t="shared" si="0"/>
        <v>0.12193939821034827</v>
      </c>
      <c r="H15" s="52">
        <f t="shared" si="0"/>
        <v>0.20995274800000002</v>
      </c>
      <c r="I15" s="52">
        <f t="shared" si="0"/>
        <v>0.20995274800000002</v>
      </c>
      <c r="J15" s="52">
        <f t="shared" si="0"/>
        <v>0.20995274800000002</v>
      </c>
      <c r="K15" s="52">
        <f t="shared" si="0"/>
        <v>0.20995274800000002</v>
      </c>
      <c r="L15" s="52">
        <f t="shared" si="0"/>
        <v>0.15085076800000002</v>
      </c>
      <c r="M15" s="52">
        <f t="shared" si="0"/>
        <v>0.15085076800000002</v>
      </c>
      <c r="N15" s="52">
        <f t="shared" si="0"/>
        <v>0.15085076800000002</v>
      </c>
      <c r="O15" s="52">
        <f t="shared" si="0"/>
        <v>0.15085076800000002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0.56884709999999994</v>
      </c>
      <c r="D2" s="53">
        <v>0.27722980000000003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0.1558418</v>
      </c>
      <c r="D3" s="53">
        <v>0.1433625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0.20758979999999999</v>
      </c>
      <c r="D4" s="53">
        <v>0.34906140000000002</v>
      </c>
      <c r="E4" s="53">
        <v>0.636687</v>
      </c>
      <c r="F4" s="53">
        <v>0.42112870000000002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6.7721300000000095E-2</v>
      </c>
      <c r="D5" s="52">
        <f t="shared" si="0"/>
        <v>0.23034629999999989</v>
      </c>
      <c r="E5" s="52">
        <f>1-SUM(E2:E4)</f>
        <v>0.363313</v>
      </c>
      <c r="F5" s="52">
        <f>1-SUM(F2:F4)</f>
        <v>0.57887129999999998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8917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0.57762999999999998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0.60899999999999999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1.7156243673110892E-2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98621.013819999993</v>
      </c>
      <c r="C22" s="109">
        <v>98524.768769999995</v>
      </c>
      <c r="D22" s="109">
        <v>98388.349350000004</v>
      </c>
      <c r="E22" s="109">
        <v>97765.106839999993</v>
      </c>
      <c r="F22" s="109">
        <v>96946.711869999999</v>
      </c>
      <c r="G22" s="109">
        <v>96201.574160000004</v>
      </c>
      <c r="H22" s="109">
        <v>95439.803610000003</v>
      </c>
      <c r="I22" s="109">
        <v>94480.39976</v>
      </c>
      <c r="J22" s="109">
        <v>93263.897190000003</v>
      </c>
      <c r="K22" s="109">
        <v>91567.682209999999</v>
      </c>
      <c r="L22" s="109">
        <v>89174.384900000005</v>
      </c>
      <c r="M22" s="109">
        <v>85705.736510000002</v>
      </c>
      <c r="N22" s="109">
        <v>80721.243359999993</v>
      </c>
      <c r="O22" s="109">
        <v>73831.275460000004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19.75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19.75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21.195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0.48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0.44994896638918952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0.10284547803181469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0.5</v>
      </c>
      <c r="C9" s="98">
        <v>0.95</v>
      </c>
      <c r="D9" s="56">
        <v>0.25711131554737809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0.46083239999999998</v>
      </c>
      <c r="C10" s="98">
        <v>0.95</v>
      </c>
      <c r="D10" s="56">
        <v>13.656625510767499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13.656625510767499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13.656625510767499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13.656625510767499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0.46083239999999998</v>
      </c>
      <c r="C14" s="98">
        <v>0.95</v>
      </c>
      <c r="D14" s="56">
        <v>13.656625510767499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13.656625510767499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</v>
      </c>
      <c r="C16" s="98">
        <v>0.95</v>
      </c>
      <c r="D16" s="56">
        <v>5.8835597567123799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0.48685</v>
      </c>
      <c r="C17" s="98">
        <v>0.95</v>
      </c>
      <c r="D17" s="56">
        <v>0.14000000000000001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1.6E-2</v>
      </c>
      <c r="C18" s="98">
        <v>0.95</v>
      </c>
      <c r="D18" s="56">
        <v>21.195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0.27722980000000003</v>
      </c>
      <c r="C19" s="98">
        <v>0.95</v>
      </c>
      <c r="D19" s="56">
        <v>19.805611394811169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7.48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21.195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4.6821164540834266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0.89690882780986203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4.4421306161984946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9.2958524157825622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0.51813429999999994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0.56700000000000006</v>
      </c>
      <c r="C29" s="98">
        <v>0.95</v>
      </c>
      <c r="D29" s="56">
        <v>206.81375092158379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124.66848615801089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123.05968780269725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</v>
      </c>
      <c r="C32" s="98">
        <v>0.95</v>
      </c>
      <c r="D32" s="56">
        <v>1.5917274986535743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0.45041619999999999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0.98627039999999999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</v>
      </c>
      <c r="C38" s="98">
        <v>0.95</v>
      </c>
      <c r="D38" s="56">
        <v>2.4500000000000002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197</v>
      </c>
      <c r="B3" s="21">
        <f>frac_mam_1month * 2.6</f>
        <v>0.11086348</v>
      </c>
      <c r="C3" s="21">
        <f>frac_mam_1_5months * 2.6</f>
        <v>0.11086348</v>
      </c>
      <c r="D3" s="21">
        <f>frac_mam_6_11months * 2.6</f>
        <v>1.204086E-2</v>
      </c>
      <c r="E3" s="21">
        <f>frac_mam_12_23months * 2.6</f>
        <v>5.6263220000000003E-2</v>
      </c>
      <c r="F3" s="21">
        <f>frac_mam_24_59months * 2.6</f>
        <v>2.1187140000000004E-2</v>
      </c>
    </row>
    <row r="4" spans="1:6" ht="15.75" customHeight="1" x14ac:dyDescent="0.25">
      <c r="A4" s="3" t="s">
        <v>198</v>
      </c>
      <c r="B4" s="21">
        <f>frac_sam_1month * 2.6</f>
        <v>3.1707520000000003E-2</v>
      </c>
      <c r="C4" s="21">
        <f>frac_sam_1_5months * 2.6</f>
        <v>3.1707520000000003E-2</v>
      </c>
      <c r="D4" s="21">
        <f>frac_sam_6_11months * 2.6</f>
        <v>3.9235300000000001E-2</v>
      </c>
      <c r="E4" s="21">
        <f>frac_sam_12_23months * 2.6</f>
        <v>6.7579199999999997E-3</v>
      </c>
      <c r="F4" s="21">
        <f>frac_sam_24_59months * 2.6</f>
        <v>3.1907199999999998E-3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4.3999999999999997E-2</v>
      </c>
      <c r="F2" s="60">
        <f>food_insecure</f>
        <v>4.3999999999999997E-2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4.3999999999999997E-2</v>
      </c>
      <c r="F5" s="60">
        <f>food_insecure</f>
        <v>4.3999999999999997E-2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4.3999999999999997E-2</v>
      </c>
      <c r="F8" s="60">
        <f>food_insecure</f>
        <v>4.3999999999999997E-2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4.3999999999999997E-2</v>
      </c>
      <c r="F9" s="60">
        <f>food_insecure</f>
        <v>4.3999999999999997E-2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4.3999999999999997E-2</v>
      </c>
      <c r="I15" s="60">
        <f t="shared" si="0"/>
        <v>4.3999999999999997E-2</v>
      </c>
      <c r="J15" s="60">
        <f t="shared" si="0"/>
        <v>4.3999999999999997E-2</v>
      </c>
      <c r="K15" s="60">
        <f t="shared" si="0"/>
        <v>4.3999999999999997E-2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4.3999999999999997E-2</v>
      </c>
      <c r="I16" s="60">
        <f t="shared" si="0"/>
        <v>4.3999999999999997E-2</v>
      </c>
      <c r="J16" s="60">
        <f t="shared" si="0"/>
        <v>4.3999999999999997E-2</v>
      </c>
      <c r="K16" s="60">
        <f t="shared" si="0"/>
        <v>4.3999999999999997E-2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0.107</v>
      </c>
      <c r="M24" s="60">
        <f>famplan_unmet_need</f>
        <v>0.107</v>
      </c>
      <c r="N24" s="60">
        <f>famplan_unmet_need</f>
        <v>0.107</v>
      </c>
      <c r="O24" s="60">
        <f>famplan_unmet_need</f>
        <v>0.107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8.3964329932000023E-2</v>
      </c>
      <c r="M25" s="60">
        <f>(1-food_insecure)*(0.49)+food_insecure*(0.7)</f>
        <v>0.49923999999999996</v>
      </c>
      <c r="N25" s="60">
        <f>(1-food_insecure)*(0.49)+food_insecure*(0.7)</f>
        <v>0.49923999999999996</v>
      </c>
      <c r="O25" s="60">
        <f>(1-food_insecure)*(0.49)+food_insecure*(0.7)</f>
        <v>0.49923999999999996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3.5984712828000018E-2</v>
      </c>
      <c r="M26" s="60">
        <f>(1-food_insecure)*(0.21)+food_insecure*(0.3)</f>
        <v>0.21395999999999998</v>
      </c>
      <c r="N26" s="60">
        <f>(1-food_insecure)*(0.21)+food_insecure*(0.3)</f>
        <v>0.21395999999999998</v>
      </c>
      <c r="O26" s="60">
        <f>(1-food_insecure)*(0.21)+food_insecure*(0.3)</f>
        <v>0.21395999999999998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4.8235257240000017E-2</v>
      </c>
      <c r="M27" s="60">
        <f>(1-food_insecure)*(0.3)</f>
        <v>0.2868</v>
      </c>
      <c r="N27" s="60">
        <f>(1-food_insecure)*(0.3)</f>
        <v>0.2868</v>
      </c>
      <c r="O27" s="60">
        <f>(1-food_insecure)*(0.3)</f>
        <v>0.2868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0.83181569999999994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