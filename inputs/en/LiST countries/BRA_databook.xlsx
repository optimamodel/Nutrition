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40234CC-AA12-4CBF-AC5B-68F5A6D2654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29" i="2"/>
  <c r="A27" i="2"/>
  <c r="A21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14" i="2"/>
  <c r="A22" i="2"/>
  <c r="A30" i="2"/>
  <c r="A38" i="2"/>
  <c r="A40" i="2"/>
  <c r="A15" i="2"/>
  <c r="A23" i="2"/>
  <c r="A31" i="2"/>
  <c r="A16" i="2"/>
  <c r="A24" i="2"/>
  <c r="A32" i="2"/>
  <c r="A33" i="2"/>
  <c r="A17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<sst xmlns="http://schemas.openxmlformats.org/spreadsheetml/2006/main" count="2092" uniqueCount="341">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</sst>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13457670.5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0.84275520324706998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2707642.9187999992</v>
      </c>
      <c r="C2" s="49">
        <v>7484000</v>
      </c>
      <c r="D2" s="49">
        <v>16670000</v>
      </c>
      <c r="E2" s="49">
        <v>17146000</v>
      </c>
      <c r="F2" s="49">
        <v>16468000</v>
      </c>
      <c r="G2" s="17">
        <f t="shared" ref="G2:G13" si="0">C2+D2+E2+F2</f>
        <v>57768000</v>
      </c>
      <c r="H2" s="17">
        <f t="shared" ref="H2:H13" si="1">(B2 + stillbirth*B2/(1000-stillbirth))/(1-abortion)</f>
        <v>3098498.4071567487</v>
      </c>
      <c r="I2" s="17">
        <f t="shared" ref="I2:I13" si="2">G2-H2</f>
        <v>54669501.592843249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2675524.3110000002</v>
      </c>
      <c r="C3" s="50">
        <v>7393000</v>
      </c>
      <c r="D3" s="50">
        <v>16505000</v>
      </c>
      <c r="E3" s="50">
        <v>17064000</v>
      </c>
      <c r="F3" s="50">
        <v>16713000</v>
      </c>
      <c r="G3" s="17">
        <f t="shared" si="0"/>
        <v>57675000</v>
      </c>
      <c r="H3" s="17">
        <f t="shared" si="1"/>
        <v>3061743.3925211793</v>
      </c>
      <c r="I3" s="17">
        <f t="shared" si="2"/>
        <v>54613256.60747882</v>
      </c>
    </row>
    <row r="4" spans="1:9" ht="15.75" customHeight="1" x14ac:dyDescent="0.25">
      <c r="A4" s="5">
        <f t="shared" si="3"/>
        <v>2026</v>
      </c>
      <c r="B4" s="49">
        <v>2651390.91</v>
      </c>
      <c r="C4" s="50">
        <v>7333000</v>
      </c>
      <c r="D4" s="50">
        <v>16314000</v>
      </c>
      <c r="E4" s="50">
        <v>17011000</v>
      </c>
      <c r="F4" s="50">
        <v>16909000</v>
      </c>
      <c r="G4" s="17">
        <f t="shared" si="0"/>
        <v>57567000</v>
      </c>
      <c r="H4" s="17">
        <f t="shared" si="1"/>
        <v>3034126.2706183712</v>
      </c>
      <c r="I4" s="17">
        <f t="shared" si="2"/>
        <v>54532873.729381628</v>
      </c>
    </row>
    <row r="5" spans="1:9" ht="15.75" customHeight="1" x14ac:dyDescent="0.25">
      <c r="A5" s="5">
        <f t="shared" si="3"/>
        <v>2027</v>
      </c>
      <c r="B5" s="49">
        <v>2626209.6209999998</v>
      </c>
      <c r="C5" s="50">
        <v>7303000</v>
      </c>
      <c r="D5" s="50">
        <v>16084000</v>
      </c>
      <c r="E5" s="50">
        <v>16983000</v>
      </c>
      <c r="F5" s="50">
        <v>17057000</v>
      </c>
      <c r="G5" s="17">
        <f t="shared" si="0"/>
        <v>57427000</v>
      </c>
      <c r="H5" s="17">
        <f t="shared" si="1"/>
        <v>3005309.9952834998</v>
      </c>
      <c r="I5" s="17">
        <f t="shared" si="2"/>
        <v>54421690.004716501</v>
      </c>
    </row>
    <row r="6" spans="1:9" ht="15.75" customHeight="1" x14ac:dyDescent="0.25">
      <c r="A6" s="5">
        <f t="shared" si="3"/>
        <v>2028</v>
      </c>
      <c r="B6" s="49">
        <v>2600009.1719999998</v>
      </c>
      <c r="C6" s="50">
        <v>7289000</v>
      </c>
      <c r="D6" s="50">
        <v>15830000</v>
      </c>
      <c r="E6" s="50">
        <v>16966000</v>
      </c>
      <c r="F6" s="50">
        <v>17156000</v>
      </c>
      <c r="G6" s="17">
        <f t="shared" si="0"/>
        <v>57241000</v>
      </c>
      <c r="H6" s="17">
        <f t="shared" si="1"/>
        <v>2975327.4414801085</v>
      </c>
      <c r="I6" s="17">
        <f t="shared" si="2"/>
        <v>54265672.558519892</v>
      </c>
    </row>
    <row r="7" spans="1:9" ht="15.75" customHeight="1" x14ac:dyDescent="0.25">
      <c r="A7" s="5">
        <f t="shared" si="3"/>
        <v>2029</v>
      </c>
      <c r="B7" s="49">
        <v>2572818.2910000011</v>
      </c>
      <c r="C7" s="50">
        <v>7273000</v>
      </c>
      <c r="D7" s="50">
        <v>15581000</v>
      </c>
      <c r="E7" s="50">
        <v>16941000</v>
      </c>
      <c r="F7" s="50">
        <v>17209000</v>
      </c>
      <c r="G7" s="17">
        <f t="shared" si="0"/>
        <v>57004000</v>
      </c>
      <c r="H7" s="17">
        <f t="shared" si="1"/>
        <v>2944211.4841717412</v>
      </c>
      <c r="I7" s="17">
        <f t="shared" si="2"/>
        <v>54059788.515828259</v>
      </c>
    </row>
    <row r="8" spans="1:9" ht="15.75" customHeight="1" x14ac:dyDescent="0.25">
      <c r="A8" s="5">
        <f t="shared" si="3"/>
        <v>2030</v>
      </c>
      <c r="B8" s="49">
        <v>2544676.9920000001</v>
      </c>
      <c r="C8" s="50">
        <v>7242000</v>
      </c>
      <c r="D8" s="50">
        <v>15357000</v>
      </c>
      <c r="E8" s="50">
        <v>16895000</v>
      </c>
      <c r="F8" s="50">
        <v>17219000</v>
      </c>
      <c r="G8" s="17">
        <f t="shared" si="0"/>
        <v>56713000</v>
      </c>
      <c r="H8" s="17">
        <f t="shared" si="1"/>
        <v>2912007.9134861836</v>
      </c>
      <c r="I8" s="17">
        <f t="shared" si="2"/>
        <v>53800992.086513817</v>
      </c>
    </row>
    <row r="9" spans="1:9" ht="15.75" customHeight="1" x14ac:dyDescent="0.25">
      <c r="A9" s="5">
        <f t="shared" si="3"/>
        <v>2031</v>
      </c>
      <c r="B9" s="49">
        <v>2521396.145314286</v>
      </c>
      <c r="C9" s="50">
        <v>7207428.5714285718</v>
      </c>
      <c r="D9" s="50">
        <v>15169428.571428571</v>
      </c>
      <c r="E9" s="50">
        <v>16859142.857142858</v>
      </c>
      <c r="F9" s="50">
        <v>17326285.714285709</v>
      </c>
      <c r="G9" s="17">
        <f t="shared" si="0"/>
        <v>56562285.714285709</v>
      </c>
      <c r="H9" s="17">
        <f t="shared" si="1"/>
        <v>2885366.4143903889</v>
      </c>
      <c r="I9" s="17">
        <f t="shared" si="2"/>
        <v>53676919.299895316</v>
      </c>
    </row>
    <row r="10" spans="1:9" ht="15.75" customHeight="1" x14ac:dyDescent="0.25">
      <c r="A10" s="5">
        <f t="shared" si="3"/>
        <v>2032</v>
      </c>
      <c r="B10" s="49">
        <v>2499377.8359306119</v>
      </c>
      <c r="C10" s="50">
        <v>7180918.3673469396</v>
      </c>
      <c r="D10" s="50">
        <v>14978632.65306122</v>
      </c>
      <c r="E10" s="50">
        <v>16829877.55102041</v>
      </c>
      <c r="F10" s="50">
        <v>17413897.959183671</v>
      </c>
      <c r="G10" s="17">
        <f t="shared" si="0"/>
        <v>56403326.530612238</v>
      </c>
      <c r="H10" s="17">
        <f t="shared" si="1"/>
        <v>2860169.7032288467</v>
      </c>
      <c r="I10" s="17">
        <f t="shared" si="2"/>
        <v>53543156.827383392</v>
      </c>
    </row>
    <row r="11" spans="1:9" ht="15.75" customHeight="1" x14ac:dyDescent="0.25">
      <c r="A11" s="5">
        <f t="shared" si="3"/>
        <v>2033</v>
      </c>
      <c r="B11" s="49">
        <v>2477661.682492129</v>
      </c>
      <c r="C11" s="50">
        <v>7159192.4198250743</v>
      </c>
      <c r="D11" s="50">
        <v>14787865.88921283</v>
      </c>
      <c r="E11" s="50">
        <v>16804002.915451899</v>
      </c>
      <c r="F11" s="50">
        <v>17486026.239067052</v>
      </c>
      <c r="G11" s="17">
        <f t="shared" si="0"/>
        <v>56237087.463556856</v>
      </c>
      <c r="H11" s="17">
        <f t="shared" si="1"/>
        <v>2835318.7650303445</v>
      </c>
      <c r="I11" s="17">
        <f t="shared" si="2"/>
        <v>53401768.698526509</v>
      </c>
    </row>
    <row r="12" spans="1:9" ht="15.75" customHeight="1" x14ac:dyDescent="0.25">
      <c r="A12" s="5">
        <f t="shared" si="3"/>
        <v>2034</v>
      </c>
      <c r="B12" s="49">
        <v>2456440.5484195761</v>
      </c>
      <c r="C12" s="50">
        <v>7138648.4798000846</v>
      </c>
      <c r="D12" s="50">
        <v>14602703.873386091</v>
      </c>
      <c r="E12" s="50">
        <v>16778431.903373599</v>
      </c>
      <c r="F12" s="50">
        <v>17547315.701790921</v>
      </c>
      <c r="G12" s="17">
        <f t="shared" si="0"/>
        <v>56067099.958350696</v>
      </c>
      <c r="H12" s="17">
        <f t="shared" si="1"/>
        <v>2811034.3035656079</v>
      </c>
      <c r="I12" s="17">
        <f t="shared" si="2"/>
        <v>53256065.654785089</v>
      </c>
    </row>
    <row r="13" spans="1:9" ht="15.75" customHeight="1" x14ac:dyDescent="0.25">
      <c r="A13" s="5">
        <f t="shared" si="3"/>
        <v>2035</v>
      </c>
      <c r="B13" s="49">
        <v>2435930.745050943</v>
      </c>
      <c r="C13" s="50">
        <v>7117169.6912000971</v>
      </c>
      <c r="D13" s="50">
        <v>14427375.855298391</v>
      </c>
      <c r="E13" s="50">
        <v>16751636.460998399</v>
      </c>
      <c r="F13" s="50">
        <v>17603217.94490391</v>
      </c>
      <c r="G13" s="17">
        <f t="shared" si="0"/>
        <v>55899399.952400796</v>
      </c>
      <c r="H13" s="17">
        <f t="shared" si="1"/>
        <v>2787563.8552921065</v>
      </c>
      <c r="I13" s="17">
        <f t="shared" si="2"/>
        <v>53111836.097108692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0.13749251374925139</v>
      </c>
    </row>
    <row r="5" spans="1:8" ht="15.75" customHeight="1" x14ac:dyDescent="0.25">
      <c r="B5" s="19" t="s">
        <v>70</v>
      </c>
      <c r="C5" s="101">
        <v>1.6327201632720171E-2</v>
      </c>
    </row>
    <row r="6" spans="1:8" ht="15.75" customHeight="1" x14ac:dyDescent="0.25">
      <c r="B6" s="19" t="s">
        <v>71</v>
      </c>
      <c r="C6" s="101">
        <v>0.14921611492161169</v>
      </c>
    </row>
    <row r="7" spans="1:8" ht="15.75" customHeight="1" x14ac:dyDescent="0.25">
      <c r="B7" s="19" t="s">
        <v>72</v>
      </c>
      <c r="C7" s="101">
        <v>0.28350592835059218</v>
      </c>
    </row>
    <row r="8" spans="1:8" ht="15.75" customHeight="1" x14ac:dyDescent="0.25">
      <c r="B8" s="19" t="s">
        <v>73</v>
      </c>
      <c r="C8" s="101">
        <v>1.020000102000012E-5</v>
      </c>
    </row>
    <row r="9" spans="1:8" ht="15.75" customHeight="1" x14ac:dyDescent="0.25">
      <c r="B9" s="19" t="s">
        <v>74</v>
      </c>
      <c r="C9" s="101">
        <v>0.21483992148399311</v>
      </c>
    </row>
    <row r="10" spans="1:8" ht="15.75" customHeight="1" x14ac:dyDescent="0.25">
      <c r="B10" s="19" t="s">
        <v>75</v>
      </c>
      <c r="C10" s="101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83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86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89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101">
        <v>2.6758759999999999E-2</v>
      </c>
    </row>
    <row r="28" spans="1:8" ht="15.75" customHeight="1" x14ac:dyDescent="0.25">
      <c r="B28" s="19" t="s">
        <v>93</v>
      </c>
      <c r="C28" s="101">
        <v>6.3008400000000006E-2</v>
      </c>
    </row>
    <row r="29" spans="1:8" ht="15.75" customHeight="1" x14ac:dyDescent="0.25">
      <c r="B29" s="19" t="s">
        <v>94</v>
      </c>
      <c r="C29" s="101">
        <v>0.22726674099999999</v>
      </c>
    </row>
    <row r="30" spans="1:8" ht="15.75" customHeight="1" x14ac:dyDescent="0.25">
      <c r="B30" s="19" t="s">
        <v>95</v>
      </c>
      <c r="C30" s="101">
        <v>8.1734795999999998E-2</v>
      </c>
    </row>
    <row r="31" spans="1:8" ht="15.75" customHeight="1" x14ac:dyDescent="0.25">
      <c r="B31" s="19" t="s">
        <v>96</v>
      </c>
      <c r="C31" s="101">
        <v>8.8591216E-2</v>
      </c>
    </row>
    <row r="32" spans="1:8" ht="15.75" customHeight="1" x14ac:dyDescent="0.25">
      <c r="B32" s="19" t="s">
        <v>97</v>
      </c>
      <c r="C32" s="101">
        <v>4.6972499000000001E-2</v>
      </c>
    </row>
    <row r="33" spans="2:3" ht="15.75" customHeight="1" x14ac:dyDescent="0.25">
      <c r="B33" s="19" t="s">
        <v>98</v>
      </c>
      <c r="C33" s="101">
        <v>0.18240123999999999</v>
      </c>
    </row>
    <row r="34" spans="2:3" ht="15.75" customHeight="1" x14ac:dyDescent="0.25">
      <c r="B34" s="19" t="s">
        <v>99</v>
      </c>
      <c r="C34" s="101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0.30869831672977999</v>
      </c>
      <c r="C2" s="98">
        <v>0.95</v>
      </c>
      <c r="D2" s="56">
        <v>86.770455007029625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40.524326066971597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864.9948491750622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7.0055425565758203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13.656625510767499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13.656625510767499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13.656625510767499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13.656625510767499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13.656625510767499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13.656625510767499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0.51888321615999999</v>
      </c>
      <c r="C16" s="98">
        <v>0.95</v>
      </c>
      <c r="D16" s="56">
        <v>1.363391310662851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19.805611394811169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19.805611394811169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76.727649414499837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0.45041619999999999</v>
      </c>
      <c r="C23" s="98">
        <v>0.95</v>
      </c>
      <c r="D23" s="56">
        <v>4.6821164540834266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0.77318050095020696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0.27384230807021998</v>
      </c>
      <c r="C27" s="98">
        <v>0.95</v>
      </c>
      <c r="D27" s="56">
        <v>19.218001831842621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0.51813429999999994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179.24514608865209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0.41843582081384939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0.27722980000000003</v>
      </c>
      <c r="C32" s="98">
        <v>0.95</v>
      </c>
      <c r="D32" s="56">
        <v>2.9936883930025688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0.90883499999999995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3.027552545673728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0.56700000000000006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205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0.89382034402208543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2024-03-28T03:03:46Z</dcterms:modified>
</cp:coreProperties>
</file>