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5BF004E-78C7-4DB0-A177-990826E646D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<sst xmlns="http://schemas.openxmlformats.org/spreadsheetml/2006/main" count="2102" uniqueCount="341">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</sst>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13457670.5</v>
      </c>
    </row>
    <row r="8" spans="1:3" ht="15" customHeight="1" x14ac:dyDescent="0.25">
      <c r="B8" s="5" t="s">
        <v>8</v>
      </c>
      <c r="C8" s="44">
        <v>4.3999999999999997E-2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0.84275520324706998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0.18279999999999999</v>
      </c>
    </row>
    <row r="24" spans="1:3" ht="15" customHeight="1" x14ac:dyDescent="0.25">
      <c r="B24" s="15" t="s">
        <v>22</v>
      </c>
      <c r="C24" s="45">
        <v>0.54590000000000005</v>
      </c>
    </row>
    <row r="25" spans="1:3" ht="15" customHeight="1" x14ac:dyDescent="0.25">
      <c r="B25" s="15" t="s">
        <v>23</v>
      </c>
      <c r="C25" s="45">
        <v>0.23910000000000001</v>
      </c>
    </row>
    <row r="26" spans="1:3" ht="15" customHeight="1" x14ac:dyDescent="0.25">
      <c r="B26" s="15" t="s">
        <v>24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8.4704599999999992</v>
      </c>
    </row>
    <row r="38" spans="1:5" ht="15" customHeight="1" x14ac:dyDescent="0.25">
      <c r="B38" s="11" t="s">
        <v>34</v>
      </c>
      <c r="C38" s="43">
        <v>12.875</v>
      </c>
      <c r="D38" s="12"/>
      <c r="E38" s="13"/>
    </row>
    <row r="39" spans="1:5" ht="15" customHeight="1" x14ac:dyDescent="0.25">
      <c r="B39" s="11" t="s">
        <v>35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9.4821000000000003E-3</v>
      </c>
      <c r="D45" s="12"/>
    </row>
    <row r="46" spans="1:5" ht="15.75" customHeight="1" x14ac:dyDescent="0.25">
      <c r="B46" s="11" t="s">
        <v>41</v>
      </c>
      <c r="C46" s="45">
        <v>0.1019704</v>
      </c>
      <c r="D46" s="12"/>
    </row>
    <row r="47" spans="1:5" ht="15.75" customHeight="1" x14ac:dyDescent="0.25">
      <c r="B47" s="11" t="s">
        <v>42</v>
      </c>
      <c r="C47" s="45">
        <v>7.1473700000000001E-2</v>
      </c>
      <c r="D47" s="12"/>
      <c r="E47" s="13"/>
    </row>
    <row r="48" spans="1:5" ht="15" customHeight="1" x14ac:dyDescent="0.25">
      <c r="B48" s="11" t="s">
        <v>43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0.56287600000000004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2676826</v>
      </c>
      <c r="C2" s="49">
        <v>9006932</v>
      </c>
      <c r="D2" s="49">
        <v>16483386.5</v>
      </c>
      <c r="E2" s="49">
        <v>17161687.5</v>
      </c>
      <c r="F2" s="49">
        <v>14578814</v>
      </c>
      <c r="G2" s="17">
        <f t="shared" ref="G2:G13" si="0">C2+D2+E2+F2</f>
        <v>57230820</v>
      </c>
      <c r="H2" s="17">
        <f t="shared" ref="H2:H13" si="1">(B2 + stillbirth*B2/(1000-stillbirth))/(1-abortion)</f>
        <v>3063232.9838055796</v>
      </c>
      <c r="I2" s="17">
        <f t="shared" ref="I2:I13" si="2">G2-H2</f>
        <v>54167587.016194418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2658092</v>
      </c>
      <c r="C3" s="50">
        <v>8918230</v>
      </c>
      <c r="D3" s="50">
        <v>16332305</v>
      </c>
      <c r="E3" s="50">
        <v>17081686</v>
      </c>
      <c r="F3" s="50">
        <v>14837956.5</v>
      </c>
      <c r="G3" s="17">
        <f t="shared" si="0"/>
        <v>57170177.5</v>
      </c>
      <c r="H3" s="17">
        <f t="shared" si="1"/>
        <v>3041794.6808607434</v>
      </c>
      <c r="I3" s="17">
        <f t="shared" si="2"/>
        <v>54128382.819139257</v>
      </c>
    </row>
    <row r="4" spans="1:9" ht="15.75" customHeight="1" x14ac:dyDescent="0.25">
      <c r="A4" s="5">
        <f t="shared" si="3"/>
        <v>2026</v>
      </c>
      <c r="B4" s="49">
        <v>2649944</v>
      </c>
      <c r="C4" s="50">
        <v>8833175.5</v>
      </c>
      <c r="D4" s="50">
        <v>16162312</v>
      </c>
      <c r="E4" s="50">
        <v>17012540</v>
      </c>
      <c r="F4" s="50">
        <v>15062106.5</v>
      </c>
      <c r="G4" s="17">
        <f t="shared" si="0"/>
        <v>57070134</v>
      </c>
      <c r="H4" s="17">
        <f t="shared" si="1"/>
        <v>3032470.4952946859</v>
      </c>
      <c r="I4" s="17">
        <f t="shared" si="2"/>
        <v>54037663.504705317</v>
      </c>
    </row>
    <row r="5" spans="1:9" ht="15.75" customHeight="1" x14ac:dyDescent="0.25">
      <c r="A5" s="5">
        <f t="shared" si="3"/>
        <v>2027</v>
      </c>
      <c r="B5" s="49">
        <v>2617828</v>
      </c>
      <c r="C5" s="50">
        <v>8757179</v>
      </c>
      <c r="D5" s="50">
        <v>15969329.5</v>
      </c>
      <c r="E5" s="50">
        <v>16949908.5</v>
      </c>
      <c r="F5" s="50">
        <v>15242501</v>
      </c>
      <c r="G5" s="17">
        <f t="shared" si="0"/>
        <v>56918918</v>
      </c>
      <c r="H5" s="17">
        <f t="shared" si="1"/>
        <v>2995718.4649020121</v>
      </c>
      <c r="I5" s="17">
        <f t="shared" si="2"/>
        <v>53923199.535097986</v>
      </c>
    </row>
    <row r="6" spans="1:9" ht="15.75" customHeight="1" x14ac:dyDescent="0.25">
      <c r="A6" s="5">
        <f t="shared" si="3"/>
        <v>2028</v>
      </c>
      <c r="B6" s="49">
        <v>2598402</v>
      </c>
      <c r="C6" s="50">
        <v>8709614.5</v>
      </c>
      <c r="D6" s="50">
        <v>15753679.5</v>
      </c>
      <c r="E6" s="50">
        <v>16897648</v>
      </c>
      <c r="F6" s="50">
        <v>15377574</v>
      </c>
      <c r="G6" s="17">
        <f t="shared" si="0"/>
        <v>56738516</v>
      </c>
      <c r="H6" s="17">
        <f t="shared" si="1"/>
        <v>2973488.2699086103</v>
      </c>
      <c r="I6" s="17">
        <f t="shared" si="2"/>
        <v>53765027.730091393</v>
      </c>
    </row>
    <row r="7" spans="1:9" ht="15.75" customHeight="1" x14ac:dyDescent="0.25">
      <c r="A7" s="5">
        <f t="shared" si="3"/>
        <v>2029</v>
      </c>
      <c r="B7" s="49">
        <v>2571891</v>
      </c>
      <c r="C7" s="50">
        <v>8690696.5000000019</v>
      </c>
      <c r="D7" s="50">
        <v>15537436</v>
      </c>
      <c r="E7" s="50">
        <v>16846816</v>
      </c>
      <c r="F7" s="50">
        <v>15464974.5</v>
      </c>
      <c r="G7" s="17">
        <f t="shared" si="0"/>
        <v>56539923</v>
      </c>
      <c r="H7" s="17">
        <f t="shared" si="1"/>
        <v>2943150.3362387824</v>
      </c>
      <c r="I7" s="17">
        <f t="shared" si="2"/>
        <v>53596772.663761221</v>
      </c>
    </row>
    <row r="8" spans="1:9" ht="15.75" customHeight="1" x14ac:dyDescent="0.25">
      <c r="A8" s="5">
        <f t="shared" si="3"/>
        <v>2030</v>
      </c>
      <c r="B8" s="49">
        <v>2564251</v>
      </c>
      <c r="C8" s="50">
        <v>8654486</v>
      </c>
      <c r="D8" s="50">
        <v>15338776.5</v>
      </c>
      <c r="E8" s="50">
        <v>16787319.5</v>
      </c>
      <c r="F8" s="50">
        <v>15503935</v>
      </c>
      <c r="G8" s="17">
        <f t="shared" si="0"/>
        <v>56284517</v>
      </c>
      <c r="H8" s="17">
        <f t="shared" si="1"/>
        <v>2934407.4818297643</v>
      </c>
      <c r="I8" s="17">
        <f t="shared" si="2"/>
        <v>53350109.518170238</v>
      </c>
    </row>
    <row r="9" spans="1:9" ht="15.75" customHeight="1" x14ac:dyDescent="0.25">
      <c r="A9" s="5">
        <f t="shared" si="3"/>
        <v>2031</v>
      </c>
      <c r="B9" s="49">
        <v>2537560</v>
      </c>
      <c r="C9" s="50">
        <v>8605848</v>
      </c>
      <c r="D9" s="50">
        <v>15159380</v>
      </c>
      <c r="E9" s="50">
        <v>16718948.5</v>
      </c>
      <c r="F9" s="50">
        <v>15498183</v>
      </c>
      <c r="G9" s="17">
        <f t="shared" si="0"/>
        <v>55982359.5</v>
      </c>
      <c r="H9" s="17">
        <f t="shared" si="1"/>
        <v>2903863.5646790965</v>
      </c>
      <c r="I9" s="17">
        <f t="shared" si="2"/>
        <v>53078495.935320906</v>
      </c>
    </row>
    <row r="10" spans="1:9" ht="15.75" customHeight="1" x14ac:dyDescent="0.25">
      <c r="A10" s="5">
        <f t="shared" si="3"/>
        <v>2032</v>
      </c>
      <c r="B10" s="49">
        <v>2515304</v>
      </c>
      <c r="C10" s="50">
        <v>8584918</v>
      </c>
      <c r="D10" s="50">
        <v>14997463</v>
      </c>
      <c r="E10" s="50">
        <v>16636708.5</v>
      </c>
      <c r="F10" s="50">
        <v>15453979.5</v>
      </c>
      <c r="G10" s="17">
        <f t="shared" si="0"/>
        <v>55673069</v>
      </c>
      <c r="H10" s="17">
        <f t="shared" si="1"/>
        <v>2878394.8516258094</v>
      </c>
      <c r="I10" s="17">
        <f t="shared" si="2"/>
        <v>52794674.148374192</v>
      </c>
    </row>
    <row r="11" spans="1:9" ht="15.75" customHeight="1" x14ac:dyDescent="0.25">
      <c r="A11" s="5">
        <f t="shared" si="3"/>
        <v>2033</v>
      </c>
      <c r="B11" s="49">
        <v>2498252</v>
      </c>
      <c r="C11" s="50">
        <v>8564481</v>
      </c>
      <c r="D11" s="50">
        <v>14858010.5</v>
      </c>
      <c r="E11" s="50">
        <v>16521881.5</v>
      </c>
      <c r="F11" s="50">
        <v>15378506</v>
      </c>
      <c r="G11" s="17">
        <f t="shared" si="0"/>
        <v>55322879</v>
      </c>
      <c r="H11" s="17">
        <f t="shared" si="1"/>
        <v>2858881.3498741635</v>
      </c>
      <c r="I11" s="17">
        <f t="shared" si="2"/>
        <v>52463997.650125839</v>
      </c>
    </row>
    <row r="12" spans="1:9" ht="15.75" customHeight="1" x14ac:dyDescent="0.25">
      <c r="A12" s="5">
        <f t="shared" si="3"/>
        <v>2034</v>
      </c>
      <c r="B12" s="49">
        <v>2479110</v>
      </c>
      <c r="C12" s="50">
        <v>8496117.5</v>
      </c>
      <c r="D12" s="50">
        <v>14742836</v>
      </c>
      <c r="E12" s="50">
        <v>16382555</v>
      </c>
      <c r="F12" s="50">
        <v>15290592.5</v>
      </c>
      <c r="G12" s="17">
        <f t="shared" si="0"/>
        <v>54912101</v>
      </c>
      <c r="H12" s="17">
        <f t="shared" si="1"/>
        <v>2836976.1510394216</v>
      </c>
      <c r="I12" s="17">
        <f t="shared" si="2"/>
        <v>52075124.848960578</v>
      </c>
    </row>
    <row r="13" spans="1:9" ht="15.75" customHeight="1" x14ac:dyDescent="0.25">
      <c r="A13" s="5">
        <f t="shared" si="3"/>
        <v>2035</v>
      </c>
      <c r="B13" s="49">
        <v>2458811</v>
      </c>
      <c r="C13" s="50">
        <v>8382993.9999999991</v>
      </c>
      <c r="D13" s="50">
        <v>14645337</v>
      </c>
      <c r="E13" s="50">
        <v>16233814.5</v>
      </c>
      <c r="F13" s="50">
        <v>15208029</v>
      </c>
      <c r="G13" s="17">
        <f t="shared" si="0"/>
        <v>54470174.5</v>
      </c>
      <c r="H13" s="17">
        <f t="shared" si="1"/>
        <v>2813746.9361639423</v>
      </c>
      <c r="I13" s="17">
        <f t="shared" si="2"/>
        <v>51656427.56383606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0.13749251374925139</v>
      </c>
    </row>
    <row r="5" spans="1:8" ht="15.75" customHeight="1" x14ac:dyDescent="0.25">
      <c r="B5" s="19" t="s">
        <v>70</v>
      </c>
      <c r="C5" s="101">
        <v>1.6327201632720171E-2</v>
      </c>
    </row>
    <row r="6" spans="1:8" ht="15.75" customHeight="1" x14ac:dyDescent="0.25">
      <c r="B6" s="19" t="s">
        <v>71</v>
      </c>
      <c r="C6" s="101">
        <v>0.14921611492161169</v>
      </c>
    </row>
    <row r="7" spans="1:8" ht="15.75" customHeight="1" x14ac:dyDescent="0.25">
      <c r="B7" s="19" t="s">
        <v>72</v>
      </c>
      <c r="C7" s="101">
        <v>0.28350592835059218</v>
      </c>
    </row>
    <row r="8" spans="1:8" ht="15.75" customHeight="1" x14ac:dyDescent="0.25">
      <c r="B8" s="19" t="s">
        <v>73</v>
      </c>
      <c r="C8" s="101">
        <v>1.020000102000012E-5</v>
      </c>
    </row>
    <row r="9" spans="1:8" ht="15.75" customHeight="1" x14ac:dyDescent="0.25">
      <c r="B9" s="19" t="s">
        <v>74</v>
      </c>
      <c r="C9" s="101">
        <v>0.21483992148399311</v>
      </c>
    </row>
    <row r="10" spans="1:8" ht="15.75" customHeight="1" x14ac:dyDescent="0.25">
      <c r="B10" s="19" t="s">
        <v>75</v>
      </c>
      <c r="C10" s="101">
        <v>0.19860811986081151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82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83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86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89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5.7909057E-2</v>
      </c>
    </row>
    <row r="27" spans="1:8" ht="15.75" customHeight="1" x14ac:dyDescent="0.25">
      <c r="B27" s="19" t="s">
        <v>92</v>
      </c>
      <c r="C27" s="101">
        <v>2.6758759999999999E-2</v>
      </c>
    </row>
    <row r="28" spans="1:8" ht="15.75" customHeight="1" x14ac:dyDescent="0.25">
      <c r="B28" s="19" t="s">
        <v>93</v>
      </c>
      <c r="C28" s="101">
        <v>6.3008400000000006E-2</v>
      </c>
    </row>
    <row r="29" spans="1:8" ht="15.75" customHeight="1" x14ac:dyDescent="0.25">
      <c r="B29" s="19" t="s">
        <v>94</v>
      </c>
      <c r="C29" s="101">
        <v>0.22726674099999999</v>
      </c>
    </row>
    <row r="30" spans="1:8" ht="15.75" customHeight="1" x14ac:dyDescent="0.25">
      <c r="B30" s="19" t="s">
        <v>95</v>
      </c>
      <c r="C30" s="101">
        <v>8.1734795999999998E-2</v>
      </c>
    </row>
    <row r="31" spans="1:8" ht="15.75" customHeight="1" x14ac:dyDescent="0.25">
      <c r="B31" s="19" t="s">
        <v>96</v>
      </c>
      <c r="C31" s="101">
        <v>8.8591216E-2</v>
      </c>
    </row>
    <row r="32" spans="1:8" ht="15.75" customHeight="1" x14ac:dyDescent="0.25">
      <c r="B32" s="19" t="s">
        <v>97</v>
      </c>
      <c r="C32" s="101">
        <v>4.6972499000000001E-2</v>
      </c>
    </row>
    <row r="33" spans="2:3" ht="15.75" customHeight="1" x14ac:dyDescent="0.25">
      <c r="B33" s="19" t="s">
        <v>98</v>
      </c>
      <c r="C33" s="101">
        <v>0.18240123999999999</v>
      </c>
    </row>
    <row r="34" spans="2:3" ht="15.75" customHeight="1" x14ac:dyDescent="0.25">
      <c r="B34" s="19" t="s">
        <v>99</v>
      </c>
      <c r="C34" s="101">
        <v>0.22535729099999999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104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122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86.770455007029625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0.51888321615999999</v>
      </c>
      <c r="C3" s="98">
        <v>0.95</v>
      </c>
      <c r="D3" s="56">
        <v>40.524326066971597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864.9948491750622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7.4321800982712878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0.46083239999999998</v>
      </c>
      <c r="C10" s="98">
        <v>0.95</v>
      </c>
      <c r="D10" s="56">
        <v>13.656625510767499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0.46083239999999998</v>
      </c>
      <c r="C11" s="98">
        <v>0.95</v>
      </c>
      <c r="D11" s="56">
        <v>13.656625510767499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0.46083239999999998</v>
      </c>
      <c r="C12" s="98">
        <v>0.95</v>
      </c>
      <c r="D12" s="56">
        <v>13.656625510767499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0.46083239999999998</v>
      </c>
      <c r="C13" s="98">
        <v>0.95</v>
      </c>
      <c r="D13" s="56">
        <v>13.656625510767499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0.46083239999999998</v>
      </c>
      <c r="C14" s="98">
        <v>0.95</v>
      </c>
      <c r="D14" s="56">
        <v>13.656625510767499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0.46083239999999998</v>
      </c>
      <c r="C15" s="98">
        <v>0.95</v>
      </c>
      <c r="D15" s="56">
        <v>13.656625510767499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1.363391310662851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0.48685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0.20874897729</v>
      </c>
      <c r="C18" s="98">
        <v>0.95</v>
      </c>
      <c r="D18" s="56">
        <v>19.805611394811169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0.90883499999999995</v>
      </c>
      <c r="C19" s="98">
        <v>0.95</v>
      </c>
      <c r="D19" s="56">
        <v>19.805611394811169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0.98627039999999999</v>
      </c>
      <c r="C21" s="98">
        <v>0.95</v>
      </c>
      <c r="D21" s="56">
        <v>76.727649414499837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23.904870229687631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4.6821164540834266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0.94731674304027602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0.46083239999999998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19.218001831842621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0.77318050095020696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179.24514608865209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0.41843582081384939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2.9936883930025688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0.56700000000000006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0.51813429999999994</v>
      </c>
      <c r="C38" s="98">
        <v>0.95</v>
      </c>
      <c r="D38" s="56">
        <v>3.027552545673728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205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2024-05-09T01:45:57Z</dcterms:modified>
</cp:coreProperties>
</file>