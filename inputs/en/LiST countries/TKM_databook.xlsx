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5C69ED2-DBBF-42AB-8CAE-CC5A182021D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6" i="2"/>
  <c r="A35" i="2"/>
  <c r="A34" i="2"/>
  <c r="A33" i="2"/>
  <c r="A32" i="2"/>
  <c r="A31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I2" i="2"/>
  <c r="H2" i="2"/>
  <c r="G2" i="2"/>
  <c r="A2" i="2"/>
  <c r="A40" i="2" s="1"/>
  <c r="C33" i="1"/>
  <c r="C20" i="1"/>
  <c r="A29" i="2" l="1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<sst xmlns="http://schemas.openxmlformats.org/spreadsheetml/2006/main" count="2092" uniqueCount="341">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</sst>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645700.0859375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126727.1992</v>
      </c>
      <c r="C2" s="49">
        <v>249000</v>
      </c>
      <c r="D2" s="49">
        <v>467000</v>
      </c>
      <c r="E2" s="49">
        <v>3052000</v>
      </c>
      <c r="F2" s="49">
        <v>1939000</v>
      </c>
      <c r="G2" s="17">
        <f t="shared" ref="G2:G13" si="0">C2+D2+E2+F2</f>
        <v>5707000</v>
      </c>
      <c r="H2" s="17">
        <f t="shared" ref="H2:H13" si="1">(B2 + stillbirth*B2/(1000-stillbirth))/(1-abortion)</f>
        <v>145383.98884924833</v>
      </c>
      <c r="I2" s="17">
        <f t="shared" ref="I2:I13" si="2">G2-H2</f>
        <v>5561616.0111507513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124388.402</v>
      </c>
      <c r="C3" s="50">
        <v>257000</v>
      </c>
      <c r="D3" s="50">
        <v>463000</v>
      </c>
      <c r="E3" s="50">
        <v>3172000</v>
      </c>
      <c r="F3" s="50">
        <v>2017000</v>
      </c>
      <c r="G3" s="17">
        <f t="shared" si="0"/>
        <v>5909000</v>
      </c>
      <c r="H3" s="17">
        <f t="shared" si="1"/>
        <v>142700.87371538643</v>
      </c>
      <c r="I3" s="17">
        <f t="shared" si="2"/>
        <v>5766299.1262846133</v>
      </c>
    </row>
    <row r="4" spans="1:9" ht="15.75" customHeight="1" x14ac:dyDescent="0.25">
      <c r="A4" s="5">
        <f t="shared" si="3"/>
        <v>2026</v>
      </c>
      <c r="B4" s="49">
        <v>123600.4192</v>
      </c>
      <c r="C4" s="50">
        <v>269000</v>
      </c>
      <c r="D4" s="50">
        <v>463000</v>
      </c>
      <c r="E4" s="50">
        <v>3292000</v>
      </c>
      <c r="F4" s="50">
        <v>2097000</v>
      </c>
      <c r="G4" s="17">
        <f t="shared" si="0"/>
        <v>6121000</v>
      </c>
      <c r="H4" s="17">
        <f t="shared" si="1"/>
        <v>141796.88401679142</v>
      </c>
      <c r="I4" s="17">
        <f t="shared" si="2"/>
        <v>5979203.1159832086</v>
      </c>
    </row>
    <row r="5" spans="1:9" ht="15.75" customHeight="1" x14ac:dyDescent="0.25">
      <c r="A5" s="5">
        <f t="shared" si="3"/>
        <v>2027</v>
      </c>
      <c r="B5" s="49">
        <v>122727.8812</v>
      </c>
      <c r="C5" s="50">
        <v>285000</v>
      </c>
      <c r="D5" s="50">
        <v>465000</v>
      </c>
      <c r="E5" s="50">
        <v>3418000</v>
      </c>
      <c r="F5" s="50">
        <v>2178000</v>
      </c>
      <c r="G5" s="17">
        <f t="shared" si="0"/>
        <v>6346000</v>
      </c>
      <c r="H5" s="17">
        <f t="shared" si="1"/>
        <v>140795.89089405737</v>
      </c>
      <c r="I5" s="17">
        <f t="shared" si="2"/>
        <v>6205204.1091059428</v>
      </c>
    </row>
    <row r="6" spans="1:9" ht="15.75" customHeight="1" x14ac:dyDescent="0.25">
      <c r="A6" s="5">
        <f t="shared" si="3"/>
        <v>2028</v>
      </c>
      <c r="B6" s="49">
        <v>121772.7824</v>
      </c>
      <c r="C6" s="50">
        <v>303000</v>
      </c>
      <c r="D6" s="50">
        <v>470000</v>
      </c>
      <c r="E6" s="50">
        <v>3547000</v>
      </c>
      <c r="F6" s="50">
        <v>2263000</v>
      </c>
      <c r="G6" s="17">
        <f t="shared" si="0"/>
        <v>6583000</v>
      </c>
      <c r="H6" s="17">
        <f t="shared" si="1"/>
        <v>139700.18236293149</v>
      </c>
      <c r="I6" s="17">
        <f t="shared" si="2"/>
        <v>6443299.8176370682</v>
      </c>
    </row>
    <row r="7" spans="1:9" ht="15.75" customHeight="1" x14ac:dyDescent="0.25">
      <c r="A7" s="5">
        <f t="shared" si="3"/>
        <v>2029</v>
      </c>
      <c r="B7" s="49">
        <v>120737.11719999999</v>
      </c>
      <c r="C7" s="50">
        <v>318000</v>
      </c>
      <c r="D7" s="50">
        <v>479000</v>
      </c>
      <c r="E7" s="50">
        <v>3684000</v>
      </c>
      <c r="F7" s="50">
        <v>2351000</v>
      </c>
      <c r="G7" s="17">
        <f t="shared" si="0"/>
        <v>6832000</v>
      </c>
      <c r="H7" s="17">
        <f t="shared" si="1"/>
        <v>138512.04643916085</v>
      </c>
      <c r="I7" s="17">
        <f t="shared" si="2"/>
        <v>6693487.9535608394</v>
      </c>
    </row>
    <row r="8" spans="1:9" ht="15.75" customHeight="1" x14ac:dyDescent="0.25">
      <c r="A8" s="5">
        <f t="shared" si="3"/>
        <v>2030</v>
      </c>
      <c r="B8" s="49">
        <v>119640.56</v>
      </c>
      <c r="C8" s="50">
        <v>328000</v>
      </c>
      <c r="D8" s="50">
        <v>490000</v>
      </c>
      <c r="E8" s="50">
        <v>3825000</v>
      </c>
      <c r="F8" s="50">
        <v>2444000</v>
      </c>
      <c r="G8" s="17">
        <f t="shared" si="0"/>
        <v>7087000</v>
      </c>
      <c r="H8" s="17">
        <f t="shared" si="1"/>
        <v>137254.05398968075</v>
      </c>
      <c r="I8" s="17">
        <f t="shared" si="2"/>
        <v>6949745.9460103195</v>
      </c>
    </row>
    <row r="9" spans="1:9" ht="15.75" customHeight="1" x14ac:dyDescent="0.25">
      <c r="A9" s="5">
        <f t="shared" si="3"/>
        <v>2031</v>
      </c>
      <c r="B9" s="49">
        <v>118628.1829714286</v>
      </c>
      <c r="C9" s="50">
        <v>339285.71428571432</v>
      </c>
      <c r="D9" s="50">
        <v>493285.71428571432</v>
      </c>
      <c r="E9" s="50">
        <v>3935428.5714285709</v>
      </c>
      <c r="F9" s="50">
        <v>2516142.8571428568</v>
      </c>
      <c r="G9" s="17">
        <f t="shared" si="0"/>
        <v>7284142.8571428563</v>
      </c>
      <c r="H9" s="17">
        <f t="shared" si="1"/>
        <v>136092.63472402826</v>
      </c>
      <c r="I9" s="17">
        <f t="shared" si="2"/>
        <v>7148050.2224188279</v>
      </c>
    </row>
    <row r="10" spans="1:9" ht="15.75" customHeight="1" x14ac:dyDescent="0.25">
      <c r="A10" s="5">
        <f t="shared" si="3"/>
        <v>2032</v>
      </c>
      <c r="B10" s="49">
        <v>117805.2945387755</v>
      </c>
      <c r="C10" s="50">
        <v>351040.81632653059</v>
      </c>
      <c r="D10" s="50">
        <v>497612.24489795917</v>
      </c>
      <c r="E10" s="50">
        <v>4044489.7959183669</v>
      </c>
      <c r="F10" s="50">
        <v>2587448.9795918372</v>
      </c>
      <c r="G10" s="17">
        <f t="shared" si="0"/>
        <v>7480591.8367346935</v>
      </c>
      <c r="H10" s="17">
        <f t="shared" si="1"/>
        <v>135148.60058240563</v>
      </c>
      <c r="I10" s="17">
        <f t="shared" si="2"/>
        <v>7345443.2361522876</v>
      </c>
    </row>
    <row r="11" spans="1:9" ht="15.75" customHeight="1" x14ac:dyDescent="0.25">
      <c r="A11" s="5">
        <f t="shared" si="3"/>
        <v>2033</v>
      </c>
      <c r="B11" s="49">
        <v>116977.419587172</v>
      </c>
      <c r="C11" s="50">
        <v>362760.93294460641</v>
      </c>
      <c r="D11" s="50">
        <v>502556.85131195327</v>
      </c>
      <c r="E11" s="50">
        <v>4151988.3381924201</v>
      </c>
      <c r="F11" s="50">
        <v>2657513.1195335281</v>
      </c>
      <c r="G11" s="17">
        <f t="shared" si="0"/>
        <v>7674819.2419825085</v>
      </c>
      <c r="H11" s="17">
        <f t="shared" si="1"/>
        <v>134198.84580606478</v>
      </c>
      <c r="I11" s="17">
        <f t="shared" si="2"/>
        <v>7540620.3961764434</v>
      </c>
    </row>
    <row r="12" spans="1:9" ht="15.75" customHeight="1" x14ac:dyDescent="0.25">
      <c r="A12" s="5">
        <f t="shared" si="3"/>
        <v>2034</v>
      </c>
      <c r="B12" s="49">
        <v>116155.9250710537</v>
      </c>
      <c r="C12" s="50">
        <v>373869.63765097881</v>
      </c>
      <c r="D12" s="50">
        <v>507922.1157850895</v>
      </c>
      <c r="E12" s="50">
        <v>4256843.8150770506</v>
      </c>
      <c r="F12" s="50">
        <v>2726014.993752603</v>
      </c>
      <c r="G12" s="17">
        <f t="shared" si="0"/>
        <v>7864650.5622657221</v>
      </c>
      <c r="H12" s="17">
        <f t="shared" si="1"/>
        <v>133256.4107934944</v>
      </c>
      <c r="I12" s="17">
        <f t="shared" si="2"/>
        <v>7731394.1514722276</v>
      </c>
    </row>
    <row r="13" spans="1:9" ht="15.75" customHeight="1" x14ac:dyDescent="0.25">
      <c r="A13" s="5">
        <f t="shared" si="3"/>
        <v>2035</v>
      </c>
      <c r="B13" s="49">
        <v>115353.5168812043</v>
      </c>
      <c r="C13" s="50">
        <v>383993.87160111859</v>
      </c>
      <c r="D13" s="50">
        <v>513339.56089724507</v>
      </c>
      <c r="E13" s="50">
        <v>4358250.0743737724</v>
      </c>
      <c r="F13" s="50">
        <v>2792159.992860117</v>
      </c>
      <c r="G13" s="17">
        <f t="shared" si="0"/>
        <v>8047743.4997322531</v>
      </c>
      <c r="H13" s="17">
        <f t="shared" si="1"/>
        <v>132335.87199786061</v>
      </c>
      <c r="I13" s="17">
        <f t="shared" si="2"/>
        <v>7915407.6277343929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0.18277529383019001</v>
      </c>
      <c r="C2" s="98">
        <v>0.95</v>
      </c>
      <c r="D2" s="56">
        <v>72.351141899226846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40.201134503803019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638.93341427961911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2.8443618658997272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13.33343394759892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13.33343394759892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13.33343394759892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13.33343394759892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13.33343394759892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13.33343394759892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0.247226</v>
      </c>
      <c r="C16" s="98">
        <v>0.95</v>
      </c>
      <c r="D16" s="56">
        <v>1.0401997474942739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14.66212526903235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14.66212526903235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0.60461379999999998</v>
      </c>
      <c r="C21" s="98">
        <v>0.95</v>
      </c>
      <c r="D21" s="56">
        <v>29.955109260431911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4.5502900000000013E-2</v>
      </c>
      <c r="C23" s="98">
        <v>0.95</v>
      </c>
      <c r="D23" s="56">
        <v>4.4801217271030671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0.74832009999999993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0.23434606634884</v>
      </c>
      <c r="C27" s="98">
        <v>0.95</v>
      </c>
      <c r="D27" s="56">
        <v>18.89030856229131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0.47051290000000001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146.33522929722611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1.2942957108035691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0.52269169999999998</v>
      </c>
      <c r="C32" s="98">
        <v>0.95</v>
      </c>
      <c r="D32" s="56">
        <v>2.266507375873271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0.1089107</v>
      </c>
      <c r="C38" s="98">
        <v>0.95</v>
      </c>
      <c r="D38" s="56">
        <v>1.3582871652768309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0.69382099999999991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205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0.88572734544623455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2024-03-28T03:04:50Z</dcterms:modified>
</cp:coreProperties>
</file>