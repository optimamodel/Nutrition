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BCF045E-81F2-4689-BD86-90E3EBC9B27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6" i="2"/>
  <c r="A35" i="2"/>
  <c r="A34" i="2"/>
  <c r="A32" i="2"/>
  <c r="A29" i="2"/>
  <c r="A28" i="2"/>
  <c r="A27" i="2"/>
  <c r="A26" i="2"/>
  <c r="A24" i="2"/>
  <c r="A21" i="2"/>
  <c r="A20" i="2"/>
  <c r="A19" i="2"/>
  <c r="A18" i="2"/>
  <c r="A16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14" i="2" l="1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30" i="2"/>
  <c r="A38" i="2"/>
  <c r="A40" i="2"/>
  <c r="A15" i="2"/>
  <c r="A23" i="2"/>
  <c r="A31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<sst xmlns="http://schemas.openxmlformats.org/spreadsheetml/2006/main" count="2094" uniqueCount="341">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</sst>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645700.0859375</v>
      </c>
    </row>
    <row r="8" spans="1:3" ht="15" customHeight="1" x14ac:dyDescent="0.25">
      <c r="B8" s="5" t="s">
        <v>8</v>
      </c>
      <c r="C8" s="44">
        <v>0.51400000000000001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7.4900000000000008E-2</v>
      </c>
    </row>
    <row r="24" spans="1:3" ht="15" customHeight="1" x14ac:dyDescent="0.25">
      <c r="B24" s="15" t="s">
        <v>22</v>
      </c>
      <c r="C24" s="45">
        <v>0.61209999999999998</v>
      </c>
    </row>
    <row r="25" spans="1:3" ht="15" customHeight="1" x14ac:dyDescent="0.25">
      <c r="B25" s="15" t="s">
        <v>23</v>
      </c>
      <c r="C25" s="45">
        <v>0.29770000000000002</v>
      </c>
    </row>
    <row r="26" spans="1:3" ht="15" customHeight="1" x14ac:dyDescent="0.25">
      <c r="B26" s="15" t="s">
        <v>24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23.485289999999999</v>
      </c>
    </row>
    <row r="38" spans="1:5" ht="15" customHeight="1" x14ac:dyDescent="0.25">
      <c r="B38" s="11" t="s">
        <v>34</v>
      </c>
      <c r="C38" s="43">
        <v>35.839709999999997</v>
      </c>
      <c r="D38" s="12"/>
      <c r="E38" s="13"/>
    </row>
    <row r="39" spans="1:5" ht="15" customHeight="1" x14ac:dyDescent="0.25">
      <c r="B39" s="11" t="s">
        <v>35</v>
      </c>
      <c r="C39" s="43">
        <v>41.427799999999998</v>
      </c>
      <c r="D39" s="12"/>
      <c r="E39" s="12"/>
    </row>
    <row r="40" spans="1:5" ht="15" customHeight="1" x14ac:dyDescent="0.25">
      <c r="B40" s="11" t="s">
        <v>36</v>
      </c>
      <c r="C40" s="100">
        <v>0.05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5.9560000000000004E-3</v>
      </c>
      <c r="D45" s="12"/>
    </row>
    <row r="46" spans="1:5" ht="15.75" customHeight="1" x14ac:dyDescent="0.25">
      <c r="B46" s="11" t="s">
        <v>41</v>
      </c>
      <c r="C46" s="45">
        <v>6.3996300000000006E-2</v>
      </c>
      <c r="D46" s="12"/>
    </row>
    <row r="47" spans="1:5" ht="15.75" customHeight="1" x14ac:dyDescent="0.25">
      <c r="B47" s="11" t="s">
        <v>42</v>
      </c>
      <c r="C47" s="45">
        <v>7.5337399999999999E-2</v>
      </c>
      <c r="D47" s="12"/>
      <c r="E47" s="13"/>
    </row>
    <row r="48" spans="1:5" ht="15" customHeight="1" x14ac:dyDescent="0.25">
      <c r="B48" s="11" t="s">
        <v>43</v>
      </c>
      <c r="C48" s="46">
        <v>0.85471030000000003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0.59225199999999989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128418</v>
      </c>
      <c r="C2" s="49">
        <v>323078.50000000012</v>
      </c>
      <c r="D2" s="49">
        <v>487777.5</v>
      </c>
      <c r="E2" s="49">
        <v>535773.5</v>
      </c>
      <c r="F2" s="49">
        <v>344106</v>
      </c>
      <c r="G2" s="17">
        <f t="shared" ref="G2:G13" si="0">C2+D2+E2+F2</f>
        <v>1690735.5</v>
      </c>
      <c r="H2" s="17">
        <f t="shared" ref="H2:H13" si="1">(B2 + stillbirth*B2/(1000-stillbirth))/(1-abortion)</f>
        <v>147323.70949489722</v>
      </c>
      <c r="I2" s="17">
        <f t="shared" ref="I2:I13" si="2">G2-H2</f>
        <v>1543411.7905051028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126287</v>
      </c>
      <c r="C3" s="50">
        <v>336809.99999999988</v>
      </c>
      <c r="D3" s="50">
        <v>482914</v>
      </c>
      <c r="E3" s="50">
        <v>538376.5</v>
      </c>
      <c r="F3" s="50">
        <v>354613</v>
      </c>
      <c r="G3" s="17">
        <f t="shared" si="0"/>
        <v>1712713.5</v>
      </c>
      <c r="H3" s="17">
        <f t="shared" si="1"/>
        <v>144878.98348348431</v>
      </c>
      <c r="I3" s="17">
        <f t="shared" si="2"/>
        <v>1567834.5165165158</v>
      </c>
    </row>
    <row r="4" spans="1:9" ht="15.75" customHeight="1" x14ac:dyDescent="0.25">
      <c r="A4" s="5">
        <f t="shared" si="3"/>
        <v>2026</v>
      </c>
      <c r="B4" s="49">
        <v>124596</v>
      </c>
      <c r="C4" s="50">
        <v>351667.5</v>
      </c>
      <c r="D4" s="50">
        <v>480980</v>
      </c>
      <c r="E4" s="50">
        <v>536900.5</v>
      </c>
      <c r="F4" s="50">
        <v>366998</v>
      </c>
      <c r="G4" s="17">
        <f t="shared" si="0"/>
        <v>1736546</v>
      </c>
      <c r="H4" s="17">
        <f t="shared" si="1"/>
        <v>142939.03431159351</v>
      </c>
      <c r="I4" s="17">
        <f t="shared" si="2"/>
        <v>1593606.9656884065</v>
      </c>
    </row>
    <row r="5" spans="1:9" ht="15.75" customHeight="1" x14ac:dyDescent="0.25">
      <c r="A5" s="5">
        <f t="shared" si="3"/>
        <v>2027</v>
      </c>
      <c r="B5" s="49">
        <v>123135</v>
      </c>
      <c r="C5" s="50">
        <v>366948.00000000012</v>
      </c>
      <c r="D5" s="50">
        <v>482030.5</v>
      </c>
      <c r="E5" s="50">
        <v>532401.5</v>
      </c>
      <c r="F5" s="50">
        <v>381657.5</v>
      </c>
      <c r="G5" s="17">
        <f t="shared" si="0"/>
        <v>1763037.5</v>
      </c>
      <c r="H5" s="17">
        <f t="shared" si="1"/>
        <v>141262.94576036202</v>
      </c>
      <c r="I5" s="17">
        <f t="shared" si="2"/>
        <v>1621774.5542396379</v>
      </c>
    </row>
    <row r="6" spans="1:9" ht="15.75" customHeight="1" x14ac:dyDescent="0.25">
      <c r="A6" s="5">
        <f t="shared" si="3"/>
        <v>2028</v>
      </c>
      <c r="B6" s="49">
        <v>122157</v>
      </c>
      <c r="C6" s="50">
        <v>381489.99999999988</v>
      </c>
      <c r="D6" s="50">
        <v>486242</v>
      </c>
      <c r="E6" s="50">
        <v>526168</v>
      </c>
      <c r="F6" s="50">
        <v>397661.5</v>
      </c>
      <c r="G6" s="17">
        <f t="shared" si="0"/>
        <v>1791561.5</v>
      </c>
      <c r="H6" s="17">
        <f t="shared" si="1"/>
        <v>140140.96451251509</v>
      </c>
      <c r="I6" s="17">
        <f t="shared" si="2"/>
        <v>1651420.5354874849</v>
      </c>
    </row>
    <row r="7" spans="1:9" ht="15.75" customHeight="1" x14ac:dyDescent="0.25">
      <c r="A7" s="5">
        <f t="shared" si="3"/>
        <v>2029</v>
      </c>
      <c r="B7" s="49">
        <v>121937</v>
      </c>
      <c r="C7" s="50">
        <v>393957.5</v>
      </c>
      <c r="D7" s="50">
        <v>493947.5</v>
      </c>
      <c r="E7" s="50">
        <v>518435</v>
      </c>
      <c r="F7" s="50">
        <v>413358.5</v>
      </c>
      <c r="G7" s="17">
        <f t="shared" si="0"/>
        <v>1819698.5</v>
      </c>
      <c r="H7" s="17">
        <f t="shared" si="1"/>
        <v>139888.576092754</v>
      </c>
      <c r="I7" s="17">
        <f t="shared" si="2"/>
        <v>1679809.923907246</v>
      </c>
    </row>
    <row r="8" spans="1:9" ht="15.75" customHeight="1" x14ac:dyDescent="0.25">
      <c r="A8" s="5">
        <f t="shared" si="3"/>
        <v>2030</v>
      </c>
      <c r="B8" s="49">
        <v>121983</v>
      </c>
      <c r="C8" s="50">
        <v>403290</v>
      </c>
      <c r="D8" s="50">
        <v>505236.5</v>
      </c>
      <c r="E8" s="50">
        <v>510194</v>
      </c>
      <c r="F8" s="50">
        <v>428539</v>
      </c>
      <c r="G8" s="17">
        <f t="shared" si="0"/>
        <v>1847259.5</v>
      </c>
      <c r="H8" s="17">
        <f t="shared" si="1"/>
        <v>139941.34821688588</v>
      </c>
      <c r="I8" s="17">
        <f t="shared" si="2"/>
        <v>1707318.1517831141</v>
      </c>
    </row>
    <row r="9" spans="1:9" ht="15.75" customHeight="1" x14ac:dyDescent="0.25">
      <c r="A9" s="5">
        <f t="shared" si="3"/>
        <v>2031</v>
      </c>
      <c r="B9" s="49">
        <v>122408</v>
      </c>
      <c r="C9" s="50">
        <v>408935.49999999988</v>
      </c>
      <c r="D9" s="50">
        <v>520171</v>
      </c>
      <c r="E9" s="50">
        <v>502054.5</v>
      </c>
      <c r="F9" s="50">
        <v>442429</v>
      </c>
      <c r="G9" s="17">
        <f t="shared" si="0"/>
        <v>1873590</v>
      </c>
      <c r="H9" s="17">
        <f t="shared" si="1"/>
        <v>140428.91675506067</v>
      </c>
      <c r="I9" s="17">
        <f t="shared" si="2"/>
        <v>1733161.0832449393</v>
      </c>
    </row>
    <row r="10" spans="1:9" ht="15.75" customHeight="1" x14ac:dyDescent="0.25">
      <c r="A10" s="5">
        <f t="shared" si="3"/>
        <v>2032</v>
      </c>
      <c r="B10" s="49">
        <v>123959</v>
      </c>
      <c r="C10" s="50">
        <v>410892.5</v>
      </c>
      <c r="D10" s="50">
        <v>538496.5</v>
      </c>
      <c r="E10" s="50">
        <v>493246</v>
      </c>
      <c r="F10" s="50">
        <v>453959</v>
      </c>
      <c r="G10" s="17">
        <f t="shared" si="0"/>
        <v>1896594</v>
      </c>
      <c r="H10" s="17">
        <f t="shared" si="1"/>
        <v>142208.25511437622</v>
      </c>
      <c r="I10" s="17">
        <f t="shared" si="2"/>
        <v>1754385.7448856237</v>
      </c>
    </row>
    <row r="11" spans="1:9" ht="15.75" customHeight="1" x14ac:dyDescent="0.25">
      <c r="A11" s="5">
        <f t="shared" si="3"/>
        <v>2033</v>
      </c>
      <c r="B11" s="49">
        <v>125087</v>
      </c>
      <c r="C11" s="50">
        <v>409638</v>
      </c>
      <c r="D11" s="50">
        <v>558857.5</v>
      </c>
      <c r="E11" s="50">
        <v>484488</v>
      </c>
      <c r="F11" s="50">
        <v>463520.5</v>
      </c>
      <c r="G11" s="17">
        <f t="shared" si="0"/>
        <v>1916504</v>
      </c>
      <c r="H11" s="17">
        <f t="shared" si="1"/>
        <v>143502.31937569662</v>
      </c>
      <c r="I11" s="17">
        <f t="shared" si="2"/>
        <v>1773001.6806243034</v>
      </c>
    </row>
    <row r="12" spans="1:9" ht="15.75" customHeight="1" x14ac:dyDescent="0.25">
      <c r="A12" s="5">
        <f t="shared" si="3"/>
        <v>2034</v>
      </c>
      <c r="B12" s="49">
        <v>126702</v>
      </c>
      <c r="C12" s="50">
        <v>405896</v>
      </c>
      <c r="D12" s="50">
        <v>579770.5</v>
      </c>
      <c r="E12" s="50">
        <v>477294</v>
      </c>
      <c r="F12" s="50">
        <v>470902.5</v>
      </c>
      <c r="G12" s="17">
        <f t="shared" si="0"/>
        <v>1933863</v>
      </c>
      <c r="H12" s="17">
        <f t="shared" si="1"/>
        <v>145355.07982076085</v>
      </c>
      <c r="I12" s="17">
        <f t="shared" si="2"/>
        <v>1788507.9201792392</v>
      </c>
    </row>
    <row r="13" spans="1:9" ht="15.75" customHeight="1" x14ac:dyDescent="0.25">
      <c r="A13" s="5">
        <f t="shared" si="3"/>
        <v>2035</v>
      </c>
      <c r="B13" s="49">
        <v>128249</v>
      </c>
      <c r="C13" s="50">
        <v>400533.5</v>
      </c>
      <c r="D13" s="50">
        <v>600067.5</v>
      </c>
      <c r="E13" s="50">
        <v>472563</v>
      </c>
      <c r="F13" s="50">
        <v>474843.5</v>
      </c>
      <c r="G13" s="17">
        <f t="shared" si="0"/>
        <v>1948007.5</v>
      </c>
      <c r="H13" s="17">
        <f t="shared" si="1"/>
        <v>147129.82929971712</v>
      </c>
      <c r="I13" s="17">
        <f t="shared" si="2"/>
        <v>1800877.6707002828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5.647662292564584E-3</v>
      </c>
    </row>
    <row r="4" spans="1:8" ht="15.75" customHeight="1" x14ac:dyDescent="0.25">
      <c r="B4" s="19" t="s">
        <v>69</v>
      </c>
      <c r="C4" s="101">
        <v>4.4956805691899908E-2</v>
      </c>
    </row>
    <row r="5" spans="1:8" ht="15.75" customHeight="1" x14ac:dyDescent="0.25">
      <c r="B5" s="19" t="s">
        <v>70</v>
      </c>
      <c r="C5" s="101">
        <v>5.8253439183319461E-2</v>
      </c>
    </row>
    <row r="6" spans="1:8" ht="15.75" customHeight="1" x14ac:dyDescent="0.25">
      <c r="B6" s="19" t="s">
        <v>71</v>
      </c>
      <c r="C6" s="101">
        <v>0.22761541946080929</v>
      </c>
    </row>
    <row r="7" spans="1:8" ht="15.75" customHeight="1" x14ac:dyDescent="0.25">
      <c r="B7" s="19" t="s">
        <v>72</v>
      </c>
      <c r="C7" s="101">
        <v>0.41946621615938512</v>
      </c>
    </row>
    <row r="8" spans="1:8" ht="15.75" customHeight="1" x14ac:dyDescent="0.25">
      <c r="B8" s="19" t="s">
        <v>73</v>
      </c>
      <c r="C8" s="101">
        <v>6.7628160069466581E-4</v>
      </c>
    </row>
    <row r="9" spans="1:8" ht="15.75" customHeight="1" x14ac:dyDescent="0.25">
      <c r="B9" s="19" t="s">
        <v>74</v>
      </c>
      <c r="C9" s="101">
        <v>0.1160189422931734</v>
      </c>
    </row>
    <row r="10" spans="1:8" ht="15.75" customHeight="1" x14ac:dyDescent="0.25">
      <c r="B10" s="19" t="s">
        <v>75</v>
      </c>
      <c r="C10" s="101">
        <v>0.12736523331815361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82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83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89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5.5319267999999998E-2</v>
      </c>
    </row>
    <row r="27" spans="1:8" ht="15.75" customHeight="1" x14ac:dyDescent="0.25">
      <c r="B27" s="19" t="s">
        <v>92</v>
      </c>
      <c r="C27" s="101">
        <v>5.7497566999999999E-2</v>
      </c>
    </row>
    <row r="28" spans="1:8" ht="15.75" customHeight="1" x14ac:dyDescent="0.25">
      <c r="B28" s="19" t="s">
        <v>93</v>
      </c>
      <c r="C28" s="101">
        <v>0.121345754</v>
      </c>
    </row>
    <row r="29" spans="1:8" ht="15.75" customHeight="1" x14ac:dyDescent="0.25">
      <c r="B29" s="19" t="s">
        <v>94</v>
      </c>
      <c r="C29" s="101">
        <v>0.134813023</v>
      </c>
    </row>
    <row r="30" spans="1:8" ht="15.75" customHeight="1" x14ac:dyDescent="0.25">
      <c r="B30" s="19" t="s">
        <v>95</v>
      </c>
      <c r="C30" s="101">
        <v>8.2522272000000008E-2</v>
      </c>
    </row>
    <row r="31" spans="1:8" ht="15.75" customHeight="1" x14ac:dyDescent="0.25">
      <c r="B31" s="19" t="s">
        <v>96</v>
      </c>
      <c r="C31" s="101">
        <v>6.6025363000000004E-2</v>
      </c>
    </row>
    <row r="32" spans="1:8" ht="15.75" customHeight="1" x14ac:dyDescent="0.25">
      <c r="B32" s="19" t="s">
        <v>97</v>
      </c>
      <c r="C32" s="101">
        <v>0.13353163200000001</v>
      </c>
    </row>
    <row r="33" spans="2:3" ht="15.75" customHeight="1" x14ac:dyDescent="0.25">
      <c r="B33" s="19" t="s">
        <v>98</v>
      </c>
      <c r="C33" s="101">
        <v>0.12639542200000001</v>
      </c>
    </row>
    <row r="34" spans="2:3" ht="15.75" customHeight="1" x14ac:dyDescent="0.25">
      <c r="B34" s="19" t="s">
        <v>99</v>
      </c>
      <c r="C34" s="101">
        <v>0.22254969799999999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104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105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109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110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122</v>
      </c>
      <c r="C5" s="52">
        <v>1.7491900000000001E-2</v>
      </c>
      <c r="D5" s="52">
        <v>2.8071200000000001E-2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72.351141899226846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0.247226</v>
      </c>
      <c r="C3" s="98">
        <v>0.95</v>
      </c>
      <c r="D3" s="56">
        <v>40.201134503803019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638.93341427961911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3.0175835035330199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4.1545000000000002E-3</v>
      </c>
      <c r="C10" s="98">
        <v>0.95</v>
      </c>
      <c r="D10" s="56">
        <v>13.33343394759892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4.1545000000000002E-3</v>
      </c>
      <c r="C11" s="98">
        <v>0.95</v>
      </c>
      <c r="D11" s="56">
        <v>13.33343394759892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4.1545000000000002E-3</v>
      </c>
      <c r="C12" s="98">
        <v>0.95</v>
      </c>
      <c r="D12" s="56">
        <v>13.33343394759892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4.1545000000000002E-3</v>
      </c>
      <c r="C13" s="98">
        <v>0.95</v>
      </c>
      <c r="D13" s="56">
        <v>13.33343394759892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4.1545000000000002E-3</v>
      </c>
      <c r="C14" s="98">
        <v>0.95</v>
      </c>
      <c r="D14" s="56">
        <v>13.33343394759892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4.1545000000000002E-3</v>
      </c>
      <c r="C15" s="98">
        <v>0.95</v>
      </c>
      <c r="D15" s="56">
        <v>13.33343394759892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1.0401997474942739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0.81583616000000003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0.12592909999999999</v>
      </c>
      <c r="C18" s="98">
        <v>0.95</v>
      </c>
      <c r="D18" s="56">
        <v>14.66212526903235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0.99</v>
      </c>
      <c r="C19" s="98">
        <v>0.95</v>
      </c>
      <c r="D19" s="56">
        <v>14.66212526903235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0.54961649999999995</v>
      </c>
      <c r="C21" s="98">
        <v>0.95</v>
      </c>
      <c r="D21" s="56">
        <v>29.955109260431911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23.177689212558342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4.4801217271030671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0.95424920000000002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4.1545000000000002E-3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18.89030856229131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0.74832009999999993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146.33522929722611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1.2942957108035691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2.266507375873271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0.69382099999999991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0.47051290000000001</v>
      </c>
      <c r="C38" s="98">
        <v>0.95</v>
      </c>
      <c r="D38" s="56">
        <v>1.3582871652768309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205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0.51400000000000001</v>
      </c>
      <c r="E2" s="60">
        <f>food_insecure</f>
        <v>0.51400000000000001</v>
      </c>
      <c r="F2" s="60">
        <f>food_insecure</f>
        <v>0.51400000000000001</v>
      </c>
      <c r="G2" s="60">
        <f>food_insecure</f>
        <v>0.51400000000000001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0.51400000000000001</v>
      </c>
      <c r="I15" s="60">
        <f>food_insecure</f>
        <v>0.51400000000000001</v>
      </c>
      <c r="J15" s="60">
        <f>food_insecure</f>
        <v>0.51400000000000001</v>
      </c>
      <c r="K15" s="60">
        <f>food_insecure</f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7C5340-8A0B-40AB-BA2A-968B81470564}"/>
</file>

<file path=customXml/itemProps2.xml><?xml version="1.0" encoding="utf-8"?>
<ds:datastoreItem xmlns:ds="http://schemas.openxmlformats.org/officeDocument/2006/customXml" ds:itemID="{8C00511C-BBAD-42B7-A298-966316B7673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2024-04-11T00:42:19Z</dcterms:modified>
</cp:coreProperties>
</file>