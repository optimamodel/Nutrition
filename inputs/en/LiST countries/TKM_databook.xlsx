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68F8B0A-02FB-4124-9A10-0100BA252BC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31" i="2"/>
  <c r="A29" i="2"/>
  <c r="A26" i="2"/>
  <c r="A25" i="2"/>
  <c r="A23" i="2"/>
  <c r="A21" i="2"/>
  <c r="A18" i="2"/>
  <c r="A17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19" i="2" l="1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<sst xmlns="http://schemas.openxmlformats.org/spreadsheetml/2006/main" count="2103" uniqueCount="341">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</sst>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645700.0859375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101">
        <v>4.4956805691899908E-2</v>
      </c>
    </row>
    <row r="5" spans="1:8" ht="15.75" customHeight="1" x14ac:dyDescent="0.25">
      <c r="B5" s="19" t="s">
        <v>70</v>
      </c>
      <c r="C5" s="101">
        <v>5.8253439183319461E-2</v>
      </c>
    </row>
    <row r="6" spans="1:8" ht="15.75" customHeight="1" x14ac:dyDescent="0.25">
      <c r="B6" s="19" t="s">
        <v>71</v>
      </c>
      <c r="C6" s="101">
        <v>0.22761541946080929</v>
      </c>
    </row>
    <row r="7" spans="1:8" ht="15.75" customHeight="1" x14ac:dyDescent="0.25">
      <c r="B7" s="19" t="s">
        <v>72</v>
      </c>
      <c r="C7" s="101">
        <v>0.41946621615938512</v>
      </c>
    </row>
    <row r="8" spans="1:8" ht="15.75" customHeight="1" x14ac:dyDescent="0.25">
      <c r="B8" s="19" t="s">
        <v>73</v>
      </c>
      <c r="C8" s="101">
        <v>6.7628160069466581E-4</v>
      </c>
    </row>
    <row r="9" spans="1:8" ht="15.75" customHeight="1" x14ac:dyDescent="0.25">
      <c r="B9" s="19" t="s">
        <v>74</v>
      </c>
      <c r="C9" s="101">
        <v>0.1160189422931734</v>
      </c>
    </row>
    <row r="10" spans="1:8" ht="15.75" customHeight="1" x14ac:dyDescent="0.25">
      <c r="B10" s="19" t="s">
        <v>75</v>
      </c>
      <c r="C10" s="101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83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89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101">
        <v>5.7497566999999999E-2</v>
      </c>
    </row>
    <row r="28" spans="1:8" ht="15.75" customHeight="1" x14ac:dyDescent="0.25">
      <c r="B28" s="19" t="s">
        <v>93</v>
      </c>
      <c r="C28" s="101">
        <v>0.121345754</v>
      </c>
    </row>
    <row r="29" spans="1:8" ht="15.75" customHeight="1" x14ac:dyDescent="0.25">
      <c r="B29" s="19" t="s">
        <v>94</v>
      </c>
      <c r="C29" s="101">
        <v>0.134813023</v>
      </c>
    </row>
    <row r="30" spans="1:8" ht="15.75" customHeight="1" x14ac:dyDescent="0.25">
      <c r="B30" s="19" t="s">
        <v>95</v>
      </c>
      <c r="C30" s="101">
        <v>8.2522272000000008E-2</v>
      </c>
    </row>
    <row r="31" spans="1:8" ht="15.75" customHeight="1" x14ac:dyDescent="0.25">
      <c r="B31" s="19" t="s">
        <v>96</v>
      </c>
      <c r="C31" s="101">
        <v>6.6025363000000004E-2</v>
      </c>
    </row>
    <row r="32" spans="1:8" ht="15.75" customHeight="1" x14ac:dyDescent="0.25">
      <c r="B32" s="19" t="s">
        <v>97</v>
      </c>
      <c r="C32" s="101">
        <v>0.13353163200000001</v>
      </c>
    </row>
    <row r="33" spans="2:3" ht="15.75" customHeight="1" x14ac:dyDescent="0.25">
      <c r="B33" s="19" t="s">
        <v>98</v>
      </c>
      <c r="C33" s="101">
        <v>0.12639542200000001</v>
      </c>
    </row>
    <row r="34" spans="2:3" ht="15.75" customHeight="1" x14ac:dyDescent="0.25">
      <c r="B34" s="19" t="s">
        <v>99</v>
      </c>
      <c r="C34" s="101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72.351141899226846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40.201134503803019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638.93341427961911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3.0175835035330199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4.1545000000000002E-3</v>
      </c>
      <c r="C10" s="98">
        <v>0.95</v>
      </c>
      <c r="D10" s="56">
        <v>13.33343394759892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13.33343394759892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13.33343394759892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13.33343394759892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4.1545000000000002E-3</v>
      </c>
      <c r="C14" s="98">
        <v>0.95</v>
      </c>
      <c r="D14" s="56">
        <v>13.33343394759892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13.33343394759892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1.0401997474942739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0.81583616000000003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0.52269169999999998</v>
      </c>
      <c r="C18" s="98">
        <v>0.95</v>
      </c>
      <c r="D18" s="56">
        <v>14.66212526903235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0.52269169999999998</v>
      </c>
      <c r="C19" s="98">
        <v>0.95</v>
      </c>
      <c r="D19" s="56">
        <v>14.66212526903235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29.955109260431911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4.4801217271030671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0.71505740000000007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4.1545000000000002E-3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18.89030856229131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0.47051290000000001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0.69382099999999991</v>
      </c>
      <c r="C29" s="98">
        <v>0.95</v>
      </c>
      <c r="D29" s="56">
        <v>146.33522929722611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1.2942957108035691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2.266507375873271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0.60461379999999998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4.5502900000000013E-2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0.54961649999999995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0.1089107</v>
      </c>
      <c r="C38" s="98">
        <v>0.95</v>
      </c>
      <c r="D38" s="56">
        <v>1.3582871652768309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205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0.10903383450820836</v>
      </c>
      <c r="G18" s="90">
        <f>MIN(MAX(1-0.89/(1-frac_sam_12_23months+(frac_sam_12_23months*0.89)),0),1)</f>
        <v>0.10938543943801515</v>
      </c>
      <c r="H18" s="90">
        <f>MIN(MAX(1-0.89/(1-frac_sam_24_59months+(frac_sam_24_59months*0.89)),0),1)</f>
        <v>0.10910994381690942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0.10254101555454331</v>
      </c>
      <c r="G20" s="90">
        <f>MIN(MAX(1-0.89/(1-frac_mam_12_23months+(frac_mam_12_23months*0.89)),0),1)</f>
        <v>0.10853120442331343</v>
      </c>
      <c r="H20" s="90">
        <f>MIN(MAX(1-0.89/(1-frac_mam_24_59months+(frac_mam_24_59months*0.89)),0),1)</f>
        <v>0.10784746789970023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9.9023941978247931E-3</v>
      </c>
      <c r="G73" s="90">
        <f>MIN(MAX(1-0.99/(1-frac_sam_12_23months+(frac_sam_12_23months*0.99)),0),1)</f>
        <v>9.9378924139290614E-3</v>
      </c>
      <c r="H73" s="90">
        <f>MIN(MAX(1-0.99/(1-frac_sam_24_59months+(frac_sam_24_59months*0.99)),0),1)</f>
        <v>9.9100760727491854E-3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9.2514240614725018E-3</v>
      </c>
      <c r="G75" s="90">
        <f>MIN(MAX(1-0.99/(1-frac_mam_12_23months+(frac_mam_12_23months*0.99)),0),1)</f>
        <v>9.8516926160751028E-3</v>
      </c>
      <c r="H75" s="90">
        <f>MIN(MAX(1-0.99/(1-frac_mam_24_59months+(frac_mam_24_59months*0.99)),0),1)</f>
        <v>9.7828057606155205E-3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0.1984195719648687</v>
      </c>
      <c r="G128" s="90">
        <f>MIN(MAX(1-0.8/(1-frac_sam_12_23months+(frac_sam_12_23months*0.8)),0),1)</f>
        <v>0.19899504316105066</v>
      </c>
      <c r="H128" s="90">
        <f>MIN(MAX(1-0.8/(1-frac_sam_24_59months+(frac_sam_24_59months*0.8)),0),1)</f>
        <v>0.19854417151667658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0.18772545949050812</v>
      </c>
      <c r="G130" s="90">
        <f>MIN(MAX(1-0.8/(1-frac_mam_12_23months+(frac_mam_12_23months*0.8)),0),1)</f>
        <v>0.1975962712459205</v>
      </c>
      <c r="H130" s="90">
        <f>MIN(MAX(1-0.8/(1-frac_mam_24_59months+(frac_mam_24_59months*0.8)),0),1)</f>
        <v>0.1964750969553235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2024-06-18T06:57:38Z</dcterms:modified>
</cp:coreProperties>
</file>