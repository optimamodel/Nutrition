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2FFA0E4-65C4-4284-A1A3-39C5F8C1A3E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<sst xmlns="http://schemas.openxmlformats.org/spreadsheetml/2006/main" count="2103" uniqueCount="341">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</sst>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290962.58984375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101">
        <v>5.427229457277058E-2</v>
      </c>
    </row>
    <row r="5" spans="1:8" ht="15.75" customHeight="1" x14ac:dyDescent="0.25">
      <c r="B5" s="19" t="s">
        <v>70</v>
      </c>
      <c r="C5" s="101">
        <v>5.7245594275440542E-2</v>
      </c>
    </row>
    <row r="6" spans="1:8" ht="15.75" customHeight="1" x14ac:dyDescent="0.25">
      <c r="B6" s="19" t="s">
        <v>71</v>
      </c>
      <c r="C6" s="101">
        <v>0.2203829779617027</v>
      </c>
    </row>
    <row r="7" spans="1:8" ht="15.75" customHeight="1" x14ac:dyDescent="0.25">
      <c r="B7" s="19" t="s">
        <v>72</v>
      </c>
      <c r="C7" s="101">
        <v>0.451351354864864</v>
      </c>
    </row>
    <row r="8" spans="1:8" ht="15.75" customHeight="1" x14ac:dyDescent="0.25">
      <c r="B8" s="19" t="s">
        <v>73</v>
      </c>
      <c r="C8" s="101">
        <v>6.7609993239000699E-4</v>
      </c>
    </row>
    <row r="9" spans="1:8" ht="15.75" customHeight="1" x14ac:dyDescent="0.25">
      <c r="B9" s="19" t="s">
        <v>74</v>
      </c>
      <c r="C9" s="101">
        <v>0.10118568988143101</v>
      </c>
    </row>
    <row r="10" spans="1:8" ht="15.75" customHeight="1" x14ac:dyDescent="0.25">
      <c r="B10" s="19" t="s">
        <v>75</v>
      </c>
      <c r="C10" s="101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83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84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85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86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87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89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101">
        <v>2.2410375E-2</v>
      </c>
    </row>
    <row r="28" spans="1:8" ht="15.75" customHeight="1" x14ac:dyDescent="0.25">
      <c r="B28" s="19" t="s">
        <v>93</v>
      </c>
      <c r="C28" s="101">
        <v>0.105751911</v>
      </c>
    </row>
    <row r="29" spans="1:8" ht="15.75" customHeight="1" x14ac:dyDescent="0.25">
      <c r="B29" s="19" t="s">
        <v>94</v>
      </c>
      <c r="C29" s="101">
        <v>0.106714216</v>
      </c>
    </row>
    <row r="30" spans="1:8" ht="15.75" customHeight="1" x14ac:dyDescent="0.25">
      <c r="B30" s="19" t="s">
        <v>95</v>
      </c>
      <c r="C30" s="101">
        <v>5.0717751999999991E-2</v>
      </c>
    </row>
    <row r="31" spans="1:8" ht="15.75" customHeight="1" x14ac:dyDescent="0.25">
      <c r="B31" s="19" t="s">
        <v>96</v>
      </c>
      <c r="C31" s="101">
        <v>9.8186192000000005E-2</v>
      </c>
    </row>
    <row r="32" spans="1:8" ht="15.75" customHeight="1" x14ac:dyDescent="0.25">
      <c r="B32" s="19" t="s">
        <v>97</v>
      </c>
      <c r="C32" s="101">
        <v>3.9065067000000002E-2</v>
      </c>
    </row>
    <row r="33" spans="2:3" ht="15.75" customHeight="1" x14ac:dyDescent="0.25">
      <c r="B33" s="19" t="s">
        <v>98</v>
      </c>
      <c r="C33" s="101">
        <v>9.1384244000000003E-2</v>
      </c>
    </row>
    <row r="34" spans="2:3" ht="15.75" customHeight="1" x14ac:dyDescent="0.25">
      <c r="B34" s="19" t="s">
        <v>99</v>
      </c>
      <c r="C34" s="101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75.762459741294762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40.277595090905891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692.41497754805209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2.0667641916565072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13.409894534701801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13.409894534701801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13.409894534701801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13.409894534701801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13.409894534701801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13.409894534701801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1.1166603345971491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15.87897005630612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15.87897005630612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16.240204677311851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0.67072384119999995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18.982269813808941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0.42899999999999999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0.45500000000000002</v>
      </c>
      <c r="C29" s="98">
        <v>0.95</v>
      </c>
      <c r="D29" s="56">
        <v>154.12104998731229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2.5851124882101071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0.64</v>
      </c>
      <c r="C32" s="98">
        <v>0.95</v>
      </c>
      <c r="D32" s="56">
        <v>2.4385423103594892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0.91189679999999995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3.2209000111311989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205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0.10721086571598237</v>
      </c>
      <c r="G18" s="90">
        <f>MIN(MAX(1-0.89/(1-frac_sam_12_23months+(frac_sam_12_23months*0.89)),0),1)</f>
        <v>0.1077475279132436</v>
      </c>
      <c r="H18" s="90">
        <f>MIN(MAX(1-0.89/(1-frac_sam_24_59months+(frac_sam_24_59months*0.89)),0),1)</f>
        <v>0.10895514505068638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0.10472120833192411</v>
      </c>
      <c r="G20" s="90">
        <f>MIN(MAX(1-0.89/(1-frac_mam_12_23months+(frac_mam_12_23months*0.89)),0),1)</f>
        <v>0.1058523700799322</v>
      </c>
      <c r="H20" s="90">
        <f>MIN(MAX(1-0.89/(1-frac_mam_24_59months+(frac_mam_24_59months*0.89)),0),1)</f>
        <v>0.10782286806760277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9.7187539722375371E-3</v>
      </c>
      <c r="G73" s="90">
        <f>MIN(MAX(1-0.99/(1-frac_sam_12_23months+(frac_sam_12_23months*0.99)),0),1)</f>
        <v>9.7727447900185505E-3</v>
      </c>
      <c r="H73" s="90">
        <f>MIN(MAX(1-0.99/(1-frac_sam_24_59months+(frac_sam_24_59months*0.99)),0),1)</f>
        <v>9.8944531574656214E-3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9.469052488417562E-3</v>
      </c>
      <c r="G75" s="90">
        <f>MIN(MAX(1-0.99/(1-frac_mam_12_23months+(frac_mam_12_23months*0.99)),0),1)</f>
        <v>9.5823461811934685E-3</v>
      </c>
      <c r="H75" s="90">
        <f>MIN(MAX(1-0.99/(1-frac_mam_24_59months+(frac_mam_24_59months*0.99)),0),1)</f>
        <v>9.780329102368257E-3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0.19542994207441833</v>
      </c>
      <c r="G128" s="90">
        <f>MIN(MAX(1-0.8/(1-frac_sam_12_23months+(frac_sam_12_23months*0.8)),0),1)</f>
        <v>0.19631109952029058</v>
      </c>
      <c r="H128" s="90">
        <f>MIN(MAX(1-0.8/(1-frac_sam_24_59months+(frac_sam_24_59months*0.8)),0),1)</f>
        <v>0.19829073006727693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0.19133069070600239</v>
      </c>
      <c r="G130" s="90">
        <f>MIN(MAX(1-0.8/(1-frac_mam_12_23months+(frac_mam_12_23months*0.8)),0),1)</f>
        <v>0.19319549726729179</v>
      </c>
      <c r="H130" s="90">
        <f>MIN(MAX(1-0.8/(1-frac_mam_24_59months+(frac_mam_24_59months*0.8)),0),1)</f>
        <v>0.19643473243727461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2024-06-18T06:54:19Z</dcterms:modified>
</cp:coreProperties>
</file>