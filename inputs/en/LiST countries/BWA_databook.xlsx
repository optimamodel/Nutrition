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2E9AB5C1-8A71-44DE-8467-BB7FCBC00B3B}" xr6:coauthVersionLast="47" xr6:coauthVersionMax="47" xr10:uidLastSave="{00000000-0000-0000-0000-000000000000}"/>
  <bookViews>
    <workbookView xWindow="20" yWindow="20" windowWidth="19180" windowHeight="10180" tabRatio="961" firstSheet="6" activeTab="9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F112" i="27"/>
  <c r="E112" i="27"/>
  <c r="D112" i="27"/>
  <c r="H97" i="27"/>
  <c r="H152" i="27" s="1"/>
  <c r="G97" i="27"/>
  <c r="G152" i="27" s="1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H39" i="2"/>
  <c r="I39" i="2" s="1"/>
  <c r="G39" i="2"/>
  <c r="H38" i="2"/>
  <c r="G38" i="2"/>
  <c r="I38" i="2" s="1"/>
  <c r="A37" i="2"/>
  <c r="A36" i="2"/>
  <c r="A31" i="2"/>
  <c r="A29" i="2"/>
  <c r="A28" i="2"/>
  <c r="A23" i="2"/>
  <c r="A21" i="2"/>
  <c r="A20" i="2"/>
  <c r="A15" i="2"/>
  <c r="H13" i="2"/>
  <c r="I13" i="2" s="1"/>
  <c r="G13" i="2"/>
  <c r="H12" i="2"/>
  <c r="G12" i="2"/>
  <c r="I12" i="2" s="1"/>
  <c r="H11" i="2"/>
  <c r="I11" i="2" s="1"/>
  <c r="G11" i="2"/>
  <c r="H10" i="2"/>
  <c r="G10" i="2"/>
  <c r="I10" i="2" s="1"/>
  <c r="H9" i="2"/>
  <c r="I9" i="2" s="1"/>
  <c r="G9" i="2"/>
  <c r="H8" i="2"/>
  <c r="G8" i="2"/>
  <c r="I8" i="2" s="1"/>
  <c r="H7" i="2"/>
  <c r="I7" i="2" s="1"/>
  <c r="G7" i="2"/>
  <c r="H6" i="2"/>
  <c r="G6" i="2"/>
  <c r="I6" i="2" s="1"/>
  <c r="H5" i="2"/>
  <c r="I5" i="2" s="1"/>
  <c r="G5" i="2"/>
  <c r="H4" i="2"/>
  <c r="G4" i="2"/>
  <c r="I4" i="2" s="1"/>
  <c r="H3" i="2"/>
  <c r="I3" i="2" s="1"/>
  <c r="G3" i="2"/>
  <c r="H2" i="2"/>
  <c r="G2" i="2"/>
  <c r="I2" i="2" s="1"/>
  <c r="A2" i="2"/>
  <c r="A40" i="2" s="1"/>
  <c r="C33" i="1"/>
  <c r="C20" i="1"/>
  <c r="A16" i="2" l="1"/>
  <c r="A24" i="2"/>
  <c r="A32" i="2"/>
  <c r="A17" i="2"/>
  <c r="A25" i="2"/>
  <c r="A33" i="2"/>
  <c r="A3" i="2"/>
  <c r="A5" i="2"/>
  <c r="A6" i="2" s="1"/>
  <c r="A7" i="2" s="1"/>
  <c r="A8" i="2" s="1"/>
  <c r="A9" i="2" s="1"/>
  <c r="A10" i="2" s="1"/>
  <c r="A11" i="2" s="1"/>
  <c r="A12" i="2" s="1"/>
  <c r="A13" i="2" s="1"/>
  <c r="A18" i="2"/>
  <c r="A26" i="2"/>
  <c r="A34" i="2"/>
  <c r="A39" i="2"/>
  <c r="A19" i="2"/>
  <c r="A27" i="2"/>
  <c r="A35" i="2"/>
  <c r="A4" i="2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<sst xmlns="http://schemas.openxmlformats.org/spreadsheetml/2006/main" count="2101" uniqueCount="341">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</sst>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290962.58984375</v>
      </c>
    </row>
    <row r="8" spans="1:3" ht="15" customHeight="1" x14ac:dyDescent="0.25">
      <c r="B8" s="5" t="s">
        <v>8</v>
      </c>
      <c r="C8" s="44">
        <v>0.161</v>
      </c>
    </row>
    <row r="9" spans="1:3" ht="15" customHeight="1" x14ac:dyDescent="0.25">
      <c r="B9" s="5" t="s">
        <v>9</v>
      </c>
      <c r="C9" s="45">
        <v>0.13</v>
      </c>
    </row>
    <row r="10" spans="1:3" ht="15" customHeight="1" x14ac:dyDescent="0.25">
      <c r="B10" s="5" t="s">
        <v>10</v>
      </c>
      <c r="C10" s="45">
        <v>0.32603321079999997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0.52200000000000002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8.2100000000000006E-2</v>
      </c>
    </row>
    <row r="24" spans="1:3" ht="15" customHeight="1" x14ac:dyDescent="0.25">
      <c r="B24" s="15" t="s">
        <v>22</v>
      </c>
      <c r="C24" s="45">
        <v>0.47039999999999998</v>
      </c>
    </row>
    <row r="25" spans="1:3" ht="15" customHeight="1" x14ac:dyDescent="0.25">
      <c r="B25" s="15" t="s">
        <v>23</v>
      </c>
      <c r="C25" s="45">
        <v>0.35039999999999999</v>
      </c>
    </row>
    <row r="26" spans="1:3" ht="15" customHeight="1" x14ac:dyDescent="0.25">
      <c r="B26" s="15" t="s">
        <v>24</v>
      </c>
      <c r="C26" s="45">
        <v>9.7100000000000006E-2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0.34290466666442998</v>
      </c>
    </row>
    <row r="30" spans="1:3" ht="14.25" customHeight="1" x14ac:dyDescent="0.25">
      <c r="B30" s="25" t="s">
        <v>27</v>
      </c>
      <c r="C30" s="99">
        <v>3.07454772021977E-2</v>
      </c>
    </row>
    <row r="31" spans="1:3" ht="14.25" customHeight="1" x14ac:dyDescent="0.25">
      <c r="B31" s="25" t="s">
        <v>28</v>
      </c>
      <c r="C31" s="99">
        <v>5.8505816356096703E-2</v>
      </c>
    </row>
    <row r="32" spans="1:3" ht="14.25" customHeight="1" x14ac:dyDescent="0.25">
      <c r="B32" s="25" t="s">
        <v>29</v>
      </c>
      <c r="C32" s="99">
        <v>0.56784403977727504</v>
      </c>
    </row>
    <row r="33" spans="1:5" ht="13" customHeight="1" x14ac:dyDescent="0.25">
      <c r="B33" s="27" t="s">
        <v>30</v>
      </c>
      <c r="C33" s="48">
        <f>SUM(C29:C32)</f>
        <v>0.99999999999999944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17.9986</v>
      </c>
    </row>
    <row r="38" spans="1:5" ht="15" customHeight="1" x14ac:dyDescent="0.25">
      <c r="B38" s="11" t="s">
        <v>34</v>
      </c>
      <c r="C38" s="43">
        <v>28.314070000000001</v>
      </c>
      <c r="D38" s="12"/>
      <c r="E38" s="13"/>
    </row>
    <row r="39" spans="1:5" ht="15" customHeight="1" x14ac:dyDescent="0.25">
      <c r="B39" s="11" t="s">
        <v>35</v>
      </c>
      <c r="C39" s="43">
        <v>34.869419999999998</v>
      </c>
      <c r="D39" s="12"/>
      <c r="E39" s="12"/>
    </row>
    <row r="40" spans="1:5" ht="15" customHeight="1" x14ac:dyDescent="0.25">
      <c r="B40" s="11" t="s">
        <v>36</v>
      </c>
      <c r="C40" s="100">
        <v>1.86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14.728400000000001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9.3217000000000005E-3</v>
      </c>
      <c r="D45" s="12"/>
    </row>
    <row r="46" spans="1:5" ht="15.75" customHeight="1" x14ac:dyDescent="0.25">
      <c r="B46" s="11" t="s">
        <v>41</v>
      </c>
      <c r="C46" s="45">
        <v>9.8476499999999995E-2</v>
      </c>
      <c r="D46" s="12"/>
    </row>
    <row r="47" spans="1:5" ht="15.75" customHeight="1" x14ac:dyDescent="0.25">
      <c r="B47" s="11" t="s">
        <v>42</v>
      </c>
      <c r="C47" s="45">
        <v>0.1054223</v>
      </c>
      <c r="D47" s="12"/>
      <c r="E47" s="13"/>
    </row>
    <row r="48" spans="1:5" ht="15" customHeight="1" x14ac:dyDescent="0.25">
      <c r="B48" s="11" t="s">
        <v>43</v>
      </c>
      <c r="C48" s="46">
        <v>0.78677949999999996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0.53242699999999998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0.15632107000000001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59877</v>
      </c>
      <c r="C2" s="49">
        <v>155360</v>
      </c>
      <c r="D2" s="49">
        <v>225134.5</v>
      </c>
      <c r="E2" s="49">
        <v>217887</v>
      </c>
      <c r="F2" s="49">
        <v>154322.5</v>
      </c>
      <c r="G2" s="17">
        <f t="shared" ref="G2:G13" si="0">C2+D2+E2+F2</f>
        <v>752704</v>
      </c>
      <c r="H2" s="17">
        <f t="shared" ref="H2:H13" si="1">(B2 + stillbirth*B2/(1000-stillbirth))/(1-abortion)</f>
        <v>69059.176631647002</v>
      </c>
      <c r="I2" s="17">
        <f t="shared" ref="I2:I13" si="2">G2-H2</f>
        <v>683644.82336835295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59581</v>
      </c>
      <c r="C3" s="50">
        <v>158245</v>
      </c>
      <c r="D3" s="50">
        <v>227268.5</v>
      </c>
      <c r="E3" s="50">
        <v>218678</v>
      </c>
      <c r="F3" s="50">
        <v>160699</v>
      </c>
      <c r="G3" s="17">
        <f t="shared" si="0"/>
        <v>764890.5</v>
      </c>
      <c r="H3" s="17">
        <f t="shared" si="1"/>
        <v>68717.784840425549</v>
      </c>
      <c r="I3" s="17">
        <f t="shared" si="2"/>
        <v>696172.71515957441</v>
      </c>
    </row>
    <row r="4" spans="1:9" ht="15.75" customHeight="1" x14ac:dyDescent="0.25">
      <c r="A4" s="5">
        <f t="shared" si="3"/>
        <v>2026</v>
      </c>
      <c r="B4" s="49">
        <v>59342</v>
      </c>
      <c r="C4" s="50">
        <v>160655.5</v>
      </c>
      <c r="D4" s="50">
        <v>230601</v>
      </c>
      <c r="E4" s="50">
        <v>218758</v>
      </c>
      <c r="F4" s="50">
        <v>166529.5</v>
      </c>
      <c r="G4" s="17">
        <f t="shared" si="0"/>
        <v>776544</v>
      </c>
      <c r="H4" s="17">
        <f t="shared" si="1"/>
        <v>68442.134036027128</v>
      </c>
      <c r="I4" s="17">
        <f t="shared" si="2"/>
        <v>708101.86596397287</v>
      </c>
    </row>
    <row r="5" spans="1:9" ht="15.75" customHeight="1" x14ac:dyDescent="0.25">
      <c r="A5" s="5">
        <f t="shared" si="3"/>
        <v>2027</v>
      </c>
      <c r="B5" s="49">
        <v>59206</v>
      </c>
      <c r="C5" s="50">
        <v>162731</v>
      </c>
      <c r="D5" s="50">
        <v>234868.5</v>
      </c>
      <c r="E5" s="50">
        <v>218398.5</v>
      </c>
      <c r="F5" s="50">
        <v>171790.5</v>
      </c>
      <c r="G5" s="17">
        <f t="shared" si="0"/>
        <v>787788.5</v>
      </c>
      <c r="H5" s="17">
        <f t="shared" si="1"/>
        <v>68285.27834816862</v>
      </c>
      <c r="I5" s="17">
        <f t="shared" si="2"/>
        <v>719503.22165183141</v>
      </c>
    </row>
    <row r="6" spans="1:9" ht="15.75" customHeight="1" x14ac:dyDescent="0.25">
      <c r="A6" s="5">
        <f t="shared" si="3"/>
        <v>2028</v>
      </c>
      <c r="B6" s="49">
        <v>59010</v>
      </c>
      <c r="C6" s="50">
        <v>164582</v>
      </c>
      <c r="D6" s="50">
        <v>239514.5</v>
      </c>
      <c r="E6" s="50">
        <v>218117</v>
      </c>
      <c r="F6" s="50">
        <v>176356</v>
      </c>
      <c r="G6" s="17">
        <f t="shared" si="0"/>
        <v>798569.5</v>
      </c>
      <c r="H6" s="17">
        <f t="shared" si="1"/>
        <v>68059.221621549004</v>
      </c>
      <c r="I6" s="17">
        <f t="shared" si="2"/>
        <v>730510.27837845101</v>
      </c>
    </row>
    <row r="7" spans="1:9" ht="15.75" customHeight="1" x14ac:dyDescent="0.25">
      <c r="A7" s="5">
        <f t="shared" si="3"/>
        <v>2029</v>
      </c>
      <c r="B7" s="49">
        <v>59055</v>
      </c>
      <c r="C7" s="50">
        <v>166257</v>
      </c>
      <c r="D7" s="50">
        <v>244206</v>
      </c>
      <c r="E7" s="50">
        <v>218221</v>
      </c>
      <c r="F7" s="50">
        <v>180085.5</v>
      </c>
      <c r="G7" s="17">
        <f t="shared" si="0"/>
        <v>808769.5</v>
      </c>
      <c r="H7" s="17">
        <f t="shared" si="1"/>
        <v>68111.122400619832</v>
      </c>
      <c r="I7" s="17">
        <f t="shared" si="2"/>
        <v>740658.37759938021</v>
      </c>
    </row>
    <row r="8" spans="1:9" ht="15.75" customHeight="1" x14ac:dyDescent="0.25">
      <c r="A8" s="5">
        <f t="shared" si="3"/>
        <v>2030</v>
      </c>
      <c r="B8" s="49">
        <v>58998</v>
      </c>
      <c r="C8" s="50">
        <v>167837.5</v>
      </c>
      <c r="D8" s="50">
        <v>248809.5</v>
      </c>
      <c r="E8" s="50">
        <v>218797</v>
      </c>
      <c r="F8" s="50">
        <v>182956</v>
      </c>
      <c r="G8" s="17">
        <f t="shared" si="0"/>
        <v>818400</v>
      </c>
      <c r="H8" s="17">
        <f t="shared" si="1"/>
        <v>68045.381413796786</v>
      </c>
      <c r="I8" s="17">
        <f t="shared" si="2"/>
        <v>750354.6185862032</v>
      </c>
    </row>
    <row r="9" spans="1:9" ht="15.75" customHeight="1" x14ac:dyDescent="0.25">
      <c r="A9" s="5">
        <f t="shared" si="3"/>
        <v>2031</v>
      </c>
      <c r="B9" s="49">
        <v>58930</v>
      </c>
      <c r="C9" s="50">
        <v>169335</v>
      </c>
      <c r="D9" s="50">
        <v>253241</v>
      </c>
      <c r="E9" s="50">
        <v>219836.5</v>
      </c>
      <c r="F9" s="50">
        <v>185038.5</v>
      </c>
      <c r="G9" s="17">
        <f t="shared" si="0"/>
        <v>827451</v>
      </c>
      <c r="H9" s="17">
        <f t="shared" si="1"/>
        <v>67966.953569867532</v>
      </c>
      <c r="I9" s="17">
        <f t="shared" si="2"/>
        <v>759484.04643013247</v>
      </c>
    </row>
    <row r="10" spans="1:9" ht="15.75" customHeight="1" x14ac:dyDescent="0.25">
      <c r="A10" s="5">
        <f t="shared" si="3"/>
        <v>2032</v>
      </c>
      <c r="B10" s="49">
        <v>59036</v>
      </c>
      <c r="C10" s="50">
        <v>170702</v>
      </c>
      <c r="D10" s="50">
        <v>257688.5</v>
      </c>
      <c r="E10" s="50">
        <v>221027</v>
      </c>
      <c r="F10" s="50">
        <v>186541.5</v>
      </c>
      <c r="G10" s="17">
        <f t="shared" si="0"/>
        <v>835959</v>
      </c>
      <c r="H10" s="17">
        <f t="shared" si="1"/>
        <v>68089.208738345493</v>
      </c>
      <c r="I10" s="17">
        <f t="shared" si="2"/>
        <v>767869.79126165446</v>
      </c>
    </row>
    <row r="11" spans="1:9" ht="15.75" customHeight="1" x14ac:dyDescent="0.25">
      <c r="A11" s="5">
        <f t="shared" si="3"/>
        <v>2033</v>
      </c>
      <c r="B11" s="49">
        <v>59302</v>
      </c>
      <c r="C11" s="50">
        <v>171933.5</v>
      </c>
      <c r="D11" s="50">
        <v>262223</v>
      </c>
      <c r="E11" s="50">
        <v>222185.5</v>
      </c>
      <c r="F11" s="50">
        <v>187806</v>
      </c>
      <c r="G11" s="17">
        <f t="shared" si="0"/>
        <v>844148</v>
      </c>
      <c r="H11" s="17">
        <f t="shared" si="1"/>
        <v>68396.000010186399</v>
      </c>
      <c r="I11" s="17">
        <f t="shared" si="2"/>
        <v>775751.99998981366</v>
      </c>
    </row>
    <row r="12" spans="1:9" ht="15.75" customHeight="1" x14ac:dyDescent="0.25">
      <c r="A12" s="5">
        <f t="shared" si="3"/>
        <v>2034</v>
      </c>
      <c r="B12" s="49">
        <v>59434</v>
      </c>
      <c r="C12" s="50">
        <v>172869</v>
      </c>
      <c r="D12" s="50">
        <v>266600.5</v>
      </c>
      <c r="E12" s="50">
        <v>223582</v>
      </c>
      <c r="F12" s="50">
        <v>189008</v>
      </c>
      <c r="G12" s="17">
        <f t="shared" si="0"/>
        <v>852059.5</v>
      </c>
      <c r="H12" s="17">
        <f t="shared" si="1"/>
        <v>68548.242295460834</v>
      </c>
      <c r="I12" s="17">
        <f t="shared" si="2"/>
        <v>783511.25770453922</v>
      </c>
    </row>
    <row r="13" spans="1:9" ht="15.75" customHeight="1" x14ac:dyDescent="0.25">
      <c r="A13" s="5">
        <f t="shared" si="3"/>
        <v>2035</v>
      </c>
      <c r="B13" s="49">
        <v>59754</v>
      </c>
      <c r="C13" s="50">
        <v>173368</v>
      </c>
      <c r="D13" s="50">
        <v>270540.5</v>
      </c>
      <c r="E13" s="50">
        <v>225774.5</v>
      </c>
      <c r="F13" s="50">
        <v>190039</v>
      </c>
      <c r="G13" s="17">
        <f t="shared" si="0"/>
        <v>859722</v>
      </c>
      <c r="H13" s="17">
        <f t="shared" si="1"/>
        <v>68917.314502186724</v>
      </c>
      <c r="I13" s="17">
        <f t="shared" si="2"/>
        <v>790804.68549781328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5.1841994815800541E-3</v>
      </c>
    </row>
    <row r="4" spans="1:8" ht="15.75" customHeight="1" x14ac:dyDescent="0.25">
      <c r="B4" s="19" t="s">
        <v>69</v>
      </c>
      <c r="C4" s="101">
        <v>5.427229457277058E-2</v>
      </c>
    </row>
    <row r="5" spans="1:8" ht="15.75" customHeight="1" x14ac:dyDescent="0.25">
      <c r="B5" s="19" t="s">
        <v>70</v>
      </c>
      <c r="C5" s="101">
        <v>5.7245594275440542E-2</v>
      </c>
    </row>
    <row r="6" spans="1:8" ht="15.75" customHeight="1" x14ac:dyDescent="0.25">
      <c r="B6" s="19" t="s">
        <v>71</v>
      </c>
      <c r="C6" s="101">
        <v>0.2203829779617027</v>
      </c>
    </row>
    <row r="7" spans="1:8" ht="15.75" customHeight="1" x14ac:dyDescent="0.25">
      <c r="B7" s="19" t="s">
        <v>72</v>
      </c>
      <c r="C7" s="101">
        <v>0.451351354864864</v>
      </c>
    </row>
    <row r="8" spans="1:8" ht="15.75" customHeight="1" x14ac:dyDescent="0.25">
      <c r="B8" s="19" t="s">
        <v>73</v>
      </c>
      <c r="C8" s="101">
        <v>6.7609993239000699E-4</v>
      </c>
    </row>
    <row r="9" spans="1:8" ht="15.75" customHeight="1" x14ac:dyDescent="0.25">
      <c r="B9" s="19" t="s">
        <v>74</v>
      </c>
      <c r="C9" s="101">
        <v>0.10118568988143101</v>
      </c>
    </row>
    <row r="10" spans="1:8" ht="15.75" customHeight="1" x14ac:dyDescent="0.25">
      <c r="B10" s="19" t="s">
        <v>75</v>
      </c>
      <c r="C10" s="101">
        <v>0.1097017890298211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0.1058635654773743</v>
      </c>
      <c r="D14" s="55">
        <v>0.1058635654773743</v>
      </c>
      <c r="E14" s="55">
        <v>0.1058635654773743</v>
      </c>
      <c r="F14" s="55">
        <v>0.1058635654773743</v>
      </c>
    </row>
    <row r="15" spans="1:8" ht="15.75" customHeight="1" x14ac:dyDescent="0.25">
      <c r="B15" s="19" t="s">
        <v>82</v>
      </c>
      <c r="C15" s="101">
        <v>0.1278583636640768</v>
      </c>
      <c r="D15" s="101">
        <v>0.1278583636640768</v>
      </c>
      <c r="E15" s="101">
        <v>0.1278583636640768</v>
      </c>
      <c r="F15" s="101">
        <v>0.1278583636640768</v>
      </c>
    </row>
    <row r="16" spans="1:8" ht="15.75" customHeight="1" x14ac:dyDescent="0.25">
      <c r="B16" s="19" t="s">
        <v>83</v>
      </c>
      <c r="C16" s="101">
        <v>7.9540754572635704E-3</v>
      </c>
      <c r="D16" s="101">
        <v>7.9540754572635704E-3</v>
      </c>
      <c r="E16" s="101">
        <v>7.9540754572635704E-3</v>
      </c>
      <c r="F16" s="101">
        <v>7.9540754572635704E-3</v>
      </c>
    </row>
    <row r="17" spans="1:8" ht="15.75" customHeight="1" x14ac:dyDescent="0.25">
      <c r="B17" s="19" t="s">
        <v>84</v>
      </c>
      <c r="C17" s="101">
        <v>1.0143106701154391E-3</v>
      </c>
      <c r="D17" s="101">
        <v>1.0143106701154391E-3</v>
      </c>
      <c r="E17" s="101">
        <v>1.0143106701154391E-3</v>
      </c>
      <c r="F17" s="101">
        <v>1.0143106701154391E-3</v>
      </c>
    </row>
    <row r="18" spans="1:8" ht="15.75" customHeight="1" x14ac:dyDescent="0.25">
      <c r="B18" s="19" t="s">
        <v>85</v>
      </c>
      <c r="C18" s="101">
        <v>5.3754549258704684E-4</v>
      </c>
      <c r="D18" s="101">
        <v>5.3754549258704684E-4</v>
      </c>
      <c r="E18" s="101">
        <v>5.3754549258704684E-4</v>
      </c>
      <c r="F18" s="101">
        <v>5.3754549258704684E-4</v>
      </c>
    </row>
    <row r="19" spans="1:8" ht="15.75" customHeight="1" x14ac:dyDescent="0.25">
      <c r="B19" s="19" t="s">
        <v>86</v>
      </c>
      <c r="C19" s="101">
        <v>4.7038167794426723E-3</v>
      </c>
      <c r="D19" s="101">
        <v>4.7038167794426723E-3</v>
      </c>
      <c r="E19" s="101">
        <v>4.7038167794426723E-3</v>
      </c>
      <c r="F19" s="101">
        <v>4.7038167794426723E-3</v>
      </c>
    </row>
    <row r="20" spans="1:8" ht="15.75" customHeight="1" x14ac:dyDescent="0.25">
      <c r="B20" s="19" t="s">
        <v>87</v>
      </c>
      <c r="C20" s="101">
        <v>0.51254978406956297</v>
      </c>
      <c r="D20" s="101">
        <v>0.51254978406956297</v>
      </c>
      <c r="E20" s="101">
        <v>0.51254978406956297</v>
      </c>
      <c r="F20" s="101">
        <v>0.51254978406956297</v>
      </c>
    </row>
    <row r="21" spans="1:8" ht="15.75" customHeight="1" x14ac:dyDescent="0.25">
      <c r="B21" s="19" t="s">
        <v>88</v>
      </c>
      <c r="C21" s="101">
        <v>0.1037471416459311</v>
      </c>
      <c r="D21" s="101">
        <v>0.1037471416459311</v>
      </c>
      <c r="E21" s="101">
        <v>0.1037471416459311</v>
      </c>
      <c r="F21" s="101">
        <v>0.1037471416459311</v>
      </c>
    </row>
    <row r="22" spans="1:8" ht="15.75" customHeight="1" x14ac:dyDescent="0.25">
      <c r="B22" s="19" t="s">
        <v>89</v>
      </c>
      <c r="C22" s="101">
        <v>0.13577139674364599</v>
      </c>
      <c r="D22" s="101">
        <v>0.13577139674364599</v>
      </c>
      <c r="E22" s="101">
        <v>0.13577139674364599</v>
      </c>
      <c r="F22" s="101">
        <v>0.13577139674364599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4.6309735999999997E-2</v>
      </c>
    </row>
    <row r="27" spans="1:8" ht="15.75" customHeight="1" x14ac:dyDescent="0.25">
      <c r="B27" s="19" t="s">
        <v>92</v>
      </c>
      <c r="C27" s="101">
        <v>2.2410375E-2</v>
      </c>
    </row>
    <row r="28" spans="1:8" ht="15.75" customHeight="1" x14ac:dyDescent="0.25">
      <c r="B28" s="19" t="s">
        <v>93</v>
      </c>
      <c r="C28" s="101">
        <v>0.105751911</v>
      </c>
    </row>
    <row r="29" spans="1:8" ht="15.75" customHeight="1" x14ac:dyDescent="0.25">
      <c r="B29" s="19" t="s">
        <v>94</v>
      </c>
      <c r="C29" s="101">
        <v>0.106714216</v>
      </c>
    </row>
    <row r="30" spans="1:8" ht="15.75" customHeight="1" x14ac:dyDescent="0.25">
      <c r="B30" s="19" t="s">
        <v>95</v>
      </c>
      <c r="C30" s="101">
        <v>5.0717751999999991E-2</v>
      </c>
    </row>
    <row r="31" spans="1:8" ht="15.75" customHeight="1" x14ac:dyDescent="0.25">
      <c r="B31" s="19" t="s">
        <v>96</v>
      </c>
      <c r="C31" s="101">
        <v>9.8186192000000005E-2</v>
      </c>
    </row>
    <row r="32" spans="1:8" ht="15.75" customHeight="1" x14ac:dyDescent="0.25">
      <c r="B32" s="19" t="s">
        <v>97</v>
      </c>
      <c r="C32" s="101">
        <v>3.9065067000000002E-2</v>
      </c>
    </row>
    <row r="33" spans="2:3" ht="15.75" customHeight="1" x14ac:dyDescent="0.25">
      <c r="B33" s="19" t="s">
        <v>98</v>
      </c>
      <c r="C33" s="101">
        <v>9.1384244000000003E-2</v>
      </c>
    </row>
    <row r="34" spans="2:3" ht="15.75" customHeight="1" x14ac:dyDescent="0.25">
      <c r="B34" s="19" t="s">
        <v>99</v>
      </c>
      <c r="C34" s="101">
        <v>0.43946050599999997</v>
      </c>
    </row>
    <row r="35" spans="2:3" ht="15.75" customHeight="1" x14ac:dyDescent="0.25">
      <c r="B35" s="27" t="s">
        <v>30</v>
      </c>
      <c r="C35" s="48">
        <f>SUM(C26:C34)</f>
        <v>0.99999999900000003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0.44285538537378655</v>
      </c>
      <c r="D2" s="52">
        <f>IFERROR(1-_xlfn.NORM.DIST(_xlfn.NORM.INV(SUM(D4:D5), 0, 1) + 1, 0, 1, TRUE), "")</f>
        <v>0.44285538537378655</v>
      </c>
      <c r="E2" s="52">
        <f>IFERROR(1-_xlfn.NORM.DIST(_xlfn.NORM.INV(SUM(E4:E5), 0, 1) + 1, 0, 1, TRUE), "")</f>
        <v>0.40178002797069423</v>
      </c>
      <c r="F2" s="52">
        <f>IFERROR(1-_xlfn.NORM.DIST(_xlfn.NORM.INV(SUM(F4:F5), 0, 1) + 1, 0, 1, TRUE), "")</f>
        <v>0.22812914802423689</v>
      </c>
      <c r="G2" s="52">
        <f>IFERROR(1-_xlfn.NORM.DIST(_xlfn.NORM.INV(SUM(G4:G5), 0, 1) + 1, 0, 1, TRUE), "")</f>
        <v>0.23057770189609239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0.36121937018176886</v>
      </c>
      <c r="D3" s="52">
        <f>IFERROR(_xlfn.NORM.DIST(_xlfn.NORM.INV(SUM(D4:D5), 0, 1) + 1, 0, 1, TRUE) - SUM(D4:D5), "")</f>
        <v>0.36121937018176886</v>
      </c>
      <c r="E3" s="52">
        <f>IFERROR(_xlfn.NORM.DIST(_xlfn.NORM.INV(SUM(E4:E5), 0, 1) + 1, 0, 1, TRUE) - SUM(E4:E5), "")</f>
        <v>0.37197115417216309</v>
      </c>
      <c r="F3" s="52">
        <f>IFERROR(_xlfn.NORM.DIST(_xlfn.NORM.INV(SUM(F4:F5), 0, 1) + 1, 0, 1, TRUE) - SUM(F4:F5), "")</f>
        <v>0.37250072697576209</v>
      </c>
      <c r="G3" s="52">
        <f>IFERROR(_xlfn.NORM.DIST(_xlfn.NORM.INV(SUM(G4:G5), 0, 1) + 1, 0, 1, TRUE) - SUM(G4:G5), "")</f>
        <v>0.3731679552467646</v>
      </c>
    </row>
    <row r="4" spans="1:15" ht="15.75" customHeight="1" x14ac:dyDescent="0.25">
      <c r="B4" s="5" t="s">
        <v>104</v>
      </c>
      <c r="C4" s="45">
        <v>0.112263488888889</v>
      </c>
      <c r="D4" s="53">
        <v>0.112263488888889</v>
      </c>
      <c r="E4" s="53">
        <v>0.137070732142857</v>
      </c>
      <c r="F4" s="53">
        <v>0.23025359642857199</v>
      </c>
      <c r="G4" s="53">
        <v>0.23818805000000001</v>
      </c>
    </row>
    <row r="5" spans="1:15" ht="15.75" customHeight="1" x14ac:dyDescent="0.25">
      <c r="B5" s="5" t="s">
        <v>105</v>
      </c>
      <c r="C5" s="45">
        <v>8.3661755555555606E-2</v>
      </c>
      <c r="D5" s="53">
        <v>8.3661755555555606E-2</v>
      </c>
      <c r="E5" s="53">
        <v>8.917808571428569E-2</v>
      </c>
      <c r="F5" s="53">
        <v>0.169116528571429</v>
      </c>
      <c r="G5" s="53">
        <v>0.15806629285714299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0.66761624962887534</v>
      </c>
      <c r="D8" s="52">
        <f>IFERROR(1-_xlfn.NORM.DIST(_xlfn.NORM.INV(SUM(D10:D11), 0, 1) + 1, 0, 1, TRUE), "")</f>
        <v>0.66761624962887534</v>
      </c>
      <c r="E8" s="52">
        <f>IFERROR(1-_xlfn.NORM.DIST(_xlfn.NORM.INV(SUM(E10:E11), 0, 1) + 1, 0, 1, TRUE), "")</f>
        <v>0.65236906929467353</v>
      </c>
      <c r="F8" s="52">
        <f>IFERROR(1-_xlfn.NORM.DIST(_xlfn.NORM.INV(SUM(F10:F11), 0, 1) + 1, 0, 1, TRUE), "")</f>
        <v>0.69608096772344996</v>
      </c>
      <c r="G8" s="52">
        <f>IFERROR(1-_xlfn.NORM.DIST(_xlfn.NORM.INV(SUM(G10:G11), 0, 1) + 1, 0, 1, TRUE), "")</f>
        <v>0.79969823107410432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0.25650345777853206</v>
      </c>
      <c r="D9" s="52">
        <f>IFERROR(_xlfn.NORM.DIST(_xlfn.NORM.INV(SUM(D10:D11), 0, 1) + 1, 0, 1, TRUE) - SUM(D10:D11), "")</f>
        <v>0.25650345777853206</v>
      </c>
      <c r="E9" s="52">
        <f>IFERROR(_xlfn.NORM.DIST(_xlfn.NORM.INV(SUM(E10:E11), 0, 1) + 1, 0, 1, TRUE) - SUM(E10:E11), "")</f>
        <v>0.26562799499104084</v>
      </c>
      <c r="F9" s="52">
        <f>IFERROR(_xlfn.NORM.DIST(_xlfn.NORM.INV(SUM(F10:F11), 0, 1) + 1, 0, 1, TRUE) - SUM(F10:F11), "")</f>
        <v>0.23879976441940715</v>
      </c>
      <c r="G9" s="52">
        <f>IFERROR(_xlfn.NORM.DIST(_xlfn.NORM.INV(SUM(G10:G11), 0, 1) + 1, 0, 1, TRUE) - SUM(G10:G11), "")</f>
        <v>0.16745755106875282</v>
      </c>
    </row>
    <row r="10" spans="1:15" ht="15.75" customHeight="1" x14ac:dyDescent="0.25">
      <c r="B10" s="5" t="s">
        <v>109</v>
      </c>
      <c r="C10" s="45">
        <v>4.4498244444444397E-2</v>
      </c>
      <c r="D10" s="53">
        <v>4.4498244444444397E-2</v>
      </c>
      <c r="E10" s="53">
        <v>5.3602314285714298E-2</v>
      </c>
      <c r="F10" s="53">
        <v>4.2169464285714303E-2</v>
      </c>
      <c r="G10" s="53">
        <v>2.2184057142857101E-2</v>
      </c>
    </row>
    <row r="11" spans="1:15" ht="15.75" customHeight="1" x14ac:dyDescent="0.25">
      <c r="B11" s="5" t="s">
        <v>110</v>
      </c>
      <c r="C11" s="45">
        <v>3.1382048148148198E-2</v>
      </c>
      <c r="D11" s="53">
        <v>3.1382048148148198E-2</v>
      </c>
      <c r="E11" s="53">
        <v>2.8400621428571401E-2</v>
      </c>
      <c r="F11" s="53">
        <v>2.29498035714286E-2</v>
      </c>
      <c r="G11" s="53">
        <v>1.06601607142857E-2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0.62072485924999998</v>
      </c>
      <c r="D14" s="54">
        <v>0.60000760225000005</v>
      </c>
      <c r="E14" s="54">
        <v>0.60000760225000005</v>
      </c>
      <c r="F14" s="54">
        <v>0.365490115999</v>
      </c>
      <c r="G14" s="54">
        <v>0.365490115999</v>
      </c>
      <c r="H14" s="45">
        <v>0.34</v>
      </c>
      <c r="I14" s="55">
        <v>0.34</v>
      </c>
      <c r="J14" s="55">
        <v>0.34</v>
      </c>
      <c r="K14" s="55">
        <v>0.34</v>
      </c>
      <c r="L14" s="45">
        <v>0.3</v>
      </c>
      <c r="M14" s="55">
        <v>0.3</v>
      </c>
      <c r="N14" s="55">
        <v>0.3</v>
      </c>
      <c r="O14" s="55">
        <v>0.3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0.33049067463589971</v>
      </c>
      <c r="D15" s="52">
        <f t="shared" si="0"/>
        <v>0.31946024764316078</v>
      </c>
      <c r="E15" s="52">
        <f t="shared" si="0"/>
        <v>0.31946024764316078</v>
      </c>
      <c r="F15" s="52">
        <f t="shared" si="0"/>
        <v>0.19459680599099957</v>
      </c>
      <c r="G15" s="52">
        <f t="shared" si="0"/>
        <v>0.19459680599099957</v>
      </c>
      <c r="H15" s="52">
        <f t="shared" si="0"/>
        <v>0.18102518000000001</v>
      </c>
      <c r="I15" s="52">
        <f t="shared" si="0"/>
        <v>0.18102518000000001</v>
      </c>
      <c r="J15" s="52">
        <f t="shared" si="0"/>
        <v>0.18102518000000001</v>
      </c>
      <c r="K15" s="52">
        <f t="shared" si="0"/>
        <v>0.18102518000000001</v>
      </c>
      <c r="L15" s="52">
        <f t="shared" si="0"/>
        <v>0.15972809999999998</v>
      </c>
      <c r="M15" s="52">
        <f t="shared" si="0"/>
        <v>0.15972809999999998</v>
      </c>
      <c r="N15" s="52">
        <f t="shared" si="0"/>
        <v>0.15972809999999998</v>
      </c>
      <c r="O15" s="52">
        <f t="shared" si="0"/>
        <v>0.15972809999999998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0.62221204666666696</v>
      </c>
      <c r="D2" s="53">
        <v>0.37241107999999989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0.20366382666666699</v>
      </c>
      <c r="D3" s="53">
        <v>0.21027029999999999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0.134299366666667</v>
      </c>
      <c r="D4" s="53">
        <v>0.36252068999999998</v>
      </c>
      <c r="E4" s="53">
        <v>0.88787583999999997</v>
      </c>
      <c r="F4" s="53">
        <v>0.60830171666666699</v>
      </c>
      <c r="G4" s="53">
        <v>0</v>
      </c>
    </row>
    <row r="5" spans="1:7" x14ac:dyDescent="0.25">
      <c r="B5" s="3" t="s">
        <v>122</v>
      </c>
      <c r="C5" s="52">
        <v>3.9824749999999999E-2</v>
      </c>
      <c r="D5" s="52">
        <v>5.4797930000000002E-2</v>
      </c>
      <c r="E5" s="52">
        <f>1-SUM(E2:E4)</f>
        <v>0.11212416000000003</v>
      </c>
      <c r="F5" s="52">
        <f>1-SUM(F2:F4)</f>
        <v>0.39169828333333301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ht="13.25" customHeight="1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ht="13.25" customHeight="1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abSelected="1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65.60734264525216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19.75203299904819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7.2861200073283072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2.0667641916565072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0.2139553248340432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0.78848199824391296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0.40394964285693302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13.409894534701801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13.409894534701801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13.409894534701801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13.409894534701801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13.409894534701801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13.409894534701801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</v>
      </c>
      <c r="C16" s="98">
        <v>0.95</v>
      </c>
      <c r="D16" s="56">
        <v>2.503642449664842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</v>
      </c>
      <c r="C18" s="98">
        <v>0.95</v>
      </c>
      <c r="D18" s="56">
        <v>7.2861200073283072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</v>
      </c>
      <c r="C19" s="98">
        <v>0.95</v>
      </c>
      <c r="D19" s="56">
        <v>7.2861200073283072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7.4846345450640612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23.349725533539811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4.5279095940423639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0.67072384119999995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3.4665816434934871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13.803307962555669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0.42899999999999999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0.45500000000000002</v>
      </c>
      <c r="C29" s="98">
        <v>0.95</v>
      </c>
      <c r="D29" s="56">
        <v>88.005851455993124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180.94215297303569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0.64</v>
      </c>
      <c r="C32" s="98">
        <v>0.95</v>
      </c>
      <c r="D32" s="56">
        <v>0.65266805708153031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0.91189679999999995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</v>
      </c>
      <c r="C38" s="98">
        <v>0.95</v>
      </c>
      <c r="D38" s="56">
        <v>2.4488574538288082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3.4277904548683669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0.11569543555555543</v>
      </c>
      <c r="C3" s="21">
        <f>frac_mam_1_5months * 2.6</f>
        <v>0.11569543555555543</v>
      </c>
      <c r="D3" s="21">
        <f>frac_mam_6_11months * 2.6</f>
        <v>0.13936601714285718</v>
      </c>
      <c r="E3" s="21">
        <f>frac_mam_12_23months * 2.6</f>
        <v>0.10964060714285719</v>
      </c>
      <c r="F3" s="21">
        <f>frac_mam_24_59months * 2.6</f>
        <v>5.7678548571428463E-2</v>
      </c>
    </row>
    <row r="4" spans="1:6" ht="15.75" customHeight="1" x14ac:dyDescent="0.25">
      <c r="A4" s="3" t="s">
        <v>205</v>
      </c>
      <c r="B4" s="21">
        <f>frac_sam_1month * 2.6</f>
        <v>8.159332518518532E-2</v>
      </c>
      <c r="C4" s="21">
        <f>frac_sam_1_5months * 2.6</f>
        <v>8.159332518518532E-2</v>
      </c>
      <c r="D4" s="21">
        <f>frac_sam_6_11months * 2.6</f>
        <v>7.3841615714285644E-2</v>
      </c>
      <c r="E4" s="21">
        <f>frac_sam_12_23months * 2.6</f>
        <v>5.9669489285714361E-2</v>
      </c>
      <c r="F4" s="21">
        <f>frac_sam_24_59months * 2.6</f>
        <v>2.7716417857142822E-2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0.161</v>
      </c>
      <c r="E2" s="60">
        <f>food_insecure</f>
        <v>0.161</v>
      </c>
      <c r="F2" s="60">
        <f>food_insecure</f>
        <v>0.161</v>
      </c>
      <c r="G2" s="60">
        <f>food_insecure</f>
        <v>0.161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0.161</v>
      </c>
      <c r="F5" s="60">
        <f>food_insecure</f>
        <v>0.161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0.161</v>
      </c>
      <c r="F8" s="60">
        <f>food_insecure</f>
        <v>0.161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0.161</v>
      </c>
      <c r="F9" s="60">
        <f>food_insecure</f>
        <v>0.161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0.161</v>
      </c>
      <c r="I15" s="60">
        <f>food_insecure</f>
        <v>0.161</v>
      </c>
      <c r="J15" s="60">
        <f>food_insecure</f>
        <v>0.161</v>
      </c>
      <c r="K15" s="60">
        <f>food_insecure</f>
        <v>0.161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0.13</v>
      </c>
      <c r="I19" s="60">
        <f>frac_malaria_risk</f>
        <v>0.13</v>
      </c>
      <c r="J19" s="60">
        <f>frac_malaria_risk</f>
        <v>0.13</v>
      </c>
      <c r="K19" s="60">
        <f>frac_malaria_risk</f>
        <v>0.13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0.52200000000000002</v>
      </c>
      <c r="M24" s="60">
        <f>famplan_unmet_need</f>
        <v>0.52200000000000002</v>
      </c>
      <c r="N24" s="60">
        <f>famplan_unmet_need</f>
        <v>0.52200000000000002</v>
      </c>
      <c r="O24" s="60">
        <f>famplan_unmet_need</f>
        <v>0.52200000000000002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0.35303054385085197</v>
      </c>
      <c r="M25" s="60">
        <f>(1-food_insecure)*(0.49)+food_insecure*(0.7)</f>
        <v>0.52381</v>
      </c>
      <c r="N25" s="60">
        <f>(1-food_insecure)*(0.49)+food_insecure*(0.7)</f>
        <v>0.52381</v>
      </c>
      <c r="O25" s="60">
        <f>(1-food_insecure)*(0.49)+food_insecure*(0.7)</f>
        <v>0.52381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0.15129880450750799</v>
      </c>
      <c r="M26" s="60">
        <f>(1-food_insecure)*(0.21)+food_insecure*(0.3)</f>
        <v>0.22449</v>
      </c>
      <c r="N26" s="60">
        <f>(1-food_insecure)*(0.21)+food_insecure*(0.3)</f>
        <v>0.22449</v>
      </c>
      <c r="O26" s="60">
        <f>(1-food_insecure)*(0.21)+food_insecure*(0.3)</f>
        <v>0.22449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0.16963744084164001</v>
      </c>
      <c r="M27" s="60">
        <f>(1-food_insecure)*(0.3)</f>
        <v>0.25169999999999998</v>
      </c>
      <c r="N27" s="60">
        <f>(1-food_insecure)*(0.3)</f>
        <v>0.25169999999999998</v>
      </c>
      <c r="O27" s="60">
        <f>(1-food_insecure)*(0.3)</f>
        <v>0.25169999999999998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0.13</v>
      </c>
      <c r="D34" s="60">
        <f t="shared" si="3"/>
        <v>0.13</v>
      </c>
      <c r="E34" s="60">
        <f t="shared" si="3"/>
        <v>0.13</v>
      </c>
      <c r="F34" s="60">
        <f t="shared" si="3"/>
        <v>0.13</v>
      </c>
      <c r="G34" s="60">
        <f t="shared" si="3"/>
        <v>0.13</v>
      </c>
      <c r="H34" s="60">
        <f t="shared" si="3"/>
        <v>0.13</v>
      </c>
      <c r="I34" s="60">
        <f t="shared" si="3"/>
        <v>0.13</v>
      </c>
      <c r="J34" s="60">
        <f t="shared" si="3"/>
        <v>0.13</v>
      </c>
      <c r="K34" s="60">
        <f t="shared" si="3"/>
        <v>0.13</v>
      </c>
      <c r="L34" s="60">
        <f t="shared" si="3"/>
        <v>0.13</v>
      </c>
      <c r="M34" s="60">
        <f t="shared" si="3"/>
        <v>0.13</v>
      </c>
      <c r="N34" s="60">
        <f t="shared" si="3"/>
        <v>0.13</v>
      </c>
      <c r="O34" s="60">
        <f t="shared" si="3"/>
        <v>0.13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ht="13.25" customHeight="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A8" sqref="A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67</v>
      </c>
      <c r="C58" s="8" t="s">
        <v>145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146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77</v>
      </c>
      <c r="C61" s="8" t="s">
        <v>145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146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67</v>
      </c>
      <c r="C111" s="8" t="s">
        <v>145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146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147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77</v>
      </c>
      <c r="C114" s="8" t="s">
        <v>145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146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147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78</v>
      </c>
      <c r="C117" s="8" t="s">
        <v>145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146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147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79</v>
      </c>
      <c r="C120" s="8" t="s">
        <v>145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146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147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146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147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67</v>
      </c>
      <c r="C128" s="8" t="s">
        <v>145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146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147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77</v>
      </c>
      <c r="C131" s="8" t="s">
        <v>145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146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147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78</v>
      </c>
      <c r="C134" s="8" t="s">
        <v>145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146</v>
      </c>
      <c r="D135" s="88">
        <f t="shared" ref="D135:H144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147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79</v>
      </c>
      <c r="C137" s="8" t="s">
        <v>145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146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147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146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147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67</v>
      </c>
      <c r="C145" s="8" t="s">
        <v>145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146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147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77</v>
      </c>
      <c r="C148" s="8" t="s">
        <v>145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146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147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78</v>
      </c>
      <c r="C151" s="8" t="s">
        <v>145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146</v>
      </c>
      <c r="D152" s="88">
        <f t="shared" ref="D152:H161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147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79</v>
      </c>
      <c r="C154" s="8" t="s">
        <v>145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146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147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A8" sqref="A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A8" sqref="A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A8" sqref="A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A8" sqref="A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A8" sqref="A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A8" sqref="A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0.10721086571598237</v>
      </c>
      <c r="G18" s="90">
        <f>MIN(MAX(1-0.89/(1-frac_sam_12_23months+(frac_sam_12_23months*0.89)),0),1)</f>
        <v>0.1077475279132436</v>
      </c>
      <c r="H18" s="90">
        <f>MIN(MAX(1-0.89/(1-frac_sam_24_59months+(frac_sam_24_59months*0.89)),0),1)</f>
        <v>0.10895514505068638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0.10472120833192411</v>
      </c>
      <c r="G20" s="90">
        <f>MIN(MAX(1-0.89/(1-frac_mam_12_23months+(frac_mam_12_23months*0.89)),0),1)</f>
        <v>0.1058523700799322</v>
      </c>
      <c r="H20" s="90">
        <f>MIN(MAX(1-0.89/(1-frac_mam_24_59months+(frac_mam_24_59months*0.89)),0),1)</f>
        <v>0.10782286806760277</v>
      </c>
    </row>
    <row r="21" spans="1:8" ht="13.25" customHeight="1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9.7187539722375371E-3</v>
      </c>
      <c r="G73" s="90">
        <f>MIN(MAX(1-0.99/(1-frac_sam_12_23months+(frac_sam_12_23months*0.99)),0),1)</f>
        <v>9.7727447900185505E-3</v>
      </c>
      <c r="H73" s="90">
        <f>MIN(MAX(1-0.99/(1-frac_sam_24_59months+(frac_sam_24_59months*0.99)),0),1)</f>
        <v>9.8944531574656214E-3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9.469052488417562E-3</v>
      </c>
      <c r="G75" s="90">
        <f>MIN(MAX(1-0.99/(1-frac_mam_12_23months+(frac_mam_12_23months*0.99)),0),1)</f>
        <v>9.5823461811934685E-3</v>
      </c>
      <c r="H75" s="90">
        <f>MIN(MAX(1-0.99/(1-frac_mam_24_59months+(frac_mam_24_59months*0.99)),0),1)</f>
        <v>9.780329102368257E-3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0.19542994207441833</v>
      </c>
      <c r="G128" s="90">
        <f>MIN(MAX(1-0.8/(1-frac_sam_12_23months+(frac_sam_12_23months*0.8)),0),1)</f>
        <v>0.19631109952029058</v>
      </c>
      <c r="H128" s="90">
        <f>MIN(MAX(1-0.8/(1-frac_sam_24_59months+(frac_sam_24_59months*0.8)),0),1)</f>
        <v>0.19829073006727693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0.19133069070600239</v>
      </c>
      <c r="G130" s="90">
        <f>MIN(MAX(1-0.8/(1-frac_mam_12_23months+(frac_mam_12_23months*0.8)),0),1)</f>
        <v>0.19319549726729179</v>
      </c>
      <c r="H130" s="90">
        <f>MIN(MAX(1-0.8/(1-frac_mam_24_59months+(frac_mam_24_59months*0.8)),0),1)</f>
        <v>0.19643473243727461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A8" sqref="A8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ht="13.25" customHeight="1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2024-08-06T06:31:05Z</dcterms:modified>
</cp:coreProperties>
</file>