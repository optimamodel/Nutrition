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00D6588-07E5-4B12-9274-ADBF31F32394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<sst xmlns="http://schemas.openxmlformats.org/spreadsheetml/2006/main" count="2102" uniqueCount="341">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</sst>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290962.58984375</v>
      </c>
    </row>
    <row r="8" spans="1:3" ht="15" customHeight="1" x14ac:dyDescent="0.25">
      <c r="B8" s="5" t="s">
        <v>8</v>
      </c>
      <c r="C8" s="44">
        <v>0.161</v>
      </c>
    </row>
    <row r="9" spans="1:3" ht="15" customHeight="1" x14ac:dyDescent="0.25">
      <c r="B9" s="5" t="s">
        <v>9</v>
      </c>
      <c r="C9" s="45">
        <v>0.13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0.35039999999999999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17.9986</v>
      </c>
    </row>
    <row r="38" spans="1:5" ht="15" customHeight="1" x14ac:dyDescent="0.25">
      <c r="B38" s="11" t="s">
        <v>34</v>
      </c>
      <c r="C38" s="43">
        <v>28.314070000000001</v>
      </c>
      <c r="D38" s="12"/>
      <c r="E38" s="13"/>
    </row>
    <row r="39" spans="1:5" ht="15" customHeight="1" x14ac:dyDescent="0.25">
      <c r="B39" s="11" t="s">
        <v>35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100">
        <v>1.86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9.3217000000000005E-3</v>
      </c>
      <c r="D45" s="12"/>
    </row>
    <row r="46" spans="1:5" ht="15.75" customHeight="1" x14ac:dyDescent="0.25">
      <c r="B46" s="11" t="s">
        <v>41</v>
      </c>
      <c r="C46" s="45">
        <v>9.8476499999999995E-2</v>
      </c>
      <c r="D46" s="12"/>
    </row>
    <row r="47" spans="1:5" ht="15.75" customHeight="1" x14ac:dyDescent="0.25">
      <c r="B47" s="11" t="s">
        <v>42</v>
      </c>
      <c r="C47" s="45">
        <v>0.1054223</v>
      </c>
      <c r="D47" s="12"/>
      <c r="E47" s="13"/>
    </row>
    <row r="48" spans="1:5" ht="15" customHeight="1" x14ac:dyDescent="0.25">
      <c r="B48" s="11" t="s">
        <v>43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0.53242699999999998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59877</v>
      </c>
      <c r="C2" s="49">
        <v>155360</v>
      </c>
      <c r="D2" s="49">
        <v>225134.5</v>
      </c>
      <c r="E2" s="49">
        <v>217887</v>
      </c>
      <c r="F2" s="49">
        <v>154322.5</v>
      </c>
      <c r="G2" s="17">
        <f t="shared" ref="G2:G13" si="0">C2+D2+E2+F2</f>
        <v>752704</v>
      </c>
      <c r="H2" s="17">
        <f t="shared" ref="H2:H13" si="1">(B2 + stillbirth*B2/(1000-stillbirth))/(1-abortion)</f>
        <v>69059.176631647002</v>
      </c>
      <c r="I2" s="17">
        <f t="shared" ref="I2:I13" si="2">G2-H2</f>
        <v>683644.82336835295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59581</v>
      </c>
      <c r="C3" s="50">
        <v>158245</v>
      </c>
      <c r="D3" s="50">
        <v>227268.5</v>
      </c>
      <c r="E3" s="50">
        <v>218678</v>
      </c>
      <c r="F3" s="50">
        <v>160699</v>
      </c>
      <c r="G3" s="17">
        <f t="shared" si="0"/>
        <v>764890.5</v>
      </c>
      <c r="H3" s="17">
        <f t="shared" si="1"/>
        <v>68717.784840425549</v>
      </c>
      <c r="I3" s="17">
        <f t="shared" si="2"/>
        <v>696172.71515957441</v>
      </c>
    </row>
    <row r="4" spans="1:9" ht="15.75" customHeight="1" x14ac:dyDescent="0.25">
      <c r="A4" s="5">
        <f t="shared" si="3"/>
        <v>2026</v>
      </c>
      <c r="B4" s="49">
        <v>59342</v>
      </c>
      <c r="C4" s="50">
        <v>160655.5</v>
      </c>
      <c r="D4" s="50">
        <v>230601</v>
      </c>
      <c r="E4" s="50">
        <v>218758</v>
      </c>
      <c r="F4" s="50">
        <v>166529.5</v>
      </c>
      <c r="G4" s="17">
        <f t="shared" si="0"/>
        <v>776544</v>
      </c>
      <c r="H4" s="17">
        <f t="shared" si="1"/>
        <v>68442.134036027128</v>
      </c>
      <c r="I4" s="17">
        <f t="shared" si="2"/>
        <v>708101.86596397287</v>
      </c>
    </row>
    <row r="5" spans="1:9" ht="15.75" customHeight="1" x14ac:dyDescent="0.25">
      <c r="A5" s="5">
        <f t="shared" si="3"/>
        <v>2027</v>
      </c>
      <c r="B5" s="49">
        <v>59206</v>
      </c>
      <c r="C5" s="50">
        <v>162731</v>
      </c>
      <c r="D5" s="50">
        <v>234868.5</v>
      </c>
      <c r="E5" s="50">
        <v>218398.5</v>
      </c>
      <c r="F5" s="50">
        <v>171790.5</v>
      </c>
      <c r="G5" s="17">
        <f t="shared" si="0"/>
        <v>787788.5</v>
      </c>
      <c r="H5" s="17">
        <f t="shared" si="1"/>
        <v>68285.27834816862</v>
      </c>
      <c r="I5" s="17">
        <f t="shared" si="2"/>
        <v>719503.22165183141</v>
      </c>
    </row>
    <row r="6" spans="1:9" ht="15.75" customHeight="1" x14ac:dyDescent="0.25">
      <c r="A6" s="5">
        <f t="shared" si="3"/>
        <v>2028</v>
      </c>
      <c r="B6" s="49">
        <v>59010</v>
      </c>
      <c r="C6" s="50">
        <v>164582</v>
      </c>
      <c r="D6" s="50">
        <v>239514.5</v>
      </c>
      <c r="E6" s="50">
        <v>218117</v>
      </c>
      <c r="F6" s="50">
        <v>176356</v>
      </c>
      <c r="G6" s="17">
        <f t="shared" si="0"/>
        <v>798569.5</v>
      </c>
      <c r="H6" s="17">
        <f t="shared" si="1"/>
        <v>68059.221621549004</v>
      </c>
      <c r="I6" s="17">
        <f t="shared" si="2"/>
        <v>730510.27837845101</v>
      </c>
    </row>
    <row r="7" spans="1:9" ht="15.75" customHeight="1" x14ac:dyDescent="0.25">
      <c r="A7" s="5">
        <f t="shared" si="3"/>
        <v>2029</v>
      </c>
      <c r="B7" s="49">
        <v>59055</v>
      </c>
      <c r="C7" s="50">
        <v>166257</v>
      </c>
      <c r="D7" s="50">
        <v>244206</v>
      </c>
      <c r="E7" s="50">
        <v>218221</v>
      </c>
      <c r="F7" s="50">
        <v>180085.5</v>
      </c>
      <c r="G7" s="17">
        <f t="shared" si="0"/>
        <v>808769.5</v>
      </c>
      <c r="H7" s="17">
        <f t="shared" si="1"/>
        <v>68111.122400619832</v>
      </c>
      <c r="I7" s="17">
        <f t="shared" si="2"/>
        <v>740658.37759938021</v>
      </c>
    </row>
    <row r="8" spans="1:9" ht="15.75" customHeight="1" x14ac:dyDescent="0.25">
      <c r="A8" s="5">
        <f t="shared" si="3"/>
        <v>2030</v>
      </c>
      <c r="B8" s="49">
        <v>58998</v>
      </c>
      <c r="C8" s="50">
        <v>167837.5</v>
      </c>
      <c r="D8" s="50">
        <v>248809.5</v>
      </c>
      <c r="E8" s="50">
        <v>218797</v>
      </c>
      <c r="F8" s="50">
        <v>182956</v>
      </c>
      <c r="G8" s="17">
        <f t="shared" si="0"/>
        <v>818400</v>
      </c>
      <c r="H8" s="17">
        <f t="shared" si="1"/>
        <v>68045.381413796786</v>
      </c>
      <c r="I8" s="17">
        <f t="shared" si="2"/>
        <v>750354.6185862032</v>
      </c>
    </row>
    <row r="9" spans="1:9" ht="15.75" customHeight="1" x14ac:dyDescent="0.25">
      <c r="A9" s="5">
        <f t="shared" si="3"/>
        <v>2031</v>
      </c>
      <c r="B9" s="49">
        <v>58930</v>
      </c>
      <c r="C9" s="50">
        <v>169335</v>
      </c>
      <c r="D9" s="50">
        <v>253241</v>
      </c>
      <c r="E9" s="50">
        <v>219836.5</v>
      </c>
      <c r="F9" s="50">
        <v>185038.5</v>
      </c>
      <c r="G9" s="17">
        <f t="shared" si="0"/>
        <v>827451</v>
      </c>
      <c r="H9" s="17">
        <f t="shared" si="1"/>
        <v>67966.953569867532</v>
      </c>
      <c r="I9" s="17">
        <f t="shared" si="2"/>
        <v>759484.04643013247</v>
      </c>
    </row>
    <row r="10" spans="1:9" ht="15.75" customHeight="1" x14ac:dyDescent="0.25">
      <c r="A10" s="5">
        <f t="shared" si="3"/>
        <v>2032</v>
      </c>
      <c r="B10" s="49">
        <v>59036</v>
      </c>
      <c r="C10" s="50">
        <v>170702</v>
      </c>
      <c r="D10" s="50">
        <v>257688.5</v>
      </c>
      <c r="E10" s="50">
        <v>221027</v>
      </c>
      <c r="F10" s="50">
        <v>186541.5</v>
      </c>
      <c r="G10" s="17">
        <f t="shared" si="0"/>
        <v>835959</v>
      </c>
      <c r="H10" s="17">
        <f t="shared" si="1"/>
        <v>68089.208738345493</v>
      </c>
      <c r="I10" s="17">
        <f t="shared" si="2"/>
        <v>767869.79126165446</v>
      </c>
    </row>
    <row r="11" spans="1:9" ht="15.75" customHeight="1" x14ac:dyDescent="0.25">
      <c r="A11" s="5">
        <f t="shared" si="3"/>
        <v>2033</v>
      </c>
      <c r="B11" s="49">
        <v>59302</v>
      </c>
      <c r="C11" s="50">
        <v>171933.5</v>
      </c>
      <c r="D11" s="50">
        <v>262223</v>
      </c>
      <c r="E11" s="50">
        <v>222185.5</v>
      </c>
      <c r="F11" s="50">
        <v>187806</v>
      </c>
      <c r="G11" s="17">
        <f t="shared" si="0"/>
        <v>844148</v>
      </c>
      <c r="H11" s="17">
        <f t="shared" si="1"/>
        <v>68396.000010186399</v>
      </c>
      <c r="I11" s="17">
        <f t="shared" si="2"/>
        <v>775751.99998981366</v>
      </c>
    </row>
    <row r="12" spans="1:9" ht="15.75" customHeight="1" x14ac:dyDescent="0.25">
      <c r="A12" s="5">
        <f t="shared" si="3"/>
        <v>2034</v>
      </c>
      <c r="B12" s="49">
        <v>59434</v>
      </c>
      <c r="C12" s="50">
        <v>172869</v>
      </c>
      <c r="D12" s="50">
        <v>266600.5</v>
      </c>
      <c r="E12" s="50">
        <v>223582</v>
      </c>
      <c r="F12" s="50">
        <v>189008</v>
      </c>
      <c r="G12" s="17">
        <f t="shared" si="0"/>
        <v>852059.5</v>
      </c>
      <c r="H12" s="17">
        <f t="shared" si="1"/>
        <v>68548.242295460834</v>
      </c>
      <c r="I12" s="17">
        <f t="shared" si="2"/>
        <v>783511.25770453922</v>
      </c>
    </row>
    <row r="13" spans="1:9" ht="15.75" customHeight="1" x14ac:dyDescent="0.25">
      <c r="A13" s="5">
        <f t="shared" si="3"/>
        <v>2035</v>
      </c>
      <c r="B13" s="49">
        <v>59754</v>
      </c>
      <c r="C13" s="50">
        <v>173368</v>
      </c>
      <c r="D13" s="50">
        <v>270540.5</v>
      </c>
      <c r="E13" s="50">
        <v>225774.5</v>
      </c>
      <c r="F13" s="50">
        <v>190039</v>
      </c>
      <c r="G13" s="17">
        <f t="shared" si="0"/>
        <v>859722</v>
      </c>
      <c r="H13" s="17">
        <f t="shared" si="1"/>
        <v>68917.314502186724</v>
      </c>
      <c r="I13" s="17">
        <f t="shared" si="2"/>
        <v>790804.68549781328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5.1841994815800541E-3</v>
      </c>
    </row>
    <row r="4" spans="1:8" ht="15.75" customHeight="1" x14ac:dyDescent="0.25">
      <c r="B4" s="19" t="s">
        <v>69</v>
      </c>
      <c r="C4" s="101">
        <v>5.427229457277058E-2</v>
      </c>
    </row>
    <row r="5" spans="1:8" ht="15.75" customHeight="1" x14ac:dyDescent="0.25">
      <c r="B5" s="19" t="s">
        <v>70</v>
      </c>
      <c r="C5" s="101">
        <v>5.7245594275440542E-2</v>
      </c>
    </row>
    <row r="6" spans="1:8" ht="15.75" customHeight="1" x14ac:dyDescent="0.25">
      <c r="B6" s="19" t="s">
        <v>71</v>
      </c>
      <c r="C6" s="101">
        <v>0.2203829779617027</v>
      </c>
    </row>
    <row r="7" spans="1:8" ht="15.75" customHeight="1" x14ac:dyDescent="0.25">
      <c r="B7" s="19" t="s">
        <v>72</v>
      </c>
      <c r="C7" s="101">
        <v>0.451351354864864</v>
      </c>
    </row>
    <row r="8" spans="1:8" ht="15.75" customHeight="1" x14ac:dyDescent="0.25">
      <c r="B8" s="19" t="s">
        <v>73</v>
      </c>
      <c r="C8" s="101">
        <v>6.7609993239000699E-4</v>
      </c>
    </row>
    <row r="9" spans="1:8" ht="15.75" customHeight="1" x14ac:dyDescent="0.25">
      <c r="B9" s="19" t="s">
        <v>74</v>
      </c>
      <c r="C9" s="101">
        <v>0.10118568988143101</v>
      </c>
    </row>
    <row r="10" spans="1:8" ht="15.75" customHeight="1" x14ac:dyDescent="0.25">
      <c r="B10" s="19" t="s">
        <v>75</v>
      </c>
      <c r="C10" s="101">
        <v>0.1097017890298211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82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83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84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85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86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87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88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89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4.6309735999999997E-2</v>
      </c>
    </row>
    <row r="27" spans="1:8" ht="15.75" customHeight="1" x14ac:dyDescent="0.25">
      <c r="B27" s="19" t="s">
        <v>92</v>
      </c>
      <c r="C27" s="101">
        <v>2.2410375E-2</v>
      </c>
    </row>
    <row r="28" spans="1:8" ht="15.75" customHeight="1" x14ac:dyDescent="0.25">
      <c r="B28" s="19" t="s">
        <v>93</v>
      </c>
      <c r="C28" s="101">
        <v>0.105751911</v>
      </c>
    </row>
    <row r="29" spans="1:8" ht="15.75" customHeight="1" x14ac:dyDescent="0.25">
      <c r="B29" s="19" t="s">
        <v>94</v>
      </c>
      <c r="C29" s="101">
        <v>0.106714216</v>
      </c>
    </row>
    <row r="30" spans="1:8" ht="15.75" customHeight="1" x14ac:dyDescent="0.25">
      <c r="B30" s="19" t="s">
        <v>95</v>
      </c>
      <c r="C30" s="101">
        <v>5.0717751999999991E-2</v>
      </c>
    </row>
    <row r="31" spans="1:8" ht="15.75" customHeight="1" x14ac:dyDescent="0.25">
      <c r="B31" s="19" t="s">
        <v>96</v>
      </c>
      <c r="C31" s="101">
        <v>9.8186192000000005E-2</v>
      </c>
    </row>
    <row r="32" spans="1:8" ht="15.75" customHeight="1" x14ac:dyDescent="0.25">
      <c r="B32" s="19" t="s">
        <v>97</v>
      </c>
      <c r="C32" s="101">
        <v>3.9065067000000002E-2</v>
      </c>
    </row>
    <row r="33" spans="2:3" ht="15.75" customHeight="1" x14ac:dyDescent="0.25">
      <c r="B33" s="19" t="s">
        <v>98</v>
      </c>
      <c r="C33" s="101">
        <v>9.1384244000000003E-2</v>
      </c>
    </row>
    <row r="34" spans="2:3" ht="15.75" customHeight="1" x14ac:dyDescent="0.25">
      <c r="B34" s="19" t="s">
        <v>99</v>
      </c>
      <c r="C34" s="101">
        <v>0.43946050599999997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104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122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75.762459741294762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0.181216658</v>
      </c>
      <c r="C3" s="98">
        <v>0.95</v>
      </c>
      <c r="D3" s="56">
        <v>40.277595090905891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692.41497754805209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2.0667641916565072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13.409894534701801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13.409894534701801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13.409894534701801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13.409894534701801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13.409894534701801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13.409894534701801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0.91</v>
      </c>
      <c r="C16" s="98">
        <v>0.95</v>
      </c>
      <c r="D16" s="56">
        <v>1.1166603345971491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0.1181214958</v>
      </c>
      <c r="C18" s="98">
        <v>0.95</v>
      </c>
      <c r="D18" s="56">
        <v>15.87897005630612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0.80550820000000001</v>
      </c>
      <c r="C19" s="98">
        <v>0.95</v>
      </c>
      <c r="D19" s="56">
        <v>15.87897005630612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0.91189679999999995</v>
      </c>
      <c r="C21" s="98">
        <v>0.95</v>
      </c>
      <c r="D21" s="56">
        <v>16.240204677311851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23.349725533539811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4.5279095940423639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0.89508574960000009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18.982269813808941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0.70192425380000001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154.12104998731229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0.64</v>
      </c>
      <c r="C31" s="98">
        <v>0.95</v>
      </c>
      <c r="D31" s="56">
        <v>2.5851124882101071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2.4385423103594892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0.45500000000000002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0.42899999999999999</v>
      </c>
      <c r="C38" s="98">
        <v>0.95</v>
      </c>
      <c r="D38" s="56">
        <v>3.2209000111311989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205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2024-05-09T01:45:56Z</dcterms:modified>
</cp:coreProperties>
</file>