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2A7DA53-E558-4223-8737-9FEA8042A807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6" i="2"/>
  <c r="A35" i="2"/>
  <c r="A34" i="2"/>
  <c r="A33" i="2"/>
  <c r="A32" i="2"/>
  <c r="A28" i="2"/>
  <c r="A27" i="2"/>
  <c r="A26" i="2"/>
  <c r="A25" i="2"/>
  <c r="A24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15" i="2" l="1"/>
  <c r="A23" i="2"/>
  <c r="A31" i="2"/>
  <c r="A39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<sst xmlns="http://schemas.openxmlformats.org/spreadsheetml/2006/main" count="2101" uniqueCount="341">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</sst>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48375.50732421875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0.67868072509765598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101">
        <v>6.8990142437228216E-2</v>
      </c>
    </row>
    <row r="5" spans="1:8" ht="15.75" customHeight="1" x14ac:dyDescent="0.25">
      <c r="B5" s="19" t="s">
        <v>70</v>
      </c>
      <c r="C5" s="101">
        <v>2.154879078170566E-2</v>
      </c>
    </row>
    <row r="6" spans="1:8" ht="15.75" customHeight="1" x14ac:dyDescent="0.25">
      <c r="B6" s="19" t="s">
        <v>71</v>
      </c>
      <c r="C6" s="101">
        <v>0.1476192994640973</v>
      </c>
    </row>
    <row r="7" spans="1:8" ht="15.75" customHeight="1" x14ac:dyDescent="0.25">
      <c r="B7" s="19" t="s">
        <v>72</v>
      </c>
      <c r="C7" s="101">
        <v>0.4627929717863894</v>
      </c>
    </row>
    <row r="8" spans="1:8" ht="15.75" customHeight="1" x14ac:dyDescent="0.25">
      <c r="B8" s="19" t="s">
        <v>73</v>
      </c>
      <c r="C8" s="101">
        <v>8.2448451472156015E-3</v>
      </c>
    </row>
    <row r="9" spans="1:8" ht="15.75" customHeight="1" x14ac:dyDescent="0.25">
      <c r="B9" s="19" t="s">
        <v>74</v>
      </c>
      <c r="C9" s="101">
        <v>0.21754911910386021</v>
      </c>
    </row>
    <row r="10" spans="1:8" ht="15.75" customHeight="1" x14ac:dyDescent="0.25">
      <c r="B10" s="19" t="s">
        <v>75</v>
      </c>
      <c r="C10" s="101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83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87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89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101">
        <v>8.3095249999999999E-3</v>
      </c>
    </row>
    <row r="28" spans="1:8" ht="15.75" customHeight="1" x14ac:dyDescent="0.25">
      <c r="B28" s="19" t="s">
        <v>93</v>
      </c>
      <c r="C28" s="101">
        <v>0.157741201</v>
      </c>
    </row>
    <row r="29" spans="1:8" ht="15.75" customHeight="1" x14ac:dyDescent="0.25">
      <c r="B29" s="19" t="s">
        <v>94</v>
      </c>
      <c r="C29" s="101">
        <v>0.16874623</v>
      </c>
    </row>
    <row r="30" spans="1:8" ht="15.75" customHeight="1" x14ac:dyDescent="0.25">
      <c r="B30" s="19" t="s">
        <v>95</v>
      </c>
      <c r="C30" s="101">
        <v>0.10641809300000001</v>
      </c>
    </row>
    <row r="31" spans="1:8" ht="15.75" customHeight="1" x14ac:dyDescent="0.25">
      <c r="B31" s="19" t="s">
        <v>96</v>
      </c>
      <c r="C31" s="101">
        <v>0.109242019</v>
      </c>
    </row>
    <row r="32" spans="1:8" ht="15.75" customHeight="1" x14ac:dyDescent="0.25">
      <c r="B32" s="19" t="s">
        <v>97</v>
      </c>
      <c r="C32" s="101">
        <v>1.8835845E-2</v>
      </c>
    </row>
    <row r="33" spans="2:3" ht="15.75" customHeight="1" x14ac:dyDescent="0.25">
      <c r="B33" s="19" t="s">
        <v>98</v>
      </c>
      <c r="C33" s="101">
        <v>8.4593191999999998E-2</v>
      </c>
    </row>
    <row r="34" spans="2:3" ht="15.75" customHeight="1" x14ac:dyDescent="0.25">
      <c r="B34" s="19" t="s">
        <v>99</v>
      </c>
      <c r="C34" s="101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50.717962815851763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39.716252809925493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299.77526795353111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1.028663060260697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0.10199999999999999</v>
      </c>
      <c r="C10" s="98">
        <v>0.95</v>
      </c>
      <c r="D10" s="56">
        <v>12.84855225372141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12.84855225372141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12.84855225372141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12.84855225372141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0.10199999999999999</v>
      </c>
      <c r="C14" s="98">
        <v>0.95</v>
      </c>
      <c r="D14" s="56">
        <v>12.84855225372141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12.84855225372141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0.55531805361675357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0.33777333333333298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6.3108300000000006E-2</v>
      </c>
      <c r="C18" s="98">
        <v>0.95</v>
      </c>
      <c r="D18" s="56">
        <v>6.9453945454574351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6.3108300000000006E-2</v>
      </c>
      <c r="C19" s="98">
        <v>0.95</v>
      </c>
      <c r="D19" s="56">
        <v>6.9453945454574351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9.4911885685343371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0.55416948499999996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0.10199999999999999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18.30380770317878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96.960746737260479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2.3752360395467411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1.1755235646488491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0.89980549999999992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2.5879090305551942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0.10464021985061334</v>
      </c>
      <c r="G18" s="90">
        <f>MIN(MAX(1-0.89/(1-frac_sam_12_23months+(frac_sam_12_23months*0.89)),0),1)</f>
        <v>0.10579430344369589</v>
      </c>
      <c r="H18" s="90">
        <f>MIN(MAX(1-0.89/(1-frac_sam_24_59months+(frac_sam_24_59months*0.89)),0),1)</f>
        <v>0.10797291671796916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9.970044044997084E-2</v>
      </c>
      <c r="G20" s="90">
        <f>MIN(MAX(1-0.89/(1-frac_mam_12_23months+(frac_mam_12_23months*0.89)),0),1)</f>
        <v>0.10176089059770355</v>
      </c>
      <c r="H20" s="90">
        <f>MIN(MAX(1-0.89/(1-frac_mam_24_59months+(frac_mam_24_59months*0.89)),0),1)</f>
        <v>0.10537269197979415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9.4609509190748398E-3</v>
      </c>
      <c r="G73" s="90">
        <f>MIN(MAX(1-0.99/(1-frac_sam_12_23months+(frac_sam_12_23months*0.99)),0),1)</f>
        <v>9.576524057445579E-3</v>
      </c>
      <c r="H73" s="90">
        <f>MIN(MAX(1-0.99/(1-frac_sam_24_59months+(frac_sam_24_59months*0.99)),0),1)</f>
        <v>9.7954376098877693E-3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8.9693148191467564E-3</v>
      </c>
      <c r="G75" s="90">
        <f>MIN(MAX(1-0.99/(1-frac_mam_12_23months+(frac_mam_12_23months*0.99)),0),1)</f>
        <v>9.1737849290419726E-3</v>
      </c>
      <c r="H75" s="90">
        <f>MIN(MAX(1-0.99/(1-frac_mam_24_59months+(frac_mam_24_59months*0.99)),0),1)</f>
        <v>9.5342712730064338E-3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0.19119702548901507</v>
      </c>
      <c r="G128" s="90">
        <f>MIN(MAX(1-0.8/(1-frac_sam_12_23months+(frac_sam_12_23months*0.8)),0),1)</f>
        <v>0.19309986478292651</v>
      </c>
      <c r="H128" s="90">
        <f>MIN(MAX(1-0.8/(1-frac_sam_24_59months+(frac_sam_24_59months*0.8)),0),1)</f>
        <v>0.19668091060796145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0.1830063125368252</v>
      </c>
      <c r="G130" s="90">
        <f>MIN(MAX(1-0.8/(1-frac_mam_12_23months+(frac_mam_12_23months*0.8)),0),1)</f>
        <v>0.18643188425466561</v>
      </c>
      <c r="H130" s="90">
        <f>MIN(MAX(1-0.8/(1-frac_mam_24_59months+(frac_mam_24_59months*0.8)),0),1)</f>
        <v>0.19240518690713748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2024-08-06T06:31:11Z</dcterms:modified>
</cp:coreProperties>
</file>