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03CF9D2-613A-4766-9830-02710D731FC4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I38" i="2"/>
  <c r="H38" i="2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22" i="2"/>
  <c r="A30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8" i="2"/>
  <c r="A15" i="2"/>
  <c r="A23" i="2"/>
  <c r="A31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<sst xmlns="http://schemas.openxmlformats.org/spreadsheetml/2006/main" count="2092" uniqueCount="341">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</sst>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48375.50732421875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0.67868072509765598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</v>
      </c>
    </row>
    <row r="24" spans="1:3" ht="15" customHeight="1" x14ac:dyDescent="0.25">
      <c r="B24" s="15" t="s">
        <v>22</v>
      </c>
      <c r="C24" s="45">
        <v>0.51100000000000001</v>
      </c>
    </row>
    <row r="25" spans="1:3" ht="15" customHeight="1" x14ac:dyDescent="0.25">
      <c r="B25" s="15" t="s">
        <v>23</v>
      </c>
      <c r="C25" s="45">
        <v>0.26350000000000001</v>
      </c>
    </row>
    <row r="26" spans="1:3" ht="15" customHeight="1" x14ac:dyDescent="0.25">
      <c r="B26" s="15" t="s">
        <v>24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8.3748699999999996</v>
      </c>
    </row>
    <row r="38" spans="1:5" ht="15" customHeight="1" x14ac:dyDescent="0.25">
      <c r="B38" s="11" t="s">
        <v>34</v>
      </c>
      <c r="C38" s="43">
        <v>11.663259999999999</v>
      </c>
      <c r="D38" s="12"/>
      <c r="E38" s="13"/>
    </row>
    <row r="39" spans="1:5" ht="15" customHeight="1" x14ac:dyDescent="0.25">
      <c r="B39" s="11" t="s">
        <v>35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7.9498999999999993E-3</v>
      </c>
      <c r="D45" s="12"/>
    </row>
    <row r="46" spans="1:5" ht="15.75" customHeight="1" x14ac:dyDescent="0.25">
      <c r="B46" s="11" t="s">
        <v>41</v>
      </c>
      <c r="C46" s="45">
        <v>8.5420099999999999E-2</v>
      </c>
      <c r="D46" s="12"/>
    </row>
    <row r="47" spans="1:5" ht="15.75" customHeight="1" x14ac:dyDescent="0.25">
      <c r="B47" s="11" t="s">
        <v>42</v>
      </c>
      <c r="C47" s="45">
        <v>7.3440500000000006E-2</v>
      </c>
      <c r="D47" s="12"/>
      <c r="E47" s="13"/>
    </row>
    <row r="48" spans="1:5" ht="15" customHeight="1" x14ac:dyDescent="0.25">
      <c r="B48" s="11" t="s">
        <v>43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0.478043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10976.56</v>
      </c>
      <c r="C2" s="49">
        <v>27000</v>
      </c>
      <c r="D2" s="49">
        <v>55000</v>
      </c>
      <c r="E2" s="49">
        <v>50000</v>
      </c>
      <c r="F2" s="49">
        <v>32000</v>
      </c>
      <c r="G2" s="17">
        <f t="shared" ref="G2:G13" si="0">C2+D2+E2+F2</f>
        <v>164000</v>
      </c>
      <c r="H2" s="17">
        <f t="shared" ref="H2:H13" si="1">(B2 + stillbirth*B2/(1000-stillbirth))/(1-abortion)</f>
        <v>12588.102681735332</v>
      </c>
      <c r="I2" s="17">
        <f t="shared" ref="I2:I13" si="2">G2-H2</f>
        <v>151411.89731826467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10896.802</v>
      </c>
      <c r="C3" s="50">
        <v>27000</v>
      </c>
      <c r="D3" s="50">
        <v>54000</v>
      </c>
      <c r="E3" s="50">
        <v>51000</v>
      </c>
      <c r="F3" s="50">
        <v>34000</v>
      </c>
      <c r="G3" s="17">
        <f t="shared" si="0"/>
        <v>166000</v>
      </c>
      <c r="H3" s="17">
        <f t="shared" si="1"/>
        <v>12496.634872723233</v>
      </c>
      <c r="I3" s="17">
        <f t="shared" si="2"/>
        <v>153503.36512727677</v>
      </c>
    </row>
    <row r="4" spans="1:9" ht="15.75" customHeight="1" x14ac:dyDescent="0.25">
      <c r="A4" s="5">
        <f t="shared" si="3"/>
        <v>2026</v>
      </c>
      <c r="B4" s="49">
        <v>10812.3078</v>
      </c>
      <c r="C4" s="50">
        <v>27000</v>
      </c>
      <c r="D4" s="50">
        <v>54000</v>
      </c>
      <c r="E4" s="50">
        <v>52000</v>
      </c>
      <c r="F4" s="50">
        <v>35000</v>
      </c>
      <c r="G4" s="17">
        <f t="shared" si="0"/>
        <v>168000</v>
      </c>
      <c r="H4" s="17">
        <f t="shared" si="1"/>
        <v>12399.735510299024</v>
      </c>
      <c r="I4" s="17">
        <f t="shared" si="2"/>
        <v>155600.26448970099</v>
      </c>
    </row>
    <row r="5" spans="1:9" ht="15.75" customHeight="1" x14ac:dyDescent="0.25">
      <c r="A5" s="5">
        <f t="shared" si="3"/>
        <v>2027</v>
      </c>
      <c r="B5" s="49">
        <v>10705.550999999999</v>
      </c>
      <c r="C5" s="50">
        <v>27000</v>
      </c>
      <c r="D5" s="50">
        <v>54000</v>
      </c>
      <c r="E5" s="50">
        <v>52000</v>
      </c>
      <c r="F5" s="50">
        <v>37000</v>
      </c>
      <c r="G5" s="17">
        <f t="shared" si="0"/>
        <v>170000</v>
      </c>
      <c r="H5" s="17">
        <f t="shared" si="1"/>
        <v>12277.305025668729</v>
      </c>
      <c r="I5" s="17">
        <f t="shared" si="2"/>
        <v>157722.69497433127</v>
      </c>
    </row>
    <row r="6" spans="1:9" ht="15.75" customHeight="1" x14ac:dyDescent="0.25">
      <c r="A6" s="5">
        <f t="shared" si="3"/>
        <v>2028</v>
      </c>
      <c r="B6" s="49">
        <v>10611.6932</v>
      </c>
      <c r="C6" s="50">
        <v>27000</v>
      </c>
      <c r="D6" s="50">
        <v>54000</v>
      </c>
      <c r="E6" s="50">
        <v>53000</v>
      </c>
      <c r="F6" s="50">
        <v>39000</v>
      </c>
      <c r="G6" s="17">
        <f t="shared" si="0"/>
        <v>173000</v>
      </c>
      <c r="H6" s="17">
        <f t="shared" si="1"/>
        <v>12169.66733008088</v>
      </c>
      <c r="I6" s="17">
        <f t="shared" si="2"/>
        <v>160830.33266991912</v>
      </c>
    </row>
    <row r="7" spans="1:9" ht="15.75" customHeight="1" x14ac:dyDescent="0.25">
      <c r="A7" s="5">
        <f t="shared" si="3"/>
        <v>2029</v>
      </c>
      <c r="B7" s="49">
        <v>10512.9802</v>
      </c>
      <c r="C7" s="50">
        <v>27000</v>
      </c>
      <c r="D7" s="50">
        <v>54000</v>
      </c>
      <c r="E7" s="50">
        <v>53000</v>
      </c>
      <c r="F7" s="50">
        <v>41000</v>
      </c>
      <c r="G7" s="17">
        <f t="shared" si="0"/>
        <v>175000</v>
      </c>
      <c r="H7" s="17">
        <f t="shared" si="1"/>
        <v>12056.46160988966</v>
      </c>
      <c r="I7" s="17">
        <f t="shared" si="2"/>
        <v>162943.53839011033</v>
      </c>
    </row>
    <row r="8" spans="1:9" ht="15.75" customHeight="1" x14ac:dyDescent="0.25">
      <c r="A8" s="5">
        <f t="shared" si="3"/>
        <v>2030</v>
      </c>
      <c r="B8" s="49">
        <v>10393.045</v>
      </c>
      <c r="C8" s="50">
        <v>27000</v>
      </c>
      <c r="D8" s="50">
        <v>53000</v>
      </c>
      <c r="E8" s="50">
        <v>54000</v>
      </c>
      <c r="F8" s="50">
        <v>43000</v>
      </c>
      <c r="G8" s="17">
        <f t="shared" si="0"/>
        <v>177000</v>
      </c>
      <c r="H8" s="17">
        <f t="shared" si="1"/>
        <v>11918.917915621651</v>
      </c>
      <c r="I8" s="17">
        <f t="shared" si="2"/>
        <v>165081.08208437834</v>
      </c>
    </row>
    <row r="9" spans="1:9" ht="15.75" customHeight="1" x14ac:dyDescent="0.25">
      <c r="A9" s="5">
        <f t="shared" si="3"/>
        <v>2031</v>
      </c>
      <c r="B9" s="49">
        <v>10309.685714285721</v>
      </c>
      <c r="C9" s="50">
        <v>27000</v>
      </c>
      <c r="D9" s="50">
        <v>52714.285714285717</v>
      </c>
      <c r="E9" s="50">
        <v>54571.428571428572</v>
      </c>
      <c r="F9" s="50">
        <v>44571.428571428572</v>
      </c>
      <c r="G9" s="17">
        <f t="shared" si="0"/>
        <v>178857.14285714287</v>
      </c>
      <c r="H9" s="17">
        <f t="shared" si="1"/>
        <v>11823.320091891132</v>
      </c>
      <c r="I9" s="17">
        <f t="shared" si="2"/>
        <v>167033.82276525174</v>
      </c>
    </row>
    <row r="10" spans="1:9" ht="15.75" customHeight="1" x14ac:dyDescent="0.25">
      <c r="A10" s="5">
        <f t="shared" si="3"/>
        <v>2032</v>
      </c>
      <c r="B10" s="49">
        <v>10225.811959183669</v>
      </c>
      <c r="C10" s="50">
        <v>27000</v>
      </c>
      <c r="D10" s="50">
        <v>52530.612244897973</v>
      </c>
      <c r="E10" s="50">
        <v>55081.632653061228</v>
      </c>
      <c r="F10" s="50">
        <v>46081.632653061228</v>
      </c>
      <c r="G10" s="17">
        <f t="shared" si="0"/>
        <v>180693.87755102041</v>
      </c>
      <c r="H10" s="17">
        <f t="shared" si="1"/>
        <v>11727.132266057961</v>
      </c>
      <c r="I10" s="17">
        <f t="shared" si="2"/>
        <v>168966.74528496247</v>
      </c>
    </row>
    <row r="11" spans="1:9" ht="15.75" customHeight="1" x14ac:dyDescent="0.25">
      <c r="A11" s="5">
        <f t="shared" si="3"/>
        <v>2033</v>
      </c>
      <c r="B11" s="49">
        <v>10142.026839067061</v>
      </c>
      <c r="C11" s="50">
        <v>27000</v>
      </c>
      <c r="D11" s="50">
        <v>52320.69970845482</v>
      </c>
      <c r="E11" s="50">
        <v>55521.86588921283</v>
      </c>
      <c r="F11" s="50">
        <v>47664.723032069967</v>
      </c>
      <c r="G11" s="17">
        <f t="shared" si="0"/>
        <v>182507.28862973762</v>
      </c>
      <c r="H11" s="17">
        <f t="shared" si="1"/>
        <v>11631.046088309251</v>
      </c>
      <c r="I11" s="17">
        <f t="shared" si="2"/>
        <v>170876.24254142836</v>
      </c>
    </row>
    <row r="12" spans="1:9" ht="15.75" customHeight="1" x14ac:dyDescent="0.25">
      <c r="A12" s="5">
        <f t="shared" si="3"/>
        <v>2034</v>
      </c>
      <c r="B12" s="49">
        <v>10061.523387505211</v>
      </c>
      <c r="C12" s="50">
        <v>27000</v>
      </c>
      <c r="D12" s="50">
        <v>52080.799666805513</v>
      </c>
      <c r="E12" s="50">
        <v>56024.989587671807</v>
      </c>
      <c r="F12" s="50">
        <v>49188.254893794263</v>
      </c>
      <c r="G12" s="17">
        <f t="shared" si="0"/>
        <v>184294.04414827155</v>
      </c>
      <c r="H12" s="17">
        <f t="shared" si="1"/>
        <v>11538.723382972179</v>
      </c>
      <c r="I12" s="17">
        <f t="shared" si="2"/>
        <v>172755.32076529937</v>
      </c>
    </row>
    <row r="13" spans="1:9" ht="15.75" customHeight="1" x14ac:dyDescent="0.25">
      <c r="A13" s="5">
        <f t="shared" si="3"/>
        <v>2035</v>
      </c>
      <c r="B13" s="49">
        <v>9982.9277000059501</v>
      </c>
      <c r="C13" s="50">
        <v>27000</v>
      </c>
      <c r="D13" s="50">
        <v>51806.628190634867</v>
      </c>
      <c r="E13" s="50">
        <v>56457.130957339214</v>
      </c>
      <c r="F13" s="50">
        <v>50643.719878622003</v>
      </c>
      <c r="G13" s="17">
        <f t="shared" si="0"/>
        <v>185907.47902659609</v>
      </c>
      <c r="H13" s="17">
        <f t="shared" si="1"/>
        <v>11448.588533385217</v>
      </c>
      <c r="I13" s="17">
        <f t="shared" si="2"/>
        <v>174458.89049321087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2.3714377321137239E-4</v>
      </c>
    </row>
    <row r="4" spans="1:8" ht="15.75" customHeight="1" x14ac:dyDescent="0.25">
      <c r="B4" s="19" t="s">
        <v>69</v>
      </c>
      <c r="C4" s="101">
        <v>6.8990142437228216E-2</v>
      </c>
    </row>
    <row r="5" spans="1:8" ht="15.75" customHeight="1" x14ac:dyDescent="0.25">
      <c r="B5" s="19" t="s">
        <v>70</v>
      </c>
      <c r="C5" s="101">
        <v>2.154879078170566E-2</v>
      </c>
    </row>
    <row r="6" spans="1:8" ht="15.75" customHeight="1" x14ac:dyDescent="0.25">
      <c r="B6" s="19" t="s">
        <v>71</v>
      </c>
      <c r="C6" s="101">
        <v>0.1476192994640973</v>
      </c>
    </row>
    <row r="7" spans="1:8" ht="15.75" customHeight="1" x14ac:dyDescent="0.25">
      <c r="B7" s="19" t="s">
        <v>72</v>
      </c>
      <c r="C7" s="101">
        <v>0.4627929717863894</v>
      </c>
    </row>
    <row r="8" spans="1:8" ht="15.75" customHeight="1" x14ac:dyDescent="0.25">
      <c r="B8" s="19" t="s">
        <v>73</v>
      </c>
      <c r="C8" s="101">
        <v>8.2448451472156015E-3</v>
      </c>
    </row>
    <row r="9" spans="1:8" ht="15.75" customHeight="1" x14ac:dyDescent="0.25">
      <c r="B9" s="19" t="s">
        <v>74</v>
      </c>
      <c r="C9" s="101">
        <v>0.21754911910386021</v>
      </c>
    </row>
    <row r="10" spans="1:8" ht="15.75" customHeight="1" x14ac:dyDescent="0.25">
      <c r="B10" s="19" t="s">
        <v>75</v>
      </c>
      <c r="C10" s="101">
        <v>7.3017687506292284E-2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83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87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89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8.8581064000000001E-2</v>
      </c>
    </row>
    <row r="27" spans="1:8" ht="15.75" customHeight="1" x14ac:dyDescent="0.25">
      <c r="B27" s="19" t="s">
        <v>92</v>
      </c>
      <c r="C27" s="101">
        <v>8.3095249999999999E-3</v>
      </c>
    </row>
    <row r="28" spans="1:8" ht="15.75" customHeight="1" x14ac:dyDescent="0.25">
      <c r="B28" s="19" t="s">
        <v>93</v>
      </c>
      <c r="C28" s="101">
        <v>0.157741201</v>
      </c>
    </row>
    <row r="29" spans="1:8" ht="15.75" customHeight="1" x14ac:dyDescent="0.25">
      <c r="B29" s="19" t="s">
        <v>94</v>
      </c>
      <c r="C29" s="101">
        <v>0.16874623</v>
      </c>
    </row>
    <row r="30" spans="1:8" ht="15.75" customHeight="1" x14ac:dyDescent="0.25">
      <c r="B30" s="19" t="s">
        <v>95</v>
      </c>
      <c r="C30" s="101">
        <v>0.10641809300000001</v>
      </c>
    </row>
    <row r="31" spans="1:8" ht="15.75" customHeight="1" x14ac:dyDescent="0.25">
      <c r="B31" s="19" t="s">
        <v>96</v>
      </c>
      <c r="C31" s="101">
        <v>0.109242019</v>
      </c>
    </row>
    <row r="32" spans="1:8" ht="15.75" customHeight="1" x14ac:dyDescent="0.25">
      <c r="B32" s="19" t="s">
        <v>97</v>
      </c>
      <c r="C32" s="101">
        <v>1.8835845E-2</v>
      </c>
    </row>
    <row r="33" spans="2:3" ht="15.75" customHeight="1" x14ac:dyDescent="0.25">
      <c r="B33" s="19" t="s">
        <v>98</v>
      </c>
      <c r="C33" s="101">
        <v>8.4593191999999998E-2</v>
      </c>
    </row>
    <row r="34" spans="2:3" ht="15.75" customHeight="1" x14ac:dyDescent="0.25">
      <c r="B34" s="19" t="s">
        <v>99</v>
      </c>
      <c r="C34" s="101">
        <v>0.25753283100000002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122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0.1354513749</v>
      </c>
      <c r="C2" s="98">
        <v>0.95</v>
      </c>
      <c r="D2" s="56">
        <v>50.717962815851763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39.716252809925493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299.77526795353111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0.9696135924787419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12.84855225372141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12.84855225372141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12.84855225372141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12.84855225372141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12.84855225372141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12.84855225372141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0.22250339999999999</v>
      </c>
      <c r="C16" s="98">
        <v>0.95</v>
      </c>
      <c r="D16" s="56">
        <v>0.55531805361675357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6.9453945454574351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6.9453945454574351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9.4911885685343371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22.086705401333919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4.1770706684296162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0.57994807749999999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0.1736695164</v>
      </c>
      <c r="C27" s="98">
        <v>0.95</v>
      </c>
      <c r="D27" s="56">
        <v>18.30380770317878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96.960746737260479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2.3752360395467411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6.3108300000000006E-2</v>
      </c>
      <c r="C32" s="98">
        <v>0.95</v>
      </c>
      <c r="D32" s="56">
        <v>1.1755235646488491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0.830453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2.5879090305551942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0.88542621448212644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2024-03-28T03:03:49Z</dcterms:modified>
</cp:coreProperties>
</file>