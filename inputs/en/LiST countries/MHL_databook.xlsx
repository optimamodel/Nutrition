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Tharindu Documents\WB_multi_country 2025_R1\Databooks_R1\"/>
    </mc:Choice>
  </mc:AlternateContent>
  <xr:revisionPtr revIDLastSave="0" documentId="8_{CEB5C720-A597-4659-B502-929E27076E77}" xr6:coauthVersionLast="47" xr6:coauthVersionMax="47" xr10:uidLastSave="{00000000-0000-0000-0000-000000000000}"/>
  <bookViews>
    <workbookView xWindow="-110" yWindow="-110" windowWidth="19420" windowHeight="10300" tabRatio="961" firstSheet="7" activeTab="10" xr2:uid="{00000000-000D-0000-FFFF-FFFF00000000}"/>
  </bookViews>
  <sheets>
    <sheet name="Baseline year population inputs" sheetId="1" r:id="rId1"/>
    <sheet name="Demographic projections" sheetId="2" r:id="rId2"/>
    <sheet name="Causes of death" sheetId="3" r:id="rId3"/>
    <sheet name="Nutritional status distribution" sheetId="4" r:id="rId4"/>
    <sheet name="Breastfeeding distribution" sheetId="5" r:id="rId5"/>
    <sheet name="Time trends" sheetId="6" r:id="rId6"/>
    <sheet name="Economic inputs" sheetId="7" r:id="rId7"/>
    <sheet name="IYCF packages" sheetId="8" r:id="rId8"/>
    <sheet name="Treatment of SAM" sheetId="9" r:id="rId9"/>
    <sheet name="Programs cost and coverage" sheetId="10" r:id="rId10"/>
    <sheet name="Program dependencies" sheetId="11" r:id="rId11"/>
    <sheet name="Reference programs" sheetId="12" state="hidden" r:id="rId12"/>
    <sheet name="Incidence of conditions" sheetId="13" state="hidden" r:id="rId13"/>
    <sheet name="Programs target population" sheetId="14" state="hidden" r:id="rId14"/>
    <sheet name="Cost curve options" sheetId="15" state="hidden" r:id="rId15"/>
    <sheet name="Programs family planning" sheetId="16" state="hidden" r:id="rId16"/>
    <sheet name="Programs impacted population" sheetId="17" state="hidden" r:id="rId17"/>
    <sheet name="Program risk areas" sheetId="18" state="hidden" r:id="rId18"/>
    <sheet name="Population risk areas" sheetId="19" state="hidden" r:id="rId19"/>
    <sheet name="IYCF odds ratios" sheetId="20" state="hidden" r:id="rId20"/>
    <sheet name="Odds ratios" sheetId="23" state="hidden" r:id="rId21"/>
    <sheet name="Programs birth outcomes" sheetId="24" state="hidden" r:id="rId22"/>
    <sheet name="Birth outcome risks" sheetId="21" state="hidden" r:id="rId23"/>
    <sheet name="Relative risks" sheetId="22" state="hidden" r:id="rId24"/>
    <sheet name="Programs anaemia" sheetId="25" state="hidden" r:id="rId25"/>
    <sheet name="Programs wasting" sheetId="26" state="hidden" r:id="rId26"/>
    <sheet name="Programs for children" sheetId="27" state="hidden" r:id="rId27"/>
    <sheet name="Programs for PW" sheetId="28" state="hidden" r:id="rId28"/>
  </sheets>
  <definedNames>
    <definedName name="abortion" localSheetId="7">'Baseline year population inputs'!$C$38</definedName>
    <definedName name="abortion">'Baseline year population inputs'!$C$41</definedName>
    <definedName name="comm_deliv">'Treatment of SAM'!$D$3</definedName>
    <definedName name="diarrhoea_1_5mo">'Baseline year population inputs'!$C$52</definedName>
    <definedName name="diarrhoea_12_23mo">'Baseline year population inputs'!$C$54</definedName>
    <definedName name="diarrhoea_1mo">'Baseline year population inputs'!$C$51</definedName>
    <definedName name="diarrhoea_24_59mo">'Baseline year population inputs'!$C$55</definedName>
    <definedName name="diarrhoea_6_11mo">'Baseline year population inputs'!$C$53</definedName>
    <definedName name="end_year">'Baseline year population inputs'!$C$4</definedName>
    <definedName name="famplan_unmet_need">'Baseline year population inputs'!$C$13</definedName>
    <definedName name="food_insecure">'Baseline year population inputs'!$C$8</definedName>
    <definedName name="frac_children_health_facility">'Baseline year population inputs'!$C$12</definedName>
    <definedName name="frac_diarrhea_severe">'Baseline year population inputs'!$C$58</definedName>
    <definedName name="frac_maize">'Baseline year population inputs'!$C$19</definedName>
    <definedName name="frac_malaria_risk">'Baseline year population inputs'!$C$9</definedName>
    <definedName name="frac_mam_1_5months">'Nutritional status distribution'!$D$10</definedName>
    <definedName name="frac_mam_12_23months">'Nutritional status distribution'!$F$10</definedName>
    <definedName name="frac_mam_1month">'Nutritional status distribution'!$C$10</definedName>
    <definedName name="frac_mam_24_59months">'Nutritional status distribution'!$G$10</definedName>
    <definedName name="frac_mam_6_11months">'Nutritional status distribution'!$E$10</definedName>
    <definedName name="frac_MAMtoSAM">'Baseline year population inputs'!#REF!</definedName>
    <definedName name="frac_other_staples">'Baseline year population inputs'!$C$20</definedName>
    <definedName name="frac_PW_health_facility">'Baseline year population inputs'!$C$11</definedName>
    <definedName name="frac_rice">'Baseline year population inputs'!$C$17</definedName>
    <definedName name="frac_sam_1_5months">'Nutritional status distribution'!$D$11</definedName>
    <definedName name="frac_sam_12_23months">'Nutritional status distribution'!$F$11</definedName>
    <definedName name="frac_sam_1month">'Nutritional status distribution'!$C$11</definedName>
    <definedName name="frac_sam_24_59months">'Nutritional status distribution'!$G$11</definedName>
    <definedName name="frac_sam_6_11months">'Nutritional status distribution'!$E$11</definedName>
    <definedName name="frac_SAMtoMAM">'Baseline year population inputs'!#REF!</definedName>
    <definedName name="frac_subsistence_farming">'Baseline year population inputs'!$C$16</definedName>
    <definedName name="frac_wheat">'Baseline year population inputs'!$C$18</definedName>
    <definedName name="infant_mortality">'Baseline year population inputs'!$C$38</definedName>
    <definedName name="iron_deficiency_anaemia">'Baseline year population inputs'!$C$59</definedName>
    <definedName name="manage_mam">'Treatment of SAM'!$D$2</definedName>
    <definedName name="maternal_mortality">'Baseline year population inputs'!$C$40</definedName>
    <definedName name="neonatal_mortality">'Baseline year population inputs'!$C$37</definedName>
    <definedName name="Percentage_of_pregnant_women_attending_health_facility">'Baseline year population inputs'!$C$11</definedName>
    <definedName name="preterm_AGA">'Baseline year population inputs'!$C$46</definedName>
    <definedName name="preterm_SGA">'Baseline year population inputs'!$C$45</definedName>
    <definedName name="school_attendance">'Baseline year population inputs'!$C$10</definedName>
    <definedName name="start_year">'Baseline year population inputs'!$C$3</definedName>
    <definedName name="stillbirth" localSheetId="7">'Baseline year population inputs'!$C$39</definedName>
    <definedName name="stillbirth">'Baseline year population inputs'!$C$42</definedName>
    <definedName name="term_AGA">'Baseline year population inputs'!$C$48</definedName>
    <definedName name="term_SGA">'Baseline year population inputs'!$C$47</definedName>
    <definedName name="U5_mortality">'Baseline year population inputs'!$C$39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0" i="25" l="1"/>
  <c r="N60" i="25"/>
  <c r="O60" i="25"/>
  <c r="L60" i="25"/>
  <c r="L14" i="25"/>
  <c r="O37" i="25"/>
  <c r="N37" i="25"/>
  <c r="M37" i="25"/>
  <c r="L37" i="25"/>
  <c r="H159" i="27"/>
  <c r="G159" i="27"/>
  <c r="F159" i="27"/>
  <c r="E159" i="27"/>
  <c r="D159" i="27"/>
  <c r="G158" i="27"/>
  <c r="E158" i="27"/>
  <c r="D158" i="27"/>
  <c r="H142" i="27"/>
  <c r="G142" i="27"/>
  <c r="F142" i="27"/>
  <c r="E142" i="27"/>
  <c r="H141" i="27"/>
  <c r="G141" i="27"/>
  <c r="F141" i="27"/>
  <c r="E141" i="27"/>
  <c r="D141" i="27"/>
  <c r="H140" i="27"/>
  <c r="G140" i="27"/>
  <c r="F140" i="27"/>
  <c r="E140" i="27"/>
  <c r="H139" i="27"/>
  <c r="G139" i="27"/>
  <c r="F139" i="27"/>
  <c r="E139" i="27"/>
  <c r="H138" i="27"/>
  <c r="G138" i="27"/>
  <c r="F138" i="27"/>
  <c r="E138" i="27"/>
  <c r="H137" i="27"/>
  <c r="G137" i="27"/>
  <c r="F137" i="27"/>
  <c r="E137" i="27"/>
  <c r="E136" i="27"/>
  <c r="D136" i="27"/>
  <c r="E135" i="27"/>
  <c r="D135" i="27"/>
  <c r="E134" i="27"/>
  <c r="D134" i="27"/>
  <c r="H133" i="27"/>
  <c r="G133" i="27"/>
  <c r="F133" i="27"/>
  <c r="E133" i="27"/>
  <c r="D133" i="27"/>
  <c r="H130" i="27"/>
  <c r="E130" i="27"/>
  <c r="D130" i="27"/>
  <c r="H129" i="27"/>
  <c r="G129" i="27"/>
  <c r="F129" i="27"/>
  <c r="E129" i="27"/>
  <c r="D129" i="27"/>
  <c r="H128" i="27"/>
  <c r="E128" i="27"/>
  <c r="D128" i="27"/>
  <c r="E118" i="27"/>
  <c r="D118" i="27"/>
  <c r="E117" i="27"/>
  <c r="D117" i="27"/>
  <c r="G116" i="27"/>
  <c r="F116" i="27"/>
  <c r="E116" i="27"/>
  <c r="D116" i="27"/>
  <c r="H101" i="27"/>
  <c r="H158" i="27" s="1"/>
  <c r="G101" i="27"/>
  <c r="F101" i="27"/>
  <c r="F158" i="27" s="1"/>
  <c r="E101" i="27"/>
  <c r="D101" i="27"/>
  <c r="H85" i="27"/>
  <c r="G85" i="27"/>
  <c r="F85" i="27"/>
  <c r="E85" i="27"/>
  <c r="H84" i="27"/>
  <c r="G84" i="27"/>
  <c r="F84" i="27"/>
  <c r="E84" i="27"/>
  <c r="D84" i="27"/>
  <c r="H83" i="27"/>
  <c r="G83" i="27"/>
  <c r="F83" i="27"/>
  <c r="E83" i="27"/>
  <c r="H82" i="27"/>
  <c r="G82" i="27"/>
  <c r="F82" i="27"/>
  <c r="E82" i="27"/>
  <c r="D82" i="27"/>
  <c r="D139" i="27" s="1"/>
  <c r="H81" i="27"/>
  <c r="G81" i="27"/>
  <c r="F81" i="27"/>
  <c r="E81" i="27"/>
  <c r="H80" i="27"/>
  <c r="G80" i="27"/>
  <c r="F80" i="27"/>
  <c r="E80" i="27"/>
  <c r="D80" i="27"/>
  <c r="D137" i="27" s="1"/>
  <c r="E79" i="27"/>
  <c r="D79" i="27"/>
  <c r="E78" i="27"/>
  <c r="D78" i="27"/>
  <c r="E77" i="27"/>
  <c r="D77" i="27"/>
  <c r="H76" i="27"/>
  <c r="G76" i="27"/>
  <c r="F76" i="27"/>
  <c r="E76" i="27"/>
  <c r="D76" i="27"/>
  <c r="H73" i="27"/>
  <c r="E73" i="27"/>
  <c r="D73" i="27"/>
  <c r="H72" i="27"/>
  <c r="G72" i="27"/>
  <c r="F72" i="27"/>
  <c r="E72" i="27"/>
  <c r="D72" i="27"/>
  <c r="H71" i="27"/>
  <c r="E71" i="27"/>
  <c r="D71" i="27"/>
  <c r="E61" i="27"/>
  <c r="D61" i="27"/>
  <c r="E60" i="27"/>
  <c r="D60" i="27"/>
  <c r="H59" i="27"/>
  <c r="H116" i="27" s="1"/>
  <c r="G59" i="27"/>
  <c r="F59" i="27"/>
  <c r="E59" i="27"/>
  <c r="D59" i="27"/>
  <c r="H16" i="14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B1" i="10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A1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A1" i="4"/>
  <c r="C35" i="3"/>
  <c r="F23" i="3"/>
  <c r="E23" i="3"/>
  <c r="D23" i="3"/>
  <c r="C23" i="3"/>
  <c r="C11" i="3"/>
  <c r="A1" i="3"/>
  <c r="H40" i="2"/>
  <c r="G40" i="2"/>
  <c r="A40" i="2"/>
  <c r="H39" i="2"/>
  <c r="G39" i="2"/>
  <c r="I39" i="2" s="1"/>
  <c r="H38" i="2"/>
  <c r="G38" i="2"/>
  <c r="A37" i="2"/>
  <c r="A36" i="2"/>
  <c r="A34" i="2"/>
  <c r="A31" i="2"/>
  <c r="A26" i="2"/>
  <c r="A24" i="2"/>
  <c r="A19" i="2"/>
  <c r="H13" i="2"/>
  <c r="G13" i="2"/>
  <c r="I13" i="2" s="1"/>
  <c r="H12" i="2"/>
  <c r="G12" i="2"/>
  <c r="H11" i="2"/>
  <c r="G11" i="2"/>
  <c r="H10" i="2"/>
  <c r="G10" i="2"/>
  <c r="H9" i="2"/>
  <c r="G9" i="2"/>
  <c r="H8" i="2"/>
  <c r="G8" i="2"/>
  <c r="I8" i="2" s="1"/>
  <c r="H7" i="2"/>
  <c r="G7" i="2"/>
  <c r="I7" i="2" s="1"/>
  <c r="H6" i="2"/>
  <c r="G6" i="2"/>
  <c r="H5" i="2"/>
  <c r="G5" i="2"/>
  <c r="H4" i="2"/>
  <c r="G4" i="2"/>
  <c r="H3" i="2"/>
  <c r="G3" i="2"/>
  <c r="H2" i="2"/>
  <c r="G2" i="2"/>
  <c r="I2" i="2" s="1"/>
  <c r="A2" i="2"/>
  <c r="A39" i="2" s="1"/>
  <c r="C33" i="1"/>
  <c r="C20" i="1"/>
  <c r="I6" i="2" l="1"/>
  <c r="I12" i="2"/>
  <c r="A35" i="2"/>
  <c r="I38" i="2"/>
  <c r="A22" i="2"/>
  <c r="I3" i="2"/>
  <c r="I9" i="2"/>
  <c r="A23" i="2"/>
  <c r="I4" i="2"/>
  <c r="A25" i="2"/>
  <c r="I11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37" authorId="1" shapeId="0" xr:uid="{B53E2CCE-449F-4B13-937B-3F8B887F6752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37" authorId="1" shapeId="0" xr:uid="{1148A5A1-251A-4064-B40F-0C873577904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37" authorId="1" shapeId="0" xr:uid="{15C867EE-F338-4C14-9C7D-F0E3CF1EF5FB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37" authorId="1" shapeId="0" xr:uid="{8E4E4ECE-5F5C-4FD8-8945-6257CBFF139B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E6EBA730-3C9A-42F5-8372-C12E3D2BCF23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AF9DB01E-B712-4A66-A517-1C057B372D4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207C9149-2C56-40E5-890F-83153B938A2F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39C4CB92-7EE0-4046-B67E-41191387FFA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E377B1E7-A333-4A74-97C3-029328512C07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200C4BAB-9EE2-447E-A6DD-80717CFE4AC8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9FC7E5D2-2D8B-4961-9B75-5691D4A68B0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D951D76C-28E5-48CE-899C-D128152950F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E9DCEC9B-12F6-42CF-8CD9-B1C5DD42DE71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9FD33C3F-D78F-4E9D-A67C-9D39AC73491A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3400288E-DF03-41FF-B1F2-3EB20AA1B927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9C325214-076C-49F4-9A1C-FDD39C7EF1F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9B6733C4-FA93-4154-8674-5B85D19B611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0607EB3C-B9C7-4D01-AE82-3B20B34591B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26DD0551-BD1F-450A-8953-951E786BA725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07B0F43C-E3A4-41A5-9220-14111D4DE5D5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BF774CA2-E4B3-46E6-A04D-901C8156EE77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DDFF231A-B050-4E30-B877-4FB8473D71B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0" shapeId="0" xr:uid="{0214BC76-CC8A-414C-8D7A-C51B3E742D6B}">
      <text>
        <r>
          <rPr>
            <b/>
            <sz val="9"/>
            <color indexed="81"/>
            <rFont val="Tahoma"/>
            <charset val="1"/>
          </rPr>
          <t>Tharindu Wickramaarachchi:</t>
        </r>
        <r>
          <rPr>
            <sz val="9"/>
            <color indexed="81"/>
            <rFont val="Tahoma"/>
            <charset val="1"/>
          </rPr>
          <t xml:space="preserve">
Until clear effect evidence is found, assume no effect</t>
        </r>
      </text>
    </comment>
    <comment ref="F20" authorId="1" shapeId="0" xr:uid="{408E5496-8B3D-4F1E-BD84-9A9255C25832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2" authorId="1" shapeId="0" xr:uid="{DF0EEE5A-AAEC-4832-9B3D-B069B0FD3D24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4" authorId="0" shapeId="0" xr:uid="{2A9C86D6-9952-4010-8EF5-ED482E1554FE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5A70274A-2FB2-4238-A065-120459AD1B15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0" shapeId="0" xr:uid="{385F9BE4-A3AC-4198-BAC3-722E7A520402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30" authorId="1" shapeId="0" xr:uid="{1E0B57C8-7A0A-48E3-A3E8-1E19A7175498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30" authorId="1" shapeId="0" xr:uid="{2AC9637A-4534-4154-9BD7-3AE7DD8CD9DD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30" authorId="1" shapeId="0" xr:uid="{01A3CEF9-0D30-4FDB-AF26-2DC31C7D29F6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30" authorId="1" shapeId="0" xr:uid="{E3448607-813B-4893-BFAF-1777B6724FB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30" authorId="1" shapeId="0" xr:uid="{CB33591A-EF28-41CE-A9F1-ECF332B1A04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5" authorId="0" shapeId="0" xr:uid="{652EDCEE-9F4F-4011-BE3F-87A81AEAB68F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5" authorId="0" shapeId="0" xr:uid="{F2E7DF39-BD3C-4774-9BD5-66837E9E22BF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5" authorId="0" shapeId="0" xr:uid="{84346A43-22E1-4209-86B7-5484553C9A3C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5" authorId="0" shapeId="0" xr:uid="{6AA73D8B-E906-4C63-9A89-433F265EDADB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5" authorId="0" shapeId="0" xr:uid="{D0DB495D-46B4-4957-B9C2-D1B5214046C5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6" authorId="0" shapeId="0" xr:uid="{E8F934AE-F36A-4978-A2B4-5231B12CD33F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6" authorId="0" shapeId="0" xr:uid="{53D9CECE-9FA0-4330-B76A-C6EEC6C1D659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6" authorId="0" shapeId="0" xr:uid="{9DC905D6-8DE5-4FE7-BE6F-D3E934A75201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6" authorId="0" shapeId="0" xr:uid="{ACC4B3F7-E558-402F-BE57-0C3DDC8060F5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6" authorId="0" shapeId="0" xr:uid="{955FA18E-86F7-422C-8CA5-A38FE4881347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9" authorId="0" shapeId="0" xr:uid="{33441C3A-E101-49E5-A4DB-504F222DBABB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9" authorId="0" shapeId="0" xr:uid="{9A6BDF27-568B-45B9-BE8D-362C80D286A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9" authorId="0" shapeId="0" xr:uid="{08FA6FC1-5E34-45F1-9F8B-4E7BAEF15D4E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9" authorId="0" shapeId="0" xr:uid="{E9730E75-4547-4DE1-A9F2-FCA6D5B0977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9" authorId="0" shapeId="0" xr:uid="{38945CFE-2923-4A7C-9E0E-820E103F12F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51" authorId="0" shapeId="0" xr:uid="{F76610CF-AE5A-4A2B-BD5A-C60057991BBE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51" authorId="0" shapeId="0" xr:uid="{8EC67AD9-5004-458A-B78A-27343190877D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51" authorId="0" shapeId="0" xr:uid="{8D6C5816-8BDB-4D07-A205-24F2394A459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51" authorId="0" shapeId="0" xr:uid="{B76A1BFB-64B6-4C17-9732-138D8EB4934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51" authorId="0" shapeId="0" xr:uid="{962C7931-87AA-452E-BF56-06BF5EBED30C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3" authorId="0" shapeId="0" xr:uid="{25F108DC-6C32-4B96-9492-1B12A3709CE9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3" authorId="0" shapeId="0" xr:uid="{8B1376CD-B39F-49F6-BC5B-7A2858E0592C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3" authorId="0" shapeId="0" xr:uid="{048CF327-553B-4B14-8A84-22CC73D47D4A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3" authorId="0" shapeId="0" xr:uid="{1FFD936D-DA45-475C-9F30-391304B2787A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3" authorId="0" shapeId="0" xr:uid="{3CED59C7-FFD8-4D8E-9210-1FB3B9F5724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5" authorId="1" shapeId="0" xr:uid="{BFC97A30-BB96-4307-90EA-5BE03611C63A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60" authorId="0" shapeId="0" xr:uid="{51ED88B2-1E5E-47FC-9698-0E5AB645D504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60" authorId="0" shapeId="0" xr:uid="{561CB528-6BAE-4817-8CC0-243735B76FA1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60" authorId="0" shapeId="0" xr:uid="{E496632C-74C0-41C8-9AB4-0B4C87893674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61" authorId="0" shapeId="0" xr:uid="{FBF69FC4-CD17-4513-AF48-E695A29BF824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61" authorId="0" shapeId="0" xr:uid="{900E651E-9020-4856-BB60-BF507FACE1CC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61" authorId="0" shapeId="0" xr:uid="{49F9B2F7-6FD6-4FDF-921C-425B5CDD5155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3" authorId="1" shapeId="0" xr:uid="{4AC52846-7242-459E-9C8D-BF78F201C11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B7E52F08-0E63-474C-A17D-FB71B12C1A4F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329CDC5B-FBD8-45AA-9D30-2F9915F0B0DB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5" authorId="1" shapeId="0" xr:uid="{74D24310-E8B6-4724-B08F-C246A0B86F17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7" authorId="1" shapeId="0" xr:uid="{7026E01B-E53C-4032-904B-4C8C6143328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56E6B52D-1C74-48A6-AB95-D033A5B5881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1" shapeId="0" xr:uid="{A2996F6D-43C2-499B-8B4D-F7E66869236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9" authorId="1" shapeId="0" xr:uid="{1BA30CAA-FFAB-42ED-B857-7C2DBF6DD53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71" authorId="0" shapeId="0" xr:uid="{234E5DD0-50F5-435F-A2AD-FDCE2659B3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71" authorId="0" shapeId="0" xr:uid="{81B268C8-266C-41E0-8968-7FD59EF44415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3" authorId="0" shapeId="0" xr:uid="{D68CDFE1-6866-4AC0-B4D7-B34E1A995637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3" authorId="0" shapeId="0" xr:uid="{6447B983-C337-44DD-BE06-3BF10916980C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7" authorId="1" shapeId="0" xr:uid="{42AC3582-1D7E-471B-A6C7-CD7E77F8588B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9" authorId="1" shapeId="0" xr:uid="{C499C901-0DF0-4641-8493-EE778DE73B96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81" authorId="0" shapeId="0" xr:uid="{080FF01F-34D3-44B7-835E-C7CC7A5B457C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0" shapeId="0" xr:uid="{B263C3DB-9806-4F53-B7FE-F5AB30086A04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5" authorId="0" shapeId="0" xr:uid="{FF88E7CE-1D54-4693-9AC1-0680C2879226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7" authorId="1" shapeId="0" xr:uid="{F32BE7CD-2AAA-47AD-914F-4CAAC1FEDD3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7" authorId="1" shapeId="0" xr:uid="{BCFCAE2C-B071-4EBD-916E-9CB34A3AE95A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7" authorId="1" shapeId="0" xr:uid="{E2890E16-5EE9-49DE-B974-B3ADDC0025FE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7" authorId="1" shapeId="0" xr:uid="{FFC68E24-6D1B-4208-B66E-D8A12166F7E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7" authorId="1" shapeId="0" xr:uid="{AE98D75E-0886-4415-A5FC-355EDA6C4FF5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03" authorId="0" shapeId="0" xr:uid="{F3FF4EFF-507E-406A-9019-C50AD187D27F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03" authorId="0" shapeId="0" xr:uid="{DE5B9A2C-A2CF-41B4-A227-60CE716BCCA3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03" authorId="0" shapeId="0" xr:uid="{34EEDC69-740F-43FD-A983-6FB9711FB123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03" authorId="0" shapeId="0" xr:uid="{C1C7CF2A-6820-4496-B5B3-46A027800BF9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03" authorId="0" shapeId="0" xr:uid="{EBC10A23-30BF-4E42-8CA2-8EE10D6CA31A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6" authorId="0" shapeId="0" xr:uid="{C4570B06-D8B9-4BF0-8899-481D28F107D4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6" authorId="0" shapeId="0" xr:uid="{E10AAA50-CCAF-4DFB-8CEA-438EA6695142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6" authorId="0" shapeId="0" xr:uid="{0D2DBAA3-0B85-4069-9696-DDECC83557DF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6" authorId="0" shapeId="0" xr:uid="{E6F4F3F2-6816-43AD-9558-8D77B03CE641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6" authorId="0" shapeId="0" xr:uid="{994813E0-DC6E-4867-8FA2-13765D152F5E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8" authorId="0" shapeId="0" xr:uid="{6D709644-E2DA-4998-B8D6-CCE8241FA062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8" authorId="0" shapeId="0" xr:uid="{E0BF8484-6C50-4B90-B5C7-81D81EF18053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8" authorId="0" shapeId="0" xr:uid="{98B23DB2-DC71-4976-B9E0-A2E971751C4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8" authorId="0" shapeId="0" xr:uid="{EED7AE56-914C-4919-99D9-9B4DD94D01A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8" authorId="0" shapeId="0" xr:uid="{C946989D-0B8C-452F-9FD8-02724BD02182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10" authorId="0" shapeId="0" xr:uid="{E509D43A-5096-49C2-BA18-0C199C6BF4A8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10" authorId="0" shapeId="0" xr:uid="{7D8578B9-425B-43DC-B215-7EF10F08E80C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10" authorId="0" shapeId="0" xr:uid="{309E82E0-67AD-454E-9A05-4D9313B66A93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10" authorId="0" shapeId="0" xr:uid="{B9EF8017-E5A0-4B1E-9AF7-1E695ECA49AB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10" authorId="0" shapeId="0" xr:uid="{26E77479-1563-4266-B2C1-17AF174C957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12" authorId="1" shapeId="0" xr:uid="{09D666FE-E28F-48AE-ADF8-2D96C595DB94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7" authorId="0" shapeId="0" xr:uid="{B9267817-21CE-42E6-A675-E3EF4A926E99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7" authorId="0" shapeId="0" xr:uid="{D5F41D35-9589-4734-9273-1246C82D90D3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7" authorId="0" shapeId="0" xr:uid="{68C36586-6425-44D5-AE71-7B83AC0B0D8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8" authorId="0" shapeId="0" xr:uid="{EAF8C373-AE13-4606-898A-ED625C16452F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8" authorId="0" shapeId="0" xr:uid="{A99AB4B1-F894-4133-B7CD-69537AC87FC8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8" authorId="0" shapeId="0" xr:uid="{66812343-2E7C-44E8-B27C-8CF88CE05138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20" authorId="1" shapeId="0" xr:uid="{384DF3D1-4AA8-4943-A530-5AAE715E42E7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0" authorId="1" shapeId="0" xr:uid="{1DE26347-7149-43FD-858E-465A040CC0F3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2" authorId="1" shapeId="0" xr:uid="{B687D13E-D130-42E7-9D6A-3F80F0C7EF5D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2" authorId="1" shapeId="0" xr:uid="{9BC31D67-F810-46D7-B5A1-4288AAC1F5B6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4" authorId="1" shapeId="0" xr:uid="{64D245B3-8DA5-40BE-BC14-2456737D9F8E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4" authorId="1" shapeId="0" xr:uid="{5798986F-DE4D-469D-8D38-C4A25495415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6" authorId="1" shapeId="0" xr:uid="{1683DE01-9F25-40E0-AE29-34410454063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6" authorId="1" shapeId="0" xr:uid="{6E399964-9FF6-4F4D-B47E-AC805C54B9B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8" authorId="0" shapeId="0" xr:uid="{EFF89D0F-5E10-4447-B0BA-64F660AD6D14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8" authorId="0" shapeId="0" xr:uid="{E024415B-2F81-4A00-9886-75203AC76837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30" authorId="0" shapeId="0" xr:uid="{773BC8B9-C7FD-4E1D-BFAD-28167A2B0241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30" authorId="0" shapeId="0" xr:uid="{E0893EE6-8215-43BF-B8DC-C2BA125EF501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34" authorId="1" shapeId="0" xr:uid="{B0106407-B25E-404E-AE98-C6E846DE7439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6" authorId="1" shapeId="0" xr:uid="{B3781CC1-6735-4678-95E3-B6650A0CF979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8" authorId="0" shapeId="0" xr:uid="{550CF970-1632-472E-99A6-5157A6C70FB5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0" authorId="0" shapeId="0" xr:uid="{0F529DF4-B0D9-4A77-880D-52378457049B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2" authorId="0" shapeId="0" xr:uid="{0A749486-D0DA-44DD-A158-4937B013D9E1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4" authorId="1" shapeId="0" xr:uid="{65A87F96-9920-4AFF-9D42-432A9BC46A37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44" authorId="1" shapeId="0" xr:uid="{14AFEBEB-6E6D-485B-AD84-D77832449F6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44" authorId="1" shapeId="0" xr:uid="{C956521D-520C-46E0-BBF9-22BA4AB5823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44" authorId="1" shapeId="0" xr:uid="{889435D0-F1CE-49D5-B3FA-2C346C3DD8B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44" authorId="1" shapeId="0" xr:uid="{21DCB560-D7D0-454D-9256-2EB6BA5D9FA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60" authorId="0" shapeId="0" xr:uid="{2CA48B3A-F458-496E-A12E-9EDFF9710F14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60" authorId="0" shapeId="0" xr:uid="{D5130B5B-6564-4541-AFF7-B31DC2A99F0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60" authorId="0" shapeId="0" xr:uid="{A87CEC0D-D5EC-411A-9E0A-45792CF26B1E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60" authorId="0" shapeId="0" xr:uid="{F07A7990-2D7C-41E0-8069-25EED27A8B7D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60" authorId="0" shapeId="0" xr:uid="{B9A5DC53-F533-4CB3-94F1-5C0DF398AC61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63" authorId="0" shapeId="0" xr:uid="{F61BC170-6314-4BE8-BD27-ACBE21EC6D83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63" authorId="0" shapeId="0" xr:uid="{F2F9EF38-F3FC-4F8C-BAEA-4602406D7D4B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63" authorId="0" shapeId="0" xr:uid="{03156B19-EF6A-4B80-952F-EA4B39906AB2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63" authorId="0" shapeId="0" xr:uid="{6C70B7FC-07DB-4AA6-AD5D-BA8D185F69A2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63" authorId="0" shapeId="0" xr:uid="{ECCF229F-BC05-441A-A8EC-996A647C989C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65" authorId="0" shapeId="0" xr:uid="{853363A1-995D-434E-99B9-CBFFCC587E17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65" authorId="0" shapeId="0" xr:uid="{D7049EC9-BADF-40DE-979A-0A74E0293BB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65" authorId="0" shapeId="0" xr:uid="{C916B5A2-27DC-436D-B575-9210A24C214D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65" authorId="0" shapeId="0" xr:uid="{D9F9FF7F-8008-4D79-ABB3-028FF22CD559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65" authorId="0" shapeId="0" xr:uid="{D7D5CD6A-B8A4-4771-AAA0-5113E0A3BC1F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7" authorId="0" shapeId="0" xr:uid="{06B708C5-CF4C-4BD9-A112-999F5C5817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7" authorId="0" shapeId="0" xr:uid="{652C7700-A4E9-41DE-B7A6-091614D48006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7" authorId="0" shapeId="0" xr:uid="{C648195E-E2CA-46F6-BED8-ABE76E4EB10D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7" authorId="0" shapeId="0" xr:uid="{876F0647-9D39-464F-9AEF-66CCB9E7BEE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7" authorId="0" shapeId="0" xr:uid="{A2FD75B6-2FF3-4112-A257-87C89428A222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9" authorId="1" shapeId="0" xr:uid="{17B0E3BD-602F-47AD-8FDA-505C553A7C4F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<sst xmlns="http://schemas.openxmlformats.org/spreadsheetml/2006/main" count="2169" uniqueCount="373">
  <si>
    <t>Baseline year data</t>
  </si>
  <si>
    <t>Field</t>
  </si>
  <si>
    <t>Data</t>
  </si>
  <si>
    <t>Projection years</t>
  </si>
  <si>
    <t>Baseline year (projection start year)</t>
  </si>
  <si>
    <t>End year</t>
  </si>
  <si>
    <t>Population data</t>
  </si>
  <si>
    <t>Children under 5 population</t>
  </si>
  <si>
    <t>Percentage of population food insecure (default poor)</t>
  </si>
  <si>
    <t>Percentage of population at risk of malaria</t>
  </si>
  <si>
    <t>School attendance (percentage of 15-19 year women)</t>
  </si>
  <si>
    <t>Percentage of pregnant women attending health facility</t>
  </si>
  <si>
    <t>Percentage of children attending health facility</t>
  </si>
  <si>
    <t>Unmet need for family planning</t>
  </si>
  <si>
    <t>Food</t>
  </si>
  <si>
    <t>Fraction of subsistence farming</t>
  </si>
  <si>
    <t>Fraction eating rice as main staple food</t>
  </si>
  <si>
    <t>Fraction eating wheat as main staple food</t>
  </si>
  <si>
    <t>Fraction eating maize as main staple food</t>
  </si>
  <si>
    <t>Fraction on other staples as main staple food</t>
  </si>
  <si>
    <t>Age distribution of pregnant women</t>
  </si>
  <si>
    <t>Percentage of pregnant women 15-19 years</t>
  </si>
  <si>
    <t>Percentage of pregnant women 20-29 years</t>
  </si>
  <si>
    <t>Percentage of pregnant women 30-39 years</t>
  </si>
  <si>
    <t>Percentage of pregnant women 40-49 years</t>
  </si>
  <si>
    <t>Birth spacing</t>
  </si>
  <si>
    <t>First birth</t>
  </si>
  <si>
    <t>less than 18 months</t>
  </si>
  <si>
    <t>18-23 months</t>
  </si>
  <si>
    <t>24 months or greater</t>
  </si>
  <si>
    <t>Total (must be 100%)</t>
  </si>
  <si>
    <t>Baseline year mortality and risk factors</t>
  </si>
  <si>
    <t>Mortality</t>
  </si>
  <si>
    <t>Neonatal mortality (per 1,000 live births)</t>
  </si>
  <si>
    <t>Infant mortality (per 1,000 live births)</t>
  </si>
  <si>
    <t>Under 5 mortality (per 1,000 live births)</t>
  </si>
  <si>
    <t>Maternal mortality (per 1,000 live births)</t>
  </si>
  <si>
    <t>Fraction of pregnancies ending in spontaneous abortion</t>
  </si>
  <si>
    <t>Stillbirths (per 1,000 total births)</t>
  </si>
  <si>
    <t>Birth outcome distribution</t>
  </si>
  <si>
    <t>Pre-term SGA</t>
  </si>
  <si>
    <t>Pre-term AGA</t>
  </si>
  <si>
    <t>Term SGA</t>
  </si>
  <si>
    <t>Term AGA</t>
  </si>
  <si>
    <t>Diarrhoea incidence</t>
  </si>
  <si>
    <t>Average episodes per year: &lt;1 month</t>
  </si>
  <si>
    <t>Average episodes per year: 1-5 months</t>
  </si>
  <si>
    <t>Average episodes per year: 6-11 months</t>
  </si>
  <si>
    <t>Average episodes per year: 12-23 months</t>
  </si>
  <si>
    <t>Average episodes per year: 24-59 months</t>
  </si>
  <si>
    <t>Other risks</t>
  </si>
  <si>
    <t>Percentage of diarrhea that is severe</t>
  </si>
  <si>
    <t>Percentage of anaemia that is iron deficient</t>
  </si>
  <si>
    <t>Prevalence of pre-eclampsia</t>
  </si>
  <si>
    <t>Prevalence of eclampsia</t>
  </si>
  <si>
    <t>Low birth weight</t>
  </si>
  <si>
    <t>year</t>
  </si>
  <si>
    <t>Number of births</t>
  </si>
  <si>
    <t>WRA: 15-19 years</t>
  </si>
  <si>
    <t>WRA: 20-29 years</t>
  </si>
  <si>
    <t>WRA: 30-39 years</t>
  </si>
  <si>
    <t>WRA: 40-49 years</t>
  </si>
  <si>
    <t>Total WRA</t>
  </si>
  <si>
    <t>Estimated pregnant women</t>
  </si>
  <si>
    <t>non-pregnant WRA</t>
  </si>
  <si>
    <t>Neonatal</t>
  </si>
  <si>
    <t>Causes</t>
  </si>
  <si>
    <t>&lt;1 month</t>
  </si>
  <si>
    <t>Neonatal diarrhoea</t>
  </si>
  <si>
    <t>Neonatal sepsis</t>
  </si>
  <si>
    <t>Neonatal pneumonia</t>
  </si>
  <si>
    <t>Neonatal asphyxia</t>
  </si>
  <si>
    <t>Neonatal prematurity</t>
  </si>
  <si>
    <t>Neonatal tetanus</t>
  </si>
  <si>
    <t>Neonatal congenital anomalies</t>
  </si>
  <si>
    <t>Neonatal other</t>
  </si>
  <si>
    <t>Children</t>
  </si>
  <si>
    <t>1-5 months</t>
  </si>
  <si>
    <t>6-11 months</t>
  </si>
  <si>
    <t>12-23 months</t>
  </si>
  <si>
    <t>24-59 months</t>
  </si>
  <si>
    <t>Diarrhoea</t>
  </si>
  <si>
    <t>Pneumonia</t>
  </si>
  <si>
    <t>Meningitis</t>
  </si>
  <si>
    <t>Measles</t>
  </si>
  <si>
    <t>Malaria</t>
  </si>
  <si>
    <t>Pertussis</t>
  </si>
  <si>
    <t>AIDS</t>
  </si>
  <si>
    <t>Injury</t>
  </si>
  <si>
    <t>Other</t>
  </si>
  <si>
    <t>Pregnant women</t>
  </si>
  <si>
    <t>Antepartum haemorrhage</t>
  </si>
  <si>
    <t>Intrapartum haemorrhage</t>
  </si>
  <si>
    <t>Postpartum haemorrhage</t>
  </si>
  <si>
    <t>Hypertensive disorders</t>
  </si>
  <si>
    <t>Sepsis</t>
  </si>
  <si>
    <t>Abortion</t>
  </si>
  <si>
    <t>Embolism</t>
  </si>
  <si>
    <t>Other direct causes</t>
  </si>
  <si>
    <t>Indirect causes</t>
  </si>
  <si>
    <t>Status</t>
  </si>
  <si>
    <t>Stunting (height-for-age)</t>
  </si>
  <si>
    <t>Normal (HAZ-score &gt; -1)</t>
  </si>
  <si>
    <t>Mild (HAZ-score between -2 and -1)</t>
  </si>
  <si>
    <t>Moderate (HAZ-score between -3 and -2)</t>
  </si>
  <si>
    <t>High (HAZ-score &lt; -3)</t>
  </si>
  <si>
    <t>Wasting (weight-for-height)</t>
  </si>
  <si>
    <t>Normal (WHZ-score &gt; -1)</t>
  </si>
  <si>
    <t>Mild (WHZ-score between -2 and -1)</t>
  </si>
  <si>
    <t>MAM (WHZ-score between -3 and -2)</t>
  </si>
  <si>
    <t>SAM (WHZ-score &lt; -3)</t>
  </si>
  <si>
    <t>Anaemia</t>
  </si>
  <si>
    <t>PW: 15-19 years</t>
  </si>
  <si>
    <t>PW: 20-29 years</t>
  </si>
  <si>
    <t>PW: 30-39 years</t>
  </si>
  <si>
    <t>PW: 40-49 years</t>
  </si>
  <si>
    <t>Prevalence of anaemia</t>
  </si>
  <si>
    <t>Prevalence of iron deficiency anaemia</t>
  </si>
  <si>
    <t>Breastfeeding</t>
  </si>
  <si>
    <t>Exclusive</t>
  </si>
  <si>
    <t>Predominant</t>
  </si>
  <si>
    <t>Partial</t>
  </si>
  <si>
    <t>None</t>
  </si>
  <si>
    <t>Risk</t>
  </si>
  <si>
    <t>Population</t>
  </si>
  <si>
    <t>Stunting prevalence (%)</t>
  </si>
  <si>
    <t>Children 0-59 months</t>
  </si>
  <si>
    <t>Wasting prevalence (%)</t>
  </si>
  <si>
    <t>Anaemia prevalence (%)</t>
  </si>
  <si>
    <t>Women of reproductive age</t>
  </si>
  <si>
    <t>Prevalence of age-appropriate breastfeeding</t>
  </si>
  <si>
    <t>Children 0-5 months</t>
  </si>
  <si>
    <t>Children 6-23 months</t>
  </si>
  <si>
    <t>Under five (deaths per 1,000 births)</t>
  </si>
  <si>
    <t>Maternal (deaths per 1,000 births)</t>
  </si>
  <si>
    <t>Cost</t>
  </si>
  <si>
    <t>IYCF package</t>
  </si>
  <si>
    <t>Target population</t>
  </si>
  <si>
    <t>Health facility</t>
  </si>
  <si>
    <t>Community</t>
  </si>
  <si>
    <t>Mass media</t>
  </si>
  <si>
    <t>IYCF 1</t>
  </si>
  <si>
    <t>x</t>
  </si>
  <si>
    <t>All</t>
  </si>
  <si>
    <t>IYCF 2</t>
  </si>
  <si>
    <t>IYCF 3</t>
  </si>
  <si>
    <t>Default</t>
  </si>
  <si>
    <t>Extension</t>
  </si>
  <si>
    <t>Add extension</t>
  </si>
  <si>
    <t>Program</t>
  </si>
  <si>
    <t>Treatment of SAM</t>
  </si>
  <si>
    <t>Management of MAM</t>
  </si>
  <si>
    <t>Delivery mode</t>
  </si>
  <si>
    <t>Community-based</t>
  </si>
  <si>
    <t>Saturation coverage of target population</t>
  </si>
  <si>
    <t>Unit cost (US$)</t>
  </si>
  <si>
    <t>Cost-coverage relationship</t>
  </si>
  <si>
    <t>Max-increase per annum</t>
  </si>
  <si>
    <t>Max-decrease per annum</t>
  </si>
  <si>
    <t>Balanced energy-protein supplementation</t>
  </si>
  <si>
    <t>Linear (constant marginal cost) [default]</t>
  </si>
  <si>
    <t>Calcium supplementation</t>
  </si>
  <si>
    <t>Cash transfers</t>
  </si>
  <si>
    <t>Delayed cord clamping</t>
  </si>
  <si>
    <t>Family planning</t>
  </si>
  <si>
    <t>IFA fortification of maize</t>
  </si>
  <si>
    <t>IFA fortification of rice</t>
  </si>
  <si>
    <t>IFA fortification of wheat flour</t>
  </si>
  <si>
    <t>IFAS (community)</t>
  </si>
  <si>
    <t>IFAS (health facility)</t>
  </si>
  <si>
    <t>IFAS (retailer)</t>
  </si>
  <si>
    <t>IFAS (school)</t>
  </si>
  <si>
    <t>IFAS for pregnant women (community)</t>
  </si>
  <si>
    <t>IFAS for pregnant women (health facility)</t>
  </si>
  <si>
    <t>IPTp</t>
  </si>
  <si>
    <t>Iron and iodine fortification of salt</t>
  </si>
  <si>
    <t>Kangaroo mother care</t>
  </si>
  <si>
    <t>Lipid-based nutrition supplements</t>
  </si>
  <si>
    <t>Long-lasting insecticide-treated bednets</t>
  </si>
  <si>
    <t>Mg for eclampsia</t>
  </si>
  <si>
    <t>Mg for pre-eclampsia</t>
  </si>
  <si>
    <t>Micronutrient powders</t>
  </si>
  <si>
    <t>Multiple micronutrient supplementation</t>
  </si>
  <si>
    <t>Oral rehydration salts</t>
  </si>
  <si>
    <t>Public provision of complementary foods</t>
  </si>
  <si>
    <t>Small quantity lipid-based nutrition supplements</t>
  </si>
  <si>
    <t>Vitamin A supplementation</t>
  </si>
  <si>
    <t>WASH: Handwashing</t>
  </si>
  <si>
    <t>WASH: Hygenic disposal</t>
  </si>
  <si>
    <t>WASH: Improved sanitation</t>
  </si>
  <si>
    <t>WASH: Improved water source</t>
  </si>
  <si>
    <t>WASH: Piped water</t>
  </si>
  <si>
    <t>Zinc for treatment + ORS</t>
  </si>
  <si>
    <t>Zinc supplementation</t>
  </si>
  <si>
    <t>Exclusion dependency</t>
  </si>
  <si>
    <t>Threshold dependency</t>
  </si>
  <si>
    <t>Condition</t>
  </si>
  <si>
    <t>MAM</t>
  </si>
  <si>
    <t>SAM</t>
  </si>
  <si>
    <t>Broad population group</t>
  </si>
  <si>
    <t>Non-pregnant WRA</t>
  </si>
  <si>
    <t>General population</t>
  </si>
  <si>
    <t>Curved with increasing marginal cost</t>
  </si>
  <si>
    <t>Curved with decreasing marginal cost</t>
  </si>
  <si>
    <t>S-shaped (decreasing then increasing marginal cost)</t>
  </si>
  <si>
    <t>Method</t>
  </si>
  <si>
    <t>Effectiveness</t>
  </si>
  <si>
    <t>Distribution</t>
  </si>
  <si>
    <t>Proportional Cost</t>
  </si>
  <si>
    <t>Condom</t>
  </si>
  <si>
    <t>Male sterilization</t>
  </si>
  <si>
    <t>Female sterilization</t>
  </si>
  <si>
    <t>Injectable</t>
  </si>
  <si>
    <t>Implant</t>
  </si>
  <si>
    <t>Pill</t>
  </si>
  <si>
    <t>Withdrawal</t>
  </si>
  <si>
    <t>Fertility awareness</t>
  </si>
  <si>
    <t>IUD</t>
  </si>
  <si>
    <t>Stunting</t>
  </si>
  <si>
    <t>Wasting prevention</t>
  </si>
  <si>
    <t>Wasting treatment</t>
  </si>
  <si>
    <t>Birth outcomes</t>
  </si>
  <si>
    <t>Birth number</t>
  </si>
  <si>
    <t>Age group</t>
  </si>
  <si>
    <t>Behaviour</t>
  </si>
  <si>
    <t>Odds ratio for correct breastfeeding</t>
  </si>
  <si>
    <t>Odds ratio for stunting</t>
  </si>
  <si>
    <t>Odds ratio for correct complementary feeding</t>
  </si>
  <si>
    <t>Lower bounds</t>
  </si>
  <si>
    <t>Odds ratio for correct breastfeeding - lower</t>
  </si>
  <si>
    <t>Odds ratio for stunting - lower</t>
  </si>
  <si>
    <t>Odds ratio for correct complementary feeding - lower</t>
  </si>
  <si>
    <t>Upper bounds</t>
  </si>
  <si>
    <t>Odds ratio for correct breastfeeding - upper</t>
  </si>
  <si>
    <t>Odds ratio for stunting - upper</t>
  </si>
  <si>
    <t>Odds ratio for correct complementary feeding - upper</t>
  </si>
  <si>
    <t>Maternal risk factors leading to birth outcomes</t>
  </si>
  <si>
    <t>Relative risk by birth spacing</t>
  </si>
  <si>
    <t>Odds ratios for women with maternal anaemia</t>
  </si>
  <si>
    <t>Risks for children who experience birth outcomes</t>
  </si>
  <si>
    <t>Odds ratios for conditions</t>
  </si>
  <si>
    <t>Stunting (HAZ-score &lt; -2)</t>
  </si>
  <si>
    <t>Relative risks of neonatal causes of death</t>
  </si>
  <si>
    <t>Relative risk by birth spacing - lower</t>
  </si>
  <si>
    <t>Odds ratios for women with maternal anaemia - lower</t>
  </si>
  <si>
    <t>Odds ratios for conditions - lower</t>
  </si>
  <si>
    <t>Stunting (HAZ-score &lt; -2)-l</t>
  </si>
  <si>
    <t>MAM (WHZ-score between -3 and -2)-l</t>
  </si>
  <si>
    <t>SAM (WHZ-score &lt; -3)-l</t>
  </si>
  <si>
    <t>Relative risks of neonatal causes of death - lower</t>
  </si>
  <si>
    <t>Relative risk by birth spacing - upper</t>
  </si>
  <si>
    <t>Odds ratios for women with maternal anaemia - upper</t>
  </si>
  <si>
    <t>Odds ratios for conditions - upper</t>
  </si>
  <si>
    <t>Stunting (HAZ-score &lt; -2)-u</t>
  </si>
  <si>
    <t>MAM (WHZ-score between -3 and -2)-u</t>
  </si>
  <si>
    <t>SAM (WHZ-score &lt; -3)-u</t>
  </si>
  <si>
    <t>Relative risks of neonatal causes of death - upper</t>
  </si>
  <si>
    <t>Relative risk of causes of death by height-for-age (stunting) distribution</t>
  </si>
  <si>
    <t>Cause of death</t>
  </si>
  <si>
    <t>HAZ status</t>
  </si>
  <si>
    <t>Normal</t>
  </si>
  <si>
    <t>Mild</t>
  </si>
  <si>
    <t>Moderate</t>
  </si>
  <si>
    <t>High</t>
  </si>
  <si>
    <t>Relative risk of causes of death by weight-for-height (wasting) distribution</t>
  </si>
  <si>
    <t>Wasting</t>
  </si>
  <si>
    <t>WHZ status</t>
  </si>
  <si>
    <t>Relative risk of causes of death by anaemia status</t>
  </si>
  <si>
    <t>Anaemia status</t>
  </si>
  <si>
    <t>Not anaemic</t>
  </si>
  <si>
    <t>Anaemic</t>
  </si>
  <si>
    <t>Relative risk of causes of death by breastfeeding status</t>
  </si>
  <si>
    <t>Breastfeeding status</t>
  </si>
  <si>
    <t>Relative risks of experiencing diarrhoea by breastfeeding status</t>
  </si>
  <si>
    <t>Odds ratios for stunting</t>
  </si>
  <si>
    <t>Given previous stunting (HAZ &lt; -2 in previous age band)</t>
  </si>
  <si>
    <t>N/A</t>
  </si>
  <si>
    <t>Diarrhoea (per additional episode)</t>
  </si>
  <si>
    <t>By program</t>
  </si>
  <si>
    <t>Odds ratios for correct breastfeeding by program</t>
  </si>
  <si>
    <t>Other odds ratios</t>
  </si>
  <si>
    <t>For SAM per additional episode of diarrhoea</t>
  </si>
  <si>
    <t>For MAM per additional episode of diarrhoea</t>
  </si>
  <si>
    <t>For anaemia per additional episode of severe diarrhoea</t>
  </si>
  <si>
    <t>Odds ratios for optimal birth spacing by program</t>
  </si>
  <si>
    <t>Given previous stunting (HAZ &lt; -2 in previous age band) - lower</t>
  </si>
  <si>
    <t>Diarrhoea (per additional episode) - lower</t>
  </si>
  <si>
    <t>By program - lower</t>
  </si>
  <si>
    <t>Public provision of complementary foods - lower</t>
  </si>
  <si>
    <t>Lipid-based nutrition supplements - lower</t>
  </si>
  <si>
    <t>Small quantity lipid-based nutrition supplements - lower</t>
  </si>
  <si>
    <t>Zinc supplementation - lower</t>
  </si>
  <si>
    <t>Odds ratios for correct breastfeeding by program - lower</t>
  </si>
  <si>
    <t>Kangaroo mother care - lower</t>
  </si>
  <si>
    <t>For SAM per additional episode of diarrhoea - lower</t>
  </si>
  <si>
    <t>For MAM per additional episode of diarrhoea - lower</t>
  </si>
  <si>
    <t>For anaemia per additional episode of severe diarrhoea - lower</t>
  </si>
  <si>
    <t>Odds ratios for optimal birth spacing by program - lower</t>
  </si>
  <si>
    <t>Family planning - lower</t>
  </si>
  <si>
    <t>Given previous stunting (HAZ &lt; -2 in previous age band) - upper</t>
  </si>
  <si>
    <t>Diarrhoea (per additional episode) - upper</t>
  </si>
  <si>
    <t>By program - upper</t>
  </si>
  <si>
    <t>Public provision of complementary foods - upper</t>
  </si>
  <si>
    <t>Lipid-based nutrition supplements - upper</t>
  </si>
  <si>
    <t>Small quantity lipid-based nutrition supplements - upper</t>
  </si>
  <si>
    <t>Zinc supplementation - upper</t>
  </si>
  <si>
    <t>Odds ratios for correct breastfeeding by program - upper</t>
  </si>
  <si>
    <t>Kangaroo mother care - upper</t>
  </si>
  <si>
    <t>For SAM per additional episode of diarrhoea - upper</t>
  </si>
  <si>
    <t>For MAM per additional episode of diarrhoea - upper</t>
  </si>
  <si>
    <t>For anaemia per additional episode of severe diarrhoea - upper</t>
  </si>
  <si>
    <t>Odds ratios for optimal birth spacing by program - upper</t>
  </si>
  <si>
    <t>Family planning - upper</t>
  </si>
  <si>
    <t>effectiveness</t>
  </si>
  <si>
    <t>affected fraction</t>
  </si>
  <si>
    <t>Relative risks of anaemia when receiving intervention</t>
  </si>
  <si>
    <t>Odds ratios of being anaemic when covered by intervention</t>
  </si>
  <si>
    <t>Relative risks of anaemia when receiving intervention - lower</t>
  </si>
  <si>
    <t>Odds ratios of being anaemic when covered by intervention - lower</t>
  </si>
  <si>
    <t>Relative risks of anaemia when receiving intervention - upper</t>
  </si>
  <si>
    <t>Odds ratios of being anaemic when covered by intervention - upper</t>
  </si>
  <si>
    <t>Odds ratio of SAM when covered by program</t>
  </si>
  <si>
    <t>Odds ratio of MAM when covered by program</t>
  </si>
  <si>
    <t>Lower bound</t>
  </si>
  <si>
    <t>Odds ratio of SAM when covered by program - lower</t>
  </si>
  <si>
    <t>Odds ratio of MAM when covered by program - lower</t>
  </si>
  <si>
    <t>Upper bound</t>
  </si>
  <si>
    <t>Odds ratio of SAM when covered by program - upper</t>
  </si>
  <si>
    <t>Odds ratio of MAM when covered by program - upper</t>
  </si>
  <si>
    <t>Targetted condition</t>
  </si>
  <si>
    <t>Outcome</t>
  </si>
  <si>
    <t>Affected fraction</t>
  </si>
  <si>
    <t>Effectiveness mortality</t>
  </si>
  <si>
    <t>Effectiveness incidence</t>
  </si>
  <si>
    <t>Parameter</t>
  </si>
  <si>
    <t>Value</t>
  </si>
  <si>
    <t>GDP per capita</t>
  </si>
  <si>
    <t>GDP growth rate per annum</t>
  </si>
  <si>
    <t>Labor share of GDP</t>
  </si>
  <si>
    <t>Discounting (costs)</t>
  </si>
  <si>
    <t>Discounting (benefits)</t>
  </si>
  <si>
    <t>Starting age for workforce productivity</t>
  </si>
  <si>
    <t>Ending age for workforce productivity</t>
  </si>
  <si>
    <t>Female labor force participation</t>
  </si>
  <si>
    <t>Percentage of lifetime earning actually realized</t>
  </si>
  <si>
    <t>Percentage reduction in lifetime earnings for a stunted individual</t>
  </si>
  <si>
    <t>Percentage loss in productivity due to childhood anemia</t>
  </si>
  <si>
    <t>Percentage loss in productivity due to low birth weight</t>
  </si>
  <si>
    <t>Percentage loss in productivity due to maternal anemia</t>
  </si>
  <si>
    <t>Percentage of pregnancy to apply maternal anemia productivity loss to</t>
  </si>
  <si>
    <t>Increase in IQ points due to early breastfeeding</t>
  </si>
  <si>
    <t>Increase in earnings due per one point increase in IQ</t>
  </si>
  <si>
    <t>Percentage of stillbirths to include in productivity loss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</si>
  <si>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</si>
  <si>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</si>
  <si>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</si>
  <si>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</si>
  <si>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</si>
  <si>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</si>
  <si>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</si>
  <si>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</si>
  <si>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</si>
  <si>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</si>
  <si>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</si>
  <si>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</si>
  <si>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</si>
  <si>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</si>
  <si>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</si>
  <si>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Number of people left alive (starting with 100,000 births)</t>
  </si>
  <si>
    <t>Stillbirths</t>
  </si>
  <si>
    <t>Cash transfers - lower</t>
  </si>
  <si>
    <t>Cash transfers - upper</t>
  </si>
  <si>
    <t>All causes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</si>
</sst>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  <numFmt numFmtId="169" formatCode="0.0000"/>
  </numFmts>
  <fonts count="24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6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69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2" fillId="6" borderId="0" xfId="4" applyFont="1" applyFill="1" applyAlignment="1">
      <alignment horizontal="left"/>
    </xf>
    <xf numFmtId="0" fontId="3" fillId="6" borderId="0" xfId="4" applyFont="1" applyFill="1" applyAlignment="1">
      <alignment horizontal="right"/>
    </xf>
    <xf numFmtId="0" fontId="5" fillId="6" borderId="0" xfId="3" applyFill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opLeftCell="A22" zoomScaleNormal="100" workbookViewId="0">
      <selection activeCell="E28" sqref="E28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0</v>
      </c>
      <c r="B1" s="29" t="s">
        <v>1</v>
      </c>
      <c r="C1" s="29" t="s">
        <v>2</v>
      </c>
    </row>
    <row r="2" spans="1:3" ht="15.9" customHeight="1" x14ac:dyDescent="0.3">
      <c r="A2" s="8" t="s">
        <v>3</v>
      </c>
      <c r="B2" s="29"/>
      <c r="C2" s="29"/>
    </row>
    <row r="3" spans="1:3" ht="15.9" customHeight="1" x14ac:dyDescent="0.3">
      <c r="A3" s="1"/>
      <c r="B3" s="5" t="s">
        <v>4</v>
      </c>
      <c r="C3" s="41">
        <v>2024</v>
      </c>
    </row>
    <row r="4" spans="1:3" ht="15.9" customHeight="1" x14ac:dyDescent="0.3">
      <c r="A4" s="1"/>
      <c r="B4" s="5" t="s">
        <v>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</v>
      </c>
    </row>
    <row r="7" spans="1:3" ht="15" customHeight="1" x14ac:dyDescent="0.25">
      <c r="B7" s="11" t="s">
        <v>7</v>
      </c>
      <c r="C7" s="43">
        <v>3702</v>
      </c>
    </row>
    <row r="8" spans="1:3" ht="15" customHeight="1" x14ac:dyDescent="0.25">
      <c r="B8" s="5" t="s">
        <v>8</v>
      </c>
      <c r="C8" s="44">
        <v>7.2000000000000008E-2</v>
      </c>
    </row>
    <row r="9" spans="1:3" ht="15" customHeight="1" x14ac:dyDescent="0.25">
      <c r="B9" s="5" t="s">
        <v>9</v>
      </c>
      <c r="C9" s="45">
        <v>0.9</v>
      </c>
    </row>
    <row r="10" spans="1:3" ht="15" customHeight="1" x14ac:dyDescent="0.25">
      <c r="B10" s="5" t="s">
        <v>10</v>
      </c>
      <c r="C10" s="45">
        <v>0.5842967</v>
      </c>
    </row>
    <row r="11" spans="1:3" ht="15" customHeight="1" x14ac:dyDescent="0.25">
      <c r="B11" s="5" t="s">
        <v>11</v>
      </c>
      <c r="C11" s="45">
        <v>1</v>
      </c>
    </row>
    <row r="12" spans="1:3" ht="15" customHeight="1" x14ac:dyDescent="0.25">
      <c r="B12" s="5" t="s">
        <v>12</v>
      </c>
      <c r="C12" s="45">
        <v>1</v>
      </c>
    </row>
    <row r="13" spans="1:3" ht="15" customHeight="1" x14ac:dyDescent="0.25">
      <c r="B13" s="5" t="s">
        <v>13</v>
      </c>
      <c r="C13" s="45">
        <v>8.1000000000000003E-2</v>
      </c>
    </row>
    <row r="14" spans="1:3" ht="15" customHeight="1" x14ac:dyDescent="0.25">
      <c r="B14" s="8"/>
    </row>
    <row r="15" spans="1:3" ht="15" customHeight="1" x14ac:dyDescent="0.3">
      <c r="A15" s="8" t="s">
        <v>14</v>
      </c>
      <c r="B15" s="14"/>
      <c r="C15" s="3"/>
    </row>
    <row r="16" spans="1:3" ht="15" customHeight="1" x14ac:dyDescent="0.25">
      <c r="B16" s="5" t="s">
        <v>15</v>
      </c>
      <c r="C16" s="45">
        <v>0.1</v>
      </c>
    </row>
    <row r="17" spans="1:3" ht="15" customHeight="1" x14ac:dyDescent="0.25">
      <c r="B17" s="5" t="s">
        <v>16</v>
      </c>
      <c r="C17" s="45">
        <v>0.01</v>
      </c>
    </row>
    <row r="18" spans="1:3" ht="15" customHeight="1" x14ac:dyDescent="0.25">
      <c r="B18" s="5" t="s">
        <v>17</v>
      </c>
      <c r="C18" s="45">
        <v>0.98</v>
      </c>
    </row>
    <row r="19" spans="1:3" ht="15" customHeight="1" x14ac:dyDescent="0.25">
      <c r="B19" s="5" t="s">
        <v>18</v>
      </c>
      <c r="C19" s="45">
        <v>0.01</v>
      </c>
    </row>
    <row r="20" spans="1:3" ht="15" customHeight="1" x14ac:dyDescent="0.25">
      <c r="B20" s="5" t="s">
        <v>19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20</v>
      </c>
    </row>
    <row r="23" spans="1:3" ht="15" customHeight="1" x14ac:dyDescent="0.25">
      <c r="B23" s="15" t="s">
        <v>21</v>
      </c>
      <c r="C23" s="45">
        <v>3.4700000000000002E-2</v>
      </c>
    </row>
    <row r="24" spans="1:3" ht="15" customHeight="1" x14ac:dyDescent="0.25">
      <c r="B24" s="15" t="s">
        <v>22</v>
      </c>
      <c r="C24" s="45">
        <v>0.47039999999999998</v>
      </c>
    </row>
    <row r="25" spans="1:3" ht="15" customHeight="1" x14ac:dyDescent="0.25">
      <c r="B25" s="15" t="s">
        <v>23</v>
      </c>
      <c r="C25" s="45">
        <v>0.44009999999999999</v>
      </c>
    </row>
    <row r="26" spans="1:3" ht="15" customHeight="1" x14ac:dyDescent="0.25">
      <c r="B26" s="15" t="s">
        <v>24</v>
      </c>
      <c r="C26" s="45">
        <v>5.4799999999999988E-2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25</v>
      </c>
      <c r="B28" s="15"/>
      <c r="C28" s="15"/>
    </row>
    <row r="29" spans="1:3" ht="14.25" customHeight="1" x14ac:dyDescent="0.25">
      <c r="B29" s="25" t="s">
        <v>26</v>
      </c>
      <c r="C29" s="45">
        <v>0.18152033947509999</v>
      </c>
    </row>
    <row r="30" spans="1:3" ht="14.25" customHeight="1" x14ac:dyDescent="0.25">
      <c r="B30" s="25" t="s">
        <v>27</v>
      </c>
      <c r="C30" s="97">
        <v>6.3697307314517504E-2</v>
      </c>
    </row>
    <row r="31" spans="1:3" ht="14.25" customHeight="1" x14ac:dyDescent="0.25">
      <c r="B31" s="25" t="s">
        <v>28</v>
      </c>
      <c r="C31" s="97">
        <v>0.122289508790448</v>
      </c>
    </row>
    <row r="32" spans="1:3" ht="14.25" customHeight="1" x14ac:dyDescent="0.25">
      <c r="B32" s="25" t="s">
        <v>29</v>
      </c>
      <c r="C32" s="97">
        <v>0.63249284441993503</v>
      </c>
    </row>
    <row r="33" spans="1:5" ht="13.25" customHeight="1" x14ac:dyDescent="0.25">
      <c r="B33" s="27" t="s">
        <v>30</v>
      </c>
      <c r="C33" s="48">
        <f>SUM(C29:C32)</f>
        <v>1.0000000000000004</v>
      </c>
    </row>
    <row r="34" spans="1:5" ht="15" customHeight="1" x14ac:dyDescent="0.25"/>
    <row r="35" spans="1:5" ht="15" customHeight="1" x14ac:dyDescent="0.3">
      <c r="A35" s="4" t="s">
        <v>31</v>
      </c>
    </row>
    <row r="36" spans="1:5" ht="15" customHeight="1" x14ac:dyDescent="0.25">
      <c r="A36" s="8" t="s">
        <v>32</v>
      </c>
      <c r="B36" s="5"/>
    </row>
    <row r="37" spans="1:5" ht="15" customHeight="1" x14ac:dyDescent="0.25">
      <c r="B37" s="11" t="s">
        <v>33</v>
      </c>
      <c r="C37" s="43">
        <v>33.42812</v>
      </c>
    </row>
    <row r="38" spans="1:5" ht="15" customHeight="1" x14ac:dyDescent="0.25">
      <c r="B38" s="11" t="s">
        <v>34</v>
      </c>
      <c r="C38" s="43">
        <v>61.631399999999999</v>
      </c>
      <c r="D38" s="12"/>
      <c r="E38" s="13"/>
    </row>
    <row r="39" spans="1:5" ht="15" customHeight="1" x14ac:dyDescent="0.25">
      <c r="B39" s="11" t="s">
        <v>35</v>
      </c>
      <c r="C39" s="43">
        <v>97.066919999999996</v>
      </c>
      <c r="D39" s="12"/>
      <c r="E39" s="12"/>
    </row>
    <row r="40" spans="1:5" ht="15" customHeight="1" x14ac:dyDescent="0.25">
      <c r="B40" s="11" t="s">
        <v>36</v>
      </c>
      <c r="C40" s="98">
        <v>4.4000000000000004</v>
      </c>
    </row>
    <row r="41" spans="1:5" ht="15" customHeight="1" x14ac:dyDescent="0.25">
      <c r="B41" s="11" t="s">
        <v>37</v>
      </c>
      <c r="C41" s="45">
        <v>0.12</v>
      </c>
    </row>
    <row r="42" spans="1:5" ht="15" customHeight="1" x14ac:dyDescent="0.25">
      <c r="B42" s="11" t="s">
        <v>38</v>
      </c>
      <c r="C42" s="43">
        <v>23.383109999999999</v>
      </c>
    </row>
    <row r="43" spans="1:5" ht="15.75" customHeight="1" x14ac:dyDescent="0.25">
      <c r="D43" s="12"/>
    </row>
    <row r="44" spans="1:5" ht="15.75" customHeight="1" x14ac:dyDescent="0.25">
      <c r="A44" s="8" t="s">
        <v>39</v>
      </c>
      <c r="D44" s="12"/>
    </row>
    <row r="45" spans="1:5" ht="15.75" customHeight="1" x14ac:dyDescent="0.25">
      <c r="B45" s="11" t="s">
        <v>40</v>
      </c>
      <c r="C45" s="45">
        <v>5.2124000000000007E-3</v>
      </c>
      <c r="D45" s="12"/>
    </row>
    <row r="46" spans="1:5" ht="15.75" customHeight="1" x14ac:dyDescent="0.25">
      <c r="B46" s="11" t="s">
        <v>41</v>
      </c>
      <c r="C46" s="45">
        <v>5.6006399999999998E-2</v>
      </c>
      <c r="D46" s="12"/>
    </row>
    <row r="47" spans="1:5" ht="15.75" customHeight="1" x14ac:dyDescent="0.25">
      <c r="B47" s="11" t="s">
        <v>42</v>
      </c>
      <c r="C47" s="45">
        <v>7.6044899999999999E-2</v>
      </c>
      <c r="D47" s="12"/>
      <c r="E47" s="13"/>
    </row>
    <row r="48" spans="1:5" ht="15" customHeight="1" x14ac:dyDescent="0.25">
      <c r="B48" s="11" t="s">
        <v>43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45</v>
      </c>
      <c r="C51" s="98">
        <v>3.3</v>
      </c>
      <c r="D51" s="12"/>
    </row>
    <row r="52" spans="1:4" ht="15" customHeight="1" x14ac:dyDescent="0.25">
      <c r="B52" s="11" t="s">
        <v>46</v>
      </c>
      <c r="C52" s="98">
        <v>3.3</v>
      </c>
    </row>
    <row r="53" spans="1:4" ht="15.75" customHeight="1" x14ac:dyDescent="0.25">
      <c r="B53" s="11" t="s">
        <v>47</v>
      </c>
      <c r="C53" s="98">
        <v>3.3</v>
      </c>
    </row>
    <row r="54" spans="1:4" ht="15.75" customHeight="1" x14ac:dyDescent="0.25">
      <c r="B54" s="11" t="s">
        <v>48</v>
      </c>
      <c r="C54" s="98">
        <v>3.3</v>
      </c>
    </row>
    <row r="55" spans="1:4" ht="15.75" customHeight="1" x14ac:dyDescent="0.25">
      <c r="B55" s="11" t="s">
        <v>49</v>
      </c>
      <c r="C55" s="98">
        <v>3.3</v>
      </c>
    </row>
    <row r="57" spans="1:4" ht="15.75" customHeight="1" x14ac:dyDescent="0.25">
      <c r="A57" s="8" t="s">
        <v>50</v>
      </c>
    </row>
    <row r="58" spans="1:4" ht="15.75" customHeight="1" x14ac:dyDescent="0.25">
      <c r="B58" s="5" t="s">
        <v>51</v>
      </c>
      <c r="C58" s="45">
        <v>2.181818181818182E-2</v>
      </c>
    </row>
    <row r="59" spans="1:4" ht="15.75" customHeight="1" x14ac:dyDescent="0.25">
      <c r="B59" s="11" t="s">
        <v>52</v>
      </c>
      <c r="C59" s="45">
        <v>0.40586299999999997</v>
      </c>
    </row>
    <row r="60" spans="1:4" ht="15.75" customHeight="1" x14ac:dyDescent="0.25">
      <c r="B60" s="11" t="s">
        <v>53</v>
      </c>
      <c r="C60" s="45">
        <v>4.5999999999999999E-2</v>
      </c>
    </row>
    <row r="61" spans="1:4" ht="15.75" customHeight="1" x14ac:dyDescent="0.25">
      <c r="B61" s="11" t="s">
        <v>54</v>
      </c>
      <c r="C61" s="45">
        <v>1.4E-2</v>
      </c>
    </row>
    <row r="62" spans="1:4" ht="15.75" customHeight="1" x14ac:dyDescent="0.25">
      <c r="B62" s="11" t="s">
        <v>55</v>
      </c>
      <c r="C62" s="44">
        <v>0.14599999999999999</v>
      </c>
    </row>
    <row r="63" spans="1:4" ht="15.75" customHeight="1" x14ac:dyDescent="0.3">
      <c r="A63" s="4"/>
    </row>
  </sheetData>
  <sheetProtection algorithmName="SHA-512" hashValue="yhO3A/7ogScQKKv7lXUGC9CoVyICjceFFRjTsMohTK8bhTOO/yn0Gnugo/XyoVDeI5ka0GSLXjJ6Q2MNf7pyqg==" saltValue="fYAoZXD7m2jFSdfe+sbAm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56</v>
      </c>
      <c r="B1" s="20" t="s">
        <v>57</v>
      </c>
      <c r="C1" s="18" t="s">
        <v>58</v>
      </c>
      <c r="D1" s="18" t="s">
        <v>59</v>
      </c>
      <c r="E1" s="18" t="s">
        <v>60</v>
      </c>
      <c r="F1" s="18" t="s">
        <v>61</v>
      </c>
      <c r="G1" s="18" t="s">
        <v>62</v>
      </c>
      <c r="H1" s="18" t="s">
        <v>63</v>
      </c>
      <c r="I1" s="18" t="s">
        <v>64</v>
      </c>
    </row>
    <row r="2" spans="1:9" ht="15.75" customHeight="1" x14ac:dyDescent="0.25">
      <c r="A2" s="5">
        <f>start_year</f>
        <v>2024</v>
      </c>
      <c r="B2" s="49">
        <v>756</v>
      </c>
      <c r="C2" s="49">
        <v>2380</v>
      </c>
      <c r="D2" s="49">
        <v>2766</v>
      </c>
      <c r="E2" s="49">
        <v>2982.5</v>
      </c>
      <c r="F2" s="49">
        <v>2682.5</v>
      </c>
      <c r="G2" s="17">
        <f t="shared" ref="G2:G13" si="0">C2+D2+E2+F2</f>
        <v>10811</v>
      </c>
      <c r="H2" s="17">
        <f t="shared" ref="H2:H13" si="1">(B2 + stillbirth*B2/(1000-stillbirth))/(1-abortion)</f>
        <v>879.66009792325951</v>
      </c>
      <c r="I2" s="17">
        <f t="shared" ref="I2:I13" si="2">G2-H2</f>
        <v>9931.3399020767411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751</v>
      </c>
      <c r="C3" s="50">
        <v>2482</v>
      </c>
      <c r="D3" s="50">
        <v>2880.5</v>
      </c>
      <c r="E3" s="50">
        <v>2871</v>
      </c>
      <c r="F3" s="50">
        <v>2753.5</v>
      </c>
      <c r="G3" s="17">
        <f t="shared" si="0"/>
        <v>10987</v>
      </c>
      <c r="H3" s="17">
        <f t="shared" si="1"/>
        <v>873.84224013276173</v>
      </c>
      <c r="I3" s="17">
        <f t="shared" si="2"/>
        <v>10113.157759867237</v>
      </c>
    </row>
    <row r="4" spans="1:9" ht="15.75" customHeight="1" x14ac:dyDescent="0.25">
      <c r="A4" s="5">
        <f t="shared" si="3"/>
        <v>2026</v>
      </c>
      <c r="B4" s="49">
        <v>751</v>
      </c>
      <c r="C4" s="50">
        <v>2569.5</v>
      </c>
      <c r="D4" s="50">
        <v>2997</v>
      </c>
      <c r="E4" s="50">
        <v>2758</v>
      </c>
      <c r="F4" s="50">
        <v>2812.5</v>
      </c>
      <c r="G4" s="17">
        <f t="shared" si="0"/>
        <v>11137</v>
      </c>
      <c r="H4" s="17">
        <f t="shared" si="1"/>
        <v>873.84224013276173</v>
      </c>
      <c r="I4" s="17">
        <f t="shared" si="2"/>
        <v>10263.157759867237</v>
      </c>
    </row>
    <row r="5" spans="1:9" ht="15.75" customHeight="1" x14ac:dyDescent="0.25">
      <c r="A5" s="5">
        <f t="shared" si="3"/>
        <v>2027</v>
      </c>
      <c r="B5" s="49">
        <v>758</v>
      </c>
      <c r="C5" s="50">
        <v>2646</v>
      </c>
      <c r="D5" s="50">
        <v>3108</v>
      </c>
      <c r="E5" s="50">
        <v>2657.5</v>
      </c>
      <c r="F5" s="50">
        <v>2879</v>
      </c>
      <c r="G5" s="17">
        <f t="shared" si="0"/>
        <v>11290.5</v>
      </c>
      <c r="H5" s="17">
        <f t="shared" si="1"/>
        <v>881.98724103945858</v>
      </c>
      <c r="I5" s="17">
        <f t="shared" si="2"/>
        <v>10408.512758960542</v>
      </c>
    </row>
    <row r="6" spans="1:9" ht="15.75" customHeight="1" x14ac:dyDescent="0.25">
      <c r="A6" s="5">
        <f t="shared" si="3"/>
        <v>2028</v>
      </c>
      <c r="B6" s="49">
        <v>764</v>
      </c>
      <c r="C6" s="50">
        <v>2701.5</v>
      </c>
      <c r="D6" s="50">
        <v>3217.5</v>
      </c>
      <c r="E6" s="50">
        <v>2590.5</v>
      </c>
      <c r="F6" s="50">
        <v>2942.5</v>
      </c>
      <c r="G6" s="17">
        <f t="shared" si="0"/>
        <v>11452</v>
      </c>
      <c r="H6" s="17">
        <f t="shared" si="1"/>
        <v>888.96867038805578</v>
      </c>
      <c r="I6" s="17">
        <f t="shared" si="2"/>
        <v>10563.031329611944</v>
      </c>
    </row>
    <row r="7" spans="1:9" ht="15.75" customHeight="1" x14ac:dyDescent="0.25">
      <c r="A7" s="5">
        <f t="shared" si="3"/>
        <v>2029</v>
      </c>
      <c r="B7" s="49">
        <v>772</v>
      </c>
      <c r="C7" s="50">
        <v>2722</v>
      </c>
      <c r="D7" s="50">
        <v>3330.5</v>
      </c>
      <c r="E7" s="50">
        <v>2560</v>
      </c>
      <c r="F7" s="50">
        <v>2969.5</v>
      </c>
      <c r="G7" s="17">
        <f t="shared" si="0"/>
        <v>11582</v>
      </c>
      <c r="H7" s="17">
        <f t="shared" si="1"/>
        <v>898.27724285285228</v>
      </c>
      <c r="I7" s="17">
        <f t="shared" si="2"/>
        <v>10683.722757147149</v>
      </c>
    </row>
    <row r="8" spans="1:9" ht="15.75" customHeight="1" x14ac:dyDescent="0.25">
      <c r="A8" s="5">
        <f t="shared" si="3"/>
        <v>2030</v>
      </c>
      <c r="B8" s="49">
        <v>780</v>
      </c>
      <c r="C8" s="50">
        <v>2709.5</v>
      </c>
      <c r="D8" s="50">
        <v>3462</v>
      </c>
      <c r="E8" s="50">
        <v>2553</v>
      </c>
      <c r="F8" s="50">
        <v>2958</v>
      </c>
      <c r="G8" s="17">
        <f t="shared" si="0"/>
        <v>11682.5</v>
      </c>
      <c r="H8" s="17">
        <f t="shared" si="1"/>
        <v>907.58581531764855</v>
      </c>
      <c r="I8" s="17">
        <f t="shared" si="2"/>
        <v>10774.914184682351</v>
      </c>
    </row>
    <row r="9" spans="1:9" ht="15.75" customHeight="1" x14ac:dyDescent="0.25">
      <c r="A9" s="5">
        <f t="shared" si="3"/>
        <v>2031</v>
      </c>
      <c r="B9" s="49">
        <v>790</v>
      </c>
      <c r="C9" s="50">
        <v>2680</v>
      </c>
      <c r="D9" s="50">
        <v>3629.5</v>
      </c>
      <c r="E9" s="50">
        <v>2553</v>
      </c>
      <c r="F9" s="50">
        <v>2918.5</v>
      </c>
      <c r="G9" s="17">
        <f t="shared" si="0"/>
        <v>11781</v>
      </c>
      <c r="H9" s="17">
        <f t="shared" si="1"/>
        <v>919.22153089864412</v>
      </c>
      <c r="I9" s="17">
        <f t="shared" si="2"/>
        <v>10861.778469101357</v>
      </c>
    </row>
    <row r="10" spans="1:9" ht="15.75" customHeight="1" x14ac:dyDescent="0.25">
      <c r="A10" s="5">
        <f t="shared" si="3"/>
        <v>2032</v>
      </c>
      <c r="B10" s="49">
        <v>802</v>
      </c>
      <c r="C10" s="50">
        <v>2644</v>
      </c>
      <c r="D10" s="50">
        <v>3825.5</v>
      </c>
      <c r="E10" s="50">
        <v>2561.5</v>
      </c>
      <c r="F10" s="50">
        <v>2848</v>
      </c>
      <c r="G10" s="17">
        <f t="shared" si="0"/>
        <v>11879</v>
      </c>
      <c r="H10" s="17">
        <f t="shared" si="1"/>
        <v>933.18438959583875</v>
      </c>
      <c r="I10" s="17">
        <f t="shared" si="2"/>
        <v>10945.815610404161</v>
      </c>
    </row>
    <row r="11" spans="1:9" ht="15.75" customHeight="1" x14ac:dyDescent="0.25">
      <c r="A11" s="5">
        <f t="shared" si="3"/>
        <v>2033</v>
      </c>
      <c r="B11" s="49">
        <v>813</v>
      </c>
      <c r="C11" s="50">
        <v>2604</v>
      </c>
      <c r="D11" s="50">
        <v>4008.5</v>
      </c>
      <c r="E11" s="50">
        <v>2601.5</v>
      </c>
      <c r="F11" s="50">
        <v>2748</v>
      </c>
      <c r="G11" s="17">
        <f t="shared" si="0"/>
        <v>11962</v>
      </c>
      <c r="H11" s="17">
        <f t="shared" si="1"/>
        <v>945.98367673493374</v>
      </c>
      <c r="I11" s="17">
        <f t="shared" si="2"/>
        <v>11016.016323265067</v>
      </c>
    </row>
    <row r="12" spans="1:9" ht="15.75" customHeight="1" x14ac:dyDescent="0.25">
      <c r="A12" s="5">
        <f t="shared" si="3"/>
        <v>2034</v>
      </c>
      <c r="B12" s="49">
        <v>818</v>
      </c>
      <c r="C12" s="50">
        <v>2557</v>
      </c>
      <c r="D12" s="50">
        <v>4139</v>
      </c>
      <c r="E12" s="50">
        <v>2684</v>
      </c>
      <c r="F12" s="50">
        <v>2629</v>
      </c>
      <c r="G12" s="17">
        <f t="shared" si="0"/>
        <v>12009</v>
      </c>
      <c r="H12" s="17">
        <f t="shared" si="1"/>
        <v>951.80153452543152</v>
      </c>
      <c r="I12" s="17">
        <f t="shared" si="2"/>
        <v>11057.198465474568</v>
      </c>
    </row>
    <row r="13" spans="1:9" ht="15.75" customHeight="1" x14ac:dyDescent="0.25">
      <c r="A13" s="5">
        <f t="shared" si="3"/>
        <v>2035</v>
      </c>
      <c r="B13" s="49">
        <v>827</v>
      </c>
      <c r="C13" s="50">
        <v>2501.5</v>
      </c>
      <c r="D13" s="50">
        <v>4221.5</v>
      </c>
      <c r="E13" s="50">
        <v>2797</v>
      </c>
      <c r="F13" s="50">
        <v>2511</v>
      </c>
      <c r="G13" s="17">
        <f t="shared" si="0"/>
        <v>12031</v>
      </c>
      <c r="H13" s="17">
        <f t="shared" si="1"/>
        <v>962.27367854832744</v>
      </c>
      <c r="I13" s="17">
        <f t="shared" si="2"/>
        <v>11068.726321451673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wKxEoWv7nnHIidhOP9O7yQQ4/tikEcXr6gTA2GrtyLYFAb1ix6Ln3irIlHONZ8I1dXNIh1a5t0Hcu3pPb5ZHrw==" saltValue="PZemEz5qyqkMYDJdSEC/KA==" spinCount="100000" sheet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4" zoomScale="115" zoomScaleNormal="115" workbookViewId="0">
      <selection activeCell="E28" sqref="E28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"Percentage of deaths in baseline year ("&amp;start_year&amp;") attributable to cause"</f>
        <v>Percentage of deaths in baseline year (2024) attributable to cause</v>
      </c>
      <c r="B1" s="29"/>
      <c r="C1" s="29"/>
      <c r="D1" s="29"/>
      <c r="E1" s="29"/>
      <c r="F1" s="29"/>
    </row>
    <row r="2" spans="1:8" ht="27.75" customHeight="1" x14ac:dyDescent="0.3">
      <c r="A2" t="s">
        <v>65</v>
      </c>
      <c r="B2" s="29" t="s">
        <v>66</v>
      </c>
      <c r="C2" s="29" t="s">
        <v>67</v>
      </c>
      <c r="D2" s="29"/>
      <c r="E2" s="29"/>
      <c r="F2" s="29"/>
      <c r="G2" s="29"/>
    </row>
    <row r="3" spans="1:8" ht="15.75" customHeight="1" x14ac:dyDescent="0.25">
      <c r="B3" s="19" t="s">
        <v>68</v>
      </c>
      <c r="C3" s="55">
        <v>2.5390799999999981E-2</v>
      </c>
    </row>
    <row r="4" spans="1:8" ht="15.75" customHeight="1" x14ac:dyDescent="0.25">
      <c r="B4" s="19" t="s">
        <v>69</v>
      </c>
      <c r="C4" s="99">
        <v>6.3736599999999907E-2</v>
      </c>
    </row>
    <row r="5" spans="1:8" ht="15.75" customHeight="1" x14ac:dyDescent="0.25">
      <c r="B5" s="19" t="s">
        <v>70</v>
      </c>
      <c r="C5" s="99">
        <v>0.1035504000000001</v>
      </c>
    </row>
    <row r="6" spans="1:8" ht="15.75" customHeight="1" x14ac:dyDescent="0.25">
      <c r="B6" s="19" t="s">
        <v>71</v>
      </c>
      <c r="C6" s="99">
        <v>0.24952009999999991</v>
      </c>
    </row>
    <row r="7" spans="1:8" ht="15.75" customHeight="1" x14ac:dyDescent="0.25">
      <c r="B7" s="19" t="s">
        <v>72</v>
      </c>
      <c r="C7" s="99">
        <v>0.38443950000000021</v>
      </c>
    </row>
    <row r="8" spans="1:8" ht="15.75" customHeight="1" x14ac:dyDescent="0.25">
      <c r="B8" s="19" t="s">
        <v>73</v>
      </c>
      <c r="C8" s="99">
        <v>6.0205000000000067E-3</v>
      </c>
    </row>
    <row r="9" spans="1:8" ht="15.75" customHeight="1" x14ac:dyDescent="0.25">
      <c r="B9" s="19" t="s">
        <v>74</v>
      </c>
      <c r="C9" s="99">
        <v>5.4902399999999983E-2</v>
      </c>
    </row>
    <row r="10" spans="1:8" ht="15.75" customHeight="1" x14ac:dyDescent="0.25">
      <c r="B10" s="19" t="s">
        <v>75</v>
      </c>
      <c r="C10" s="99">
        <v>0.11243969999999991</v>
      </c>
    </row>
    <row r="11" spans="1:8" ht="15.75" customHeight="1" x14ac:dyDescent="0.25">
      <c r="B11" s="27" t="s">
        <v>30</v>
      </c>
      <c r="C11" s="48">
        <f>SUM(C3:C10)</f>
        <v>1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76</v>
      </c>
      <c r="B13" s="29" t="s">
        <v>66</v>
      </c>
      <c r="C13" s="100" t="s">
        <v>77</v>
      </c>
      <c r="D13" s="100" t="s">
        <v>78</v>
      </c>
      <c r="E13" s="100" t="s">
        <v>79</v>
      </c>
      <c r="F13" s="100" t="s">
        <v>80</v>
      </c>
      <c r="G13" s="19"/>
    </row>
    <row r="14" spans="1:8" ht="15.75" customHeight="1" x14ac:dyDescent="0.25">
      <c r="B14" s="19" t="s">
        <v>81</v>
      </c>
      <c r="C14" s="55">
        <v>0.1974429952143161</v>
      </c>
      <c r="D14" s="55">
        <v>0.1974429952143161</v>
      </c>
      <c r="E14" s="55">
        <v>0.1974429952143161</v>
      </c>
      <c r="F14" s="55">
        <v>0.1974429952143161</v>
      </c>
    </row>
    <row r="15" spans="1:8" ht="15.75" customHeight="1" x14ac:dyDescent="0.25">
      <c r="B15" s="19" t="s">
        <v>82</v>
      </c>
      <c r="C15" s="99">
        <v>0.2947634005842989</v>
      </c>
      <c r="D15" s="99">
        <v>0.2947634005842989</v>
      </c>
      <c r="E15" s="99">
        <v>0.2947634005842989</v>
      </c>
      <c r="F15" s="99">
        <v>0.2947634005842989</v>
      </c>
    </row>
    <row r="16" spans="1:8" ht="15.75" customHeight="1" x14ac:dyDescent="0.25">
      <c r="B16" s="19" t="s">
        <v>83</v>
      </c>
      <c r="C16" s="99">
        <v>3.2142176249219757E-2</v>
      </c>
      <c r="D16" s="99">
        <v>3.2142176249219757E-2</v>
      </c>
      <c r="E16" s="99">
        <v>3.2142176249219757E-2</v>
      </c>
      <c r="F16" s="99">
        <v>3.2142176249219757E-2</v>
      </c>
    </row>
    <row r="17" spans="1:8" ht="15.75" customHeight="1" x14ac:dyDescent="0.25">
      <c r="B17" s="19" t="s">
        <v>84</v>
      </c>
      <c r="C17" s="99">
        <v>3.1880501168348979E-2</v>
      </c>
      <c r="D17" s="99">
        <v>3.1880501168348979E-2</v>
      </c>
      <c r="E17" s="99">
        <v>3.1880501168348979E-2</v>
      </c>
      <c r="F17" s="99">
        <v>3.1880501168348979E-2</v>
      </c>
    </row>
    <row r="18" spans="1:8" ht="15.75" customHeight="1" x14ac:dyDescent="0.25">
      <c r="B18" s="19" t="s">
        <v>85</v>
      </c>
      <c r="C18" s="99">
        <v>0.16534944985290101</v>
      </c>
      <c r="D18" s="99">
        <v>0.16534944985290101</v>
      </c>
      <c r="E18" s="99">
        <v>0.16534944985290101</v>
      </c>
      <c r="F18" s="99">
        <v>0.16534944985290101</v>
      </c>
    </row>
    <row r="19" spans="1:8" ht="15.75" customHeight="1" x14ac:dyDescent="0.25">
      <c r="B19" s="19" t="s">
        <v>86</v>
      </c>
      <c r="C19" s="99">
        <v>1.8349752001866389E-2</v>
      </c>
      <c r="D19" s="99">
        <v>1.8349752001866389E-2</v>
      </c>
      <c r="E19" s="99">
        <v>1.8349752001866389E-2</v>
      </c>
      <c r="F19" s="99">
        <v>1.8349752001866389E-2</v>
      </c>
    </row>
    <row r="20" spans="1:8" ht="15.75" customHeight="1" x14ac:dyDescent="0.25">
      <c r="B20" s="19" t="s">
        <v>87</v>
      </c>
      <c r="C20" s="99">
        <v>1.5672880574274729E-2</v>
      </c>
      <c r="D20" s="99">
        <v>1.5672880574274729E-2</v>
      </c>
      <c r="E20" s="99">
        <v>1.5672880574274729E-2</v>
      </c>
      <c r="F20" s="99">
        <v>1.5672880574274729E-2</v>
      </c>
    </row>
    <row r="21" spans="1:8" ht="15.75" customHeight="1" x14ac:dyDescent="0.25">
      <c r="B21" s="19" t="s">
        <v>88</v>
      </c>
      <c r="C21" s="99">
        <v>7.5533540386639578E-2</v>
      </c>
      <c r="D21" s="99">
        <v>7.5533540386639578E-2</v>
      </c>
      <c r="E21" s="99">
        <v>7.5533540386639578E-2</v>
      </c>
      <c r="F21" s="99">
        <v>7.5533540386639578E-2</v>
      </c>
    </row>
    <row r="22" spans="1:8" ht="15.75" customHeight="1" x14ac:dyDescent="0.25">
      <c r="B22" s="19" t="s">
        <v>89</v>
      </c>
      <c r="C22" s="99">
        <v>0.16886530396813459</v>
      </c>
      <c r="D22" s="99">
        <v>0.16886530396813459</v>
      </c>
      <c r="E22" s="99">
        <v>0.16886530396813459</v>
      </c>
      <c r="F22" s="99">
        <v>0.16886530396813459</v>
      </c>
    </row>
    <row r="23" spans="1:8" ht="15.75" customHeight="1" x14ac:dyDescent="0.25">
      <c r="B23" s="27" t="s">
        <v>30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90</v>
      </c>
      <c r="B25" s="29" t="s">
        <v>66</v>
      </c>
      <c r="C25" s="29" t="s">
        <v>90</v>
      </c>
      <c r="D25" s="19"/>
      <c r="E25" s="19"/>
      <c r="F25" s="19"/>
      <c r="G25" s="19"/>
      <c r="H25" s="19"/>
    </row>
    <row r="26" spans="1:8" ht="15.75" customHeight="1" x14ac:dyDescent="0.25">
      <c r="B26" s="19" t="s">
        <v>91</v>
      </c>
      <c r="C26" s="55">
        <v>8.8798472000000003E-2</v>
      </c>
    </row>
    <row r="27" spans="1:8" ht="15.75" customHeight="1" x14ac:dyDescent="0.25">
      <c r="B27" s="19" t="s">
        <v>92</v>
      </c>
      <c r="C27" s="99">
        <v>8.9405939999999996E-3</v>
      </c>
    </row>
    <row r="28" spans="1:8" ht="15.75" customHeight="1" x14ac:dyDescent="0.25">
      <c r="B28" s="19" t="s">
        <v>93</v>
      </c>
      <c r="C28" s="99">
        <v>0.15585153099999999</v>
      </c>
    </row>
    <row r="29" spans="1:8" ht="15.75" customHeight="1" x14ac:dyDescent="0.25">
      <c r="B29" s="19" t="s">
        <v>94</v>
      </c>
      <c r="C29" s="99">
        <v>0.170199079</v>
      </c>
    </row>
    <row r="30" spans="1:8" ht="15.75" customHeight="1" x14ac:dyDescent="0.25">
      <c r="B30" s="19" t="s">
        <v>95</v>
      </c>
      <c r="C30" s="99">
        <v>0.10628299300000001</v>
      </c>
    </row>
    <row r="31" spans="1:8" ht="15.75" customHeight="1" x14ac:dyDescent="0.25">
      <c r="B31" s="19" t="s">
        <v>96</v>
      </c>
      <c r="C31" s="99">
        <v>0.108972139</v>
      </c>
    </row>
    <row r="32" spans="1:8" ht="15.75" customHeight="1" x14ac:dyDescent="0.25">
      <c r="B32" s="19" t="s">
        <v>97</v>
      </c>
      <c r="C32" s="99">
        <v>1.8807035E-2</v>
      </c>
    </row>
    <row r="33" spans="2:3" ht="15.75" customHeight="1" x14ac:dyDescent="0.25">
      <c r="B33" s="19" t="s">
        <v>98</v>
      </c>
      <c r="C33" s="99">
        <v>8.4353397999999996E-2</v>
      </c>
    </row>
    <row r="34" spans="2:3" ht="15.75" customHeight="1" x14ac:dyDescent="0.25">
      <c r="B34" s="19" t="s">
        <v>99</v>
      </c>
      <c r="C34" s="99">
        <v>0.25779475800000001</v>
      </c>
    </row>
    <row r="35" spans="2:3" ht="15.75" customHeight="1" x14ac:dyDescent="0.25">
      <c r="B35" s="27" t="s">
        <v>30</v>
      </c>
      <c r="C35" s="48">
        <f>SUM(C26:C34)</f>
        <v>0.99999999899999992</v>
      </c>
    </row>
  </sheetData>
  <sheetProtection algorithmName="SHA-512" hashValue="sadLWueMPDmmVn6pA3hrJfCDmcHMjth0IA+NA9TpB2oknhku+/645RXJMb8ll6atkV5VLDi27zVULFpTC00pqw==" saltValue="rtY/nqRgyaBwNxtbxiN70A==" spinCount="100000" sheet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"Percentage of population in each category in baseline year ("&amp;start_year&amp;")"</f>
        <v>Percentage of population in each category in baseline year (2024)</v>
      </c>
      <c r="B1" s="1" t="s">
        <v>100</v>
      </c>
      <c r="C1" s="11" t="s">
        <v>67</v>
      </c>
      <c r="D1" s="11" t="s">
        <v>77</v>
      </c>
      <c r="E1" s="11" t="s">
        <v>78</v>
      </c>
      <c r="F1" s="11" t="s">
        <v>79</v>
      </c>
      <c r="G1" s="11" t="s">
        <v>80</v>
      </c>
    </row>
    <row r="2" spans="1:15" ht="15.75" customHeight="1" x14ac:dyDescent="0.25">
      <c r="A2" s="3" t="s">
        <v>101</v>
      </c>
      <c r="B2" s="5" t="s">
        <v>102</v>
      </c>
      <c r="C2" s="52">
        <f>IFERROR(1-_xlfn.NORM.DIST(_xlfn.NORM.INV(SUM(C4:C5), 0, 1) + 1, 0, 1, TRUE), "")</f>
        <v>0.54739346550137002</v>
      </c>
      <c r="D2" s="52">
        <f>IFERROR(1-_xlfn.NORM.DIST(_xlfn.NORM.INV(SUM(D4:D5), 0, 1) + 1, 0, 1, TRUE), "")</f>
        <v>0.54739346550137002</v>
      </c>
      <c r="E2" s="52">
        <f>IFERROR(1-_xlfn.NORM.DIST(_xlfn.NORM.INV(SUM(E4:E5), 0, 1) + 1, 0, 1, TRUE), "")</f>
        <v>0.50953998493748198</v>
      </c>
      <c r="F2" s="52">
        <f>IFERROR(1-_xlfn.NORM.DIST(_xlfn.NORM.INV(SUM(F4:F5), 0, 1) + 1, 0, 1, TRUE), "")</f>
        <v>0.3111778409419268</v>
      </c>
      <c r="G2" s="52">
        <f>IFERROR(1-_xlfn.NORM.DIST(_xlfn.NORM.INV(SUM(G4:G5), 0, 1) + 1, 0, 1, TRUE), "")</f>
        <v>0.30991657300384834</v>
      </c>
    </row>
    <row r="3" spans="1:15" ht="15.75" customHeight="1" x14ac:dyDescent="0.25">
      <c r="B3" s="5" t="s">
        <v>103</v>
      </c>
      <c r="C3" s="52">
        <f>IFERROR(_xlfn.NORM.DIST(_xlfn.NORM.INV(SUM(C4:C5), 0, 1) + 1, 0, 1, TRUE) - SUM(C4:C5), "")</f>
        <v>0.32105323449862999</v>
      </c>
      <c r="D3" s="52">
        <f>IFERROR(_xlfn.NORM.DIST(_xlfn.NORM.INV(SUM(D4:D5), 0, 1) + 1, 0, 1, TRUE) - SUM(D4:D5), "")</f>
        <v>0.32105323449862999</v>
      </c>
      <c r="E3" s="52">
        <f>IFERROR(_xlfn.NORM.DIST(_xlfn.NORM.INV(SUM(E4:E5), 0, 1) + 1, 0, 1, TRUE) - SUM(E4:E5), "")</f>
        <v>0.33752241506251796</v>
      </c>
      <c r="F3" s="52">
        <f>IFERROR(_xlfn.NORM.DIST(_xlfn.NORM.INV(SUM(F4:F5), 0, 1) + 1, 0, 1, TRUE) - SUM(F4:F5), "")</f>
        <v>0.38291505905807321</v>
      </c>
      <c r="G3" s="52">
        <f>IFERROR(_xlfn.NORM.DIST(_xlfn.NORM.INV(SUM(G4:G5), 0, 1) + 1, 0, 1, TRUE) - SUM(G4:G5), "")</f>
        <v>0.38292222699615164</v>
      </c>
    </row>
    <row r="4" spans="1:15" ht="15.75" customHeight="1" x14ac:dyDescent="0.25">
      <c r="B4" s="5" t="s">
        <v>104</v>
      </c>
      <c r="C4" s="45">
        <v>7.3878100000000002E-2</v>
      </c>
      <c r="D4" s="53">
        <v>7.3878100000000002E-2</v>
      </c>
      <c r="E4" s="53">
        <v>0.1012653</v>
      </c>
      <c r="F4" s="53">
        <v>0.1960865</v>
      </c>
      <c r="G4" s="53">
        <v>0.18582750000000001</v>
      </c>
    </row>
    <row r="5" spans="1:15" ht="15.75" customHeight="1" x14ac:dyDescent="0.25">
      <c r="B5" s="5" t="s">
        <v>105</v>
      </c>
      <c r="C5" s="45">
        <v>5.7675200000000003E-2</v>
      </c>
      <c r="D5" s="53">
        <v>5.7675200000000003E-2</v>
      </c>
      <c r="E5" s="53">
        <v>5.1672299999999997E-2</v>
      </c>
      <c r="F5" s="53">
        <v>0.1098206</v>
      </c>
      <c r="G5" s="53">
        <v>0.1213337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106</v>
      </c>
      <c r="B8" s="5" t="s">
        <v>107</v>
      </c>
      <c r="C8" s="52">
        <f>IFERROR(1-_xlfn.NORM.DIST(_xlfn.NORM.INV(SUM(C10:C11), 0, 1) + 1, 0, 1, TRUE), "")</f>
        <v>0.61419750247711358</v>
      </c>
      <c r="D8" s="52">
        <f>IFERROR(1-_xlfn.NORM.DIST(_xlfn.NORM.INV(SUM(D10:D11), 0, 1) + 1, 0, 1, TRUE), "")</f>
        <v>0.61419750247711358</v>
      </c>
      <c r="E8" s="52">
        <f>IFERROR(1-_xlfn.NORM.DIST(_xlfn.NORM.INV(SUM(E10:E11), 0, 1) + 1, 0, 1, TRUE), "")</f>
        <v>0.49055498576664736</v>
      </c>
      <c r="F8" s="52">
        <f>IFERROR(1-_xlfn.NORM.DIST(_xlfn.NORM.INV(SUM(F10:F11), 0, 1) + 1, 0, 1, TRUE), "")</f>
        <v>0.5397151751639403</v>
      </c>
      <c r="G8" s="52">
        <f>IFERROR(1-_xlfn.NORM.DIST(_xlfn.NORM.INV(SUM(G10:G11), 0, 1) + 1, 0, 1, TRUE), "")</f>
        <v>0.71132217529866593</v>
      </c>
    </row>
    <row r="9" spans="1:15" ht="15.75" customHeight="1" x14ac:dyDescent="0.25">
      <c r="B9" s="5" t="s">
        <v>108</v>
      </c>
      <c r="C9" s="52">
        <f>IFERROR(_xlfn.NORM.DIST(_xlfn.NORM.INV(SUM(C10:C11), 0, 1) + 1, 0, 1, TRUE) - SUM(C10:C11), "")</f>
        <v>0.28732509752288643</v>
      </c>
      <c r="D9" s="52">
        <f>IFERROR(_xlfn.NORM.DIST(_xlfn.NORM.INV(SUM(D10:D11), 0, 1) + 1, 0, 1, TRUE) - SUM(D10:D11), "")</f>
        <v>0.28732509752288643</v>
      </c>
      <c r="E9" s="52">
        <f>IFERROR(_xlfn.NORM.DIST(_xlfn.NORM.INV(SUM(E10:E11), 0, 1) + 1, 0, 1, TRUE) - SUM(E10:E11), "")</f>
        <v>0.34499271423335265</v>
      </c>
      <c r="F9" s="52">
        <f>IFERROR(_xlfn.NORM.DIST(_xlfn.NORM.INV(SUM(F10:F11), 0, 1) + 1, 0, 1, TRUE) - SUM(F10:F11), "")</f>
        <v>0.32455692483605969</v>
      </c>
      <c r="G9" s="52">
        <f>IFERROR(_xlfn.NORM.DIST(_xlfn.NORM.INV(SUM(G10:G11), 0, 1) + 1, 0, 1, TRUE) - SUM(G10:G11), "")</f>
        <v>0.22897242470133408</v>
      </c>
    </row>
    <row r="10" spans="1:15" ht="15.75" customHeight="1" x14ac:dyDescent="0.25">
      <c r="B10" s="5" t="s">
        <v>109</v>
      </c>
      <c r="C10" s="45">
        <v>6.5348699999999996E-2</v>
      </c>
      <c r="D10" s="53">
        <v>6.5348699999999996E-2</v>
      </c>
      <c r="E10" s="53">
        <v>0.1254721</v>
      </c>
      <c r="F10" s="53">
        <v>9.1041399999999995E-2</v>
      </c>
      <c r="G10" s="53">
        <v>4.4466099999999988E-2</v>
      </c>
    </row>
    <row r="11" spans="1:15" ht="15.75" customHeight="1" x14ac:dyDescent="0.25">
      <c r="B11" s="5" t="s">
        <v>110</v>
      </c>
      <c r="C11" s="45">
        <v>3.3128699999999997E-2</v>
      </c>
      <c r="D11" s="53">
        <v>3.3128699999999997E-2</v>
      </c>
      <c r="E11" s="53">
        <v>3.89802E-2</v>
      </c>
      <c r="F11" s="53">
        <v>4.4686499999999997E-2</v>
      </c>
      <c r="G11" s="53">
        <v>1.5239300000000001E-2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111</v>
      </c>
      <c r="C13" s="11" t="s">
        <v>67</v>
      </c>
      <c r="D13" s="11" t="s">
        <v>77</v>
      </c>
      <c r="E13" s="11" t="s">
        <v>78</v>
      </c>
      <c r="F13" s="11" t="s">
        <v>79</v>
      </c>
      <c r="G13" s="11" t="s">
        <v>80</v>
      </c>
      <c r="H13" s="18" t="s">
        <v>112</v>
      </c>
      <c r="I13" s="18" t="s">
        <v>113</v>
      </c>
      <c r="J13" s="18" t="s">
        <v>114</v>
      </c>
      <c r="K13" s="18" t="s">
        <v>115</v>
      </c>
      <c r="L13" s="18" t="s">
        <v>58</v>
      </c>
      <c r="M13" s="18" t="s">
        <v>59</v>
      </c>
      <c r="N13" s="18" t="s">
        <v>60</v>
      </c>
      <c r="O13" s="18" t="s">
        <v>61</v>
      </c>
    </row>
    <row r="14" spans="1:15" ht="15.75" customHeight="1" x14ac:dyDescent="0.25">
      <c r="B14" s="11" t="s">
        <v>116</v>
      </c>
      <c r="C14" s="51">
        <v>0.55150138500000001</v>
      </c>
      <c r="D14" s="54">
        <v>0.53403163124999997</v>
      </c>
      <c r="E14" s="54">
        <v>0.53403163124999997</v>
      </c>
      <c r="F14" s="54">
        <v>0.32995192879599999</v>
      </c>
      <c r="G14" s="54">
        <v>0.32995192879599999</v>
      </c>
      <c r="H14" s="45">
        <v>0.58399999999999996</v>
      </c>
      <c r="I14" s="55">
        <v>0.58399999999999996</v>
      </c>
      <c r="J14" s="55">
        <v>0.58399999999999996</v>
      </c>
      <c r="K14" s="55">
        <v>0.58399999999999996</v>
      </c>
      <c r="L14" s="45">
        <v>0.503</v>
      </c>
      <c r="M14" s="55">
        <v>0.503</v>
      </c>
      <c r="N14" s="55">
        <v>0.503</v>
      </c>
      <c r="O14" s="55">
        <v>0.503</v>
      </c>
    </row>
    <row r="15" spans="1:15" ht="15.75" customHeight="1" x14ac:dyDescent="0.25">
      <c r="B15" s="11" t="s">
        <v>117</v>
      </c>
      <c r="C15" s="52">
        <f t="shared" ref="C15:O15" si="0">iron_deficiency_anaemia*C14</f>
        <v>0.22383400662025499</v>
      </c>
      <c r="D15" s="52">
        <f t="shared" si="0"/>
        <v>0.21674367995401872</v>
      </c>
      <c r="E15" s="52">
        <f t="shared" si="0"/>
        <v>0.21674367995401872</v>
      </c>
      <c r="F15" s="52">
        <f t="shared" si="0"/>
        <v>0.13391527967693093</v>
      </c>
      <c r="G15" s="52">
        <f t="shared" si="0"/>
        <v>0.13391527967693093</v>
      </c>
      <c r="H15" s="52">
        <f t="shared" si="0"/>
        <v>0.23702399199999996</v>
      </c>
      <c r="I15" s="52">
        <f t="shared" si="0"/>
        <v>0.23702399199999996</v>
      </c>
      <c r="J15" s="52">
        <f t="shared" si="0"/>
        <v>0.23702399199999996</v>
      </c>
      <c r="K15" s="52">
        <f t="shared" si="0"/>
        <v>0.23702399199999996</v>
      </c>
      <c r="L15" s="52">
        <f t="shared" si="0"/>
        <v>0.20414908899999998</v>
      </c>
      <c r="M15" s="52">
        <f t="shared" si="0"/>
        <v>0.20414908899999998</v>
      </c>
      <c r="N15" s="52">
        <f t="shared" si="0"/>
        <v>0.20414908899999998</v>
      </c>
      <c r="O15" s="52">
        <f t="shared" si="0"/>
        <v>0.20414908899999998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3xqyzchqVxS9zXO7znTyrqmG4eussISLX/4mg7LlMD/t3IsNh7m6SG4MjR9+VAYcXzElaKb7tc77YYjF5+e59A==" saltValue="FUkBI++HWGg/TA0T1/fuQ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E28" sqref="E28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"Percentage of children in each category in baseline year ("&amp;start_year&amp;")"</f>
        <v>Percentage of children in each category in baseline year (2024)</v>
      </c>
      <c r="B1" s="1" t="s">
        <v>100</v>
      </c>
      <c r="C1" s="8" t="s">
        <v>67</v>
      </c>
      <c r="D1" s="8" t="s">
        <v>77</v>
      </c>
      <c r="E1" s="8" t="s">
        <v>78</v>
      </c>
      <c r="F1" s="8" t="s">
        <v>79</v>
      </c>
      <c r="G1" s="8" t="s">
        <v>80</v>
      </c>
    </row>
    <row r="2" spans="1:7" x14ac:dyDescent="0.25">
      <c r="A2" s="3" t="s">
        <v>118</v>
      </c>
      <c r="B2" s="3" t="s">
        <v>119</v>
      </c>
      <c r="C2" s="45">
        <v>0.62072270000000007</v>
      </c>
      <c r="D2" s="53">
        <v>0.34721740000000001</v>
      </c>
      <c r="E2" s="53">
        <v>0</v>
      </c>
      <c r="F2" s="53">
        <v>0</v>
      </c>
      <c r="G2" s="53">
        <v>0</v>
      </c>
    </row>
    <row r="3" spans="1:7" x14ac:dyDescent="0.25">
      <c r="B3" s="3" t="s">
        <v>120</v>
      </c>
      <c r="C3" s="53">
        <v>0.26756039999999998</v>
      </c>
      <c r="D3" s="53">
        <v>0.48751299999999997</v>
      </c>
      <c r="E3" s="53">
        <v>0</v>
      </c>
      <c r="F3" s="53">
        <v>0</v>
      </c>
      <c r="G3" s="53">
        <v>0</v>
      </c>
    </row>
    <row r="4" spans="1:7" x14ac:dyDescent="0.25">
      <c r="B4" s="3" t="s">
        <v>121</v>
      </c>
      <c r="C4" s="53">
        <v>8.3577600000000002E-2</v>
      </c>
      <c r="D4" s="53">
        <v>0.1371406</v>
      </c>
      <c r="E4" s="53">
        <v>0.96463899999999991</v>
      </c>
      <c r="F4" s="53">
        <v>0.78567120000000001</v>
      </c>
      <c r="G4" s="53">
        <v>0</v>
      </c>
    </row>
    <row r="5" spans="1:7" x14ac:dyDescent="0.25">
      <c r="B5" s="3" t="s">
        <v>122</v>
      </c>
      <c r="C5" s="52">
        <f t="shared" ref="C5:D5" si="0">1-SUM(C2:C4)</f>
        <v>2.8139299999999978E-2</v>
      </c>
      <c r="D5" s="52">
        <f t="shared" si="0"/>
        <v>2.8129000000000071E-2</v>
      </c>
      <c r="E5" s="52">
        <f>1-SUM(E2:E4)</f>
        <v>3.5361000000000087E-2</v>
      </c>
      <c r="F5" s="52">
        <f>1-SUM(F2:F4)</f>
        <v>0.21432879999999999</v>
      </c>
      <c r="G5" s="52">
        <f>1-SUM(G2:G4)</f>
        <v>1</v>
      </c>
    </row>
  </sheetData>
  <sheetProtection algorithmName="SHA-512" hashValue="IB7MiHBWLHOD3n7SGNliWu2mGupPPVbe8KE+glKDhHOozsWhuk+He47LNdLk+tDUQGoZE97I8w1Jq70fVdZv9A==" saltValue="YOkiaLUiL7Hr3xSbyfJV+g==" spinCount="100000" sheet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123</v>
      </c>
      <c r="B1" s="4" t="s">
        <v>124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125</v>
      </c>
      <c r="B2" s="9" t="s">
        <v>126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127</v>
      </c>
      <c r="B4" s="9" t="s">
        <v>126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128</v>
      </c>
      <c r="B6" s="9" t="s">
        <v>126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90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129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130</v>
      </c>
      <c r="B10" s="11" t="s">
        <v>131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132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32</v>
      </c>
      <c r="B13" s="11" t="s">
        <v>133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134</v>
      </c>
      <c r="C14" s="23"/>
      <c r="D14" s="23"/>
      <c r="E14" s="23"/>
      <c r="F14" s="23"/>
      <c r="G14" s="23"/>
      <c r="H14" s="23"/>
      <c r="I14" s="23"/>
      <c r="J14" s="23"/>
      <c r="K14" s="23"/>
    </row>
  </sheetData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opLeftCell="B9" workbookViewId="0">
      <selection activeCell="Q18" sqref="Q18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3" t="s">
        <v>334</v>
      </c>
      <c r="B1" s="103" t="s">
        <v>335</v>
      </c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</row>
    <row r="2" spans="1:15" x14ac:dyDescent="0.25">
      <c r="A2" t="s">
        <v>336</v>
      </c>
      <c r="B2" s="107">
        <v>6225.1792224411502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</row>
    <row r="3" spans="1:15" x14ac:dyDescent="0.25">
      <c r="A3" t="s">
        <v>337</v>
      </c>
      <c r="B3" s="108">
        <v>0.03</v>
      </c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</row>
    <row r="4" spans="1:15" x14ac:dyDescent="0.25">
      <c r="A4" t="s">
        <v>338</v>
      </c>
      <c r="B4" s="108">
        <v>0.48199999999999998</v>
      </c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</row>
    <row r="5" spans="1:15" x14ac:dyDescent="0.25">
      <c r="A5" t="s">
        <v>339</v>
      </c>
      <c r="B5" s="108">
        <v>0.03</v>
      </c>
      <c r="C5" s="104"/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</row>
    <row r="6" spans="1:15" x14ac:dyDescent="0.25">
      <c r="A6" t="s">
        <v>340</v>
      </c>
      <c r="B6" s="108">
        <v>0.03</v>
      </c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</row>
    <row r="7" spans="1:15" x14ac:dyDescent="0.25">
      <c r="A7" t="s">
        <v>341</v>
      </c>
      <c r="B7" s="109">
        <v>18</v>
      </c>
      <c r="C7" s="104"/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</row>
    <row r="8" spans="1:15" x14ac:dyDescent="0.25">
      <c r="A8" t="s">
        <v>342</v>
      </c>
      <c r="B8" s="109">
        <v>65</v>
      </c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/>
    </row>
    <row r="9" spans="1:15" x14ac:dyDescent="0.25">
      <c r="A9" t="s">
        <v>343</v>
      </c>
      <c r="B9" s="108">
        <v>0.74736999999999998</v>
      </c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</row>
    <row r="10" spans="1:15" x14ac:dyDescent="0.25">
      <c r="A10" t="s">
        <v>344</v>
      </c>
      <c r="B10" s="108">
        <v>0.9</v>
      </c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</row>
    <row r="11" spans="1:15" x14ac:dyDescent="0.25">
      <c r="A11" t="s">
        <v>345</v>
      </c>
      <c r="B11" s="108">
        <v>0.66</v>
      </c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</row>
    <row r="12" spans="1:15" x14ac:dyDescent="0.25">
      <c r="A12" t="s">
        <v>346</v>
      </c>
      <c r="B12" s="108">
        <v>2.5000000000000001E-2</v>
      </c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</row>
    <row r="13" spans="1:15" x14ac:dyDescent="0.25">
      <c r="A13" t="s">
        <v>347</v>
      </c>
      <c r="B13" s="108">
        <v>7.4999999999999997E-2</v>
      </c>
      <c r="C13" s="104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104"/>
    </row>
    <row r="14" spans="1:15" x14ac:dyDescent="0.25">
      <c r="A14" t="s">
        <v>348</v>
      </c>
      <c r="B14" s="110">
        <v>1.8910499027524799E-2</v>
      </c>
      <c r="C14" s="104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</row>
    <row r="15" spans="1:15" x14ac:dyDescent="0.25">
      <c r="A15" t="s">
        <v>349</v>
      </c>
      <c r="B15" s="109">
        <v>0.5</v>
      </c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</row>
    <row r="16" spans="1:15" x14ac:dyDescent="0.25">
      <c r="A16" t="s">
        <v>350</v>
      </c>
      <c r="B16" s="109">
        <v>0.8</v>
      </c>
      <c r="C16" s="104"/>
      <c r="D16" s="104"/>
      <c r="E16" s="104"/>
      <c r="F16" s="104"/>
      <c r="G16" s="104"/>
      <c r="H16" s="104"/>
      <c r="I16" s="104"/>
      <c r="J16" s="104"/>
      <c r="K16" s="104"/>
      <c r="L16" s="104"/>
      <c r="M16" s="104"/>
      <c r="N16" s="104"/>
      <c r="O16" s="104"/>
    </row>
    <row r="17" spans="1:15" x14ac:dyDescent="0.25">
      <c r="A17" t="s">
        <v>351</v>
      </c>
      <c r="B17" s="111">
        <v>1.0666666666666666E-2</v>
      </c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</row>
    <row r="18" spans="1:15" x14ac:dyDescent="0.25">
      <c r="A18" t="s">
        <v>352</v>
      </c>
      <c r="B18" s="108">
        <v>0</v>
      </c>
      <c r="C18" s="104"/>
      <c r="D18" s="104"/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4"/>
    </row>
    <row r="19" spans="1:15" x14ac:dyDescent="0.25">
      <c r="A19" s="104"/>
      <c r="B19" s="104"/>
      <c r="C19" s="104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</row>
    <row r="20" spans="1:15" x14ac:dyDescent="0.25">
      <c r="A20" s="104"/>
      <c r="B20" s="104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</row>
    <row r="21" spans="1:15" ht="13" x14ac:dyDescent="0.3">
      <c r="A21" s="105" t="s">
        <v>353</v>
      </c>
      <c r="B21" s="106" t="s">
        <v>354</v>
      </c>
      <c r="C21" s="106" t="s">
        <v>355</v>
      </c>
      <c r="D21" s="106" t="s">
        <v>356</v>
      </c>
      <c r="E21" s="106" t="s">
        <v>357</v>
      </c>
      <c r="F21" s="106" t="s">
        <v>358</v>
      </c>
      <c r="G21" s="106" t="s">
        <v>359</v>
      </c>
      <c r="H21" s="106" t="s">
        <v>360</v>
      </c>
      <c r="I21" s="106" t="s">
        <v>361</v>
      </c>
      <c r="J21" s="106" t="s">
        <v>362</v>
      </c>
      <c r="K21" s="106" t="s">
        <v>363</v>
      </c>
      <c r="L21" s="106" t="s">
        <v>364</v>
      </c>
      <c r="M21" s="106" t="s">
        <v>365</v>
      </c>
      <c r="N21" s="106" t="s">
        <v>366</v>
      </c>
      <c r="O21" s="106" t="s">
        <v>367</v>
      </c>
    </row>
    <row r="22" spans="1:15" x14ac:dyDescent="0.25">
      <c r="A22" s="106" t="s">
        <v>368</v>
      </c>
      <c r="B22" s="107">
        <v>98027.941210000005</v>
      </c>
      <c r="C22" s="107">
        <v>97928.220270000005</v>
      </c>
      <c r="D22" s="107">
        <v>97781.597519999996</v>
      </c>
      <c r="E22" s="107">
        <v>97432.520189999996</v>
      </c>
      <c r="F22" s="107">
        <v>96963.115000000005</v>
      </c>
      <c r="G22" s="107">
        <v>96489.588149999996</v>
      </c>
      <c r="H22" s="107">
        <v>95931.055770000006</v>
      </c>
      <c r="I22" s="107">
        <v>95151.856369999994</v>
      </c>
      <c r="J22" s="107">
        <v>93945.804000000004</v>
      </c>
      <c r="K22" s="107">
        <v>92040.425470000002</v>
      </c>
      <c r="L22" s="107">
        <v>89096.366930000004</v>
      </c>
      <c r="M22" s="107">
        <v>84789.908230000001</v>
      </c>
      <c r="N22" s="107">
        <v>59902.527269999999</v>
      </c>
      <c r="O22" s="107">
        <v>59902.527269999999</v>
      </c>
    </row>
  </sheetData>
  <sheetProtection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E28" sqref="E28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136</v>
      </c>
      <c r="B1" s="36" t="s">
        <v>137</v>
      </c>
      <c r="C1" s="36" t="s">
        <v>138</v>
      </c>
      <c r="D1" s="36" t="s">
        <v>139</v>
      </c>
      <c r="E1" s="36" t="s">
        <v>140</v>
      </c>
    </row>
    <row r="2" spans="1:5" ht="13" x14ac:dyDescent="0.3">
      <c r="A2" s="34" t="s">
        <v>141</v>
      </c>
      <c r="B2" s="32" t="s">
        <v>90</v>
      </c>
      <c r="C2" s="47"/>
      <c r="D2" s="47"/>
      <c r="E2" s="38" t="str">
        <f>IF(E$7="","",E$7)</f>
        <v/>
      </c>
    </row>
    <row r="3" spans="1:5" x14ac:dyDescent="0.25">
      <c r="B3" s="32" t="s">
        <v>67</v>
      </c>
      <c r="C3" s="47"/>
      <c r="D3" s="47" t="s">
        <v>142</v>
      </c>
      <c r="E3" s="38" t="str">
        <f>IF(E$7="","",E$7)</f>
        <v/>
      </c>
    </row>
    <row r="4" spans="1:5" x14ac:dyDescent="0.25">
      <c r="B4" s="32" t="s">
        <v>77</v>
      </c>
      <c r="C4" s="47"/>
      <c r="D4" s="47" t="s">
        <v>142</v>
      </c>
      <c r="E4" s="38" t="str">
        <f>IF(E$7="","",E$7)</f>
        <v/>
      </c>
    </row>
    <row r="5" spans="1:5" x14ac:dyDescent="0.25">
      <c r="B5" s="32" t="s">
        <v>78</v>
      </c>
      <c r="C5" s="47"/>
      <c r="D5" s="47" t="s">
        <v>142</v>
      </c>
      <c r="E5" s="38" t="str">
        <f>IF(E$7="","",E$7)</f>
        <v/>
      </c>
    </row>
    <row r="6" spans="1:5" x14ac:dyDescent="0.25">
      <c r="B6" s="32" t="s">
        <v>79</v>
      </c>
      <c r="C6" s="47"/>
      <c r="D6" s="47" t="s">
        <v>142</v>
      </c>
      <c r="E6" s="38" t="str">
        <f>IF(E$7="","",E$7)</f>
        <v/>
      </c>
    </row>
    <row r="7" spans="1:5" x14ac:dyDescent="0.25">
      <c r="B7" s="32" t="s">
        <v>143</v>
      </c>
      <c r="C7" s="31"/>
      <c r="D7" s="30"/>
      <c r="E7" s="47"/>
    </row>
    <row r="9" spans="1:5" ht="13" x14ac:dyDescent="0.3">
      <c r="A9" s="34" t="s">
        <v>144</v>
      </c>
      <c r="B9" s="32" t="s">
        <v>90</v>
      </c>
      <c r="C9" s="47"/>
      <c r="D9" s="47"/>
      <c r="E9" s="38" t="str">
        <f>IF(E$7="","",E$7)</f>
        <v/>
      </c>
    </row>
    <row r="10" spans="1:5" x14ac:dyDescent="0.25">
      <c r="B10" s="32" t="s">
        <v>67</v>
      </c>
      <c r="C10" s="47"/>
      <c r="D10" s="47"/>
      <c r="E10" s="38" t="str">
        <f>IF(E$7="","",E$7)</f>
        <v/>
      </c>
    </row>
    <row r="11" spans="1:5" x14ac:dyDescent="0.25">
      <c r="B11" s="32" t="s">
        <v>77</v>
      </c>
      <c r="C11" s="47"/>
      <c r="D11" s="47"/>
      <c r="E11" s="38" t="str">
        <f>IF(E$7="","",E$7)</f>
        <v/>
      </c>
    </row>
    <row r="12" spans="1:5" x14ac:dyDescent="0.25">
      <c r="B12" s="32" t="s">
        <v>78</v>
      </c>
      <c r="C12" s="47"/>
      <c r="D12" s="47" t="s">
        <v>142</v>
      </c>
      <c r="E12" s="38" t="str">
        <f>IF(E$7="","",E$7)</f>
        <v/>
      </c>
    </row>
    <row r="13" spans="1:5" x14ac:dyDescent="0.25">
      <c r="B13" s="32" t="s">
        <v>79</v>
      </c>
      <c r="C13" s="47"/>
      <c r="D13" s="47" t="s">
        <v>142</v>
      </c>
      <c r="E13" s="38" t="str">
        <f>IF(E$7="","",E$7)</f>
        <v/>
      </c>
    </row>
    <row r="14" spans="1:5" x14ac:dyDescent="0.25">
      <c r="B14" s="32" t="s">
        <v>143</v>
      </c>
      <c r="C14" s="31"/>
      <c r="D14" s="30"/>
      <c r="E14" s="47"/>
    </row>
    <row r="16" spans="1:5" ht="13" x14ac:dyDescent="0.3">
      <c r="A16" s="34" t="s">
        <v>145</v>
      </c>
      <c r="B16" s="32" t="s">
        <v>90</v>
      </c>
      <c r="C16" s="47"/>
      <c r="D16" s="47" t="s">
        <v>142</v>
      </c>
      <c r="E16" s="38" t="str">
        <f>IF(E$7="","",E$7)</f>
        <v/>
      </c>
    </row>
    <row r="17" spans="2:5" x14ac:dyDescent="0.25">
      <c r="B17" s="32" t="s">
        <v>67</v>
      </c>
      <c r="C17" s="47"/>
      <c r="D17" s="47" t="s">
        <v>142</v>
      </c>
      <c r="E17" s="38" t="str">
        <f>IF(E$7="","",E$7)</f>
        <v/>
      </c>
    </row>
    <row r="18" spans="2:5" x14ac:dyDescent="0.25">
      <c r="B18" s="32" t="s">
        <v>77</v>
      </c>
      <c r="C18" s="47"/>
      <c r="D18" s="47" t="s">
        <v>142</v>
      </c>
      <c r="E18" s="38" t="str">
        <f>IF(E$7="","",E$7)</f>
        <v/>
      </c>
    </row>
    <row r="19" spans="2:5" x14ac:dyDescent="0.25">
      <c r="B19" s="32" t="s">
        <v>78</v>
      </c>
      <c r="C19" s="47"/>
      <c r="D19" s="47" t="s">
        <v>142</v>
      </c>
      <c r="E19" s="38" t="str">
        <f>IF(E$7="","",E$7)</f>
        <v/>
      </c>
    </row>
    <row r="20" spans="2:5" x14ac:dyDescent="0.25">
      <c r="B20" s="32" t="s">
        <v>79</v>
      </c>
      <c r="C20" s="47"/>
      <c r="D20" s="47" t="s">
        <v>142</v>
      </c>
      <c r="E20" s="38" t="str">
        <f>IF(E$7="","",E$7)</f>
        <v/>
      </c>
    </row>
    <row r="21" spans="2:5" x14ac:dyDescent="0.25">
      <c r="B21" s="32" t="s">
        <v>143</v>
      </c>
      <c r="C21" s="31"/>
      <c r="D21" s="30"/>
      <c r="E21" s="47"/>
    </row>
  </sheetData>
  <sheetProtection algorithmName="SHA-512" hashValue="9wsRtmiVNJB0UeV33D4Iu3yiIwegEB7YesrZkCblhc6wUV+2PK18HRXoB0nl0+0IenWTDgkV+kV0Xi5B6erGpg==" saltValue="FiZTxqAqHli9KHTCkjPnDg==" spinCount="100000" sheet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E28" sqref="E28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1</v>
      </c>
      <c r="B1" s="36" t="s">
        <v>146</v>
      </c>
      <c r="C1" s="40" t="s">
        <v>147</v>
      </c>
      <c r="D1" s="40" t="s">
        <v>148</v>
      </c>
    </row>
    <row r="2" spans="1:4" ht="13" x14ac:dyDescent="0.3">
      <c r="A2" s="40" t="s">
        <v>149</v>
      </c>
      <c r="B2" s="32" t="s">
        <v>150</v>
      </c>
      <c r="C2" s="32" t="s">
        <v>151</v>
      </c>
      <c r="D2" s="47"/>
    </row>
    <row r="3" spans="1:4" ht="13" x14ac:dyDescent="0.3">
      <c r="A3" s="40" t="s">
        <v>152</v>
      </c>
      <c r="B3" s="32" t="s">
        <v>138</v>
      </c>
      <c r="C3" s="32" t="s">
        <v>153</v>
      </c>
      <c r="D3" s="47"/>
    </row>
  </sheetData>
  <sheetProtection algorithmName="SHA-512" hashValue="tS5A5il384gB8zsJjwidwZIpdVsJo/ah59cRAmnHpig36ZssdSIeiIXxiNqdW+7yhHG743nXUgYflxFLjdX6Kg==" saltValue="H9BMcvjdiLgSEjFGZvTrQw==" spinCount="100000" sheet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149</v>
      </c>
      <c r="B1" s="22" t="str">
        <f>"Baseline ("&amp;start_year&amp;") coverage"</f>
        <v>Baseline (2024) coverage</v>
      </c>
      <c r="C1" s="22" t="s">
        <v>154</v>
      </c>
      <c r="D1" s="22" t="s">
        <v>155</v>
      </c>
      <c r="E1" s="22" t="s">
        <v>156</v>
      </c>
      <c r="F1" s="22" t="s">
        <v>157</v>
      </c>
      <c r="G1" s="22" t="s">
        <v>158</v>
      </c>
    </row>
    <row r="2" spans="1:7" ht="15.75" customHeight="1" x14ac:dyDescent="0.25">
      <c r="A2" s="5" t="s">
        <v>159</v>
      </c>
      <c r="B2" s="45">
        <v>0</v>
      </c>
      <c r="C2" s="96">
        <v>0.95</v>
      </c>
      <c r="D2" s="56">
        <v>23.266651740020471</v>
      </c>
      <c r="E2" s="56" t="s">
        <v>160</v>
      </c>
      <c r="F2" s="96">
        <v>1</v>
      </c>
      <c r="G2" s="96">
        <v>1</v>
      </c>
    </row>
    <row r="3" spans="1:7" ht="15.75" customHeight="1" x14ac:dyDescent="0.25">
      <c r="A3" s="5" t="s">
        <v>161</v>
      </c>
      <c r="B3" s="45">
        <v>0</v>
      </c>
      <c r="C3" s="96">
        <v>0.95</v>
      </c>
      <c r="D3" s="56">
        <v>23.266651740020471</v>
      </c>
      <c r="E3" s="56" t="s">
        <v>160</v>
      </c>
      <c r="F3" s="96">
        <v>1</v>
      </c>
      <c r="G3" s="96">
        <v>1</v>
      </c>
    </row>
    <row r="4" spans="1:7" ht="15.75" customHeight="1" x14ac:dyDescent="0.25">
      <c r="A4" s="5" t="s">
        <v>162</v>
      </c>
      <c r="B4" s="96">
        <v>0</v>
      </c>
      <c r="C4" s="96">
        <v>0.95</v>
      </c>
      <c r="D4" s="56">
        <v>0.80999999999999994</v>
      </c>
      <c r="E4" s="56" t="s">
        <v>160</v>
      </c>
      <c r="F4" s="96">
        <v>1</v>
      </c>
      <c r="G4" s="96">
        <v>1</v>
      </c>
    </row>
    <row r="5" spans="1:7" ht="15.75" customHeight="1" x14ac:dyDescent="0.25">
      <c r="A5" s="5" t="s">
        <v>163</v>
      </c>
      <c r="B5" s="96">
        <v>0</v>
      </c>
      <c r="C5" s="96">
        <v>0.95</v>
      </c>
      <c r="D5" s="56">
        <v>1.1645825935762411</v>
      </c>
      <c r="E5" s="56" t="s">
        <v>160</v>
      </c>
      <c r="F5" s="96">
        <v>1</v>
      </c>
      <c r="G5" s="96">
        <v>1</v>
      </c>
    </row>
    <row r="6" spans="1:7" ht="15.75" customHeight="1" x14ac:dyDescent="0.25">
      <c r="A6" s="5" t="s">
        <v>164</v>
      </c>
      <c r="B6" s="96">
        <v>0</v>
      </c>
      <c r="C6" s="96">
        <v>0.95</v>
      </c>
      <c r="D6" s="56">
        <v>99.99</v>
      </c>
      <c r="E6" s="56" t="s">
        <v>160</v>
      </c>
      <c r="F6" s="96">
        <v>1</v>
      </c>
      <c r="G6" s="96">
        <v>1</v>
      </c>
    </row>
    <row r="7" spans="1:7" ht="15.75" customHeight="1" x14ac:dyDescent="0.25">
      <c r="A7" s="5" t="s">
        <v>165</v>
      </c>
      <c r="B7" s="96">
        <v>0</v>
      </c>
      <c r="C7" s="96">
        <v>0.95</v>
      </c>
      <c r="D7" s="56">
        <v>0.19283527130965261</v>
      </c>
      <c r="E7" s="56" t="s">
        <v>160</v>
      </c>
      <c r="F7" s="96">
        <v>1</v>
      </c>
      <c r="G7" s="96">
        <v>1</v>
      </c>
    </row>
    <row r="8" spans="1:7" ht="15.75" customHeight="1" x14ac:dyDescent="0.25">
      <c r="A8" s="5" t="s">
        <v>166</v>
      </c>
      <c r="B8" s="96">
        <v>0</v>
      </c>
      <c r="C8" s="96">
        <v>0.95</v>
      </c>
      <c r="D8" s="56">
        <v>1.899427422400078</v>
      </c>
      <c r="E8" s="56" t="s">
        <v>160</v>
      </c>
      <c r="F8" s="96">
        <v>1</v>
      </c>
      <c r="G8" s="96">
        <v>1</v>
      </c>
    </row>
    <row r="9" spans="1:7" ht="15.75" customHeight="1" x14ac:dyDescent="0.25">
      <c r="A9" s="5" t="s">
        <v>167</v>
      </c>
      <c r="B9" s="96">
        <v>0</v>
      </c>
      <c r="C9" s="96">
        <v>0.95</v>
      </c>
      <c r="D9" s="56">
        <v>0.33</v>
      </c>
      <c r="E9" s="56" t="s">
        <v>160</v>
      </c>
      <c r="F9" s="96">
        <v>1</v>
      </c>
      <c r="G9" s="96">
        <v>1</v>
      </c>
    </row>
    <row r="10" spans="1:7" ht="15.75" customHeight="1" x14ac:dyDescent="0.25">
      <c r="A10" s="11" t="s">
        <v>168</v>
      </c>
      <c r="B10" s="45">
        <v>0.28031230000000001</v>
      </c>
      <c r="C10" s="96">
        <v>0.95</v>
      </c>
      <c r="D10" s="56">
        <v>12.99613066460511</v>
      </c>
      <c r="E10" s="56" t="s">
        <v>160</v>
      </c>
      <c r="F10" s="96">
        <v>1</v>
      </c>
      <c r="G10" s="96">
        <v>1</v>
      </c>
    </row>
    <row r="11" spans="1:7" ht="15.75" customHeight="1" x14ac:dyDescent="0.25">
      <c r="A11" s="11" t="s">
        <v>169</v>
      </c>
      <c r="B11" s="96">
        <v>0</v>
      </c>
      <c r="C11" s="96">
        <v>0.95</v>
      </c>
      <c r="D11" s="56">
        <v>12.99613066460511</v>
      </c>
      <c r="E11" s="56" t="s">
        <v>160</v>
      </c>
      <c r="F11" s="96">
        <v>1</v>
      </c>
      <c r="G11" s="96">
        <v>1</v>
      </c>
    </row>
    <row r="12" spans="1:7" ht="15.75" customHeight="1" x14ac:dyDescent="0.25">
      <c r="A12" s="11" t="s">
        <v>170</v>
      </c>
      <c r="B12" s="96">
        <v>0</v>
      </c>
      <c r="C12" s="96">
        <v>0.95</v>
      </c>
      <c r="D12" s="56">
        <v>12.99613066460511</v>
      </c>
      <c r="E12" s="56" t="s">
        <v>160</v>
      </c>
      <c r="F12" s="96">
        <v>1</v>
      </c>
      <c r="G12" s="96">
        <v>1</v>
      </c>
    </row>
    <row r="13" spans="1:7" ht="15.75" customHeight="1" x14ac:dyDescent="0.25">
      <c r="A13" s="11" t="s">
        <v>171</v>
      </c>
      <c r="B13" s="96">
        <v>0</v>
      </c>
      <c r="C13" s="96">
        <v>0.95</v>
      </c>
      <c r="D13" s="56">
        <v>12.99613066460511</v>
      </c>
      <c r="E13" s="56" t="s">
        <v>160</v>
      </c>
      <c r="F13" s="96">
        <v>1</v>
      </c>
      <c r="G13" s="96">
        <v>1</v>
      </c>
    </row>
    <row r="14" spans="1:7" ht="15.75" customHeight="1" x14ac:dyDescent="0.25">
      <c r="A14" s="5" t="s">
        <v>172</v>
      </c>
      <c r="B14" s="45">
        <v>0.28031230000000001</v>
      </c>
      <c r="C14" s="96">
        <v>0.95</v>
      </c>
      <c r="D14" s="56">
        <v>12.99613066460511</v>
      </c>
      <c r="E14" s="56" t="s">
        <v>160</v>
      </c>
      <c r="F14" s="96">
        <v>1</v>
      </c>
      <c r="G14" s="96">
        <v>1</v>
      </c>
    </row>
    <row r="15" spans="1:7" ht="15.75" customHeight="1" x14ac:dyDescent="0.25">
      <c r="A15" s="5" t="s">
        <v>173</v>
      </c>
      <c r="B15" s="96">
        <v>0</v>
      </c>
      <c r="C15" s="96">
        <v>0.95</v>
      </c>
      <c r="D15" s="56">
        <v>12.99613066460511</v>
      </c>
      <c r="E15" s="56" t="s">
        <v>160</v>
      </c>
      <c r="F15" s="96">
        <v>1</v>
      </c>
      <c r="G15" s="96">
        <v>1</v>
      </c>
    </row>
    <row r="16" spans="1:7" ht="15.75" customHeight="1" x14ac:dyDescent="0.25">
      <c r="A16" s="5" t="s">
        <v>174</v>
      </c>
      <c r="B16" s="45">
        <v>0.7607335999999999</v>
      </c>
      <c r="C16" s="96">
        <v>0.95</v>
      </c>
      <c r="D16" s="56">
        <v>1.57</v>
      </c>
      <c r="E16" s="56" t="s">
        <v>160</v>
      </c>
      <c r="F16" s="96">
        <v>1</v>
      </c>
      <c r="G16" s="96">
        <v>1</v>
      </c>
    </row>
    <row r="17" spans="1:7" ht="15.75" customHeight="1" x14ac:dyDescent="0.25">
      <c r="A17" s="5" t="s">
        <v>175</v>
      </c>
      <c r="B17" s="96">
        <v>0.12279</v>
      </c>
      <c r="C17" s="96">
        <v>0.95</v>
      </c>
      <c r="D17" s="56">
        <v>0.1369044839662158</v>
      </c>
      <c r="E17" s="56" t="s">
        <v>160</v>
      </c>
      <c r="F17" s="96">
        <v>1</v>
      </c>
      <c r="G17" s="96">
        <v>1</v>
      </c>
    </row>
    <row r="18" spans="1:7" ht="15.9" customHeight="1" x14ac:dyDescent="0.25">
      <c r="A18" s="5" t="s">
        <v>141</v>
      </c>
      <c r="B18" s="96">
        <v>0.34721740000000001</v>
      </c>
      <c r="C18" s="96">
        <v>0.95</v>
      </c>
      <c r="D18" s="56">
        <v>8.0823886898669404</v>
      </c>
      <c r="E18" s="56" t="s">
        <v>160</v>
      </c>
      <c r="F18" s="96">
        <v>1</v>
      </c>
      <c r="G18" s="96">
        <v>1</v>
      </c>
    </row>
    <row r="19" spans="1:7" ht="15.75" customHeight="1" x14ac:dyDescent="0.25">
      <c r="A19" s="5" t="s">
        <v>144</v>
      </c>
      <c r="B19" s="96">
        <v>0.34721740000000001</v>
      </c>
      <c r="C19" s="96">
        <v>0.95</v>
      </c>
      <c r="D19" s="56">
        <v>3.11</v>
      </c>
      <c r="E19" s="56" t="s">
        <v>160</v>
      </c>
      <c r="F19" s="96">
        <v>1</v>
      </c>
      <c r="G19" s="96">
        <v>1</v>
      </c>
    </row>
    <row r="20" spans="1:7" ht="15.75" customHeight="1" x14ac:dyDescent="0.25">
      <c r="A20" s="5" t="s">
        <v>145</v>
      </c>
      <c r="B20" s="96">
        <v>0</v>
      </c>
      <c r="C20" s="96">
        <v>0.95</v>
      </c>
      <c r="D20" s="56">
        <v>99.99</v>
      </c>
      <c r="E20" s="56" t="s">
        <v>160</v>
      </c>
      <c r="F20" s="96">
        <v>1</v>
      </c>
      <c r="G20" s="96">
        <v>1</v>
      </c>
    </row>
    <row r="21" spans="1:7" ht="15.75" customHeight="1" x14ac:dyDescent="0.25">
      <c r="A21" s="5" t="s">
        <v>176</v>
      </c>
      <c r="B21" s="45">
        <v>0</v>
      </c>
      <c r="C21" s="96">
        <v>0.95</v>
      </c>
      <c r="D21" s="56">
        <v>8.32</v>
      </c>
      <c r="E21" s="56" t="s">
        <v>160</v>
      </c>
      <c r="F21" s="96">
        <v>1</v>
      </c>
      <c r="G21" s="96">
        <v>1</v>
      </c>
    </row>
    <row r="22" spans="1:7" ht="15.75" customHeight="1" x14ac:dyDescent="0.25">
      <c r="A22" s="5" t="s">
        <v>177</v>
      </c>
      <c r="B22" s="96">
        <v>0</v>
      </c>
      <c r="C22" s="96">
        <v>0.95</v>
      </c>
      <c r="D22" s="56">
        <v>0.80999999999999994</v>
      </c>
      <c r="E22" s="56" t="s">
        <v>160</v>
      </c>
      <c r="F22" s="96">
        <v>1</v>
      </c>
      <c r="G22" s="96">
        <v>1</v>
      </c>
    </row>
    <row r="23" spans="1:7" ht="15.75" customHeight="1" x14ac:dyDescent="0.25">
      <c r="A23" s="5" t="s">
        <v>178</v>
      </c>
      <c r="B23" s="96">
        <v>0.85079989999999994</v>
      </c>
      <c r="C23" s="96">
        <v>0.95</v>
      </c>
      <c r="D23" s="56">
        <v>4.2693071752319298</v>
      </c>
      <c r="E23" s="56" t="s">
        <v>160</v>
      </c>
      <c r="F23" s="96">
        <v>1</v>
      </c>
      <c r="G23" s="96">
        <v>1</v>
      </c>
    </row>
    <row r="24" spans="1:7" ht="15.75" customHeight="1" x14ac:dyDescent="0.25">
      <c r="A24" s="5" t="s">
        <v>179</v>
      </c>
      <c r="B24" s="45">
        <v>0.47779756487578001</v>
      </c>
      <c r="C24" s="96">
        <v>0.95</v>
      </c>
      <c r="D24" s="56">
        <v>99.99</v>
      </c>
      <c r="E24" s="56" t="s">
        <v>160</v>
      </c>
      <c r="F24" s="96">
        <v>1</v>
      </c>
      <c r="G24" s="96">
        <v>1</v>
      </c>
    </row>
    <row r="25" spans="1:7" ht="15.75" customHeight="1" x14ac:dyDescent="0.25">
      <c r="A25" s="5" t="s">
        <v>180</v>
      </c>
      <c r="B25" s="96">
        <v>0</v>
      </c>
      <c r="C25" s="96">
        <v>0.95</v>
      </c>
      <c r="D25" s="56">
        <v>99.99</v>
      </c>
      <c r="E25" s="56" t="s">
        <v>160</v>
      </c>
      <c r="F25" s="96">
        <v>1</v>
      </c>
      <c r="G25" s="96">
        <v>1</v>
      </c>
    </row>
    <row r="26" spans="1:7" ht="15.75" customHeight="1" x14ac:dyDescent="0.25">
      <c r="A26" s="5" t="s">
        <v>181</v>
      </c>
      <c r="B26" s="45">
        <v>0</v>
      </c>
      <c r="C26" s="96">
        <v>0.95</v>
      </c>
      <c r="D26" s="56">
        <v>8.469314227226203</v>
      </c>
      <c r="E26" s="56" t="s">
        <v>160</v>
      </c>
      <c r="F26" s="96">
        <v>1</v>
      </c>
      <c r="G26" s="96">
        <v>1</v>
      </c>
    </row>
    <row r="27" spans="1:7" ht="15.75" customHeight="1" x14ac:dyDescent="0.25">
      <c r="A27" s="5" t="s">
        <v>182</v>
      </c>
      <c r="B27" s="45">
        <v>0</v>
      </c>
      <c r="C27" s="96">
        <v>0.95</v>
      </c>
      <c r="D27" s="56">
        <v>14.964151740020471</v>
      </c>
      <c r="E27" s="56" t="s">
        <v>160</v>
      </c>
      <c r="F27" s="96">
        <v>1</v>
      </c>
      <c r="G27" s="96">
        <v>1</v>
      </c>
    </row>
    <row r="28" spans="1:7" ht="15.75" customHeight="1" x14ac:dyDescent="0.25">
      <c r="A28" s="5" t="s">
        <v>183</v>
      </c>
      <c r="B28" s="45">
        <v>0.21443380000000001</v>
      </c>
      <c r="C28" s="96">
        <v>0.95</v>
      </c>
      <c r="D28" s="56">
        <v>99.99</v>
      </c>
      <c r="E28" s="56" t="s">
        <v>160</v>
      </c>
      <c r="F28" s="96">
        <v>1</v>
      </c>
      <c r="G28" s="96">
        <v>1</v>
      </c>
    </row>
    <row r="29" spans="1:7" ht="15.75" customHeight="1" x14ac:dyDescent="0.25">
      <c r="A29" s="5" t="s">
        <v>184</v>
      </c>
      <c r="B29" s="45">
        <v>0.2174344</v>
      </c>
      <c r="C29" s="96">
        <v>0.95</v>
      </c>
      <c r="D29" s="56">
        <v>20.363404650299319</v>
      </c>
      <c r="E29" s="56" t="s">
        <v>160</v>
      </c>
      <c r="F29" s="96">
        <v>1</v>
      </c>
      <c r="G29" s="96">
        <v>1</v>
      </c>
    </row>
    <row r="30" spans="1:7" ht="15.75" customHeight="1" x14ac:dyDescent="0.25">
      <c r="A30" s="5" t="s">
        <v>185</v>
      </c>
      <c r="B30" s="96">
        <v>0</v>
      </c>
      <c r="C30" s="96">
        <v>0.95</v>
      </c>
      <c r="D30" s="56">
        <v>53.05041964170676</v>
      </c>
      <c r="E30" s="56" t="s">
        <v>160</v>
      </c>
      <c r="F30" s="96">
        <v>1</v>
      </c>
      <c r="G30" s="96">
        <v>1</v>
      </c>
    </row>
    <row r="31" spans="1:7" ht="15.75" customHeight="1" x14ac:dyDescent="0.25">
      <c r="A31" s="5" t="s">
        <v>150</v>
      </c>
      <c r="B31" s="45">
        <v>0.41820000000000002</v>
      </c>
      <c r="C31" s="96">
        <v>0.95</v>
      </c>
      <c r="D31" s="56">
        <v>118.83755373592631</v>
      </c>
      <c r="E31" s="56" t="s">
        <v>160</v>
      </c>
      <c r="F31" s="96">
        <v>1</v>
      </c>
      <c r="G31" s="96">
        <v>1</v>
      </c>
    </row>
    <row r="32" spans="1:7" ht="15.75" customHeight="1" x14ac:dyDescent="0.25">
      <c r="A32" s="5" t="s">
        <v>186</v>
      </c>
      <c r="B32" s="45">
        <v>0.85</v>
      </c>
      <c r="C32" s="96">
        <v>0.95</v>
      </c>
      <c r="D32" s="56">
        <v>0.69</v>
      </c>
      <c r="E32" s="56" t="s">
        <v>160</v>
      </c>
      <c r="F32" s="96">
        <v>1</v>
      </c>
      <c r="G32" s="96">
        <v>1</v>
      </c>
    </row>
    <row r="33" spans="1:7" ht="15.75" customHeight="1" x14ac:dyDescent="0.25">
      <c r="A33" s="5" t="s">
        <v>187</v>
      </c>
      <c r="B33" s="45">
        <v>0.17300869999999999</v>
      </c>
      <c r="C33" s="96">
        <v>0.95</v>
      </c>
      <c r="D33" s="56">
        <v>99.99</v>
      </c>
      <c r="E33" s="56" t="s">
        <v>160</v>
      </c>
      <c r="F33" s="96">
        <v>1</v>
      </c>
      <c r="G33" s="96">
        <v>1</v>
      </c>
    </row>
    <row r="34" spans="1:7" ht="15.75" customHeight="1" x14ac:dyDescent="0.25">
      <c r="A34" s="5" t="s">
        <v>188</v>
      </c>
      <c r="B34" s="45">
        <v>0.64071500000000003</v>
      </c>
      <c r="C34" s="96">
        <v>0.95</v>
      </c>
      <c r="D34" s="56">
        <v>99.99</v>
      </c>
      <c r="E34" s="56" t="s">
        <v>160</v>
      </c>
      <c r="F34" s="96">
        <v>1</v>
      </c>
      <c r="G34" s="96">
        <v>1</v>
      </c>
    </row>
    <row r="35" spans="1:7" ht="15.75" customHeight="1" x14ac:dyDescent="0.25">
      <c r="A35" s="5" t="s">
        <v>189</v>
      </c>
      <c r="B35" s="96">
        <v>0</v>
      </c>
      <c r="C35" s="96">
        <v>0.95</v>
      </c>
      <c r="D35" s="56">
        <v>99.99</v>
      </c>
      <c r="E35" s="56" t="s">
        <v>160</v>
      </c>
      <c r="F35" s="96">
        <v>1</v>
      </c>
      <c r="G35" s="96">
        <v>1</v>
      </c>
    </row>
    <row r="36" spans="1:7" ht="15.75" customHeight="1" x14ac:dyDescent="0.25">
      <c r="A36" s="5" t="s">
        <v>190</v>
      </c>
      <c r="B36" s="45">
        <v>4.764E-3</v>
      </c>
      <c r="C36" s="96">
        <v>0.95</v>
      </c>
      <c r="D36" s="56">
        <v>99.99</v>
      </c>
      <c r="E36" s="56" t="s">
        <v>160</v>
      </c>
      <c r="F36" s="96">
        <v>1</v>
      </c>
      <c r="G36" s="96">
        <v>1</v>
      </c>
    </row>
    <row r="37" spans="1:7" ht="15.75" customHeight="1" x14ac:dyDescent="0.25">
      <c r="A37" s="5" t="s">
        <v>191</v>
      </c>
      <c r="B37" s="45">
        <v>0.52630830000000006</v>
      </c>
      <c r="C37" s="96">
        <v>0.95</v>
      </c>
      <c r="D37" s="56">
        <v>99.99</v>
      </c>
      <c r="E37" s="56" t="s">
        <v>160</v>
      </c>
      <c r="F37" s="96">
        <v>1</v>
      </c>
      <c r="G37" s="96">
        <v>1</v>
      </c>
    </row>
    <row r="38" spans="1:7" ht="15.75" customHeight="1" x14ac:dyDescent="0.25">
      <c r="A38" s="5" t="s">
        <v>192</v>
      </c>
      <c r="B38" s="45">
        <v>0.15360070000000001</v>
      </c>
      <c r="C38" s="96">
        <v>0.95</v>
      </c>
      <c r="D38" s="56">
        <v>3.45</v>
      </c>
      <c r="E38" s="56" t="s">
        <v>160</v>
      </c>
      <c r="F38" s="96">
        <v>1</v>
      </c>
      <c r="G38" s="96">
        <v>1</v>
      </c>
    </row>
    <row r="39" spans="1:7" ht="15.75" customHeight="1" x14ac:dyDescent="0.25">
      <c r="A39" s="5" t="s">
        <v>193</v>
      </c>
      <c r="B39" s="45">
        <v>0</v>
      </c>
      <c r="C39" s="96">
        <v>0.95</v>
      </c>
      <c r="D39" s="56">
        <v>3.07</v>
      </c>
      <c r="E39" s="56" t="s">
        <v>160</v>
      </c>
      <c r="F39" s="96">
        <v>1</v>
      </c>
      <c r="G39" s="96">
        <v>1</v>
      </c>
    </row>
  </sheetData>
  <sheetProtection algorithmName="SHA-512" hashValue="7vflRb+A4U2pEdxn7m/v0lFZNI78qfZXbnYBjV1V9XLM+tHWxQCvL8xYVSz8kIygwB6Bp0chVfPhUDXzL0eOkw==" saltValue="BwzbjGZ5GxwK0BvfdhnvS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tabSelected="1" workbookViewId="0">
      <selection activeCell="B16" sqref="B16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149</v>
      </c>
      <c r="B1" s="4" t="s">
        <v>194</v>
      </c>
      <c r="C1" s="4" t="s">
        <v>195</v>
      </c>
    </row>
    <row r="2" spans="1:3" x14ac:dyDescent="0.25">
      <c r="A2" s="57" t="s">
        <v>172</v>
      </c>
      <c r="B2" s="47" t="s">
        <v>182</v>
      </c>
      <c r="C2" s="47"/>
    </row>
    <row r="3" spans="1:3" x14ac:dyDescent="0.25">
      <c r="A3" s="57" t="s">
        <v>173</v>
      </c>
      <c r="B3" s="47" t="s">
        <v>182</v>
      </c>
      <c r="C3" s="47"/>
    </row>
    <row r="4" spans="1:3" x14ac:dyDescent="0.25">
      <c r="A4" s="57" t="s">
        <v>184</v>
      </c>
      <c r="B4" s="47" t="s">
        <v>177</v>
      </c>
      <c r="C4" s="47"/>
    </row>
    <row r="5" spans="1:3" x14ac:dyDescent="0.25">
      <c r="A5" s="57" t="s">
        <v>184</v>
      </c>
      <c r="B5" s="47" t="s">
        <v>185</v>
      </c>
      <c r="C5" s="47"/>
    </row>
    <row r="6" spans="1:3" x14ac:dyDescent="0.25">
      <c r="A6" s="57" t="s">
        <v>181</v>
      </c>
      <c r="B6" s="58" t="s">
        <v>185</v>
      </c>
      <c r="C6" s="58"/>
    </row>
    <row r="7" spans="1:3" x14ac:dyDescent="0.25">
      <c r="A7" s="57" t="s">
        <v>193</v>
      </c>
      <c r="B7" s="58" t="s">
        <v>185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mJIhFbJiXwMDYdaTQpBnnIuyYOuT68NH0zRKA9hB05n6uZvdwWxrgEXuFwGJ+96DUDA/ASxdRlcLT7WZRHSmMg==" saltValue="bb4cIfhca5ee56tuIEArcQ==" spinCount="100000" sheet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149</v>
      </c>
    </row>
    <row r="2" spans="1:1" x14ac:dyDescent="0.25">
      <c r="A2" s="33" t="s">
        <v>164</v>
      </c>
    </row>
    <row r="3" spans="1:1" x14ac:dyDescent="0.25">
      <c r="A3" s="33" t="s">
        <v>174</v>
      </c>
    </row>
    <row r="4" spans="1:1" x14ac:dyDescent="0.25">
      <c r="A4" s="33" t="s">
        <v>178</v>
      </c>
    </row>
    <row r="5" spans="1:1" x14ac:dyDescent="0.25">
      <c r="A5" s="33" t="s">
        <v>187</v>
      </c>
    </row>
    <row r="6" spans="1:1" x14ac:dyDescent="0.25">
      <c r="A6" s="33" t="s">
        <v>188</v>
      </c>
    </row>
    <row r="7" spans="1:1" x14ac:dyDescent="0.25">
      <c r="A7" s="33" t="s">
        <v>189</v>
      </c>
    </row>
    <row r="8" spans="1:1" x14ac:dyDescent="0.25">
      <c r="A8" s="33" t="s">
        <v>190</v>
      </c>
    </row>
    <row r="9" spans="1:1" x14ac:dyDescent="0.25">
      <c r="A9" s="33" t="s">
        <v>191</v>
      </c>
    </row>
    <row r="10" spans="1:1" x14ac:dyDescent="0.25">
      <c r="A10" s="33" t="s">
        <v>150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196</v>
      </c>
      <c r="B1" t="s">
        <v>67</v>
      </c>
      <c r="C1" t="s">
        <v>77</v>
      </c>
      <c r="D1" t="s">
        <v>78</v>
      </c>
      <c r="E1" t="s">
        <v>79</v>
      </c>
      <c r="F1" t="s">
        <v>80</v>
      </c>
    </row>
    <row r="2" spans="1:6" ht="15.75" customHeight="1" x14ac:dyDescent="0.25">
      <c r="A2" s="3" t="s">
        <v>81</v>
      </c>
      <c r="B2" s="21">
        <f>'Baseline year population inputs'!C51</f>
        <v>3.3</v>
      </c>
      <c r="C2" s="21">
        <f>'Baseline year population inputs'!C52</f>
        <v>3.3</v>
      </c>
      <c r="D2" s="21">
        <f>'Baseline year population inputs'!C53</f>
        <v>3.3</v>
      </c>
      <c r="E2" s="21">
        <f>'Baseline year population inputs'!C54</f>
        <v>3.3</v>
      </c>
      <c r="F2" s="21">
        <f>'Baseline year population inputs'!C55</f>
        <v>3.3</v>
      </c>
    </row>
    <row r="3" spans="1:6" ht="15.75" customHeight="1" x14ac:dyDescent="0.25">
      <c r="A3" s="3" t="s">
        <v>197</v>
      </c>
      <c r="B3" s="21">
        <f>frac_mam_1month * 2.6</f>
        <v>0.16990662000000001</v>
      </c>
      <c r="C3" s="21">
        <f>frac_mam_1_5months * 2.6</f>
        <v>0.16990662000000001</v>
      </c>
      <c r="D3" s="21">
        <f>frac_mam_6_11months * 2.6</f>
        <v>0.32622746000000002</v>
      </c>
      <c r="E3" s="21">
        <f>frac_mam_12_23months * 2.6</f>
        <v>0.23670764</v>
      </c>
      <c r="F3" s="21">
        <f>frac_mam_24_59months * 2.6</f>
        <v>0.11561185999999997</v>
      </c>
    </row>
    <row r="4" spans="1:6" ht="15.75" customHeight="1" x14ac:dyDescent="0.25">
      <c r="A4" s="3" t="s">
        <v>198</v>
      </c>
      <c r="B4" s="21">
        <f>frac_sam_1month * 2.6</f>
        <v>8.6134619999999995E-2</v>
      </c>
      <c r="C4" s="21">
        <f>frac_sam_1_5months * 2.6</f>
        <v>8.6134619999999995E-2</v>
      </c>
      <c r="D4" s="21">
        <f>frac_sam_6_11months * 2.6</f>
        <v>0.10134852</v>
      </c>
      <c r="E4" s="21">
        <f>frac_sam_12_23months * 2.6</f>
        <v>0.11618489999999999</v>
      </c>
      <c r="F4" s="21">
        <f>frac_sam_24_59months * 2.6</f>
        <v>3.962218E-2</v>
      </c>
    </row>
  </sheetData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K15" sqref="K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199</v>
      </c>
      <c r="B1" s="1" t="s">
        <v>149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">
      <c r="A2" s="4" t="s">
        <v>76</v>
      </c>
      <c r="B2" s="5" t="s">
        <v>162</v>
      </c>
      <c r="C2" s="60">
        <v>0</v>
      </c>
      <c r="D2" s="60">
        <v>0</v>
      </c>
      <c r="E2" s="60">
        <f>food_insecure</f>
        <v>7.2000000000000008E-2</v>
      </c>
      <c r="F2" s="60">
        <f>food_insecure</f>
        <v>7.2000000000000008E-2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163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176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177</v>
      </c>
      <c r="C5" s="60">
        <v>0</v>
      </c>
      <c r="D5" s="60">
        <v>0</v>
      </c>
      <c r="E5" s="60">
        <f>food_insecure</f>
        <v>7.2000000000000008E-2</v>
      </c>
      <c r="F5" s="60">
        <f>food_insecure</f>
        <v>7.2000000000000008E-2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181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183</v>
      </c>
      <c r="C7" s="60">
        <f>diarrhoea_1mo*frac_diarrhea_severe</f>
        <v>7.2000000000000008E-2</v>
      </c>
      <c r="D7" s="60">
        <f>diarrhoea_1_5mo*frac_diarrhea_severe</f>
        <v>7.2000000000000008E-2</v>
      </c>
      <c r="E7" s="60">
        <f>diarrhoea_6_11mo*frac_diarrhea_severe</f>
        <v>7.2000000000000008E-2</v>
      </c>
      <c r="F7" s="60">
        <f>diarrhoea_12_23mo*frac_diarrhea_severe</f>
        <v>7.2000000000000008E-2</v>
      </c>
      <c r="G7" s="60">
        <f>diarrhoea_24_59mo*frac_diarrhea_severe</f>
        <v>7.2000000000000008E-2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184</v>
      </c>
      <c r="C8" s="60">
        <v>0</v>
      </c>
      <c r="D8" s="60">
        <v>0</v>
      </c>
      <c r="E8" s="60">
        <f>food_insecure</f>
        <v>7.2000000000000008E-2</v>
      </c>
      <c r="F8" s="60">
        <f>food_insecure</f>
        <v>7.2000000000000008E-2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185</v>
      </c>
      <c r="C9" s="60">
        <v>0</v>
      </c>
      <c r="D9" s="60">
        <v>0</v>
      </c>
      <c r="E9" s="60">
        <f>food_insecure</f>
        <v>7.2000000000000008E-2</v>
      </c>
      <c r="F9" s="60">
        <f>food_insecure</f>
        <v>7.2000000000000008E-2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150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186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192</v>
      </c>
      <c r="C12" s="60">
        <f>diarrhoea_1mo*frac_diarrhea_severe</f>
        <v>7.2000000000000008E-2</v>
      </c>
      <c r="D12" s="60">
        <f>diarrhoea_1_5mo*frac_diarrhea_severe</f>
        <v>7.2000000000000008E-2</v>
      </c>
      <c r="E12" s="60">
        <f>diarrhoea_6_11mo*frac_diarrhea_severe</f>
        <v>7.2000000000000008E-2</v>
      </c>
      <c r="F12" s="60">
        <f>diarrhoea_12_23mo*frac_diarrhea_severe</f>
        <v>7.2000000000000008E-2</v>
      </c>
      <c r="G12" s="60">
        <f>diarrhoea_24_59mo*frac_diarrhea_severe</f>
        <v>7.2000000000000008E-2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193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90</v>
      </c>
      <c r="B15" s="9" t="s">
        <v>159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7.2000000000000008E-2</v>
      </c>
      <c r="I15" s="60">
        <f t="shared" si="0"/>
        <v>7.2000000000000008E-2</v>
      </c>
      <c r="J15" s="60">
        <f t="shared" si="0"/>
        <v>7.2000000000000008E-2</v>
      </c>
      <c r="K15" s="60">
        <f t="shared" si="0"/>
        <v>7.2000000000000008E-2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161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7.2000000000000008E-2</v>
      </c>
      <c r="I16" s="60">
        <f t="shared" si="0"/>
        <v>7.2000000000000008E-2</v>
      </c>
      <c r="J16" s="60">
        <f t="shared" si="0"/>
        <v>7.2000000000000008E-2</v>
      </c>
      <c r="K16" s="60">
        <f t="shared" si="0"/>
        <v>7.2000000000000008E-2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172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173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174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0.9</v>
      </c>
      <c r="I19" s="60">
        <f>frac_malaria_risk</f>
        <v>0.9</v>
      </c>
      <c r="J19" s="60">
        <f>frac_malaria_risk</f>
        <v>0.9</v>
      </c>
      <c r="K19" s="60">
        <f>frac_malaria_risk</f>
        <v>0.9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179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180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182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200</v>
      </c>
      <c r="B24" s="11" t="s">
        <v>164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8.1000000000000003E-2</v>
      </c>
      <c r="M24" s="60">
        <f>famplan_unmet_need</f>
        <v>8.1000000000000003E-2</v>
      </c>
      <c r="N24" s="60">
        <f>famplan_unmet_need</f>
        <v>8.1000000000000003E-2</v>
      </c>
      <c r="O24" s="60">
        <f>famplan_unmet_need</f>
        <v>8.1000000000000003E-2</v>
      </c>
    </row>
    <row r="25" spans="1:15" ht="15.75" customHeight="1" x14ac:dyDescent="0.25">
      <c r="B25" s="11" t="s">
        <v>168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0.209980050896</v>
      </c>
      <c r="M25" s="60">
        <f>(1-food_insecure)*(0.49)+food_insecure*(0.7)</f>
        <v>0.50512000000000001</v>
      </c>
      <c r="N25" s="60">
        <f>(1-food_insecure)*(0.49)+food_insecure*(0.7)</f>
        <v>0.50512000000000001</v>
      </c>
      <c r="O25" s="60">
        <f>(1-food_insecure)*(0.49)+food_insecure*(0.7)</f>
        <v>0.50512000000000001</v>
      </c>
    </row>
    <row r="26" spans="1:15" ht="15.75" customHeight="1" x14ac:dyDescent="0.25">
      <c r="B26" s="11" t="s">
        <v>169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8.9991450383999999E-2</v>
      </c>
      <c r="M26" s="60">
        <f>(1-food_insecure)*(0.21)+food_insecure*(0.3)</f>
        <v>0.21647999999999998</v>
      </c>
      <c r="N26" s="60">
        <f>(1-food_insecure)*(0.21)+food_insecure*(0.3)</f>
        <v>0.21647999999999998</v>
      </c>
      <c r="O26" s="60">
        <f>(1-food_insecure)*(0.21)+food_insecure*(0.3)</f>
        <v>0.21647999999999998</v>
      </c>
    </row>
    <row r="27" spans="1:15" ht="15.75" customHeight="1" x14ac:dyDescent="0.25">
      <c r="B27" s="11" t="s">
        <v>170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0.11573179871999999</v>
      </c>
      <c r="M27" s="60">
        <f>(1-food_insecure)*(0.3)</f>
        <v>0.27839999999999998</v>
      </c>
      <c r="N27" s="60">
        <f>(1-food_insecure)*(0.3)</f>
        <v>0.27839999999999998</v>
      </c>
      <c r="O27" s="60">
        <f>(1-food_insecure)*(0.3)</f>
        <v>0.27839999999999998</v>
      </c>
    </row>
    <row r="28" spans="1:15" ht="15.75" customHeight="1" x14ac:dyDescent="0.25">
      <c r="B28" s="11" t="s">
        <v>171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0.5842967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201</v>
      </c>
      <c r="B30" s="5" t="s">
        <v>165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166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167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175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178</v>
      </c>
      <c r="C34" s="60">
        <f t="shared" ref="C34:O34" si="4">frac_malaria_risk</f>
        <v>0.9</v>
      </c>
      <c r="D34" s="60">
        <f t="shared" si="4"/>
        <v>0.9</v>
      </c>
      <c r="E34" s="60">
        <f t="shared" si="4"/>
        <v>0.9</v>
      </c>
      <c r="F34" s="60">
        <f t="shared" si="4"/>
        <v>0.9</v>
      </c>
      <c r="G34" s="60">
        <f t="shared" si="4"/>
        <v>0.9</v>
      </c>
      <c r="H34" s="60">
        <f t="shared" si="4"/>
        <v>0.9</v>
      </c>
      <c r="I34" s="60">
        <f t="shared" si="4"/>
        <v>0.9</v>
      </c>
      <c r="J34" s="60">
        <f t="shared" si="4"/>
        <v>0.9</v>
      </c>
      <c r="K34" s="60">
        <f t="shared" si="4"/>
        <v>0.9</v>
      </c>
      <c r="L34" s="60">
        <f t="shared" si="4"/>
        <v>0.9</v>
      </c>
      <c r="M34" s="60">
        <f t="shared" si="4"/>
        <v>0.9</v>
      </c>
      <c r="N34" s="60">
        <f t="shared" si="4"/>
        <v>0.9</v>
      </c>
      <c r="O34" s="60">
        <f t="shared" si="4"/>
        <v>0.9</v>
      </c>
    </row>
    <row r="35" spans="2:15" ht="15.75" customHeight="1" x14ac:dyDescent="0.25">
      <c r="B35" s="9" t="s">
        <v>187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188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189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190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191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wgo7XNr2JxP7Ql6m5BNK+l9KamJ34r23Y5jz1XN8+N7E+d6W6TRCIB4CvUfkpfDjYoTdBm3j/AY5J0WTPLstYw==" saltValue="tqaBG9v2e2aE4iDDli/elQ==" spinCount="100000" sheet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160</v>
      </c>
    </row>
    <row r="2" spans="1:1" x14ac:dyDescent="0.25">
      <c r="A2" s="8" t="s">
        <v>202</v>
      </c>
    </row>
    <row r="3" spans="1:1" x14ac:dyDescent="0.25">
      <c r="A3" s="8" t="s">
        <v>203</v>
      </c>
    </row>
    <row r="4" spans="1:1" x14ac:dyDescent="0.25">
      <c r="A4" s="8" t="s">
        <v>204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205</v>
      </c>
      <c r="B1" s="4" t="s">
        <v>206</v>
      </c>
      <c r="C1" s="4" t="s">
        <v>207</v>
      </c>
      <c r="D1" s="4" t="s">
        <v>135</v>
      </c>
      <c r="E1" s="4" t="s">
        <v>208</v>
      </c>
    </row>
    <row r="2" spans="1:5" ht="14" customHeight="1" x14ac:dyDescent="0.3">
      <c r="A2" s="28" t="s">
        <v>209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210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211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212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213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214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215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216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217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2" sqref="H12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199</v>
      </c>
      <c r="B1" s="1" t="s">
        <v>149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5">
      <c r="A2" s="4" t="s">
        <v>76</v>
      </c>
      <c r="B2" s="5" t="s">
        <v>162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163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141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144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145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176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177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181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183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184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185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150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186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192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193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90</v>
      </c>
      <c r="B18" s="5" t="s">
        <v>159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161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172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173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174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179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180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182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200</v>
      </c>
      <c r="B27" s="5" t="s">
        <v>164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168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169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170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171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201</v>
      </c>
      <c r="B33" s="5" t="s">
        <v>165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166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167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175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178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187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188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189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190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191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/iNx8XhXnh7Xx3uVehiCurwu84DzhXX8Awjv5OnRpydvMo//nxQizpEy+BvB5S3dYPWZ66+QPd4XSBmiXvnjlw==" saltValue="ZzUL++HyQF3FaTSDA9XqUQ==" spinCount="100000" sheet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topLeftCell="A15" workbookViewId="0">
      <selection activeCell="J18" sqref="J18"/>
    </sheetView>
  </sheetViews>
  <sheetFormatPr defaultColWidth="12.7265625" defaultRowHeight="12.5" x14ac:dyDescent="0.25"/>
  <cols>
    <col min="1" max="1" width="58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149</v>
      </c>
      <c r="B1" s="106" t="s">
        <v>218</v>
      </c>
      <c r="C1" s="106" t="s">
        <v>111</v>
      </c>
      <c r="D1" s="106" t="s">
        <v>219</v>
      </c>
      <c r="E1" s="106" t="s">
        <v>220</v>
      </c>
      <c r="F1" s="106" t="s">
        <v>118</v>
      </c>
      <c r="G1" s="106" t="s">
        <v>81</v>
      </c>
      <c r="H1" s="106" t="s">
        <v>32</v>
      </c>
      <c r="I1" s="106" t="s">
        <v>221</v>
      </c>
      <c r="J1" s="106" t="s">
        <v>25</v>
      </c>
      <c r="K1" s="106" t="s">
        <v>222</v>
      </c>
      <c r="L1" s="106" t="s">
        <v>369</v>
      </c>
    </row>
    <row r="2" spans="1:12" x14ac:dyDescent="0.25">
      <c r="A2" s="113" t="s">
        <v>159</v>
      </c>
      <c r="B2" s="114"/>
      <c r="C2" s="114"/>
      <c r="D2" s="114"/>
      <c r="E2" s="114"/>
      <c r="F2" s="114"/>
      <c r="G2" s="114"/>
      <c r="H2" s="114"/>
      <c r="I2" s="114" t="s">
        <v>142</v>
      </c>
      <c r="J2" s="114"/>
      <c r="K2" s="114"/>
      <c r="L2" s="114"/>
    </row>
    <row r="3" spans="1:12" x14ac:dyDescent="0.25">
      <c r="A3" s="113" t="s">
        <v>161</v>
      </c>
      <c r="B3" s="114"/>
      <c r="C3" s="114"/>
      <c r="D3" s="114"/>
      <c r="E3" s="114"/>
      <c r="F3" s="114"/>
      <c r="G3" s="114"/>
      <c r="H3" s="114" t="s">
        <v>142</v>
      </c>
      <c r="I3" s="114" t="s">
        <v>142</v>
      </c>
      <c r="J3" s="114"/>
      <c r="K3" s="114"/>
      <c r="L3" s="114"/>
    </row>
    <row r="4" spans="1:12" x14ac:dyDescent="0.25">
      <c r="A4" s="113" t="s">
        <v>162</v>
      </c>
      <c r="B4" s="114" t="s">
        <v>142</v>
      </c>
      <c r="C4" s="114"/>
      <c r="D4" s="114" t="s">
        <v>142</v>
      </c>
      <c r="E4" s="114"/>
      <c r="F4" s="114"/>
      <c r="G4" s="114"/>
      <c r="H4" s="114"/>
      <c r="I4" s="114"/>
      <c r="J4" s="114"/>
      <c r="K4" s="114"/>
      <c r="L4" s="114"/>
    </row>
    <row r="5" spans="1:12" x14ac:dyDescent="0.25">
      <c r="A5" s="113" t="s">
        <v>163</v>
      </c>
      <c r="B5" s="114"/>
      <c r="C5" s="114" t="s">
        <v>142</v>
      </c>
      <c r="D5" s="114"/>
      <c r="E5" s="114"/>
      <c r="F5" s="114"/>
      <c r="G5" s="114"/>
      <c r="H5" s="114"/>
      <c r="I5" s="114"/>
      <c r="J5" s="114"/>
      <c r="K5" s="114"/>
      <c r="L5" s="114"/>
    </row>
    <row r="6" spans="1:12" x14ac:dyDescent="0.25">
      <c r="A6" s="113" t="s">
        <v>164</v>
      </c>
      <c r="B6" s="114"/>
      <c r="C6" s="114"/>
      <c r="D6" s="114"/>
      <c r="E6" s="114"/>
      <c r="F6" s="114"/>
      <c r="G6" s="114"/>
      <c r="H6" s="114"/>
      <c r="I6" s="114"/>
      <c r="J6" s="114" t="s">
        <v>142</v>
      </c>
      <c r="K6" s="114" t="s">
        <v>142</v>
      </c>
      <c r="L6" s="114"/>
    </row>
    <row r="7" spans="1:12" x14ac:dyDescent="0.25">
      <c r="A7" s="113" t="s">
        <v>165</v>
      </c>
      <c r="B7" s="114"/>
      <c r="C7" s="114" t="s">
        <v>142</v>
      </c>
      <c r="D7" s="114"/>
      <c r="E7" s="114"/>
      <c r="F7" s="114"/>
      <c r="G7" s="114"/>
      <c r="H7" s="114" t="s">
        <v>142</v>
      </c>
      <c r="I7" s="114"/>
      <c r="J7" s="114"/>
      <c r="K7" s="114"/>
      <c r="L7" s="114"/>
    </row>
    <row r="8" spans="1:12" x14ac:dyDescent="0.25">
      <c r="A8" s="113" t="s">
        <v>166</v>
      </c>
      <c r="B8" s="114"/>
      <c r="C8" s="114" t="s">
        <v>142</v>
      </c>
      <c r="D8" s="114"/>
      <c r="E8" s="114"/>
      <c r="F8" s="114"/>
      <c r="G8" s="114"/>
      <c r="H8" s="114" t="s">
        <v>142</v>
      </c>
      <c r="I8" s="114"/>
      <c r="J8" s="114"/>
      <c r="K8" s="114"/>
      <c r="L8" s="114"/>
    </row>
    <row r="9" spans="1:12" x14ac:dyDescent="0.25">
      <c r="A9" s="113" t="s">
        <v>167</v>
      </c>
      <c r="B9" s="114"/>
      <c r="C9" s="114" t="s">
        <v>142</v>
      </c>
      <c r="D9" s="114"/>
      <c r="E9" s="114"/>
      <c r="F9" s="114"/>
      <c r="G9" s="114"/>
      <c r="H9" s="114" t="s">
        <v>142</v>
      </c>
      <c r="I9" s="114"/>
      <c r="J9" s="114"/>
      <c r="K9" s="114"/>
      <c r="L9" s="114"/>
    </row>
    <row r="10" spans="1:12" x14ac:dyDescent="0.25">
      <c r="A10" s="113" t="s">
        <v>168</v>
      </c>
      <c r="B10" s="114"/>
      <c r="C10" s="114" t="s">
        <v>142</v>
      </c>
      <c r="D10" s="114"/>
      <c r="E10" s="114"/>
      <c r="F10" s="114"/>
      <c r="G10" s="114"/>
      <c r="H10" s="114"/>
      <c r="I10" s="114"/>
      <c r="J10" s="114"/>
      <c r="K10" s="114"/>
      <c r="L10" s="114"/>
    </row>
    <row r="11" spans="1:12" x14ac:dyDescent="0.25">
      <c r="A11" s="113" t="s">
        <v>169</v>
      </c>
      <c r="B11" s="114"/>
      <c r="C11" s="114" t="s">
        <v>142</v>
      </c>
      <c r="D11" s="114"/>
      <c r="E11" s="114"/>
      <c r="F11" s="114"/>
      <c r="G11" s="114"/>
      <c r="H11" s="114"/>
      <c r="I11" s="114"/>
      <c r="J11" s="114"/>
      <c r="K11" s="114"/>
      <c r="L11" s="114"/>
    </row>
    <row r="12" spans="1:12" x14ac:dyDescent="0.25">
      <c r="A12" s="113" t="s">
        <v>170</v>
      </c>
      <c r="B12" s="114"/>
      <c r="C12" s="114" t="s">
        <v>142</v>
      </c>
      <c r="D12" s="114"/>
      <c r="E12" s="114"/>
      <c r="F12" s="114"/>
      <c r="G12" s="114"/>
      <c r="H12" s="114"/>
      <c r="I12" s="114"/>
      <c r="J12" s="114"/>
      <c r="K12" s="114"/>
      <c r="L12" s="114"/>
    </row>
    <row r="13" spans="1:12" x14ac:dyDescent="0.25">
      <c r="A13" s="113" t="s">
        <v>171</v>
      </c>
      <c r="B13" s="114"/>
      <c r="C13" s="114" t="s">
        <v>142</v>
      </c>
      <c r="D13" s="114"/>
      <c r="E13" s="114"/>
      <c r="F13" s="114"/>
      <c r="G13" s="114"/>
      <c r="H13" s="114"/>
      <c r="I13" s="114"/>
      <c r="J13" s="114"/>
      <c r="K13" s="114"/>
      <c r="L13" s="114"/>
    </row>
    <row r="14" spans="1:12" x14ac:dyDescent="0.25">
      <c r="A14" s="115" t="s">
        <v>172</v>
      </c>
      <c r="B14" s="114"/>
      <c r="C14" s="114" t="s">
        <v>142</v>
      </c>
      <c r="D14" s="114"/>
      <c r="E14" s="114"/>
      <c r="F14" s="114"/>
      <c r="G14" s="114"/>
      <c r="H14" s="114"/>
      <c r="I14" s="114" t="s">
        <v>142</v>
      </c>
      <c r="J14" s="114"/>
      <c r="K14" s="114"/>
      <c r="L14" s="114"/>
    </row>
    <row r="15" spans="1:12" x14ac:dyDescent="0.25">
      <c r="A15" s="115" t="s">
        <v>173</v>
      </c>
      <c r="B15" s="114"/>
      <c r="C15" s="114" t="s">
        <v>142</v>
      </c>
      <c r="D15" s="114"/>
      <c r="E15" s="114"/>
      <c r="F15" s="114"/>
      <c r="G15" s="114"/>
      <c r="H15" s="114"/>
      <c r="I15" s="114" t="s">
        <v>142</v>
      </c>
      <c r="J15" s="114"/>
      <c r="K15" s="114"/>
      <c r="L15" s="114"/>
    </row>
    <row r="16" spans="1:12" x14ac:dyDescent="0.25">
      <c r="A16" s="113" t="s">
        <v>174</v>
      </c>
      <c r="B16" s="114"/>
      <c r="C16" s="114" t="s">
        <v>142</v>
      </c>
      <c r="D16" s="114"/>
      <c r="E16" s="114"/>
      <c r="F16" s="114"/>
      <c r="G16" s="114"/>
      <c r="H16" s="114" t="s">
        <v>142</v>
      </c>
      <c r="I16" s="114" t="s">
        <v>142</v>
      </c>
      <c r="J16" s="114"/>
      <c r="K16" s="114"/>
      <c r="L16" s="114"/>
    </row>
    <row r="17" spans="1:12" x14ac:dyDescent="0.25">
      <c r="A17" s="113" t="s">
        <v>175</v>
      </c>
      <c r="B17" s="114"/>
      <c r="C17" s="114" t="s">
        <v>142</v>
      </c>
      <c r="D17" s="114"/>
      <c r="E17" s="114"/>
      <c r="F17" s="114"/>
      <c r="G17" s="114"/>
      <c r="H17" s="114"/>
      <c r="I17" s="114"/>
      <c r="J17" s="114"/>
      <c r="K17" s="114"/>
      <c r="L17" s="114"/>
    </row>
    <row r="18" spans="1:12" x14ac:dyDescent="0.25">
      <c r="A18" s="113" t="s">
        <v>141</v>
      </c>
      <c r="B18" s="114" t="s">
        <v>142</v>
      </c>
      <c r="C18" s="114"/>
      <c r="D18" s="114"/>
      <c r="E18" s="114"/>
      <c r="F18" s="114" t="s">
        <v>142</v>
      </c>
      <c r="G18" s="114"/>
      <c r="H18" s="114"/>
      <c r="I18" s="114"/>
      <c r="J18" s="114"/>
      <c r="K18" s="114"/>
      <c r="L18" s="114"/>
    </row>
    <row r="19" spans="1:12" x14ac:dyDescent="0.25">
      <c r="A19" s="113" t="s">
        <v>144</v>
      </c>
      <c r="B19" s="114" t="s">
        <v>142</v>
      </c>
      <c r="C19" s="114"/>
      <c r="D19" s="114"/>
      <c r="E19" s="114"/>
      <c r="F19" s="114" t="s">
        <v>142</v>
      </c>
      <c r="G19" s="114"/>
      <c r="H19" s="114"/>
      <c r="I19" s="114"/>
      <c r="J19" s="114"/>
      <c r="K19" s="114"/>
      <c r="L19" s="114"/>
    </row>
    <row r="20" spans="1:12" x14ac:dyDescent="0.25">
      <c r="A20" s="113" t="s">
        <v>145</v>
      </c>
      <c r="B20" s="114" t="s">
        <v>142</v>
      </c>
      <c r="C20" s="114"/>
      <c r="D20" s="114"/>
      <c r="E20" s="114"/>
      <c r="F20" s="114" t="s">
        <v>142</v>
      </c>
      <c r="G20" s="114"/>
      <c r="H20" s="114"/>
      <c r="I20" s="114"/>
      <c r="J20" s="114"/>
      <c r="K20" s="114"/>
      <c r="L20" s="114"/>
    </row>
    <row r="21" spans="1:12" x14ac:dyDescent="0.25">
      <c r="A21" s="113" t="s">
        <v>176</v>
      </c>
      <c r="B21" s="114"/>
      <c r="C21" s="114"/>
      <c r="D21" s="114"/>
      <c r="E21" s="114"/>
      <c r="F21" s="114"/>
      <c r="G21" s="114"/>
      <c r="H21" s="114" t="s">
        <v>142</v>
      </c>
      <c r="I21" s="114" t="s">
        <v>142</v>
      </c>
      <c r="J21" s="114"/>
      <c r="K21" s="114"/>
      <c r="L21" s="114"/>
    </row>
    <row r="22" spans="1:12" x14ac:dyDescent="0.25">
      <c r="A22" s="113" t="s">
        <v>177</v>
      </c>
      <c r="B22" s="114" t="s">
        <v>142</v>
      </c>
      <c r="C22" s="114" t="s">
        <v>142</v>
      </c>
      <c r="D22" s="114" t="s">
        <v>142</v>
      </c>
      <c r="E22" s="114"/>
      <c r="F22" s="114"/>
      <c r="G22" s="114"/>
      <c r="H22" s="114"/>
      <c r="I22" s="114"/>
      <c r="J22" s="114"/>
      <c r="K22" s="114"/>
      <c r="L22" s="114"/>
    </row>
    <row r="23" spans="1:12" x14ac:dyDescent="0.25">
      <c r="A23" s="113" t="s">
        <v>178</v>
      </c>
      <c r="B23" s="114"/>
      <c r="C23" s="114" t="s">
        <v>142</v>
      </c>
      <c r="D23" s="114"/>
      <c r="E23" s="114"/>
      <c r="F23" s="114"/>
      <c r="G23" s="114"/>
      <c r="H23" s="114"/>
      <c r="I23" s="114" t="s">
        <v>142</v>
      </c>
      <c r="J23" s="114"/>
      <c r="K23" s="114"/>
      <c r="L23" s="114"/>
    </row>
    <row r="24" spans="1:12" x14ac:dyDescent="0.25">
      <c r="A24" s="113" t="s">
        <v>179</v>
      </c>
      <c r="B24" s="114"/>
      <c r="C24" s="114"/>
      <c r="D24" s="114"/>
      <c r="E24" s="114"/>
      <c r="F24" s="114"/>
      <c r="G24" s="114"/>
      <c r="H24" s="114" t="s">
        <v>142</v>
      </c>
      <c r="I24" s="114"/>
      <c r="J24" s="114"/>
      <c r="K24" s="114"/>
      <c r="L24" s="114"/>
    </row>
    <row r="25" spans="1:12" x14ac:dyDescent="0.25">
      <c r="A25" s="113" t="s">
        <v>180</v>
      </c>
      <c r="B25" s="114"/>
      <c r="C25" s="114"/>
      <c r="D25" s="114"/>
      <c r="E25" s="114"/>
      <c r="F25" s="114"/>
      <c r="G25" s="114"/>
      <c r="H25" s="114" t="s">
        <v>142</v>
      </c>
      <c r="I25" s="114"/>
      <c r="J25" s="114"/>
      <c r="K25" s="114"/>
      <c r="L25" s="114"/>
    </row>
    <row r="26" spans="1:12" x14ac:dyDescent="0.25">
      <c r="A26" s="113" t="s">
        <v>181</v>
      </c>
      <c r="B26" s="114"/>
      <c r="C26" s="114" t="s">
        <v>142</v>
      </c>
      <c r="D26" s="114"/>
      <c r="E26" s="114"/>
      <c r="F26" s="114"/>
      <c r="G26" s="114"/>
      <c r="H26" s="114"/>
      <c r="I26" s="114"/>
      <c r="J26" s="114"/>
      <c r="K26" s="114"/>
      <c r="L26" s="114"/>
    </row>
    <row r="27" spans="1:12" x14ac:dyDescent="0.25">
      <c r="A27" s="113" t="s">
        <v>182</v>
      </c>
      <c r="B27" s="114"/>
      <c r="C27" s="114" t="s">
        <v>142</v>
      </c>
      <c r="D27" s="114"/>
      <c r="E27" s="114"/>
      <c r="F27" s="114"/>
      <c r="G27" s="114"/>
      <c r="H27" s="114"/>
      <c r="I27" s="114" t="s">
        <v>142</v>
      </c>
      <c r="J27" s="114"/>
      <c r="K27" s="114"/>
      <c r="L27" s="114" t="s">
        <v>142</v>
      </c>
    </row>
    <row r="28" spans="1:12" x14ac:dyDescent="0.25">
      <c r="A28" s="113" t="s">
        <v>183</v>
      </c>
      <c r="B28" s="114"/>
      <c r="C28" s="114"/>
      <c r="D28" s="114"/>
      <c r="E28" s="114"/>
      <c r="F28" s="114"/>
      <c r="G28" s="114"/>
      <c r="H28" s="114" t="s">
        <v>142</v>
      </c>
      <c r="I28" s="114"/>
      <c r="J28" s="114"/>
      <c r="K28" s="114"/>
      <c r="L28" s="114"/>
    </row>
    <row r="29" spans="1:12" x14ac:dyDescent="0.25">
      <c r="A29" s="113" t="s">
        <v>184</v>
      </c>
      <c r="B29" s="114" t="s">
        <v>142</v>
      </c>
      <c r="C29" s="114"/>
      <c r="D29" s="114" t="s">
        <v>142</v>
      </c>
      <c r="E29" s="114"/>
      <c r="F29" s="114"/>
      <c r="G29" s="114"/>
      <c r="H29" s="114"/>
      <c r="I29" s="114"/>
      <c r="J29" s="114"/>
      <c r="K29" s="114"/>
      <c r="L29" s="114"/>
    </row>
    <row r="30" spans="1:12" x14ac:dyDescent="0.25">
      <c r="A30" s="113" t="s">
        <v>185</v>
      </c>
      <c r="B30" s="114" t="s">
        <v>142</v>
      </c>
      <c r="C30" s="114" t="s">
        <v>142</v>
      </c>
      <c r="D30" s="114" t="s">
        <v>142</v>
      </c>
      <c r="E30" s="114"/>
      <c r="F30" s="114"/>
      <c r="G30" s="114"/>
      <c r="H30" s="114" t="s">
        <v>142</v>
      </c>
      <c r="I30" s="114"/>
      <c r="J30" s="114"/>
      <c r="K30" s="114"/>
      <c r="L30" s="114"/>
    </row>
    <row r="31" spans="1:12" x14ac:dyDescent="0.25">
      <c r="A31" s="113" t="s">
        <v>150</v>
      </c>
      <c r="B31" s="114"/>
      <c r="C31" s="114"/>
      <c r="D31" s="114"/>
      <c r="E31" s="114" t="s">
        <v>142</v>
      </c>
      <c r="F31" s="114"/>
      <c r="G31" s="114"/>
      <c r="H31" s="114"/>
      <c r="I31" s="114"/>
      <c r="J31" s="114"/>
      <c r="K31" s="114"/>
      <c r="L31" s="114"/>
    </row>
    <row r="32" spans="1:12" x14ac:dyDescent="0.25">
      <c r="A32" s="113" t="s">
        <v>186</v>
      </c>
      <c r="B32" s="114"/>
      <c r="C32" s="114"/>
      <c r="D32" s="114"/>
      <c r="E32" s="114"/>
      <c r="F32" s="114"/>
      <c r="G32" s="114" t="s">
        <v>142</v>
      </c>
      <c r="H32" s="114" t="s">
        <v>142</v>
      </c>
      <c r="I32" s="114"/>
      <c r="J32" s="114"/>
      <c r="K32" s="114"/>
      <c r="L32" s="114"/>
    </row>
    <row r="33" spans="1:12" x14ac:dyDescent="0.25">
      <c r="A33" s="113" t="s">
        <v>187</v>
      </c>
      <c r="B33" s="114"/>
      <c r="C33" s="114"/>
      <c r="D33" s="114"/>
      <c r="E33" s="114"/>
      <c r="F33" s="114"/>
      <c r="G33" s="114" t="s">
        <v>142</v>
      </c>
      <c r="H33" s="114" t="s">
        <v>142</v>
      </c>
      <c r="I33" s="114"/>
      <c r="J33" s="114"/>
      <c r="K33" s="114"/>
      <c r="L33" s="114"/>
    </row>
    <row r="34" spans="1:12" x14ac:dyDescent="0.25">
      <c r="A34" s="113" t="s">
        <v>188</v>
      </c>
      <c r="B34" s="114"/>
      <c r="C34" s="114"/>
      <c r="D34" s="114"/>
      <c r="E34" s="114"/>
      <c r="F34" s="114"/>
      <c r="G34" s="114" t="s">
        <v>142</v>
      </c>
      <c r="H34" s="114" t="s">
        <v>142</v>
      </c>
      <c r="I34" s="114"/>
      <c r="J34" s="114"/>
      <c r="K34" s="114"/>
      <c r="L34" s="114"/>
    </row>
    <row r="35" spans="1:12" x14ac:dyDescent="0.25">
      <c r="A35" s="113" t="s">
        <v>189</v>
      </c>
      <c r="B35" s="114"/>
      <c r="C35" s="114"/>
      <c r="D35" s="114"/>
      <c r="E35" s="114"/>
      <c r="F35" s="114"/>
      <c r="G35" s="114" t="s">
        <v>142</v>
      </c>
      <c r="H35" s="114" t="s">
        <v>142</v>
      </c>
      <c r="I35" s="114"/>
      <c r="J35" s="114"/>
      <c r="K35" s="114"/>
      <c r="L35" s="114"/>
    </row>
    <row r="36" spans="1:12" x14ac:dyDescent="0.25">
      <c r="A36" s="113" t="s">
        <v>190</v>
      </c>
      <c r="B36" s="114"/>
      <c r="C36" s="114"/>
      <c r="D36" s="114"/>
      <c r="E36" s="114"/>
      <c r="F36" s="114"/>
      <c r="G36" s="114" t="s">
        <v>142</v>
      </c>
      <c r="H36" s="114" t="s">
        <v>142</v>
      </c>
      <c r="I36" s="114"/>
      <c r="J36" s="114"/>
      <c r="K36" s="114"/>
      <c r="L36" s="114"/>
    </row>
    <row r="37" spans="1:12" x14ac:dyDescent="0.25">
      <c r="A37" s="113" t="s">
        <v>191</v>
      </c>
      <c r="B37" s="114"/>
      <c r="C37" s="114"/>
      <c r="D37" s="114"/>
      <c r="E37" s="114"/>
      <c r="F37" s="114"/>
      <c r="G37" s="114" t="s">
        <v>142</v>
      </c>
      <c r="H37" s="114" t="s">
        <v>142</v>
      </c>
      <c r="I37" s="114"/>
      <c r="J37" s="114"/>
      <c r="K37" s="114"/>
      <c r="L37" s="114"/>
    </row>
    <row r="38" spans="1:12" x14ac:dyDescent="0.25">
      <c r="A38" s="113" t="s">
        <v>192</v>
      </c>
      <c r="B38" s="114"/>
      <c r="C38" s="114"/>
      <c r="D38" s="114"/>
      <c r="E38" s="114"/>
      <c r="F38" s="114"/>
      <c r="G38" s="114"/>
      <c r="H38" s="114" t="s">
        <v>142</v>
      </c>
      <c r="I38" s="114"/>
      <c r="J38" s="114"/>
      <c r="K38" s="114"/>
      <c r="L38" s="114"/>
    </row>
    <row r="39" spans="1:12" x14ac:dyDescent="0.25">
      <c r="A39" s="113" t="s">
        <v>193</v>
      </c>
      <c r="B39" s="114" t="s">
        <v>142</v>
      </c>
      <c r="C39" s="114"/>
      <c r="D39" s="114"/>
      <c r="E39" s="114"/>
      <c r="F39" s="114"/>
      <c r="G39" s="114" t="s">
        <v>142</v>
      </c>
      <c r="H39" s="114" t="s">
        <v>142</v>
      </c>
      <c r="I39" s="114"/>
      <c r="J39" s="114"/>
      <c r="K39" s="114"/>
      <c r="L39" s="114"/>
    </row>
  </sheetData>
  <sheetProtection algorithmName="SHA-512" hashValue="PpWpoVdW19iDLvJ4e413CflgKwgDbvZhfHAZSGUGkQQ6+V9HnAOWg+p+gaHwieH6gthkRXdIc9tFKvP2sDftrA==" saltValue="6DJdExNkvnNmcHBrJ/VGBQ==" spinCount="100000" sheet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H15" sqref="H15"/>
    </sheetView>
  </sheetViews>
  <sheetFormatPr defaultColWidth="12.7265625" defaultRowHeight="12.5" x14ac:dyDescent="0.25"/>
  <cols>
    <col min="1" max="1" width="16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223</v>
      </c>
      <c r="B1" s="106" t="s">
        <v>218</v>
      </c>
      <c r="C1" s="106" t="s">
        <v>111</v>
      </c>
      <c r="D1" s="106" t="s">
        <v>219</v>
      </c>
      <c r="E1" s="106" t="s">
        <v>220</v>
      </c>
      <c r="F1" s="106" t="s">
        <v>118</v>
      </c>
      <c r="G1" s="106" t="s">
        <v>81</v>
      </c>
      <c r="H1" s="106" t="s">
        <v>32</v>
      </c>
      <c r="I1" s="106" t="s">
        <v>221</v>
      </c>
      <c r="J1" s="106" t="s">
        <v>25</v>
      </c>
      <c r="K1" s="106" t="s">
        <v>222</v>
      </c>
      <c r="L1" s="106" t="s">
        <v>369</v>
      </c>
    </row>
    <row r="2" spans="1:12" x14ac:dyDescent="0.25">
      <c r="A2" s="106" t="s">
        <v>67</v>
      </c>
      <c r="B2" s="114" t="s">
        <v>142</v>
      </c>
      <c r="C2" s="114" t="s">
        <v>142</v>
      </c>
      <c r="D2" s="114" t="s">
        <v>142</v>
      </c>
      <c r="E2" s="114" t="s">
        <v>142</v>
      </c>
      <c r="F2" s="114" t="s">
        <v>142</v>
      </c>
      <c r="G2" s="114" t="s">
        <v>142</v>
      </c>
      <c r="H2" s="114" t="s">
        <v>142</v>
      </c>
      <c r="I2" s="114"/>
      <c r="J2" s="114"/>
      <c r="K2" s="114"/>
      <c r="L2" s="114"/>
    </row>
    <row r="3" spans="1:12" x14ac:dyDescent="0.25">
      <c r="A3" s="106" t="s">
        <v>77</v>
      </c>
      <c r="B3" s="114" t="s">
        <v>142</v>
      </c>
      <c r="C3" s="114" t="s">
        <v>142</v>
      </c>
      <c r="D3" s="114" t="s">
        <v>142</v>
      </c>
      <c r="E3" s="114" t="s">
        <v>142</v>
      </c>
      <c r="F3" s="114" t="s">
        <v>142</v>
      </c>
      <c r="G3" s="114" t="s">
        <v>142</v>
      </c>
      <c r="H3" s="114" t="s">
        <v>142</v>
      </c>
      <c r="I3" s="114"/>
      <c r="J3" s="114"/>
      <c r="K3" s="114"/>
      <c r="L3" s="114"/>
    </row>
    <row r="4" spans="1:12" x14ac:dyDescent="0.25">
      <c r="A4" s="106" t="s">
        <v>78</v>
      </c>
      <c r="B4" s="114" t="s">
        <v>142</v>
      </c>
      <c r="C4" s="114" t="s">
        <v>142</v>
      </c>
      <c r="D4" s="114" t="s">
        <v>142</v>
      </c>
      <c r="E4" s="114" t="s">
        <v>142</v>
      </c>
      <c r="F4" s="114" t="s">
        <v>142</v>
      </c>
      <c r="G4" s="114" t="s">
        <v>142</v>
      </c>
      <c r="H4" s="114" t="s">
        <v>142</v>
      </c>
      <c r="I4" s="114"/>
      <c r="J4" s="114"/>
      <c r="K4" s="114"/>
      <c r="L4" s="114"/>
    </row>
    <row r="5" spans="1:12" x14ac:dyDescent="0.25">
      <c r="A5" s="106" t="s">
        <v>79</v>
      </c>
      <c r="B5" s="114" t="s">
        <v>142</v>
      </c>
      <c r="C5" s="114" t="s">
        <v>142</v>
      </c>
      <c r="D5" s="114" t="s">
        <v>142</v>
      </c>
      <c r="E5" s="114" t="s">
        <v>142</v>
      </c>
      <c r="F5" s="114" t="s">
        <v>142</v>
      </c>
      <c r="G5" s="114" t="s">
        <v>142</v>
      </c>
      <c r="H5" s="114" t="s">
        <v>142</v>
      </c>
      <c r="I5" s="114"/>
      <c r="J5" s="114"/>
      <c r="K5" s="114"/>
      <c r="L5" s="114"/>
    </row>
    <row r="6" spans="1:12" x14ac:dyDescent="0.25">
      <c r="A6" s="106" t="s">
        <v>80</v>
      </c>
      <c r="B6" s="114" t="s">
        <v>142</v>
      </c>
      <c r="C6" s="114" t="s">
        <v>142</v>
      </c>
      <c r="D6" s="114" t="s">
        <v>142</v>
      </c>
      <c r="E6" s="114" t="s">
        <v>142</v>
      </c>
      <c r="F6" s="114" t="s">
        <v>142</v>
      </c>
      <c r="G6" s="114" t="s">
        <v>142</v>
      </c>
      <c r="H6" s="114" t="s">
        <v>142</v>
      </c>
      <c r="I6" s="114"/>
      <c r="J6" s="114"/>
      <c r="K6" s="114"/>
      <c r="L6" s="114"/>
    </row>
    <row r="7" spans="1:12" x14ac:dyDescent="0.25">
      <c r="A7" s="106" t="s">
        <v>112</v>
      </c>
      <c r="B7" s="114"/>
      <c r="C7" s="114" t="s">
        <v>142</v>
      </c>
      <c r="D7" s="114"/>
      <c r="E7" s="114"/>
      <c r="F7" s="114"/>
      <c r="G7" s="114"/>
      <c r="H7" s="114" t="s">
        <v>142</v>
      </c>
      <c r="I7" s="114" t="s">
        <v>142</v>
      </c>
      <c r="J7" s="114"/>
      <c r="K7" s="114"/>
      <c r="L7" s="114" t="s">
        <v>142</v>
      </c>
    </row>
    <row r="8" spans="1:12" x14ac:dyDescent="0.25">
      <c r="A8" s="106" t="s">
        <v>113</v>
      </c>
      <c r="B8" s="114"/>
      <c r="C8" s="114" t="s">
        <v>142</v>
      </c>
      <c r="D8" s="114"/>
      <c r="E8" s="114"/>
      <c r="F8" s="114"/>
      <c r="G8" s="114"/>
      <c r="H8" s="114" t="s">
        <v>142</v>
      </c>
      <c r="I8" s="114" t="s">
        <v>142</v>
      </c>
      <c r="J8" s="114"/>
      <c r="K8" s="114"/>
      <c r="L8" s="114" t="s">
        <v>142</v>
      </c>
    </row>
    <row r="9" spans="1:12" x14ac:dyDescent="0.25">
      <c r="A9" s="106" t="s">
        <v>114</v>
      </c>
      <c r="B9" s="114"/>
      <c r="C9" s="114" t="s">
        <v>142</v>
      </c>
      <c r="D9" s="114"/>
      <c r="E9" s="114"/>
      <c r="F9" s="114"/>
      <c r="G9" s="114"/>
      <c r="H9" s="114" t="s">
        <v>142</v>
      </c>
      <c r="I9" s="114" t="s">
        <v>142</v>
      </c>
      <c r="J9" s="114"/>
      <c r="K9" s="114"/>
      <c r="L9" s="114" t="s">
        <v>142</v>
      </c>
    </row>
    <row r="10" spans="1:12" x14ac:dyDescent="0.25">
      <c r="A10" s="106" t="s">
        <v>115</v>
      </c>
      <c r="B10" s="114"/>
      <c r="C10" s="114" t="s">
        <v>142</v>
      </c>
      <c r="D10" s="114"/>
      <c r="E10" s="114"/>
      <c r="F10" s="114"/>
      <c r="G10" s="114"/>
      <c r="H10" s="114" t="s">
        <v>142</v>
      </c>
      <c r="I10" s="114" t="s">
        <v>142</v>
      </c>
      <c r="J10" s="114"/>
      <c r="K10" s="114"/>
      <c r="L10" s="114" t="s">
        <v>142</v>
      </c>
    </row>
    <row r="11" spans="1:12" x14ac:dyDescent="0.25">
      <c r="A11" s="106" t="s">
        <v>58</v>
      </c>
      <c r="B11" s="114"/>
      <c r="C11" s="114" t="s">
        <v>142</v>
      </c>
      <c r="D11" s="114"/>
      <c r="E11" s="114"/>
      <c r="F11" s="114"/>
      <c r="G11" s="114"/>
      <c r="H11" s="114"/>
      <c r="I11" s="114"/>
      <c r="J11" s="114" t="s">
        <v>142</v>
      </c>
      <c r="K11" s="114" t="s">
        <v>142</v>
      </c>
      <c r="L11" s="114"/>
    </row>
    <row r="12" spans="1:12" x14ac:dyDescent="0.25">
      <c r="A12" s="106" t="s">
        <v>59</v>
      </c>
      <c r="B12" s="114"/>
      <c r="C12" s="114" t="s">
        <v>142</v>
      </c>
      <c r="D12" s="114"/>
      <c r="E12" s="114"/>
      <c r="F12" s="114"/>
      <c r="G12" s="114"/>
      <c r="H12" s="114"/>
      <c r="I12" s="114"/>
      <c r="J12" s="114"/>
      <c r="K12" s="114" t="s">
        <v>142</v>
      </c>
      <c r="L12" s="114"/>
    </row>
    <row r="13" spans="1:12" x14ac:dyDescent="0.25">
      <c r="A13" s="106" t="s">
        <v>60</v>
      </c>
      <c r="B13" s="114"/>
      <c r="C13" s="114" t="s">
        <v>142</v>
      </c>
      <c r="D13" s="114"/>
      <c r="E13" s="114"/>
      <c r="F13" s="114"/>
      <c r="G13" s="114"/>
      <c r="H13" s="114"/>
      <c r="I13" s="114"/>
      <c r="J13" s="114"/>
      <c r="K13" s="114" t="s">
        <v>142</v>
      </c>
      <c r="L13" s="114"/>
    </row>
    <row r="14" spans="1:12" x14ac:dyDescent="0.25">
      <c r="A14" s="106" t="s">
        <v>61</v>
      </c>
      <c r="B14" s="114"/>
      <c r="C14" s="114" t="s">
        <v>142</v>
      </c>
      <c r="D14" s="114"/>
      <c r="E14" s="114"/>
      <c r="F14" s="114"/>
      <c r="G14" s="114"/>
      <c r="H14" s="114"/>
      <c r="I14" s="114"/>
      <c r="J14" s="114"/>
      <c r="K14" s="114" t="s">
        <v>142</v>
      </c>
      <c r="L14" s="114"/>
    </row>
  </sheetData>
  <sheetProtection algorithmName="SHA-512" hashValue="f7+GSWgBQp+zgIaGbRM8MuvAIXAsNljN3lrWAwu/eaytrp/6A4IYhPB4cLjzfMvTXu/5ocIYRO7yO0TVFGYCnw==" saltValue="wnJyf+RW4qQkik6uRZECIg==" spinCount="100000" sheet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224</v>
      </c>
      <c r="B1" s="4" t="s">
        <v>137</v>
      </c>
      <c r="C1" s="4" t="s">
        <v>152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10" ht="13" x14ac:dyDescent="0.3">
      <c r="A2" s="4" t="s">
        <v>225</v>
      </c>
      <c r="B2" s="126" t="s">
        <v>90</v>
      </c>
      <c r="C2" s="8" t="s">
        <v>138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7"/>
      <c r="C3" s="8" t="s">
        <v>139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7"/>
      <c r="C4" s="8" t="s">
        <v>140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6" t="s">
        <v>67</v>
      </c>
      <c r="C5" s="8" t="s">
        <v>138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7"/>
      <c r="C6" s="8" t="s">
        <v>139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7"/>
      <c r="C7" s="8" t="s">
        <v>140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6" t="s">
        <v>77</v>
      </c>
      <c r="C8" s="8" t="s">
        <v>138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7"/>
      <c r="C9" s="8" t="s">
        <v>139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7"/>
      <c r="C10" s="8" t="s">
        <v>140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6" t="s">
        <v>78</v>
      </c>
      <c r="C11" s="8" t="s">
        <v>138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7"/>
      <c r="C12" s="8" t="s">
        <v>139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7"/>
      <c r="C13" s="8" t="s">
        <v>140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6" t="s">
        <v>79</v>
      </c>
      <c r="C14" s="8" t="s">
        <v>138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7"/>
      <c r="C15" s="8" t="s">
        <v>139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7"/>
      <c r="C16" s="8" t="s">
        <v>140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143</v>
      </c>
      <c r="C17" s="8" t="s">
        <v>140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226</v>
      </c>
      <c r="B19" s="126" t="s">
        <v>90</v>
      </c>
      <c r="C19" s="8" t="s">
        <v>138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7"/>
      <c r="C20" s="8" t="s">
        <v>139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7"/>
      <c r="C21" s="8" t="s">
        <v>140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6" t="s">
        <v>67</v>
      </c>
      <c r="C22" s="8" t="s">
        <v>138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7"/>
      <c r="C23" s="8" t="s">
        <v>139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7"/>
      <c r="C24" s="8" t="s">
        <v>140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6" t="s">
        <v>77</v>
      </c>
      <c r="C25" s="8" t="s">
        <v>138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7"/>
      <c r="C26" s="8" t="s">
        <v>139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7"/>
      <c r="C27" s="8" t="s">
        <v>140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6" t="s">
        <v>78</v>
      </c>
      <c r="C28" s="8" t="s">
        <v>138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7"/>
      <c r="C29" s="8" t="s">
        <v>139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7"/>
      <c r="C30" s="8" t="s">
        <v>140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6" t="s">
        <v>79</v>
      </c>
      <c r="C31" s="8" t="s">
        <v>138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7"/>
      <c r="C32" s="8" t="s">
        <v>139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7"/>
      <c r="C33" s="8" t="s">
        <v>140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143</v>
      </c>
      <c r="C34" s="8" t="s">
        <v>140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227</v>
      </c>
      <c r="B36" s="126" t="s">
        <v>90</v>
      </c>
      <c r="C36" s="8" t="s">
        <v>138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7"/>
      <c r="C37" s="8" t="s">
        <v>139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7"/>
      <c r="C38" s="8" t="s">
        <v>140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6" t="s">
        <v>67</v>
      </c>
      <c r="C39" s="8" t="s">
        <v>138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7"/>
      <c r="C40" s="8" t="s">
        <v>139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7"/>
      <c r="C41" s="8" t="s">
        <v>140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6" t="s">
        <v>77</v>
      </c>
      <c r="C42" s="8" t="s">
        <v>138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7"/>
      <c r="C43" s="8" t="s">
        <v>139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7"/>
      <c r="C44" s="8" t="s">
        <v>140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6" t="s">
        <v>78</v>
      </c>
      <c r="C45" s="8" t="s">
        <v>138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7"/>
      <c r="C46" s="8" t="s">
        <v>139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7"/>
      <c r="C47" s="8" t="s">
        <v>140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6" t="s">
        <v>79</v>
      </c>
      <c r="C48" s="8" t="s">
        <v>138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7"/>
      <c r="C49" s="8" t="s">
        <v>139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7"/>
      <c r="C50" s="8" t="s">
        <v>140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143</v>
      </c>
      <c r="C51" s="8" t="s">
        <v>140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228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224</v>
      </c>
      <c r="B54" s="4" t="s">
        <v>137</v>
      </c>
      <c r="C54" s="4" t="s">
        <v>152</v>
      </c>
      <c r="D54" s="4" t="s">
        <v>67</v>
      </c>
      <c r="E54" s="4" t="s">
        <v>77</v>
      </c>
      <c r="F54" s="4" t="s">
        <v>78</v>
      </c>
      <c r="G54" s="4" t="s">
        <v>79</v>
      </c>
      <c r="H54" s="4" t="s">
        <v>80</v>
      </c>
    </row>
    <row r="55" spans="1:8" ht="13" x14ac:dyDescent="0.3">
      <c r="A55" s="4" t="s">
        <v>229</v>
      </c>
      <c r="B55" s="126" t="s">
        <v>90</v>
      </c>
      <c r="C55" s="8" t="s">
        <v>138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7"/>
      <c r="C56" s="8" t="s">
        <v>139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7"/>
      <c r="C57" s="8" t="s">
        <v>140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6" t="s">
        <v>67</v>
      </c>
      <c r="C58" s="8" t="s">
        <v>138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7"/>
      <c r="C59" s="8" t="s">
        <v>139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7"/>
      <c r="C60" s="8" t="s">
        <v>140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6" t="s">
        <v>77</v>
      </c>
      <c r="C61" s="8" t="s">
        <v>138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7"/>
      <c r="C62" s="8" t="s">
        <v>139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7"/>
      <c r="C63" s="8" t="s">
        <v>140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6" t="s">
        <v>78</v>
      </c>
      <c r="C64" s="8" t="s">
        <v>138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7"/>
      <c r="C65" s="8" t="s">
        <v>139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7"/>
      <c r="C66" s="8" t="s">
        <v>140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6" t="s">
        <v>79</v>
      </c>
      <c r="C67" s="8" t="s">
        <v>138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7"/>
      <c r="C68" s="8" t="s">
        <v>139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7"/>
      <c r="C69" s="8" t="s">
        <v>140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143</v>
      </c>
      <c r="C70" s="8" t="s">
        <v>140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230</v>
      </c>
      <c r="B72" s="126" t="s">
        <v>90</v>
      </c>
      <c r="C72" s="8" t="s">
        <v>138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7"/>
      <c r="C73" s="8" t="s">
        <v>139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7"/>
      <c r="C74" s="8" t="s">
        <v>140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6" t="s">
        <v>67</v>
      </c>
      <c r="C75" s="8" t="s">
        <v>138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7"/>
      <c r="C76" s="8" t="s">
        <v>139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7"/>
      <c r="C77" s="8" t="s">
        <v>140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6" t="s">
        <v>77</v>
      </c>
      <c r="C78" s="8" t="s">
        <v>138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7"/>
      <c r="C79" s="8" t="s">
        <v>139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7"/>
      <c r="C80" s="8" t="s">
        <v>140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6" t="s">
        <v>78</v>
      </c>
      <c r="C81" s="8" t="s">
        <v>138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7"/>
      <c r="C82" s="8" t="s">
        <v>139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7"/>
      <c r="C83" s="8" t="s">
        <v>140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6" t="s">
        <v>79</v>
      </c>
      <c r="C84" s="8" t="s">
        <v>138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7"/>
      <c r="C85" s="8" t="s">
        <v>139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7"/>
      <c r="C86" s="8" t="s">
        <v>140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143</v>
      </c>
      <c r="C87" s="8" t="s">
        <v>140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231</v>
      </c>
      <c r="B89" s="126" t="s">
        <v>90</v>
      </c>
      <c r="C89" s="8" t="s">
        <v>138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7"/>
      <c r="C90" s="8" t="s">
        <v>139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7"/>
      <c r="C91" s="8" t="s">
        <v>140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6" t="s">
        <v>67</v>
      </c>
      <c r="C92" s="8" t="s">
        <v>138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7"/>
      <c r="C93" s="8" t="s">
        <v>139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7"/>
      <c r="C94" s="8" t="s">
        <v>140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6" t="s">
        <v>77</v>
      </c>
      <c r="C95" s="8" t="s">
        <v>138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7"/>
      <c r="C96" s="8" t="s">
        <v>139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7"/>
      <c r="C97" s="8" t="s">
        <v>140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6" t="s">
        <v>78</v>
      </c>
      <c r="C98" s="8" t="s">
        <v>138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7"/>
      <c r="C99" s="8" t="s">
        <v>139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7"/>
      <c r="C100" s="8" t="s">
        <v>140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6" t="s">
        <v>79</v>
      </c>
      <c r="C101" s="8" t="s">
        <v>138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7"/>
      <c r="C102" s="8" t="s">
        <v>139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7"/>
      <c r="C103" s="8" t="s">
        <v>140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143</v>
      </c>
      <c r="C104" s="8" t="s">
        <v>140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232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224</v>
      </c>
      <c r="B107" s="4" t="s">
        <v>137</v>
      </c>
      <c r="C107" s="4" t="s">
        <v>152</v>
      </c>
      <c r="D107" s="4" t="s">
        <v>67</v>
      </c>
      <c r="E107" s="4" t="s">
        <v>77</v>
      </c>
      <c r="F107" s="4" t="s">
        <v>78</v>
      </c>
      <c r="G107" s="4" t="s">
        <v>79</v>
      </c>
      <c r="H107" s="4" t="s">
        <v>80</v>
      </c>
    </row>
    <row r="108" spans="1:8" ht="13" x14ac:dyDescent="0.3">
      <c r="A108" s="4" t="s">
        <v>233</v>
      </c>
      <c r="B108" s="126" t="s">
        <v>90</v>
      </c>
      <c r="C108" s="8" t="s">
        <v>138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7"/>
      <c r="C109" s="8" t="s">
        <v>139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7"/>
      <c r="C110" s="8" t="s">
        <v>140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6" t="s">
        <v>67</v>
      </c>
      <c r="C111" s="8" t="s">
        <v>138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7"/>
      <c r="C112" s="8" t="s">
        <v>139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7"/>
      <c r="C113" s="8" t="s">
        <v>140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6" t="s">
        <v>77</v>
      </c>
      <c r="C114" s="8" t="s">
        <v>138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7"/>
      <c r="C115" s="8" t="s">
        <v>139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7"/>
      <c r="C116" s="8" t="s">
        <v>140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6" t="s">
        <v>78</v>
      </c>
      <c r="C117" s="8" t="s">
        <v>138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7"/>
      <c r="C118" s="8" t="s">
        <v>139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7"/>
      <c r="C119" s="8" t="s">
        <v>140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6" t="s">
        <v>79</v>
      </c>
      <c r="C120" s="8" t="s">
        <v>138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7"/>
      <c r="C121" s="8" t="s">
        <v>139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7"/>
      <c r="C122" s="8" t="s">
        <v>140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143</v>
      </c>
      <c r="C123" s="8" t="s">
        <v>140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234</v>
      </c>
      <c r="B125" s="126" t="s">
        <v>90</v>
      </c>
      <c r="C125" s="8" t="s">
        <v>138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7"/>
      <c r="C126" s="8" t="s">
        <v>139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7"/>
      <c r="C127" s="8" t="s">
        <v>140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6" t="s">
        <v>67</v>
      </c>
      <c r="C128" s="8" t="s">
        <v>138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7"/>
      <c r="C129" s="8" t="s">
        <v>139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7"/>
      <c r="C130" s="8" t="s">
        <v>140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6" t="s">
        <v>77</v>
      </c>
      <c r="C131" s="8" t="s">
        <v>138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7"/>
      <c r="C132" s="8" t="s">
        <v>139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7"/>
      <c r="C133" s="8" t="s">
        <v>140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6" t="s">
        <v>78</v>
      </c>
      <c r="C134" s="8" t="s">
        <v>138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7"/>
      <c r="C135" s="8" t="s">
        <v>139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7"/>
      <c r="C136" s="8" t="s">
        <v>140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6" t="s">
        <v>79</v>
      </c>
      <c r="C137" s="8" t="s">
        <v>138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7"/>
      <c r="C138" s="8" t="s">
        <v>139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7"/>
      <c r="C139" s="8" t="s">
        <v>140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143</v>
      </c>
      <c r="C140" s="8" t="s">
        <v>140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235</v>
      </c>
      <c r="B142" s="126" t="s">
        <v>90</v>
      </c>
      <c r="C142" s="8" t="s">
        <v>138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7"/>
      <c r="C143" s="8" t="s">
        <v>139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7"/>
      <c r="C144" s="8" t="s">
        <v>140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6" t="s">
        <v>67</v>
      </c>
      <c r="C145" s="8" t="s">
        <v>138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7"/>
      <c r="C146" s="8" t="s">
        <v>139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7"/>
      <c r="C147" s="8" t="s">
        <v>140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6" t="s">
        <v>77</v>
      </c>
      <c r="C148" s="8" t="s">
        <v>138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7"/>
      <c r="C149" s="8" t="s">
        <v>139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7"/>
      <c r="C150" s="8" t="s">
        <v>140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6" t="s">
        <v>78</v>
      </c>
      <c r="C151" s="8" t="s">
        <v>138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7"/>
      <c r="C152" s="8" t="s">
        <v>139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7"/>
      <c r="C153" s="8" t="s">
        <v>140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6" t="s">
        <v>79</v>
      </c>
      <c r="C154" s="8" t="s">
        <v>138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7"/>
      <c r="C155" s="8" t="s">
        <v>139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7"/>
      <c r="C156" s="8" t="s">
        <v>140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143</v>
      </c>
      <c r="C157" s="8" t="s">
        <v>140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kNott2FY10++7LpzvuSEUUgvKblMKWlWyTJLQ7V3mUE+D/qQXgkJjdadeNqQ4e0dbATNIZiaZUbYZr3uwCKttQ==" saltValue="MboHEiRAGE0wfo213ZYZVw==" spinCount="100000" sheet="1" selectLockedCells="1"/>
  <mergeCells count="45"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H15" sqref="H15"/>
    </sheetView>
  </sheetViews>
  <sheetFormatPr defaultColWidth="12.7265625" defaultRowHeight="12.5" x14ac:dyDescent="0.25"/>
  <cols>
    <col min="1" max="1" width="44.81640625" style="104" customWidth="1"/>
    <col min="2" max="2" width="44.453125" style="104" customWidth="1"/>
    <col min="3" max="3" width="17.7265625" style="104" customWidth="1"/>
    <col min="4" max="4" width="17.54296875" style="104" customWidth="1"/>
    <col min="5" max="5" width="17.26953125" style="104" customWidth="1"/>
    <col min="6" max="6" width="15" style="104" customWidth="1"/>
    <col min="7" max="7" width="13.7265625" style="104" customWidth="1"/>
    <col min="8" max="16384" width="12.7265625" style="104"/>
  </cols>
  <sheetData>
    <row r="1" spans="1:7" s="119" customFormat="1" ht="14.25" customHeight="1" x14ac:dyDescent="0.3">
      <c r="A1" s="118" t="s">
        <v>274</v>
      </c>
    </row>
    <row r="2" spans="1:7" ht="14.25" customHeight="1" x14ac:dyDescent="0.3">
      <c r="A2" s="120" t="s">
        <v>196</v>
      </c>
      <c r="B2" s="105"/>
      <c r="C2" s="103" t="s">
        <v>67</v>
      </c>
      <c r="D2" s="103" t="s">
        <v>77</v>
      </c>
      <c r="E2" s="103" t="s">
        <v>78</v>
      </c>
      <c r="F2" s="103" t="s">
        <v>79</v>
      </c>
      <c r="G2" s="103" t="s">
        <v>80</v>
      </c>
    </row>
    <row r="3" spans="1:7" ht="14.25" customHeight="1" x14ac:dyDescent="0.25">
      <c r="B3" s="115" t="s">
        <v>275</v>
      </c>
      <c r="C3" s="116" t="s">
        <v>276</v>
      </c>
      <c r="D3" s="116">
        <v>45</v>
      </c>
      <c r="E3" s="116">
        <v>361.6</v>
      </c>
      <c r="F3" s="116">
        <v>174.7</v>
      </c>
      <c r="G3" s="116">
        <v>174.7</v>
      </c>
    </row>
    <row r="4" spans="1:7" ht="14.25" customHeight="1" x14ac:dyDescent="0.3">
      <c r="A4" s="103"/>
      <c r="B4" s="115" t="s">
        <v>277</v>
      </c>
      <c r="C4" s="116">
        <v>1.0249999999999999</v>
      </c>
      <c r="D4" s="116">
        <v>1.0249999999999999</v>
      </c>
      <c r="E4" s="116">
        <v>1.0249999999999999</v>
      </c>
      <c r="F4" s="116">
        <v>1.0249999999999999</v>
      </c>
      <c r="G4" s="116">
        <v>1.0249999999999999</v>
      </c>
    </row>
    <row r="5" spans="1:7" ht="14.25" customHeight="1" x14ac:dyDescent="0.3">
      <c r="A5" s="121" t="s">
        <v>278</v>
      </c>
    </row>
    <row r="6" spans="1:7" ht="14.25" customHeight="1" x14ac:dyDescent="0.25">
      <c r="B6" s="115" t="s">
        <v>184</v>
      </c>
      <c r="C6" s="116">
        <v>1</v>
      </c>
      <c r="D6" s="116">
        <v>1</v>
      </c>
      <c r="E6" s="116">
        <v>0.89</v>
      </c>
      <c r="F6" s="116">
        <v>0.89</v>
      </c>
      <c r="G6" s="116">
        <v>1</v>
      </c>
    </row>
    <row r="7" spans="1:7" ht="14.25" customHeight="1" x14ac:dyDescent="0.25">
      <c r="B7" s="115" t="s">
        <v>177</v>
      </c>
      <c r="C7" s="116">
        <v>1</v>
      </c>
      <c r="D7" s="116">
        <v>1</v>
      </c>
      <c r="E7" s="116">
        <v>0.88</v>
      </c>
      <c r="F7" s="116">
        <v>0.88</v>
      </c>
      <c r="G7" s="116">
        <v>1</v>
      </c>
    </row>
    <row r="8" spans="1:7" ht="14.25" customHeight="1" x14ac:dyDescent="0.25">
      <c r="B8" s="115" t="s">
        <v>162</v>
      </c>
      <c r="C8" s="116">
        <v>1</v>
      </c>
      <c r="D8" s="116">
        <v>1</v>
      </c>
      <c r="E8" s="116">
        <v>1</v>
      </c>
      <c r="F8" s="116">
        <v>0.80800000000000005</v>
      </c>
      <c r="G8" s="116">
        <v>0.80800000000000005</v>
      </c>
    </row>
    <row r="9" spans="1:7" ht="14.25" customHeight="1" x14ac:dyDescent="0.25">
      <c r="B9" s="115" t="s">
        <v>185</v>
      </c>
      <c r="C9" s="116">
        <v>1</v>
      </c>
      <c r="D9" s="116">
        <v>1</v>
      </c>
      <c r="E9" s="116">
        <v>0.88</v>
      </c>
      <c r="F9" s="116">
        <v>0.88</v>
      </c>
      <c r="G9" s="116">
        <v>1</v>
      </c>
    </row>
    <row r="10" spans="1:7" ht="14.25" customHeight="1" x14ac:dyDescent="0.25">
      <c r="B10" s="115" t="s">
        <v>193</v>
      </c>
      <c r="C10" s="116">
        <v>1</v>
      </c>
      <c r="D10" s="116">
        <v>1</v>
      </c>
      <c r="E10" s="116">
        <v>1</v>
      </c>
      <c r="F10" s="116">
        <v>1</v>
      </c>
      <c r="G10" s="116">
        <v>1</v>
      </c>
    </row>
    <row r="11" spans="1:7" ht="14.25" customHeight="1" x14ac:dyDescent="0.25">
      <c r="B11" s="115"/>
      <c r="C11" s="115"/>
      <c r="D11" s="115"/>
      <c r="E11" s="115"/>
      <c r="F11" s="115"/>
      <c r="G11" s="115"/>
    </row>
    <row r="12" spans="1:7" s="119" customFormat="1" ht="14.25" customHeight="1" x14ac:dyDescent="0.3">
      <c r="A12" s="118" t="s">
        <v>279</v>
      </c>
    </row>
    <row r="13" spans="1:7" ht="14.25" customHeight="1" x14ac:dyDescent="0.3">
      <c r="A13" s="121"/>
      <c r="B13" s="115" t="s">
        <v>176</v>
      </c>
      <c r="C13" s="116">
        <v>1</v>
      </c>
      <c r="D13" s="116">
        <v>1.39</v>
      </c>
      <c r="E13" s="116">
        <v>1</v>
      </c>
      <c r="F13" s="116">
        <v>1</v>
      </c>
      <c r="G13" s="116">
        <v>1</v>
      </c>
    </row>
    <row r="14" spans="1:7" ht="14.25" customHeight="1" x14ac:dyDescent="0.3">
      <c r="A14" s="121"/>
      <c r="B14" s="112"/>
    </row>
    <row r="15" spans="1:7" s="119" customFormat="1" ht="14.25" customHeight="1" x14ac:dyDescent="0.3">
      <c r="A15" s="118" t="s">
        <v>280</v>
      </c>
    </row>
    <row r="16" spans="1:7" ht="14.25" customHeight="1" x14ac:dyDescent="0.3">
      <c r="A16" s="120" t="s">
        <v>265</v>
      </c>
      <c r="B16" s="115" t="s">
        <v>281</v>
      </c>
      <c r="C16" s="116">
        <v>1.024</v>
      </c>
      <c r="D16" s="116">
        <v>1.024</v>
      </c>
      <c r="E16" s="116">
        <v>1.024</v>
      </c>
      <c r="F16" s="116">
        <v>1.024</v>
      </c>
      <c r="G16" s="116">
        <v>1.024</v>
      </c>
    </row>
    <row r="17" spans="1:7" ht="14.25" customHeight="1" x14ac:dyDescent="0.3">
      <c r="A17" s="103"/>
      <c r="B17" s="115" t="s">
        <v>282</v>
      </c>
      <c r="C17" s="116">
        <v>1.024</v>
      </c>
      <c r="D17" s="116">
        <v>1.024</v>
      </c>
      <c r="E17" s="116">
        <v>1.024</v>
      </c>
      <c r="F17" s="116">
        <v>1.024</v>
      </c>
      <c r="G17" s="116">
        <v>1.024</v>
      </c>
    </row>
    <row r="18" spans="1:7" ht="14.25" customHeight="1" x14ac:dyDescent="0.3">
      <c r="A18" s="120" t="s">
        <v>111</v>
      </c>
      <c r="B18" s="115" t="s">
        <v>283</v>
      </c>
      <c r="C18" s="116">
        <v>1</v>
      </c>
      <c r="D18" s="116">
        <v>1</v>
      </c>
      <c r="E18" s="116">
        <v>1</v>
      </c>
      <c r="F18" s="116">
        <v>1</v>
      </c>
      <c r="G18" s="116">
        <v>1</v>
      </c>
    </row>
    <row r="19" spans="1:7" ht="14.25" customHeight="1" x14ac:dyDescent="0.25"/>
    <row r="20" spans="1:7" s="119" customFormat="1" ht="14.25" customHeight="1" x14ac:dyDescent="0.3">
      <c r="A20" s="118" t="s">
        <v>284</v>
      </c>
    </row>
    <row r="21" spans="1:7" s="121" customFormat="1" ht="14.25" customHeight="1" x14ac:dyDescent="0.3">
      <c r="C21" s="122" t="s">
        <v>58</v>
      </c>
      <c r="D21" s="122" t="s">
        <v>59</v>
      </c>
      <c r="E21" s="122" t="s">
        <v>60</v>
      </c>
      <c r="F21" s="122" t="s">
        <v>61</v>
      </c>
    </row>
    <row r="22" spans="1:7" x14ac:dyDescent="0.25">
      <c r="B22" s="115" t="s">
        <v>164</v>
      </c>
      <c r="C22" s="116">
        <v>1.52</v>
      </c>
      <c r="D22" s="116">
        <v>1</v>
      </c>
      <c r="E22" s="116">
        <v>1</v>
      </c>
      <c r="F22" s="116">
        <v>1</v>
      </c>
    </row>
    <row r="24" spans="1:7" s="117" customFormat="1" ht="13" x14ac:dyDescent="0.3">
      <c r="A24" s="117" t="s">
        <v>228</v>
      </c>
    </row>
    <row r="25" spans="1:7" ht="13" x14ac:dyDescent="0.3">
      <c r="A25" s="118" t="s">
        <v>274</v>
      </c>
      <c r="B25" s="119"/>
      <c r="C25" s="119"/>
      <c r="D25" s="119"/>
      <c r="E25" s="119"/>
      <c r="F25" s="119"/>
      <c r="G25" s="119"/>
    </row>
    <row r="26" spans="1:7" ht="13" x14ac:dyDescent="0.3">
      <c r="A26" s="120" t="s">
        <v>196</v>
      </c>
      <c r="B26" s="105"/>
      <c r="C26" s="103" t="s">
        <v>67</v>
      </c>
      <c r="D26" s="103" t="s">
        <v>77</v>
      </c>
      <c r="E26" s="103" t="s">
        <v>78</v>
      </c>
      <c r="F26" s="103" t="s">
        <v>79</v>
      </c>
      <c r="G26" s="103" t="s">
        <v>80</v>
      </c>
    </row>
    <row r="27" spans="1:7" x14ac:dyDescent="0.25">
      <c r="B27" s="115" t="s">
        <v>285</v>
      </c>
      <c r="C27" s="116" t="s">
        <v>276</v>
      </c>
      <c r="D27" s="116">
        <f t="shared" ref="D27:G27" si="0">D3*0.9</f>
        <v>40.5</v>
      </c>
      <c r="E27" s="116">
        <f t="shared" si="0"/>
        <v>325.44000000000005</v>
      </c>
      <c r="F27" s="116">
        <f t="shared" si="0"/>
        <v>157.22999999999999</v>
      </c>
      <c r="G27" s="116">
        <f t="shared" si="0"/>
        <v>157.22999999999999</v>
      </c>
    </row>
    <row r="28" spans="1:7" ht="13" x14ac:dyDescent="0.3">
      <c r="A28" s="103"/>
      <c r="B28" s="115" t="s">
        <v>286</v>
      </c>
      <c r="C28" s="116">
        <v>1.014</v>
      </c>
      <c r="D28" s="116">
        <v>1.014</v>
      </c>
      <c r="E28" s="116">
        <v>1.014</v>
      </c>
      <c r="F28" s="116">
        <v>1.014</v>
      </c>
      <c r="G28" s="116">
        <v>1.014</v>
      </c>
    </row>
    <row r="29" spans="1:7" ht="13" x14ac:dyDescent="0.3">
      <c r="A29" s="121" t="s">
        <v>287</v>
      </c>
    </row>
    <row r="30" spans="1:7" x14ac:dyDescent="0.25">
      <c r="B30" s="115" t="s">
        <v>288</v>
      </c>
      <c r="C30" s="116">
        <f>IF(C6=1,1,C6*0.9)</f>
        <v>1</v>
      </c>
      <c r="D30" s="116">
        <f t="shared" ref="D30:G30" si="1">IF(D6=1,1,D6*0.9)</f>
        <v>1</v>
      </c>
      <c r="E30" s="116">
        <f>E6*0.9</f>
        <v>0.80100000000000005</v>
      </c>
      <c r="F30" s="116">
        <f>F6*0.9</f>
        <v>0.80100000000000005</v>
      </c>
      <c r="G30" s="116">
        <f t="shared" si="1"/>
        <v>1</v>
      </c>
    </row>
    <row r="31" spans="1:7" x14ac:dyDescent="0.25">
      <c r="B31" s="115" t="s">
        <v>289</v>
      </c>
      <c r="C31" s="116">
        <f>IF(C7=1,1,C7*0.9)</f>
        <v>1</v>
      </c>
      <c r="D31" s="116">
        <f>IF(D7=1,1,D7*0.9)</f>
        <v>1</v>
      </c>
      <c r="E31" s="116">
        <v>0.85</v>
      </c>
      <c r="F31" s="116">
        <v>0.85</v>
      </c>
      <c r="G31" s="116">
        <f>IF(G7=1,1,G7*0.9)</f>
        <v>1</v>
      </c>
    </row>
    <row r="32" spans="1:7" x14ac:dyDescent="0.25">
      <c r="B32" s="115" t="s">
        <v>370</v>
      </c>
      <c r="C32" s="116">
        <f>IF(C8=1,1,C8*0.9)</f>
        <v>1</v>
      </c>
      <c r="D32" s="116">
        <f>IF(D8=1,1,D8*0.9)</f>
        <v>1</v>
      </c>
      <c r="E32" s="116">
        <v>1</v>
      </c>
      <c r="F32" s="90">
        <v>0.39500000000000002</v>
      </c>
      <c r="G32" s="90">
        <v>0.39500000000000002</v>
      </c>
    </row>
    <row r="33" spans="1:7" x14ac:dyDescent="0.25">
      <c r="B33" s="115" t="s">
        <v>290</v>
      </c>
      <c r="C33" s="116">
        <f t="shared" ref="C33:G33" si="2">IF(C9=1,1,C9*0.9)</f>
        <v>1</v>
      </c>
      <c r="D33" s="116">
        <f t="shared" si="2"/>
        <v>1</v>
      </c>
      <c r="E33" s="116">
        <v>0.85</v>
      </c>
      <c r="F33" s="116">
        <v>0.85</v>
      </c>
      <c r="G33" s="116">
        <f t="shared" si="2"/>
        <v>1</v>
      </c>
    </row>
    <row r="34" spans="1:7" x14ac:dyDescent="0.25">
      <c r="B34" s="115" t="s">
        <v>291</v>
      </c>
      <c r="C34" s="116">
        <f>IF(C10=1,1,C10*0.9)</f>
        <v>1</v>
      </c>
      <c r="D34" s="116">
        <f>IF(D10=1,1,D10*0.9)</f>
        <v>1</v>
      </c>
      <c r="E34" s="116">
        <f>IF(E10=1,1,E10*0.9)</f>
        <v>1</v>
      </c>
      <c r="F34" s="116">
        <f>IF(F10=1,1,F10*0.9)</f>
        <v>1</v>
      </c>
      <c r="G34" s="116">
        <f>IF(G10=1,1,G10*0.9)</f>
        <v>1</v>
      </c>
    </row>
    <row r="35" spans="1:7" x14ac:dyDescent="0.25">
      <c r="B35" s="115"/>
      <c r="C35" s="115"/>
      <c r="D35" s="115"/>
      <c r="E35" s="115"/>
      <c r="F35" s="115"/>
      <c r="G35" s="115"/>
    </row>
    <row r="36" spans="1:7" ht="13" x14ac:dyDescent="0.3">
      <c r="A36" s="118" t="s">
        <v>292</v>
      </c>
      <c r="B36" s="119"/>
      <c r="C36" s="119"/>
      <c r="D36" s="119"/>
      <c r="E36" s="119"/>
      <c r="F36" s="119"/>
      <c r="G36" s="119"/>
    </row>
    <row r="37" spans="1:7" ht="13" x14ac:dyDescent="0.3">
      <c r="A37" s="121"/>
      <c r="B37" s="115" t="s">
        <v>293</v>
      </c>
      <c r="C37" s="116">
        <v>1</v>
      </c>
      <c r="D37" s="116">
        <v>1.1100000000000001</v>
      </c>
      <c r="E37" s="116">
        <v>1</v>
      </c>
      <c r="F37" s="116">
        <v>1</v>
      </c>
      <c r="G37" s="116">
        <v>1</v>
      </c>
    </row>
    <row r="38" spans="1:7" ht="13" x14ac:dyDescent="0.3">
      <c r="A38" s="121"/>
      <c r="B38" s="112"/>
    </row>
    <row r="39" spans="1:7" ht="13" x14ac:dyDescent="0.3">
      <c r="A39" s="118" t="s">
        <v>280</v>
      </c>
      <c r="B39" s="119"/>
      <c r="C39" s="119"/>
      <c r="D39" s="119"/>
      <c r="E39" s="119"/>
      <c r="F39" s="119"/>
      <c r="G39" s="119"/>
    </row>
    <row r="40" spans="1:7" ht="13" x14ac:dyDescent="0.3">
      <c r="A40" s="120" t="s">
        <v>265</v>
      </c>
      <c r="B40" s="115" t="s">
        <v>294</v>
      </c>
      <c r="C40" s="116">
        <v>1.016</v>
      </c>
      <c r="D40" s="116">
        <v>1.016</v>
      </c>
      <c r="E40" s="116">
        <v>1.016</v>
      </c>
      <c r="F40" s="116">
        <v>1.016</v>
      </c>
      <c r="G40" s="116">
        <v>1.016</v>
      </c>
    </row>
    <row r="41" spans="1:7" ht="13" x14ac:dyDescent="0.3">
      <c r="A41" s="103"/>
      <c r="B41" s="115" t="s">
        <v>295</v>
      </c>
      <c r="C41" s="116">
        <v>1.016</v>
      </c>
      <c r="D41" s="116">
        <v>1.016</v>
      </c>
      <c r="E41" s="116">
        <v>1.016</v>
      </c>
      <c r="F41" s="116">
        <v>1.016</v>
      </c>
      <c r="G41" s="116">
        <v>1.016</v>
      </c>
    </row>
    <row r="42" spans="1:7" ht="13" x14ac:dyDescent="0.3">
      <c r="A42" s="120" t="s">
        <v>111</v>
      </c>
      <c r="B42" s="115" t="s">
        <v>296</v>
      </c>
      <c r="C42" s="116">
        <f t="shared" ref="C42:G42" si="3">IF(C18=1,1,C18*0.9)</f>
        <v>1</v>
      </c>
      <c r="D42" s="116">
        <f t="shared" si="3"/>
        <v>1</v>
      </c>
      <c r="E42" s="116">
        <f t="shared" si="3"/>
        <v>1</v>
      </c>
      <c r="F42" s="116">
        <f t="shared" si="3"/>
        <v>1</v>
      </c>
      <c r="G42" s="116">
        <f t="shared" si="3"/>
        <v>1</v>
      </c>
    </row>
    <row r="44" spans="1:7" ht="13" x14ac:dyDescent="0.3">
      <c r="A44" s="118" t="s">
        <v>297</v>
      </c>
      <c r="B44" s="119"/>
      <c r="C44" s="119"/>
      <c r="D44" s="119"/>
      <c r="E44" s="119"/>
      <c r="F44" s="119"/>
      <c r="G44" s="119"/>
    </row>
    <row r="45" spans="1:7" ht="13" x14ac:dyDescent="0.3">
      <c r="A45" s="121"/>
      <c r="B45" s="121"/>
      <c r="C45" s="122" t="s">
        <v>58</v>
      </c>
      <c r="D45" s="122" t="s">
        <v>59</v>
      </c>
      <c r="E45" s="122" t="s">
        <v>60</v>
      </c>
      <c r="F45" s="122" t="s">
        <v>61</v>
      </c>
      <c r="G45" s="121"/>
    </row>
    <row r="46" spans="1:7" x14ac:dyDescent="0.25">
      <c r="B46" s="115" t="s">
        <v>298</v>
      </c>
      <c r="C46" s="116">
        <f>C22*0.9</f>
        <v>1.3680000000000001</v>
      </c>
      <c r="D46" s="116">
        <v>1</v>
      </c>
      <c r="E46" s="116">
        <v>1</v>
      </c>
      <c r="F46" s="116">
        <v>1</v>
      </c>
    </row>
    <row r="48" spans="1:7" s="117" customFormat="1" ht="13" x14ac:dyDescent="0.3">
      <c r="A48" s="117" t="s">
        <v>232</v>
      </c>
    </row>
    <row r="49" spans="1:7" ht="13" x14ac:dyDescent="0.3">
      <c r="A49" s="118" t="s">
        <v>274</v>
      </c>
      <c r="B49" s="119"/>
      <c r="C49" s="119"/>
      <c r="D49" s="119"/>
      <c r="E49" s="119"/>
      <c r="F49" s="119"/>
      <c r="G49" s="119"/>
    </row>
    <row r="50" spans="1:7" ht="13" x14ac:dyDescent="0.3">
      <c r="A50" s="120" t="s">
        <v>196</v>
      </c>
      <c r="B50" s="105"/>
      <c r="C50" s="103" t="s">
        <v>67</v>
      </c>
      <c r="D50" s="103" t="s">
        <v>77</v>
      </c>
      <c r="E50" s="103" t="s">
        <v>78</v>
      </c>
      <c r="F50" s="103" t="s">
        <v>79</v>
      </c>
      <c r="G50" s="103" t="s">
        <v>80</v>
      </c>
    </row>
    <row r="51" spans="1:7" x14ac:dyDescent="0.25">
      <c r="B51" s="115" t="s">
        <v>299</v>
      </c>
      <c r="C51" s="116" t="s">
        <v>276</v>
      </c>
      <c r="D51" s="116">
        <f t="shared" ref="D51:G51" si="4">D3*1.05</f>
        <v>47.25</v>
      </c>
      <c r="E51" s="116">
        <f t="shared" si="4"/>
        <v>379.68000000000006</v>
      </c>
      <c r="F51" s="116">
        <f t="shared" si="4"/>
        <v>183.435</v>
      </c>
      <c r="G51" s="116">
        <f t="shared" si="4"/>
        <v>183.435</v>
      </c>
    </row>
    <row r="52" spans="1:7" ht="13" x14ac:dyDescent="0.3">
      <c r="A52" s="103"/>
      <c r="B52" s="115" t="s">
        <v>300</v>
      </c>
      <c r="C52" s="116">
        <v>1.0349999999999999</v>
      </c>
      <c r="D52" s="116">
        <v>1.0349999999999999</v>
      </c>
      <c r="E52" s="116">
        <v>1.0349999999999999</v>
      </c>
      <c r="F52" s="116">
        <v>1.0349999999999999</v>
      </c>
      <c r="G52" s="116">
        <v>1.0349999999999999</v>
      </c>
    </row>
    <row r="53" spans="1:7" ht="13" x14ac:dyDescent="0.3">
      <c r="A53" s="121" t="s">
        <v>301</v>
      </c>
    </row>
    <row r="54" spans="1:7" x14ac:dyDescent="0.25">
      <c r="B54" s="115" t="s">
        <v>302</v>
      </c>
      <c r="C54" s="116">
        <f>IF(C6=1,1,C6*1.1)</f>
        <v>1</v>
      </c>
      <c r="D54" s="116">
        <f t="shared" ref="D54:G54" si="5">IF(D6=1,1,D6*1.1)</f>
        <v>1</v>
      </c>
      <c r="E54" s="116">
        <f>E6*1.05</f>
        <v>0.93450000000000011</v>
      </c>
      <c r="F54" s="116">
        <f>F6*1.05</f>
        <v>0.93450000000000011</v>
      </c>
      <c r="G54" s="116">
        <f t="shared" si="5"/>
        <v>1</v>
      </c>
    </row>
    <row r="55" spans="1:7" x14ac:dyDescent="0.25">
      <c r="B55" s="115" t="s">
        <v>303</v>
      </c>
      <c r="C55" s="116">
        <f>IF(C7=1,1,C7*1.1)</f>
        <v>1</v>
      </c>
      <c r="D55" s="116">
        <f>IF(D7=1,1,D7*1.1)</f>
        <v>1</v>
      </c>
      <c r="E55" s="116">
        <v>0.91</v>
      </c>
      <c r="F55" s="116">
        <v>0.91</v>
      </c>
      <c r="G55" s="116">
        <f>IF(G7=1,1,G7*1.1)</f>
        <v>1</v>
      </c>
    </row>
    <row r="56" spans="1:7" x14ac:dyDescent="0.25">
      <c r="B56" s="115" t="s">
        <v>371</v>
      </c>
      <c r="C56" s="116">
        <f>IF(C8=1,1,C8*1.1)</f>
        <v>1</v>
      </c>
      <c r="D56" s="116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5" t="s">
        <v>304</v>
      </c>
      <c r="C57" s="116">
        <f t="shared" ref="C57:G58" si="6">IF(C9=1,1,C9*1.1)</f>
        <v>1</v>
      </c>
      <c r="D57" s="116">
        <f t="shared" si="6"/>
        <v>1</v>
      </c>
      <c r="E57" s="116">
        <v>0.91</v>
      </c>
      <c r="F57" s="116">
        <v>0.91</v>
      </c>
      <c r="G57" s="116">
        <f t="shared" si="6"/>
        <v>1</v>
      </c>
    </row>
    <row r="58" spans="1:7" x14ac:dyDescent="0.25">
      <c r="B58" s="115" t="s">
        <v>305</v>
      </c>
      <c r="C58" s="116">
        <f t="shared" si="6"/>
        <v>1</v>
      </c>
      <c r="D58" s="116">
        <f t="shared" si="6"/>
        <v>1</v>
      </c>
      <c r="E58" s="116">
        <f t="shared" si="6"/>
        <v>1</v>
      </c>
      <c r="F58" s="116">
        <f t="shared" si="6"/>
        <v>1</v>
      </c>
      <c r="G58" s="116">
        <f t="shared" si="6"/>
        <v>1</v>
      </c>
    </row>
    <row r="59" spans="1:7" x14ac:dyDescent="0.25">
      <c r="B59" s="115"/>
      <c r="C59" s="115"/>
      <c r="D59" s="115"/>
      <c r="E59" s="115"/>
      <c r="F59" s="115"/>
      <c r="G59" s="115"/>
    </row>
    <row r="60" spans="1:7" ht="13" x14ac:dyDescent="0.3">
      <c r="A60" s="118" t="s">
        <v>306</v>
      </c>
      <c r="B60" s="119"/>
      <c r="C60" s="119"/>
      <c r="D60" s="119"/>
      <c r="E60" s="119"/>
      <c r="F60" s="119"/>
      <c r="G60" s="119"/>
    </row>
    <row r="61" spans="1:7" ht="13" x14ac:dyDescent="0.3">
      <c r="A61" s="121"/>
      <c r="B61" s="115" t="s">
        <v>307</v>
      </c>
      <c r="C61" s="116">
        <v>1</v>
      </c>
      <c r="D61" s="116">
        <v>1.74</v>
      </c>
      <c r="E61" s="116">
        <v>1</v>
      </c>
      <c r="F61" s="116">
        <v>1</v>
      </c>
      <c r="G61" s="116">
        <v>1</v>
      </c>
    </row>
    <row r="62" spans="1:7" ht="13" x14ac:dyDescent="0.3">
      <c r="A62" s="121"/>
      <c r="B62" s="112"/>
    </row>
    <row r="63" spans="1:7" ht="13" x14ac:dyDescent="0.3">
      <c r="A63" s="118" t="s">
        <v>280</v>
      </c>
      <c r="B63" s="119"/>
      <c r="C63" s="119"/>
      <c r="D63" s="119"/>
      <c r="E63" s="119"/>
      <c r="F63" s="119"/>
      <c r="G63" s="119"/>
    </row>
    <row r="64" spans="1:7" ht="13" x14ac:dyDescent="0.3">
      <c r="A64" s="120" t="s">
        <v>265</v>
      </c>
      <c r="B64" s="115" t="s">
        <v>308</v>
      </c>
      <c r="C64" s="116">
        <v>1.0309999999999999</v>
      </c>
      <c r="D64" s="116">
        <v>1.0309999999999999</v>
      </c>
      <c r="E64" s="116">
        <v>1.0309999999999999</v>
      </c>
      <c r="F64" s="116">
        <v>1.0309999999999999</v>
      </c>
      <c r="G64" s="116">
        <v>1.0309999999999999</v>
      </c>
    </row>
    <row r="65" spans="1:7" ht="13" x14ac:dyDescent="0.3">
      <c r="A65" s="103"/>
      <c r="B65" s="115" t="s">
        <v>309</v>
      </c>
      <c r="C65" s="116">
        <v>1.0309999999999999</v>
      </c>
      <c r="D65" s="116">
        <v>1.0309999999999999</v>
      </c>
      <c r="E65" s="116">
        <v>1.0309999999999999</v>
      </c>
      <c r="F65" s="116">
        <v>1.0309999999999999</v>
      </c>
      <c r="G65" s="116">
        <v>1.0309999999999999</v>
      </c>
    </row>
    <row r="66" spans="1:7" ht="13" x14ac:dyDescent="0.3">
      <c r="A66" s="120" t="s">
        <v>111</v>
      </c>
      <c r="B66" s="115" t="s">
        <v>310</v>
      </c>
      <c r="C66" s="116">
        <f t="shared" ref="C66:G66" si="7">IF(C18=1,1,C18*1.1)</f>
        <v>1</v>
      </c>
      <c r="D66" s="116">
        <f t="shared" si="7"/>
        <v>1</v>
      </c>
      <c r="E66" s="116">
        <f t="shared" si="7"/>
        <v>1</v>
      </c>
      <c r="F66" s="116">
        <f t="shared" si="7"/>
        <v>1</v>
      </c>
      <c r="G66" s="116">
        <f t="shared" si="7"/>
        <v>1</v>
      </c>
    </row>
    <row r="68" spans="1:7" ht="13" x14ac:dyDescent="0.3">
      <c r="A68" s="118" t="s">
        <v>311</v>
      </c>
      <c r="B68" s="119"/>
      <c r="C68" s="119"/>
      <c r="D68" s="119"/>
      <c r="E68" s="119"/>
      <c r="F68" s="119"/>
      <c r="G68" s="119"/>
    </row>
    <row r="69" spans="1:7" ht="13" x14ac:dyDescent="0.3">
      <c r="A69" s="121"/>
      <c r="B69" s="121"/>
      <c r="C69" s="122" t="s">
        <v>58</v>
      </c>
      <c r="D69" s="122" t="s">
        <v>59</v>
      </c>
      <c r="E69" s="122" t="s">
        <v>60</v>
      </c>
      <c r="F69" s="122" t="s">
        <v>61</v>
      </c>
      <c r="G69" s="121"/>
    </row>
    <row r="70" spans="1:7" x14ac:dyDescent="0.25">
      <c r="B70" s="115" t="s">
        <v>312</v>
      </c>
      <c r="C70" s="116">
        <f>C22*1.1</f>
        <v>1.6720000000000002</v>
      </c>
      <c r="D70" s="116">
        <v>1</v>
      </c>
      <c r="E70" s="116">
        <v>1</v>
      </c>
      <c r="F70" s="116">
        <v>1</v>
      </c>
    </row>
  </sheetData>
  <sheetProtection algorithmName="SHA-512" hashValue="PCqzq1OOUtsic8ocnrXQ8xxuYbKmi8ZJ7Pld9xkgyR+OBHAu/SnU75NY5MNEYJfNv6pIOzYJCmiR0EiwYtlWMw==" saltValue="c4ep8LRP3mzZ6HTD2L1Kjg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zoomScale="70" zoomScaleNormal="70" workbookViewId="0">
      <selection activeCell="C48" sqref="C48"/>
    </sheetView>
  </sheetViews>
  <sheetFormatPr defaultColWidth="16.1796875" defaultRowHeight="15.75" customHeight="1" x14ac:dyDescent="0.25"/>
  <cols>
    <col min="1" max="1" width="52.26953125" style="104" customWidth="1"/>
    <col min="2" max="6" width="16.1796875" style="104"/>
    <col min="7" max="7" width="17.26953125" style="104" customWidth="1"/>
    <col min="8" max="8" width="16.1796875" style="104" customWidth="1"/>
    <col min="9" max="16384" width="16.1796875" style="104"/>
  </cols>
  <sheetData>
    <row r="1" spans="1:6" ht="15.75" customHeight="1" x14ac:dyDescent="0.3">
      <c r="A1" s="105" t="s">
        <v>149</v>
      </c>
      <c r="B1" s="103"/>
      <c r="C1" s="103" t="s">
        <v>40</v>
      </c>
      <c r="D1" s="103" t="s">
        <v>42</v>
      </c>
      <c r="E1" s="103" t="s">
        <v>41</v>
      </c>
      <c r="F1" s="105" t="s">
        <v>43</v>
      </c>
    </row>
    <row r="2" spans="1:6" ht="15.75" customHeight="1" x14ac:dyDescent="0.25">
      <c r="A2" s="115" t="s">
        <v>159</v>
      </c>
      <c r="B2" s="115" t="s">
        <v>313</v>
      </c>
      <c r="C2" s="116">
        <v>0.28999999999999998</v>
      </c>
      <c r="D2" s="116">
        <v>0.28999999999999998</v>
      </c>
      <c r="E2" s="116">
        <v>0</v>
      </c>
      <c r="F2" s="116">
        <v>0</v>
      </c>
    </row>
    <row r="3" spans="1:6" ht="15.75" customHeight="1" x14ac:dyDescent="0.25">
      <c r="A3" s="115"/>
      <c r="B3" s="115" t="s">
        <v>314</v>
      </c>
      <c r="C3" s="116">
        <v>1</v>
      </c>
      <c r="D3" s="116">
        <v>1</v>
      </c>
      <c r="E3" s="116">
        <v>1</v>
      </c>
      <c r="F3" s="116">
        <v>1</v>
      </c>
    </row>
    <row r="4" spans="1:6" ht="15.75" customHeight="1" x14ac:dyDescent="0.25">
      <c r="A4" s="115" t="s">
        <v>161</v>
      </c>
      <c r="B4" s="115" t="s">
        <v>313</v>
      </c>
      <c r="C4" s="116">
        <f>1-0.76</f>
        <v>0.24</v>
      </c>
      <c r="D4" s="116">
        <v>0</v>
      </c>
      <c r="E4" s="116">
        <f>1-0.76</f>
        <v>0.24</v>
      </c>
      <c r="F4" s="116">
        <v>0</v>
      </c>
    </row>
    <row r="5" spans="1:6" ht="15.75" customHeight="1" x14ac:dyDescent="0.25">
      <c r="A5" s="115"/>
      <c r="B5" s="115" t="s">
        <v>314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5" t="s">
        <v>172</v>
      </c>
      <c r="B6" s="115" t="s">
        <v>313</v>
      </c>
      <c r="C6" s="116">
        <v>0.61</v>
      </c>
      <c r="D6" s="116">
        <v>0.61</v>
      </c>
      <c r="E6" s="116">
        <v>0</v>
      </c>
      <c r="F6" s="116">
        <v>0</v>
      </c>
    </row>
    <row r="7" spans="1:6" ht="15.75" customHeight="1" x14ac:dyDescent="0.25">
      <c r="A7" s="115"/>
      <c r="B7" s="115" t="s">
        <v>314</v>
      </c>
      <c r="C7" s="116">
        <v>1</v>
      </c>
      <c r="D7" s="116">
        <v>1</v>
      </c>
      <c r="E7" s="116">
        <v>1</v>
      </c>
      <c r="F7" s="116">
        <v>1</v>
      </c>
    </row>
    <row r="8" spans="1:6" ht="15.75" customHeight="1" x14ac:dyDescent="0.25">
      <c r="A8" s="115" t="s">
        <v>173</v>
      </c>
      <c r="B8" s="115" t="s">
        <v>313</v>
      </c>
      <c r="C8" s="116">
        <v>0.61</v>
      </c>
      <c r="D8" s="116">
        <v>0.61</v>
      </c>
      <c r="E8" s="116">
        <v>0</v>
      </c>
      <c r="F8" s="116">
        <v>0</v>
      </c>
    </row>
    <row r="9" spans="1:6" ht="15.75" customHeight="1" x14ac:dyDescent="0.25">
      <c r="A9" s="115"/>
      <c r="B9" s="115" t="s">
        <v>314</v>
      </c>
      <c r="C9" s="116">
        <v>1</v>
      </c>
      <c r="D9" s="116">
        <v>1</v>
      </c>
      <c r="E9" s="116">
        <v>1</v>
      </c>
      <c r="F9" s="116">
        <v>1</v>
      </c>
    </row>
    <row r="10" spans="1:6" ht="15.75" customHeight="1" x14ac:dyDescent="0.25">
      <c r="A10" s="115" t="s">
        <v>174</v>
      </c>
      <c r="B10" s="115" t="s">
        <v>313</v>
      </c>
      <c r="C10" s="116">
        <v>0.35</v>
      </c>
      <c r="D10" s="116">
        <v>0.35</v>
      </c>
      <c r="E10" s="116">
        <v>0</v>
      </c>
      <c r="F10" s="116">
        <v>0</v>
      </c>
    </row>
    <row r="11" spans="1:6" ht="15.75" customHeight="1" x14ac:dyDescent="0.25">
      <c r="A11" s="115"/>
      <c r="B11" s="115" t="s">
        <v>314</v>
      </c>
      <c r="C11" s="116">
        <v>1</v>
      </c>
      <c r="D11" s="116">
        <v>1</v>
      </c>
      <c r="E11" s="116">
        <v>0</v>
      </c>
      <c r="F11" s="116">
        <v>0</v>
      </c>
    </row>
    <row r="12" spans="1:6" ht="15.75" customHeight="1" x14ac:dyDescent="0.25">
      <c r="A12" s="115" t="s">
        <v>178</v>
      </c>
      <c r="B12" s="115" t="s">
        <v>313</v>
      </c>
      <c r="C12" s="116">
        <v>0.35</v>
      </c>
      <c r="D12" s="116">
        <v>0.35</v>
      </c>
      <c r="E12" s="116">
        <v>0</v>
      </c>
      <c r="F12" s="116">
        <v>0</v>
      </c>
    </row>
    <row r="13" spans="1:6" ht="15.75" customHeight="1" x14ac:dyDescent="0.25">
      <c r="A13" s="115"/>
      <c r="B13" s="115" t="s">
        <v>314</v>
      </c>
      <c r="C13" s="116">
        <v>1</v>
      </c>
      <c r="D13" s="116">
        <v>1</v>
      </c>
      <c r="E13" s="116">
        <v>0</v>
      </c>
      <c r="F13" s="116">
        <v>0</v>
      </c>
    </row>
    <row r="14" spans="1:6" ht="15.75" customHeight="1" x14ac:dyDescent="0.25">
      <c r="A14" s="115" t="s">
        <v>182</v>
      </c>
      <c r="B14" s="115" t="s">
        <v>313</v>
      </c>
      <c r="C14" s="116">
        <f>1-0.9*0.39</f>
        <v>0.64900000000000002</v>
      </c>
      <c r="D14" s="116">
        <f>1-0.9*0.39</f>
        <v>0.64900000000000002</v>
      </c>
      <c r="E14" s="116">
        <v>0</v>
      </c>
      <c r="F14" s="116">
        <v>0</v>
      </c>
    </row>
    <row r="15" spans="1:6" ht="15.75" customHeight="1" x14ac:dyDescent="0.25">
      <c r="A15" s="115"/>
      <c r="B15" s="115" t="s">
        <v>314</v>
      </c>
      <c r="C15" s="116">
        <v>1</v>
      </c>
      <c r="D15" s="116">
        <v>1</v>
      </c>
      <c r="E15" s="116">
        <v>1</v>
      </c>
      <c r="F15" s="116">
        <v>1</v>
      </c>
    </row>
    <row r="17" spans="1:6" s="117" customFormat="1" ht="15.75" customHeight="1" x14ac:dyDescent="0.3">
      <c r="A17" s="117" t="s">
        <v>228</v>
      </c>
    </row>
    <row r="18" spans="1:6" ht="15.75" customHeight="1" x14ac:dyDescent="0.3">
      <c r="A18" s="105" t="s">
        <v>149</v>
      </c>
      <c r="B18" s="103"/>
      <c r="C18" s="103" t="s">
        <v>40</v>
      </c>
      <c r="D18" s="103" t="s">
        <v>42</v>
      </c>
      <c r="E18" s="103" t="s">
        <v>41</v>
      </c>
      <c r="F18" s="105" t="s">
        <v>43</v>
      </c>
    </row>
    <row r="19" spans="1:6" ht="15.75" customHeight="1" x14ac:dyDescent="0.25">
      <c r="A19" s="115" t="s">
        <v>159</v>
      </c>
      <c r="B19" s="115" t="s">
        <v>313</v>
      </c>
      <c r="C19" s="116">
        <f>1-0.94</f>
        <v>6.0000000000000053E-2</v>
      </c>
      <c r="D19" s="116">
        <f>1-0.94</f>
        <v>6.0000000000000053E-2</v>
      </c>
      <c r="E19" s="116">
        <f t="shared" ref="E19:F19" si="0">E2*0.9</f>
        <v>0</v>
      </c>
      <c r="F19" s="116">
        <f t="shared" si="0"/>
        <v>0</v>
      </c>
    </row>
    <row r="20" spans="1:6" ht="15.75" customHeight="1" x14ac:dyDescent="0.25">
      <c r="A20" s="115"/>
      <c r="B20" s="115" t="s">
        <v>314</v>
      </c>
      <c r="C20" s="116">
        <v>1</v>
      </c>
      <c r="D20" s="116">
        <v>1</v>
      </c>
      <c r="E20" s="116">
        <v>1</v>
      </c>
      <c r="F20" s="116">
        <v>1</v>
      </c>
    </row>
    <row r="21" spans="1:6" ht="15.75" customHeight="1" x14ac:dyDescent="0.25">
      <c r="A21" s="115" t="s">
        <v>161</v>
      </c>
      <c r="B21" s="115" t="s">
        <v>313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5"/>
      <c r="B22" s="115" t="s">
        <v>314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5" t="s">
        <v>172</v>
      </c>
      <c r="B23" s="115" t="s">
        <v>313</v>
      </c>
      <c r="C23" s="116">
        <f>1-0.86</f>
        <v>0.14000000000000001</v>
      </c>
      <c r="D23" s="116">
        <f>1-0.86</f>
        <v>0.14000000000000001</v>
      </c>
      <c r="E23" s="116">
        <f t="shared" ref="E23:F23" si="1">E6*0.9</f>
        <v>0</v>
      </c>
      <c r="F23" s="116">
        <f t="shared" si="1"/>
        <v>0</v>
      </c>
    </row>
    <row r="24" spans="1:6" ht="15.75" customHeight="1" x14ac:dyDescent="0.25">
      <c r="A24" s="115"/>
      <c r="B24" s="115" t="s">
        <v>314</v>
      </c>
      <c r="C24" s="116">
        <v>1</v>
      </c>
      <c r="D24" s="116">
        <v>1</v>
      </c>
      <c r="E24" s="116">
        <v>1</v>
      </c>
      <c r="F24" s="116">
        <v>1</v>
      </c>
    </row>
    <row r="25" spans="1:6" ht="15.75" customHeight="1" x14ac:dyDescent="0.25">
      <c r="A25" s="115" t="s">
        <v>173</v>
      </c>
      <c r="B25" s="115" t="s">
        <v>313</v>
      </c>
      <c r="C25" s="116">
        <f>1-0.86</f>
        <v>0.14000000000000001</v>
      </c>
      <c r="D25" s="116">
        <f>1-0.86</f>
        <v>0.14000000000000001</v>
      </c>
      <c r="E25" s="116">
        <f t="shared" ref="E25:F25" si="2">E8*0.9</f>
        <v>0</v>
      </c>
      <c r="F25" s="116">
        <f t="shared" si="2"/>
        <v>0</v>
      </c>
    </row>
    <row r="26" spans="1:6" ht="15.75" customHeight="1" x14ac:dyDescent="0.25">
      <c r="A26" s="115"/>
      <c r="B26" s="115" t="s">
        <v>314</v>
      </c>
      <c r="C26" s="116">
        <v>1</v>
      </c>
      <c r="D26" s="116">
        <v>1</v>
      </c>
      <c r="E26" s="116">
        <v>1</v>
      </c>
      <c r="F26" s="116">
        <v>1</v>
      </c>
    </row>
    <row r="27" spans="1:6" ht="15.75" customHeight="1" x14ac:dyDescent="0.25">
      <c r="A27" s="115" t="s">
        <v>174</v>
      </c>
      <c r="B27" s="115" t="s">
        <v>313</v>
      </c>
      <c r="C27" s="116">
        <f>1-0.77</f>
        <v>0.22999999999999998</v>
      </c>
      <c r="D27" s="116">
        <f>1-0.77</f>
        <v>0.22999999999999998</v>
      </c>
      <c r="E27" s="116">
        <f t="shared" ref="E27:F27" si="3">E12*0.9</f>
        <v>0</v>
      </c>
      <c r="F27" s="116">
        <f t="shared" si="3"/>
        <v>0</v>
      </c>
    </row>
    <row r="28" spans="1:6" ht="15.75" customHeight="1" x14ac:dyDescent="0.25">
      <c r="A28" s="115"/>
      <c r="B28" s="115" t="s">
        <v>314</v>
      </c>
      <c r="C28" s="116">
        <v>1</v>
      </c>
      <c r="D28" s="116">
        <v>1</v>
      </c>
      <c r="E28" s="116">
        <v>1</v>
      </c>
      <c r="F28" s="116">
        <v>1</v>
      </c>
    </row>
    <row r="29" spans="1:6" ht="15.75" customHeight="1" x14ac:dyDescent="0.25">
      <c r="A29" s="115" t="s">
        <v>178</v>
      </c>
      <c r="B29" s="115" t="s">
        <v>313</v>
      </c>
      <c r="C29" s="116">
        <f>1-0.77</f>
        <v>0.22999999999999998</v>
      </c>
      <c r="D29" s="116">
        <f>1-0.77</f>
        <v>0.22999999999999998</v>
      </c>
      <c r="E29" s="116">
        <f t="shared" ref="E29:F29" si="4">E12*0.9</f>
        <v>0</v>
      </c>
      <c r="F29" s="116">
        <f t="shared" si="4"/>
        <v>0</v>
      </c>
    </row>
    <row r="30" spans="1:6" ht="15.75" customHeight="1" x14ac:dyDescent="0.25">
      <c r="A30" s="115"/>
      <c r="B30" s="115" t="s">
        <v>314</v>
      </c>
      <c r="C30" s="116">
        <v>1</v>
      </c>
      <c r="D30" s="116">
        <v>1</v>
      </c>
      <c r="E30" s="116">
        <v>1</v>
      </c>
      <c r="F30" s="116">
        <v>1</v>
      </c>
    </row>
    <row r="31" spans="1:6" ht="15.75" customHeight="1" x14ac:dyDescent="0.25">
      <c r="A31" s="115" t="s">
        <v>182</v>
      </c>
      <c r="B31" s="115" t="s">
        <v>313</v>
      </c>
      <c r="C31" s="116">
        <f>1-0.96*0.86</f>
        <v>0.1744</v>
      </c>
      <c r="D31" s="116">
        <f>1-0.96*0.86</f>
        <v>0.1744</v>
      </c>
      <c r="E31" s="116">
        <f t="shared" ref="E31:F31" si="5">E14*0.9</f>
        <v>0</v>
      </c>
      <c r="F31" s="116">
        <f t="shared" si="5"/>
        <v>0</v>
      </c>
    </row>
    <row r="32" spans="1:6" ht="15.75" customHeight="1" x14ac:dyDescent="0.25">
      <c r="A32" s="115"/>
      <c r="B32" s="115" t="s">
        <v>314</v>
      </c>
      <c r="C32" s="116">
        <v>1</v>
      </c>
      <c r="D32" s="116">
        <v>1</v>
      </c>
      <c r="E32" s="116">
        <v>1</v>
      </c>
      <c r="F32" s="116">
        <v>1</v>
      </c>
    </row>
    <row r="34" spans="1:6" s="117" customFormat="1" ht="15.75" customHeight="1" x14ac:dyDescent="0.3">
      <c r="A34" s="117" t="s">
        <v>232</v>
      </c>
    </row>
    <row r="35" spans="1:6" ht="15.75" customHeight="1" x14ac:dyDescent="0.3">
      <c r="A35" s="105" t="s">
        <v>149</v>
      </c>
      <c r="B35" s="103"/>
      <c r="C35" s="103" t="s">
        <v>40</v>
      </c>
      <c r="D35" s="103" t="s">
        <v>42</v>
      </c>
      <c r="E35" s="103" t="s">
        <v>41</v>
      </c>
      <c r="F35" s="105" t="s">
        <v>43</v>
      </c>
    </row>
    <row r="36" spans="1:6" ht="15.75" customHeight="1" x14ac:dyDescent="0.25">
      <c r="A36" s="115" t="s">
        <v>159</v>
      </c>
      <c r="B36" s="115" t="s">
        <v>313</v>
      </c>
      <c r="C36" s="116">
        <f>1-0.54</f>
        <v>0.45999999999999996</v>
      </c>
      <c r="D36" s="116">
        <f>1-0.54</f>
        <v>0.45999999999999996</v>
      </c>
      <c r="E36" s="116">
        <f t="shared" ref="E36:F36" si="6">E2*1.1</f>
        <v>0</v>
      </c>
      <c r="F36" s="116">
        <f t="shared" si="6"/>
        <v>0</v>
      </c>
    </row>
    <row r="37" spans="1:6" ht="15.75" customHeight="1" x14ac:dyDescent="0.25">
      <c r="A37" s="115"/>
      <c r="B37" s="115" t="s">
        <v>314</v>
      </c>
      <c r="C37" s="116">
        <v>1</v>
      </c>
      <c r="D37" s="116">
        <v>1</v>
      </c>
      <c r="E37" s="116">
        <v>1</v>
      </c>
      <c r="F37" s="116">
        <v>1</v>
      </c>
    </row>
    <row r="38" spans="1:6" ht="15.75" customHeight="1" x14ac:dyDescent="0.25">
      <c r="A38" s="115" t="s">
        <v>161</v>
      </c>
      <c r="B38" s="115" t="s">
        <v>313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5"/>
      <c r="B39" s="115" t="s">
        <v>314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5" t="s">
        <v>172</v>
      </c>
      <c r="B40" s="115" t="s">
        <v>313</v>
      </c>
      <c r="C40" s="116">
        <f>1-0.17</f>
        <v>0.83</v>
      </c>
      <c r="D40" s="116">
        <f>1-0.17</f>
        <v>0.83</v>
      </c>
      <c r="E40" s="116">
        <f t="shared" ref="E40:F40" si="7">E6*1.1</f>
        <v>0</v>
      </c>
      <c r="F40" s="116">
        <f t="shared" si="7"/>
        <v>0</v>
      </c>
    </row>
    <row r="41" spans="1:6" ht="15.75" customHeight="1" x14ac:dyDescent="0.25">
      <c r="A41" s="115"/>
      <c r="B41" s="115" t="s">
        <v>314</v>
      </c>
      <c r="C41" s="116">
        <v>1</v>
      </c>
      <c r="D41" s="116">
        <v>1</v>
      </c>
      <c r="E41" s="116">
        <v>1</v>
      </c>
      <c r="F41" s="116">
        <v>1</v>
      </c>
    </row>
    <row r="42" spans="1:6" ht="15.75" customHeight="1" x14ac:dyDescent="0.25">
      <c r="A42" s="115" t="s">
        <v>173</v>
      </c>
      <c r="B42" s="115" t="s">
        <v>313</v>
      </c>
      <c r="C42" s="116">
        <f>1-0.17</f>
        <v>0.83</v>
      </c>
      <c r="D42" s="116">
        <f>1-0.17</f>
        <v>0.83</v>
      </c>
      <c r="E42" s="116">
        <f t="shared" ref="E42:F42" si="8">E8*1.1</f>
        <v>0</v>
      </c>
      <c r="F42" s="116">
        <f t="shared" si="8"/>
        <v>0</v>
      </c>
    </row>
    <row r="43" spans="1:6" ht="15.75" customHeight="1" x14ac:dyDescent="0.25">
      <c r="A43" s="115"/>
      <c r="B43" s="115" t="s">
        <v>314</v>
      </c>
      <c r="C43" s="116">
        <v>1</v>
      </c>
      <c r="D43" s="116">
        <v>1</v>
      </c>
      <c r="E43" s="116">
        <v>1</v>
      </c>
      <c r="F43" s="116">
        <v>1</v>
      </c>
    </row>
    <row r="44" spans="1:6" ht="15.75" customHeight="1" x14ac:dyDescent="0.25">
      <c r="A44" s="115" t="s">
        <v>174</v>
      </c>
      <c r="B44" s="115" t="s">
        <v>313</v>
      </c>
      <c r="C44" s="116">
        <f>1-0.55</f>
        <v>0.44999999999999996</v>
      </c>
      <c r="D44" s="116">
        <f>1-0.55</f>
        <v>0.44999999999999996</v>
      </c>
      <c r="E44" s="116">
        <f t="shared" ref="E44:F44" si="9">E10*1.1</f>
        <v>0</v>
      </c>
      <c r="F44" s="116">
        <f t="shared" si="9"/>
        <v>0</v>
      </c>
    </row>
    <row r="45" spans="1:6" ht="15.75" customHeight="1" x14ac:dyDescent="0.25">
      <c r="A45" s="115"/>
      <c r="B45" s="115" t="s">
        <v>314</v>
      </c>
      <c r="C45" s="116">
        <v>1</v>
      </c>
      <c r="D45" s="116">
        <v>1</v>
      </c>
      <c r="E45" s="116">
        <v>1</v>
      </c>
      <c r="F45" s="116">
        <v>1</v>
      </c>
    </row>
    <row r="46" spans="1:6" ht="15.75" customHeight="1" x14ac:dyDescent="0.25">
      <c r="A46" s="115" t="s">
        <v>178</v>
      </c>
      <c r="B46" s="115" t="s">
        <v>313</v>
      </c>
      <c r="C46" s="116">
        <f>1-0.55</f>
        <v>0.44999999999999996</v>
      </c>
      <c r="D46" s="116">
        <f>1-0.55</f>
        <v>0.44999999999999996</v>
      </c>
      <c r="E46" s="116">
        <f t="shared" ref="E46:F46" si="10">E12*1.1</f>
        <v>0</v>
      </c>
      <c r="F46" s="116">
        <f t="shared" si="10"/>
        <v>0</v>
      </c>
    </row>
    <row r="47" spans="1:6" ht="15.75" customHeight="1" x14ac:dyDescent="0.25">
      <c r="A47" s="115"/>
      <c r="B47" s="115" t="s">
        <v>314</v>
      </c>
      <c r="C47" s="116">
        <v>1</v>
      </c>
      <c r="D47" s="116">
        <v>1</v>
      </c>
      <c r="E47" s="116">
        <v>1</v>
      </c>
      <c r="F47" s="116">
        <v>1</v>
      </c>
    </row>
    <row r="48" spans="1:6" ht="15.75" customHeight="1" x14ac:dyDescent="0.25">
      <c r="A48" s="115" t="s">
        <v>182</v>
      </c>
      <c r="B48" s="115" t="s">
        <v>313</v>
      </c>
      <c r="C48" s="116">
        <f>1-0.84*0.17</f>
        <v>0.85719999999999996</v>
      </c>
      <c r="D48" s="116">
        <f>1-0.84*0.17</f>
        <v>0.85719999999999996</v>
      </c>
      <c r="E48" s="116">
        <f t="shared" ref="E48:F48" si="11">E14*1.1</f>
        <v>0</v>
      </c>
      <c r="F48" s="116">
        <f t="shared" si="11"/>
        <v>0</v>
      </c>
    </row>
    <row r="49" spans="1:6" ht="15.75" customHeight="1" x14ac:dyDescent="0.25">
      <c r="A49" s="115"/>
      <c r="B49" s="115" t="s">
        <v>314</v>
      </c>
      <c r="C49" s="116">
        <v>1</v>
      </c>
      <c r="D49" s="116">
        <v>1</v>
      </c>
      <c r="E49" s="116">
        <v>1</v>
      </c>
      <c r="F49" s="116">
        <v>1</v>
      </c>
    </row>
  </sheetData>
  <sheetProtection algorithmName="SHA-512" hashValue="mTJBfDtVD8RS7vF+FLRTdNLzOeUfx+W/IGn0ywVnTUFVxHRPK0jMpUV85xStGAKvVCIherf2LOYrZO35DcOfXA==" saltValue="Ns9bFbdx8mjiboYdwI5AJ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C4" sqref="C4:F79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236</v>
      </c>
    </row>
    <row r="2" spans="1:6" ht="15.75" customHeight="1" x14ac:dyDescent="0.3">
      <c r="B2" s="69"/>
      <c r="C2" s="26" t="s">
        <v>43</v>
      </c>
      <c r="D2" s="70" t="s">
        <v>42</v>
      </c>
      <c r="E2" s="70" t="s">
        <v>41</v>
      </c>
      <c r="F2" s="70" t="s">
        <v>40</v>
      </c>
    </row>
    <row r="3" spans="1:6" ht="15.75" customHeight="1" x14ac:dyDescent="0.3">
      <c r="A3" s="4" t="s">
        <v>237</v>
      </c>
      <c r="B3" s="14"/>
      <c r="C3" s="71"/>
      <c r="D3" s="72"/>
      <c r="E3" s="72"/>
      <c r="F3" s="72"/>
    </row>
    <row r="4" spans="1:6" ht="15.75" customHeight="1" x14ac:dyDescent="0.25">
      <c r="B4" s="5" t="s">
        <v>26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27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28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29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238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239</v>
      </c>
      <c r="C11" s="74"/>
      <c r="D11" s="75"/>
      <c r="E11" s="75"/>
      <c r="F11" s="75"/>
    </row>
    <row r="12" spans="1:6" ht="15.75" customHeight="1" x14ac:dyDescent="0.3">
      <c r="A12" s="4" t="s">
        <v>240</v>
      </c>
      <c r="C12" s="73"/>
      <c r="D12" s="64"/>
      <c r="E12" s="64"/>
      <c r="F12" s="64"/>
    </row>
    <row r="13" spans="1:6" ht="15.75" customHeight="1" x14ac:dyDescent="0.25">
      <c r="B13" s="11" t="s">
        <v>241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109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110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242</v>
      </c>
      <c r="B17" s="14"/>
      <c r="C17" s="77"/>
      <c r="D17" s="78"/>
      <c r="E17" s="78"/>
      <c r="F17" s="78"/>
    </row>
    <row r="18" spans="1:6" ht="15.75" customHeight="1" x14ac:dyDescent="0.25">
      <c r="B18" s="5" t="s">
        <v>68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69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70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71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72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73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74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75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228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236</v>
      </c>
    </row>
    <row r="29" spans="1:6" ht="15.75" customHeight="1" x14ac:dyDescent="0.3">
      <c r="B29" s="69"/>
      <c r="C29" s="26" t="s">
        <v>43</v>
      </c>
      <c r="D29" s="70" t="s">
        <v>42</v>
      </c>
      <c r="E29" s="70" t="s">
        <v>41</v>
      </c>
      <c r="F29" s="70" t="s">
        <v>40</v>
      </c>
    </row>
    <row r="30" spans="1:6" ht="15.75" customHeight="1" x14ac:dyDescent="0.3">
      <c r="A30" s="4" t="s">
        <v>243</v>
      </c>
      <c r="B30" s="14"/>
      <c r="C30" s="71"/>
      <c r="D30" s="72"/>
      <c r="E30" s="72"/>
      <c r="F30" s="72"/>
    </row>
    <row r="31" spans="1:6" ht="15.75" customHeight="1" x14ac:dyDescent="0.25">
      <c r="B31" s="5" t="s">
        <v>26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27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28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29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244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239</v>
      </c>
      <c r="B38" s="68"/>
      <c r="C38" s="74"/>
      <c r="D38" s="75"/>
      <c r="E38" s="75"/>
      <c r="F38" s="75"/>
    </row>
    <row r="39" spans="1:6" ht="15.75" customHeight="1" x14ac:dyDescent="0.3">
      <c r="A39" s="4" t="s">
        <v>245</v>
      </c>
      <c r="C39" s="73"/>
      <c r="D39" s="64"/>
      <c r="E39" s="64"/>
      <c r="F39" s="64"/>
    </row>
    <row r="40" spans="1:6" ht="15.75" customHeight="1" x14ac:dyDescent="0.25">
      <c r="B40" s="11" t="s">
        <v>246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247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248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249</v>
      </c>
      <c r="B44" s="14"/>
      <c r="C44" s="77"/>
      <c r="D44" s="78"/>
      <c r="E44" s="78"/>
      <c r="F44" s="78"/>
    </row>
    <row r="45" spans="1:6" ht="15.75" customHeight="1" x14ac:dyDescent="0.25">
      <c r="B45" s="5" t="s">
        <v>68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69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70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71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72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73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74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75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232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236</v>
      </c>
    </row>
    <row r="56" spans="1:6" ht="15.75" customHeight="1" x14ac:dyDescent="0.3">
      <c r="B56" s="69"/>
      <c r="C56" s="26" t="s">
        <v>43</v>
      </c>
      <c r="D56" s="70" t="s">
        <v>42</v>
      </c>
      <c r="E56" s="70" t="s">
        <v>41</v>
      </c>
      <c r="F56" s="70" t="s">
        <v>40</v>
      </c>
    </row>
    <row r="57" spans="1:6" ht="15.75" customHeight="1" x14ac:dyDescent="0.3">
      <c r="A57" s="4" t="s">
        <v>250</v>
      </c>
      <c r="B57" s="14"/>
      <c r="C57" s="71"/>
      <c r="D57" s="72"/>
      <c r="E57" s="72"/>
      <c r="F57" s="72"/>
    </row>
    <row r="58" spans="1:6" ht="15.75" customHeight="1" x14ac:dyDescent="0.25">
      <c r="B58" s="5" t="s">
        <v>26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27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28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29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251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239</v>
      </c>
      <c r="B65" s="68"/>
      <c r="C65" s="74"/>
      <c r="D65" s="75"/>
      <c r="E65" s="75"/>
      <c r="F65" s="75"/>
    </row>
    <row r="66" spans="1:6" ht="15.75" customHeight="1" x14ac:dyDescent="0.3">
      <c r="A66" s="4" t="s">
        <v>252</v>
      </c>
      <c r="C66" s="73"/>
      <c r="D66" s="64"/>
      <c r="E66" s="64"/>
      <c r="F66" s="64"/>
    </row>
    <row r="67" spans="1:6" ht="15.75" customHeight="1" x14ac:dyDescent="0.25">
      <c r="B67" s="11" t="s">
        <v>253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254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255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256</v>
      </c>
      <c r="B71" s="14"/>
      <c r="C71" s="77"/>
      <c r="D71" s="78"/>
      <c r="E71" s="78"/>
      <c r="F71" s="78"/>
    </row>
    <row r="72" spans="1:6" ht="15.75" customHeight="1" x14ac:dyDescent="0.25">
      <c r="B72" s="5" t="s">
        <v>68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69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70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71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72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73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74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75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a0aX2VfGYRJWLRZcCd5z7lhlUmGJO/EzN4cg0Snhkl/IJQUK1zIL/9W0H+8Dtzn8tPzB4mSWxW65xqA1yiTgOA==" saltValue="o1GVWZzk0+60bY16Wxar5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E28" sqref="E28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257</v>
      </c>
    </row>
    <row r="2" spans="1:16" ht="13" x14ac:dyDescent="0.3">
      <c r="A2" s="39" t="s">
        <v>218</v>
      </c>
      <c r="B2" s="1" t="s">
        <v>258</v>
      </c>
      <c r="C2" s="1" t="s">
        <v>259</v>
      </c>
      <c r="D2" s="70" t="s">
        <v>67</v>
      </c>
      <c r="E2" s="70" t="s">
        <v>77</v>
      </c>
      <c r="F2" s="70" t="s">
        <v>78</v>
      </c>
      <c r="G2" s="70" t="s">
        <v>79</v>
      </c>
      <c r="H2" s="70" t="s">
        <v>80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81</v>
      </c>
      <c r="C3" s="3" t="s">
        <v>260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261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262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263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82</v>
      </c>
      <c r="C7" s="3" t="s">
        <v>260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261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262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263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84</v>
      </c>
      <c r="C11" s="3" t="s">
        <v>260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261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262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263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85</v>
      </c>
      <c r="C15" s="3" t="s">
        <v>260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261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262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263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83</v>
      </c>
      <c r="C19" s="3" t="s">
        <v>260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261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262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263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89</v>
      </c>
      <c r="C23" s="3" t="s">
        <v>260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261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262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263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264</v>
      </c>
    </row>
    <row r="29" spans="1:16" ht="13" x14ac:dyDescent="0.3">
      <c r="A29" s="39" t="s">
        <v>265</v>
      </c>
      <c r="B29" s="4" t="s">
        <v>258</v>
      </c>
      <c r="C29" s="4" t="s">
        <v>266</v>
      </c>
      <c r="D29" s="70" t="s">
        <v>67</v>
      </c>
      <c r="E29" s="70" t="s">
        <v>77</v>
      </c>
      <c r="F29" s="70" t="s">
        <v>78</v>
      </c>
      <c r="G29" s="70" t="s">
        <v>79</v>
      </c>
      <c r="H29" s="70" t="s">
        <v>80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81</v>
      </c>
      <c r="C30" s="3" t="s">
        <v>260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261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197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198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82</v>
      </c>
      <c r="C34" s="3" t="s">
        <v>260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261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197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198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84</v>
      </c>
      <c r="C38" s="3" t="s">
        <v>260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261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197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198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85</v>
      </c>
      <c r="C42" s="3" t="s">
        <v>260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261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197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198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83</v>
      </c>
      <c r="C46" s="3" t="s">
        <v>260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261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197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198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89</v>
      </c>
      <c r="C50" s="3" t="s">
        <v>260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261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197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198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267</v>
      </c>
    </row>
    <row r="56" spans="1:16" ht="26.4" customHeight="1" x14ac:dyDescent="0.3">
      <c r="A56" s="39" t="s">
        <v>111</v>
      </c>
      <c r="B56" s="4" t="s">
        <v>258</v>
      </c>
      <c r="C56" s="69" t="s">
        <v>268</v>
      </c>
      <c r="D56" s="70" t="s">
        <v>112</v>
      </c>
      <c r="E56" s="70" t="s">
        <v>113</v>
      </c>
      <c r="F56" s="70" t="s">
        <v>114</v>
      </c>
      <c r="G56" s="70" t="s">
        <v>115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91</v>
      </c>
      <c r="C57" s="3" t="s">
        <v>269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270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92</v>
      </c>
      <c r="C59" s="3" t="s">
        <v>269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270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93</v>
      </c>
      <c r="C61" s="3" t="s">
        <v>269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270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271</v>
      </c>
    </row>
    <row r="65" spans="1:16" ht="26.4" customHeight="1" x14ac:dyDescent="0.3">
      <c r="A65" s="39" t="s">
        <v>118</v>
      </c>
      <c r="B65" s="4" t="s">
        <v>258</v>
      </c>
      <c r="C65" s="69" t="s">
        <v>272</v>
      </c>
      <c r="D65" s="70" t="s">
        <v>67</v>
      </c>
      <c r="E65" s="70" t="s">
        <v>77</v>
      </c>
      <c r="F65" s="70" t="s">
        <v>78</v>
      </c>
      <c r="G65" s="70" t="s">
        <v>79</v>
      </c>
      <c r="H65" s="81" t="s">
        <v>80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68</v>
      </c>
      <c r="C66" s="3" t="s">
        <v>119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120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121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122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69</v>
      </c>
      <c r="C70" s="3" t="s">
        <v>119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120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121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122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70</v>
      </c>
      <c r="C74" s="3" t="s">
        <v>119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120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121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122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72</v>
      </c>
      <c r="C78" s="3" t="s">
        <v>119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120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121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122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81</v>
      </c>
      <c r="C82" s="3" t="s">
        <v>119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120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121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122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82</v>
      </c>
      <c r="C86" s="3" t="s">
        <v>119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120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121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122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84</v>
      </c>
      <c r="C90" s="3" t="s">
        <v>119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120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121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122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83</v>
      </c>
      <c r="C94" s="3" t="s">
        <v>119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120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121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122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86</v>
      </c>
      <c r="C98" s="3" t="s">
        <v>119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120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121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122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273</v>
      </c>
    </row>
    <row r="104" spans="1:16" ht="26.4" customHeight="1" x14ac:dyDescent="0.3">
      <c r="A104" s="39" t="s">
        <v>81</v>
      </c>
      <c r="B104" s="82" t="s">
        <v>122</v>
      </c>
      <c r="C104" s="69" t="s">
        <v>272</v>
      </c>
      <c r="D104" s="70" t="s">
        <v>67</v>
      </c>
      <c r="E104" s="70" t="s">
        <v>77</v>
      </c>
      <c r="F104" s="70" t="s">
        <v>78</v>
      </c>
      <c r="G104" s="70" t="s">
        <v>79</v>
      </c>
      <c r="H104" s="81" t="s">
        <v>80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119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120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121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122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228</v>
      </c>
      <c r="H110" s="92"/>
    </row>
    <row r="111" spans="1:16" ht="13" x14ac:dyDescent="0.3">
      <c r="A111" s="67" t="s">
        <v>257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218</v>
      </c>
      <c r="B112" s="1" t="s">
        <v>258</v>
      </c>
      <c r="C112" s="1" t="s">
        <v>259</v>
      </c>
      <c r="D112" s="70" t="s">
        <v>67</v>
      </c>
      <c r="E112" s="70" t="s">
        <v>77</v>
      </c>
      <c r="F112" s="70" t="s">
        <v>78</v>
      </c>
      <c r="G112" s="70" t="s">
        <v>79</v>
      </c>
      <c r="H112" s="70" t="s">
        <v>80</v>
      </c>
    </row>
    <row r="113" spans="1:8" ht="13" x14ac:dyDescent="0.3">
      <c r="A113" s="4"/>
      <c r="B113" s="8" t="s">
        <v>81</v>
      </c>
      <c r="C113" s="3" t="s">
        <v>260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261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262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263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82</v>
      </c>
      <c r="C117" s="3" t="s">
        <v>260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261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262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263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84</v>
      </c>
      <c r="C121" s="3" t="s">
        <v>260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261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262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263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85</v>
      </c>
      <c r="C125" s="3" t="s">
        <v>260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261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262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263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83</v>
      </c>
      <c r="C129" s="3" t="s">
        <v>260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261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262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263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89</v>
      </c>
      <c r="C133" s="3" t="s">
        <v>260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261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262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263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264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265</v>
      </c>
      <c r="B139" s="4" t="s">
        <v>258</v>
      </c>
      <c r="C139" s="4" t="s">
        <v>266</v>
      </c>
      <c r="D139" s="70" t="s">
        <v>67</v>
      </c>
      <c r="E139" s="70" t="s">
        <v>77</v>
      </c>
      <c r="F139" s="70" t="s">
        <v>78</v>
      </c>
      <c r="G139" s="70" t="s">
        <v>79</v>
      </c>
      <c r="H139" s="70" t="s">
        <v>80</v>
      </c>
    </row>
    <row r="140" spans="1:8" ht="13" x14ac:dyDescent="0.3">
      <c r="A140" s="4"/>
      <c r="B140" s="8" t="s">
        <v>81</v>
      </c>
      <c r="C140" s="3" t="s">
        <v>260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261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197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198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82</v>
      </c>
      <c r="C144" s="3" t="s">
        <v>260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261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197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198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84</v>
      </c>
      <c r="C148" s="3" t="s">
        <v>260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261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197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198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85</v>
      </c>
      <c r="C152" s="3" t="s">
        <v>260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261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197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198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83</v>
      </c>
      <c r="C156" s="3" t="s">
        <v>260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261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197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198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89</v>
      </c>
      <c r="C160" s="3" t="s">
        <v>260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261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197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198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267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111</v>
      </c>
      <c r="B166" s="4" t="s">
        <v>258</v>
      </c>
      <c r="C166" s="69" t="s">
        <v>268</v>
      </c>
      <c r="D166" s="70" t="s">
        <v>112</v>
      </c>
      <c r="E166" s="70" t="s">
        <v>113</v>
      </c>
      <c r="F166" s="70" t="s">
        <v>114</v>
      </c>
      <c r="G166" s="70" t="s">
        <v>115</v>
      </c>
      <c r="H166" s="79"/>
    </row>
    <row r="167" spans="1:8" ht="13" x14ac:dyDescent="0.3">
      <c r="A167" s="4"/>
      <c r="B167" s="8" t="s">
        <v>91</v>
      </c>
      <c r="C167" s="3" t="s">
        <v>269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270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92</v>
      </c>
      <c r="C169" s="3" t="s">
        <v>269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270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93</v>
      </c>
      <c r="C171" s="3" t="s">
        <v>269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270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271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118</v>
      </c>
      <c r="B175" s="4" t="s">
        <v>258</v>
      </c>
      <c r="C175" s="69" t="s">
        <v>272</v>
      </c>
      <c r="D175" s="70" t="s">
        <v>67</v>
      </c>
      <c r="E175" s="70" t="s">
        <v>77</v>
      </c>
      <c r="F175" s="70" t="s">
        <v>78</v>
      </c>
      <c r="G175" s="70" t="s">
        <v>79</v>
      </c>
      <c r="H175" s="81" t="s">
        <v>80</v>
      </c>
    </row>
    <row r="176" spans="1:8" ht="13" x14ac:dyDescent="0.3">
      <c r="A176" s="82"/>
      <c r="B176" s="8" t="s">
        <v>68</v>
      </c>
      <c r="C176" s="3" t="s">
        <v>119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120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121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122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69</v>
      </c>
      <c r="C180" s="3" t="s">
        <v>119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120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121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122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70</v>
      </c>
      <c r="C184" s="3" t="s">
        <v>119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120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121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122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72</v>
      </c>
      <c r="C188" s="3" t="s">
        <v>119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120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121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122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81</v>
      </c>
      <c r="C192" s="3" t="s">
        <v>119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120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121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122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82</v>
      </c>
      <c r="C196" s="3" t="s">
        <v>119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120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121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122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84</v>
      </c>
      <c r="C200" s="3" t="s">
        <v>119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120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121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122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83</v>
      </c>
      <c r="C204" s="3" t="s">
        <v>119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120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121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122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86</v>
      </c>
      <c r="C208" s="3" t="s">
        <v>119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120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121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122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273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81</v>
      </c>
      <c r="B214" s="82" t="s">
        <v>122</v>
      </c>
      <c r="C214" s="69" t="s">
        <v>272</v>
      </c>
      <c r="D214" s="70" t="s">
        <v>67</v>
      </c>
      <c r="E214" s="70" t="s">
        <v>77</v>
      </c>
      <c r="F214" s="70" t="s">
        <v>78</v>
      </c>
      <c r="G214" s="70" t="s">
        <v>79</v>
      </c>
      <c r="H214" s="81" t="s">
        <v>80</v>
      </c>
    </row>
    <row r="215" spans="1:9" ht="13" x14ac:dyDescent="0.3">
      <c r="A215" s="4"/>
      <c r="C215" s="3" t="s">
        <v>119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120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121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122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232</v>
      </c>
      <c r="H220" s="92"/>
    </row>
    <row r="221" spans="1:9" ht="13" x14ac:dyDescent="0.3">
      <c r="A221" s="67" t="s">
        <v>257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218</v>
      </c>
      <c r="B222" s="1" t="s">
        <v>258</v>
      </c>
      <c r="C222" s="1" t="s">
        <v>259</v>
      </c>
      <c r="D222" s="70" t="s">
        <v>67</v>
      </c>
      <c r="E222" s="70" t="s">
        <v>77</v>
      </c>
      <c r="F222" s="70" t="s">
        <v>78</v>
      </c>
      <c r="G222" s="70" t="s">
        <v>79</v>
      </c>
      <c r="H222" s="70" t="s">
        <v>80</v>
      </c>
      <c r="I222" s="79"/>
    </row>
    <row r="223" spans="1:9" ht="13" x14ac:dyDescent="0.3">
      <c r="A223" s="4"/>
      <c r="B223" s="8" t="s">
        <v>81</v>
      </c>
      <c r="C223" s="3" t="s">
        <v>260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261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262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263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82</v>
      </c>
      <c r="C227" s="3" t="s">
        <v>260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261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262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263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84</v>
      </c>
      <c r="C231" s="3" t="s">
        <v>260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261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262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263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85</v>
      </c>
      <c r="C235" s="3" t="s">
        <v>260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261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262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263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83</v>
      </c>
      <c r="C239" s="3" t="s">
        <v>260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261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262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263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89</v>
      </c>
      <c r="C243" s="3" t="s">
        <v>260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261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262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263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264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265</v>
      </c>
      <c r="B249" s="4" t="s">
        <v>258</v>
      </c>
      <c r="C249" s="4" t="s">
        <v>266</v>
      </c>
      <c r="D249" s="70" t="s">
        <v>67</v>
      </c>
      <c r="E249" s="70" t="s">
        <v>77</v>
      </c>
      <c r="F249" s="70" t="s">
        <v>78</v>
      </c>
      <c r="G249" s="70" t="s">
        <v>79</v>
      </c>
      <c r="H249" s="70" t="s">
        <v>80</v>
      </c>
      <c r="I249" s="79"/>
    </row>
    <row r="250" spans="1:9" ht="13" x14ac:dyDescent="0.3">
      <c r="A250" s="4"/>
      <c r="B250" s="8" t="s">
        <v>81</v>
      </c>
      <c r="C250" s="3" t="s">
        <v>260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261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197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198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82</v>
      </c>
      <c r="C254" s="3" t="s">
        <v>260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261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197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198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84</v>
      </c>
      <c r="C258" s="3" t="s">
        <v>260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261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197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198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85</v>
      </c>
      <c r="C262" s="3" t="s">
        <v>260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261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197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198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83</v>
      </c>
      <c r="C266" s="3" t="s">
        <v>260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261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197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198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89</v>
      </c>
      <c r="C270" s="3" t="s">
        <v>260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261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197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198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267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111</v>
      </c>
      <c r="B276" s="4" t="s">
        <v>258</v>
      </c>
      <c r="C276" s="69" t="s">
        <v>268</v>
      </c>
      <c r="D276" s="70" t="s">
        <v>112</v>
      </c>
      <c r="E276" s="70" t="s">
        <v>113</v>
      </c>
      <c r="F276" s="70" t="s">
        <v>114</v>
      </c>
      <c r="G276" s="70" t="s">
        <v>115</v>
      </c>
      <c r="H276" s="79"/>
    </row>
    <row r="277" spans="1:9" ht="13" x14ac:dyDescent="0.3">
      <c r="A277" s="4"/>
      <c r="B277" s="8" t="s">
        <v>91</v>
      </c>
      <c r="C277" s="3" t="s">
        <v>269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270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92</v>
      </c>
      <c r="C279" s="3" t="s">
        <v>269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270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93</v>
      </c>
      <c r="C281" s="3" t="s">
        <v>269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270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271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118</v>
      </c>
      <c r="B285" s="4" t="s">
        <v>258</v>
      </c>
      <c r="C285" s="69" t="s">
        <v>272</v>
      </c>
      <c r="D285" s="70" t="s">
        <v>67</v>
      </c>
      <c r="E285" s="70" t="s">
        <v>77</v>
      </c>
      <c r="F285" s="70" t="s">
        <v>78</v>
      </c>
      <c r="G285" s="70" t="s">
        <v>79</v>
      </c>
      <c r="H285" s="81" t="s">
        <v>80</v>
      </c>
      <c r="I285" s="79"/>
    </row>
    <row r="286" spans="1:9" ht="13" x14ac:dyDescent="0.3">
      <c r="A286" s="82"/>
      <c r="B286" s="8" t="s">
        <v>68</v>
      </c>
      <c r="C286" s="3" t="s">
        <v>119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120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121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122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69</v>
      </c>
      <c r="C290" s="3" t="s">
        <v>119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120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121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122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70</v>
      </c>
      <c r="C294" s="3" t="s">
        <v>119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120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121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122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72</v>
      </c>
      <c r="C298" s="3" t="s">
        <v>119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120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121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122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81</v>
      </c>
      <c r="C302" s="3" t="s">
        <v>119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120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121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122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82</v>
      </c>
      <c r="C306" s="3" t="s">
        <v>119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120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121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122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84</v>
      </c>
      <c r="C310" s="3" t="s">
        <v>119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120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121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122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83</v>
      </c>
      <c r="C314" s="3" t="s">
        <v>119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120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121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122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86</v>
      </c>
      <c r="C318" s="3" t="s">
        <v>119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120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121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122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273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81</v>
      </c>
      <c r="B324" s="82" t="s">
        <v>122</v>
      </c>
      <c r="C324" s="69" t="s">
        <v>272</v>
      </c>
      <c r="D324" s="70" t="s">
        <v>67</v>
      </c>
      <c r="E324" s="70" t="s">
        <v>77</v>
      </c>
      <c r="F324" s="70" t="s">
        <v>78</v>
      </c>
      <c r="G324" s="70" t="s">
        <v>79</v>
      </c>
      <c r="H324" s="81" t="s">
        <v>80</v>
      </c>
      <c r="I324" s="79"/>
    </row>
    <row r="325" spans="1:9" ht="13" x14ac:dyDescent="0.3">
      <c r="A325" s="4"/>
      <c r="C325" s="3" t="s">
        <v>119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120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121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122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QPUFmCFtFBVVyEMWX+ufO46C8X+nKRCwHNyDvv7CKg/oO7DPZp1nYnOMxNvnqXsQKuBxQKlHWKOifwOzFAazNA==" saltValue="HCEWU6EJTzcX+etfLOPz7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topLeftCell="E1" zoomScale="70" zoomScaleNormal="70" workbookViewId="0">
      <selection activeCell="N55" sqref="N5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67</v>
      </c>
      <c r="D1" s="70" t="s">
        <v>77</v>
      </c>
      <c r="E1" s="70" t="s">
        <v>78</v>
      </c>
      <c r="F1" s="70" t="s">
        <v>79</v>
      </c>
      <c r="G1" s="70" t="s">
        <v>80</v>
      </c>
      <c r="H1" s="70" t="s">
        <v>58</v>
      </c>
      <c r="I1" s="70" t="s">
        <v>59</v>
      </c>
      <c r="J1" s="70" t="s">
        <v>60</v>
      </c>
      <c r="K1" s="70" t="s">
        <v>61</v>
      </c>
      <c r="L1" s="70" t="s">
        <v>112</v>
      </c>
      <c r="M1" s="70" t="s">
        <v>113</v>
      </c>
      <c r="N1" s="70" t="s">
        <v>114</v>
      </c>
      <c r="O1" s="70" t="s">
        <v>115</v>
      </c>
    </row>
    <row r="2" spans="1:15" ht="13" x14ac:dyDescent="0.3">
      <c r="A2" s="4" t="s">
        <v>315</v>
      </c>
    </row>
    <row r="3" spans="1:15" x14ac:dyDescent="0.25">
      <c r="B3" s="11" t="s">
        <v>163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168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169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170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171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172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173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174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1" t="s">
        <v>177</v>
      </c>
      <c r="C11" s="102">
        <v>1</v>
      </c>
      <c r="D11" s="102">
        <v>1</v>
      </c>
      <c r="E11" s="102">
        <v>1</v>
      </c>
      <c r="F11" s="102">
        <v>1</v>
      </c>
      <c r="G11" s="102">
        <v>1</v>
      </c>
      <c r="H11" s="102">
        <v>1</v>
      </c>
      <c r="I11" s="102">
        <v>1</v>
      </c>
      <c r="J11" s="102">
        <v>1</v>
      </c>
      <c r="K11" s="102">
        <v>1</v>
      </c>
      <c r="L11" s="102">
        <v>1</v>
      </c>
      <c r="M11" s="102">
        <v>1</v>
      </c>
      <c r="N11" s="102">
        <v>1</v>
      </c>
      <c r="O11" s="102">
        <v>1</v>
      </c>
    </row>
    <row r="12" spans="1:15" x14ac:dyDescent="0.25">
      <c r="B12" s="11" t="s">
        <v>178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181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182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185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316</v>
      </c>
      <c r="B17" s="11"/>
    </row>
    <row r="18" spans="1:15" x14ac:dyDescent="0.25">
      <c r="B18" s="5" t="s">
        <v>165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166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167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175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228</v>
      </c>
    </row>
    <row r="24" spans="1:15" ht="26.4" customHeight="1" x14ac:dyDescent="0.3">
      <c r="A24" s="4"/>
      <c r="B24" s="4"/>
      <c r="C24" s="70" t="s">
        <v>67</v>
      </c>
      <c r="D24" s="70" t="s">
        <v>77</v>
      </c>
      <c r="E24" s="70" t="s">
        <v>78</v>
      </c>
      <c r="F24" s="70" t="s">
        <v>79</v>
      </c>
      <c r="G24" s="70" t="s">
        <v>80</v>
      </c>
      <c r="H24" s="70" t="s">
        <v>58</v>
      </c>
      <c r="I24" s="70" t="s">
        <v>59</v>
      </c>
      <c r="J24" s="70" t="s">
        <v>60</v>
      </c>
      <c r="K24" s="70" t="s">
        <v>61</v>
      </c>
      <c r="L24" s="70" t="s">
        <v>112</v>
      </c>
      <c r="M24" s="70" t="s">
        <v>113</v>
      </c>
      <c r="N24" s="70" t="s">
        <v>114</v>
      </c>
      <c r="O24" s="70" t="s">
        <v>115</v>
      </c>
    </row>
    <row r="25" spans="1:15" ht="13" x14ac:dyDescent="0.3">
      <c r="A25" s="4" t="s">
        <v>317</v>
      </c>
    </row>
    <row r="26" spans="1:15" x14ac:dyDescent="0.25">
      <c r="B26" s="11" t="s">
        <v>163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168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169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170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171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172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173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174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0.84</v>
      </c>
      <c r="M33" s="90">
        <v>0.84</v>
      </c>
      <c r="N33" s="90">
        <v>0.84</v>
      </c>
      <c r="O33" s="90">
        <v>0.84</v>
      </c>
    </row>
    <row r="34" spans="1:15" x14ac:dyDescent="0.25">
      <c r="B34" s="5" t="s">
        <v>177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178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181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182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f>L31</f>
        <v>0.38</v>
      </c>
      <c r="M37" s="90">
        <f>M31</f>
        <v>0.38</v>
      </c>
      <c r="N37" s="90">
        <f>N31</f>
        <v>0.38</v>
      </c>
      <c r="O37" s="90">
        <f>O31</f>
        <v>0.38</v>
      </c>
    </row>
    <row r="38" spans="1:15" x14ac:dyDescent="0.25">
      <c r="B38" s="5" t="s">
        <v>185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318</v>
      </c>
      <c r="B40" s="11"/>
    </row>
    <row r="41" spans="1:15" x14ac:dyDescent="0.25">
      <c r="B41" s="5" t="s">
        <v>165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166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167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175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232</v>
      </c>
    </row>
    <row r="47" spans="1:15" ht="26.4" customHeight="1" x14ac:dyDescent="0.3">
      <c r="A47" s="4"/>
      <c r="B47" s="4"/>
      <c r="C47" s="70" t="s">
        <v>67</v>
      </c>
      <c r="D47" s="70" t="s">
        <v>77</v>
      </c>
      <c r="E47" s="70" t="s">
        <v>78</v>
      </c>
      <c r="F47" s="70" t="s">
        <v>79</v>
      </c>
      <c r="G47" s="70" t="s">
        <v>80</v>
      </c>
      <c r="H47" s="70" t="s">
        <v>58</v>
      </c>
      <c r="I47" s="70" t="s">
        <v>59</v>
      </c>
      <c r="J47" s="70" t="s">
        <v>60</v>
      </c>
      <c r="K47" s="70" t="s">
        <v>61</v>
      </c>
      <c r="L47" s="70" t="s">
        <v>112</v>
      </c>
      <c r="M47" s="70" t="s">
        <v>113</v>
      </c>
      <c r="N47" s="70" t="s">
        <v>114</v>
      </c>
      <c r="O47" s="70" t="s">
        <v>115</v>
      </c>
    </row>
    <row r="48" spans="1:15" ht="13" x14ac:dyDescent="0.3">
      <c r="A48" s="4" t="s">
        <v>319</v>
      </c>
    </row>
    <row r="49" spans="1:15" x14ac:dyDescent="0.25">
      <c r="B49" s="11" t="s">
        <v>163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168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169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170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171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172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173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174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177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178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181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182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f>L54</f>
        <v>0.7</v>
      </c>
      <c r="M60" s="90">
        <f t="shared" ref="M60:O60" si="16">M54</f>
        <v>0.7</v>
      </c>
      <c r="N60" s="90">
        <f t="shared" si="16"/>
        <v>0.7</v>
      </c>
      <c r="O60" s="90">
        <f t="shared" si="16"/>
        <v>0.7</v>
      </c>
    </row>
    <row r="61" spans="1:15" x14ac:dyDescent="0.25">
      <c r="B61" s="5" t="s">
        <v>185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7">IF(G15=1,1,G15*1.05)</f>
        <v>1</v>
      </c>
      <c r="H61" s="90">
        <f t="shared" si="17"/>
        <v>1</v>
      </c>
      <c r="I61" s="90">
        <f t="shared" si="17"/>
        <v>1</v>
      </c>
      <c r="J61" s="90">
        <f t="shared" si="17"/>
        <v>1</v>
      </c>
      <c r="K61" s="90">
        <f t="shared" si="17"/>
        <v>1</v>
      </c>
      <c r="L61" s="90">
        <f t="shared" si="17"/>
        <v>1</v>
      </c>
      <c r="M61" s="90">
        <f t="shared" si="17"/>
        <v>1</v>
      </c>
      <c r="N61" s="90">
        <f t="shared" si="17"/>
        <v>1</v>
      </c>
      <c r="O61" s="90">
        <f t="shared" si="17"/>
        <v>1</v>
      </c>
    </row>
    <row r="63" spans="1:15" ht="13" x14ac:dyDescent="0.3">
      <c r="A63" s="4" t="s">
        <v>320</v>
      </c>
      <c r="B63" s="11"/>
    </row>
    <row r="64" spans="1:15" x14ac:dyDescent="0.25">
      <c r="B64" s="5" t="s">
        <v>165</v>
      </c>
      <c r="C64" s="90">
        <f t="shared" ref="C64:D67" si="18">IF(C18=1,1,C18*1.05)</f>
        <v>1</v>
      </c>
      <c r="D64" s="90">
        <f t="shared" si="18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166</v>
      </c>
      <c r="C65" s="90">
        <f t="shared" si="18"/>
        <v>1</v>
      </c>
      <c r="D65" s="90">
        <f t="shared" si="18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167</v>
      </c>
      <c r="C66" s="90">
        <f t="shared" si="18"/>
        <v>1</v>
      </c>
      <c r="D66" s="90">
        <f t="shared" si="18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175</v>
      </c>
      <c r="C67" s="90">
        <f t="shared" si="18"/>
        <v>1</v>
      </c>
      <c r="D67" s="90">
        <f t="shared" si="18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O9b9DvQJo3G6KJNUNq8X2QehGOtFR5U6yKm/syA6NM1J0lvXdCmzZlnKyhbrPClx1ZNPC01gUAZ+jhIfjrbLLQ==" saltValue="1U2JdgVE5zlYBKfyTDTw3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C3" sqref="C3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</row>
    <row r="2" spans="1:7" ht="13" x14ac:dyDescent="0.3">
      <c r="A2" s="4" t="s">
        <v>321</v>
      </c>
    </row>
    <row r="3" spans="1:7" x14ac:dyDescent="0.25">
      <c r="B3" s="11" t="s">
        <v>150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322</v>
      </c>
      <c r="B4" s="11"/>
      <c r="C4" s="83"/>
      <c r="D4" s="83"/>
      <c r="E4" s="83"/>
      <c r="F4" s="83"/>
      <c r="G4" s="83"/>
    </row>
    <row r="5" spans="1:7" x14ac:dyDescent="0.25">
      <c r="B5" s="5" t="s">
        <v>151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323</v>
      </c>
    </row>
    <row r="8" spans="1:7" ht="13" x14ac:dyDescent="0.3">
      <c r="A8" s="4"/>
      <c r="B8" s="1"/>
      <c r="C8" s="4" t="s">
        <v>67</v>
      </c>
      <c r="D8" s="4" t="s">
        <v>77</v>
      </c>
      <c r="E8" s="4" t="s">
        <v>78</v>
      </c>
      <c r="F8" s="4" t="s">
        <v>79</v>
      </c>
      <c r="G8" s="4" t="s">
        <v>80</v>
      </c>
    </row>
    <row r="9" spans="1:7" ht="13" x14ac:dyDescent="0.3">
      <c r="A9" s="4" t="s">
        <v>324</v>
      </c>
    </row>
    <row r="10" spans="1:7" x14ac:dyDescent="0.25">
      <c r="B10" s="11" t="s">
        <v>150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325</v>
      </c>
      <c r="B11" s="11"/>
      <c r="C11" s="83"/>
      <c r="D11" s="83"/>
      <c r="E11" s="83"/>
      <c r="F11" s="83"/>
      <c r="G11" s="83"/>
    </row>
    <row r="12" spans="1:7" x14ac:dyDescent="0.25">
      <c r="B12" s="5" t="s">
        <v>151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326</v>
      </c>
    </row>
    <row r="15" spans="1:7" ht="13" x14ac:dyDescent="0.3">
      <c r="A15" s="4"/>
      <c r="B15" s="1"/>
      <c r="C15" s="4" t="s">
        <v>67</v>
      </c>
      <c r="D15" s="4" t="s">
        <v>77</v>
      </c>
      <c r="E15" s="4" t="s">
        <v>78</v>
      </c>
      <c r="F15" s="4" t="s">
        <v>79</v>
      </c>
      <c r="G15" s="4" t="s">
        <v>80</v>
      </c>
    </row>
    <row r="16" spans="1:7" ht="13" x14ac:dyDescent="0.3">
      <c r="A16" s="4" t="s">
        <v>327</v>
      </c>
    </row>
    <row r="17" spans="1:7" x14ac:dyDescent="0.25">
      <c r="B17" s="11" t="s">
        <v>150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328</v>
      </c>
      <c r="B18" s="11"/>
      <c r="C18" s="83"/>
      <c r="D18" s="83"/>
      <c r="E18" s="83"/>
      <c r="F18" s="83"/>
      <c r="G18" s="83"/>
    </row>
    <row r="19" spans="1:7" x14ac:dyDescent="0.25">
      <c r="B19" s="5" t="s">
        <v>151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LnHqzSn11/I1WCwvgSV/aFkE4DJCKbxU6E+/fckfwuo9TSYYFU2r03FX6SuodzE0Icw7QU7yQRDXQkg8mnkbQw==" saltValue="YhMnDcTLXSaovyjlmfHDMw==" spinCount="100000" sheet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9"/>
  <sheetViews>
    <sheetView zoomScale="70" zoomScaleNormal="70" workbookViewId="0">
      <selection activeCell="D19" sqref="D19"/>
    </sheetView>
  </sheetViews>
  <sheetFormatPr defaultColWidth="12.7265625" defaultRowHeight="12.5" x14ac:dyDescent="0.25"/>
  <cols>
    <col min="1" max="1" width="53" style="113" customWidth="1"/>
    <col min="2" max="2" width="30.54296875" style="113" customWidth="1"/>
    <col min="3" max="3" width="24.7265625" style="113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6384" width="12.7265625" style="104"/>
  </cols>
  <sheetData>
    <row r="1" spans="1:8" ht="13" x14ac:dyDescent="0.3">
      <c r="A1" s="103" t="s">
        <v>149</v>
      </c>
      <c r="B1" s="103" t="s">
        <v>329</v>
      </c>
      <c r="C1" s="120" t="s">
        <v>330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8" x14ac:dyDescent="0.25">
      <c r="A2" s="113" t="s">
        <v>186</v>
      </c>
      <c r="B2" s="113" t="s">
        <v>81</v>
      </c>
      <c r="C2" s="113" t="s">
        <v>331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113" t="s">
        <v>332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113" t="s">
        <v>333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113" t="s">
        <v>184</v>
      </c>
      <c r="B5" s="113" t="s">
        <v>198</v>
      </c>
      <c r="C5" s="113" t="s">
        <v>331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113" t="s">
        <v>333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113" t="s">
        <v>197</v>
      </c>
      <c r="C7" s="113" t="s">
        <v>331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113" t="s">
        <v>333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113" t="s">
        <v>177</v>
      </c>
      <c r="B9" s="113" t="s">
        <v>198</v>
      </c>
      <c r="C9" s="113" t="s">
        <v>331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113" t="s">
        <v>333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113" t="s">
        <v>197</v>
      </c>
      <c r="C11" s="113" t="s">
        <v>331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113" t="s">
        <v>333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113" t="s">
        <v>185</v>
      </c>
      <c r="B13" s="113" t="s">
        <v>198</v>
      </c>
      <c r="C13" s="113" t="s">
        <v>331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113" t="s">
        <v>333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113" t="s">
        <v>197</v>
      </c>
      <c r="C15" s="113" t="s">
        <v>331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113" t="s">
        <v>333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B17" s="113" t="s">
        <v>372</v>
      </c>
      <c r="C17" s="113" t="s">
        <v>331</v>
      </c>
      <c r="D17" s="90">
        <v>0</v>
      </c>
      <c r="E17" s="90">
        <v>0</v>
      </c>
      <c r="F17" s="90">
        <v>1</v>
      </c>
      <c r="G17" s="90">
        <v>1</v>
      </c>
      <c r="H17" s="90">
        <v>0</v>
      </c>
    </row>
    <row r="18" spans="1:8" x14ac:dyDescent="0.25">
      <c r="C18" s="113" t="s">
        <v>332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A19" s="113" t="s">
        <v>162</v>
      </c>
      <c r="B19" s="113" t="s">
        <v>198</v>
      </c>
      <c r="C19" s="113" t="s">
        <v>331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113" t="s">
        <v>333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B21" s="113" t="s">
        <v>197</v>
      </c>
      <c r="C21" s="113" t="s">
        <v>331</v>
      </c>
      <c r="D21" s="90">
        <v>0</v>
      </c>
      <c r="E21" s="90">
        <v>0</v>
      </c>
      <c r="F21" s="90">
        <v>1</v>
      </c>
      <c r="G21" s="90">
        <v>1</v>
      </c>
      <c r="H21" s="90">
        <v>1</v>
      </c>
    </row>
    <row r="22" spans="1:8" x14ac:dyDescent="0.25">
      <c r="C22" s="113" t="s">
        <v>333</v>
      </c>
      <c r="D22" s="90">
        <v>0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113" t="s">
        <v>167</v>
      </c>
      <c r="B23" s="113" t="s">
        <v>74</v>
      </c>
      <c r="C23" s="113" t="s">
        <v>331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113" t="s">
        <v>332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113" t="s">
        <v>165</v>
      </c>
      <c r="B25" s="113" t="s">
        <v>74</v>
      </c>
      <c r="C25" s="113" t="s">
        <v>331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113" t="s">
        <v>332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113" t="s">
        <v>166</v>
      </c>
      <c r="B27" s="113" t="s">
        <v>74</v>
      </c>
      <c r="C27" s="113" t="s">
        <v>331</v>
      </c>
      <c r="D27" s="90">
        <v>1</v>
      </c>
      <c r="E27" s="90">
        <v>0</v>
      </c>
      <c r="F27" s="90">
        <v>0</v>
      </c>
      <c r="G27" s="90">
        <v>0</v>
      </c>
      <c r="H27" s="90">
        <v>0</v>
      </c>
    </row>
    <row r="28" spans="1:8" x14ac:dyDescent="0.25">
      <c r="C28" s="113" t="s">
        <v>332</v>
      </c>
      <c r="D28" s="90">
        <v>0.13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A29" s="113" t="s">
        <v>190</v>
      </c>
      <c r="B29" s="113" t="s">
        <v>81</v>
      </c>
      <c r="C29" s="113" t="s">
        <v>331</v>
      </c>
      <c r="D29" s="90">
        <v>1</v>
      </c>
      <c r="E29" s="90">
        <v>1</v>
      </c>
      <c r="F29" s="90">
        <v>1</v>
      </c>
      <c r="G29" s="90">
        <v>1</v>
      </c>
      <c r="H29" s="90">
        <v>1</v>
      </c>
    </row>
    <row r="30" spans="1:8" x14ac:dyDescent="0.25">
      <c r="C30" s="113" t="s">
        <v>332</v>
      </c>
      <c r="D30" s="90">
        <v>0.3</v>
      </c>
      <c r="E30" s="90">
        <v>0.3</v>
      </c>
      <c r="F30" s="90">
        <v>0.3</v>
      </c>
      <c r="G30" s="90">
        <v>0.3</v>
      </c>
      <c r="H30" s="90">
        <v>0.3</v>
      </c>
    </row>
    <row r="31" spans="1:8" x14ac:dyDescent="0.25">
      <c r="C31" s="113" t="s">
        <v>333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A32" s="113" t="s">
        <v>191</v>
      </c>
      <c r="B32" s="113" t="s">
        <v>81</v>
      </c>
      <c r="C32" s="113" t="s">
        <v>331</v>
      </c>
      <c r="D32" s="90">
        <v>1</v>
      </c>
      <c r="E32" s="90">
        <v>1</v>
      </c>
      <c r="F32" s="90">
        <v>1</v>
      </c>
      <c r="G32" s="90">
        <v>1</v>
      </c>
      <c r="H32" s="90">
        <v>1</v>
      </c>
    </row>
    <row r="33" spans="1:8" x14ac:dyDescent="0.25">
      <c r="C33" s="113" t="s">
        <v>332</v>
      </c>
      <c r="D33" s="90">
        <v>0</v>
      </c>
      <c r="E33" s="90">
        <v>0</v>
      </c>
      <c r="F33" s="90">
        <v>0</v>
      </c>
      <c r="G33" s="90">
        <v>0</v>
      </c>
      <c r="H33" s="90">
        <v>0</v>
      </c>
    </row>
    <row r="34" spans="1:8" x14ac:dyDescent="0.25">
      <c r="C34" s="113" t="s">
        <v>333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A35" s="113" t="s">
        <v>189</v>
      </c>
      <c r="B35" s="113" t="s">
        <v>81</v>
      </c>
      <c r="C35" s="113" t="s">
        <v>331</v>
      </c>
      <c r="D35" s="90">
        <v>1</v>
      </c>
      <c r="E35" s="90">
        <v>1</v>
      </c>
      <c r="F35" s="90">
        <v>1</v>
      </c>
      <c r="G35" s="90">
        <v>1</v>
      </c>
      <c r="H35" s="90">
        <v>1</v>
      </c>
    </row>
    <row r="36" spans="1:8" x14ac:dyDescent="0.25">
      <c r="C36" s="113" t="s">
        <v>332</v>
      </c>
      <c r="D36" s="90">
        <v>0</v>
      </c>
      <c r="E36" s="90">
        <v>0</v>
      </c>
      <c r="F36" s="90">
        <v>0</v>
      </c>
      <c r="G36" s="90">
        <v>0</v>
      </c>
      <c r="H36" s="90">
        <v>0</v>
      </c>
    </row>
    <row r="37" spans="1:8" x14ac:dyDescent="0.25">
      <c r="C37" s="113" t="s">
        <v>333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A38" s="113" t="s">
        <v>188</v>
      </c>
      <c r="B38" s="113" t="s">
        <v>81</v>
      </c>
      <c r="C38" s="113" t="s">
        <v>331</v>
      </c>
      <c r="D38" s="90">
        <v>1</v>
      </c>
      <c r="E38" s="90">
        <v>1</v>
      </c>
      <c r="F38" s="90">
        <v>1</v>
      </c>
      <c r="G38" s="90">
        <v>1</v>
      </c>
      <c r="H38" s="90">
        <v>1</v>
      </c>
    </row>
    <row r="39" spans="1:8" x14ac:dyDescent="0.25">
      <c r="C39" s="113" t="s">
        <v>332</v>
      </c>
      <c r="D39" s="90">
        <v>0</v>
      </c>
      <c r="E39" s="90">
        <v>0</v>
      </c>
      <c r="F39" s="90">
        <v>0</v>
      </c>
      <c r="G39" s="90">
        <v>0</v>
      </c>
      <c r="H39" s="90">
        <v>0</v>
      </c>
    </row>
    <row r="40" spans="1:8" x14ac:dyDescent="0.25">
      <c r="C40" s="113" t="s">
        <v>333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A41" s="113" t="s">
        <v>187</v>
      </c>
      <c r="B41" s="113" t="s">
        <v>81</v>
      </c>
      <c r="C41" s="113" t="s">
        <v>331</v>
      </c>
      <c r="D41" s="90">
        <v>1</v>
      </c>
      <c r="E41" s="90">
        <v>1</v>
      </c>
      <c r="F41" s="90">
        <v>1</v>
      </c>
      <c r="G41" s="90">
        <v>1</v>
      </c>
      <c r="H41" s="90">
        <v>1</v>
      </c>
    </row>
    <row r="42" spans="1:8" x14ac:dyDescent="0.25">
      <c r="C42" s="113" t="s">
        <v>332</v>
      </c>
      <c r="D42" s="90">
        <v>0</v>
      </c>
      <c r="E42" s="90">
        <v>0</v>
      </c>
      <c r="F42" s="90">
        <v>0</v>
      </c>
      <c r="G42" s="90">
        <v>0</v>
      </c>
      <c r="H42" s="90">
        <v>0</v>
      </c>
    </row>
    <row r="43" spans="1:8" x14ac:dyDescent="0.25">
      <c r="C43" s="113" t="s">
        <v>333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A44" s="113" t="s">
        <v>193</v>
      </c>
      <c r="B44" s="113" t="s">
        <v>81</v>
      </c>
      <c r="C44" s="113" t="s">
        <v>331</v>
      </c>
      <c r="D44" s="90">
        <v>0</v>
      </c>
      <c r="E44" s="90">
        <v>1</v>
      </c>
      <c r="F44" s="90">
        <v>1</v>
      </c>
      <c r="G44" s="90">
        <v>1</v>
      </c>
      <c r="H44" s="90">
        <v>1</v>
      </c>
    </row>
    <row r="45" spans="1:8" x14ac:dyDescent="0.25">
      <c r="C45" s="113" t="s">
        <v>332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</row>
    <row r="46" spans="1:8" x14ac:dyDescent="0.25">
      <c r="C46" s="113" t="s">
        <v>333</v>
      </c>
      <c r="D46" s="90">
        <v>0.09</v>
      </c>
      <c r="E46" s="90">
        <v>0.09</v>
      </c>
      <c r="F46" s="90">
        <v>0.09</v>
      </c>
      <c r="G46" s="90">
        <v>0.09</v>
      </c>
      <c r="H46" s="90">
        <v>0.09</v>
      </c>
    </row>
    <row r="47" spans="1:8" x14ac:dyDescent="0.25">
      <c r="B47" s="113" t="s">
        <v>82</v>
      </c>
      <c r="C47" s="113" t="s">
        <v>331</v>
      </c>
      <c r="D47" s="90">
        <v>0</v>
      </c>
      <c r="E47" s="90">
        <v>1</v>
      </c>
      <c r="F47" s="90">
        <v>1</v>
      </c>
      <c r="G47" s="90">
        <v>1</v>
      </c>
      <c r="H47" s="90">
        <v>1</v>
      </c>
    </row>
    <row r="48" spans="1:8" x14ac:dyDescent="0.25">
      <c r="C48" s="113" t="s">
        <v>332</v>
      </c>
      <c r="D48" s="90">
        <v>0</v>
      </c>
      <c r="E48" s="90">
        <v>0</v>
      </c>
      <c r="F48" s="90">
        <v>0</v>
      </c>
      <c r="G48" s="90">
        <v>0</v>
      </c>
      <c r="H48" s="90">
        <v>0</v>
      </c>
    </row>
    <row r="49" spans="1:8" x14ac:dyDescent="0.25">
      <c r="C49" s="113" t="s">
        <v>333</v>
      </c>
      <c r="D49" s="90">
        <v>0</v>
      </c>
      <c r="E49" s="90">
        <v>0</v>
      </c>
      <c r="F49" s="90">
        <v>0</v>
      </c>
      <c r="G49" s="90">
        <v>0</v>
      </c>
      <c r="H49" s="90">
        <v>0</v>
      </c>
    </row>
    <row r="50" spans="1:8" x14ac:dyDescent="0.25">
      <c r="A50" s="113" t="s">
        <v>183</v>
      </c>
      <c r="B50" s="113" t="s">
        <v>81</v>
      </c>
      <c r="C50" s="113" t="s">
        <v>331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113" t="s">
        <v>332</v>
      </c>
      <c r="D51" s="90">
        <v>0.69</v>
      </c>
      <c r="E51" s="90">
        <v>0.69</v>
      </c>
      <c r="F51" s="90">
        <v>0.69</v>
      </c>
      <c r="G51" s="90">
        <v>0.69</v>
      </c>
      <c r="H51" s="90">
        <v>0.69</v>
      </c>
    </row>
    <row r="52" spans="1:8" x14ac:dyDescent="0.25">
      <c r="A52" s="113" t="s">
        <v>192</v>
      </c>
      <c r="B52" s="113" t="s">
        <v>81</v>
      </c>
      <c r="C52" s="113" t="s">
        <v>331</v>
      </c>
      <c r="D52" s="90">
        <v>1</v>
      </c>
      <c r="E52" s="90">
        <v>1</v>
      </c>
      <c r="F52" s="90">
        <v>1</v>
      </c>
      <c r="G52" s="90">
        <v>1</v>
      </c>
      <c r="H52" s="90">
        <v>1</v>
      </c>
    </row>
    <row r="53" spans="1:8" x14ac:dyDescent="0.25">
      <c r="C53" s="113" t="s">
        <v>332</v>
      </c>
      <c r="D53" s="90">
        <v>0.76</v>
      </c>
      <c r="E53" s="90">
        <v>0.76</v>
      </c>
      <c r="F53" s="90">
        <v>0.76</v>
      </c>
      <c r="G53" s="90">
        <v>0.76</v>
      </c>
      <c r="H53" s="90">
        <v>0.76</v>
      </c>
    </row>
    <row r="54" spans="1:8" x14ac:dyDescent="0.25">
      <c r="A54" s="113" t="s">
        <v>176</v>
      </c>
      <c r="B54" s="113" t="s">
        <v>72</v>
      </c>
      <c r="C54" s="113" t="s">
        <v>331</v>
      </c>
      <c r="D54" s="90">
        <v>1</v>
      </c>
      <c r="E54" s="90">
        <v>0</v>
      </c>
      <c r="F54" s="90">
        <v>0</v>
      </c>
      <c r="G54" s="90">
        <v>0</v>
      </c>
      <c r="H54" s="90">
        <v>0</v>
      </c>
    </row>
    <row r="55" spans="1:8" x14ac:dyDescent="0.25">
      <c r="C55" s="113" t="s">
        <v>332</v>
      </c>
      <c r="D55" s="90">
        <v>0.32</v>
      </c>
      <c r="E55" s="90">
        <v>0</v>
      </c>
      <c r="F55" s="90">
        <v>0</v>
      </c>
      <c r="G55" s="90">
        <v>0</v>
      </c>
      <c r="H55" s="90">
        <v>0</v>
      </c>
    </row>
    <row r="57" spans="1:8" s="125" customFormat="1" ht="13" x14ac:dyDescent="0.3">
      <c r="A57" s="123" t="s">
        <v>323</v>
      </c>
      <c r="B57" s="124"/>
      <c r="C57" s="124"/>
      <c r="D57" s="93"/>
      <c r="E57" s="93"/>
      <c r="F57" s="93"/>
      <c r="G57" s="93"/>
      <c r="H57" s="93"/>
    </row>
    <row r="58" spans="1:8" ht="13" x14ac:dyDescent="0.3">
      <c r="A58" s="103" t="s">
        <v>149</v>
      </c>
      <c r="B58" s="103" t="s">
        <v>329</v>
      </c>
      <c r="C58" s="120" t="s">
        <v>330</v>
      </c>
      <c r="D58" s="4" t="s">
        <v>67</v>
      </c>
      <c r="E58" s="4" t="s">
        <v>77</v>
      </c>
      <c r="F58" s="4" t="s">
        <v>78</v>
      </c>
      <c r="G58" s="4" t="s">
        <v>79</v>
      </c>
      <c r="H58" s="4" t="s">
        <v>80</v>
      </c>
    </row>
    <row r="59" spans="1:8" x14ac:dyDescent="0.25">
      <c r="A59" s="113" t="s">
        <v>186</v>
      </c>
      <c r="B59" s="113" t="s">
        <v>81</v>
      </c>
      <c r="C59" s="113" t="s">
        <v>331</v>
      </c>
      <c r="D59" s="90">
        <f>IF($C2="Affected fraction",D2,IF(D2=1,1,D2*0.9))</f>
        <v>0</v>
      </c>
      <c r="E59" s="90">
        <f>IF($C2="Affected fraction",E2,IF(E2=1,1,E2*0.9))</f>
        <v>0</v>
      </c>
      <c r="F59" s="90">
        <f>IF($C2="Affected fraction",F2,IF(F2=1,1,F2*0.9))</f>
        <v>1</v>
      </c>
      <c r="G59" s="90">
        <f>IF($C2="Affected fraction",G2,IF(G2=1,1,G2*0.9))</f>
        <v>1</v>
      </c>
      <c r="H59" s="90">
        <f>IF($C2="Affected fraction",H2,IF(H2=1,1,H2*0.9))</f>
        <v>1</v>
      </c>
    </row>
    <row r="60" spans="1:8" x14ac:dyDescent="0.25">
      <c r="C60" s="113" t="s">
        <v>332</v>
      </c>
      <c r="D60" s="90">
        <f>IF($C3="Affected fraction",D3,IF(D3=1,1,D3*0.9))</f>
        <v>0</v>
      </c>
      <c r="E60" s="90">
        <f>IF($C3="Affected fraction",E3,IF(E3=1,1,E3*0.9))</f>
        <v>0</v>
      </c>
      <c r="F60" s="90">
        <v>0.02</v>
      </c>
      <c r="G60" s="90">
        <v>0.02</v>
      </c>
      <c r="H60" s="90">
        <v>0.02</v>
      </c>
    </row>
    <row r="61" spans="1:8" x14ac:dyDescent="0.25">
      <c r="C61" s="113" t="s">
        <v>333</v>
      </c>
      <c r="D61" s="90">
        <f>IF($C4="Affected fraction",D4,IF(D4=1,1,D4*0.9))</f>
        <v>0</v>
      </c>
      <c r="E61" s="90">
        <f>IF($C4="Affected fraction",E4,IF(E4=1,1,E4*0.9))</f>
        <v>0</v>
      </c>
      <c r="F61" s="90">
        <v>0.13</v>
      </c>
      <c r="G61" s="90">
        <v>0.13</v>
      </c>
      <c r="H61" s="90">
        <v>0.13</v>
      </c>
    </row>
    <row r="62" spans="1:8" x14ac:dyDescent="0.25">
      <c r="A62" s="113" t="s">
        <v>184</v>
      </c>
      <c r="B62" s="113" t="s">
        <v>198</v>
      </c>
      <c r="C62" s="113" t="s">
        <v>331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113" t="s">
        <v>333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B64" s="113" t="s">
        <v>197</v>
      </c>
      <c r="C64" s="113" t="s">
        <v>331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113" t="s">
        <v>333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A66" s="113" t="s">
        <v>177</v>
      </c>
      <c r="B66" s="113" t="s">
        <v>198</v>
      </c>
      <c r="C66" s="113" t="s">
        <v>331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113" t="s">
        <v>333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B68" s="113" t="s">
        <v>197</v>
      </c>
      <c r="C68" s="113" t="s">
        <v>331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113" t="s">
        <v>333</v>
      </c>
      <c r="D69" s="90">
        <v>0</v>
      </c>
      <c r="E69" s="90">
        <v>0</v>
      </c>
      <c r="F69" s="90">
        <v>0</v>
      </c>
      <c r="G69" s="90">
        <v>0</v>
      </c>
      <c r="H69" s="90">
        <v>0</v>
      </c>
    </row>
    <row r="70" spans="1:8" x14ac:dyDescent="0.25">
      <c r="A70" s="113" t="s">
        <v>185</v>
      </c>
      <c r="B70" s="113" t="s">
        <v>198</v>
      </c>
      <c r="C70" s="113" t="s">
        <v>331</v>
      </c>
      <c r="D70" s="90">
        <v>0</v>
      </c>
      <c r="E70" s="90">
        <v>0</v>
      </c>
      <c r="F70" s="90">
        <v>1</v>
      </c>
      <c r="G70" s="90">
        <v>1</v>
      </c>
      <c r="H70" s="90">
        <v>0</v>
      </c>
    </row>
    <row r="71" spans="1:8" x14ac:dyDescent="0.25">
      <c r="C71" s="113" t="s">
        <v>333</v>
      </c>
      <c r="D71" s="90">
        <f t="shared" ref="D71:E73" si="0">IF($C14="Affected fraction",D14,IF(D14=1,1,D14*0.9))</f>
        <v>0</v>
      </c>
      <c r="E71" s="90">
        <f t="shared" si="0"/>
        <v>0</v>
      </c>
      <c r="F71" s="90">
        <v>0.14000000000000001</v>
      </c>
      <c r="G71" s="90">
        <v>0.14000000000000001</v>
      </c>
      <c r="H71" s="90">
        <f>IF($C14="Affected fraction",H14,IF(H14=1,1,H14*0.9))</f>
        <v>0</v>
      </c>
    </row>
    <row r="72" spans="1:8" x14ac:dyDescent="0.25">
      <c r="B72" s="113" t="s">
        <v>197</v>
      </c>
      <c r="C72" s="113" t="s">
        <v>331</v>
      </c>
      <c r="D72" s="90">
        <f t="shared" si="0"/>
        <v>0</v>
      </c>
      <c r="E72" s="90">
        <f t="shared" si="0"/>
        <v>0</v>
      </c>
      <c r="F72" s="90">
        <f>IF($C15="Affected fraction",F15,IF(F15=1,1,F15*0.9))</f>
        <v>1</v>
      </c>
      <c r="G72" s="90">
        <f>IF($C15="Affected fraction",G15,IF(G15=1,1,G15*0.9))</f>
        <v>1</v>
      </c>
      <c r="H72" s="90">
        <f>IF($C15="Affected fraction",H15,IF(H15=1,1,H15*0.9))</f>
        <v>0</v>
      </c>
    </row>
    <row r="73" spans="1:8" x14ac:dyDescent="0.25">
      <c r="C73" s="113" t="s">
        <v>333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f>IF($C16="Affected fraction",H16,IF(H16=1,1,H16*0.9))</f>
        <v>0</v>
      </c>
    </row>
    <row r="74" spans="1:8" x14ac:dyDescent="0.25">
      <c r="B74" s="113" t="s">
        <v>372</v>
      </c>
      <c r="C74" s="113" t="s">
        <v>331</v>
      </c>
      <c r="D74" s="90">
        <v>0</v>
      </c>
      <c r="E74" s="90">
        <v>0</v>
      </c>
      <c r="F74" s="90">
        <v>1</v>
      </c>
      <c r="G74" s="90">
        <v>1</v>
      </c>
      <c r="H74" s="90">
        <v>0</v>
      </c>
    </row>
    <row r="75" spans="1:8" x14ac:dyDescent="0.25">
      <c r="C75" s="113" t="s">
        <v>332</v>
      </c>
      <c r="D75" s="90">
        <v>0</v>
      </c>
      <c r="E75" s="90">
        <v>0</v>
      </c>
      <c r="F75" s="90">
        <v>0</v>
      </c>
      <c r="G75" s="90">
        <v>0</v>
      </c>
      <c r="H75" s="90">
        <v>0</v>
      </c>
    </row>
    <row r="76" spans="1:8" x14ac:dyDescent="0.25">
      <c r="A76" s="113" t="s">
        <v>162</v>
      </c>
      <c r="B76" s="113" t="s">
        <v>198</v>
      </c>
      <c r="C76" s="113" t="s">
        <v>331</v>
      </c>
      <c r="D76" s="90">
        <f>IF($C19="Affected fraction",D19,IF(D19=1,1,D19*0.9))</f>
        <v>0</v>
      </c>
      <c r="E76" s="90">
        <f>IF($C19="Affected fraction",E19,IF(E19=1,1,E19*0.9))</f>
        <v>0</v>
      </c>
      <c r="F76" s="90">
        <f>IF($C19="Affected fraction",F19,IF(F19=1,1,F19*0.9))</f>
        <v>1</v>
      </c>
      <c r="G76" s="90">
        <f>IF($C19="Affected fraction",G19,IF(G19=1,1,G19*0.9))</f>
        <v>1</v>
      </c>
      <c r="H76" s="90">
        <f>IF($C19="Affected fraction",H19,IF(H19=1,1,H19*0.9))</f>
        <v>1</v>
      </c>
    </row>
    <row r="77" spans="1:8" x14ac:dyDescent="0.25">
      <c r="C77" s="113" t="s">
        <v>333</v>
      </c>
      <c r="D77" s="90">
        <f t="shared" ref="D77:H85" si="1">IF($C20="Affected fraction",D20,IF(D20=1,1,D20*0.9))</f>
        <v>0</v>
      </c>
      <c r="E77" s="90">
        <f t="shared" si="1"/>
        <v>0</v>
      </c>
      <c r="F77" s="90">
        <v>0</v>
      </c>
      <c r="G77" s="90">
        <v>0</v>
      </c>
      <c r="H77" s="90">
        <v>0</v>
      </c>
    </row>
    <row r="78" spans="1:8" x14ac:dyDescent="0.25">
      <c r="B78" s="113" t="s">
        <v>197</v>
      </c>
      <c r="C78" s="113" t="s">
        <v>331</v>
      </c>
      <c r="D78" s="90">
        <f t="shared" si="1"/>
        <v>0</v>
      </c>
      <c r="E78" s="90">
        <f t="shared" si="1"/>
        <v>0</v>
      </c>
      <c r="F78" s="90">
        <v>1</v>
      </c>
      <c r="G78" s="90">
        <v>1</v>
      </c>
      <c r="H78" s="90">
        <v>1</v>
      </c>
    </row>
    <row r="79" spans="1:8" x14ac:dyDescent="0.25">
      <c r="C79" s="113" t="s">
        <v>333</v>
      </c>
      <c r="D79" s="90">
        <f t="shared" si="1"/>
        <v>0</v>
      </c>
      <c r="E79" s="90">
        <f t="shared" si="1"/>
        <v>0</v>
      </c>
      <c r="F79" s="90">
        <v>0</v>
      </c>
      <c r="G79" s="90">
        <v>0</v>
      </c>
      <c r="H79" s="90">
        <v>0</v>
      </c>
    </row>
    <row r="80" spans="1:8" x14ac:dyDescent="0.25">
      <c r="A80" s="113" t="s">
        <v>167</v>
      </c>
      <c r="B80" s="113" t="s">
        <v>74</v>
      </c>
      <c r="C80" s="113" t="s">
        <v>331</v>
      </c>
      <c r="D80" s="90">
        <f t="shared" si="1"/>
        <v>1</v>
      </c>
      <c r="E80" s="90">
        <f t="shared" si="1"/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113" t="s">
        <v>332</v>
      </c>
      <c r="D81" s="90">
        <v>0.11</v>
      </c>
      <c r="E81" s="90">
        <f>IF($C24="Affected fraction",E24,IF(E24=1,1,E24*0.9))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113" t="s">
        <v>165</v>
      </c>
      <c r="B82" s="113" t="s">
        <v>74</v>
      </c>
      <c r="C82" s="113" t="s">
        <v>331</v>
      </c>
      <c r="D82" s="90">
        <f>IF($C25="Affected fraction",D25,IF(D25=1,1,D25*0.9))</f>
        <v>1</v>
      </c>
      <c r="E82" s="90">
        <f>IF($C25="Affected fraction",E25,IF(E25=1,1,E25*0.9))</f>
        <v>0</v>
      </c>
      <c r="F82" s="90">
        <f t="shared" si="1"/>
        <v>0</v>
      </c>
      <c r="G82" s="90">
        <f t="shared" si="1"/>
        <v>0</v>
      </c>
      <c r="H82" s="90">
        <f t="shared" si="1"/>
        <v>0</v>
      </c>
    </row>
    <row r="83" spans="1:8" x14ac:dyDescent="0.25">
      <c r="C83" s="113" t="s">
        <v>332</v>
      </c>
      <c r="D83" s="90">
        <v>0.11</v>
      </c>
      <c r="E83" s="90">
        <f>IF($C26="Affected fraction",E26,IF(E26=1,1,E26*0.9))</f>
        <v>0</v>
      </c>
      <c r="F83" s="90">
        <f t="shared" si="1"/>
        <v>0</v>
      </c>
      <c r="G83" s="90">
        <f t="shared" si="1"/>
        <v>0</v>
      </c>
      <c r="H83" s="90">
        <f t="shared" si="1"/>
        <v>0</v>
      </c>
    </row>
    <row r="84" spans="1:8" x14ac:dyDescent="0.25">
      <c r="A84" s="113" t="s">
        <v>166</v>
      </c>
      <c r="B84" s="113" t="s">
        <v>74</v>
      </c>
      <c r="C84" s="113" t="s">
        <v>331</v>
      </c>
      <c r="D84" s="90">
        <f>IF($C27="Affected fraction",D27,IF(D27=1,1,D27*0.9))</f>
        <v>1</v>
      </c>
      <c r="E84" s="90">
        <f>IF($C27="Affected fraction",E27,IF(E27=1,1,E27*0.9))</f>
        <v>0</v>
      </c>
      <c r="F84" s="90">
        <f t="shared" si="1"/>
        <v>0</v>
      </c>
      <c r="G84" s="90">
        <f t="shared" si="1"/>
        <v>0</v>
      </c>
      <c r="H84" s="90">
        <f t="shared" si="1"/>
        <v>0</v>
      </c>
    </row>
    <row r="85" spans="1:8" x14ac:dyDescent="0.25">
      <c r="C85" s="113" t="s">
        <v>332</v>
      </c>
      <c r="D85" s="90">
        <v>0.11</v>
      </c>
      <c r="E85" s="90">
        <f>IF($C28="Affected fraction",E28,IF(E28=1,1,E28*0.9))</f>
        <v>0</v>
      </c>
      <c r="F85" s="90">
        <f t="shared" si="1"/>
        <v>0</v>
      </c>
      <c r="G85" s="90">
        <f t="shared" si="1"/>
        <v>0</v>
      </c>
      <c r="H85" s="90">
        <f t="shared" si="1"/>
        <v>0</v>
      </c>
    </row>
    <row r="86" spans="1:8" x14ac:dyDescent="0.25">
      <c r="A86" s="113" t="s">
        <v>190</v>
      </c>
      <c r="B86" s="113" t="s">
        <v>81</v>
      </c>
      <c r="C86" s="113" t="s">
        <v>331</v>
      </c>
      <c r="D86" s="90">
        <v>1</v>
      </c>
      <c r="E86" s="90">
        <v>1</v>
      </c>
      <c r="F86" s="90">
        <v>1</v>
      </c>
      <c r="G86" s="90">
        <v>1</v>
      </c>
      <c r="H86" s="90">
        <v>1</v>
      </c>
    </row>
    <row r="87" spans="1:8" x14ac:dyDescent="0.25">
      <c r="C87" s="113" t="s">
        <v>332</v>
      </c>
      <c r="D87" s="90">
        <v>7.0000000000000007E-2</v>
      </c>
      <c r="E87" s="90">
        <v>7.0000000000000007E-2</v>
      </c>
      <c r="F87" s="90">
        <v>7.0000000000000007E-2</v>
      </c>
      <c r="G87" s="90">
        <v>7.0000000000000007E-2</v>
      </c>
      <c r="H87" s="90">
        <v>7.0000000000000007E-2</v>
      </c>
    </row>
    <row r="88" spans="1:8" x14ac:dyDescent="0.25">
      <c r="C88" s="113" t="s">
        <v>333</v>
      </c>
      <c r="D88" s="90">
        <v>0</v>
      </c>
      <c r="E88" s="90">
        <v>0</v>
      </c>
      <c r="F88" s="90">
        <v>0</v>
      </c>
      <c r="G88" s="90">
        <v>0</v>
      </c>
      <c r="H88" s="90">
        <v>0</v>
      </c>
    </row>
    <row r="89" spans="1:8" x14ac:dyDescent="0.25">
      <c r="A89" s="113" t="s">
        <v>191</v>
      </c>
      <c r="B89" s="113" t="s">
        <v>81</v>
      </c>
      <c r="C89" s="113" t="s">
        <v>331</v>
      </c>
      <c r="D89" s="90">
        <v>1</v>
      </c>
      <c r="E89" s="90">
        <v>1</v>
      </c>
      <c r="F89" s="90">
        <v>1</v>
      </c>
      <c r="G89" s="90">
        <v>1</v>
      </c>
      <c r="H89" s="90">
        <v>1</v>
      </c>
    </row>
    <row r="90" spans="1:8" x14ac:dyDescent="0.25">
      <c r="C90" s="113" t="s">
        <v>332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C91" s="113" t="s">
        <v>333</v>
      </c>
      <c r="D91" s="90">
        <v>0</v>
      </c>
      <c r="E91" s="90">
        <v>0</v>
      </c>
      <c r="F91" s="90">
        <v>0</v>
      </c>
      <c r="G91" s="90">
        <v>0</v>
      </c>
      <c r="H91" s="90">
        <v>0</v>
      </c>
    </row>
    <row r="92" spans="1:8" x14ac:dyDescent="0.25">
      <c r="A92" s="113" t="s">
        <v>189</v>
      </c>
      <c r="B92" s="113" t="s">
        <v>81</v>
      </c>
      <c r="C92" s="113" t="s">
        <v>331</v>
      </c>
      <c r="D92" s="90">
        <v>1</v>
      </c>
      <c r="E92" s="90">
        <v>1</v>
      </c>
      <c r="F92" s="90">
        <v>1</v>
      </c>
      <c r="G92" s="90">
        <v>1</v>
      </c>
      <c r="H92" s="90">
        <v>1</v>
      </c>
    </row>
    <row r="93" spans="1:8" x14ac:dyDescent="0.25">
      <c r="C93" s="113" t="s">
        <v>332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C94" s="113" t="s">
        <v>333</v>
      </c>
      <c r="D94" s="90">
        <v>0</v>
      </c>
      <c r="E94" s="90">
        <v>0</v>
      </c>
      <c r="F94" s="90">
        <v>0</v>
      </c>
      <c r="G94" s="90">
        <v>0</v>
      </c>
      <c r="H94" s="90">
        <v>0</v>
      </c>
    </row>
    <row r="95" spans="1:8" x14ac:dyDescent="0.25">
      <c r="A95" s="113" t="s">
        <v>188</v>
      </c>
      <c r="B95" s="113" t="s">
        <v>81</v>
      </c>
      <c r="C95" s="113" t="s">
        <v>331</v>
      </c>
      <c r="D95" s="90">
        <v>1</v>
      </c>
      <c r="E95" s="90">
        <v>1</v>
      </c>
      <c r="F95" s="90">
        <v>1</v>
      </c>
      <c r="G95" s="90">
        <v>1</v>
      </c>
      <c r="H95" s="90">
        <v>1</v>
      </c>
    </row>
    <row r="96" spans="1:8" x14ac:dyDescent="0.25">
      <c r="C96" s="113" t="s">
        <v>332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C97" s="113" t="s">
        <v>333</v>
      </c>
      <c r="D97" s="90">
        <v>0</v>
      </c>
      <c r="E97" s="90">
        <v>0</v>
      </c>
      <c r="F97" s="90">
        <v>0</v>
      </c>
      <c r="G97" s="90">
        <v>0</v>
      </c>
      <c r="H97" s="90">
        <v>0</v>
      </c>
    </row>
    <row r="98" spans="1:8" x14ac:dyDescent="0.25">
      <c r="A98" s="113" t="s">
        <v>187</v>
      </c>
      <c r="B98" s="113" t="s">
        <v>81</v>
      </c>
      <c r="C98" s="113" t="s">
        <v>331</v>
      </c>
      <c r="D98" s="90">
        <v>1</v>
      </c>
      <c r="E98" s="90">
        <v>1</v>
      </c>
      <c r="F98" s="90">
        <v>1</v>
      </c>
      <c r="G98" s="90">
        <v>1</v>
      </c>
      <c r="H98" s="90">
        <v>1</v>
      </c>
    </row>
    <row r="99" spans="1:8" x14ac:dyDescent="0.25">
      <c r="C99" s="113" t="s">
        <v>332</v>
      </c>
      <c r="D99" s="90">
        <v>0</v>
      </c>
      <c r="E99" s="90">
        <v>0</v>
      </c>
      <c r="F99" s="90">
        <v>0</v>
      </c>
      <c r="G99" s="90">
        <v>0</v>
      </c>
      <c r="H99" s="90">
        <v>0</v>
      </c>
    </row>
    <row r="100" spans="1:8" x14ac:dyDescent="0.25">
      <c r="C100" s="113" t="s">
        <v>333</v>
      </c>
      <c r="D100" s="90">
        <v>0</v>
      </c>
      <c r="E100" s="90">
        <v>0</v>
      </c>
      <c r="F100" s="90">
        <v>0</v>
      </c>
      <c r="G100" s="90">
        <v>0</v>
      </c>
      <c r="H100" s="90">
        <v>0</v>
      </c>
    </row>
    <row r="101" spans="1:8" x14ac:dyDescent="0.25">
      <c r="A101" s="113" t="s">
        <v>193</v>
      </c>
      <c r="B101" s="113" t="s">
        <v>81</v>
      </c>
      <c r="C101" s="113" t="s">
        <v>331</v>
      </c>
      <c r="D101" s="90">
        <f>IF($C44="Affected fraction",D44,IF(D44=1,1,D44*0.9))</f>
        <v>0</v>
      </c>
      <c r="E101" s="90">
        <f>IF($C44="Affected fraction",E44,IF(E44=1,1,E44*0.9))</f>
        <v>1</v>
      </c>
      <c r="F101" s="90">
        <f>IF($C44="Affected fraction",F44,IF(F44=1,1,F44*0.9))</f>
        <v>1</v>
      </c>
      <c r="G101" s="90">
        <f>IF($C44="Affected fraction",G44,IF(G44=1,1,G44*0.9))</f>
        <v>1</v>
      </c>
      <c r="H101" s="90">
        <f>IF($C44="Affected fraction",H44,IF(H44=1,1,H44*0.9))</f>
        <v>1</v>
      </c>
    </row>
    <row r="102" spans="1:8" x14ac:dyDescent="0.25">
      <c r="C102" s="113" t="s">
        <v>332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C103" s="113" t="s">
        <v>333</v>
      </c>
      <c r="D103" s="90">
        <v>7.0000000000000007E-2</v>
      </c>
      <c r="E103" s="90">
        <v>7.0000000000000007E-2</v>
      </c>
      <c r="F103" s="90">
        <v>7.0000000000000007E-2</v>
      </c>
      <c r="G103" s="90">
        <v>7.0000000000000007E-2</v>
      </c>
      <c r="H103" s="90">
        <v>7.0000000000000007E-2</v>
      </c>
    </row>
    <row r="104" spans="1:8" x14ac:dyDescent="0.25">
      <c r="B104" s="113" t="s">
        <v>82</v>
      </c>
      <c r="C104" s="113" t="s">
        <v>331</v>
      </c>
      <c r="D104" s="90">
        <v>0</v>
      </c>
      <c r="E104" s="90">
        <v>1</v>
      </c>
      <c r="F104" s="90">
        <v>1</v>
      </c>
      <c r="G104" s="90">
        <v>1</v>
      </c>
      <c r="H104" s="90">
        <v>1</v>
      </c>
    </row>
    <row r="105" spans="1:8" x14ac:dyDescent="0.25">
      <c r="C105" s="113" t="s">
        <v>332</v>
      </c>
      <c r="D105" s="90">
        <v>0</v>
      </c>
      <c r="E105" s="90">
        <v>0</v>
      </c>
      <c r="F105" s="90">
        <v>0</v>
      </c>
      <c r="G105" s="90">
        <v>0</v>
      </c>
      <c r="H105" s="90">
        <v>0</v>
      </c>
    </row>
    <row r="106" spans="1:8" x14ac:dyDescent="0.25">
      <c r="C106" s="113" t="s">
        <v>333</v>
      </c>
      <c r="D106" s="90">
        <v>0</v>
      </c>
      <c r="E106" s="90">
        <v>0</v>
      </c>
      <c r="F106" s="90">
        <v>0</v>
      </c>
      <c r="G106" s="90">
        <v>0</v>
      </c>
      <c r="H106" s="90">
        <v>0</v>
      </c>
    </row>
    <row r="107" spans="1:8" x14ac:dyDescent="0.25">
      <c r="A107" s="113" t="s">
        <v>183</v>
      </c>
      <c r="B107" s="113" t="s">
        <v>81</v>
      </c>
      <c r="C107" s="113" t="s">
        <v>331</v>
      </c>
      <c r="D107" s="90">
        <v>1</v>
      </c>
      <c r="E107" s="90">
        <v>1</v>
      </c>
      <c r="F107" s="90">
        <v>1</v>
      </c>
      <c r="G107" s="90">
        <v>1</v>
      </c>
      <c r="H107" s="90">
        <v>1</v>
      </c>
    </row>
    <row r="108" spans="1:8" x14ac:dyDescent="0.25">
      <c r="C108" s="113" t="s">
        <v>332</v>
      </c>
      <c r="D108" s="90">
        <v>0.51</v>
      </c>
      <c r="E108" s="90">
        <v>0.51</v>
      </c>
      <c r="F108" s="90">
        <v>0.51</v>
      </c>
      <c r="G108" s="90">
        <v>0.51</v>
      </c>
      <c r="H108" s="90">
        <v>0.51</v>
      </c>
    </row>
    <row r="109" spans="1:8" x14ac:dyDescent="0.25">
      <c r="A109" s="113" t="s">
        <v>192</v>
      </c>
      <c r="B109" s="113" t="s">
        <v>81</v>
      </c>
      <c r="C109" s="113" t="s">
        <v>331</v>
      </c>
      <c r="D109" s="90">
        <v>1</v>
      </c>
      <c r="E109" s="90">
        <v>1</v>
      </c>
      <c r="F109" s="90">
        <v>1</v>
      </c>
      <c r="G109" s="90">
        <v>1</v>
      </c>
      <c r="H109" s="90">
        <v>1</v>
      </c>
    </row>
    <row r="110" spans="1:8" x14ac:dyDescent="0.25">
      <c r="C110" s="113" t="s">
        <v>332</v>
      </c>
      <c r="D110" s="90">
        <v>0.62</v>
      </c>
      <c r="E110" s="90">
        <v>0.62</v>
      </c>
      <c r="F110" s="90">
        <v>0.62</v>
      </c>
      <c r="G110" s="90">
        <v>0.62</v>
      </c>
      <c r="H110" s="90">
        <v>0.62</v>
      </c>
    </row>
    <row r="111" spans="1:8" x14ac:dyDescent="0.25">
      <c r="A111" s="113" t="s">
        <v>176</v>
      </c>
      <c r="B111" s="113" t="s">
        <v>72</v>
      </c>
      <c r="C111" s="113" t="s">
        <v>331</v>
      </c>
      <c r="D111" s="90">
        <v>1</v>
      </c>
      <c r="E111" s="90">
        <v>0</v>
      </c>
      <c r="F111" s="90">
        <v>0</v>
      </c>
      <c r="G111" s="90">
        <v>0</v>
      </c>
      <c r="H111" s="90">
        <v>0</v>
      </c>
    </row>
    <row r="112" spans="1:8" x14ac:dyDescent="0.25">
      <c r="C112" s="113" t="s">
        <v>332</v>
      </c>
      <c r="D112" s="90">
        <v>0.14000000000000001</v>
      </c>
      <c r="E112" s="90">
        <v>0</v>
      </c>
      <c r="F112" s="90">
        <v>0</v>
      </c>
      <c r="G112" s="90">
        <v>0</v>
      </c>
      <c r="H112" s="90">
        <v>0</v>
      </c>
    </row>
    <row r="114" spans="1:8" s="125" customFormat="1" ht="13" x14ac:dyDescent="0.3">
      <c r="A114" s="123" t="s">
        <v>326</v>
      </c>
      <c r="B114" s="124"/>
      <c r="C114" s="124"/>
      <c r="D114" s="93"/>
      <c r="E114" s="93"/>
      <c r="F114" s="93"/>
      <c r="G114" s="93"/>
      <c r="H114" s="93"/>
    </row>
    <row r="115" spans="1:8" ht="13" x14ac:dyDescent="0.3">
      <c r="A115" s="103" t="s">
        <v>149</v>
      </c>
      <c r="B115" s="103" t="s">
        <v>329</v>
      </c>
      <c r="C115" s="120" t="s">
        <v>330</v>
      </c>
      <c r="D115" s="4" t="s">
        <v>67</v>
      </c>
      <c r="E115" s="4" t="s">
        <v>77</v>
      </c>
      <c r="F115" s="4" t="s">
        <v>78</v>
      </c>
      <c r="G115" s="4" t="s">
        <v>79</v>
      </c>
      <c r="H115" s="4" t="s">
        <v>80</v>
      </c>
    </row>
    <row r="116" spans="1:8" x14ac:dyDescent="0.25">
      <c r="A116" s="113" t="s">
        <v>186</v>
      </c>
      <c r="B116" s="113" t="s">
        <v>81</v>
      </c>
      <c r="C116" s="113" t="s">
        <v>331</v>
      </c>
      <c r="D116" s="90">
        <f t="shared" ref="D116:E118" si="2">IF($C2="Affected fraction",D2,IF(D2=1,1,D2*1.05))</f>
        <v>0</v>
      </c>
      <c r="E116" s="90">
        <f t="shared" si="2"/>
        <v>0</v>
      </c>
      <c r="F116" s="90">
        <f>IF($C59="Affected fraction",F59,IF(F59=1,1,F59*0.9))</f>
        <v>1</v>
      </c>
      <c r="G116" s="90">
        <f>IF($C59="Affected fraction",G59,IF(G59=1,1,G59*0.9))</f>
        <v>1</v>
      </c>
      <c r="H116" s="90">
        <f>IF($C59="Affected fraction",H59,IF(H59=1,1,H59*0.9))</f>
        <v>1</v>
      </c>
    </row>
    <row r="117" spans="1:8" x14ac:dyDescent="0.25">
      <c r="C117" s="113" t="s">
        <v>332</v>
      </c>
      <c r="D117" s="90">
        <f t="shared" si="2"/>
        <v>0</v>
      </c>
      <c r="E117" s="90">
        <f t="shared" si="2"/>
        <v>0</v>
      </c>
      <c r="F117" s="90">
        <v>0.21</v>
      </c>
      <c r="G117" s="90">
        <v>0.21</v>
      </c>
      <c r="H117" s="90">
        <v>0.21</v>
      </c>
    </row>
    <row r="118" spans="1:8" x14ac:dyDescent="0.25">
      <c r="C118" s="113" t="s">
        <v>333</v>
      </c>
      <c r="D118" s="90">
        <f t="shared" si="2"/>
        <v>0</v>
      </c>
      <c r="E118" s="90">
        <f t="shared" si="2"/>
        <v>0</v>
      </c>
      <c r="F118" s="90">
        <v>0.18</v>
      </c>
      <c r="G118" s="90">
        <v>0.18</v>
      </c>
      <c r="H118" s="90">
        <v>0.18</v>
      </c>
    </row>
    <row r="119" spans="1:8" x14ac:dyDescent="0.25">
      <c r="A119" s="113" t="s">
        <v>184</v>
      </c>
      <c r="B119" s="113" t="s">
        <v>198</v>
      </c>
      <c r="C119" s="113" t="s">
        <v>331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113" t="s">
        <v>333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113" t="s">
        <v>197</v>
      </c>
      <c r="C121" s="113" t="s">
        <v>331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113" t="s">
        <v>333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113" t="s">
        <v>177</v>
      </c>
      <c r="B123" s="113" t="s">
        <v>198</v>
      </c>
      <c r="C123" s="113" t="s">
        <v>331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113" t="s">
        <v>333</v>
      </c>
      <c r="D124" s="90">
        <v>0</v>
      </c>
      <c r="E124" s="90">
        <v>0</v>
      </c>
      <c r="F124" s="90">
        <v>0</v>
      </c>
      <c r="G124" s="90">
        <v>0</v>
      </c>
      <c r="H124" s="90">
        <v>0</v>
      </c>
    </row>
    <row r="125" spans="1:8" x14ac:dyDescent="0.25">
      <c r="B125" s="113" t="s">
        <v>197</v>
      </c>
      <c r="C125" s="113" t="s">
        <v>331</v>
      </c>
      <c r="D125" s="90">
        <v>0</v>
      </c>
      <c r="E125" s="90">
        <v>0</v>
      </c>
      <c r="F125" s="90">
        <v>1</v>
      </c>
      <c r="G125" s="90">
        <v>1</v>
      </c>
      <c r="H125" s="90">
        <v>0</v>
      </c>
    </row>
    <row r="126" spans="1:8" x14ac:dyDescent="0.25">
      <c r="C126" s="113" t="s">
        <v>333</v>
      </c>
      <c r="D126" s="90">
        <v>0</v>
      </c>
      <c r="E126" s="90">
        <v>0</v>
      </c>
      <c r="F126" s="90">
        <v>0</v>
      </c>
      <c r="G126" s="90">
        <v>0</v>
      </c>
      <c r="H126" s="90">
        <v>0</v>
      </c>
    </row>
    <row r="127" spans="1:8" x14ac:dyDescent="0.25">
      <c r="A127" s="113" t="s">
        <v>185</v>
      </c>
      <c r="B127" s="113" t="s">
        <v>198</v>
      </c>
      <c r="C127" s="113" t="s">
        <v>331</v>
      </c>
      <c r="D127" s="90">
        <v>0</v>
      </c>
      <c r="E127" s="90">
        <v>0</v>
      </c>
      <c r="F127" s="90">
        <v>1</v>
      </c>
      <c r="G127" s="90">
        <v>1</v>
      </c>
      <c r="H127" s="90">
        <v>0</v>
      </c>
    </row>
    <row r="128" spans="1:8" x14ac:dyDescent="0.25">
      <c r="C128" s="113" t="s">
        <v>333</v>
      </c>
      <c r="D128" s="90">
        <f t="shared" ref="D128:E130" si="3">IF($C14="Affected fraction",D14,IF(D14=1,1,D14*1.05))</f>
        <v>0</v>
      </c>
      <c r="E128" s="90">
        <f t="shared" si="3"/>
        <v>0</v>
      </c>
      <c r="F128" s="90">
        <v>0.45</v>
      </c>
      <c r="G128" s="90">
        <v>0.45</v>
      </c>
      <c r="H128" s="90">
        <f>IF($C14="Affected fraction",H14,IF(H14=1,1,H14*1.05))</f>
        <v>0</v>
      </c>
    </row>
    <row r="129" spans="1:8" x14ac:dyDescent="0.25">
      <c r="B129" s="113" t="s">
        <v>197</v>
      </c>
      <c r="C129" s="113" t="s">
        <v>331</v>
      </c>
      <c r="D129" s="90">
        <f t="shared" si="3"/>
        <v>0</v>
      </c>
      <c r="E129" s="90">
        <f t="shared" si="3"/>
        <v>0</v>
      </c>
      <c r="F129" s="90">
        <f>IF($C15="Affected fraction",F15,IF(F15=1,1,F15*1.05))</f>
        <v>1</v>
      </c>
      <c r="G129" s="90">
        <f>IF($C15="Affected fraction",G15,IF(G15=1,1,G15*1.05))</f>
        <v>1</v>
      </c>
      <c r="H129" s="90">
        <f>IF($C15="Affected fraction",H15,IF(H15=1,1,H15*1.05))</f>
        <v>0</v>
      </c>
    </row>
    <row r="130" spans="1:8" x14ac:dyDescent="0.25">
      <c r="C130" s="113" t="s">
        <v>333</v>
      </c>
      <c r="D130" s="90">
        <f t="shared" si="3"/>
        <v>0</v>
      </c>
      <c r="E130" s="90">
        <f t="shared" si="3"/>
        <v>0</v>
      </c>
      <c r="F130" s="90">
        <v>0.2</v>
      </c>
      <c r="G130" s="90">
        <v>0.2</v>
      </c>
      <c r="H130" s="90">
        <f>IF($C16="Affected fraction",H16,IF(H16=1,1,H16*1.05))</f>
        <v>0</v>
      </c>
    </row>
    <row r="131" spans="1:8" x14ac:dyDescent="0.25">
      <c r="B131" s="113" t="s">
        <v>372</v>
      </c>
      <c r="C131" s="113" t="s">
        <v>331</v>
      </c>
      <c r="D131" s="90">
        <v>0</v>
      </c>
      <c r="E131" s="90">
        <v>0</v>
      </c>
      <c r="F131" s="90">
        <v>1</v>
      </c>
      <c r="G131" s="90">
        <v>1</v>
      </c>
      <c r="H131" s="90">
        <v>0</v>
      </c>
    </row>
    <row r="132" spans="1:8" x14ac:dyDescent="0.25">
      <c r="C132" s="113" t="s">
        <v>332</v>
      </c>
      <c r="D132" s="90">
        <v>0</v>
      </c>
      <c r="E132" s="90">
        <v>0</v>
      </c>
      <c r="F132" s="90">
        <v>0</v>
      </c>
      <c r="G132" s="90">
        <v>0</v>
      </c>
      <c r="H132" s="90">
        <v>0</v>
      </c>
    </row>
    <row r="133" spans="1:8" x14ac:dyDescent="0.25">
      <c r="A133" s="113" t="s">
        <v>162</v>
      </c>
      <c r="B133" s="113" t="s">
        <v>198</v>
      </c>
      <c r="C133" s="113" t="s">
        <v>331</v>
      </c>
      <c r="D133" s="90">
        <f>IF($C19="Affected fraction",D19,IF(D19=1,1,D19*1.05))</f>
        <v>0</v>
      </c>
      <c r="E133" s="90">
        <f>IF($C19="Affected fraction",E19,IF(E19=1,1,E19*1.05))</f>
        <v>0</v>
      </c>
      <c r="F133" s="90">
        <f>IF($C19="Affected fraction",F19,IF(F19=1,1,F19*1.05))</f>
        <v>1</v>
      </c>
      <c r="G133" s="90">
        <f>IF($C19="Affected fraction",G19,IF(G19=1,1,G19*1.05))</f>
        <v>1</v>
      </c>
      <c r="H133" s="90">
        <f>IF($C19="Affected fraction",H19,IF(H19=1,1,H19*1.05))</f>
        <v>1</v>
      </c>
    </row>
    <row r="134" spans="1:8" x14ac:dyDescent="0.25">
      <c r="C134" s="113" t="s">
        <v>333</v>
      </c>
      <c r="D134" s="90">
        <f t="shared" ref="D134:H142" si="4">IF($C20="Affected fraction",D20,IF(D20=1,1,D20*1.05))</f>
        <v>0</v>
      </c>
      <c r="E134" s="90">
        <f t="shared" si="4"/>
        <v>0</v>
      </c>
      <c r="F134" s="90">
        <v>0</v>
      </c>
      <c r="G134" s="90">
        <v>0</v>
      </c>
      <c r="H134" s="90">
        <v>0</v>
      </c>
    </row>
    <row r="135" spans="1:8" x14ac:dyDescent="0.25">
      <c r="B135" s="113" t="s">
        <v>197</v>
      </c>
      <c r="C135" s="113" t="s">
        <v>331</v>
      </c>
      <c r="D135" s="90">
        <f t="shared" si="4"/>
        <v>0</v>
      </c>
      <c r="E135" s="90">
        <f t="shared" si="4"/>
        <v>0</v>
      </c>
      <c r="F135" s="90">
        <v>1</v>
      </c>
      <c r="G135" s="90">
        <v>1</v>
      </c>
      <c r="H135" s="90">
        <v>1</v>
      </c>
    </row>
    <row r="136" spans="1:8" x14ac:dyDescent="0.25">
      <c r="C136" s="113" t="s">
        <v>333</v>
      </c>
      <c r="D136" s="90">
        <f t="shared" si="4"/>
        <v>0</v>
      </c>
      <c r="E136" s="90">
        <f t="shared" si="4"/>
        <v>0</v>
      </c>
      <c r="F136" s="90">
        <v>0</v>
      </c>
      <c r="G136" s="90">
        <v>0</v>
      </c>
      <c r="H136" s="90">
        <v>0</v>
      </c>
    </row>
    <row r="137" spans="1:8" x14ac:dyDescent="0.25">
      <c r="A137" s="113" t="s">
        <v>167</v>
      </c>
      <c r="B137" s="113" t="s">
        <v>74</v>
      </c>
      <c r="C137" s="113" t="s">
        <v>331</v>
      </c>
      <c r="D137" s="90">
        <f>IF($C80="Affected fraction",D80,IF(D80=1,1,D80*0.9))</f>
        <v>1</v>
      </c>
      <c r="E137" s="90">
        <f t="shared" si="4"/>
        <v>0</v>
      </c>
      <c r="F137" s="90">
        <f t="shared" si="4"/>
        <v>0</v>
      </c>
      <c r="G137" s="90">
        <f t="shared" si="4"/>
        <v>0</v>
      </c>
      <c r="H137" s="90">
        <f t="shared" si="4"/>
        <v>0</v>
      </c>
    </row>
    <row r="138" spans="1:8" x14ac:dyDescent="0.25">
      <c r="C138" s="113" t="s">
        <v>332</v>
      </c>
      <c r="D138" s="90">
        <v>0.16</v>
      </c>
      <c r="E138" s="90">
        <f t="shared" si="4"/>
        <v>0</v>
      </c>
      <c r="F138" s="90">
        <f t="shared" si="4"/>
        <v>0</v>
      </c>
      <c r="G138" s="90">
        <f t="shared" si="4"/>
        <v>0</v>
      </c>
      <c r="H138" s="90">
        <f t="shared" si="4"/>
        <v>0</v>
      </c>
    </row>
    <row r="139" spans="1:8" x14ac:dyDescent="0.25">
      <c r="A139" s="113" t="s">
        <v>165</v>
      </c>
      <c r="B139" s="113" t="s">
        <v>74</v>
      </c>
      <c r="C139" s="113" t="s">
        <v>331</v>
      </c>
      <c r="D139" s="90">
        <f>IF($C82="Affected fraction",D82,IF(D82=1,1,D82*0.9))</f>
        <v>1</v>
      </c>
      <c r="E139" s="90">
        <f t="shared" si="4"/>
        <v>0</v>
      </c>
      <c r="F139" s="90">
        <f t="shared" si="4"/>
        <v>0</v>
      </c>
      <c r="G139" s="90">
        <f t="shared" si="4"/>
        <v>0</v>
      </c>
      <c r="H139" s="90">
        <f t="shared" si="4"/>
        <v>0</v>
      </c>
    </row>
    <row r="140" spans="1:8" x14ac:dyDescent="0.25">
      <c r="C140" s="113" t="s">
        <v>332</v>
      </c>
      <c r="D140" s="90">
        <v>0.16</v>
      </c>
      <c r="E140" s="90">
        <f t="shared" si="4"/>
        <v>0</v>
      </c>
      <c r="F140" s="90">
        <f t="shared" si="4"/>
        <v>0</v>
      </c>
      <c r="G140" s="90">
        <f t="shared" si="4"/>
        <v>0</v>
      </c>
      <c r="H140" s="90">
        <f t="shared" si="4"/>
        <v>0</v>
      </c>
    </row>
    <row r="141" spans="1:8" x14ac:dyDescent="0.25">
      <c r="A141" s="113" t="s">
        <v>166</v>
      </c>
      <c r="B141" s="113" t="s">
        <v>74</v>
      </c>
      <c r="C141" s="113" t="s">
        <v>331</v>
      </c>
      <c r="D141" s="90">
        <f>IF($C84="Affected fraction",D84,IF(D84=1,1,D84*0.9))</f>
        <v>1</v>
      </c>
      <c r="E141" s="90">
        <f t="shared" si="4"/>
        <v>0</v>
      </c>
      <c r="F141" s="90">
        <f t="shared" si="4"/>
        <v>0</v>
      </c>
      <c r="G141" s="90">
        <f t="shared" si="4"/>
        <v>0</v>
      </c>
      <c r="H141" s="90">
        <f t="shared" si="4"/>
        <v>0</v>
      </c>
    </row>
    <row r="142" spans="1:8" x14ac:dyDescent="0.25">
      <c r="C142" s="113" t="s">
        <v>332</v>
      </c>
      <c r="D142" s="90">
        <v>0.16</v>
      </c>
      <c r="E142" s="90">
        <f t="shared" si="4"/>
        <v>0</v>
      </c>
      <c r="F142" s="90">
        <f t="shared" si="4"/>
        <v>0</v>
      </c>
      <c r="G142" s="90">
        <f t="shared" si="4"/>
        <v>0</v>
      </c>
      <c r="H142" s="90">
        <f t="shared" si="4"/>
        <v>0</v>
      </c>
    </row>
    <row r="143" spans="1:8" x14ac:dyDescent="0.25">
      <c r="A143" s="113" t="s">
        <v>190</v>
      </c>
      <c r="B143" s="113" t="s">
        <v>81</v>
      </c>
      <c r="C143" s="113" t="s">
        <v>331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113" t="s">
        <v>332</v>
      </c>
      <c r="D144" s="90">
        <v>0.51</v>
      </c>
      <c r="E144" s="90">
        <v>0.51</v>
      </c>
      <c r="F144" s="90">
        <v>0.51</v>
      </c>
      <c r="G144" s="90">
        <v>0.51</v>
      </c>
      <c r="H144" s="90">
        <v>0.51</v>
      </c>
    </row>
    <row r="145" spans="1:8" x14ac:dyDescent="0.25">
      <c r="C145" s="113" t="s">
        <v>333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113" t="s">
        <v>191</v>
      </c>
      <c r="B146" s="113" t="s">
        <v>81</v>
      </c>
      <c r="C146" s="113" t="s">
        <v>331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113" t="s">
        <v>332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113" t="s">
        <v>333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113" t="s">
        <v>189</v>
      </c>
      <c r="B149" s="113" t="s">
        <v>81</v>
      </c>
      <c r="C149" s="113" t="s">
        <v>331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113" t="s">
        <v>332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113" t="s">
        <v>333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113" t="s">
        <v>188</v>
      </c>
      <c r="B152" s="113" t="s">
        <v>81</v>
      </c>
      <c r="C152" s="113" t="s">
        <v>331</v>
      </c>
      <c r="D152" s="90">
        <v>1</v>
      </c>
      <c r="E152" s="90">
        <v>1</v>
      </c>
      <c r="F152" s="90">
        <v>1</v>
      </c>
      <c r="G152" s="90">
        <v>1</v>
      </c>
      <c r="H152" s="90">
        <v>1</v>
      </c>
    </row>
    <row r="153" spans="1:8" x14ac:dyDescent="0.25">
      <c r="C153" s="113" t="s">
        <v>332</v>
      </c>
      <c r="D153" s="90">
        <v>0</v>
      </c>
      <c r="E153" s="90">
        <v>0</v>
      </c>
      <c r="F153" s="90">
        <v>0</v>
      </c>
      <c r="G153" s="90">
        <v>0</v>
      </c>
      <c r="H153" s="90">
        <v>0</v>
      </c>
    </row>
    <row r="154" spans="1:8" x14ac:dyDescent="0.25">
      <c r="C154" s="113" t="s">
        <v>333</v>
      </c>
      <c r="D154" s="90">
        <v>0</v>
      </c>
      <c r="E154" s="90">
        <v>0</v>
      </c>
      <c r="F154" s="90">
        <v>0</v>
      </c>
      <c r="G154" s="90">
        <v>0</v>
      </c>
      <c r="H154" s="90">
        <v>0</v>
      </c>
    </row>
    <row r="155" spans="1:8" x14ac:dyDescent="0.25">
      <c r="A155" s="113" t="s">
        <v>187</v>
      </c>
      <c r="B155" s="113" t="s">
        <v>81</v>
      </c>
      <c r="C155" s="113" t="s">
        <v>331</v>
      </c>
      <c r="D155" s="90">
        <v>1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113" t="s">
        <v>332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113" t="s">
        <v>333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113" t="s">
        <v>193</v>
      </c>
      <c r="B158" s="113" t="s">
        <v>81</v>
      </c>
      <c r="C158" s="113" t="s">
        <v>331</v>
      </c>
      <c r="D158" s="90">
        <f t="shared" ref="D158:H159" si="5">IF($C101="Affected fraction",D101,IF(D101=1,1,D101*0.9))</f>
        <v>0</v>
      </c>
      <c r="E158" s="90">
        <f t="shared" si="5"/>
        <v>1</v>
      </c>
      <c r="F158" s="90">
        <f t="shared" si="5"/>
        <v>1</v>
      </c>
      <c r="G158" s="90">
        <f t="shared" si="5"/>
        <v>1</v>
      </c>
      <c r="H158" s="90">
        <f t="shared" si="5"/>
        <v>1</v>
      </c>
    </row>
    <row r="159" spans="1:8" x14ac:dyDescent="0.25">
      <c r="C159" s="113" t="s">
        <v>332</v>
      </c>
      <c r="D159" s="90">
        <f t="shared" si="5"/>
        <v>0</v>
      </c>
      <c r="E159" s="90">
        <f t="shared" si="5"/>
        <v>0</v>
      </c>
      <c r="F159" s="90">
        <f t="shared" si="5"/>
        <v>0</v>
      </c>
      <c r="G159" s="90">
        <f t="shared" si="5"/>
        <v>0</v>
      </c>
      <c r="H159" s="90">
        <f t="shared" si="5"/>
        <v>0</v>
      </c>
    </row>
    <row r="160" spans="1:8" x14ac:dyDescent="0.25">
      <c r="C160" s="113" t="s">
        <v>333</v>
      </c>
      <c r="D160" s="90">
        <v>0.1</v>
      </c>
      <c r="E160" s="90">
        <v>0.1</v>
      </c>
      <c r="F160" s="90">
        <v>0.1</v>
      </c>
      <c r="G160" s="90">
        <v>0.1</v>
      </c>
      <c r="H160" s="90">
        <v>0.1</v>
      </c>
    </row>
    <row r="161" spans="1:8" x14ac:dyDescent="0.25">
      <c r="B161" s="113" t="s">
        <v>82</v>
      </c>
      <c r="C161" s="113" t="s">
        <v>331</v>
      </c>
      <c r="D161" s="90">
        <v>0</v>
      </c>
      <c r="E161" s="90">
        <v>1</v>
      </c>
      <c r="F161" s="90">
        <v>1</v>
      </c>
      <c r="G161" s="90">
        <v>1</v>
      </c>
      <c r="H161" s="90">
        <v>1</v>
      </c>
    </row>
    <row r="162" spans="1:8" x14ac:dyDescent="0.25">
      <c r="C162" s="113" t="s">
        <v>332</v>
      </c>
      <c r="D162" s="90">
        <v>0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113" t="s">
        <v>333</v>
      </c>
      <c r="D163" s="90">
        <v>0</v>
      </c>
      <c r="E163" s="90">
        <v>0</v>
      </c>
      <c r="F163" s="90">
        <v>0</v>
      </c>
      <c r="G163" s="90">
        <v>0</v>
      </c>
      <c r="H163" s="90">
        <v>0</v>
      </c>
    </row>
    <row r="164" spans="1:8" x14ac:dyDescent="0.25">
      <c r="A164" s="113" t="s">
        <v>183</v>
      </c>
      <c r="B164" s="113" t="s">
        <v>81</v>
      </c>
      <c r="C164" s="113" t="s">
        <v>331</v>
      </c>
      <c r="D164" s="90">
        <v>1</v>
      </c>
      <c r="E164" s="90">
        <v>1</v>
      </c>
      <c r="F164" s="90">
        <v>1</v>
      </c>
      <c r="G164" s="90">
        <v>1</v>
      </c>
      <c r="H164" s="90">
        <v>1</v>
      </c>
    </row>
    <row r="165" spans="1:8" x14ac:dyDescent="0.25">
      <c r="C165" s="113" t="s">
        <v>332</v>
      </c>
      <c r="D165" s="90">
        <v>0.8</v>
      </c>
      <c r="E165" s="90">
        <v>0.8</v>
      </c>
      <c r="F165" s="90">
        <v>0.8</v>
      </c>
      <c r="G165" s="90">
        <v>0.8</v>
      </c>
      <c r="H165" s="90">
        <v>0.8</v>
      </c>
    </row>
    <row r="166" spans="1:8" x14ac:dyDescent="0.25">
      <c r="A166" s="113" t="s">
        <v>192</v>
      </c>
      <c r="B166" s="113" t="s">
        <v>81</v>
      </c>
      <c r="C166" s="113" t="s">
        <v>331</v>
      </c>
      <c r="D166" s="90">
        <v>1</v>
      </c>
      <c r="E166" s="90">
        <v>1</v>
      </c>
      <c r="F166" s="90">
        <v>1</v>
      </c>
      <c r="G166" s="90">
        <v>1</v>
      </c>
      <c r="H166" s="90">
        <v>1</v>
      </c>
    </row>
    <row r="167" spans="1:8" x14ac:dyDescent="0.25">
      <c r="C167" s="113" t="s">
        <v>332</v>
      </c>
      <c r="D167" s="90">
        <v>0.85</v>
      </c>
      <c r="E167" s="90">
        <v>0.85</v>
      </c>
      <c r="F167" s="90">
        <v>0.85</v>
      </c>
      <c r="G167" s="90">
        <v>0.85</v>
      </c>
      <c r="H167" s="90">
        <v>0.85</v>
      </c>
    </row>
    <row r="168" spans="1:8" x14ac:dyDescent="0.25">
      <c r="A168" s="113" t="s">
        <v>176</v>
      </c>
      <c r="B168" s="113" t="s">
        <v>72</v>
      </c>
      <c r="C168" s="113" t="s">
        <v>331</v>
      </c>
      <c r="D168" s="90">
        <v>1</v>
      </c>
      <c r="E168" s="90">
        <v>0</v>
      </c>
      <c r="F168" s="90">
        <v>0</v>
      </c>
      <c r="G168" s="90">
        <v>0</v>
      </c>
      <c r="H168" s="90">
        <v>0</v>
      </c>
    </row>
    <row r="169" spans="1:8" x14ac:dyDescent="0.25">
      <c r="C169" s="113" t="s">
        <v>332</v>
      </c>
      <c r="D169" s="90">
        <v>0.47</v>
      </c>
      <c r="E169" s="90">
        <v>0</v>
      </c>
      <c r="F169" s="90">
        <v>0</v>
      </c>
      <c r="G169" s="90">
        <v>0</v>
      </c>
      <c r="H169" s="90">
        <v>0</v>
      </c>
    </row>
  </sheetData>
  <sheetProtection algorithmName="SHA-512" hashValue="sHld8DXHNvBPvgOxgonJEdNr45oJ9dhGm4EyeRR/kJgZwuRtQOqpKRwAGWgbK7p0KPrU1sXLs5MI5cYHa/DMFQ==" saltValue="ExAPAhIxQbwU8rsTTgoi4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D2" sqref="D2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149</v>
      </c>
      <c r="B1" s="1" t="s">
        <v>329</v>
      </c>
      <c r="C1" s="1"/>
      <c r="D1" s="4" t="s">
        <v>112</v>
      </c>
      <c r="E1" s="4" t="s">
        <v>113</v>
      </c>
      <c r="F1" s="4" t="s">
        <v>114</v>
      </c>
      <c r="G1" s="4" t="s">
        <v>115</v>
      </c>
      <c r="H1" s="4"/>
    </row>
    <row r="2" spans="1:8" x14ac:dyDescent="0.25">
      <c r="A2" s="3" t="s">
        <v>161</v>
      </c>
      <c r="B2" s="8" t="s">
        <v>94</v>
      </c>
      <c r="C2" s="3" t="s">
        <v>331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332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180</v>
      </c>
      <c r="B4" s="8" t="s">
        <v>94</v>
      </c>
      <c r="C4" s="3" t="s">
        <v>331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332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179</v>
      </c>
      <c r="B6" s="8" t="s">
        <v>94</v>
      </c>
      <c r="C6" s="3" t="s">
        <v>331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332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182</v>
      </c>
      <c r="B8" s="3" t="s">
        <v>369</v>
      </c>
      <c r="C8" s="3" t="s">
        <v>331</v>
      </c>
      <c r="D8" s="116">
        <v>1</v>
      </c>
      <c r="E8" s="116">
        <v>1</v>
      </c>
      <c r="F8" s="116">
        <v>1</v>
      </c>
      <c r="G8" s="116">
        <v>1</v>
      </c>
      <c r="H8" s="3"/>
    </row>
    <row r="9" spans="1:8" x14ac:dyDescent="0.25">
      <c r="A9" s="3"/>
      <c r="B9" s="3"/>
      <c r="C9" s="3" t="s">
        <v>206</v>
      </c>
      <c r="D9" s="116">
        <v>0.09</v>
      </c>
      <c r="E9" s="116">
        <v>0.09</v>
      </c>
      <c r="F9" s="116">
        <v>0.09</v>
      </c>
      <c r="G9" s="116">
        <v>0.09</v>
      </c>
      <c r="H9" s="3"/>
    </row>
    <row r="11" spans="1:8" s="92" customFormat="1" ht="13" x14ac:dyDescent="0.3">
      <c r="A11" s="92" t="s">
        <v>323</v>
      </c>
    </row>
    <row r="12" spans="1:8" ht="13" x14ac:dyDescent="0.3">
      <c r="A12" s="1" t="s">
        <v>149</v>
      </c>
      <c r="B12" s="1" t="s">
        <v>329</v>
      </c>
      <c r="C12" s="1"/>
      <c r="D12" s="4" t="s">
        <v>112</v>
      </c>
      <c r="E12" s="4" t="s">
        <v>113</v>
      </c>
      <c r="F12" s="4" t="s">
        <v>114</v>
      </c>
      <c r="G12" s="4" t="s">
        <v>115</v>
      </c>
    </row>
    <row r="13" spans="1:8" x14ac:dyDescent="0.25">
      <c r="A13" s="3" t="s">
        <v>161</v>
      </c>
      <c r="B13" s="8" t="s">
        <v>94</v>
      </c>
      <c r="C13" s="3" t="s">
        <v>331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332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180</v>
      </c>
      <c r="B15" s="8" t="s">
        <v>94</v>
      </c>
      <c r="C15" s="3" t="s">
        <v>331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332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179</v>
      </c>
      <c r="B17" s="8" t="s">
        <v>94</v>
      </c>
      <c r="C17" s="3" t="s">
        <v>331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332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182</v>
      </c>
      <c r="B19" s="3" t="s">
        <v>369</v>
      </c>
      <c r="C19" s="3" t="s">
        <v>331</v>
      </c>
      <c r="D19" s="116">
        <f t="shared" si="0"/>
        <v>1</v>
      </c>
      <c r="E19" s="116">
        <f t="shared" si="0"/>
        <v>1</v>
      </c>
      <c r="F19" s="116">
        <f t="shared" si="0"/>
        <v>1</v>
      </c>
      <c r="G19" s="116">
        <f t="shared" si="0"/>
        <v>1</v>
      </c>
    </row>
    <row r="20" spans="1:7" x14ac:dyDescent="0.25">
      <c r="A20" s="3"/>
      <c r="B20" s="3"/>
      <c r="C20" s="3" t="s">
        <v>206</v>
      </c>
      <c r="D20" s="116">
        <v>0.02</v>
      </c>
      <c r="E20" s="116">
        <v>0.02</v>
      </c>
      <c r="F20" s="116">
        <v>0.02</v>
      </c>
      <c r="G20" s="116">
        <v>0.02</v>
      </c>
    </row>
    <row r="22" spans="1:7" s="92" customFormat="1" ht="13" x14ac:dyDescent="0.3">
      <c r="A22" s="92" t="s">
        <v>326</v>
      </c>
    </row>
    <row r="23" spans="1:7" ht="13" x14ac:dyDescent="0.3">
      <c r="A23" s="1" t="s">
        <v>149</v>
      </c>
      <c r="B23" s="1" t="s">
        <v>329</v>
      </c>
      <c r="C23" s="1"/>
      <c r="D23" s="4" t="s">
        <v>112</v>
      </c>
      <c r="E23" s="4" t="s">
        <v>113</v>
      </c>
      <c r="F23" s="4" t="s">
        <v>114</v>
      </c>
      <c r="G23" s="4" t="s">
        <v>115</v>
      </c>
    </row>
    <row r="24" spans="1:7" x14ac:dyDescent="0.25">
      <c r="A24" s="3" t="s">
        <v>161</v>
      </c>
      <c r="B24" s="8" t="s">
        <v>94</v>
      </c>
      <c r="C24" s="3" t="s">
        <v>331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332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180</v>
      </c>
      <c r="B26" s="8" t="s">
        <v>94</v>
      </c>
      <c r="C26" s="3" t="s">
        <v>331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332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179</v>
      </c>
      <c r="B28" s="8" t="s">
        <v>94</v>
      </c>
      <c r="C28" s="3" t="s">
        <v>331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332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182</v>
      </c>
      <c r="B30" s="3" t="s">
        <v>369</v>
      </c>
      <c r="C30" s="3" t="s">
        <v>331</v>
      </c>
      <c r="D30" s="116">
        <f t="shared" ref="D30:G30" si="1">IF($C8="Affected fraction",D8,IF(D8=1,1,D8*1.05))</f>
        <v>1</v>
      </c>
      <c r="E30" s="116">
        <f t="shared" si="1"/>
        <v>1</v>
      </c>
      <c r="F30" s="116">
        <f t="shared" si="1"/>
        <v>1</v>
      </c>
      <c r="G30" s="116">
        <f t="shared" si="1"/>
        <v>1</v>
      </c>
    </row>
    <row r="31" spans="1:7" x14ac:dyDescent="0.25">
      <c r="A31" s="3"/>
      <c r="B31" s="3"/>
      <c r="C31" s="3" t="s">
        <v>206</v>
      </c>
      <c r="D31" s="116">
        <v>0.14000000000000001</v>
      </c>
      <c r="E31" s="116">
        <v>0.14000000000000001</v>
      </c>
      <c r="F31" s="116">
        <v>0.14000000000000001</v>
      </c>
      <c r="G31" s="116">
        <v>0.14000000000000001</v>
      </c>
    </row>
  </sheetData>
  <sheetProtection algorithmName="SHA-512" hashValue="+Rt7ZWqFE4X26qXz/KjecTkQKgctzAjXiAuwem7Q53yDZR2yMdoSjy31bFNSh3+37+vm43wZuMN9UQUzoZI9/g==" saltValue="DN4zRpZshXPaqZQnWOz1eg==" spinCount="100000" sheet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57ec1f31440e439775915f75cb7954ca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62245b0892ab2a20b5f44f74e1fbf663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DB7E161-F495-494F-94F7-37757C7799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customXml/itemProps3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Baseline year population inputs</vt:lpstr>
      <vt:lpstr>Demographic projections</vt:lpstr>
      <vt:lpstr>Causes of death</vt:lpstr>
      <vt:lpstr>Nutritional status distribution</vt:lpstr>
      <vt:lpstr>Breastfeeding distribution</vt:lpstr>
      <vt:lpstr>Time trends</vt:lpstr>
      <vt:lpstr>Economic inputs</vt:lpstr>
      <vt:lpstr>IYCF packages</vt:lpstr>
      <vt:lpstr>Treatment of SAM</vt:lpstr>
      <vt:lpstr>Programs cost and coverage</vt:lpstr>
      <vt:lpstr>Program dependencies</vt:lpstr>
      <vt:lpstr>Reference programs</vt:lpstr>
      <vt:lpstr>Incidence of conditions</vt:lpstr>
      <vt:lpstr>Programs target population</vt:lpstr>
      <vt:lpstr>Cost curve options</vt:lpstr>
      <vt:lpstr>Programs family planning</vt:lpstr>
      <vt:lpstr>Programs impacted population</vt:lpstr>
      <vt:lpstr>Program risk areas</vt:lpstr>
      <vt:lpstr>Population risk areas</vt:lpstr>
      <vt:lpstr>IYCF odds ratios</vt:lpstr>
      <vt:lpstr>Odds ratios</vt:lpstr>
      <vt:lpstr>Programs birth outcomes</vt:lpstr>
      <vt:lpstr>Birth outcome risks</vt:lpstr>
      <vt:lpstr>Relative risks</vt:lpstr>
      <vt:lpstr>Programs anaemia</vt:lpstr>
      <vt:lpstr>Programs wasting</vt:lpstr>
      <vt:lpstr>Programs for children</vt:lpstr>
      <vt:lpstr>Programs for PW</vt:lpstr>
      <vt:lpstr>'IYCF packages'!abortion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'IYCF packages'!stillbirth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Nick Scott</dc:creator>
  <cp:keywords/>
  <dc:description/>
  <cp:lastModifiedBy>Tharindu Wickramaarachchi</cp:lastModifiedBy>
  <cp:revision/>
  <dcterms:created xsi:type="dcterms:W3CDTF">2017-08-01T10:42:13Z</dcterms:created>
  <dcterms:modified xsi:type="dcterms:W3CDTF">2026-04-06T07:37:20Z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