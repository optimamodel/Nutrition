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56EA375-58B2-4156-A392-32548FB1902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35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<sst xmlns="http://schemas.openxmlformats.org/spreadsheetml/2006/main" count="2103" uniqueCount="341">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</sst>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3470339.28125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101">
        <v>7.4360170060622177E-2</v>
      </c>
    </row>
    <row r="5" spans="1:8" ht="15.75" customHeight="1" x14ac:dyDescent="0.25">
      <c r="B5" s="19" t="s">
        <v>70</v>
      </c>
      <c r="C5" s="101">
        <v>0.1080931803242427</v>
      </c>
    </row>
    <row r="6" spans="1:8" ht="15.75" customHeight="1" x14ac:dyDescent="0.25">
      <c r="B6" s="19" t="s">
        <v>71</v>
      </c>
      <c r="C6" s="101">
        <v>0.2606542151687094</v>
      </c>
    </row>
    <row r="7" spans="1:8" ht="15.75" customHeight="1" x14ac:dyDescent="0.25">
      <c r="B7" s="19" t="s">
        <v>72</v>
      </c>
      <c r="C7" s="101">
        <v>0.37045158189520122</v>
      </c>
    </row>
    <row r="8" spans="1:8" ht="15.75" customHeight="1" x14ac:dyDescent="0.25">
      <c r="B8" s="19" t="s">
        <v>73</v>
      </c>
      <c r="C8" s="101">
        <v>1.2418729629592231E-2</v>
      </c>
    </row>
    <row r="9" spans="1:8" ht="15.75" customHeight="1" x14ac:dyDescent="0.25">
      <c r="B9" s="19" t="s">
        <v>74</v>
      </c>
      <c r="C9" s="101">
        <v>4.1450001515076752E-2</v>
      </c>
    </row>
    <row r="10" spans="1:8" ht="15.75" customHeight="1" x14ac:dyDescent="0.25">
      <c r="B10" s="19" t="s">
        <v>75</v>
      </c>
      <c r="C10" s="101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83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84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85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86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87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89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101">
        <v>8.7680180000000007E-3</v>
      </c>
    </row>
    <row r="28" spans="1:8" ht="15.75" customHeight="1" x14ac:dyDescent="0.25">
      <c r="B28" s="19" t="s">
        <v>93</v>
      </c>
      <c r="C28" s="101">
        <v>0.157124918</v>
      </c>
    </row>
    <row r="29" spans="1:8" ht="15.75" customHeight="1" x14ac:dyDescent="0.25">
      <c r="B29" s="19" t="s">
        <v>94</v>
      </c>
      <c r="C29" s="101">
        <v>0.169393875</v>
      </c>
    </row>
    <row r="30" spans="1:8" ht="15.75" customHeight="1" x14ac:dyDescent="0.25">
      <c r="B30" s="19" t="s">
        <v>95</v>
      </c>
      <c r="C30" s="101">
        <v>0.105381207</v>
      </c>
    </row>
    <row r="31" spans="1:8" ht="15.75" customHeight="1" x14ac:dyDescent="0.25">
      <c r="B31" s="19" t="s">
        <v>96</v>
      </c>
      <c r="C31" s="101">
        <v>0.109725931</v>
      </c>
    </row>
    <row r="32" spans="1:8" ht="15.75" customHeight="1" x14ac:dyDescent="0.25">
      <c r="B32" s="19" t="s">
        <v>97</v>
      </c>
      <c r="C32" s="101">
        <v>1.8930017E-2</v>
      </c>
    </row>
    <row r="33" spans="2:3" ht="15.75" customHeight="1" x14ac:dyDescent="0.25">
      <c r="B33" s="19" t="s">
        <v>98</v>
      </c>
      <c r="C33" s="101">
        <v>8.4558286999999996E-2</v>
      </c>
    </row>
    <row r="34" spans="2:3" ht="15.75" customHeight="1" x14ac:dyDescent="0.25">
      <c r="B34" s="19" t="s">
        <v>99</v>
      </c>
      <c r="C34" s="101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34.366415838237913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54.628292958829128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43.420880966861567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6.3480009307688934E-2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17.31204218632346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17.31204218632346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17.31204218632346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17.31204218632346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17.31204218632346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17.31204218632346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2.4867E-2</v>
      </c>
      <c r="C16" s="98">
        <v>0.95</v>
      </c>
      <c r="D16" s="56">
        <v>0.2381343220498644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8.8158799999999996E-2</v>
      </c>
      <c r="C18" s="98">
        <v>0.95</v>
      </c>
      <c r="D18" s="56">
        <v>1.112664901153791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8.8158799999999996E-2</v>
      </c>
      <c r="C19" s="98">
        <v>0.95</v>
      </c>
      <c r="D19" s="56">
        <v>1.112664901153791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0.64162710769956899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0.1048504</v>
      </c>
      <c r="C23" s="98">
        <v>0.95</v>
      </c>
      <c r="D23" s="56">
        <v>5.6282823713961951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6.69694158544E-2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25.070390436942869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0.13218150000000001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0.11</v>
      </c>
      <c r="C29" s="98">
        <v>0.95</v>
      </c>
      <c r="D29" s="56">
        <v>59.64079630542151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0.20100000000000001</v>
      </c>
      <c r="C31" s="98">
        <v>0.95</v>
      </c>
      <c r="D31" s="56">
        <v>4.2824862757030893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0.28000000000000003</v>
      </c>
      <c r="C32" s="98">
        <v>0.95</v>
      </c>
      <c r="D32" s="56">
        <v>0.4330445396250559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0.25097639999999999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0.34730299999999997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4.4943200000000003E-2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0.49360460000000012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4.7393339240000776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205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0.10318435987139085</v>
      </c>
      <c r="G18" s="90">
        <f>MIN(MAX(1-0.89/(1-frac_sam_12_23months+(frac_sam_12_23months*0.89)),0),1)</f>
        <v>0.10367806210765773</v>
      </c>
      <c r="H18" s="90">
        <f>MIN(MAX(1-0.89/(1-frac_sam_24_59months+(frac_sam_24_59months*0.89)),0),1)</f>
        <v>0.10715703622002071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0.10013307980219843</v>
      </c>
      <c r="G20" s="90">
        <f>MIN(MAX(1-0.89/(1-frac_mam_12_23months+(frac_mam_12_23months*0.89)),0),1)</f>
        <v>0.10268114709285892</v>
      </c>
      <c r="H20" s="90">
        <f>MIN(MAX(1-0.89/(1-frac_mam_24_59months+(frac_mam_24_59months*0.89)),0),1)</f>
        <v>0.1017704913032218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9.3155430434799236E-3</v>
      </c>
      <c r="G73" s="90">
        <f>MIN(MAX(1-0.99/(1-frac_sam_12_23months+(frac_sam_12_23months*0.99)),0),1)</f>
        <v>9.3648047127817824E-3</v>
      </c>
      <c r="H73" s="90">
        <f>MIN(MAX(1-0.99/(1-frac_sam_24_59months+(frac_sam_24_59months*0.99)),0),1)</f>
        <v>9.7133417210280015E-3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9.0121773924978221E-3</v>
      </c>
      <c r="G75" s="90">
        <f>MIN(MAX(1-0.99/(1-frac_mam_12_23months+(frac_mam_12_23months*0.99)),0),1)</f>
        <v>9.265383161164098E-3</v>
      </c>
      <c r="H75" s="90">
        <f>MIN(MAX(1-0.99/(1-frac_mam_24_59months+(frac_mam_24_59months*0.99)),0),1)</f>
        <v>9.1747396590114993E-3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0.18879082519178447</v>
      </c>
      <c r="G128" s="90">
        <f>MIN(MAX(1-0.8/(1-frac_sam_12_23months+(frac_sam_12_23months*0.8)),0),1)</f>
        <v>0.18960752692528993</v>
      </c>
      <c r="H128" s="90">
        <f>MIN(MAX(1-0.8/(1-frac_sam_24_59months+(frac_sam_24_59months*0.8)),0),1)</f>
        <v>0.19534151013879741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0.18372667708149792</v>
      </c>
      <c r="G130" s="90">
        <f>MIN(MAX(1-0.8/(1-frac_mam_12_23months+(frac_mam_12_23months*0.8)),0),1)</f>
        <v>0.1879576226752927</v>
      </c>
      <c r="H130" s="90">
        <f>MIN(MAX(1-0.8/(1-frac_mam_24_59months+(frac_mam_24_59months*0.8)),0),1)</f>
        <v>0.1864478151628961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2024-06-18T06:57:11Z</dcterms:modified>
</cp:coreProperties>
</file>