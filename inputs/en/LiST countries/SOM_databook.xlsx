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B7A59FD-CF2D-4EBB-904F-97E5120E5BE2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<sst xmlns="http://schemas.openxmlformats.org/spreadsheetml/2006/main" count="2102" uniqueCount="341">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</sst>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3470339.28125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0.28079999999999999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0.63600000000000001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0.47660000000000002</v>
      </c>
    </row>
    <row r="25" spans="1:3" ht="15" customHeight="1" x14ac:dyDescent="0.25">
      <c r="B25" s="15" t="s">
        <v>23</v>
      </c>
      <c r="C25" s="45">
        <v>0.3337</v>
      </c>
    </row>
    <row r="26" spans="1:3" ht="15" customHeight="1" x14ac:dyDescent="0.25">
      <c r="B26" s="15" t="s">
        <v>24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35.95326</v>
      </c>
    </row>
    <row r="38" spans="1:5" ht="15" customHeight="1" x14ac:dyDescent="0.25">
      <c r="B38" s="11" t="s">
        <v>34</v>
      </c>
      <c r="C38" s="43">
        <v>71.129549999999995</v>
      </c>
      <c r="D38" s="12"/>
      <c r="E38" s="13"/>
    </row>
    <row r="39" spans="1:5" ht="15" customHeight="1" x14ac:dyDescent="0.25">
      <c r="B39" s="11" t="s">
        <v>35</v>
      </c>
      <c r="C39" s="43">
        <v>111.78455</v>
      </c>
      <c r="D39" s="12"/>
      <c r="E39" s="12"/>
    </row>
    <row r="40" spans="1:5" ht="15" customHeight="1" x14ac:dyDescent="0.25">
      <c r="B40" s="11" t="s">
        <v>36</v>
      </c>
      <c r="C40" s="100">
        <v>6.21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7.9459999999999999E-3</v>
      </c>
      <c r="D45" s="12"/>
    </row>
    <row r="46" spans="1:5" ht="15.75" customHeight="1" x14ac:dyDescent="0.25">
      <c r="B46" s="11" t="s">
        <v>41</v>
      </c>
      <c r="C46" s="45">
        <v>8.5378900000000008E-2</v>
      </c>
      <c r="D46" s="12"/>
    </row>
    <row r="47" spans="1:5" ht="15.75" customHeight="1" x14ac:dyDescent="0.25">
      <c r="B47" s="11" t="s">
        <v>42</v>
      </c>
      <c r="C47" s="45">
        <v>7.3444099999999998E-2</v>
      </c>
      <c r="D47" s="12"/>
      <c r="E47" s="13"/>
    </row>
    <row r="48" spans="1:5" ht="15" customHeight="1" x14ac:dyDescent="0.25">
      <c r="B48" s="11" t="s">
        <v>43</v>
      </c>
      <c r="C48" s="46">
        <v>0.83323099999999994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0.44861699999999999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788171</v>
      </c>
      <c r="C2" s="49">
        <v>1223081.5</v>
      </c>
      <c r="D2" s="49">
        <v>1533694.5</v>
      </c>
      <c r="E2" s="49">
        <v>968702</v>
      </c>
      <c r="F2" s="49">
        <v>581133.5</v>
      </c>
      <c r="G2" s="17">
        <f t="shared" ref="G2:G13" si="0">C2+D2+E2+F2</f>
        <v>4306611.5</v>
      </c>
      <c r="H2" s="17">
        <f t="shared" ref="H2:H13" si="1">(B2 + stillbirth*B2/(1000-stillbirth))/(1-abortion)</f>
        <v>921473.27187210461</v>
      </c>
      <c r="I2" s="17">
        <f t="shared" ref="I2:I13" si="2">G2-H2</f>
        <v>3385138.2281278954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802917</v>
      </c>
      <c r="C3" s="50">
        <v>1262536</v>
      </c>
      <c r="D3" s="50">
        <v>1584121.5</v>
      </c>
      <c r="E3" s="50">
        <v>1006439</v>
      </c>
      <c r="F3" s="50">
        <v>604449.5</v>
      </c>
      <c r="G3" s="17">
        <f t="shared" si="0"/>
        <v>4457546</v>
      </c>
      <c r="H3" s="17">
        <f t="shared" si="1"/>
        <v>938713.24247115757</v>
      </c>
      <c r="I3" s="17">
        <f t="shared" si="2"/>
        <v>3518832.7575288424</v>
      </c>
    </row>
    <row r="4" spans="1:9" ht="15.75" customHeight="1" x14ac:dyDescent="0.25">
      <c r="A4" s="5">
        <f t="shared" si="3"/>
        <v>2026</v>
      </c>
      <c r="B4" s="49">
        <v>817449</v>
      </c>
      <c r="C4" s="50">
        <v>1304922.5</v>
      </c>
      <c r="D4" s="50">
        <v>1636026.5</v>
      </c>
      <c r="E4" s="50">
        <v>1045455</v>
      </c>
      <c r="F4" s="50">
        <v>628383</v>
      </c>
      <c r="G4" s="17">
        <f t="shared" si="0"/>
        <v>4614787</v>
      </c>
      <c r="H4" s="17">
        <f t="shared" si="1"/>
        <v>955703.01954598702</v>
      </c>
      <c r="I4" s="17">
        <f t="shared" si="2"/>
        <v>3659083.9804540128</v>
      </c>
    </row>
    <row r="5" spans="1:9" ht="15.75" customHeight="1" x14ac:dyDescent="0.25">
      <c r="A5" s="5">
        <f t="shared" si="3"/>
        <v>2027</v>
      </c>
      <c r="B5" s="49">
        <v>832330</v>
      </c>
      <c r="C5" s="50">
        <v>1349322.5</v>
      </c>
      <c r="D5" s="50">
        <v>1689014.5</v>
      </c>
      <c r="E5" s="50">
        <v>1086815.5</v>
      </c>
      <c r="F5" s="50">
        <v>652642.5</v>
      </c>
      <c r="G5" s="17">
        <f t="shared" si="0"/>
        <v>4777795</v>
      </c>
      <c r="H5" s="17">
        <f t="shared" si="1"/>
        <v>973100.82250845176</v>
      </c>
      <c r="I5" s="17">
        <f t="shared" si="2"/>
        <v>3804694.1774915485</v>
      </c>
    </row>
    <row r="6" spans="1:9" ht="15.75" customHeight="1" x14ac:dyDescent="0.25">
      <c r="A6" s="5">
        <f t="shared" si="3"/>
        <v>2028</v>
      </c>
      <c r="B6" s="49">
        <v>844515</v>
      </c>
      <c r="C6" s="50">
        <v>1395404</v>
      </c>
      <c r="D6" s="50">
        <v>1743170.5</v>
      </c>
      <c r="E6" s="50">
        <v>1131228.5</v>
      </c>
      <c r="F6" s="50">
        <v>676623</v>
      </c>
      <c r="G6" s="17">
        <f t="shared" si="0"/>
        <v>4946426</v>
      </c>
      <c r="H6" s="17">
        <f t="shared" si="1"/>
        <v>987346.65471714956</v>
      </c>
      <c r="I6" s="17">
        <f t="shared" si="2"/>
        <v>3959079.3452828503</v>
      </c>
    </row>
    <row r="7" spans="1:9" ht="15.75" customHeight="1" x14ac:dyDescent="0.25">
      <c r="A7" s="5">
        <f t="shared" si="3"/>
        <v>2029</v>
      </c>
      <c r="B7" s="49">
        <v>860312</v>
      </c>
      <c r="C7" s="50">
        <v>1443579</v>
      </c>
      <c r="D7" s="50">
        <v>1798745.5</v>
      </c>
      <c r="E7" s="50">
        <v>1179953</v>
      </c>
      <c r="F7" s="50">
        <v>699774</v>
      </c>
      <c r="G7" s="17">
        <f t="shared" si="0"/>
        <v>5122051.5</v>
      </c>
      <c r="H7" s="17">
        <f t="shared" si="1"/>
        <v>1005815.3794935796</v>
      </c>
      <c r="I7" s="17">
        <f t="shared" si="2"/>
        <v>4116236.1205064203</v>
      </c>
    </row>
    <row r="8" spans="1:9" ht="15.75" customHeight="1" x14ac:dyDescent="0.25">
      <c r="A8" s="5">
        <f t="shared" si="3"/>
        <v>2030</v>
      </c>
      <c r="B8" s="49">
        <v>870711</v>
      </c>
      <c r="C8" s="50">
        <v>1493482</v>
      </c>
      <c r="D8" s="50">
        <v>1855985</v>
      </c>
      <c r="E8" s="50">
        <v>1235872.5</v>
      </c>
      <c r="F8" s="50">
        <v>720703.5</v>
      </c>
      <c r="G8" s="17">
        <f t="shared" si="0"/>
        <v>5306043</v>
      </c>
      <c r="H8" s="17">
        <f t="shared" si="1"/>
        <v>1017973.1479907688</v>
      </c>
      <c r="I8" s="17">
        <f t="shared" si="2"/>
        <v>4288069.8520092312</v>
      </c>
    </row>
    <row r="9" spans="1:9" ht="15.75" customHeight="1" x14ac:dyDescent="0.25">
      <c r="A9" s="5">
        <f t="shared" si="3"/>
        <v>2031</v>
      </c>
      <c r="B9" s="49">
        <v>886799</v>
      </c>
      <c r="C9" s="50">
        <v>1542389</v>
      </c>
      <c r="D9" s="50">
        <v>1916422</v>
      </c>
      <c r="E9" s="50">
        <v>1298255.5</v>
      </c>
      <c r="F9" s="50">
        <v>736413.5</v>
      </c>
      <c r="G9" s="17">
        <f t="shared" si="0"/>
        <v>5493480</v>
      </c>
      <c r="H9" s="17">
        <f t="shared" si="1"/>
        <v>1036782.0891949978</v>
      </c>
      <c r="I9" s="17">
        <f t="shared" si="2"/>
        <v>4456697.9108050019</v>
      </c>
    </row>
    <row r="10" spans="1:9" ht="15.75" customHeight="1" x14ac:dyDescent="0.25">
      <c r="A10" s="5">
        <f t="shared" si="3"/>
        <v>2032</v>
      </c>
      <c r="B10" s="49">
        <v>898403</v>
      </c>
      <c r="C10" s="50">
        <v>1589354</v>
      </c>
      <c r="D10" s="50">
        <v>1980235.5</v>
      </c>
      <c r="E10" s="50">
        <v>1358492.5</v>
      </c>
      <c r="F10" s="50">
        <v>747612.5</v>
      </c>
      <c r="G10" s="17">
        <f t="shared" si="0"/>
        <v>5675694.5</v>
      </c>
      <c r="H10" s="17">
        <f t="shared" si="1"/>
        <v>1050348.6576767154</v>
      </c>
      <c r="I10" s="17">
        <f t="shared" si="2"/>
        <v>4625345.8423232846</v>
      </c>
    </row>
    <row r="11" spans="1:9" ht="15.75" customHeight="1" x14ac:dyDescent="0.25">
      <c r="A11" s="5">
        <f t="shared" si="3"/>
        <v>2033</v>
      </c>
      <c r="B11" s="49">
        <v>911797</v>
      </c>
      <c r="C11" s="50">
        <v>1635852.5</v>
      </c>
      <c r="D11" s="50">
        <v>2046728.5</v>
      </c>
      <c r="E11" s="50">
        <v>1410116.5</v>
      </c>
      <c r="F11" s="50">
        <v>763291.5</v>
      </c>
      <c r="G11" s="17">
        <f t="shared" si="0"/>
        <v>5855989</v>
      </c>
      <c r="H11" s="17">
        <f t="shared" si="1"/>
        <v>1066007.9663844134</v>
      </c>
      <c r="I11" s="17">
        <f t="shared" si="2"/>
        <v>4789981.0336155863</v>
      </c>
    </row>
    <row r="12" spans="1:9" ht="15.75" customHeight="1" x14ac:dyDescent="0.25">
      <c r="A12" s="5">
        <f t="shared" si="3"/>
        <v>2034</v>
      </c>
      <c r="B12" s="49">
        <v>926299</v>
      </c>
      <c r="C12" s="50">
        <v>1681536</v>
      </c>
      <c r="D12" s="50">
        <v>2115944.5</v>
      </c>
      <c r="E12" s="50">
        <v>1458030.5</v>
      </c>
      <c r="F12" s="50">
        <v>789915</v>
      </c>
      <c r="G12" s="17">
        <f t="shared" si="0"/>
        <v>6045426</v>
      </c>
      <c r="H12" s="17">
        <f t="shared" si="1"/>
        <v>1082962.6696007068</v>
      </c>
      <c r="I12" s="17">
        <f t="shared" si="2"/>
        <v>4962463.3303992935</v>
      </c>
    </row>
    <row r="13" spans="1:9" ht="15.75" customHeight="1" x14ac:dyDescent="0.25">
      <c r="A13" s="5">
        <f t="shared" si="3"/>
        <v>2035</v>
      </c>
      <c r="B13" s="49">
        <v>936502</v>
      </c>
      <c r="C13" s="50">
        <v>1726130</v>
      </c>
      <c r="D13" s="50">
        <v>2187908</v>
      </c>
      <c r="E13" s="50">
        <v>1507323</v>
      </c>
      <c r="F13" s="50">
        <v>822475</v>
      </c>
      <c r="G13" s="17">
        <f t="shared" si="0"/>
        <v>6243836</v>
      </c>
      <c r="H13" s="17">
        <f t="shared" si="1"/>
        <v>1094891.2888887941</v>
      </c>
      <c r="I13" s="17">
        <f t="shared" si="2"/>
        <v>5148944.7111112056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1.5791600634152171E-2</v>
      </c>
    </row>
    <row r="4" spans="1:8" ht="15.75" customHeight="1" x14ac:dyDescent="0.25">
      <c r="B4" s="19" t="s">
        <v>69</v>
      </c>
      <c r="C4" s="101">
        <v>7.4360170060622177E-2</v>
      </c>
    </row>
    <row r="5" spans="1:8" ht="15.75" customHeight="1" x14ac:dyDescent="0.25">
      <c r="B5" s="19" t="s">
        <v>70</v>
      </c>
      <c r="C5" s="101">
        <v>0.1080931803242427</v>
      </c>
    </row>
    <row r="6" spans="1:8" ht="15.75" customHeight="1" x14ac:dyDescent="0.25">
      <c r="B6" s="19" t="s">
        <v>71</v>
      </c>
      <c r="C6" s="101">
        <v>0.2606542151687094</v>
      </c>
    </row>
    <row r="7" spans="1:8" ht="15.75" customHeight="1" x14ac:dyDescent="0.25">
      <c r="B7" s="19" t="s">
        <v>72</v>
      </c>
      <c r="C7" s="101">
        <v>0.37045158189520122</v>
      </c>
    </row>
    <row r="8" spans="1:8" ht="15.75" customHeight="1" x14ac:dyDescent="0.25">
      <c r="B8" s="19" t="s">
        <v>73</v>
      </c>
      <c r="C8" s="101">
        <v>1.2418729629592231E-2</v>
      </c>
    </row>
    <row r="9" spans="1:8" ht="15.75" customHeight="1" x14ac:dyDescent="0.25">
      <c r="B9" s="19" t="s">
        <v>74</v>
      </c>
      <c r="C9" s="101">
        <v>4.1450001515076752E-2</v>
      </c>
    </row>
    <row r="10" spans="1:8" ht="15.75" customHeight="1" x14ac:dyDescent="0.25">
      <c r="B10" s="19" t="s">
        <v>75</v>
      </c>
      <c r="C10" s="101">
        <v>0.1167805207724034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82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83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84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85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86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87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88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89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8.9486848999999993E-2</v>
      </c>
    </row>
    <row r="27" spans="1:8" ht="15.75" customHeight="1" x14ac:dyDescent="0.25">
      <c r="B27" s="19" t="s">
        <v>92</v>
      </c>
      <c r="C27" s="101">
        <v>8.7680180000000007E-3</v>
      </c>
    </row>
    <row r="28" spans="1:8" ht="15.75" customHeight="1" x14ac:dyDescent="0.25">
      <c r="B28" s="19" t="s">
        <v>93</v>
      </c>
      <c r="C28" s="101">
        <v>0.157124918</v>
      </c>
    </row>
    <row r="29" spans="1:8" ht="15.75" customHeight="1" x14ac:dyDescent="0.25">
      <c r="B29" s="19" t="s">
        <v>94</v>
      </c>
      <c r="C29" s="101">
        <v>0.169393875</v>
      </c>
    </row>
    <row r="30" spans="1:8" ht="15.75" customHeight="1" x14ac:dyDescent="0.25">
      <c r="B30" s="19" t="s">
        <v>95</v>
      </c>
      <c r="C30" s="101">
        <v>0.105381207</v>
      </c>
    </row>
    <row r="31" spans="1:8" ht="15.75" customHeight="1" x14ac:dyDescent="0.25">
      <c r="B31" s="19" t="s">
        <v>96</v>
      </c>
      <c r="C31" s="101">
        <v>0.109725931</v>
      </c>
    </row>
    <row r="32" spans="1:8" ht="15.75" customHeight="1" x14ac:dyDescent="0.25">
      <c r="B32" s="19" t="s">
        <v>97</v>
      </c>
      <c r="C32" s="101">
        <v>1.8930017E-2</v>
      </c>
    </row>
    <row r="33" spans="2:3" ht="15.75" customHeight="1" x14ac:dyDescent="0.25">
      <c r="B33" s="19" t="s">
        <v>98</v>
      </c>
      <c r="C33" s="101">
        <v>8.4558286999999996E-2</v>
      </c>
    </row>
    <row r="34" spans="2:3" ht="15.75" customHeight="1" x14ac:dyDescent="0.25">
      <c r="B34" s="19" t="s">
        <v>99</v>
      </c>
      <c r="C34" s="101">
        <v>0.25663089700000002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104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105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109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110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122</v>
      </c>
      <c r="C5" s="52">
        <v>6.6058699999999998E-2</v>
      </c>
      <c r="D5" s="52">
        <v>8.8361499999999996E-2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34.366415838237913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6.4618918253400007E-2</v>
      </c>
      <c r="C3" s="98">
        <v>0.95</v>
      </c>
      <c r="D3" s="56">
        <v>54.628292958829128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43.420880966861567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6.3480009307688934E-2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17.31204218632346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17.31204218632346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17.31204218632346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17.31204218632346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17.31204218632346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17.31204218632346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0.56999999999999995</v>
      </c>
      <c r="C16" s="98">
        <v>0.95</v>
      </c>
      <c r="D16" s="56">
        <v>0.2381343220498644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1.17940157896E-2</v>
      </c>
      <c r="C18" s="98">
        <v>0.95</v>
      </c>
      <c r="D18" s="56">
        <v>1.112664901153791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0.40575800000000001</v>
      </c>
      <c r="C19" s="98">
        <v>0.95</v>
      </c>
      <c r="D19" s="56">
        <v>1.112664901153791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0.49360460000000012</v>
      </c>
      <c r="C21" s="98">
        <v>0.95</v>
      </c>
      <c r="D21" s="56">
        <v>0.64162710769956899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29.476348850423271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5.6282823713961951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8.9371163075200002E-2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25.070390436942869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7.0084667285600005E-2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59.64079630542151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0.28000000000000003</v>
      </c>
      <c r="C31" s="98">
        <v>0.95</v>
      </c>
      <c r="D31" s="56">
        <v>4.2824862757030893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0.4330445396250559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0.28000000000000003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0.13218150000000001</v>
      </c>
      <c r="C38" s="98">
        <v>0.95</v>
      </c>
      <c r="D38" s="56">
        <v>4.7393339240000776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205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0.63600000000000001</v>
      </c>
      <c r="M24" s="60">
        <f>famplan_unmet_need</f>
        <v>0.63600000000000001</v>
      </c>
      <c r="N24" s="60">
        <f>famplan_unmet_need</f>
        <v>0.63600000000000001</v>
      </c>
      <c r="O24" s="60">
        <f>famplan_unmet_need</f>
        <v>0.63600000000000001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0.3942166543388641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0.168949994716656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0.11080014014448003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0.28079999999999999</v>
      </c>
      <c r="D34" s="60">
        <f t="shared" si="3"/>
        <v>0.28079999999999999</v>
      </c>
      <c r="E34" s="60">
        <f t="shared" si="3"/>
        <v>0.28079999999999999</v>
      </c>
      <c r="F34" s="60">
        <f t="shared" si="3"/>
        <v>0.28079999999999999</v>
      </c>
      <c r="G34" s="60">
        <f t="shared" si="3"/>
        <v>0.28079999999999999</v>
      </c>
      <c r="H34" s="60">
        <f t="shared" si="3"/>
        <v>0.28079999999999999</v>
      </c>
      <c r="I34" s="60">
        <f t="shared" si="3"/>
        <v>0.28079999999999999</v>
      </c>
      <c r="J34" s="60">
        <f t="shared" si="3"/>
        <v>0.28079999999999999</v>
      </c>
      <c r="K34" s="60">
        <f t="shared" si="3"/>
        <v>0.28079999999999999</v>
      </c>
      <c r="L34" s="60">
        <f t="shared" si="3"/>
        <v>0.28079999999999999</v>
      </c>
      <c r="M34" s="60">
        <f t="shared" si="3"/>
        <v>0.28079999999999999</v>
      </c>
      <c r="N34" s="60">
        <f t="shared" si="3"/>
        <v>0.28079999999999999</v>
      </c>
      <c r="O34" s="60">
        <f t="shared" si="3"/>
        <v>0.28079999999999999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2024-05-09T01:46:54Z</dcterms:modified>
</cp:coreProperties>
</file>