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C5C44B1-94CF-47C6-AB18-AE9FA27C0661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9" i="2" l="1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<sst xmlns="http://schemas.openxmlformats.org/spreadsheetml/2006/main" count="2169" uniqueCount="373">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</sst>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3433016.5</v>
      </c>
    </row>
    <row r="8" spans="1:3" ht="15" customHeight="1" x14ac:dyDescent="0.25">
      <c r="B8" s="5" t="s">
        <v>8</v>
      </c>
      <c r="C8" s="44">
        <v>0.54400000000000004</v>
      </c>
    </row>
    <row r="9" spans="1:3" ht="15" customHeight="1" x14ac:dyDescent="0.25">
      <c r="B9" s="5" t="s">
        <v>9</v>
      </c>
      <c r="C9" s="45">
        <v>0.28079999999999999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0.36599999999999999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0.47660000000000002</v>
      </c>
    </row>
    <row r="25" spans="1:3" ht="15" customHeight="1" x14ac:dyDescent="0.25">
      <c r="B25" s="15" t="s">
        <v>23</v>
      </c>
      <c r="C25" s="45">
        <v>0.3337</v>
      </c>
    </row>
    <row r="26" spans="1:3" ht="15" customHeight="1" x14ac:dyDescent="0.25">
      <c r="B26" s="15" t="s">
        <v>24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7">
        <v>7.529214782846369E-2</v>
      </c>
    </row>
    <row r="31" spans="1:3" ht="14.25" customHeight="1" x14ac:dyDescent="0.25">
      <c r="B31" s="25" t="s">
        <v>28</v>
      </c>
      <c r="C31" s="97">
        <v>0.10030682254742999</v>
      </c>
    </row>
    <row r="32" spans="1:3" ht="14.25" customHeight="1" x14ac:dyDescent="0.25">
      <c r="B32" s="25" t="s">
        <v>29</v>
      </c>
      <c r="C32" s="97">
        <v>0.63627567094802595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35.95326</v>
      </c>
    </row>
    <row r="38" spans="1:5" ht="15" customHeight="1" x14ac:dyDescent="0.25">
      <c r="B38" s="11" t="s">
        <v>34</v>
      </c>
      <c r="C38" s="43">
        <v>71.129549999999995</v>
      </c>
      <c r="D38" s="12"/>
      <c r="E38" s="13"/>
    </row>
    <row r="39" spans="1:5" ht="15" customHeight="1" x14ac:dyDescent="0.25">
      <c r="B39" s="11" t="s">
        <v>35</v>
      </c>
      <c r="C39" s="43">
        <v>111.78455</v>
      </c>
      <c r="D39" s="12"/>
      <c r="E39" s="12"/>
    </row>
    <row r="40" spans="1:5" ht="15" customHeight="1" x14ac:dyDescent="0.25">
      <c r="B40" s="11" t="s">
        <v>36</v>
      </c>
      <c r="C40" s="98">
        <v>6.21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7.9459999999999999E-3</v>
      </c>
      <c r="D45" s="12"/>
    </row>
    <row r="46" spans="1:5" ht="15.75" customHeight="1" x14ac:dyDescent="0.25">
      <c r="B46" s="11" t="s">
        <v>41</v>
      </c>
      <c r="C46" s="45">
        <v>8.5378900000000008E-2</v>
      </c>
      <c r="D46" s="12"/>
    </row>
    <row r="47" spans="1:5" ht="15.75" customHeight="1" x14ac:dyDescent="0.25">
      <c r="B47" s="11" t="s">
        <v>42</v>
      </c>
      <c r="C47" s="45">
        <v>7.3444099999999998E-2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0.44861699999999999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3583656.5</v>
      </c>
      <c r="C2" s="49">
        <v>936181</v>
      </c>
      <c r="D2" s="49">
        <v>1459393</v>
      </c>
      <c r="E2" s="49">
        <v>2097166</v>
      </c>
      <c r="F2" s="49">
        <v>1623541.0000000002</v>
      </c>
      <c r="G2" s="17">
        <f t="shared" ref="G2:G13" si="0">C2+D2+E2+F2</f>
        <v>6116281</v>
      </c>
      <c r="H2" s="17">
        <f t="shared" ref="H2:H13" si="1">(B2 + stillbirth*B2/(1000-stillbirth))/(1-abortion)</f>
        <v>4189755.3707516962</v>
      </c>
      <c r="I2" s="17">
        <f t="shared" ref="I2:I13" si="2">G2-H2</f>
        <v>1926525.6292483038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804966</v>
      </c>
      <c r="C3" s="50">
        <v>1011196.5</v>
      </c>
      <c r="D3" s="50">
        <v>1581348.5</v>
      </c>
      <c r="E3" s="50">
        <v>990593.50000000012</v>
      </c>
      <c r="F3" s="50">
        <v>679224</v>
      </c>
      <c r="G3" s="17">
        <f t="shared" si="0"/>
        <v>4262362.5</v>
      </c>
      <c r="H3" s="17">
        <f t="shared" si="1"/>
        <v>941108.78700916504</v>
      </c>
      <c r="I3" s="17">
        <f t="shared" si="2"/>
        <v>3321253.7129908348</v>
      </c>
    </row>
    <row r="4" spans="1:9" ht="15.75" customHeight="1" x14ac:dyDescent="0.25">
      <c r="A4" s="5">
        <f t="shared" si="3"/>
        <v>2026</v>
      </c>
      <c r="B4" s="49">
        <v>822215</v>
      </c>
      <c r="C4" s="50">
        <v>1025557</v>
      </c>
      <c r="D4" s="50">
        <v>1632346</v>
      </c>
      <c r="E4" s="50">
        <v>1040626.4999999999</v>
      </c>
      <c r="F4" s="50">
        <v>710255.5</v>
      </c>
      <c r="G4" s="17">
        <f t="shared" si="0"/>
        <v>4408785</v>
      </c>
      <c r="H4" s="17">
        <f t="shared" si="1"/>
        <v>961275.08653873659</v>
      </c>
      <c r="I4" s="17">
        <f t="shared" si="2"/>
        <v>3447509.9134612633</v>
      </c>
    </row>
    <row r="5" spans="1:9" ht="15.75" customHeight="1" x14ac:dyDescent="0.25">
      <c r="A5" s="5">
        <f t="shared" si="3"/>
        <v>2027</v>
      </c>
      <c r="B5" s="49">
        <v>836420</v>
      </c>
      <c r="C5" s="50">
        <v>1040482</v>
      </c>
      <c r="D5" s="50">
        <v>1680491</v>
      </c>
      <c r="E5" s="50">
        <v>1092418.9999999998</v>
      </c>
      <c r="F5" s="50">
        <v>741930.49999999988</v>
      </c>
      <c r="G5" s="17">
        <f t="shared" si="0"/>
        <v>4555322.5</v>
      </c>
      <c r="H5" s="17">
        <f t="shared" si="1"/>
        <v>977882.55855552386</v>
      </c>
      <c r="I5" s="17">
        <f t="shared" si="2"/>
        <v>3577439.9414444761</v>
      </c>
    </row>
    <row r="6" spans="1:9" ht="15.75" customHeight="1" x14ac:dyDescent="0.25">
      <c r="A6" s="5">
        <f t="shared" si="3"/>
        <v>2028</v>
      </c>
      <c r="B6" s="49">
        <v>847521</v>
      </c>
      <c r="C6" s="50">
        <v>1069014</v>
      </c>
      <c r="D6" s="50">
        <v>1725587.5</v>
      </c>
      <c r="E6" s="50">
        <v>1146550</v>
      </c>
      <c r="F6" s="50">
        <v>773888.5</v>
      </c>
      <c r="G6" s="17">
        <f t="shared" si="0"/>
        <v>4715040</v>
      </c>
      <c r="H6" s="17">
        <f t="shared" si="1"/>
        <v>990861.05534245505</v>
      </c>
      <c r="I6" s="17">
        <f t="shared" si="2"/>
        <v>3724178.9446575451</v>
      </c>
    </row>
    <row r="7" spans="1:9" ht="15.75" customHeight="1" x14ac:dyDescent="0.25">
      <c r="A7" s="5">
        <f t="shared" si="3"/>
        <v>2029</v>
      </c>
      <c r="B7" s="49">
        <v>859891</v>
      </c>
      <c r="C7" s="50">
        <v>1111748.5</v>
      </c>
      <c r="D7" s="50">
        <v>1765585.5000000002</v>
      </c>
      <c r="E7" s="50">
        <v>1202213</v>
      </c>
      <c r="F7" s="50">
        <v>804630</v>
      </c>
      <c r="G7" s="17">
        <f t="shared" si="0"/>
        <v>4884177</v>
      </c>
      <c r="H7" s="17">
        <f t="shared" si="1"/>
        <v>1005323.176345458</v>
      </c>
      <c r="I7" s="17">
        <f t="shared" si="2"/>
        <v>3878853.8236545417</v>
      </c>
    </row>
    <row r="8" spans="1:9" ht="15.75" customHeight="1" x14ac:dyDescent="0.25">
      <c r="A8" s="5">
        <f t="shared" si="3"/>
        <v>2030</v>
      </c>
      <c r="B8" s="49">
        <v>869665</v>
      </c>
      <c r="C8" s="50">
        <v>1162638</v>
      </c>
      <c r="D8" s="50">
        <v>1800677.0000000002</v>
      </c>
      <c r="E8" s="50">
        <v>1261992.0000000002</v>
      </c>
      <c r="F8" s="50">
        <v>832738</v>
      </c>
      <c r="G8" s="17">
        <f t="shared" si="0"/>
        <v>5058045</v>
      </c>
      <c r="H8" s="17">
        <f t="shared" si="1"/>
        <v>1016750.2394564808</v>
      </c>
      <c r="I8" s="17">
        <f t="shared" si="2"/>
        <v>4041294.7605435192</v>
      </c>
    </row>
    <row r="9" spans="1:9" ht="15.75" customHeight="1" x14ac:dyDescent="0.25">
      <c r="A9" s="5">
        <f t="shared" si="3"/>
        <v>2031</v>
      </c>
      <c r="B9" s="49">
        <v>878445</v>
      </c>
      <c r="C9" s="50">
        <v>1222458</v>
      </c>
      <c r="D9" s="50">
        <v>1832761.5</v>
      </c>
      <c r="E9" s="50">
        <v>1330532</v>
      </c>
      <c r="F9" s="50">
        <v>856433</v>
      </c>
      <c r="G9" s="17">
        <f t="shared" si="0"/>
        <v>5242184.5</v>
      </c>
      <c r="H9" s="17">
        <f t="shared" si="1"/>
        <v>1027015.1887213447</v>
      </c>
      <c r="I9" s="17">
        <f t="shared" si="2"/>
        <v>4215169.3112786552</v>
      </c>
    </row>
    <row r="10" spans="1:9" ht="15.75" customHeight="1" x14ac:dyDescent="0.25">
      <c r="A10" s="5">
        <f t="shared" si="3"/>
        <v>2032</v>
      </c>
      <c r="B10" s="49">
        <v>891665</v>
      </c>
      <c r="C10" s="50">
        <v>1284433</v>
      </c>
      <c r="D10" s="50">
        <v>1864882.5000000002</v>
      </c>
      <c r="E10" s="50">
        <v>1404990</v>
      </c>
      <c r="F10" s="50">
        <v>875757.00000000012</v>
      </c>
      <c r="G10" s="17">
        <f t="shared" si="0"/>
        <v>5430062.5</v>
      </c>
      <c r="H10" s="17">
        <f t="shared" si="1"/>
        <v>1042471.0690495339</v>
      </c>
      <c r="I10" s="17">
        <f t="shared" si="2"/>
        <v>4387591.4309504665</v>
      </c>
    </row>
    <row r="11" spans="1:9" ht="15.75" customHeight="1" x14ac:dyDescent="0.25">
      <c r="A11" s="5">
        <f t="shared" si="3"/>
        <v>2033</v>
      </c>
      <c r="B11" s="49">
        <v>901357</v>
      </c>
      <c r="C11" s="50">
        <v>1335157</v>
      </c>
      <c r="D11" s="50">
        <v>1908491.5</v>
      </c>
      <c r="E11" s="50">
        <v>1473857.5</v>
      </c>
      <c r="F11" s="50">
        <v>899836.5</v>
      </c>
      <c r="G11" s="17">
        <f t="shared" si="0"/>
        <v>5617342.5</v>
      </c>
      <c r="H11" s="17">
        <f t="shared" si="1"/>
        <v>1053802.2636138918</v>
      </c>
      <c r="I11" s="17">
        <f t="shared" si="2"/>
        <v>4563540.2363861082</v>
      </c>
    </row>
    <row r="12" spans="1:9" ht="15.75" customHeight="1" x14ac:dyDescent="0.25">
      <c r="A12" s="5">
        <f t="shared" si="3"/>
        <v>2034</v>
      </c>
      <c r="B12" s="49">
        <v>915030</v>
      </c>
      <c r="C12" s="50">
        <v>1376236.5</v>
      </c>
      <c r="D12" s="50">
        <v>1964613.5</v>
      </c>
      <c r="E12" s="50">
        <v>1528773.5</v>
      </c>
      <c r="F12" s="50">
        <v>936411.5</v>
      </c>
      <c r="G12" s="17">
        <f t="shared" si="0"/>
        <v>5806035</v>
      </c>
      <c r="H12" s="17">
        <f t="shared" si="1"/>
        <v>1069787.7592059742</v>
      </c>
      <c r="I12" s="17">
        <f t="shared" si="2"/>
        <v>4736247.2407940254</v>
      </c>
    </row>
    <row r="13" spans="1:9" ht="15.75" customHeight="1" x14ac:dyDescent="0.25">
      <c r="A13" s="5">
        <f t="shared" si="3"/>
        <v>2035</v>
      </c>
      <c r="B13" s="49">
        <v>924402</v>
      </c>
      <c r="C13" s="50">
        <v>1417634.5</v>
      </c>
      <c r="D13" s="50">
        <v>2026830.5</v>
      </c>
      <c r="E13" s="50">
        <v>1576043.9999999998</v>
      </c>
      <c r="F13" s="50">
        <v>980769.5</v>
      </c>
      <c r="G13" s="17">
        <f t="shared" si="0"/>
        <v>6001278.5</v>
      </c>
      <c r="H13" s="17">
        <f t="shared" si="1"/>
        <v>1080744.8326126151</v>
      </c>
      <c r="I13" s="17">
        <f t="shared" si="2"/>
        <v>4920533.6673873849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1.5791600634152171E-2</v>
      </c>
    </row>
    <row r="4" spans="1:8" ht="15.75" customHeight="1" x14ac:dyDescent="0.25">
      <c r="B4" s="19" t="s">
        <v>69</v>
      </c>
      <c r="C4" s="99">
        <v>7.4360170060622177E-2</v>
      </c>
    </row>
    <row r="5" spans="1:8" ht="15.75" customHeight="1" x14ac:dyDescent="0.25">
      <c r="B5" s="19" t="s">
        <v>70</v>
      </c>
      <c r="C5" s="99">
        <v>0.1080931803242427</v>
      </c>
    </row>
    <row r="6" spans="1:8" ht="15.75" customHeight="1" x14ac:dyDescent="0.25">
      <c r="B6" s="19" t="s">
        <v>71</v>
      </c>
      <c r="C6" s="99">
        <v>0.2606542151687094</v>
      </c>
    </row>
    <row r="7" spans="1:8" ht="15.75" customHeight="1" x14ac:dyDescent="0.25">
      <c r="B7" s="19" t="s">
        <v>72</v>
      </c>
      <c r="C7" s="99">
        <v>0.37045158189520122</v>
      </c>
    </row>
    <row r="8" spans="1:8" ht="15.75" customHeight="1" x14ac:dyDescent="0.25">
      <c r="B8" s="19" t="s">
        <v>73</v>
      </c>
      <c r="C8" s="99">
        <v>1.2418729629592231E-2</v>
      </c>
    </row>
    <row r="9" spans="1:8" ht="15.75" customHeight="1" x14ac:dyDescent="0.25">
      <c r="B9" s="19" t="s">
        <v>74</v>
      </c>
      <c r="C9" s="99">
        <v>4.1450001515076752E-2</v>
      </c>
    </row>
    <row r="10" spans="1:8" ht="15.75" customHeight="1" x14ac:dyDescent="0.25">
      <c r="B10" s="19" t="s">
        <v>75</v>
      </c>
      <c r="C10" s="99">
        <v>0.1167805207724034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82</v>
      </c>
      <c r="C15" s="99">
        <v>0.30084294976052228</v>
      </c>
      <c r="D15" s="99">
        <v>0.30084294976052228</v>
      </c>
      <c r="E15" s="99">
        <v>0.30084294976052228</v>
      </c>
      <c r="F15" s="99">
        <v>0.30084294976052228</v>
      </c>
    </row>
    <row r="16" spans="1:8" ht="15.75" customHeight="1" x14ac:dyDescent="0.25">
      <c r="B16" s="19" t="s">
        <v>83</v>
      </c>
      <c r="C16" s="99">
        <v>3.4190173389727387E-2</v>
      </c>
      <c r="D16" s="99">
        <v>3.4190173389727387E-2</v>
      </c>
      <c r="E16" s="99">
        <v>3.4190173389727387E-2</v>
      </c>
      <c r="F16" s="99">
        <v>3.4190173389727387E-2</v>
      </c>
    </row>
    <row r="17" spans="1:8" ht="15.75" customHeight="1" x14ac:dyDescent="0.25">
      <c r="B17" s="19" t="s">
        <v>84</v>
      </c>
      <c r="C17" s="99">
        <v>0.2374778766969679</v>
      </c>
      <c r="D17" s="99">
        <v>0.2374778766969679</v>
      </c>
      <c r="E17" s="99">
        <v>0.2374778766969679</v>
      </c>
      <c r="F17" s="99">
        <v>0.2374778766969679</v>
      </c>
    </row>
    <row r="18" spans="1:8" ht="15.75" customHeight="1" x14ac:dyDescent="0.25">
      <c r="B18" s="19" t="s">
        <v>85</v>
      </c>
      <c r="C18" s="99">
        <v>1.3984937283047651E-2</v>
      </c>
      <c r="D18" s="99">
        <v>1.3984937283047651E-2</v>
      </c>
      <c r="E18" s="99">
        <v>1.3984937283047651E-2</v>
      </c>
      <c r="F18" s="99">
        <v>1.3984937283047651E-2</v>
      </c>
    </row>
    <row r="19" spans="1:8" ht="15.75" customHeight="1" x14ac:dyDescent="0.25">
      <c r="B19" s="19" t="s">
        <v>86</v>
      </c>
      <c r="C19" s="99">
        <v>1.7556101314376321E-2</v>
      </c>
      <c r="D19" s="99">
        <v>1.7556101314376321E-2</v>
      </c>
      <c r="E19" s="99">
        <v>1.7556101314376321E-2</v>
      </c>
      <c r="F19" s="99">
        <v>1.7556101314376321E-2</v>
      </c>
    </row>
    <row r="20" spans="1:8" ht="15.75" customHeight="1" x14ac:dyDescent="0.25">
      <c r="B20" s="19" t="s">
        <v>87</v>
      </c>
      <c r="C20" s="99">
        <v>8.1484501164904828E-4</v>
      </c>
      <c r="D20" s="99">
        <v>8.1484501164904828E-4</v>
      </c>
      <c r="E20" s="99">
        <v>8.1484501164904828E-4</v>
      </c>
      <c r="F20" s="99">
        <v>8.1484501164904828E-4</v>
      </c>
    </row>
    <row r="21" spans="1:8" ht="15.75" customHeight="1" x14ac:dyDescent="0.25">
      <c r="B21" s="19" t="s">
        <v>88</v>
      </c>
      <c r="C21" s="99">
        <v>3.9162183154674388E-2</v>
      </c>
      <c r="D21" s="99">
        <v>3.9162183154674388E-2</v>
      </c>
      <c r="E21" s="99">
        <v>3.9162183154674388E-2</v>
      </c>
      <c r="F21" s="99">
        <v>3.9162183154674388E-2</v>
      </c>
    </row>
    <row r="22" spans="1:8" ht="15.75" customHeight="1" x14ac:dyDescent="0.25">
      <c r="B22" s="19" t="s">
        <v>89</v>
      </c>
      <c r="C22" s="99">
        <v>0.15496909873230089</v>
      </c>
      <c r="D22" s="99">
        <v>0.15496909873230089</v>
      </c>
      <c r="E22" s="99">
        <v>0.15496909873230089</v>
      </c>
      <c r="F22" s="99">
        <v>0.15496909873230089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8.9486848999999993E-2</v>
      </c>
    </row>
    <row r="27" spans="1:8" ht="15.75" customHeight="1" x14ac:dyDescent="0.25">
      <c r="B27" s="19" t="s">
        <v>92</v>
      </c>
      <c r="C27" s="99">
        <v>8.7680180000000007E-3</v>
      </c>
    </row>
    <row r="28" spans="1:8" ht="15.75" customHeight="1" x14ac:dyDescent="0.25">
      <c r="B28" s="19" t="s">
        <v>93</v>
      </c>
      <c r="C28" s="99">
        <v>0.157124918</v>
      </c>
    </row>
    <row r="29" spans="1:8" ht="15.75" customHeight="1" x14ac:dyDescent="0.25">
      <c r="B29" s="19" t="s">
        <v>94</v>
      </c>
      <c r="C29" s="99">
        <v>0.169393875</v>
      </c>
    </row>
    <row r="30" spans="1:8" ht="15.75" customHeight="1" x14ac:dyDescent="0.25">
      <c r="B30" s="19" t="s">
        <v>95</v>
      </c>
      <c r="C30" s="99">
        <v>0.105381207</v>
      </c>
    </row>
    <row r="31" spans="1:8" ht="15.75" customHeight="1" x14ac:dyDescent="0.25">
      <c r="B31" s="19" t="s">
        <v>96</v>
      </c>
      <c r="C31" s="99">
        <v>0.109725931</v>
      </c>
    </row>
    <row r="32" spans="1:8" ht="15.75" customHeight="1" x14ac:dyDescent="0.25">
      <c r="B32" s="19" t="s">
        <v>97</v>
      </c>
      <c r="C32" s="99">
        <v>1.8930017E-2</v>
      </c>
    </row>
    <row r="33" spans="2:3" ht="15.75" customHeight="1" x14ac:dyDescent="0.25">
      <c r="B33" s="19" t="s">
        <v>98</v>
      </c>
      <c r="C33" s="99">
        <v>8.4558286999999996E-2</v>
      </c>
    </row>
    <row r="34" spans="2:3" ht="15.75" customHeight="1" x14ac:dyDescent="0.25">
      <c r="B34" s="19" t="s">
        <v>99</v>
      </c>
      <c r="C34" s="99">
        <v>0.25663089700000002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104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105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109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110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6.6058600000000078E-2</v>
      </c>
      <c r="D5" s="52">
        <f t="shared" si="0"/>
        <v>8.8361499999999982E-2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592.10312197208805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0.35067999999999999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0.21869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1.3483645999999998E-2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88402.998059999998</v>
      </c>
      <c r="C22" s="107">
        <v>86920.184510000006</v>
      </c>
      <c r="D22" s="107">
        <v>86166.051959999997</v>
      </c>
      <c r="E22" s="107">
        <v>85322.76139</v>
      </c>
      <c r="F22" s="107">
        <v>84167.634640000004</v>
      </c>
      <c r="G22" s="107">
        <v>82838.194789999994</v>
      </c>
      <c r="H22" s="107">
        <v>81179.507859999998</v>
      </c>
      <c r="I22" s="107">
        <v>78923.048420000006</v>
      </c>
      <c r="J22" s="107">
        <v>75669.797300000006</v>
      </c>
      <c r="K22" s="107">
        <v>71266.997789999994</v>
      </c>
      <c r="L22" s="107">
        <v>65318.830650000004</v>
      </c>
      <c r="M22" s="107">
        <v>57621.672189999997</v>
      </c>
      <c r="N22" s="107">
        <v>48176.661030000003</v>
      </c>
      <c r="O22" s="107">
        <v>37673.735679999998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17.31204218632346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17.31204218632346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17.31204218632346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17.31204218632346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17.31204218632346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2.4867E-2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8.8158799999999996E-2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8.8158799999999996E-2</v>
      </c>
      <c r="C19" s="96">
        <v>0.95</v>
      </c>
      <c r="D19" s="56">
        <v>1.112664901153791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0.1048504</v>
      </c>
      <c r="C23" s="96">
        <v>0.95</v>
      </c>
      <c r="D23" s="56">
        <v>5.6282823713961951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6.69694158544E-2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0.13218150000000001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0.20100000000000001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0.28000000000000003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0.25097639999999999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0.34730299999999997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4.4943200000000003E-2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0.49360460000000012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198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0.36599999999999999</v>
      </c>
      <c r="M24" s="60">
        <f>famplan_unmet_need</f>
        <v>0.36599999999999999</v>
      </c>
      <c r="N24" s="60">
        <f>famplan_unmet_need</f>
        <v>0.36599999999999999</v>
      </c>
      <c r="O24" s="60">
        <f>famplan_unmet_need</f>
        <v>0.36599999999999999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0.28079999999999999</v>
      </c>
      <c r="D34" s="60">
        <f t="shared" si="4"/>
        <v>0.28079999999999999</v>
      </c>
      <c r="E34" s="60">
        <f t="shared" si="4"/>
        <v>0.28079999999999999</v>
      </c>
      <c r="F34" s="60">
        <f t="shared" si="4"/>
        <v>0.28079999999999999</v>
      </c>
      <c r="G34" s="60">
        <f t="shared" si="4"/>
        <v>0.28079999999999999</v>
      </c>
      <c r="H34" s="60">
        <f t="shared" si="4"/>
        <v>0.28079999999999999</v>
      </c>
      <c r="I34" s="60">
        <f t="shared" si="4"/>
        <v>0.28079999999999999</v>
      </c>
      <c r="J34" s="60">
        <f t="shared" si="4"/>
        <v>0.28079999999999999</v>
      </c>
      <c r="K34" s="60">
        <f t="shared" si="4"/>
        <v>0.28079999999999999</v>
      </c>
      <c r="L34" s="60">
        <f t="shared" si="4"/>
        <v>0.28079999999999999</v>
      </c>
      <c r="M34" s="60">
        <f t="shared" si="4"/>
        <v>0.28079999999999999</v>
      </c>
      <c r="N34" s="60">
        <f t="shared" si="4"/>
        <v>0.28079999999999999</v>
      </c>
      <c r="O34" s="60">
        <f t="shared" si="4"/>
        <v>0.28079999999999999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