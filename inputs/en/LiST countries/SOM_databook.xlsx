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B5D2E94-B70F-4653-8152-F7F1DAF02053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1" i="2" s="1"/>
  <c r="C33" i="1"/>
  <c r="C20" i="1"/>
  <c r="A20" i="2" l="1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38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<sst xmlns="http://schemas.openxmlformats.org/spreadsheetml/2006/main" count="2092" uniqueCount="341">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</sst>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3470339.28125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0.28079999999999999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0.63600000000000001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0.47660000000000002</v>
      </c>
    </row>
    <row r="25" spans="1:3" ht="15" customHeight="1" x14ac:dyDescent="0.25">
      <c r="B25" s="15" t="s">
        <v>23</v>
      </c>
      <c r="C25" s="45">
        <v>0.3337</v>
      </c>
    </row>
    <row r="26" spans="1:3" ht="15" customHeight="1" x14ac:dyDescent="0.25">
      <c r="B26" s="15" t="s">
        <v>24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35.95326</v>
      </c>
    </row>
    <row r="38" spans="1:5" ht="15" customHeight="1" x14ac:dyDescent="0.25">
      <c r="B38" s="11" t="s">
        <v>34</v>
      </c>
      <c r="C38" s="43">
        <v>71.129549999999995</v>
      </c>
      <c r="D38" s="12"/>
      <c r="E38" s="13"/>
    </row>
    <row r="39" spans="1:5" ht="15" customHeight="1" x14ac:dyDescent="0.25">
      <c r="B39" s="11" t="s">
        <v>35</v>
      </c>
      <c r="C39" s="43">
        <v>111.78455</v>
      </c>
      <c r="D39" s="12"/>
      <c r="E39" s="12"/>
    </row>
    <row r="40" spans="1:5" ht="15" customHeight="1" x14ac:dyDescent="0.25">
      <c r="B40" s="11" t="s">
        <v>36</v>
      </c>
      <c r="C40" s="100">
        <v>6.21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7.9459999999999999E-3</v>
      </c>
      <c r="D45" s="12"/>
    </row>
    <row r="46" spans="1:5" ht="15.75" customHeight="1" x14ac:dyDescent="0.25">
      <c r="B46" s="11" t="s">
        <v>41</v>
      </c>
      <c r="C46" s="45">
        <v>8.5378900000000008E-2</v>
      </c>
      <c r="D46" s="12"/>
    </row>
    <row r="47" spans="1:5" ht="15.75" customHeight="1" x14ac:dyDescent="0.25">
      <c r="B47" s="11" t="s">
        <v>42</v>
      </c>
      <c r="C47" s="45">
        <v>7.3444099999999998E-2</v>
      </c>
      <c r="D47" s="12"/>
      <c r="E47" s="13"/>
    </row>
    <row r="48" spans="1:5" ht="15" customHeight="1" x14ac:dyDescent="0.25">
      <c r="B48" s="11" t="s">
        <v>43</v>
      </c>
      <c r="C48" s="46">
        <v>0.83323099999999994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0.44861699999999999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731957.88159999973</v>
      </c>
      <c r="C2" s="49">
        <v>982000</v>
      </c>
      <c r="D2" s="49">
        <v>1530000</v>
      </c>
      <c r="E2" s="49">
        <v>4930000</v>
      </c>
      <c r="F2" s="49">
        <v>3846000</v>
      </c>
      <c r="G2" s="17">
        <f t="shared" ref="G2:G13" si="0">C2+D2+E2+F2</f>
        <v>11288000</v>
      </c>
      <c r="H2" s="17">
        <f t="shared" ref="H2:H13" si="1">(B2 + stillbirth*B2/(1000-stillbirth))/(1-abortion)</f>
        <v>855752.90645117161</v>
      </c>
      <c r="I2" s="17">
        <f t="shared" ref="I2:I13" si="2">G2-H2</f>
        <v>10432247.093548829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746024.022</v>
      </c>
      <c r="C3" s="50">
        <v>1011000</v>
      </c>
      <c r="D3" s="50">
        <v>1578000</v>
      </c>
      <c r="E3" s="50">
        <v>4953000</v>
      </c>
      <c r="F3" s="50">
        <v>3950000</v>
      </c>
      <c r="G3" s="17">
        <f t="shared" si="0"/>
        <v>11492000</v>
      </c>
      <c r="H3" s="17">
        <f t="shared" si="1"/>
        <v>872198.03373573371</v>
      </c>
      <c r="I3" s="17">
        <f t="shared" si="2"/>
        <v>10619801.966264267</v>
      </c>
    </row>
    <row r="4" spans="1:9" ht="15.75" customHeight="1" x14ac:dyDescent="0.25">
      <c r="A4" s="5">
        <f t="shared" si="3"/>
        <v>2026</v>
      </c>
      <c r="B4" s="49">
        <v>759535.45919999992</v>
      </c>
      <c r="C4" s="50">
        <v>1039000</v>
      </c>
      <c r="D4" s="50">
        <v>1625000</v>
      </c>
      <c r="E4" s="50">
        <v>4965000</v>
      </c>
      <c r="F4" s="50">
        <v>4054000</v>
      </c>
      <c r="G4" s="17">
        <f t="shared" si="0"/>
        <v>11683000</v>
      </c>
      <c r="H4" s="17">
        <f t="shared" si="1"/>
        <v>887994.64163475367</v>
      </c>
      <c r="I4" s="17">
        <f t="shared" si="2"/>
        <v>10795005.358365247</v>
      </c>
    </row>
    <row r="5" spans="1:9" ht="15.75" customHeight="1" x14ac:dyDescent="0.25">
      <c r="A5" s="5">
        <f t="shared" si="3"/>
        <v>2027</v>
      </c>
      <c r="B5" s="49">
        <v>773031.04119999986</v>
      </c>
      <c r="C5" s="50">
        <v>1066000</v>
      </c>
      <c r="D5" s="50">
        <v>1672000</v>
      </c>
      <c r="E5" s="50">
        <v>4969000</v>
      </c>
      <c r="F5" s="50">
        <v>4162000</v>
      </c>
      <c r="G5" s="17">
        <f t="shared" si="0"/>
        <v>11869000</v>
      </c>
      <c r="H5" s="17">
        <f t="shared" si="1"/>
        <v>903772.71276571159</v>
      </c>
      <c r="I5" s="17">
        <f t="shared" si="2"/>
        <v>10965227.287234288</v>
      </c>
    </row>
    <row r="6" spans="1:9" ht="15.75" customHeight="1" x14ac:dyDescent="0.25">
      <c r="A6" s="5">
        <f t="shared" si="3"/>
        <v>2028</v>
      </c>
      <c r="B6" s="49">
        <v>786494.89919999975</v>
      </c>
      <c r="C6" s="50">
        <v>1094000</v>
      </c>
      <c r="D6" s="50">
        <v>1721000</v>
      </c>
      <c r="E6" s="50">
        <v>4967000</v>
      </c>
      <c r="F6" s="50">
        <v>4269000</v>
      </c>
      <c r="G6" s="17">
        <f t="shared" si="0"/>
        <v>12051000</v>
      </c>
      <c r="H6" s="17">
        <f t="shared" si="1"/>
        <v>919513.69446039619</v>
      </c>
      <c r="I6" s="17">
        <f t="shared" si="2"/>
        <v>11131486.305539604</v>
      </c>
    </row>
    <row r="7" spans="1:9" ht="15.75" customHeight="1" x14ac:dyDescent="0.25">
      <c r="A7" s="5">
        <f t="shared" si="3"/>
        <v>2029</v>
      </c>
      <c r="B7" s="49">
        <v>799872.96059999964</v>
      </c>
      <c r="C7" s="50">
        <v>1124000</v>
      </c>
      <c r="D7" s="50">
        <v>1771000</v>
      </c>
      <c r="E7" s="50">
        <v>4963000</v>
      </c>
      <c r="F7" s="50">
        <v>4367000</v>
      </c>
      <c r="G7" s="17">
        <f t="shared" si="0"/>
        <v>12225000</v>
      </c>
      <c r="H7" s="17">
        <f t="shared" si="1"/>
        <v>935154.36889470532</v>
      </c>
      <c r="I7" s="17">
        <f t="shared" si="2"/>
        <v>11289845.631105294</v>
      </c>
    </row>
    <row r="8" spans="1:9" ht="15.75" customHeight="1" x14ac:dyDescent="0.25">
      <c r="A8" s="5">
        <f t="shared" si="3"/>
        <v>2030</v>
      </c>
      <c r="B8" s="49">
        <v>813226.20499999996</v>
      </c>
      <c r="C8" s="50">
        <v>1157000</v>
      </c>
      <c r="D8" s="50">
        <v>1823000</v>
      </c>
      <c r="E8" s="50">
        <v>4960000</v>
      </c>
      <c r="F8" s="50">
        <v>4453000</v>
      </c>
      <c r="G8" s="17">
        <f t="shared" si="0"/>
        <v>12393000</v>
      </c>
      <c r="H8" s="17">
        <f t="shared" si="1"/>
        <v>950766.02906410524</v>
      </c>
      <c r="I8" s="17">
        <f t="shared" si="2"/>
        <v>11442233.970935894</v>
      </c>
    </row>
    <row r="9" spans="1:9" ht="15.75" customHeight="1" x14ac:dyDescent="0.25">
      <c r="A9" s="5">
        <f t="shared" si="3"/>
        <v>2031</v>
      </c>
      <c r="B9" s="49">
        <v>824835.96548571426</v>
      </c>
      <c r="C9" s="50">
        <v>1182000</v>
      </c>
      <c r="D9" s="50">
        <v>1864857.142857143</v>
      </c>
      <c r="E9" s="50">
        <v>4964285.7142857146</v>
      </c>
      <c r="F9" s="50">
        <v>4539714.2857142854</v>
      </c>
      <c r="G9" s="17">
        <f t="shared" si="0"/>
        <v>12550857.142857142</v>
      </c>
      <c r="H9" s="17">
        <f t="shared" si="1"/>
        <v>964339.3322945243</v>
      </c>
      <c r="I9" s="17">
        <f t="shared" si="2"/>
        <v>11586517.810562618</v>
      </c>
    </row>
    <row r="10" spans="1:9" ht="15.75" customHeight="1" x14ac:dyDescent="0.25">
      <c r="A10" s="5">
        <f t="shared" si="3"/>
        <v>2032</v>
      </c>
      <c r="B10" s="49">
        <v>836094.81455510203</v>
      </c>
      <c r="C10" s="50">
        <v>1206428.5714285709</v>
      </c>
      <c r="D10" s="50">
        <v>1905836.7346938781</v>
      </c>
      <c r="E10" s="50">
        <v>4965897.9591836734</v>
      </c>
      <c r="F10" s="50">
        <v>4623959.1836734693</v>
      </c>
      <c r="G10" s="17">
        <f t="shared" si="0"/>
        <v>12702122.448979592</v>
      </c>
      <c r="H10" s="17">
        <f t="shared" si="1"/>
        <v>977502.37494578015</v>
      </c>
      <c r="I10" s="17">
        <f t="shared" si="2"/>
        <v>11724620.074033812</v>
      </c>
    </row>
    <row r="11" spans="1:9" ht="15.75" customHeight="1" x14ac:dyDescent="0.25">
      <c r="A11" s="5">
        <f t="shared" si="3"/>
        <v>2033</v>
      </c>
      <c r="B11" s="49">
        <v>847031.86532011663</v>
      </c>
      <c r="C11" s="50">
        <v>1230346.9387755101</v>
      </c>
      <c r="D11" s="50">
        <v>1945956.2682215739</v>
      </c>
      <c r="E11" s="50">
        <v>4966026.2390670553</v>
      </c>
      <c r="F11" s="50">
        <v>4705381.9241982503</v>
      </c>
      <c r="G11" s="17">
        <f t="shared" si="0"/>
        <v>12847711.370262388</v>
      </c>
      <c r="H11" s="17">
        <f t="shared" si="1"/>
        <v>990289.19399021252</v>
      </c>
      <c r="I11" s="17">
        <f t="shared" si="2"/>
        <v>11857422.176272176</v>
      </c>
    </row>
    <row r="12" spans="1:9" ht="15.75" customHeight="1" x14ac:dyDescent="0.25">
      <c r="A12" s="5">
        <f t="shared" si="3"/>
        <v>2034</v>
      </c>
      <c r="B12" s="49">
        <v>857603.4116229905</v>
      </c>
      <c r="C12" s="50">
        <v>1253825.072886297</v>
      </c>
      <c r="D12" s="50">
        <v>1985092.8779675141</v>
      </c>
      <c r="E12" s="50">
        <v>4965601.416076635</v>
      </c>
      <c r="F12" s="50">
        <v>4783007.9133694293</v>
      </c>
      <c r="G12" s="17">
        <f t="shared" si="0"/>
        <v>12987527.280299876</v>
      </c>
      <c r="H12" s="17">
        <f t="shared" si="1"/>
        <v>1002648.6913079985</v>
      </c>
      <c r="I12" s="17">
        <f t="shared" si="2"/>
        <v>11984878.588991877</v>
      </c>
    </row>
    <row r="13" spans="1:9" ht="15.75" customHeight="1" x14ac:dyDescent="0.25">
      <c r="A13" s="5">
        <f t="shared" si="3"/>
        <v>2035</v>
      </c>
      <c r="B13" s="49">
        <v>867761.7705405606</v>
      </c>
      <c r="C13" s="50">
        <v>1276657.2261557679</v>
      </c>
      <c r="D13" s="50">
        <v>2022820.4319628731</v>
      </c>
      <c r="E13" s="50">
        <v>4965401.6183732972</v>
      </c>
      <c r="F13" s="50">
        <v>4856437.6152793476</v>
      </c>
      <c r="G13" s="17">
        <f t="shared" si="0"/>
        <v>13121316.891771287</v>
      </c>
      <c r="H13" s="17">
        <f t="shared" si="1"/>
        <v>1014525.1194290845</v>
      </c>
      <c r="I13" s="17">
        <f t="shared" si="2"/>
        <v>12106791.772342201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1.5791600634152171E-2</v>
      </c>
    </row>
    <row r="4" spans="1:8" ht="15.75" customHeight="1" x14ac:dyDescent="0.25">
      <c r="B4" s="19" t="s">
        <v>69</v>
      </c>
      <c r="C4" s="101">
        <v>7.4360170060622177E-2</v>
      </c>
    </row>
    <row r="5" spans="1:8" ht="15.75" customHeight="1" x14ac:dyDescent="0.25">
      <c r="B5" s="19" t="s">
        <v>70</v>
      </c>
      <c r="C5" s="101">
        <v>0.1080931803242427</v>
      </c>
    </row>
    <row r="6" spans="1:8" ht="15.75" customHeight="1" x14ac:dyDescent="0.25">
      <c r="B6" s="19" t="s">
        <v>71</v>
      </c>
      <c r="C6" s="101">
        <v>0.2606542151687094</v>
      </c>
    </row>
    <row r="7" spans="1:8" ht="15.75" customHeight="1" x14ac:dyDescent="0.25">
      <c r="B7" s="19" t="s">
        <v>72</v>
      </c>
      <c r="C7" s="101">
        <v>0.37045158189520122</v>
      </c>
    </row>
    <row r="8" spans="1:8" ht="15.75" customHeight="1" x14ac:dyDescent="0.25">
      <c r="B8" s="19" t="s">
        <v>73</v>
      </c>
      <c r="C8" s="101">
        <v>1.2418729629592231E-2</v>
      </c>
    </row>
    <row r="9" spans="1:8" ht="15.75" customHeight="1" x14ac:dyDescent="0.25">
      <c r="B9" s="19" t="s">
        <v>74</v>
      </c>
      <c r="C9" s="101">
        <v>4.1450001515076752E-2</v>
      </c>
    </row>
    <row r="10" spans="1:8" ht="15.75" customHeight="1" x14ac:dyDescent="0.25">
      <c r="B10" s="19" t="s">
        <v>75</v>
      </c>
      <c r="C10" s="101">
        <v>0.1167805207724034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82</v>
      </c>
      <c r="C15" s="101">
        <v>0.30084294976052228</v>
      </c>
      <c r="D15" s="101">
        <v>0.30084294976052228</v>
      </c>
      <c r="E15" s="101">
        <v>0.30084294976052228</v>
      </c>
      <c r="F15" s="101">
        <v>0.30084294976052228</v>
      </c>
    </row>
    <row r="16" spans="1:8" ht="15.75" customHeight="1" x14ac:dyDescent="0.25">
      <c r="B16" s="19" t="s">
        <v>83</v>
      </c>
      <c r="C16" s="101">
        <v>3.4190173389727387E-2</v>
      </c>
      <c r="D16" s="101">
        <v>3.4190173389727387E-2</v>
      </c>
      <c r="E16" s="101">
        <v>3.4190173389727387E-2</v>
      </c>
      <c r="F16" s="101">
        <v>3.4190173389727387E-2</v>
      </c>
    </row>
    <row r="17" spans="1:8" ht="15.75" customHeight="1" x14ac:dyDescent="0.25">
      <c r="B17" s="19" t="s">
        <v>84</v>
      </c>
      <c r="C17" s="101">
        <v>0.2374778766969679</v>
      </c>
      <c r="D17" s="101">
        <v>0.2374778766969679</v>
      </c>
      <c r="E17" s="101">
        <v>0.2374778766969679</v>
      </c>
      <c r="F17" s="101">
        <v>0.2374778766969679</v>
      </c>
    </row>
    <row r="18" spans="1:8" ht="15.75" customHeight="1" x14ac:dyDescent="0.25">
      <c r="B18" s="19" t="s">
        <v>85</v>
      </c>
      <c r="C18" s="101">
        <v>1.3984937283047651E-2</v>
      </c>
      <c r="D18" s="101">
        <v>1.3984937283047651E-2</v>
      </c>
      <c r="E18" s="101">
        <v>1.3984937283047651E-2</v>
      </c>
      <c r="F18" s="101">
        <v>1.3984937283047651E-2</v>
      </c>
    </row>
    <row r="19" spans="1:8" ht="15.75" customHeight="1" x14ac:dyDescent="0.25">
      <c r="B19" s="19" t="s">
        <v>86</v>
      </c>
      <c r="C19" s="101">
        <v>1.7556101314376321E-2</v>
      </c>
      <c r="D19" s="101">
        <v>1.7556101314376321E-2</v>
      </c>
      <c r="E19" s="101">
        <v>1.7556101314376321E-2</v>
      </c>
      <c r="F19" s="101">
        <v>1.7556101314376321E-2</v>
      </c>
    </row>
    <row r="20" spans="1:8" ht="15.75" customHeight="1" x14ac:dyDescent="0.25">
      <c r="B20" s="19" t="s">
        <v>87</v>
      </c>
      <c r="C20" s="101">
        <v>8.1484501164904828E-4</v>
      </c>
      <c r="D20" s="101">
        <v>8.1484501164904828E-4</v>
      </c>
      <c r="E20" s="101">
        <v>8.1484501164904828E-4</v>
      </c>
      <c r="F20" s="101">
        <v>8.1484501164904828E-4</v>
      </c>
    </row>
    <row r="21" spans="1:8" ht="15.75" customHeight="1" x14ac:dyDescent="0.25">
      <c r="B21" s="19" t="s">
        <v>88</v>
      </c>
      <c r="C21" s="101">
        <v>3.9162183154674388E-2</v>
      </c>
      <c r="D21" s="101">
        <v>3.9162183154674388E-2</v>
      </c>
      <c r="E21" s="101">
        <v>3.9162183154674388E-2</v>
      </c>
      <c r="F21" s="101">
        <v>3.9162183154674388E-2</v>
      </c>
    </row>
    <row r="22" spans="1:8" ht="15.75" customHeight="1" x14ac:dyDescent="0.25">
      <c r="B22" s="19" t="s">
        <v>89</v>
      </c>
      <c r="C22" s="101">
        <v>0.15496909873230089</v>
      </c>
      <c r="D22" s="101">
        <v>0.15496909873230089</v>
      </c>
      <c r="E22" s="101">
        <v>0.15496909873230089</v>
      </c>
      <c r="F22" s="101">
        <v>0.15496909873230089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8.9486848999999993E-2</v>
      </c>
    </row>
    <row r="27" spans="1:8" ht="15.75" customHeight="1" x14ac:dyDescent="0.25">
      <c r="B27" s="19" t="s">
        <v>92</v>
      </c>
      <c r="C27" s="101">
        <v>8.7680180000000007E-3</v>
      </c>
    </row>
    <row r="28" spans="1:8" ht="15.75" customHeight="1" x14ac:dyDescent="0.25">
      <c r="B28" s="19" t="s">
        <v>93</v>
      </c>
      <c r="C28" s="101">
        <v>0.157124918</v>
      </c>
    </row>
    <row r="29" spans="1:8" ht="15.75" customHeight="1" x14ac:dyDescent="0.25">
      <c r="B29" s="19" t="s">
        <v>94</v>
      </c>
      <c r="C29" s="101">
        <v>0.169393875</v>
      </c>
    </row>
    <row r="30" spans="1:8" ht="15.75" customHeight="1" x14ac:dyDescent="0.25">
      <c r="B30" s="19" t="s">
        <v>95</v>
      </c>
      <c r="C30" s="101">
        <v>0.105381207</v>
      </c>
    </row>
    <row r="31" spans="1:8" ht="15.75" customHeight="1" x14ac:dyDescent="0.25">
      <c r="B31" s="19" t="s">
        <v>96</v>
      </c>
      <c r="C31" s="101">
        <v>0.109725931</v>
      </c>
    </row>
    <row r="32" spans="1:8" ht="15.75" customHeight="1" x14ac:dyDescent="0.25">
      <c r="B32" s="19" t="s">
        <v>97</v>
      </c>
      <c r="C32" s="101">
        <v>1.8930017E-2</v>
      </c>
    </row>
    <row r="33" spans="2:3" ht="15.75" customHeight="1" x14ac:dyDescent="0.25">
      <c r="B33" s="19" t="s">
        <v>98</v>
      </c>
      <c r="C33" s="101">
        <v>8.4558286999999996E-2</v>
      </c>
    </row>
    <row r="34" spans="2:3" ht="15.75" customHeight="1" x14ac:dyDescent="0.25">
      <c r="B34" s="19" t="s">
        <v>99</v>
      </c>
      <c r="C34" s="101">
        <v>0.25663089700000002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104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105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109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110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122</v>
      </c>
      <c r="C5" s="52">
        <v>6.6058699999999998E-2</v>
      </c>
      <c r="D5" s="52">
        <v>8.8361499999999996E-2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3.5715698631999999E-3</v>
      </c>
      <c r="C2" s="98">
        <v>0.95</v>
      </c>
      <c r="D2" s="56">
        <v>34.366415838237913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54.628292958829128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43.420880966861567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5.9835997085200238E-2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17.31204218632346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17.31204218632346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17.31204218632346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17.31204218632346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17.31204218632346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17.31204218632346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6.4618918253400007E-2</v>
      </c>
      <c r="C16" s="98">
        <v>0.95</v>
      </c>
      <c r="D16" s="56">
        <v>0.2381343220498644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0.56999999999999995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1.112664901153791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1.112664901153791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0.34730299999999997</v>
      </c>
      <c r="C21" s="98">
        <v>0.95</v>
      </c>
      <c r="D21" s="56">
        <v>0.64162710769956899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29.476348850423271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4.4943200000000003E-2</v>
      </c>
      <c r="C23" s="98">
        <v>0.95</v>
      </c>
      <c r="D23" s="56">
        <v>5.6282823713961951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7.0084667285600005E-2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4.5793024351999997E-3</v>
      </c>
      <c r="C27" s="98">
        <v>0.95</v>
      </c>
      <c r="D27" s="56">
        <v>25.070390436942869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0.13218150000000001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59.64079630542151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0.20100000000000001</v>
      </c>
      <c r="C31" s="98">
        <v>0.95</v>
      </c>
      <c r="D31" s="56">
        <v>4.2824862757030893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8.8158799999999996E-2</v>
      </c>
      <c r="C32" s="98">
        <v>0.95</v>
      </c>
      <c r="D32" s="56">
        <v>0.4330445396250559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0.40575800000000001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0.28000000000000003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4.7393339240000776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205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0.63600000000000001</v>
      </c>
      <c r="M24" s="60">
        <f>famplan_unmet_need</f>
        <v>0.63600000000000001</v>
      </c>
      <c r="N24" s="60">
        <f>famplan_unmet_need</f>
        <v>0.63600000000000001</v>
      </c>
      <c r="O24" s="60">
        <f>famplan_unmet_need</f>
        <v>0.63600000000000001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0.3942166543388641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0.168949994716656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0.11080014014448003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0.28079999999999999</v>
      </c>
      <c r="D34" s="60">
        <f t="shared" si="3"/>
        <v>0.28079999999999999</v>
      </c>
      <c r="E34" s="60">
        <f t="shared" si="3"/>
        <v>0.28079999999999999</v>
      </c>
      <c r="F34" s="60">
        <f t="shared" si="3"/>
        <v>0.28079999999999999</v>
      </c>
      <c r="G34" s="60">
        <f t="shared" si="3"/>
        <v>0.28079999999999999</v>
      </c>
      <c r="H34" s="60">
        <f t="shared" si="3"/>
        <v>0.28079999999999999</v>
      </c>
      <c r="I34" s="60">
        <f t="shared" si="3"/>
        <v>0.28079999999999999</v>
      </c>
      <c r="J34" s="60">
        <f t="shared" si="3"/>
        <v>0.28079999999999999</v>
      </c>
      <c r="K34" s="60">
        <f t="shared" si="3"/>
        <v>0.28079999999999999</v>
      </c>
      <c r="L34" s="60">
        <f t="shared" si="3"/>
        <v>0.28079999999999999</v>
      </c>
      <c r="M34" s="60">
        <f t="shared" si="3"/>
        <v>0.28079999999999999</v>
      </c>
      <c r="N34" s="60">
        <f t="shared" si="3"/>
        <v>0.28079999999999999</v>
      </c>
      <c r="O34" s="60">
        <f t="shared" si="3"/>
        <v>0.28079999999999999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0.86538332099347126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2024-03-28T03:04:40Z</dcterms:modified>
</cp:coreProperties>
</file>