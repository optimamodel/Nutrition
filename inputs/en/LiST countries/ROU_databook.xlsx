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EB29728-05E6-4B29-9AE0-0DA2E721358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35" i="2"/>
  <c r="A33" i="2"/>
  <c r="A32" i="2"/>
  <c r="A31" i="2"/>
  <c r="A29" i="2"/>
  <c r="A27" i="2"/>
  <c r="A25" i="2"/>
  <c r="A24" i="2"/>
  <c r="A23" i="2"/>
  <c r="A21" i="2"/>
  <c r="A20" i="2"/>
  <c r="A19" i="2"/>
  <c r="A17" i="2"/>
  <c r="A16" i="2"/>
  <c r="A15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A2" i="2"/>
  <c r="A40" i="2" s="1"/>
  <c r="C33" i="1"/>
  <c r="C20" i="1"/>
  <c r="A3" i="2" l="1"/>
  <c r="A5" i="2"/>
  <c r="A18" i="2"/>
  <c r="A26" i="2"/>
  <c r="A34" i="2"/>
  <c r="A39" i="2"/>
  <c r="A28" i="2"/>
  <c r="A36" i="2"/>
  <c r="A4" i="2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<sst xmlns="http://schemas.openxmlformats.org/spreadsheetml/2006/main" count="2103" uniqueCount="341">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</sst>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1006424.609375</v>
      </c>
    </row>
    <row r="8" spans="1:3" ht="15" customHeight="1" x14ac:dyDescent="0.25">
      <c r="B8" s="5" t="s">
        <v>8</v>
      </c>
      <c r="C8" s="44">
        <v>3.5000000000000003E-2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0.80865753173828092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0.1108</v>
      </c>
    </row>
    <row r="24" spans="1:3" ht="15" customHeight="1" x14ac:dyDescent="0.25">
      <c r="B24" s="15" t="s">
        <v>22</v>
      </c>
      <c r="C24" s="45">
        <v>0.51619999999999999</v>
      </c>
    </row>
    <row r="25" spans="1:3" ht="15" customHeight="1" x14ac:dyDescent="0.25">
      <c r="B25" s="15" t="s">
        <v>23</v>
      </c>
      <c r="C25" s="45">
        <v>0.3543</v>
      </c>
    </row>
    <row r="26" spans="1:3" ht="15" customHeight="1" x14ac:dyDescent="0.25">
      <c r="B26" s="15" t="s">
        <v>24</v>
      </c>
      <c r="C26" s="45">
        <v>1.8700000000000001E-2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3.23326</v>
      </c>
    </row>
    <row r="38" spans="1:5" ht="15" customHeight="1" x14ac:dyDescent="0.25">
      <c r="B38" s="11" t="s">
        <v>34</v>
      </c>
      <c r="C38" s="43">
        <v>5.2582199999999997</v>
      </c>
      <c r="D38" s="12"/>
      <c r="E38" s="13"/>
    </row>
    <row r="39" spans="1:5" ht="15" customHeight="1" x14ac:dyDescent="0.25">
      <c r="B39" s="11" t="s">
        <v>35</v>
      </c>
      <c r="C39" s="43">
        <v>6.4268799999999997</v>
      </c>
      <c r="D39" s="12"/>
      <c r="E39" s="12"/>
    </row>
    <row r="40" spans="1:5" ht="15" customHeight="1" x14ac:dyDescent="0.25">
      <c r="B40" s="11" t="s">
        <v>36</v>
      </c>
      <c r="C40" s="100">
        <v>0.1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3.3947500000000002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7.1955999999999999E-3</v>
      </c>
      <c r="D45" s="12"/>
    </row>
    <row r="46" spans="1:5" ht="15.75" customHeight="1" x14ac:dyDescent="0.25">
      <c r="B46" s="11" t="s">
        <v>41</v>
      </c>
      <c r="C46" s="45">
        <v>7.7315800000000004E-2</v>
      </c>
      <c r="D46" s="12"/>
    </row>
    <row r="47" spans="1:5" ht="15.75" customHeight="1" x14ac:dyDescent="0.25">
      <c r="B47" s="11" t="s">
        <v>42</v>
      </c>
      <c r="C47" s="45">
        <v>7.4158099999999991E-2</v>
      </c>
      <c r="D47" s="12"/>
      <c r="E47" s="13"/>
    </row>
    <row r="48" spans="1:5" ht="15" customHeight="1" x14ac:dyDescent="0.25">
      <c r="B48" s="11" t="s">
        <v>43</v>
      </c>
      <c r="C48" s="46">
        <v>0.84133049999999998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0.62845099999999998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8.1845530999999999E-2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204933</v>
      </c>
      <c r="C2" s="49">
        <v>640713.49999999988</v>
      </c>
      <c r="D2" s="49">
        <v>1102089.5</v>
      </c>
      <c r="E2" s="49">
        <v>1292810</v>
      </c>
      <c r="F2" s="49">
        <v>1321337.5</v>
      </c>
      <c r="G2" s="17">
        <f t="shared" ref="G2:G13" si="0">C2+D2+E2+F2</f>
        <v>4356950.5</v>
      </c>
      <c r="H2" s="17">
        <f t="shared" ref="H2:H13" si="1">(B2 + stillbirth*B2/(1000-stillbirth))/(1-abortion)</f>
        <v>233671.66597899125</v>
      </c>
      <c r="I2" s="17">
        <f t="shared" ref="I2:I13" si="2">G2-H2</f>
        <v>4123278.8340210086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197295</v>
      </c>
      <c r="C3" s="50">
        <v>623432.49999999988</v>
      </c>
      <c r="D3" s="50">
        <v>1067578.5</v>
      </c>
      <c r="E3" s="50">
        <v>1251822</v>
      </c>
      <c r="F3" s="50">
        <v>1283489.5</v>
      </c>
      <c r="G3" s="17">
        <f t="shared" si="0"/>
        <v>4226322.5</v>
      </c>
      <c r="H3" s="17">
        <f t="shared" si="1"/>
        <v>224962.5552708694</v>
      </c>
      <c r="I3" s="17">
        <f t="shared" si="2"/>
        <v>4001359.9447291307</v>
      </c>
    </row>
    <row r="4" spans="1:9" ht="15.75" customHeight="1" x14ac:dyDescent="0.25">
      <c r="A4" s="5">
        <f t="shared" si="3"/>
        <v>2026</v>
      </c>
      <c r="B4" s="49">
        <v>190844</v>
      </c>
      <c r="C4" s="50">
        <v>611135</v>
      </c>
      <c r="D4" s="50">
        <v>1048652.5</v>
      </c>
      <c r="E4" s="50">
        <v>1210208</v>
      </c>
      <c r="F4" s="50">
        <v>1256548.5</v>
      </c>
      <c r="G4" s="17">
        <f t="shared" si="0"/>
        <v>4126544</v>
      </c>
      <c r="H4" s="17">
        <f t="shared" si="1"/>
        <v>217606.90285163742</v>
      </c>
      <c r="I4" s="17">
        <f t="shared" si="2"/>
        <v>3908937.0971483625</v>
      </c>
    </row>
    <row r="5" spans="1:9" ht="15.75" customHeight="1" x14ac:dyDescent="0.25">
      <c r="A5" s="5">
        <f t="shared" si="3"/>
        <v>2027</v>
      </c>
      <c r="B5" s="49">
        <v>187613</v>
      </c>
      <c r="C5" s="50">
        <v>602522.5</v>
      </c>
      <c r="D5" s="50">
        <v>1039168</v>
      </c>
      <c r="E5" s="50">
        <v>1169808</v>
      </c>
      <c r="F5" s="50">
        <v>1235750</v>
      </c>
      <c r="G5" s="17">
        <f t="shared" si="0"/>
        <v>4047248.5</v>
      </c>
      <c r="H5" s="17">
        <f t="shared" si="1"/>
        <v>213922.8053525615</v>
      </c>
      <c r="I5" s="17">
        <f t="shared" si="2"/>
        <v>3833325.6946474384</v>
      </c>
    </row>
    <row r="6" spans="1:9" ht="15.75" customHeight="1" x14ac:dyDescent="0.25">
      <c r="A6" s="5">
        <f t="shared" si="3"/>
        <v>2028</v>
      </c>
      <c r="B6" s="49">
        <v>184298</v>
      </c>
      <c r="C6" s="50">
        <v>595554.50000000012</v>
      </c>
      <c r="D6" s="50">
        <v>1032840.5</v>
      </c>
      <c r="E6" s="50">
        <v>1130373.5</v>
      </c>
      <c r="F6" s="50">
        <v>1220465</v>
      </c>
      <c r="G6" s="17">
        <f t="shared" si="0"/>
        <v>3979233.5</v>
      </c>
      <c r="H6" s="17">
        <f t="shared" si="1"/>
        <v>210142.92815991631</v>
      </c>
      <c r="I6" s="17">
        <f t="shared" si="2"/>
        <v>3769090.5718400837</v>
      </c>
    </row>
    <row r="7" spans="1:9" ht="15.75" customHeight="1" x14ac:dyDescent="0.25">
      <c r="A7" s="5">
        <f t="shared" si="3"/>
        <v>2029</v>
      </c>
      <c r="B7" s="49">
        <v>182377</v>
      </c>
      <c r="C7" s="50">
        <v>592098</v>
      </c>
      <c r="D7" s="50">
        <v>1027125.5</v>
      </c>
      <c r="E7" s="50">
        <v>1095903.5</v>
      </c>
      <c r="F7" s="50">
        <v>1211422.5</v>
      </c>
      <c r="G7" s="17">
        <f t="shared" si="0"/>
        <v>3926549.5</v>
      </c>
      <c r="H7" s="17">
        <f t="shared" si="1"/>
        <v>207952.53778674247</v>
      </c>
      <c r="I7" s="17">
        <f t="shared" si="2"/>
        <v>3718596.9622132573</v>
      </c>
    </row>
    <row r="8" spans="1:9" ht="15.75" customHeight="1" x14ac:dyDescent="0.25">
      <c r="A8" s="5">
        <f t="shared" si="3"/>
        <v>2030</v>
      </c>
      <c r="B8" s="49">
        <v>180178</v>
      </c>
      <c r="C8" s="50">
        <v>593099</v>
      </c>
      <c r="D8" s="50">
        <v>1020286</v>
      </c>
      <c r="E8" s="50">
        <v>1069616.5</v>
      </c>
      <c r="F8" s="50">
        <v>1203336.5</v>
      </c>
      <c r="G8" s="17">
        <f t="shared" si="0"/>
        <v>3886338</v>
      </c>
      <c r="H8" s="17">
        <f t="shared" si="1"/>
        <v>205445.16223723211</v>
      </c>
      <c r="I8" s="17">
        <f t="shared" si="2"/>
        <v>3680892.8377627679</v>
      </c>
    </row>
    <row r="9" spans="1:9" ht="15.75" customHeight="1" x14ac:dyDescent="0.25">
      <c r="A9" s="5">
        <f t="shared" si="3"/>
        <v>2031</v>
      </c>
      <c r="B9" s="49">
        <v>178611</v>
      </c>
      <c r="C9" s="50">
        <v>599560.99999999988</v>
      </c>
      <c r="D9" s="50">
        <v>1012831.5</v>
      </c>
      <c r="E9" s="50">
        <v>1055769</v>
      </c>
      <c r="F9" s="50">
        <v>1192579.5</v>
      </c>
      <c r="G9" s="17">
        <f t="shared" si="0"/>
        <v>3860741</v>
      </c>
      <c r="H9" s="17">
        <f t="shared" si="1"/>
        <v>203658.41485838595</v>
      </c>
      <c r="I9" s="17">
        <f t="shared" si="2"/>
        <v>3657082.5851416141</v>
      </c>
    </row>
    <row r="10" spans="1:9" ht="15.75" customHeight="1" x14ac:dyDescent="0.25">
      <c r="A10" s="5">
        <f t="shared" si="3"/>
        <v>2032</v>
      </c>
      <c r="B10" s="49">
        <v>176794</v>
      </c>
      <c r="C10" s="50">
        <v>606264.99999999988</v>
      </c>
      <c r="D10" s="50">
        <v>1007363</v>
      </c>
      <c r="E10" s="50">
        <v>1048218.5</v>
      </c>
      <c r="F10" s="50">
        <v>1176620.5</v>
      </c>
      <c r="G10" s="17">
        <f t="shared" si="0"/>
        <v>3838467</v>
      </c>
      <c r="H10" s="17">
        <f t="shared" si="1"/>
        <v>201586.60886772646</v>
      </c>
      <c r="I10" s="17">
        <f t="shared" si="2"/>
        <v>3636880.3911322737</v>
      </c>
    </row>
    <row r="11" spans="1:9" ht="15.75" customHeight="1" x14ac:dyDescent="0.25">
      <c r="A11" s="5">
        <f t="shared" si="3"/>
        <v>2033</v>
      </c>
      <c r="B11" s="49">
        <v>175764</v>
      </c>
      <c r="C11" s="50">
        <v>611823.00000000012</v>
      </c>
      <c r="D11" s="50">
        <v>1001003.5</v>
      </c>
      <c r="E11" s="50">
        <v>1041661</v>
      </c>
      <c r="F11" s="50">
        <v>1161220.5</v>
      </c>
      <c r="G11" s="17">
        <f t="shared" si="0"/>
        <v>3815708</v>
      </c>
      <c r="H11" s="17">
        <f t="shared" si="1"/>
        <v>200412.16738705538</v>
      </c>
      <c r="I11" s="17">
        <f t="shared" si="2"/>
        <v>3615295.8326129448</v>
      </c>
    </row>
    <row r="12" spans="1:9" ht="15.75" customHeight="1" x14ac:dyDescent="0.25">
      <c r="A12" s="5">
        <f t="shared" si="3"/>
        <v>2034</v>
      </c>
      <c r="B12" s="49">
        <v>174864</v>
      </c>
      <c r="C12" s="50">
        <v>614792</v>
      </c>
      <c r="D12" s="50">
        <v>995052.5</v>
      </c>
      <c r="E12" s="50">
        <v>1034641</v>
      </c>
      <c r="F12" s="50">
        <v>1144051</v>
      </c>
      <c r="G12" s="17">
        <f t="shared" si="0"/>
        <v>3788536.5</v>
      </c>
      <c r="H12" s="17">
        <f t="shared" si="1"/>
        <v>199385.95638452729</v>
      </c>
      <c r="I12" s="17">
        <f t="shared" si="2"/>
        <v>3589150.5436154725</v>
      </c>
    </row>
    <row r="13" spans="1:9" ht="15.75" customHeight="1" x14ac:dyDescent="0.25">
      <c r="A13" s="5">
        <f t="shared" si="3"/>
        <v>2035</v>
      </c>
      <c r="B13" s="49">
        <v>173852</v>
      </c>
      <c r="C13" s="50">
        <v>612369</v>
      </c>
      <c r="D13" s="50">
        <v>992159.5</v>
      </c>
      <c r="E13" s="50">
        <v>1028865.5</v>
      </c>
      <c r="F13" s="50">
        <v>1119012</v>
      </c>
      <c r="G13" s="17">
        <f t="shared" si="0"/>
        <v>3752406</v>
      </c>
      <c r="H13" s="17">
        <f t="shared" si="1"/>
        <v>198232.03912390678</v>
      </c>
      <c r="I13" s="17">
        <f t="shared" si="2"/>
        <v>3554173.9608760932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1.473933380059465E-2</v>
      </c>
    </row>
    <row r="5" spans="1:8" ht="15.75" customHeight="1" x14ac:dyDescent="0.25">
      <c r="B5" s="19" t="s">
        <v>70</v>
      </c>
      <c r="C5" s="101">
        <v>0.1139262471236227</v>
      </c>
    </row>
    <row r="6" spans="1:8" ht="15.75" customHeight="1" x14ac:dyDescent="0.25">
      <c r="B6" s="19" t="s">
        <v>71</v>
      </c>
      <c r="C6" s="101">
        <v>6.1869417267545551E-2</v>
      </c>
    </row>
    <row r="7" spans="1:8" ht="15.75" customHeight="1" x14ac:dyDescent="0.25">
      <c r="B7" s="19" t="s">
        <v>72</v>
      </c>
      <c r="C7" s="101">
        <v>0.49361216191564328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0.24966765639651889</v>
      </c>
    </row>
    <row r="10" spans="1:8" ht="15.75" customHeight="1" x14ac:dyDescent="0.25">
      <c r="B10" s="19" t="s">
        <v>75</v>
      </c>
      <c r="C10" s="101">
        <v>6.6185183496074773E-2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1.002726655543297E-2</v>
      </c>
      <c r="D14" s="55">
        <v>1.002726655543297E-2</v>
      </c>
      <c r="E14" s="55">
        <v>1.002726655543297E-2</v>
      </c>
      <c r="F14" s="55">
        <v>1.002726655543297E-2</v>
      </c>
    </row>
    <row r="15" spans="1:8" ht="15.75" customHeight="1" x14ac:dyDescent="0.25">
      <c r="B15" s="19" t="s">
        <v>82</v>
      </c>
      <c r="C15" s="101">
        <v>0.63817097631812669</v>
      </c>
      <c r="D15" s="101">
        <v>0.63817097631812669</v>
      </c>
      <c r="E15" s="101">
        <v>0.63817097631812669</v>
      </c>
      <c r="F15" s="101">
        <v>0.63817097631812669</v>
      </c>
    </row>
    <row r="16" spans="1:8" ht="15.75" customHeight="1" x14ac:dyDescent="0.25">
      <c r="B16" s="19" t="s">
        <v>83</v>
      </c>
      <c r="C16" s="101">
        <v>2.5838335386642829E-2</v>
      </c>
      <c r="D16" s="101">
        <v>2.5838335386642829E-2</v>
      </c>
      <c r="E16" s="101">
        <v>2.5838335386642829E-2</v>
      </c>
      <c r="F16" s="101">
        <v>2.5838335386642829E-2</v>
      </c>
    </row>
    <row r="17" spans="1:8" ht="15.75" customHeight="1" x14ac:dyDescent="0.25">
      <c r="B17" s="19" t="s">
        <v>84</v>
      </c>
      <c r="C17" s="101">
        <v>1.1448182175881449E-2</v>
      </c>
      <c r="D17" s="101">
        <v>1.1448182175881449E-2</v>
      </c>
      <c r="E17" s="101">
        <v>1.1448182175881449E-2</v>
      </c>
      <c r="F17" s="101">
        <v>1.1448182175881449E-2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6.7960231181810301E-3</v>
      </c>
      <c r="D20" s="101">
        <v>6.7960231181810301E-3</v>
      </c>
      <c r="E20" s="101">
        <v>6.7960231181810301E-3</v>
      </c>
      <c r="F20" s="101">
        <v>6.7960231181810301E-3</v>
      </c>
    </row>
    <row r="21" spans="1:8" ht="15.75" customHeight="1" x14ac:dyDescent="0.25">
      <c r="B21" s="19" t="s">
        <v>88</v>
      </c>
      <c r="C21" s="101">
        <v>0.23764161547031629</v>
      </c>
      <c r="D21" s="101">
        <v>0.23764161547031629</v>
      </c>
      <c r="E21" s="101">
        <v>0.23764161547031629</v>
      </c>
      <c r="F21" s="101">
        <v>0.23764161547031629</v>
      </c>
    </row>
    <row r="22" spans="1:8" ht="15.75" customHeight="1" x14ac:dyDescent="0.25">
      <c r="B22" s="19" t="s">
        <v>89</v>
      </c>
      <c r="C22" s="101">
        <v>7.0077600975418805E-2</v>
      </c>
      <c r="D22" s="101">
        <v>7.0077600975418805E-2</v>
      </c>
      <c r="E22" s="101">
        <v>7.0077600975418805E-2</v>
      </c>
      <c r="F22" s="101">
        <v>7.0077600975418805E-2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7.5198439000000006E-2</v>
      </c>
    </row>
    <row r="27" spans="1:8" ht="15.75" customHeight="1" x14ac:dyDescent="0.25">
      <c r="B27" s="19" t="s">
        <v>92</v>
      </c>
      <c r="C27" s="101">
        <v>5.6785192000000012E-2</v>
      </c>
    </row>
    <row r="28" spans="1:8" ht="15.75" customHeight="1" x14ac:dyDescent="0.25">
      <c r="B28" s="19" t="s">
        <v>93</v>
      </c>
      <c r="C28" s="101">
        <v>0.122549727</v>
      </c>
    </row>
    <row r="29" spans="1:8" ht="15.75" customHeight="1" x14ac:dyDescent="0.25">
      <c r="B29" s="19" t="s">
        <v>94</v>
      </c>
      <c r="C29" s="101">
        <v>8.6248906E-2</v>
      </c>
    </row>
    <row r="30" spans="1:8" ht="15.75" customHeight="1" x14ac:dyDescent="0.25">
      <c r="B30" s="19" t="s">
        <v>95</v>
      </c>
      <c r="C30" s="101">
        <v>6.4099332999999994E-2</v>
      </c>
    </row>
    <row r="31" spans="1:8" ht="15.75" customHeight="1" x14ac:dyDescent="0.25">
      <c r="B31" s="19" t="s">
        <v>96</v>
      </c>
      <c r="C31" s="101">
        <v>0.35120792499999998</v>
      </c>
    </row>
    <row r="32" spans="1:8" ht="15.75" customHeight="1" x14ac:dyDescent="0.25">
      <c r="B32" s="19" t="s">
        <v>97</v>
      </c>
      <c r="C32" s="101">
        <v>0.132871925</v>
      </c>
    </row>
    <row r="33" spans="2:3" ht="15.75" customHeight="1" x14ac:dyDescent="0.25">
      <c r="B33" s="19" t="s">
        <v>98</v>
      </c>
      <c r="C33" s="101">
        <v>4.9043437000000002E-2</v>
      </c>
    </row>
    <row r="34" spans="2:3" ht="15.75" customHeight="1" x14ac:dyDescent="0.25">
      <c r="B34" s="19" t="s">
        <v>99</v>
      </c>
      <c r="C34" s="101">
        <v>6.1995117000000002E-2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0.57073461624999999</v>
      </c>
      <c r="D14" s="54">
        <v>0.56424493110999996</v>
      </c>
      <c r="E14" s="54">
        <v>0.56424493110999996</v>
      </c>
      <c r="F14" s="54">
        <v>0.275576724198</v>
      </c>
      <c r="G14" s="54">
        <v>0.275576724198</v>
      </c>
      <c r="H14" s="45">
        <v>0.27400000000000002</v>
      </c>
      <c r="I14" s="55">
        <v>0.27400000000000002</v>
      </c>
      <c r="J14" s="55">
        <v>0.27400000000000002</v>
      </c>
      <c r="K14" s="55">
        <v>0.27400000000000002</v>
      </c>
      <c r="L14" s="45">
        <v>0.26700000000000002</v>
      </c>
      <c r="M14" s="55">
        <v>0.26700000000000002</v>
      </c>
      <c r="N14" s="55">
        <v>0.26700000000000002</v>
      </c>
      <c r="O14" s="55">
        <v>0.26700000000000002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0.35867874031692876</v>
      </c>
      <c r="D15" s="52">
        <f t="shared" si="0"/>
        <v>0.35460029120101055</v>
      </c>
      <c r="E15" s="52">
        <f t="shared" si="0"/>
        <v>0.35460029120101055</v>
      </c>
      <c r="F15" s="52">
        <f t="shared" si="0"/>
        <v>0.17318646789895728</v>
      </c>
      <c r="G15" s="52">
        <f t="shared" si="0"/>
        <v>0.17318646789895728</v>
      </c>
      <c r="H15" s="52">
        <f t="shared" si="0"/>
        <v>0.17219557400000002</v>
      </c>
      <c r="I15" s="52">
        <f t="shared" si="0"/>
        <v>0.17219557400000002</v>
      </c>
      <c r="J15" s="52">
        <f t="shared" si="0"/>
        <v>0.17219557400000002</v>
      </c>
      <c r="K15" s="52">
        <f t="shared" si="0"/>
        <v>0.17219557400000002</v>
      </c>
      <c r="L15" s="52">
        <f t="shared" si="0"/>
        <v>0.167796417</v>
      </c>
      <c r="M15" s="52">
        <f t="shared" si="0"/>
        <v>0.167796417</v>
      </c>
      <c r="N15" s="52">
        <f t="shared" si="0"/>
        <v>0.167796417</v>
      </c>
      <c r="O15" s="52">
        <f t="shared" si="0"/>
        <v>0.167796417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92.337747645899924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40.649110236447719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952.2771040936276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9.1374201570642448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13.78140968024363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13.78140968024363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13.78140968024363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13.78140968024363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13.78140968024363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13.78140968024363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1.4881754801389779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21.79150990690356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21.79150990690356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91.149218966868133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24.185634611008918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4.7601065600060064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0.7043315389999999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19.347107873216441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191.95165548538569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0.83197235394544489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3.2744527743238541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0.64560309999999999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4.9836110403594773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3.5000000000000003E-2</v>
      </c>
      <c r="E2" s="60">
        <f>food_insecure</f>
        <v>3.5000000000000003E-2</v>
      </c>
      <c r="F2" s="60">
        <f>food_insecure</f>
        <v>3.5000000000000003E-2</v>
      </c>
      <c r="G2" s="60">
        <f>food_insecure</f>
        <v>3.5000000000000003E-2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3.5000000000000003E-2</v>
      </c>
      <c r="F5" s="60">
        <f>food_insecure</f>
        <v>3.5000000000000003E-2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3.5000000000000003E-2</v>
      </c>
      <c r="F8" s="60">
        <f>food_insecure</f>
        <v>3.5000000000000003E-2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3.5000000000000003E-2</v>
      </c>
      <c r="F9" s="60">
        <f>food_insecure</f>
        <v>3.5000000000000003E-2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3.5000000000000003E-2</v>
      </c>
      <c r="I15" s="60">
        <f>food_insecure</f>
        <v>3.5000000000000003E-2</v>
      </c>
      <c r="J15" s="60">
        <f>food_insecure</f>
        <v>3.5000000000000003E-2</v>
      </c>
      <c r="K15" s="60">
        <f>food_insecure</f>
        <v>3.5000000000000003E-2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9.5164176589965982E-2</v>
      </c>
      <c r="M25" s="60">
        <f>(1-food_insecure)*(0.49)+food_insecure*(0.7)</f>
        <v>0.49735000000000001</v>
      </c>
      <c r="N25" s="60">
        <f>(1-food_insecure)*(0.49)+food_insecure*(0.7)</f>
        <v>0.49735000000000001</v>
      </c>
      <c r="O25" s="60">
        <f>(1-food_insecure)*(0.49)+food_insecure*(0.7)</f>
        <v>0.49735000000000001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4.0784647109985417E-2</v>
      </c>
      <c r="M26" s="60">
        <f>(1-food_insecure)*(0.21)+food_insecure*(0.3)</f>
        <v>0.21315000000000001</v>
      </c>
      <c r="N26" s="60">
        <f>(1-food_insecure)*(0.21)+food_insecure*(0.3)</f>
        <v>0.21315000000000001</v>
      </c>
      <c r="O26" s="60">
        <f>(1-food_insecure)*(0.21)+food_insecure*(0.3)</f>
        <v>0.21315000000000001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5.5393644561767666E-2</v>
      </c>
      <c r="M27" s="60">
        <f>(1-food_insecure)*(0.3)</f>
        <v>0.28949999999999998</v>
      </c>
      <c r="N27" s="60">
        <f>(1-food_insecure)*(0.3)</f>
        <v>0.28949999999999998</v>
      </c>
      <c r="O27" s="60">
        <f>(1-food_insecure)*(0.3)</f>
        <v>0.28949999999999998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0.80865753173828092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0.1079880875647985</v>
      </c>
      <c r="G18" s="90">
        <f>MIN(MAX(1-0.89/(1-frac_sam_12_23months+(frac_sam_12_23months*0.89)),0),1)</f>
        <v>0.10866172855078449</v>
      </c>
      <c r="H18" s="90">
        <f>MIN(MAX(1-0.89/(1-frac_sam_24_59months+(frac_sam_24_59months*0.89)),0),1)</f>
        <v>0.10878793029974732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0.1060244776503797</v>
      </c>
      <c r="G20" s="90">
        <f>MIN(MAX(1-0.89/(1-frac_mam_12_23months+(frac_mam_12_23months*0.89)),0),1)</f>
        <v>0.1079067636550467</v>
      </c>
      <c r="H20" s="90">
        <f>MIN(MAX(1-0.89/(1-frac_mam_24_59months+(frac_mam_24_59months*0.89)),0),1)</f>
        <v>0.10824369863569794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9.7969654307351606E-3</v>
      </c>
      <c r="G73" s="90">
        <f>MIN(MAX(1-0.99/(1-frac_sam_12_23months+(frac_sam_12_23months*0.99)),0),1)</f>
        <v>9.8648539210078878E-3</v>
      </c>
      <c r="H73" s="90">
        <f>MIN(MAX(1-0.99/(1-frac_sam_24_59months+(frac_sam_24_59months*0.99)),0),1)</f>
        <v>9.8775827149713002E-3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9.5996068023427306E-3</v>
      </c>
      <c r="G75" s="90">
        <f>MIN(MAX(1-0.99/(1-frac_mam_12_23months+(frac_mam_12_23months*0.99)),0),1)</f>
        <v>9.7887760403665425E-3</v>
      </c>
      <c r="H75" s="90">
        <f>MIN(MAX(1-0.99/(1-frac_mam_24_59months+(frac_mam_24_59months*0.99)),0),1)</f>
        <v>9.8227145369098601E-3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0.1967057969565037</v>
      </c>
      <c r="G128" s="90">
        <f>MIN(MAX(1-0.8/(1-frac_sam_12_23months+(frac_sam_12_23months*0.8)),0),1)</f>
        <v>0.1978101410808506</v>
      </c>
      <c r="H128" s="90">
        <f>MIN(MAX(1-0.8/(1-frac_sam_24_59months+(frac_sam_24_59months*0.8)),0),1)</f>
        <v>0.19801687963994419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0.1934788885584835</v>
      </c>
      <c r="G130" s="90">
        <f>MIN(MAX(1-0.8/(1-frac_mam_12_23months+(frac_mam_12_23months*0.8)),0),1)</f>
        <v>0.19657238459637316</v>
      </c>
      <c r="H130" s="90">
        <f>MIN(MAX(1-0.8/(1-frac_mam_24_59months+(frac_mam_24_59months*0.8)),0),1)</f>
        <v>0.19712499835008013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2024-06-18T06:56:51Z</dcterms:modified>
</cp:coreProperties>
</file>