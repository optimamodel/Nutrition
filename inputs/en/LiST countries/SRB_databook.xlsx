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A39AFBB-B9F5-4B2B-9F40-4384F29B96D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<sst xmlns="http://schemas.openxmlformats.org/spreadsheetml/2006/main" count="2101" uniqueCount="341">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</sst>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328680.9375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2.6376197362380321E-2</v>
      </c>
    </row>
    <row r="5" spans="1:8" ht="15.75" customHeight="1" x14ac:dyDescent="0.25">
      <c r="B5" s="19" t="s">
        <v>70</v>
      </c>
      <c r="C5" s="101">
        <v>1.9977998002200119E-2</v>
      </c>
    </row>
    <row r="6" spans="1:8" ht="15.75" customHeight="1" x14ac:dyDescent="0.25">
      <c r="B6" s="19" t="s">
        <v>71</v>
      </c>
      <c r="C6" s="101">
        <v>0.1411632858836713</v>
      </c>
    </row>
    <row r="7" spans="1:8" ht="15.75" customHeight="1" x14ac:dyDescent="0.25">
      <c r="B7" s="19" t="s">
        <v>72</v>
      </c>
      <c r="C7" s="101">
        <v>0.63213873678612653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0.1415473858452613</v>
      </c>
    </row>
    <row r="10" spans="1:8" ht="15.75" customHeight="1" x14ac:dyDescent="0.25">
      <c r="B10" s="19" t="s">
        <v>75</v>
      </c>
      <c r="C10" s="101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83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89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101">
        <v>4.6857983999999978E-2</v>
      </c>
    </row>
    <row r="28" spans="1:8" ht="15.75" customHeight="1" x14ac:dyDescent="0.25">
      <c r="B28" s="19" t="s">
        <v>93</v>
      </c>
      <c r="C28" s="101">
        <v>8.0995853000000007E-2</v>
      </c>
    </row>
    <row r="29" spans="1:8" ht="15.75" customHeight="1" x14ac:dyDescent="0.25">
      <c r="B29" s="19" t="s">
        <v>94</v>
      </c>
      <c r="C29" s="101">
        <v>0.17572802300000001</v>
      </c>
    </row>
    <row r="30" spans="1:8" ht="15.75" customHeight="1" x14ac:dyDescent="0.25">
      <c r="B30" s="19" t="s">
        <v>95</v>
      </c>
      <c r="C30" s="101">
        <v>0.102999484</v>
      </c>
    </row>
    <row r="31" spans="1:8" ht="15.75" customHeight="1" x14ac:dyDescent="0.25">
      <c r="B31" s="19" t="s">
        <v>96</v>
      </c>
      <c r="C31" s="101">
        <v>3.8216664999999997E-2</v>
      </c>
    </row>
    <row r="32" spans="1:8" ht="15.75" customHeight="1" x14ac:dyDescent="0.25">
      <c r="B32" s="19" t="s">
        <v>97</v>
      </c>
      <c r="C32" s="101">
        <v>0.17722406800000001</v>
      </c>
    </row>
    <row r="33" spans="2:3" ht="15.75" customHeight="1" x14ac:dyDescent="0.25">
      <c r="B33" s="19" t="s">
        <v>98</v>
      </c>
      <c r="C33" s="101">
        <v>0.162579839</v>
      </c>
    </row>
    <row r="34" spans="2:3" ht="15.75" customHeight="1" x14ac:dyDescent="0.25">
      <c r="B34" s="19" t="s">
        <v>99</v>
      </c>
      <c r="C34" s="101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66.2077864022162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40.063438578113967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542.61982788724652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6.9000643786438447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13.195738021909881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13.195738021909881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13.195738021909881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13.195738021909881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13.195738021909881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13.195738021909881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0.90250382180522548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0.21961839999999999</v>
      </c>
      <c r="C18" s="98">
        <v>0.95</v>
      </c>
      <c r="D18" s="56">
        <v>12.47074045559749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0.21961839999999999</v>
      </c>
      <c r="C19" s="98">
        <v>0.95</v>
      </c>
      <c r="D19" s="56">
        <v>12.47074045559749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68.582775194044444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0.71505740000000007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18.764182705510279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0.35967890000000002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0.85884820000000006</v>
      </c>
      <c r="C29" s="98">
        <v>0.95</v>
      </c>
      <c r="D29" s="56">
        <v>132.3139429353005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1.1924310040780739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0.9813012000000001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0.25723400000000002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4.8444399999999999E-2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0.94893539999999998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2.764629090051816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0.10867332084829695</v>
      </c>
      <c r="G18" s="90">
        <f>MIN(MAX(1-0.89/(1-frac_sam_12_23months+(frac_sam_12_23months*0.89)),0),1)</f>
        <v>0.10940195807125663</v>
      </c>
      <c r="H18" s="90">
        <f>MIN(MAX(1-0.89/(1-frac_sam_24_59months+(frac_sam_24_59months*0.89)),0),1)</f>
        <v>0.10960685581111484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0.10749743351360286</v>
      </c>
      <c r="G20" s="90">
        <f>MIN(MAX(1-0.89/(1-frac_mam_12_23months+(frac_mam_12_23months*0.89)),0),1)</f>
        <v>0.10971178699680439</v>
      </c>
      <c r="H20" s="90">
        <f>MIN(MAX(1-0.89/(1-frac_mam_24_59months+(frac_mam_24_59months*0.89)),0),1)</f>
        <v>0.10802050393868934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9.866022991303014E-3</v>
      </c>
      <c r="G73" s="90">
        <f>MIN(MAX(1-0.99/(1-frac_sam_12_23months+(frac_sam_12_23months*0.99)),0),1)</f>
        <v>9.9395607704267919E-3</v>
      </c>
      <c r="H73" s="90">
        <f>MIN(MAX(1-0.99/(1-frac_sam_24_59months+(frac_sam_24_59months*0.99)),0),1)</f>
        <v>9.9602598048286195E-3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9.7475767352903642E-3</v>
      </c>
      <c r="G75" s="90">
        <f>MIN(MAX(1-0.99/(1-frac_mam_12_23months+(frac_mam_12_23months*0.99)),0),1)</f>
        <v>9.9708634425110798E-3</v>
      </c>
      <c r="H75" s="90">
        <f>MIN(MAX(1-0.99/(1-frac_mam_24_59months+(frac_mam_24_59months*0.99)),0),1)</f>
        <v>9.8002301670355729E-3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0.19782913311319628</v>
      </c>
      <c r="G128" s="90">
        <f>MIN(MAX(1-0.8/(1-frac_sam_12_23months+(frac_sam_12_23months*0.8)),0),1)</f>
        <v>0.19902207002573569</v>
      </c>
      <c r="H128" s="90">
        <f>MIN(MAX(1-0.8/(1-frac_sam_24_59months+(frac_sam_24_59months*0.8)),0),1)</f>
        <v>0.19935724399547949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0.19590057246250536</v>
      </c>
      <c r="G130" s="90">
        <f>MIN(MAX(1-0.8/(1-frac_mam_12_23months+(frac_mam_12_23months*0.8)),0),1)</f>
        <v>0.19952884267679949</v>
      </c>
      <c r="H130" s="90">
        <f>MIN(MAX(1-0.8/(1-frac_mam_24_59months+(frac_mam_24_59months*0.8)),0),1)</f>
        <v>0.19675897064099812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2024-08-06T06:32:16Z</dcterms:modified>
</cp:coreProperties>
</file>