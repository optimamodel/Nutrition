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81CA8A8-8A76-4946-A0B8-0F9FCCAED7E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<sst xmlns="http://schemas.openxmlformats.org/spreadsheetml/2006/main" count="2102" uniqueCount="341">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</sst>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328680.9375</v>
      </c>
    </row>
    <row r="8" spans="1:3" ht="15" customHeight="1" x14ac:dyDescent="0.25">
      <c r="B8" s="5" t="s">
        <v>8</v>
      </c>
      <c r="C8" s="44">
        <v>5.5E-2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0.92928009033203096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5.9700000000000003E-2</v>
      </c>
    </row>
    <row r="24" spans="1:3" ht="15" customHeight="1" x14ac:dyDescent="0.25">
      <c r="B24" s="15" t="s">
        <v>22</v>
      </c>
      <c r="C24" s="45">
        <v>0.495</v>
      </c>
    </row>
    <row r="25" spans="1:3" ht="15" customHeight="1" x14ac:dyDescent="0.25">
      <c r="B25" s="15" t="s">
        <v>23</v>
      </c>
      <c r="C25" s="45">
        <v>0.42230000000000001</v>
      </c>
    </row>
    <row r="26" spans="1:3" ht="15" customHeight="1" x14ac:dyDescent="0.25">
      <c r="B26" s="15" t="s">
        <v>24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3.5533999999999999</v>
      </c>
    </row>
    <row r="38" spans="1:5" ht="15" customHeight="1" x14ac:dyDescent="0.25">
      <c r="B38" s="11" t="s">
        <v>34</v>
      </c>
      <c r="C38" s="43">
        <v>4.7455299999999996</v>
      </c>
      <c r="D38" s="12"/>
      <c r="E38" s="13"/>
    </row>
    <row r="39" spans="1:5" ht="15" customHeight="1" x14ac:dyDescent="0.25">
      <c r="B39" s="11" t="s">
        <v>35</v>
      </c>
      <c r="C39" s="43">
        <v>5.4872699999999996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3.4918000000000002E-3</v>
      </c>
      <c r="D45" s="12"/>
    </row>
    <row r="46" spans="1:5" ht="15.75" customHeight="1" x14ac:dyDescent="0.25">
      <c r="B46" s="11" t="s">
        <v>41</v>
      </c>
      <c r="C46" s="45">
        <v>3.7518500000000003E-2</v>
      </c>
      <c r="D46" s="12"/>
    </row>
    <row r="47" spans="1:5" ht="15.75" customHeight="1" x14ac:dyDescent="0.25">
      <c r="B47" s="11" t="s">
        <v>42</v>
      </c>
      <c r="C47" s="45">
        <v>7.7681799999999995E-2</v>
      </c>
      <c r="D47" s="12"/>
      <c r="E47" s="13"/>
    </row>
    <row r="48" spans="1:5" ht="15" customHeight="1" x14ac:dyDescent="0.25">
      <c r="B48" s="11" t="s">
        <v>43</v>
      </c>
      <c r="C48" s="46">
        <v>0.88130790000000003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0.62314999999999998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64006</v>
      </c>
      <c r="C2" s="49">
        <v>194945</v>
      </c>
      <c r="D2" s="49">
        <v>376956.5</v>
      </c>
      <c r="E2" s="49">
        <v>464579</v>
      </c>
      <c r="F2" s="49">
        <v>480253.5</v>
      </c>
      <c r="G2" s="17">
        <f t="shared" ref="G2:G13" si="0">C2+D2+E2+F2</f>
        <v>1516734</v>
      </c>
      <c r="H2" s="17">
        <f t="shared" ref="H2:H13" si="1">(B2 + stillbirth*B2/(1000-stillbirth))/(1-abortion)</f>
        <v>73085.683475730766</v>
      </c>
      <c r="I2" s="17">
        <f t="shared" ref="I2:I13" si="2">G2-H2</f>
        <v>1443648.3165242693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62797</v>
      </c>
      <c r="C3" s="50">
        <v>195061.5</v>
      </c>
      <c r="D3" s="50">
        <v>366056.5</v>
      </c>
      <c r="E3" s="50">
        <v>454467</v>
      </c>
      <c r="F3" s="50">
        <v>475340.49999999988</v>
      </c>
      <c r="G3" s="17">
        <f t="shared" si="0"/>
        <v>1490925.5</v>
      </c>
      <c r="H3" s="17">
        <f t="shared" si="1"/>
        <v>71705.178658648656</v>
      </c>
      <c r="I3" s="17">
        <f t="shared" si="2"/>
        <v>1419220.3213413514</v>
      </c>
    </row>
    <row r="4" spans="1:9" ht="15.75" customHeight="1" x14ac:dyDescent="0.25">
      <c r="A4" s="5">
        <f t="shared" si="3"/>
        <v>2026</v>
      </c>
      <c r="B4" s="49">
        <v>61587</v>
      </c>
      <c r="C4" s="50">
        <v>197352.5</v>
      </c>
      <c r="D4" s="50">
        <v>353441</v>
      </c>
      <c r="E4" s="50">
        <v>445705</v>
      </c>
      <c r="F4" s="50">
        <v>469483.50000000012</v>
      </c>
      <c r="G4" s="17">
        <f t="shared" si="0"/>
        <v>1465982</v>
      </c>
      <c r="H4" s="17">
        <f t="shared" si="1"/>
        <v>70323.531984811285</v>
      </c>
      <c r="I4" s="17">
        <f t="shared" si="2"/>
        <v>1395658.4680151888</v>
      </c>
    </row>
    <row r="5" spans="1:9" ht="15.75" customHeight="1" x14ac:dyDescent="0.25">
      <c r="A5" s="5">
        <f t="shared" si="3"/>
        <v>2027</v>
      </c>
      <c r="B5" s="49">
        <v>60158</v>
      </c>
      <c r="C5" s="50">
        <v>200401</v>
      </c>
      <c r="D5" s="50">
        <v>341746</v>
      </c>
      <c r="E5" s="50">
        <v>435847</v>
      </c>
      <c r="F5" s="50">
        <v>462565.5</v>
      </c>
      <c r="G5" s="17">
        <f t="shared" si="0"/>
        <v>1440559.5</v>
      </c>
      <c r="H5" s="17">
        <f t="shared" si="1"/>
        <v>68691.818681576915</v>
      </c>
      <c r="I5" s="17">
        <f t="shared" si="2"/>
        <v>1371867.681318423</v>
      </c>
    </row>
    <row r="6" spans="1:9" ht="15.75" customHeight="1" x14ac:dyDescent="0.25">
      <c r="A6" s="5">
        <f t="shared" si="3"/>
        <v>2028</v>
      </c>
      <c r="B6" s="49">
        <v>58899</v>
      </c>
      <c r="C6" s="50">
        <v>202412</v>
      </c>
      <c r="D6" s="50">
        <v>336839.5</v>
      </c>
      <c r="E6" s="50">
        <v>420485.5</v>
      </c>
      <c r="F6" s="50">
        <v>456128.5</v>
      </c>
      <c r="G6" s="17">
        <f t="shared" si="0"/>
        <v>1415865.5</v>
      </c>
      <c r="H6" s="17">
        <f t="shared" si="1"/>
        <v>67254.221026732906</v>
      </c>
      <c r="I6" s="17">
        <f t="shared" si="2"/>
        <v>1348611.2789732672</v>
      </c>
    </row>
    <row r="7" spans="1:9" ht="15.75" customHeight="1" x14ac:dyDescent="0.25">
      <c r="A7" s="5">
        <f t="shared" si="3"/>
        <v>2029</v>
      </c>
      <c r="B7" s="49">
        <v>57606</v>
      </c>
      <c r="C7" s="50">
        <v>203577</v>
      </c>
      <c r="D7" s="50">
        <v>336796.5</v>
      </c>
      <c r="E7" s="50">
        <v>402995</v>
      </c>
      <c r="F7" s="50">
        <v>450686.5</v>
      </c>
      <c r="G7" s="17">
        <f t="shared" si="0"/>
        <v>1394055</v>
      </c>
      <c r="H7" s="17">
        <f t="shared" si="1"/>
        <v>65777.80024221084</v>
      </c>
      <c r="I7" s="17">
        <f t="shared" si="2"/>
        <v>1328277.1997577893</v>
      </c>
    </row>
    <row r="8" spans="1:9" ht="15.75" customHeight="1" x14ac:dyDescent="0.25">
      <c r="A8" s="5">
        <f t="shared" si="3"/>
        <v>2030</v>
      </c>
      <c r="B8" s="49">
        <v>56733</v>
      </c>
      <c r="C8" s="50">
        <v>203652</v>
      </c>
      <c r="D8" s="50">
        <v>335027</v>
      </c>
      <c r="E8" s="50">
        <v>389654.5</v>
      </c>
      <c r="F8" s="50">
        <v>444156.5</v>
      </c>
      <c r="G8" s="17">
        <f t="shared" si="0"/>
        <v>1372490</v>
      </c>
      <c r="H8" s="17">
        <f t="shared" si="1"/>
        <v>64780.959294888511</v>
      </c>
      <c r="I8" s="17">
        <f t="shared" si="2"/>
        <v>1307709.0407051116</v>
      </c>
    </row>
    <row r="9" spans="1:9" ht="15.75" customHeight="1" x14ac:dyDescent="0.25">
      <c r="A9" s="5">
        <f t="shared" si="3"/>
        <v>2031</v>
      </c>
      <c r="B9" s="49">
        <v>55693</v>
      </c>
      <c r="C9" s="50">
        <v>203015</v>
      </c>
      <c r="D9" s="50">
        <v>330494</v>
      </c>
      <c r="E9" s="50">
        <v>380410</v>
      </c>
      <c r="F9" s="50">
        <v>437503.5</v>
      </c>
      <c r="G9" s="17">
        <f t="shared" si="0"/>
        <v>1351422.5</v>
      </c>
      <c r="H9" s="17">
        <f t="shared" si="1"/>
        <v>63593.428269441516</v>
      </c>
      <c r="I9" s="17">
        <f t="shared" si="2"/>
        <v>1287829.0717305585</v>
      </c>
    </row>
    <row r="10" spans="1:9" ht="15.75" customHeight="1" x14ac:dyDescent="0.25">
      <c r="A10" s="5">
        <f t="shared" si="3"/>
        <v>2032</v>
      </c>
      <c r="B10" s="49">
        <v>54673</v>
      </c>
      <c r="C10" s="50">
        <v>201871</v>
      </c>
      <c r="D10" s="50">
        <v>324783</v>
      </c>
      <c r="E10" s="50">
        <v>374300.99999999988</v>
      </c>
      <c r="F10" s="50">
        <v>430965</v>
      </c>
      <c r="G10" s="17">
        <f t="shared" si="0"/>
        <v>1331920</v>
      </c>
      <c r="H10" s="17">
        <f t="shared" si="1"/>
        <v>62428.734379099282</v>
      </c>
      <c r="I10" s="17">
        <f t="shared" si="2"/>
        <v>1269491.2656209008</v>
      </c>
    </row>
    <row r="11" spans="1:9" ht="15.75" customHeight="1" x14ac:dyDescent="0.25">
      <c r="A11" s="5">
        <f t="shared" si="3"/>
        <v>2033</v>
      </c>
      <c r="B11" s="49">
        <v>53922</v>
      </c>
      <c r="C11" s="50">
        <v>200555</v>
      </c>
      <c r="D11" s="50">
        <v>319626.5</v>
      </c>
      <c r="E11" s="50">
        <v>368399.5</v>
      </c>
      <c r="F11" s="50">
        <v>422290.5</v>
      </c>
      <c r="G11" s="17">
        <f t="shared" si="0"/>
        <v>1310871.5</v>
      </c>
      <c r="H11" s="17">
        <f t="shared" si="1"/>
        <v>61571.199955915923</v>
      </c>
      <c r="I11" s="17">
        <f t="shared" si="2"/>
        <v>1249300.300044084</v>
      </c>
    </row>
    <row r="12" spans="1:9" ht="15.75" customHeight="1" x14ac:dyDescent="0.25">
      <c r="A12" s="5">
        <f t="shared" si="3"/>
        <v>2034</v>
      </c>
      <c r="B12" s="49">
        <v>53150</v>
      </c>
      <c r="C12" s="50">
        <v>199174.5</v>
      </c>
      <c r="D12" s="50">
        <v>316780.5</v>
      </c>
      <c r="E12" s="50">
        <v>360337</v>
      </c>
      <c r="F12" s="50">
        <v>412526</v>
      </c>
      <c r="G12" s="17">
        <f t="shared" si="0"/>
        <v>1288818</v>
      </c>
      <c r="H12" s="17">
        <f t="shared" si="1"/>
        <v>60689.686540872579</v>
      </c>
      <c r="I12" s="17">
        <f t="shared" si="2"/>
        <v>1228128.3134591274</v>
      </c>
    </row>
    <row r="13" spans="1:9" ht="15.75" customHeight="1" x14ac:dyDescent="0.25">
      <c r="A13" s="5">
        <f t="shared" si="3"/>
        <v>2035</v>
      </c>
      <c r="B13" s="49">
        <v>52470</v>
      </c>
      <c r="C13" s="50">
        <v>197270.5</v>
      </c>
      <c r="D13" s="50">
        <v>316916</v>
      </c>
      <c r="E13" s="50">
        <v>349489.5</v>
      </c>
      <c r="F13" s="50">
        <v>402773.5</v>
      </c>
      <c r="G13" s="17">
        <f t="shared" si="0"/>
        <v>1266449.5</v>
      </c>
      <c r="H13" s="17">
        <f t="shared" si="1"/>
        <v>59913.223947311089</v>
      </c>
      <c r="I13" s="17">
        <f t="shared" si="2"/>
        <v>1206536.2760526889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2.6376197362380321E-2</v>
      </c>
    </row>
    <row r="5" spans="1:8" ht="15.75" customHeight="1" x14ac:dyDescent="0.25">
      <c r="B5" s="19" t="s">
        <v>70</v>
      </c>
      <c r="C5" s="101">
        <v>1.9977998002200119E-2</v>
      </c>
    </row>
    <row r="6" spans="1:8" ht="15.75" customHeight="1" x14ac:dyDescent="0.25">
      <c r="B6" s="19" t="s">
        <v>71</v>
      </c>
      <c r="C6" s="101">
        <v>0.1411632858836713</v>
      </c>
    </row>
    <row r="7" spans="1:8" ht="15.75" customHeight="1" x14ac:dyDescent="0.25">
      <c r="B7" s="19" t="s">
        <v>72</v>
      </c>
      <c r="C7" s="101">
        <v>0.63213873678612653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0.1415473858452613</v>
      </c>
    </row>
    <row r="10" spans="1:8" ht="15.75" customHeight="1" x14ac:dyDescent="0.25">
      <c r="B10" s="19" t="s">
        <v>75</v>
      </c>
      <c r="C10" s="101">
        <v>3.8796396120360288E-2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82</v>
      </c>
      <c r="C15" s="101">
        <v>0.2425058603064156</v>
      </c>
      <c r="D15" s="101">
        <v>0.2425058603064156</v>
      </c>
      <c r="E15" s="101">
        <v>0.2425058603064156</v>
      </c>
      <c r="F15" s="101">
        <v>0.2425058603064156</v>
      </c>
    </row>
    <row r="16" spans="1:8" ht="15.75" customHeight="1" x14ac:dyDescent="0.25">
      <c r="B16" s="19" t="s">
        <v>83</v>
      </c>
      <c r="C16" s="101">
        <v>0.16458964421727099</v>
      </c>
      <c r="D16" s="101">
        <v>0.16458964421727099</v>
      </c>
      <c r="E16" s="101">
        <v>0.16458964421727099</v>
      </c>
      <c r="F16" s="101">
        <v>0.16458964421727099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0.37636846830508891</v>
      </c>
      <c r="D21" s="101">
        <v>0.37636846830508891</v>
      </c>
      <c r="E21" s="101">
        <v>0.37636846830508891</v>
      </c>
      <c r="F21" s="101">
        <v>0.37636846830508891</v>
      </c>
    </row>
    <row r="22" spans="1:8" ht="15.75" customHeight="1" x14ac:dyDescent="0.25">
      <c r="B22" s="19" t="s">
        <v>89</v>
      </c>
      <c r="C22" s="101">
        <v>0.2034971532456139</v>
      </c>
      <c r="D22" s="101">
        <v>0.2034971532456139</v>
      </c>
      <c r="E22" s="101">
        <v>0.2034971532456139</v>
      </c>
      <c r="F22" s="101">
        <v>0.2034971532456139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7.6356962E-2</v>
      </c>
    </row>
    <row r="27" spans="1:8" ht="15.75" customHeight="1" x14ac:dyDescent="0.25">
      <c r="B27" s="19" t="s">
        <v>92</v>
      </c>
      <c r="C27" s="101">
        <v>4.6857983999999978E-2</v>
      </c>
    </row>
    <row r="28" spans="1:8" ht="15.75" customHeight="1" x14ac:dyDescent="0.25">
      <c r="B28" s="19" t="s">
        <v>93</v>
      </c>
      <c r="C28" s="101">
        <v>8.0995853000000007E-2</v>
      </c>
    </row>
    <row r="29" spans="1:8" ht="15.75" customHeight="1" x14ac:dyDescent="0.25">
      <c r="B29" s="19" t="s">
        <v>94</v>
      </c>
      <c r="C29" s="101">
        <v>0.17572802300000001</v>
      </c>
    </row>
    <row r="30" spans="1:8" ht="15.75" customHeight="1" x14ac:dyDescent="0.25">
      <c r="B30" s="19" t="s">
        <v>95</v>
      </c>
      <c r="C30" s="101">
        <v>0.102999484</v>
      </c>
    </row>
    <row r="31" spans="1:8" ht="15.75" customHeight="1" x14ac:dyDescent="0.25">
      <c r="B31" s="19" t="s">
        <v>96</v>
      </c>
      <c r="C31" s="101">
        <v>3.8216664999999997E-2</v>
      </c>
    </row>
    <row r="32" spans="1:8" ht="15.75" customHeight="1" x14ac:dyDescent="0.25">
      <c r="B32" s="19" t="s">
        <v>97</v>
      </c>
      <c r="C32" s="101">
        <v>0.17722406800000001</v>
      </c>
    </row>
    <row r="33" spans="2:3" ht="15.75" customHeight="1" x14ac:dyDescent="0.25">
      <c r="B33" s="19" t="s">
        <v>98</v>
      </c>
      <c r="C33" s="101">
        <v>0.162579839</v>
      </c>
    </row>
    <row r="34" spans="2:3" ht="15.75" customHeight="1" x14ac:dyDescent="0.25">
      <c r="B34" s="19" t="s">
        <v>99</v>
      </c>
      <c r="C34" s="101">
        <v>0.13904112199999999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104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105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109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122</v>
      </c>
      <c r="C5" s="52">
        <v>4.9157800000000001E-2</v>
      </c>
      <c r="D5" s="52">
        <v>0.30282759999999997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66.2077864022162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6.0795311102264001E-2</v>
      </c>
      <c r="C3" s="98">
        <v>0.95</v>
      </c>
      <c r="D3" s="56">
        <v>40.063438578113967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542.61982788724652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6.9000643786438447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13.195738021909881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13.195738021909881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13.195738021909881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13.195738021909881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13.195738021909881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13.195738021909881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0.90250382180522548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0.12592909999999999</v>
      </c>
      <c r="C18" s="98">
        <v>0.95</v>
      </c>
      <c r="D18" s="56">
        <v>12.47074045559749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0.97910419999999998</v>
      </c>
      <c r="C19" s="98">
        <v>0.95</v>
      </c>
      <c r="D19" s="56">
        <v>12.47074045559749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0.94893539999999998</v>
      </c>
      <c r="C21" s="98">
        <v>0.95</v>
      </c>
      <c r="D21" s="56">
        <v>68.582775194044444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22.867873379757981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4.3940617735474108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0.95424920000000002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18.764182705510279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0.74832009999999993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132.3139429353005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1.1924310040780739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1.956691543072911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0.85884820000000006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0.35967890000000002</v>
      </c>
      <c r="C38" s="98">
        <v>0.95</v>
      </c>
      <c r="D38" s="56">
        <v>2.764629090051816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5.5E-2</v>
      </c>
      <c r="E2" s="60">
        <f>food_insecure</f>
        <v>5.5E-2</v>
      </c>
      <c r="F2" s="60">
        <f>food_insecure</f>
        <v>5.5E-2</v>
      </c>
      <c r="G2" s="60">
        <f>food_insecure</f>
        <v>5.5E-2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5.5E-2</v>
      </c>
      <c r="I15" s="60">
        <f>food_insecure</f>
        <v>5.5E-2</v>
      </c>
      <c r="J15" s="60">
        <f>food_insecure</f>
        <v>5.5E-2</v>
      </c>
      <c r="K15" s="60">
        <f>food_insecure</f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2024-05-09T01:46:53Z</dcterms:modified>
</cp:coreProperties>
</file>