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27C37E99-4E14-4D6E-9E10-54E329F04DE5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A35" i="2"/>
  <c r="A25" i="2"/>
  <c r="A24" i="2"/>
  <c r="A19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I6" i="2" s="1"/>
  <c r="H5" i="2"/>
  <c r="G5" i="2"/>
  <c r="H4" i="2"/>
  <c r="G4" i="2"/>
  <c r="I4" i="2" s="1"/>
  <c r="H3" i="2"/>
  <c r="G3" i="2"/>
  <c r="H2" i="2"/>
  <c r="G2" i="2"/>
  <c r="I2" i="2" s="1"/>
  <c r="A2" i="2"/>
  <c r="A39" i="2" s="1"/>
  <c r="C33" i="1"/>
  <c r="C20" i="1"/>
  <c r="I38" i="2" l="1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<sst xmlns="http://schemas.openxmlformats.org/spreadsheetml/2006/main" count="2159" uniqueCount="372">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</sst>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301541</v>
      </c>
    </row>
    <row r="8" spans="1:3" ht="15" customHeight="1" x14ac:dyDescent="0.25">
      <c r="B8" s="5" t="s">
        <v>8</v>
      </c>
      <c r="C8" s="44">
        <v>5.5E-2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0.92928009033203096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0.74900000000000011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5.9700000000000003E-2</v>
      </c>
    </row>
    <row r="24" spans="1:3" ht="15" customHeight="1" x14ac:dyDescent="0.25">
      <c r="B24" s="15" t="s">
        <v>22</v>
      </c>
      <c r="C24" s="45">
        <v>0.495</v>
      </c>
    </row>
    <row r="25" spans="1:3" ht="15" customHeight="1" x14ac:dyDescent="0.25">
      <c r="B25" s="15" t="s">
        <v>23</v>
      </c>
      <c r="C25" s="45">
        <v>0.42230000000000001</v>
      </c>
    </row>
    <row r="26" spans="1:3" ht="15" customHeight="1" x14ac:dyDescent="0.25">
      <c r="B26" s="15" t="s">
        <v>24</v>
      </c>
      <c r="C26" s="45">
        <v>2.3E-2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0.51101988116637098</v>
      </c>
    </row>
    <row r="30" spans="1:3" ht="14.25" customHeight="1" x14ac:dyDescent="0.25">
      <c r="B30" s="25" t="s">
        <v>27</v>
      </c>
      <c r="C30" s="99">
        <v>3.6928466503456402E-2</v>
      </c>
    </row>
    <row r="31" spans="1:3" ht="14.25" customHeight="1" x14ac:dyDescent="0.25">
      <c r="B31" s="25" t="s">
        <v>28</v>
      </c>
      <c r="C31" s="99">
        <v>4.0966963582223501E-2</v>
      </c>
    </row>
    <row r="32" spans="1:3" ht="14.25" customHeight="1" x14ac:dyDescent="0.25">
      <c r="B32" s="25" t="s">
        <v>29</v>
      </c>
      <c r="C32" s="99">
        <v>0.41108468874794901</v>
      </c>
    </row>
    <row r="33" spans="1:5" ht="13.25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3.5533999999999999</v>
      </c>
    </row>
    <row r="38" spans="1:5" ht="15" customHeight="1" x14ac:dyDescent="0.25">
      <c r="B38" s="11" t="s">
        <v>34</v>
      </c>
      <c r="C38" s="43">
        <v>4.7455299999999996</v>
      </c>
      <c r="D38" s="12"/>
      <c r="E38" s="13"/>
    </row>
    <row r="39" spans="1:5" ht="15" customHeight="1" x14ac:dyDescent="0.25">
      <c r="B39" s="11" t="s">
        <v>35</v>
      </c>
      <c r="C39" s="43">
        <v>5.4872699999999996</v>
      </c>
      <c r="D39" s="12"/>
      <c r="E39" s="12"/>
    </row>
    <row r="40" spans="1:5" ht="15" customHeight="1" x14ac:dyDescent="0.25">
      <c r="B40" s="11" t="s">
        <v>36</v>
      </c>
      <c r="C40" s="100">
        <v>0.1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4.8106900000000001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3.4918000000000002E-3</v>
      </c>
      <c r="D45" s="12"/>
    </row>
    <row r="46" spans="1:5" ht="15.75" customHeight="1" x14ac:dyDescent="0.25">
      <c r="B46" s="11" t="s">
        <v>41</v>
      </c>
      <c r="C46" s="45">
        <v>3.7518500000000003E-2</v>
      </c>
      <c r="D46" s="12"/>
    </row>
    <row r="47" spans="1:5" ht="15.75" customHeight="1" x14ac:dyDescent="0.25">
      <c r="B47" s="11" t="s">
        <v>42</v>
      </c>
      <c r="C47" s="45">
        <v>7.7681799999999995E-2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0.62314999999999998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4.5343641999999899E-2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58988</v>
      </c>
      <c r="C2" s="49">
        <v>168609</v>
      </c>
      <c r="D2" s="49">
        <v>363775</v>
      </c>
      <c r="E2" s="49">
        <v>428512</v>
      </c>
      <c r="F2" s="49">
        <v>489881</v>
      </c>
      <c r="G2" s="17">
        <f t="shared" ref="G2:G13" si="0">C2+D2+E2+F2</f>
        <v>1450777</v>
      </c>
      <c r="H2" s="17">
        <f t="shared" ref="H2:H13" si="1">(B2 + stillbirth*B2/(1000-stillbirth))/(1-abortion)</f>
        <v>67355.846277949051</v>
      </c>
      <c r="I2" s="17">
        <f t="shared" ref="I2:I13" si="2">G2-H2</f>
        <v>1383421.1537220511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58142</v>
      </c>
      <c r="C3" s="50">
        <v>166224.5</v>
      </c>
      <c r="D3" s="50">
        <v>356852.5</v>
      </c>
      <c r="E3" s="50">
        <v>419605.5</v>
      </c>
      <c r="F3" s="50">
        <v>486820.5</v>
      </c>
      <c r="G3" s="17">
        <f t="shared" si="0"/>
        <v>1429503</v>
      </c>
      <c r="H3" s="17">
        <f t="shared" si="1"/>
        <v>66389.835463018127</v>
      </c>
      <c r="I3" s="17">
        <f t="shared" si="2"/>
        <v>1363113.1645369818</v>
      </c>
    </row>
    <row r="4" spans="1:9" ht="15.75" customHeight="1" x14ac:dyDescent="0.25">
      <c r="A4" s="5">
        <f t="shared" si="3"/>
        <v>2026</v>
      </c>
      <c r="B4" s="49">
        <v>57151</v>
      </c>
      <c r="C4" s="50">
        <v>164395</v>
      </c>
      <c r="D4" s="50">
        <v>350086</v>
      </c>
      <c r="E4" s="50">
        <v>411985</v>
      </c>
      <c r="F4" s="50">
        <v>481438.99999999994</v>
      </c>
      <c r="G4" s="17">
        <f t="shared" si="0"/>
        <v>1407905</v>
      </c>
      <c r="H4" s="17">
        <f t="shared" si="1"/>
        <v>65258.255418577777</v>
      </c>
      <c r="I4" s="17">
        <f t="shared" si="2"/>
        <v>1342646.7445814223</v>
      </c>
    </row>
    <row r="5" spans="1:9" ht="15.75" customHeight="1" x14ac:dyDescent="0.25">
      <c r="A5" s="5">
        <f t="shared" si="3"/>
        <v>2027</v>
      </c>
      <c r="B5" s="49">
        <v>56385</v>
      </c>
      <c r="C5" s="50">
        <v>163258.5</v>
      </c>
      <c r="D5" s="50">
        <v>344814.49999999994</v>
      </c>
      <c r="E5" s="50">
        <v>404082</v>
      </c>
      <c r="F5" s="50">
        <v>475496.49999999994</v>
      </c>
      <c r="G5" s="17">
        <f t="shared" si="0"/>
        <v>1387651.5</v>
      </c>
      <c r="H5" s="17">
        <f t="shared" si="1"/>
        <v>64383.593144065868</v>
      </c>
      <c r="I5" s="17">
        <f t="shared" si="2"/>
        <v>1323267.9068559341</v>
      </c>
    </row>
    <row r="6" spans="1:9" ht="15.75" customHeight="1" x14ac:dyDescent="0.25">
      <c r="A6" s="5">
        <f t="shared" si="3"/>
        <v>2028</v>
      </c>
      <c r="B6" s="49">
        <v>55641</v>
      </c>
      <c r="C6" s="50">
        <v>162542</v>
      </c>
      <c r="D6" s="50">
        <v>340786</v>
      </c>
      <c r="E6" s="50">
        <v>395133.5</v>
      </c>
      <c r="F6" s="50">
        <v>469486.99999999994</v>
      </c>
      <c r="G6" s="17">
        <f t="shared" si="0"/>
        <v>1367948.5</v>
      </c>
      <c r="H6" s="17">
        <f t="shared" si="1"/>
        <v>63534.051718169168</v>
      </c>
      <c r="I6" s="17">
        <f t="shared" si="2"/>
        <v>1304414.4482818309</v>
      </c>
    </row>
    <row r="7" spans="1:9" ht="15.75" customHeight="1" x14ac:dyDescent="0.25">
      <c r="A7" s="5">
        <f t="shared" si="3"/>
        <v>2029</v>
      </c>
      <c r="B7" s="49">
        <v>54918</v>
      </c>
      <c r="C7" s="50">
        <v>162084.5</v>
      </c>
      <c r="D7" s="50">
        <v>337685</v>
      </c>
      <c r="E7" s="50">
        <v>386496</v>
      </c>
      <c r="F7" s="50">
        <v>462685.5</v>
      </c>
      <c r="G7" s="17">
        <f t="shared" si="0"/>
        <v>1348951</v>
      </c>
      <c r="H7" s="17">
        <f t="shared" si="1"/>
        <v>62708.489284132462</v>
      </c>
      <c r="I7" s="17">
        <f t="shared" si="2"/>
        <v>1286242.5107158676</v>
      </c>
    </row>
    <row r="8" spans="1:9" ht="15.75" customHeight="1" x14ac:dyDescent="0.25">
      <c r="A8" s="5">
        <f t="shared" si="3"/>
        <v>2030</v>
      </c>
      <c r="B8" s="49">
        <v>54248</v>
      </c>
      <c r="C8" s="50">
        <v>161796.5</v>
      </c>
      <c r="D8" s="50">
        <v>335078.99999999994</v>
      </c>
      <c r="E8" s="50">
        <v>378670.49999999994</v>
      </c>
      <c r="F8" s="50">
        <v>454998</v>
      </c>
      <c r="G8" s="17">
        <f t="shared" si="0"/>
        <v>1330544</v>
      </c>
      <c r="H8" s="17">
        <f t="shared" si="1"/>
        <v>61943.445258123342</v>
      </c>
      <c r="I8" s="17">
        <f t="shared" si="2"/>
        <v>1268600.5547418767</v>
      </c>
    </row>
    <row r="9" spans="1:9" ht="15.75" customHeight="1" x14ac:dyDescent="0.25">
      <c r="A9" s="5">
        <f t="shared" si="3"/>
        <v>2031</v>
      </c>
      <c r="B9" s="49">
        <v>53607</v>
      </c>
      <c r="C9" s="50">
        <v>161580.5</v>
      </c>
      <c r="D9" s="50">
        <v>331620.5</v>
      </c>
      <c r="E9" s="50">
        <v>371982.49999999994</v>
      </c>
      <c r="F9" s="50">
        <v>447359</v>
      </c>
      <c r="G9" s="17">
        <f t="shared" si="0"/>
        <v>1312542.5</v>
      </c>
      <c r="H9" s="17">
        <f t="shared" si="1"/>
        <v>61211.515078016113</v>
      </c>
      <c r="I9" s="17">
        <f t="shared" si="2"/>
        <v>1251330.9849219839</v>
      </c>
    </row>
    <row r="10" spans="1:9" ht="15.75" customHeight="1" x14ac:dyDescent="0.25">
      <c r="A10" s="5">
        <f t="shared" si="3"/>
        <v>2032</v>
      </c>
      <c r="B10" s="49">
        <v>53089</v>
      </c>
      <c r="C10" s="50">
        <v>161340.5</v>
      </c>
      <c r="D10" s="50">
        <v>327357</v>
      </c>
      <c r="E10" s="50">
        <v>366563.5</v>
      </c>
      <c r="F10" s="50">
        <v>439566.00000000006</v>
      </c>
      <c r="G10" s="17">
        <f t="shared" si="0"/>
        <v>1294827</v>
      </c>
      <c r="H10" s="17">
        <f t="shared" si="1"/>
        <v>60620.033278803094</v>
      </c>
      <c r="I10" s="17">
        <f t="shared" si="2"/>
        <v>1234206.9667211969</v>
      </c>
    </row>
    <row r="11" spans="1:9" ht="15.75" customHeight="1" x14ac:dyDescent="0.25">
      <c r="A11" s="5">
        <f t="shared" si="3"/>
        <v>2033</v>
      </c>
      <c r="B11" s="49">
        <v>52565</v>
      </c>
      <c r="C11" s="50">
        <v>160991.5</v>
      </c>
      <c r="D11" s="50">
        <v>323592.99999999994</v>
      </c>
      <c r="E11" s="50">
        <v>361291.00000000006</v>
      </c>
      <c r="F11" s="50">
        <v>430987.49999999994</v>
      </c>
      <c r="G11" s="17">
        <f t="shared" si="0"/>
        <v>1276863</v>
      </c>
      <c r="H11" s="17">
        <f t="shared" si="1"/>
        <v>60021.700339058654</v>
      </c>
      <c r="I11" s="17">
        <f t="shared" si="2"/>
        <v>1216841.2996609414</v>
      </c>
    </row>
    <row r="12" spans="1:9" ht="15.75" customHeight="1" x14ac:dyDescent="0.25">
      <c r="A12" s="5">
        <f t="shared" si="3"/>
        <v>2034</v>
      </c>
      <c r="B12" s="49">
        <v>52055</v>
      </c>
      <c r="C12" s="50">
        <v>160349</v>
      </c>
      <c r="D12" s="50">
        <v>320683.99999999994</v>
      </c>
      <c r="E12" s="50">
        <v>355714.50000000006</v>
      </c>
      <c r="F12" s="50">
        <v>421905.49999999994</v>
      </c>
      <c r="G12" s="17">
        <f t="shared" si="0"/>
        <v>1258653</v>
      </c>
      <c r="H12" s="17">
        <f t="shared" si="1"/>
        <v>59439.353393887533</v>
      </c>
      <c r="I12" s="17">
        <f t="shared" si="2"/>
        <v>1199213.6466061124</v>
      </c>
    </row>
    <row r="13" spans="1:9" ht="15.75" customHeight="1" x14ac:dyDescent="0.25">
      <c r="A13" s="5">
        <f t="shared" si="3"/>
        <v>2035</v>
      </c>
      <c r="B13" s="49">
        <v>51638</v>
      </c>
      <c r="C13" s="50">
        <v>159217.5</v>
      </c>
      <c r="D13" s="50">
        <v>318483.5</v>
      </c>
      <c r="E13" s="50">
        <v>349934.49999999994</v>
      </c>
      <c r="F13" s="50">
        <v>413707.5</v>
      </c>
      <c r="G13" s="17">
        <f t="shared" si="0"/>
        <v>1241343</v>
      </c>
      <c r="H13" s="17">
        <f t="shared" si="1"/>
        <v>58963.199126953499</v>
      </c>
      <c r="I13" s="17">
        <f t="shared" si="2"/>
        <v>1182379.8008730465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2.6376197362380321E-2</v>
      </c>
    </row>
    <row r="5" spans="1:8" ht="15.75" customHeight="1" x14ac:dyDescent="0.25">
      <c r="B5" s="19" t="s">
        <v>70</v>
      </c>
      <c r="C5" s="101">
        <v>1.9977998002200119E-2</v>
      </c>
    </row>
    <row r="6" spans="1:8" ht="15.75" customHeight="1" x14ac:dyDescent="0.25">
      <c r="B6" s="19" t="s">
        <v>71</v>
      </c>
      <c r="C6" s="101">
        <v>0.1411632858836713</v>
      </c>
    </row>
    <row r="7" spans="1:8" ht="15.75" customHeight="1" x14ac:dyDescent="0.25">
      <c r="B7" s="19" t="s">
        <v>72</v>
      </c>
      <c r="C7" s="101">
        <v>0.63213873678612653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0.1415473858452613</v>
      </c>
    </row>
    <row r="10" spans="1:8" ht="15.75" customHeight="1" x14ac:dyDescent="0.25">
      <c r="B10" s="19" t="s">
        <v>75</v>
      </c>
      <c r="C10" s="101">
        <v>3.8796396120360288E-2</v>
      </c>
    </row>
    <row r="11" spans="1:8" ht="15.75" customHeight="1" x14ac:dyDescent="0.25">
      <c r="B11" s="27" t="s">
        <v>30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1.3038873925610541E-2</v>
      </c>
      <c r="D14" s="55">
        <v>1.3038873925610541E-2</v>
      </c>
      <c r="E14" s="55">
        <v>1.3038873925610541E-2</v>
      </c>
      <c r="F14" s="55">
        <v>1.3038873925610541E-2</v>
      </c>
    </row>
    <row r="15" spans="1:8" ht="15.75" customHeight="1" x14ac:dyDescent="0.25">
      <c r="B15" s="19" t="s">
        <v>82</v>
      </c>
      <c r="C15" s="101">
        <v>0.2425058603064156</v>
      </c>
      <c r="D15" s="101">
        <v>0.2425058603064156</v>
      </c>
      <c r="E15" s="101">
        <v>0.2425058603064156</v>
      </c>
      <c r="F15" s="101">
        <v>0.2425058603064156</v>
      </c>
    </row>
    <row r="16" spans="1:8" ht="15.75" customHeight="1" x14ac:dyDescent="0.25">
      <c r="B16" s="19" t="s">
        <v>83</v>
      </c>
      <c r="C16" s="101">
        <v>0.16458964421727099</v>
      </c>
      <c r="D16" s="101">
        <v>0.16458964421727099</v>
      </c>
      <c r="E16" s="101">
        <v>0.16458964421727099</v>
      </c>
      <c r="F16" s="101">
        <v>0.16458964421727099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0.37636846830508891</v>
      </c>
      <c r="D21" s="101">
        <v>0.37636846830508891</v>
      </c>
      <c r="E21" s="101">
        <v>0.37636846830508891</v>
      </c>
      <c r="F21" s="101">
        <v>0.37636846830508891</v>
      </c>
    </row>
    <row r="22" spans="1:8" ht="15.75" customHeight="1" x14ac:dyDescent="0.25">
      <c r="B22" s="19" t="s">
        <v>89</v>
      </c>
      <c r="C22" s="101">
        <v>0.2034971532456139</v>
      </c>
      <c r="D22" s="101">
        <v>0.2034971532456139</v>
      </c>
      <c r="E22" s="101">
        <v>0.2034971532456139</v>
      </c>
      <c r="F22" s="101">
        <v>0.2034971532456139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7.6356962E-2</v>
      </c>
    </row>
    <row r="27" spans="1:8" ht="15.75" customHeight="1" x14ac:dyDescent="0.25">
      <c r="B27" s="19" t="s">
        <v>92</v>
      </c>
      <c r="C27" s="101">
        <v>4.6857983999999978E-2</v>
      </c>
    </row>
    <row r="28" spans="1:8" ht="15.75" customHeight="1" x14ac:dyDescent="0.25">
      <c r="B28" s="19" t="s">
        <v>93</v>
      </c>
      <c r="C28" s="101">
        <v>8.0995853000000007E-2</v>
      </c>
    </row>
    <row r="29" spans="1:8" ht="15.75" customHeight="1" x14ac:dyDescent="0.25">
      <c r="B29" s="19" t="s">
        <v>94</v>
      </c>
      <c r="C29" s="101">
        <v>0.17572802300000001</v>
      </c>
    </row>
    <row r="30" spans="1:8" ht="15.75" customHeight="1" x14ac:dyDescent="0.25">
      <c r="B30" s="19" t="s">
        <v>95</v>
      </c>
      <c r="C30" s="101">
        <v>0.102999484</v>
      </c>
    </row>
    <row r="31" spans="1:8" ht="15.75" customHeight="1" x14ac:dyDescent="0.25">
      <c r="B31" s="19" t="s">
        <v>96</v>
      </c>
      <c r="C31" s="101">
        <v>3.8216664999999997E-2</v>
      </c>
    </row>
    <row r="32" spans="1:8" ht="15.75" customHeight="1" x14ac:dyDescent="0.25">
      <c r="B32" s="19" t="s">
        <v>97</v>
      </c>
      <c r="C32" s="101">
        <v>0.17722406800000001</v>
      </c>
    </row>
    <row r="33" spans="2:3" ht="15.75" customHeight="1" x14ac:dyDescent="0.25">
      <c r="B33" s="19" t="s">
        <v>98</v>
      </c>
      <c r="C33" s="101">
        <v>0.162579839</v>
      </c>
    </row>
    <row r="34" spans="2:3" ht="15.75" customHeight="1" x14ac:dyDescent="0.25">
      <c r="B34" s="19" t="s">
        <v>99</v>
      </c>
      <c r="C34" s="101">
        <v>0.13904112199999999</v>
      </c>
    </row>
    <row r="35" spans="2:3" ht="15.75" customHeight="1" x14ac:dyDescent="0.25">
      <c r="B35" s="27" t="s">
        <v>30</v>
      </c>
      <c r="C35" s="48">
        <f>SUM(C26:C34)</f>
        <v>0.99999999999999989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0.59390726713780428</v>
      </c>
      <c r="D2" s="52">
        <f>IFERROR(1-_xlfn.NORM.DIST(_xlfn.NORM.INV(SUM(D4:D5), 0, 1) + 1, 0, 1, TRUE), "")</f>
        <v>0.59390726713780428</v>
      </c>
      <c r="E2" s="52">
        <f>IFERROR(1-_xlfn.NORM.DIST(_xlfn.NORM.INV(SUM(E4:E5), 0, 1) + 1, 0, 1, TRUE), "")</f>
        <v>0.74371708472323184</v>
      </c>
      <c r="F2" s="52">
        <f>IFERROR(1-_xlfn.NORM.DIST(_xlfn.NORM.INV(SUM(F4:F5), 0, 1) + 1, 0, 1, TRUE), "")</f>
        <v>0.77886571160733875</v>
      </c>
      <c r="G2" s="52">
        <f>IFERROR(1-_xlfn.NORM.DIST(_xlfn.NORM.INV(SUM(G4:G5), 0, 1) + 1, 0, 1, TRUE), "")</f>
        <v>0.72889505518581521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0.29816193286219578</v>
      </c>
      <c r="D3" s="52">
        <f>IFERROR(_xlfn.NORM.DIST(_xlfn.NORM.INV(SUM(D4:D5), 0, 1) + 1, 0, 1, TRUE) - SUM(D4:D5), "")</f>
        <v>0.29816193286219578</v>
      </c>
      <c r="E3" s="52">
        <f>IFERROR(_xlfn.NORM.DIST(_xlfn.NORM.INV(SUM(E4:E5), 0, 1) + 1, 0, 1, TRUE) - SUM(E4:E5), "")</f>
        <v>0.20730521527676815</v>
      </c>
      <c r="F3" s="52">
        <f>IFERROR(_xlfn.NORM.DIST(_xlfn.NORM.INV(SUM(F4:F5), 0, 1) + 1, 0, 1, TRUE) - SUM(F4:F5), "")</f>
        <v>0.18263458839266131</v>
      </c>
      <c r="G3" s="52">
        <f>IFERROR(_xlfn.NORM.DIST(_xlfn.NORM.INV(SUM(G4:G5), 0, 1) + 1, 0, 1, TRUE) - SUM(G4:G5), "")</f>
        <v>0.21734864481418481</v>
      </c>
    </row>
    <row r="4" spans="1:15" ht="15.75" customHeight="1" x14ac:dyDescent="0.25">
      <c r="B4" s="5" t="s">
        <v>104</v>
      </c>
      <c r="C4" s="45">
        <v>7.0136699999999996E-2</v>
      </c>
      <c r="D4" s="53">
        <v>7.0136699999999996E-2</v>
      </c>
      <c r="E4" s="53">
        <v>3.4336800000000001E-2</v>
      </c>
      <c r="F4" s="53">
        <v>2.6632300000000001E-2</v>
      </c>
      <c r="G4" s="53">
        <v>3.4629399999999998E-2</v>
      </c>
    </row>
    <row r="5" spans="1:15" ht="15.75" customHeight="1" x14ac:dyDescent="0.25">
      <c r="B5" s="5" t="s">
        <v>105</v>
      </c>
      <c r="C5" s="45">
        <v>3.7794099999999997E-2</v>
      </c>
      <c r="D5" s="53">
        <v>3.7794099999999997E-2</v>
      </c>
      <c r="E5" s="53">
        <v>1.46409E-2</v>
      </c>
      <c r="F5" s="53">
        <v>1.18674E-2</v>
      </c>
      <c r="G5" s="53">
        <v>1.9126899999999999E-2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0.68723648599051779</v>
      </c>
      <c r="D8" s="52">
        <f>IFERROR(1-_xlfn.NORM.DIST(_xlfn.NORM.INV(SUM(D10:D11), 0, 1) + 1, 0, 1, TRUE), "")</f>
        <v>0.68723648599051779</v>
      </c>
      <c r="E8" s="52">
        <f>IFERROR(1-_xlfn.NORM.DIST(_xlfn.NORM.INV(SUM(E10:E11), 0, 1) + 1, 0, 1, TRUE), "")</f>
        <v>0.77701468268072693</v>
      </c>
      <c r="F8" s="52">
        <f>IFERROR(1-_xlfn.NORM.DIST(_xlfn.NORM.INV(SUM(F10:F11), 0, 1) + 1, 0, 1, TRUE), "")</f>
        <v>0.9136633808576291</v>
      </c>
      <c r="G8" s="52">
        <f>IFERROR(1-_xlfn.NORM.DIST(_xlfn.NORM.INV(SUM(G10:G11), 0, 1) + 1, 0, 1, TRUE), "")</f>
        <v>0.83498121266580128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0.24439231400948222</v>
      </c>
      <c r="D9" s="52">
        <f>IFERROR(_xlfn.NORM.DIST(_xlfn.NORM.INV(SUM(D10:D11), 0, 1) + 1, 0, 1, TRUE) - SUM(D10:D11), "")</f>
        <v>0.24439231400948222</v>
      </c>
      <c r="E9" s="52">
        <f>IFERROR(_xlfn.NORM.DIST(_xlfn.NORM.INV(SUM(E10:E11), 0, 1) + 1, 0, 1, TRUE) - SUM(E10:E11), "")</f>
        <v>0.18396331731927304</v>
      </c>
      <c r="F9" s="52">
        <f>IFERROR(_xlfn.NORM.DIST(_xlfn.NORM.INV(SUM(F10:F11), 0, 1) + 1, 0, 1, TRUE) - SUM(F10:F11), "")</f>
        <v>7.7289019142370949E-2</v>
      </c>
      <c r="G9" s="52">
        <f>IFERROR(_xlfn.NORM.DIST(_xlfn.NORM.INV(SUM(G10:G11), 0, 1) + 1, 0, 1, TRUE) - SUM(G10:G11), "")</f>
        <v>0.14083008733419869</v>
      </c>
    </row>
    <row r="10" spans="1:15" ht="15.75" customHeight="1" x14ac:dyDescent="0.25">
      <c r="B10" s="5" t="s">
        <v>109</v>
      </c>
      <c r="C10" s="45">
        <v>6.8371199999999993E-2</v>
      </c>
      <c r="D10" s="53">
        <v>6.8371199999999993E-2</v>
      </c>
      <c r="E10" s="53">
        <v>2.5490800000000001E-2</v>
      </c>
      <c r="F10" s="53">
        <v>2.9429999999999999E-3</v>
      </c>
      <c r="G10" s="53">
        <v>2.01747E-2</v>
      </c>
    </row>
    <row r="11" spans="1:15" ht="15.75" customHeight="1" x14ac:dyDescent="0.25">
      <c r="B11" s="5" t="s">
        <v>110</v>
      </c>
      <c r="C11" s="45">
        <v>0</v>
      </c>
      <c r="D11" s="53">
        <v>0</v>
      </c>
      <c r="E11" s="53">
        <v>1.35312E-2</v>
      </c>
      <c r="F11" s="53">
        <v>6.1046E-3</v>
      </c>
      <c r="G11" s="53">
        <v>4.0140000000000002E-3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0.40326360550000012</v>
      </c>
      <c r="D14" s="54">
        <v>0.41716673795999992</v>
      </c>
      <c r="E14" s="54">
        <v>0.41716673795999992</v>
      </c>
      <c r="F14" s="54">
        <v>0.180481621654</v>
      </c>
      <c r="G14" s="54">
        <v>0.180481621654</v>
      </c>
      <c r="H14" s="45">
        <v>0.28399999999999997</v>
      </c>
      <c r="I14" s="55">
        <v>0.28399999999999997</v>
      </c>
      <c r="J14" s="55">
        <v>0.28399999999999997</v>
      </c>
      <c r="K14" s="55">
        <v>0.28399999999999997</v>
      </c>
      <c r="L14" s="45">
        <v>0.27200000000000002</v>
      </c>
      <c r="M14" s="55">
        <v>0.27200000000000002</v>
      </c>
      <c r="N14" s="55">
        <v>0.27200000000000002</v>
      </c>
      <c r="O14" s="55">
        <v>0.27200000000000002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0.25129371576732507</v>
      </c>
      <c r="D15" s="52">
        <f t="shared" si="0"/>
        <v>0.25995745275977394</v>
      </c>
      <c r="E15" s="52">
        <f t="shared" si="0"/>
        <v>0.25995745275977394</v>
      </c>
      <c r="F15" s="52">
        <f t="shared" si="0"/>
        <v>0.11246712253369009</v>
      </c>
      <c r="G15" s="52">
        <f t="shared" si="0"/>
        <v>0.11246712253369009</v>
      </c>
      <c r="H15" s="52">
        <f t="shared" si="0"/>
        <v>0.17697459999999998</v>
      </c>
      <c r="I15" s="52">
        <f t="shared" si="0"/>
        <v>0.17697459999999998</v>
      </c>
      <c r="J15" s="52">
        <f t="shared" si="0"/>
        <v>0.17697459999999998</v>
      </c>
      <c r="K15" s="52">
        <f t="shared" si="0"/>
        <v>0.17697459999999998</v>
      </c>
      <c r="L15" s="52">
        <f t="shared" si="0"/>
        <v>0.1694968</v>
      </c>
      <c r="M15" s="52">
        <f t="shared" si="0"/>
        <v>0.1694968</v>
      </c>
      <c r="N15" s="52">
        <f t="shared" si="0"/>
        <v>0.1694968</v>
      </c>
      <c r="O15" s="52">
        <f t="shared" si="0"/>
        <v>0.1694968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0.57374920000000007</v>
      </c>
      <c r="D2" s="53">
        <v>0.21961839999999999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0.32482139999999998</v>
      </c>
      <c r="D3" s="53">
        <v>0.29721890000000001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5.2271599999999988E-2</v>
      </c>
      <c r="D4" s="53">
        <v>0.1803351</v>
      </c>
      <c r="E4" s="53">
        <v>0.44911450000000003</v>
      </c>
      <c r="F4" s="53">
        <v>0.1620346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4.9157800000000029E-2</v>
      </c>
      <c r="D5" s="52">
        <f t="shared" si="0"/>
        <v>0.30282760000000009</v>
      </c>
      <c r="E5" s="52">
        <f>1-SUM(E2:E4)</f>
        <v>0.55088549999999992</v>
      </c>
      <c r="F5" s="52">
        <f>1-SUM(F2:F4)</f>
        <v>0.83796539999999997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9537.6828667312802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0.52329000000000003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0.66799999999999993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1.5414724456413276E-2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99487.869449999998</v>
      </c>
      <c r="C22" s="109">
        <v>99438.333670000007</v>
      </c>
      <c r="D22" s="109">
        <v>99369.294320000001</v>
      </c>
      <c r="E22" s="109">
        <v>99230.96643</v>
      </c>
      <c r="F22" s="109">
        <v>99040.410910000006</v>
      </c>
      <c r="G22" s="109">
        <v>98793.598800000007</v>
      </c>
      <c r="H22" s="109">
        <v>98405.441009999995</v>
      </c>
      <c r="I22" s="109">
        <v>97834.529139999999</v>
      </c>
      <c r="J22" s="109">
        <v>96965.630709999998</v>
      </c>
      <c r="K22" s="109">
        <v>95476.325209999995</v>
      </c>
      <c r="L22" s="109">
        <v>92758.775460000004</v>
      </c>
      <c r="M22" s="109">
        <v>88503.757599999997</v>
      </c>
      <c r="N22" s="109">
        <v>81995.464470000006</v>
      </c>
      <c r="O22" s="109">
        <v>72957.361430000004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12.008526100307062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12.008526100307062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8.8894216990788131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0.79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</v>
      </c>
      <c r="C9" s="98">
        <v>0.95</v>
      </c>
      <c r="D9" s="56">
        <v>0.40262538382804508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</v>
      </c>
      <c r="C10" s="98">
        <v>0.95</v>
      </c>
      <c r="D10" s="56">
        <v>13.195738021909881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13.195738021909881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13.195738021909881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13.195738021909881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</v>
      </c>
      <c r="C14" s="98">
        <v>0.95</v>
      </c>
      <c r="D14" s="56">
        <v>13.195738021909881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13.195738021909881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</v>
      </c>
      <c r="C17" s="98">
        <v>0.95</v>
      </c>
      <c r="D17" s="56">
        <v>0.14000000000000001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0.21961839999999999</v>
      </c>
      <c r="C18" s="98">
        <v>0.95</v>
      </c>
      <c r="D18" s="56">
        <v>8.8894216990788131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0.21961839999999999</v>
      </c>
      <c r="C19" s="98">
        <v>0.95</v>
      </c>
      <c r="D19" s="56">
        <v>12.47074045559749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8.8894216990788131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4.3940617735474108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0.71505740000000007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5.1498336745138182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11.470990276356194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0.35967890000000002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0.85884820000000006</v>
      </c>
      <c r="C29" s="98">
        <v>0.95</v>
      </c>
      <c r="D29" s="56">
        <v>132.3139429353005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170.92419651995908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</v>
      </c>
      <c r="C32" s="98">
        <v>0.95</v>
      </c>
      <c r="D32" s="56">
        <v>1.1057036847492325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0.9813012000000001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0.25723400000000002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4.8444399999999999E-2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0.94893539999999998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</v>
      </c>
      <c r="C38" s="98">
        <v>0.95</v>
      </c>
      <c r="D38" s="56">
        <v>2.6374181166837261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197</v>
      </c>
      <c r="B3" s="21">
        <f>frac_mam_1month * 2.6</f>
        <v>0.17776512</v>
      </c>
      <c r="C3" s="21">
        <f>frac_mam_1_5months * 2.6</f>
        <v>0.17776512</v>
      </c>
      <c r="D3" s="21">
        <f>frac_mam_6_11months * 2.6</f>
        <v>6.6276080000000001E-2</v>
      </c>
      <c r="E3" s="21">
        <f>frac_mam_12_23months * 2.6</f>
        <v>7.6518000000000003E-3</v>
      </c>
      <c r="F3" s="21">
        <f>frac_mam_24_59months * 2.6</f>
        <v>5.2454220000000003E-2</v>
      </c>
    </row>
    <row r="4" spans="1:6" ht="15.75" customHeight="1" x14ac:dyDescent="0.25">
      <c r="A4" s="3" t="s">
        <v>198</v>
      </c>
      <c r="B4" s="21">
        <f>frac_sam_1month * 2.6</f>
        <v>0</v>
      </c>
      <c r="C4" s="21">
        <f>frac_sam_1_5months * 2.6</f>
        <v>0</v>
      </c>
      <c r="D4" s="21">
        <f>frac_sam_6_11months * 2.6</f>
        <v>3.5181120000000003E-2</v>
      </c>
      <c r="E4" s="21">
        <f>frac_sam_12_23months * 2.6</f>
        <v>1.5871960000000001E-2</v>
      </c>
      <c r="F4" s="21">
        <f>frac_sam_24_59months * 2.6</f>
        <v>1.04364E-2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5.5E-2</v>
      </c>
      <c r="F2" s="60">
        <f>food_insecure</f>
        <v>5.5E-2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5.5E-2</v>
      </c>
      <c r="F5" s="60">
        <f>food_insecure</f>
        <v>5.5E-2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5.5E-2</v>
      </c>
      <c r="F8" s="60">
        <f>food_insecure</f>
        <v>5.5E-2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5.5E-2</v>
      </c>
      <c r="F9" s="60">
        <f>food_insecure</f>
        <v>5.5E-2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5.5E-2</v>
      </c>
      <c r="I15" s="60">
        <f t="shared" si="0"/>
        <v>5.5E-2</v>
      </c>
      <c r="J15" s="60">
        <f t="shared" si="0"/>
        <v>5.5E-2</v>
      </c>
      <c r="K15" s="60">
        <f t="shared" si="0"/>
        <v>5.5E-2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5.5E-2</v>
      </c>
      <c r="I16" s="60">
        <f t="shared" si="0"/>
        <v>5.5E-2</v>
      </c>
      <c r="J16" s="60">
        <f t="shared" si="0"/>
        <v>5.5E-2</v>
      </c>
      <c r="K16" s="60">
        <f t="shared" si="0"/>
        <v>5.5E-2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0.74900000000000011</v>
      </c>
      <c r="M24" s="60">
        <f>famplan_unmet_need</f>
        <v>0.74900000000000011</v>
      </c>
      <c r="N24" s="60">
        <f>famplan_unmet_need</f>
        <v>0.74900000000000011</v>
      </c>
      <c r="O24" s="60">
        <f>famplan_unmet_need</f>
        <v>0.74900000000000011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3.5469570693969873E-2</v>
      </c>
      <c r="M25" s="60">
        <f>(1-food_insecure)*(0.49)+food_insecure*(0.7)</f>
        <v>0.50154999999999994</v>
      </c>
      <c r="N25" s="60">
        <f>(1-food_insecure)*(0.49)+food_insecure*(0.7)</f>
        <v>0.50154999999999994</v>
      </c>
      <c r="O25" s="60">
        <f>(1-food_insecure)*(0.49)+food_insecure*(0.7)</f>
        <v>0.50154999999999994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1.5201244583129945E-2</v>
      </c>
      <c r="M26" s="60">
        <f>(1-food_insecure)*(0.21)+food_insecure*(0.3)</f>
        <v>0.21494999999999997</v>
      </c>
      <c r="N26" s="60">
        <f>(1-food_insecure)*(0.21)+food_insecure*(0.3)</f>
        <v>0.21494999999999997</v>
      </c>
      <c r="O26" s="60">
        <f>(1-food_insecure)*(0.21)+food_insecure*(0.3)</f>
        <v>0.21494999999999997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2.0049094390869222E-2</v>
      </c>
      <c r="M27" s="60">
        <f>(1-food_insecure)*(0.3)</f>
        <v>0.28349999999999997</v>
      </c>
      <c r="N27" s="60">
        <f>(1-food_insecure)*(0.3)</f>
        <v>0.28349999999999997</v>
      </c>
      <c r="O27" s="60">
        <f>(1-food_insecure)*(0.3)</f>
        <v>0.28349999999999997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0.92928009033203085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