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D39495D-D480-4540-AED2-A5BF0F3BFC62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29" i="2"/>
  <c r="A28" i="2"/>
  <c r="A27" i="2"/>
  <c r="A21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30" i="2"/>
  <c r="A40" i="2"/>
  <c r="A15" i="2"/>
  <c r="A14" i="2"/>
  <c r="A31" i="2"/>
  <c r="A24" i="2"/>
  <c r="A22" i="2"/>
  <c r="A23" i="2"/>
  <c r="A16" i="2"/>
  <c r="A32" i="2"/>
  <c r="A17" i="2"/>
  <c r="A25" i="2"/>
  <c r="A33" i="2"/>
  <c r="A38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<sst xmlns="http://schemas.openxmlformats.org/spreadsheetml/2006/main" count="2094" uniqueCount="341">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</sst>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29873.677734375029</v>
      </c>
    </row>
    <row r="8" spans="1:3" ht="15" customHeight="1" x14ac:dyDescent="0.25">
      <c r="B8" s="5" t="s">
        <v>8</v>
      </c>
      <c r="C8" s="44">
        <v>1.0999999999999999E-2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0.68290496826171898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0.49700000000000011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0.11550000000000001</v>
      </c>
    </row>
    <row r="24" spans="1:3" ht="15" customHeight="1" x14ac:dyDescent="0.25">
      <c r="B24" s="15" t="s">
        <v>22</v>
      </c>
      <c r="C24" s="45">
        <v>0.47460000000000002</v>
      </c>
    </row>
    <row r="25" spans="1:3" ht="15" customHeight="1" x14ac:dyDescent="0.25">
      <c r="B25" s="15" t="s">
        <v>23</v>
      </c>
      <c r="C25" s="45">
        <v>0.32340000000000002</v>
      </c>
    </row>
    <row r="26" spans="1:3" ht="15" customHeight="1" x14ac:dyDescent="0.25">
      <c r="B26" s="15" t="s">
        <v>24</v>
      </c>
      <c r="C26" s="45">
        <v>8.6500000000000007E-2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6.5631199999999996</v>
      </c>
    </row>
    <row r="38" spans="1:5" ht="15" customHeight="1" x14ac:dyDescent="0.25">
      <c r="B38" s="11" t="s">
        <v>34</v>
      </c>
      <c r="C38" s="43">
        <v>14.3725</v>
      </c>
      <c r="D38" s="12"/>
      <c r="E38" s="13"/>
    </row>
    <row r="39" spans="1:5" ht="15" customHeight="1" x14ac:dyDescent="0.25">
      <c r="B39" s="11" t="s">
        <v>35</v>
      </c>
      <c r="C39" s="43">
        <v>16.718489999999999</v>
      </c>
      <c r="D39" s="12"/>
      <c r="E39" s="12"/>
    </row>
    <row r="40" spans="1:5" ht="15" customHeight="1" x14ac:dyDescent="0.25">
      <c r="B40" s="11" t="s">
        <v>36</v>
      </c>
      <c r="C40" s="100">
        <v>0.59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6.1190999999999997E-3</v>
      </c>
      <c r="D45" s="12"/>
    </row>
    <row r="46" spans="1:5" ht="15.75" customHeight="1" x14ac:dyDescent="0.25">
      <c r="B46" s="11" t="s">
        <v>41</v>
      </c>
      <c r="C46" s="45">
        <v>6.5748799999999996E-2</v>
      </c>
      <c r="D46" s="12"/>
    </row>
    <row r="47" spans="1:5" ht="15.75" customHeight="1" x14ac:dyDescent="0.25">
      <c r="B47" s="11" t="s">
        <v>42</v>
      </c>
      <c r="C47" s="45">
        <v>7.5182200000000005E-2</v>
      </c>
      <c r="D47" s="12"/>
      <c r="E47" s="13"/>
    </row>
    <row r="48" spans="1:5" ht="15" customHeight="1" x14ac:dyDescent="0.25">
      <c r="B48" s="11" t="s">
        <v>43</v>
      </c>
      <c r="C48" s="46">
        <v>0.85294990000000004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0.57259000000000004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6.5984119999999896E-2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6538</v>
      </c>
      <c r="C2" s="49">
        <v>16652.5</v>
      </c>
      <c r="D2" s="49">
        <v>19748.5</v>
      </c>
      <c r="E2" s="49">
        <v>13500.5</v>
      </c>
      <c r="F2" s="49">
        <v>10361</v>
      </c>
      <c r="G2" s="17">
        <f t="shared" ref="G2:G13" si="0">C2+D2+E2+F2</f>
        <v>60262.5</v>
      </c>
      <c r="H2" s="17">
        <f t="shared" ref="H2:H13" si="1">(B2 + stillbirth*B2/(1000-stillbirth))/(1-abortion)</f>
        <v>7486.5699843247576</v>
      </c>
      <c r="I2" s="17">
        <f t="shared" ref="I2:I13" si="2">G2-H2</f>
        <v>52775.930015675243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6632</v>
      </c>
      <c r="C3" s="50">
        <v>16747.5</v>
      </c>
      <c r="D3" s="50">
        <v>20695</v>
      </c>
      <c r="E3" s="50">
        <v>13571.5</v>
      </c>
      <c r="F3" s="50">
        <v>10716</v>
      </c>
      <c r="G3" s="17">
        <f t="shared" si="0"/>
        <v>61730</v>
      </c>
      <c r="H3" s="17">
        <f t="shared" si="1"/>
        <v>7594.2080354912505</v>
      </c>
      <c r="I3" s="17">
        <f t="shared" si="2"/>
        <v>54135.791964508753</v>
      </c>
    </row>
    <row r="4" spans="1:9" ht="15.75" customHeight="1" x14ac:dyDescent="0.25">
      <c r="A4" s="5">
        <f t="shared" si="3"/>
        <v>2026</v>
      </c>
      <c r="B4" s="49">
        <v>6745</v>
      </c>
      <c r="C4" s="50">
        <v>16923.5</v>
      </c>
      <c r="D4" s="50">
        <v>21676.5</v>
      </c>
      <c r="E4" s="50">
        <v>13727.5</v>
      </c>
      <c r="F4" s="50">
        <v>10989.5</v>
      </c>
      <c r="G4" s="17">
        <f t="shared" si="0"/>
        <v>63317</v>
      </c>
      <c r="H4" s="17">
        <f t="shared" si="1"/>
        <v>7723.6027140211818</v>
      </c>
      <c r="I4" s="17">
        <f t="shared" si="2"/>
        <v>55593.397285978819</v>
      </c>
    </row>
    <row r="5" spans="1:9" ht="15.75" customHeight="1" x14ac:dyDescent="0.25">
      <c r="A5" s="5">
        <f t="shared" si="3"/>
        <v>2027</v>
      </c>
      <c r="B5" s="49">
        <v>6822</v>
      </c>
      <c r="C5" s="50">
        <v>17196</v>
      </c>
      <c r="D5" s="50">
        <v>22669.5</v>
      </c>
      <c r="E5" s="50">
        <v>13979</v>
      </c>
      <c r="F5" s="50">
        <v>11187</v>
      </c>
      <c r="G5" s="17">
        <f t="shared" si="0"/>
        <v>65031.5</v>
      </c>
      <c r="H5" s="17">
        <f t="shared" si="1"/>
        <v>7811.7743091256498</v>
      </c>
      <c r="I5" s="17">
        <f t="shared" si="2"/>
        <v>57219.725690874351</v>
      </c>
    </row>
    <row r="6" spans="1:9" ht="15.75" customHeight="1" x14ac:dyDescent="0.25">
      <c r="A6" s="5">
        <f t="shared" si="3"/>
        <v>2028</v>
      </c>
      <c r="B6" s="49">
        <v>6921</v>
      </c>
      <c r="C6" s="50">
        <v>17411.5</v>
      </c>
      <c r="D6" s="50">
        <v>23615</v>
      </c>
      <c r="E6" s="50">
        <v>14324.5</v>
      </c>
      <c r="F6" s="50">
        <v>11313</v>
      </c>
      <c r="G6" s="17">
        <f t="shared" si="0"/>
        <v>66664</v>
      </c>
      <c r="H6" s="17">
        <f t="shared" si="1"/>
        <v>7925.1377885456786</v>
      </c>
      <c r="I6" s="17">
        <f t="shared" si="2"/>
        <v>58738.862211454325</v>
      </c>
    </row>
    <row r="7" spans="1:9" ht="15.75" customHeight="1" x14ac:dyDescent="0.25">
      <c r="A7" s="5">
        <f t="shared" si="3"/>
        <v>2029</v>
      </c>
      <c r="B7" s="49">
        <v>7009</v>
      </c>
      <c r="C7" s="50">
        <v>17605</v>
      </c>
      <c r="D7" s="50">
        <v>24444.5</v>
      </c>
      <c r="E7" s="50">
        <v>14767</v>
      </c>
      <c r="F7" s="50">
        <v>11382</v>
      </c>
      <c r="G7" s="17">
        <f t="shared" si="0"/>
        <v>68198.5</v>
      </c>
      <c r="H7" s="17">
        <f t="shared" si="1"/>
        <v>8025.9053258079266</v>
      </c>
      <c r="I7" s="17">
        <f t="shared" si="2"/>
        <v>60172.594674192071</v>
      </c>
    </row>
    <row r="8" spans="1:9" ht="15.75" customHeight="1" x14ac:dyDescent="0.25">
      <c r="A8" s="5">
        <f t="shared" si="3"/>
        <v>2030</v>
      </c>
      <c r="B8" s="49">
        <v>7080</v>
      </c>
      <c r="C8" s="50">
        <v>17809.5</v>
      </c>
      <c r="D8" s="50">
        <v>25107.5</v>
      </c>
      <c r="E8" s="50">
        <v>15314.5</v>
      </c>
      <c r="F8" s="50">
        <v>11404</v>
      </c>
      <c r="G8" s="17">
        <f t="shared" si="0"/>
        <v>69635.5</v>
      </c>
      <c r="H8" s="17">
        <f t="shared" si="1"/>
        <v>8107.2064070081506</v>
      </c>
      <c r="I8" s="17">
        <f t="shared" si="2"/>
        <v>61528.293592991846</v>
      </c>
    </row>
    <row r="9" spans="1:9" ht="15.75" customHeight="1" x14ac:dyDescent="0.25">
      <c r="A9" s="5">
        <f t="shared" si="3"/>
        <v>2031</v>
      </c>
      <c r="B9" s="49">
        <v>7183</v>
      </c>
      <c r="C9" s="50">
        <v>18008.5</v>
      </c>
      <c r="D9" s="50">
        <v>25604.5</v>
      </c>
      <c r="E9" s="50">
        <v>15971.5</v>
      </c>
      <c r="F9" s="50">
        <v>11391</v>
      </c>
      <c r="G9" s="17">
        <f t="shared" si="0"/>
        <v>70975.5</v>
      </c>
      <c r="H9" s="17">
        <f t="shared" si="1"/>
        <v>8225.1502290310091</v>
      </c>
      <c r="I9" s="17">
        <f t="shared" si="2"/>
        <v>62750.349770968991</v>
      </c>
    </row>
    <row r="10" spans="1:9" ht="15.75" customHeight="1" x14ac:dyDescent="0.25">
      <c r="A10" s="5">
        <f t="shared" si="3"/>
        <v>2032</v>
      </c>
      <c r="B10" s="49">
        <v>7281</v>
      </c>
      <c r="C10" s="50">
        <v>18004</v>
      </c>
      <c r="D10" s="50">
        <v>26159.5</v>
      </c>
      <c r="E10" s="50">
        <v>16732.5</v>
      </c>
      <c r="F10" s="50">
        <v>11355.5</v>
      </c>
      <c r="G10" s="17">
        <f t="shared" si="0"/>
        <v>72251.5</v>
      </c>
      <c r="H10" s="17">
        <f t="shared" si="1"/>
        <v>8337.3686228003298</v>
      </c>
      <c r="I10" s="17">
        <f t="shared" si="2"/>
        <v>63914.131377199672</v>
      </c>
    </row>
    <row r="11" spans="1:9" ht="15.75" customHeight="1" x14ac:dyDescent="0.25">
      <c r="A11" s="5">
        <f t="shared" si="3"/>
        <v>2033</v>
      </c>
      <c r="B11" s="49">
        <v>7365</v>
      </c>
      <c r="C11" s="50">
        <v>17840.5</v>
      </c>
      <c r="D11" s="50">
        <v>26791</v>
      </c>
      <c r="E11" s="50">
        <v>17570.5</v>
      </c>
      <c r="F11" s="50">
        <v>11310.5</v>
      </c>
      <c r="G11" s="17">
        <f t="shared" si="0"/>
        <v>73512.5</v>
      </c>
      <c r="H11" s="17">
        <f t="shared" si="1"/>
        <v>8433.5558174597481</v>
      </c>
      <c r="I11" s="17">
        <f t="shared" si="2"/>
        <v>65078.944182540254</v>
      </c>
    </row>
    <row r="12" spans="1:9" ht="15.75" customHeight="1" x14ac:dyDescent="0.25">
      <c r="A12" s="5">
        <f t="shared" si="3"/>
        <v>2034</v>
      </c>
      <c r="B12" s="49">
        <v>7431</v>
      </c>
      <c r="C12" s="50">
        <v>17720</v>
      </c>
      <c r="D12" s="50">
        <v>27305</v>
      </c>
      <c r="E12" s="50">
        <v>18463</v>
      </c>
      <c r="F12" s="50">
        <v>11286</v>
      </c>
      <c r="G12" s="17">
        <f t="shared" si="0"/>
        <v>74774</v>
      </c>
      <c r="H12" s="17">
        <f t="shared" si="1"/>
        <v>8509.1314704064353</v>
      </c>
      <c r="I12" s="17">
        <f t="shared" si="2"/>
        <v>66264.868529593572</v>
      </c>
    </row>
    <row r="13" spans="1:9" ht="15.75" customHeight="1" x14ac:dyDescent="0.25">
      <c r="A13" s="5">
        <f t="shared" si="3"/>
        <v>2035</v>
      </c>
      <c r="B13" s="49">
        <v>7492</v>
      </c>
      <c r="C13" s="50">
        <v>17670.5</v>
      </c>
      <c r="D13" s="50">
        <v>27681</v>
      </c>
      <c r="E13" s="50">
        <v>19397</v>
      </c>
      <c r="F13" s="50">
        <v>11308</v>
      </c>
      <c r="G13" s="17">
        <f t="shared" si="0"/>
        <v>76056.5</v>
      </c>
      <c r="H13" s="17">
        <f t="shared" si="1"/>
        <v>8578.9816950995846</v>
      </c>
      <c r="I13" s="17">
        <f t="shared" si="2"/>
        <v>67477.518304900412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7.2663600000000161E-2</v>
      </c>
    </row>
    <row r="5" spans="1:8" ht="15.75" customHeight="1" x14ac:dyDescent="0.25">
      <c r="B5" s="19" t="s">
        <v>70</v>
      </c>
      <c r="C5" s="101">
        <v>3.2022400000000013E-2</v>
      </c>
    </row>
    <row r="6" spans="1:8" ht="15.75" customHeight="1" x14ac:dyDescent="0.25">
      <c r="B6" s="19" t="s">
        <v>71</v>
      </c>
      <c r="C6" s="101">
        <v>0.18112940000000011</v>
      </c>
    </row>
    <row r="7" spans="1:8" ht="15.75" customHeight="1" x14ac:dyDescent="0.25">
      <c r="B7" s="19" t="s">
        <v>72</v>
      </c>
      <c r="C7" s="101">
        <v>0.43143469999999928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0.18141010000000021</v>
      </c>
    </row>
    <row r="10" spans="1:8" ht="15.75" customHeight="1" x14ac:dyDescent="0.25">
      <c r="B10" s="19" t="s">
        <v>75</v>
      </c>
      <c r="C10" s="101">
        <v>0.1013398000000002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82</v>
      </c>
      <c r="C15" s="101">
        <v>0.14201342044077259</v>
      </c>
      <c r="D15" s="101">
        <v>0.14201342044077259</v>
      </c>
      <c r="E15" s="101">
        <v>0.14201342044077259</v>
      </c>
      <c r="F15" s="101">
        <v>0.14201342044077259</v>
      </c>
    </row>
    <row r="16" spans="1:8" ht="15.75" customHeight="1" x14ac:dyDescent="0.25">
      <c r="B16" s="19" t="s">
        <v>83</v>
      </c>
      <c r="C16" s="101">
        <v>1.5148673316420749E-3</v>
      </c>
      <c r="D16" s="101">
        <v>1.5148673316420749E-3</v>
      </c>
      <c r="E16" s="101">
        <v>1.5148673316420749E-3</v>
      </c>
      <c r="F16" s="101">
        <v>1.5148673316420749E-3</v>
      </c>
    </row>
    <row r="17" spans="1:8" ht="15.75" customHeight="1" x14ac:dyDescent="0.25">
      <c r="B17" s="19" t="s">
        <v>84</v>
      </c>
      <c r="C17" s="101">
        <v>0.79207380330936872</v>
      </c>
      <c r="D17" s="101">
        <v>0.79207380330936872</v>
      </c>
      <c r="E17" s="101">
        <v>0.79207380330936872</v>
      </c>
      <c r="F17" s="101">
        <v>0.79207380330936872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7.4143769382759572E-3</v>
      </c>
      <c r="D19" s="101">
        <v>7.4143769382759572E-3</v>
      </c>
      <c r="E19" s="101">
        <v>7.4143769382759572E-3</v>
      </c>
      <c r="F19" s="101">
        <v>7.4143769382759572E-3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2.638911729579237E-2</v>
      </c>
      <c r="D21" s="101">
        <v>2.638911729579237E-2</v>
      </c>
      <c r="E21" s="101">
        <v>2.638911729579237E-2</v>
      </c>
      <c r="F21" s="101">
        <v>2.638911729579237E-2</v>
      </c>
    </row>
    <row r="22" spans="1:8" ht="15.75" customHeight="1" x14ac:dyDescent="0.25">
      <c r="B22" s="19" t="s">
        <v>89</v>
      </c>
      <c r="C22" s="101">
        <v>2.4617107653533501E-2</v>
      </c>
      <c r="D22" s="101">
        <v>2.4617107653533501E-2</v>
      </c>
      <c r="E22" s="101">
        <v>2.4617107653533501E-2</v>
      </c>
      <c r="F22" s="101">
        <v>2.4617107653533501E-2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4.7837044999999988E-2</v>
      </c>
    </row>
    <row r="27" spans="1:8" ht="15.75" customHeight="1" x14ac:dyDescent="0.25">
      <c r="B27" s="19" t="s">
        <v>92</v>
      </c>
      <c r="C27" s="101">
        <v>1.836863E-2</v>
      </c>
    </row>
    <row r="28" spans="1:8" ht="15.75" customHeight="1" x14ac:dyDescent="0.25">
      <c r="B28" s="19" t="s">
        <v>93</v>
      </c>
      <c r="C28" s="101">
        <v>0.231175139</v>
      </c>
    </row>
    <row r="29" spans="1:8" ht="15.75" customHeight="1" x14ac:dyDescent="0.25">
      <c r="B29" s="19" t="s">
        <v>94</v>
      </c>
      <c r="C29" s="101">
        <v>0.138527135</v>
      </c>
    </row>
    <row r="30" spans="1:8" ht="15.75" customHeight="1" x14ac:dyDescent="0.25">
      <c r="B30" s="19" t="s">
        <v>95</v>
      </c>
      <c r="C30" s="101">
        <v>4.9111505E-2</v>
      </c>
    </row>
    <row r="31" spans="1:8" ht="15.75" customHeight="1" x14ac:dyDescent="0.25">
      <c r="B31" s="19" t="s">
        <v>96</v>
      </c>
      <c r="C31" s="101">
        <v>6.9658183999999998E-2</v>
      </c>
    </row>
    <row r="32" spans="1:8" ht="15.75" customHeight="1" x14ac:dyDescent="0.25">
      <c r="B32" s="19" t="s">
        <v>97</v>
      </c>
      <c r="C32" s="101">
        <v>0.14941447299999999</v>
      </c>
    </row>
    <row r="33" spans="2:3" ht="15.75" customHeight="1" x14ac:dyDescent="0.25">
      <c r="B33" s="19" t="s">
        <v>98</v>
      </c>
      <c r="C33" s="101">
        <v>0.122223571</v>
      </c>
    </row>
    <row r="34" spans="2:3" ht="15.75" customHeight="1" x14ac:dyDescent="0.25">
      <c r="B34" s="19" t="s">
        <v>99</v>
      </c>
      <c r="C34" s="101">
        <v>0.173684317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104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105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109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110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0.73811573149999998</v>
      </c>
      <c r="D14" s="54">
        <v>0.73101439726399997</v>
      </c>
      <c r="E14" s="54">
        <v>0.73101439726399997</v>
      </c>
      <c r="F14" s="54">
        <v>0.46123497697700011</v>
      </c>
      <c r="G14" s="54">
        <v>0.46123497697700011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0.42263768669958501</v>
      </c>
      <c r="D15" s="52">
        <f t="shared" si="0"/>
        <v>0.41857153372939376</v>
      </c>
      <c r="E15" s="52">
        <f t="shared" si="0"/>
        <v>0.41857153372939376</v>
      </c>
      <c r="F15" s="52">
        <f t="shared" si="0"/>
        <v>0.26409853546726053</v>
      </c>
      <c r="G15" s="52">
        <f t="shared" si="0"/>
        <v>0.26409853546726053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122</v>
      </c>
      <c r="C5" s="52">
        <v>0.1484519</v>
      </c>
      <c r="D5" s="52">
        <v>0.19858490000000001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42.533893708163482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0.23264639054719999</v>
      </c>
      <c r="C3" s="98">
        <v>0.95</v>
      </c>
      <c r="D3" s="56">
        <v>44.807550932125316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171.46801836850591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0.94053016777428589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1.1113E-2</v>
      </c>
      <c r="C10" s="98">
        <v>0.95</v>
      </c>
      <c r="D10" s="56">
        <v>14.332612801245681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1.1113E-2</v>
      </c>
      <c r="C11" s="98">
        <v>0.95</v>
      </c>
      <c r="D11" s="56">
        <v>14.332612801245681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1.1113E-2</v>
      </c>
      <c r="C12" s="98">
        <v>0.95</v>
      </c>
      <c r="D12" s="56">
        <v>14.332612801245681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1.1113E-2</v>
      </c>
      <c r="C13" s="98">
        <v>0.95</v>
      </c>
      <c r="D13" s="56">
        <v>14.332612801245681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1.1113E-2</v>
      </c>
      <c r="C14" s="98">
        <v>0.95</v>
      </c>
      <c r="D14" s="56">
        <v>14.332612801245681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1.1113E-2</v>
      </c>
      <c r="C15" s="98">
        <v>0.95</v>
      </c>
      <c r="D15" s="56">
        <v>14.332612801245681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0.38901621782286311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0.11050016592472001</v>
      </c>
      <c r="C18" s="98">
        <v>0.95</v>
      </c>
      <c r="D18" s="56">
        <v>4.0260706086583404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0.9792786</v>
      </c>
      <c r="C19" s="98">
        <v>0.95</v>
      </c>
      <c r="D19" s="56">
        <v>4.0260706086583404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0.88436999999999999</v>
      </c>
      <c r="C21" s="98">
        <v>0.95</v>
      </c>
      <c r="D21" s="56">
        <v>8.8560391003737333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24.509852846612429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4.7482493984987979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0.83733382461663997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1.1113E-2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20.698417778852551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0.65663532269192004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78.281838017014053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0.5324638758293635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0.79117266352621562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0.2004783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0.58558969999999999</v>
      </c>
      <c r="C38" s="98">
        <v>0.95</v>
      </c>
      <c r="D38" s="56">
        <v>4.645638405644835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205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1.0999999999999999E-2</v>
      </c>
      <c r="E2" s="60">
        <f>food_insecure</f>
        <v>1.0999999999999999E-2</v>
      </c>
      <c r="F2" s="60">
        <f>food_insecure</f>
        <v>1.0999999999999999E-2</v>
      </c>
      <c r="G2" s="60">
        <f>food_insecure</f>
        <v>1.0999999999999999E-2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1.0999999999999999E-2</v>
      </c>
      <c r="F5" s="60">
        <f>food_insecure</f>
        <v>1.0999999999999999E-2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1.0999999999999999E-2</v>
      </c>
      <c r="F8" s="60">
        <f>food_insecure</f>
        <v>1.0999999999999999E-2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1.0999999999999999E-2</v>
      </c>
      <c r="F9" s="60">
        <f>food_insecure</f>
        <v>1.0999999999999999E-2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1.0999999999999999E-2</v>
      </c>
      <c r="I15" s="60">
        <f>food_insecure</f>
        <v>1.0999999999999999E-2</v>
      </c>
      <c r="J15" s="60">
        <f>food_insecure</f>
        <v>1.0999999999999999E-2</v>
      </c>
      <c r="K15" s="60">
        <f>food_insecure</f>
        <v>1.0999999999999999E-2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0.49700000000000011</v>
      </c>
      <c r="M24" s="60">
        <f>famplan_unmet_need</f>
        <v>0.49700000000000011</v>
      </c>
      <c r="N24" s="60">
        <f>famplan_unmet_need</f>
        <v>0.49700000000000011</v>
      </c>
      <c r="O24" s="60">
        <f>famplan_unmet_need</f>
        <v>0.49700000000000011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0.15610905507507314</v>
      </c>
      <c r="M25" s="60">
        <f>(1-food_insecure)*(0.49)+food_insecure*(0.7)</f>
        <v>0.49230999999999997</v>
      </c>
      <c r="N25" s="60">
        <f>(1-food_insecure)*(0.49)+food_insecure*(0.7)</f>
        <v>0.49230999999999997</v>
      </c>
      <c r="O25" s="60">
        <f>(1-food_insecure)*(0.49)+food_insecure*(0.7)</f>
        <v>0.49230999999999997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6.6903880746459907E-2</v>
      </c>
      <c r="M26" s="60">
        <f>(1-food_insecure)*(0.21)+food_insecure*(0.3)</f>
        <v>0.21098999999999998</v>
      </c>
      <c r="N26" s="60">
        <f>(1-food_insecure)*(0.21)+food_insecure*(0.3)</f>
        <v>0.21098999999999998</v>
      </c>
      <c r="O26" s="60">
        <f>(1-food_insecure)*(0.21)+food_insecure*(0.3)</f>
        <v>0.21098999999999998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9.4082095916747974E-2</v>
      </c>
      <c r="M27" s="60">
        <f>(1-food_insecure)*(0.3)</f>
        <v>0.29669999999999996</v>
      </c>
      <c r="N27" s="60">
        <f>(1-food_insecure)*(0.3)</f>
        <v>0.29669999999999996</v>
      </c>
      <c r="O27" s="60">
        <f>(1-food_insecure)*(0.3)</f>
        <v>0.29669999999999996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0.68290496826171898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8FFCD19-CEBB-49B7-BB57-AC2509B122CD}"/>
</file>

<file path=customXml/itemProps2.xml><?xml version="1.0" encoding="utf-8"?>
<ds:datastoreItem xmlns:ds="http://schemas.openxmlformats.org/officeDocument/2006/customXml" ds:itemID="{947A5BA7-208D-4A28-8D53-0BDACBF6981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2024-04-11T00:41:53Z</dcterms:modified>
</cp:coreProperties>
</file>