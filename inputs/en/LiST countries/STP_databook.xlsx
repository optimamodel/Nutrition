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DC1270C5-7326-447A-A0B3-B32FC9E796DF}" xr6:coauthVersionLast="47" xr6:coauthVersionMax="47" xr10:uidLastSave="{00000000-0000-0000-0000-000000000000}"/>
  <bookViews>
    <workbookView xWindow="-110" yWindow="-110" windowWidth="19420" windowHeight="10420" tabRatio="961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 calcOnSave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52" i="27"/>
  <c r="G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I40" i="2" s="1"/>
  <c r="I39" i="2"/>
  <c r="H39" i="2"/>
  <c r="G39" i="2"/>
  <c r="A39" i="2"/>
  <c r="H38" i="2"/>
  <c r="G38" i="2"/>
  <c r="I38" i="2" s="1"/>
  <c r="A37" i="2"/>
  <c r="A34" i="2"/>
  <c r="A29" i="2"/>
  <c r="A26" i="2"/>
  <c r="A21" i="2"/>
  <c r="A18" i="2"/>
  <c r="I13" i="2"/>
  <c r="H13" i="2"/>
  <c r="G13" i="2"/>
  <c r="H12" i="2"/>
  <c r="G12" i="2"/>
  <c r="I12" i="2" s="1"/>
  <c r="I11" i="2"/>
  <c r="H11" i="2"/>
  <c r="G11" i="2"/>
  <c r="H10" i="2"/>
  <c r="G10" i="2"/>
  <c r="I10" i="2" s="1"/>
  <c r="I9" i="2"/>
  <c r="H9" i="2"/>
  <c r="G9" i="2"/>
  <c r="H8" i="2"/>
  <c r="G8" i="2"/>
  <c r="I8" i="2" s="1"/>
  <c r="I7" i="2"/>
  <c r="H7" i="2"/>
  <c r="G7" i="2"/>
  <c r="H6" i="2"/>
  <c r="G6" i="2"/>
  <c r="I6" i="2" s="1"/>
  <c r="I5" i="2"/>
  <c r="H5" i="2"/>
  <c r="G5" i="2"/>
  <c r="H4" i="2"/>
  <c r="G4" i="2"/>
  <c r="I4" i="2" s="1"/>
  <c r="I3" i="2"/>
  <c r="H3" i="2"/>
  <c r="G3" i="2"/>
  <c r="A3" i="2"/>
  <c r="H2" i="2"/>
  <c r="G2" i="2"/>
  <c r="I2" i="2" s="1"/>
  <c r="A2" i="2"/>
  <c r="A32" i="2" s="1"/>
  <c r="C33" i="1"/>
  <c r="C20" i="1"/>
  <c r="A17" i="2" l="1"/>
  <c r="A25" i="2"/>
  <c r="A33" i="2"/>
  <c r="A19" i="2"/>
  <c r="A27" i="2"/>
  <c r="A35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  <c r="A40" i="2"/>
  <c r="A15" i="2"/>
  <c r="A23" i="2"/>
  <c r="A31" i="2"/>
  <c r="A16" i="2"/>
  <c r="A2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B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6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7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9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A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B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C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D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E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61" authorId="0" shapeId="0" xr:uid="{00000000-0006-0000-1600-000020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1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2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3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27" authorId="0" shapeId="0" xr:uid="{00000000-0006-0000-1800-00004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4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A000000}">
      <text>
        <r>
          <rPr>
            <sz val="10"/>
            <color rgb="FF000000"/>
            <rFont val="Arial"/>
          </rPr>
          <t>Tharindu Wickramaarachchi:
Zhao et al 2019, ≥6 months, RR 0.92 (0.87-0.99 )</t>
        </r>
      </text>
    </comment>
    <comment ref="H50" authorId="0" shapeId="0" xr:uid="{00000000-0006-0000-1800-00006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6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6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6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6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7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7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7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7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7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8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8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7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9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9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9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9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A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B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1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1E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1F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0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3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4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5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8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9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A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2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2D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2E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2F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1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4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B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3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3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3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3F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1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3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5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8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4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4A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4B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4C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4D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4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4F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0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1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2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4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5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6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7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5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59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5A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5B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5C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5D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5E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5F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0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1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2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3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4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5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6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68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69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6A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6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6C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6D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6E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6F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0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1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2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3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4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7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7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7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7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79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7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7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7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7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7E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7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3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8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8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8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8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88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89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<sst xmlns="http://schemas.openxmlformats.org/spreadsheetml/2006/main" count="2103" uniqueCount="341">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</sst>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29873.677734375029</v>
      </c>
    </row>
    <row r="8" spans="1:3" ht="15" customHeight="1" x14ac:dyDescent="0.25">
      <c r="B8" s="5" t="s">
        <v>8</v>
      </c>
      <c r="C8" s="44">
        <v>1.0999999999999999E-2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0.68290496826171898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0.49700000000000011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0.11550000000000001</v>
      </c>
    </row>
    <row r="24" spans="1:3" ht="15" customHeight="1" x14ac:dyDescent="0.25">
      <c r="B24" s="15" t="s">
        <v>22</v>
      </c>
      <c r="C24" s="45">
        <v>0.47460000000000002</v>
      </c>
    </row>
    <row r="25" spans="1:3" ht="15" customHeight="1" x14ac:dyDescent="0.25">
      <c r="B25" s="15" t="s">
        <v>23</v>
      </c>
      <c r="C25" s="45">
        <v>0.32340000000000002</v>
      </c>
    </row>
    <row r="26" spans="1:3" ht="15" customHeight="1" x14ac:dyDescent="0.25">
      <c r="B26" s="15" t="s">
        <v>24</v>
      </c>
      <c r="C26" s="45">
        <v>8.6500000000000007E-2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0.35185775257007201</v>
      </c>
    </row>
    <row r="30" spans="1:3" ht="14.25" customHeight="1" x14ac:dyDescent="0.25">
      <c r="B30" s="25" t="s">
        <v>27</v>
      </c>
      <c r="C30" s="99">
        <v>2.3858720907234902E-2</v>
      </c>
    </row>
    <row r="31" spans="1:3" ht="14.25" customHeight="1" x14ac:dyDescent="0.25">
      <c r="B31" s="25" t="s">
        <v>28</v>
      </c>
      <c r="C31" s="99">
        <v>3.4342930038455802E-2</v>
      </c>
    </row>
    <row r="32" spans="1:3" ht="14.25" customHeight="1" x14ac:dyDescent="0.25">
      <c r="B32" s="25" t="s">
        <v>29</v>
      </c>
      <c r="C32" s="99">
        <v>0.58994059648423802</v>
      </c>
    </row>
    <row r="33" spans="1:5" ht="13" customHeight="1" x14ac:dyDescent="0.25">
      <c r="B33" s="27" t="s">
        <v>30</v>
      </c>
      <c r="C33" s="48">
        <f>SUM(C29:C32)</f>
        <v>1.0000000000000007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6.5631199999999996</v>
      </c>
    </row>
    <row r="38" spans="1:5" ht="15" customHeight="1" x14ac:dyDescent="0.25">
      <c r="B38" s="11" t="s">
        <v>34</v>
      </c>
      <c r="C38" s="43">
        <v>14.3725</v>
      </c>
      <c r="D38" s="12"/>
      <c r="E38" s="13"/>
    </row>
    <row r="39" spans="1:5" ht="15" customHeight="1" x14ac:dyDescent="0.25">
      <c r="B39" s="11" t="s">
        <v>35</v>
      </c>
      <c r="C39" s="43">
        <v>16.718489999999999</v>
      </c>
      <c r="D39" s="12"/>
      <c r="E39" s="12"/>
    </row>
    <row r="40" spans="1:5" ht="15" customHeight="1" x14ac:dyDescent="0.25">
      <c r="B40" s="11" t="s">
        <v>36</v>
      </c>
      <c r="C40" s="100">
        <v>0.59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7.6169099999999998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6.1190999999999997E-3</v>
      </c>
      <c r="D45" s="12"/>
    </row>
    <row r="46" spans="1:5" ht="15.75" customHeight="1" x14ac:dyDescent="0.25">
      <c r="B46" s="11" t="s">
        <v>41</v>
      </c>
      <c r="C46" s="45">
        <v>6.5748799999999996E-2</v>
      </c>
      <c r="D46" s="12"/>
    </row>
    <row r="47" spans="1:5" ht="15.75" customHeight="1" x14ac:dyDescent="0.25">
      <c r="B47" s="11" t="s">
        <v>42</v>
      </c>
      <c r="C47" s="45">
        <v>7.5182200000000005E-2</v>
      </c>
      <c r="D47" s="12"/>
      <c r="E47" s="13"/>
    </row>
    <row r="48" spans="1:5" ht="15" customHeight="1" x14ac:dyDescent="0.25">
      <c r="B48" s="11" t="s">
        <v>43</v>
      </c>
      <c r="C48" s="46">
        <v>0.85294990000000004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2.2000000000000002</v>
      </c>
      <c r="D51" s="12"/>
    </row>
    <row r="52" spans="1:4" ht="15" customHeight="1" x14ac:dyDescent="0.25">
      <c r="B52" s="11" t="s">
        <v>46</v>
      </c>
      <c r="C52" s="100">
        <v>2.2000000000000002</v>
      </c>
    </row>
    <row r="53" spans="1:4" ht="15.75" customHeight="1" x14ac:dyDescent="0.25">
      <c r="B53" s="11" t="s">
        <v>47</v>
      </c>
      <c r="C53" s="100">
        <v>2.2000000000000002</v>
      </c>
    </row>
    <row r="54" spans="1:4" ht="15.75" customHeight="1" x14ac:dyDescent="0.25">
      <c r="B54" s="11" t="s">
        <v>48</v>
      </c>
      <c r="C54" s="100">
        <v>2.2000000000000002</v>
      </c>
    </row>
    <row r="55" spans="1:4" ht="15.75" customHeight="1" x14ac:dyDescent="0.25">
      <c r="B55" s="11" t="s">
        <v>49</v>
      </c>
      <c r="C55" s="100">
        <v>2.2000000000000002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2.1363636363636359E-2</v>
      </c>
    </row>
    <row r="59" spans="1:4" ht="15.75" customHeight="1" x14ac:dyDescent="0.25">
      <c r="B59" s="11" t="s">
        <v>52</v>
      </c>
      <c r="C59" s="45">
        <v>0.57259000000000004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6.5984119999999896E-2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6538</v>
      </c>
      <c r="C2" s="49">
        <v>16652.5</v>
      </c>
      <c r="D2" s="49">
        <v>19748.5</v>
      </c>
      <c r="E2" s="49">
        <v>13500.5</v>
      </c>
      <c r="F2" s="49">
        <v>10361</v>
      </c>
      <c r="G2" s="17">
        <f t="shared" ref="G2:G13" si="0">C2+D2+E2+F2</f>
        <v>60262.5</v>
      </c>
      <c r="H2" s="17">
        <f t="shared" ref="H2:H13" si="1">(B2 + stillbirth*B2/(1000-stillbirth))/(1-abortion)</f>
        <v>7486.5699843247576</v>
      </c>
      <c r="I2" s="17">
        <f t="shared" ref="I2:I13" si="2">G2-H2</f>
        <v>52775.930015675243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6632</v>
      </c>
      <c r="C3" s="50">
        <v>16747.5</v>
      </c>
      <c r="D3" s="50">
        <v>20695</v>
      </c>
      <c r="E3" s="50">
        <v>13571.5</v>
      </c>
      <c r="F3" s="50">
        <v>10716</v>
      </c>
      <c r="G3" s="17">
        <f t="shared" si="0"/>
        <v>61730</v>
      </c>
      <c r="H3" s="17">
        <f t="shared" si="1"/>
        <v>7594.2080354912505</v>
      </c>
      <c r="I3" s="17">
        <f t="shared" si="2"/>
        <v>54135.791964508753</v>
      </c>
    </row>
    <row r="4" spans="1:9" ht="15.75" customHeight="1" x14ac:dyDescent="0.25">
      <c r="A4" s="5">
        <f t="shared" si="3"/>
        <v>2026</v>
      </c>
      <c r="B4" s="49">
        <v>6745</v>
      </c>
      <c r="C4" s="50">
        <v>16923.5</v>
      </c>
      <c r="D4" s="50">
        <v>21676.5</v>
      </c>
      <c r="E4" s="50">
        <v>13727.5</v>
      </c>
      <c r="F4" s="50">
        <v>10989.5</v>
      </c>
      <c r="G4" s="17">
        <f t="shared" si="0"/>
        <v>63317</v>
      </c>
      <c r="H4" s="17">
        <f t="shared" si="1"/>
        <v>7723.6027140211818</v>
      </c>
      <c r="I4" s="17">
        <f t="shared" si="2"/>
        <v>55593.397285978819</v>
      </c>
    </row>
    <row r="5" spans="1:9" ht="15.75" customHeight="1" x14ac:dyDescent="0.25">
      <c r="A5" s="5">
        <f t="shared" si="3"/>
        <v>2027</v>
      </c>
      <c r="B5" s="49">
        <v>6822</v>
      </c>
      <c r="C5" s="50">
        <v>17196</v>
      </c>
      <c r="D5" s="50">
        <v>22669.5</v>
      </c>
      <c r="E5" s="50">
        <v>13979</v>
      </c>
      <c r="F5" s="50">
        <v>11187</v>
      </c>
      <c r="G5" s="17">
        <f t="shared" si="0"/>
        <v>65031.5</v>
      </c>
      <c r="H5" s="17">
        <f t="shared" si="1"/>
        <v>7811.7743091256498</v>
      </c>
      <c r="I5" s="17">
        <f t="shared" si="2"/>
        <v>57219.725690874351</v>
      </c>
    </row>
    <row r="6" spans="1:9" ht="15.75" customHeight="1" x14ac:dyDescent="0.25">
      <c r="A6" s="5">
        <f t="shared" si="3"/>
        <v>2028</v>
      </c>
      <c r="B6" s="49">
        <v>6921</v>
      </c>
      <c r="C6" s="50">
        <v>17411.5</v>
      </c>
      <c r="D6" s="50">
        <v>23615</v>
      </c>
      <c r="E6" s="50">
        <v>14324.5</v>
      </c>
      <c r="F6" s="50">
        <v>11313</v>
      </c>
      <c r="G6" s="17">
        <f t="shared" si="0"/>
        <v>66664</v>
      </c>
      <c r="H6" s="17">
        <f t="shared" si="1"/>
        <v>7925.1377885456786</v>
      </c>
      <c r="I6" s="17">
        <f t="shared" si="2"/>
        <v>58738.862211454325</v>
      </c>
    </row>
    <row r="7" spans="1:9" ht="15.75" customHeight="1" x14ac:dyDescent="0.25">
      <c r="A7" s="5">
        <f t="shared" si="3"/>
        <v>2029</v>
      </c>
      <c r="B7" s="49">
        <v>7009</v>
      </c>
      <c r="C7" s="50">
        <v>17605</v>
      </c>
      <c r="D7" s="50">
        <v>24444.5</v>
      </c>
      <c r="E7" s="50">
        <v>14767</v>
      </c>
      <c r="F7" s="50">
        <v>11382</v>
      </c>
      <c r="G7" s="17">
        <f t="shared" si="0"/>
        <v>68198.5</v>
      </c>
      <c r="H7" s="17">
        <f t="shared" si="1"/>
        <v>8025.9053258079266</v>
      </c>
      <c r="I7" s="17">
        <f t="shared" si="2"/>
        <v>60172.594674192071</v>
      </c>
    </row>
    <row r="8" spans="1:9" ht="15.75" customHeight="1" x14ac:dyDescent="0.25">
      <c r="A8" s="5">
        <f t="shared" si="3"/>
        <v>2030</v>
      </c>
      <c r="B8" s="49">
        <v>7080</v>
      </c>
      <c r="C8" s="50">
        <v>17809.5</v>
      </c>
      <c r="D8" s="50">
        <v>25107.5</v>
      </c>
      <c r="E8" s="50">
        <v>15314.5</v>
      </c>
      <c r="F8" s="50">
        <v>11404</v>
      </c>
      <c r="G8" s="17">
        <f t="shared" si="0"/>
        <v>69635.5</v>
      </c>
      <c r="H8" s="17">
        <f t="shared" si="1"/>
        <v>8107.2064070081506</v>
      </c>
      <c r="I8" s="17">
        <f t="shared" si="2"/>
        <v>61528.293592991846</v>
      </c>
    </row>
    <row r="9" spans="1:9" ht="15.75" customHeight="1" x14ac:dyDescent="0.25">
      <c r="A9" s="5">
        <f t="shared" si="3"/>
        <v>2031</v>
      </c>
      <c r="B9" s="49">
        <v>7183</v>
      </c>
      <c r="C9" s="50">
        <v>18008.5</v>
      </c>
      <c r="D9" s="50">
        <v>25604.5</v>
      </c>
      <c r="E9" s="50">
        <v>15971.5</v>
      </c>
      <c r="F9" s="50">
        <v>11391</v>
      </c>
      <c r="G9" s="17">
        <f t="shared" si="0"/>
        <v>70975.5</v>
      </c>
      <c r="H9" s="17">
        <f t="shared" si="1"/>
        <v>8225.1502290310091</v>
      </c>
      <c r="I9" s="17">
        <f t="shared" si="2"/>
        <v>62750.349770968991</v>
      </c>
    </row>
    <row r="10" spans="1:9" ht="15.75" customHeight="1" x14ac:dyDescent="0.25">
      <c r="A10" s="5">
        <f t="shared" si="3"/>
        <v>2032</v>
      </c>
      <c r="B10" s="49">
        <v>7281</v>
      </c>
      <c r="C10" s="50">
        <v>18004</v>
      </c>
      <c r="D10" s="50">
        <v>26159.5</v>
      </c>
      <c r="E10" s="50">
        <v>16732.5</v>
      </c>
      <c r="F10" s="50">
        <v>11355.5</v>
      </c>
      <c r="G10" s="17">
        <f t="shared" si="0"/>
        <v>72251.5</v>
      </c>
      <c r="H10" s="17">
        <f t="shared" si="1"/>
        <v>8337.3686228003298</v>
      </c>
      <c r="I10" s="17">
        <f t="shared" si="2"/>
        <v>63914.131377199672</v>
      </c>
    </row>
    <row r="11" spans="1:9" ht="15.75" customHeight="1" x14ac:dyDescent="0.25">
      <c r="A11" s="5">
        <f t="shared" si="3"/>
        <v>2033</v>
      </c>
      <c r="B11" s="49">
        <v>7365</v>
      </c>
      <c r="C11" s="50">
        <v>17840.5</v>
      </c>
      <c r="D11" s="50">
        <v>26791</v>
      </c>
      <c r="E11" s="50">
        <v>17570.5</v>
      </c>
      <c r="F11" s="50">
        <v>11310.5</v>
      </c>
      <c r="G11" s="17">
        <f t="shared" si="0"/>
        <v>73512.5</v>
      </c>
      <c r="H11" s="17">
        <f t="shared" si="1"/>
        <v>8433.5558174597481</v>
      </c>
      <c r="I11" s="17">
        <f t="shared" si="2"/>
        <v>65078.944182540254</v>
      </c>
    </row>
    <row r="12" spans="1:9" ht="15.75" customHeight="1" x14ac:dyDescent="0.25">
      <c r="A12" s="5">
        <f t="shared" si="3"/>
        <v>2034</v>
      </c>
      <c r="B12" s="49">
        <v>7431</v>
      </c>
      <c r="C12" s="50">
        <v>17720</v>
      </c>
      <c r="D12" s="50">
        <v>27305</v>
      </c>
      <c r="E12" s="50">
        <v>18463</v>
      </c>
      <c r="F12" s="50">
        <v>11286</v>
      </c>
      <c r="G12" s="17">
        <f t="shared" si="0"/>
        <v>74774</v>
      </c>
      <c r="H12" s="17">
        <f t="shared" si="1"/>
        <v>8509.1314704064353</v>
      </c>
      <c r="I12" s="17">
        <f t="shared" si="2"/>
        <v>66264.868529593572</v>
      </c>
    </row>
    <row r="13" spans="1:9" ht="15.75" customHeight="1" x14ac:dyDescent="0.25">
      <c r="A13" s="5">
        <f t="shared" si="3"/>
        <v>2035</v>
      </c>
      <c r="B13" s="49">
        <v>7492</v>
      </c>
      <c r="C13" s="50">
        <v>17670.5</v>
      </c>
      <c r="D13" s="50">
        <v>27681</v>
      </c>
      <c r="E13" s="50">
        <v>19397</v>
      </c>
      <c r="F13" s="50">
        <v>11308</v>
      </c>
      <c r="G13" s="17">
        <f t="shared" si="0"/>
        <v>76056.5</v>
      </c>
      <c r="H13" s="17">
        <f t="shared" si="1"/>
        <v>8578.9816950995846</v>
      </c>
      <c r="I13" s="17">
        <f t="shared" si="2"/>
        <v>67477.518304900412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7.2663600000000161E-2</v>
      </c>
    </row>
    <row r="5" spans="1:8" ht="15.75" customHeight="1" x14ac:dyDescent="0.25">
      <c r="B5" s="19" t="s">
        <v>70</v>
      </c>
      <c r="C5" s="101">
        <v>3.2022400000000013E-2</v>
      </c>
    </row>
    <row r="6" spans="1:8" ht="15.75" customHeight="1" x14ac:dyDescent="0.25">
      <c r="B6" s="19" t="s">
        <v>71</v>
      </c>
      <c r="C6" s="101">
        <v>0.18112940000000011</v>
      </c>
    </row>
    <row r="7" spans="1:8" ht="15.75" customHeight="1" x14ac:dyDescent="0.25">
      <c r="B7" s="19" t="s">
        <v>72</v>
      </c>
      <c r="C7" s="101">
        <v>0.43143469999999928</v>
      </c>
    </row>
    <row r="8" spans="1:8" ht="15.75" customHeight="1" x14ac:dyDescent="0.25">
      <c r="B8" s="19" t="s">
        <v>73</v>
      </c>
      <c r="C8" s="101">
        <v>0</v>
      </c>
    </row>
    <row r="9" spans="1:8" ht="15.75" customHeight="1" x14ac:dyDescent="0.25">
      <c r="B9" s="19" t="s">
        <v>74</v>
      </c>
      <c r="C9" s="101">
        <v>0.18141010000000021</v>
      </c>
    </row>
    <row r="10" spans="1:8" ht="15.75" customHeight="1" x14ac:dyDescent="0.25">
      <c r="B10" s="19" t="s">
        <v>75</v>
      </c>
      <c r="C10" s="101">
        <v>0.1013398000000002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5.9773070306148287E-3</v>
      </c>
      <c r="D14" s="55">
        <v>5.9773070306148287E-3</v>
      </c>
      <c r="E14" s="55">
        <v>5.9773070306148287E-3</v>
      </c>
      <c r="F14" s="55">
        <v>5.9773070306148287E-3</v>
      </c>
    </row>
    <row r="15" spans="1:8" ht="15.75" customHeight="1" x14ac:dyDescent="0.25">
      <c r="B15" s="19" t="s">
        <v>82</v>
      </c>
      <c r="C15" s="101">
        <v>0.14201342044077259</v>
      </c>
      <c r="D15" s="101">
        <v>0.14201342044077259</v>
      </c>
      <c r="E15" s="101">
        <v>0.14201342044077259</v>
      </c>
      <c r="F15" s="101">
        <v>0.14201342044077259</v>
      </c>
    </row>
    <row r="16" spans="1:8" ht="15.75" customHeight="1" x14ac:dyDescent="0.25">
      <c r="B16" s="19" t="s">
        <v>83</v>
      </c>
      <c r="C16" s="101">
        <v>1.5148673316420749E-3</v>
      </c>
      <c r="D16" s="101">
        <v>1.5148673316420749E-3</v>
      </c>
      <c r="E16" s="101">
        <v>1.5148673316420749E-3</v>
      </c>
      <c r="F16" s="101">
        <v>1.5148673316420749E-3</v>
      </c>
    </row>
    <row r="17" spans="1:8" ht="15.75" customHeight="1" x14ac:dyDescent="0.25">
      <c r="B17" s="19" t="s">
        <v>84</v>
      </c>
      <c r="C17" s="101">
        <v>0.79207380330936872</v>
      </c>
      <c r="D17" s="101">
        <v>0.79207380330936872</v>
      </c>
      <c r="E17" s="101">
        <v>0.79207380330936872</v>
      </c>
      <c r="F17" s="101">
        <v>0.79207380330936872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7.4143769382759572E-3</v>
      </c>
      <c r="D19" s="101">
        <v>7.4143769382759572E-3</v>
      </c>
      <c r="E19" s="101">
        <v>7.4143769382759572E-3</v>
      </c>
      <c r="F19" s="101">
        <v>7.4143769382759572E-3</v>
      </c>
    </row>
    <row r="20" spans="1:8" ht="15.75" customHeight="1" x14ac:dyDescent="0.25">
      <c r="B20" s="19" t="s">
        <v>87</v>
      </c>
      <c r="C20" s="101">
        <v>0</v>
      </c>
      <c r="D20" s="101">
        <v>0</v>
      </c>
      <c r="E20" s="101">
        <v>0</v>
      </c>
      <c r="F20" s="101">
        <v>0</v>
      </c>
    </row>
    <row r="21" spans="1:8" ht="15.75" customHeight="1" x14ac:dyDescent="0.25">
      <c r="B21" s="19" t="s">
        <v>88</v>
      </c>
      <c r="C21" s="101">
        <v>2.638911729579237E-2</v>
      </c>
      <c r="D21" s="101">
        <v>2.638911729579237E-2</v>
      </c>
      <c r="E21" s="101">
        <v>2.638911729579237E-2</v>
      </c>
      <c r="F21" s="101">
        <v>2.638911729579237E-2</v>
      </c>
    </row>
    <row r="22" spans="1:8" ht="15.75" customHeight="1" x14ac:dyDescent="0.25">
      <c r="B22" s="19" t="s">
        <v>89</v>
      </c>
      <c r="C22" s="101">
        <v>2.4617107653533501E-2</v>
      </c>
      <c r="D22" s="101">
        <v>2.4617107653533501E-2</v>
      </c>
      <c r="E22" s="101">
        <v>2.4617107653533501E-2</v>
      </c>
      <c r="F22" s="101">
        <v>2.4617107653533501E-2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4.7837044999999988E-2</v>
      </c>
    </row>
    <row r="27" spans="1:8" ht="15.75" customHeight="1" x14ac:dyDescent="0.25">
      <c r="B27" s="19" t="s">
        <v>92</v>
      </c>
      <c r="C27" s="101">
        <v>1.836863E-2</v>
      </c>
    </row>
    <row r="28" spans="1:8" ht="15.75" customHeight="1" x14ac:dyDescent="0.25">
      <c r="B28" s="19" t="s">
        <v>93</v>
      </c>
      <c r="C28" s="101">
        <v>0.231175139</v>
      </c>
    </row>
    <row r="29" spans="1:8" ht="15.75" customHeight="1" x14ac:dyDescent="0.25">
      <c r="B29" s="19" t="s">
        <v>94</v>
      </c>
      <c r="C29" s="101">
        <v>0.138527135</v>
      </c>
    </row>
    <row r="30" spans="1:8" ht="15.75" customHeight="1" x14ac:dyDescent="0.25">
      <c r="B30" s="19" t="s">
        <v>95</v>
      </c>
      <c r="C30" s="101">
        <v>4.9111505E-2</v>
      </c>
    </row>
    <row r="31" spans="1:8" ht="15.75" customHeight="1" x14ac:dyDescent="0.25">
      <c r="B31" s="19" t="s">
        <v>96</v>
      </c>
      <c r="C31" s="101">
        <v>6.9658183999999998E-2</v>
      </c>
    </row>
    <row r="32" spans="1:8" ht="15.75" customHeight="1" x14ac:dyDescent="0.25">
      <c r="B32" s="19" t="s">
        <v>97</v>
      </c>
      <c r="C32" s="101">
        <v>0.14941447299999999</v>
      </c>
    </row>
    <row r="33" spans="2:3" ht="15.75" customHeight="1" x14ac:dyDescent="0.25">
      <c r="B33" s="19" t="s">
        <v>98</v>
      </c>
      <c r="C33" s="101">
        <v>0.122223571</v>
      </c>
    </row>
    <row r="34" spans="2:3" ht="15.75" customHeight="1" x14ac:dyDescent="0.25">
      <c r="B34" s="19" t="s">
        <v>99</v>
      </c>
      <c r="C34" s="101">
        <v>0.173684317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0.82676394554305221</v>
      </c>
      <c r="D2" s="52">
        <f>IFERROR(1-_xlfn.NORM.DIST(_xlfn.NORM.INV(SUM(D4:D5), 0, 1) + 1, 0, 1, TRUE), "")</f>
        <v>0.82676394554305221</v>
      </c>
      <c r="E2" s="52">
        <f>IFERROR(1-_xlfn.NORM.DIST(_xlfn.NORM.INV(SUM(E4:E5), 0, 1) + 1, 0, 1, TRUE), "")</f>
        <v>0.65915750323456745</v>
      </c>
      <c r="F2" s="52">
        <f>IFERROR(1-_xlfn.NORM.DIST(_xlfn.NORM.INV(SUM(F4:F5), 0, 1) + 1, 0, 1, TRUE), "")</f>
        <v>0.62498946478788864</v>
      </c>
      <c r="G2" s="52">
        <f>IFERROR(1-_xlfn.NORM.DIST(_xlfn.NORM.INV(SUM(G4:G5), 0, 1) + 1, 0, 1, TRUE), "")</f>
        <v>0.67909768924145342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0.14713445445694781</v>
      </c>
      <c r="D3" s="52">
        <f>IFERROR(_xlfn.NORM.DIST(_xlfn.NORM.INV(SUM(D4:D5), 0, 1) + 1, 0, 1, TRUE) - SUM(D4:D5), "")</f>
        <v>0.14713445445694781</v>
      </c>
      <c r="E3" s="52">
        <f>IFERROR(_xlfn.NORM.DIST(_xlfn.NORM.INV(SUM(E4:E5), 0, 1) + 1, 0, 1, TRUE) - SUM(E4:E5), "")</f>
        <v>0.26159699676543252</v>
      </c>
      <c r="F3" s="52">
        <f>IFERROR(_xlfn.NORM.DIST(_xlfn.NORM.INV(SUM(F4:F5), 0, 1) + 1, 0, 1, TRUE) - SUM(F4:F5), "")</f>
        <v>0.28136103521211137</v>
      </c>
      <c r="G3" s="52">
        <f>IFERROR(_xlfn.NORM.DIST(_xlfn.NORM.INV(SUM(G4:G5), 0, 1) + 1, 0, 1, TRUE) - SUM(G4:G5), "")</f>
        <v>0.24946601075854657</v>
      </c>
    </row>
    <row r="4" spans="1:15" ht="15.75" customHeight="1" x14ac:dyDescent="0.25">
      <c r="B4" s="5" t="s">
        <v>104</v>
      </c>
      <c r="C4" s="45">
        <v>1.8525300000000001E-2</v>
      </c>
      <c r="D4" s="53">
        <v>1.8525300000000001E-2</v>
      </c>
      <c r="E4" s="53">
        <v>1.41817E-2</v>
      </c>
      <c r="F4" s="53">
        <v>5.7010900000000003E-2</v>
      </c>
      <c r="G4" s="53">
        <v>3.7941599999999999E-2</v>
      </c>
    </row>
    <row r="5" spans="1:15" ht="15.75" customHeight="1" x14ac:dyDescent="0.25">
      <c r="B5" s="5" t="s">
        <v>105</v>
      </c>
      <c r="C5" s="45">
        <v>7.5763000000000002E-3</v>
      </c>
      <c r="D5" s="53">
        <v>7.5763000000000002E-3</v>
      </c>
      <c r="E5" s="53">
        <v>6.5063800000000005E-2</v>
      </c>
      <c r="F5" s="53">
        <v>3.66386E-2</v>
      </c>
      <c r="G5" s="53">
        <v>3.3494700000000002E-2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0.62961648186943653</v>
      </c>
      <c r="D8" s="52">
        <f>IFERROR(1-_xlfn.NORM.DIST(_xlfn.NORM.INV(SUM(D10:D11), 0, 1) + 1, 0, 1, TRUE), "")</f>
        <v>0.62961648186943653</v>
      </c>
      <c r="E8" s="52">
        <f>IFERROR(1-_xlfn.NORM.DIST(_xlfn.NORM.INV(SUM(E10:E11), 0, 1) + 1, 0, 1, TRUE), "")</f>
        <v>0.78987108124984162</v>
      </c>
      <c r="F8" s="52">
        <f>IFERROR(1-_xlfn.NORM.DIST(_xlfn.NORM.INV(SUM(F10:F11), 0, 1) + 1, 0, 1, TRUE), "")</f>
        <v>0.79331829205928583</v>
      </c>
      <c r="G8" s="52">
        <f>IFERROR(1-_xlfn.NORM.DIST(_xlfn.NORM.INV(SUM(G10:G11), 0, 1) + 1, 0, 1, TRUE), "")</f>
        <v>0.86184988827977049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0.27876231813056351</v>
      </c>
      <c r="D9" s="52">
        <f>IFERROR(_xlfn.NORM.DIST(_xlfn.NORM.INV(SUM(D10:D11), 0, 1) + 1, 0, 1, TRUE) - SUM(D10:D11), "")</f>
        <v>0.27876231813056351</v>
      </c>
      <c r="E9" s="52">
        <f>IFERROR(_xlfn.NORM.DIST(_xlfn.NORM.INV(SUM(E10:E11), 0, 1) + 1, 0, 1, TRUE) - SUM(E10:E11), "")</f>
        <v>0.17466771875015838</v>
      </c>
      <c r="F9" s="52">
        <f>IFERROR(_xlfn.NORM.DIST(_xlfn.NORM.INV(SUM(F10:F11), 0, 1) + 1, 0, 1, TRUE) - SUM(F10:F11), "")</f>
        <v>0.17214880794071416</v>
      </c>
      <c r="G9" s="52">
        <f>IFERROR(_xlfn.NORM.DIST(_xlfn.NORM.INV(SUM(G10:G11), 0, 1) + 1, 0, 1, TRUE) - SUM(G10:G11), "")</f>
        <v>0.11978131172022953</v>
      </c>
    </row>
    <row r="10" spans="1:15" ht="15.75" customHeight="1" x14ac:dyDescent="0.25">
      <c r="B10" s="5" t="s">
        <v>109</v>
      </c>
      <c r="C10" s="45">
        <v>4.0578700000000002E-2</v>
      </c>
      <c r="D10" s="53">
        <v>4.0578700000000002E-2</v>
      </c>
      <c r="E10" s="53">
        <v>3.1065300000000001E-2</v>
      </c>
      <c r="F10" s="53">
        <v>2.3253699999999999E-2</v>
      </c>
      <c r="G10" s="53">
        <v>1.16712E-2</v>
      </c>
    </row>
    <row r="11" spans="1:15" ht="15.75" customHeight="1" x14ac:dyDescent="0.25">
      <c r="B11" s="5" t="s">
        <v>110</v>
      </c>
      <c r="C11" s="45">
        <v>5.1042499999999998E-2</v>
      </c>
      <c r="D11" s="53">
        <v>5.1042499999999998E-2</v>
      </c>
      <c r="E11" s="53">
        <v>4.3958999999999986E-3</v>
      </c>
      <c r="F11" s="53">
        <v>1.12792E-2</v>
      </c>
      <c r="G11" s="53">
        <v>6.6976000000000006E-3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0.73811573149999998</v>
      </c>
      <c r="D14" s="54">
        <v>0.73101439726399997</v>
      </c>
      <c r="E14" s="54">
        <v>0.73101439726399997</v>
      </c>
      <c r="F14" s="54">
        <v>0.46123497697700011</v>
      </c>
      <c r="G14" s="54">
        <v>0.46123497697700011</v>
      </c>
      <c r="H14" s="45">
        <v>0.42499999999999999</v>
      </c>
      <c r="I14" s="55">
        <v>0.42499999999999999</v>
      </c>
      <c r="J14" s="55">
        <v>0.42499999999999999</v>
      </c>
      <c r="K14" s="55">
        <v>0.42499999999999999</v>
      </c>
      <c r="L14" s="45">
        <v>0.30499999999999999</v>
      </c>
      <c r="M14" s="55">
        <v>0.30499999999999999</v>
      </c>
      <c r="N14" s="55">
        <v>0.30499999999999999</v>
      </c>
      <c r="O14" s="55">
        <v>0.30499999999999999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0.42263768669958501</v>
      </c>
      <c r="D15" s="52">
        <f t="shared" si="0"/>
        <v>0.41857153372939376</v>
      </c>
      <c r="E15" s="52">
        <f t="shared" si="0"/>
        <v>0.41857153372939376</v>
      </c>
      <c r="F15" s="52">
        <f t="shared" si="0"/>
        <v>0.26409853546726053</v>
      </c>
      <c r="G15" s="52">
        <f t="shared" si="0"/>
        <v>0.26409853546726053</v>
      </c>
      <c r="H15" s="52">
        <f t="shared" si="0"/>
        <v>0.24335075</v>
      </c>
      <c r="I15" s="52">
        <f t="shared" si="0"/>
        <v>0.24335075</v>
      </c>
      <c r="J15" s="52">
        <f t="shared" si="0"/>
        <v>0.24335075</v>
      </c>
      <c r="K15" s="52">
        <f t="shared" si="0"/>
        <v>0.24335075</v>
      </c>
      <c r="L15" s="52">
        <f t="shared" si="0"/>
        <v>0.17463995000000002</v>
      </c>
      <c r="M15" s="52">
        <f t="shared" si="0"/>
        <v>0.17463995000000002</v>
      </c>
      <c r="N15" s="52">
        <f t="shared" si="0"/>
        <v>0.17463995000000002</v>
      </c>
      <c r="O15" s="52">
        <f t="shared" si="0"/>
        <v>0.17463995000000002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0.71186269999999996</v>
      </c>
      <c r="D2" s="53">
        <v>0.50451279999999998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</v>
      </c>
      <c r="D3" s="53">
        <v>8.512829999999999E-2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0.13968539999999999</v>
      </c>
      <c r="D4" s="53">
        <v>0.21177399999999999</v>
      </c>
      <c r="E4" s="53">
        <v>0.6588117</v>
      </c>
      <c r="F4" s="53">
        <v>0.4976312</v>
      </c>
      <c r="G4" s="53">
        <v>0</v>
      </c>
    </row>
    <row r="5" spans="1:7" x14ac:dyDescent="0.25">
      <c r="B5" s="3" t="s">
        <v>122</v>
      </c>
      <c r="C5" s="52">
        <v>0.1484519</v>
      </c>
      <c r="D5" s="52">
        <v>0.19858490000000001</v>
      </c>
      <c r="E5" s="52">
        <f>1-SUM(E2:E4)</f>
        <v>0.3411883</v>
      </c>
      <c r="F5" s="52">
        <f>1-SUM(F2:F4)</f>
        <v>0.50236879999999995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ht="13.25" customHeight="1" x14ac:dyDescent="0.25">
      <c r="A2" s="8" t="s">
        <v>137</v>
      </c>
      <c r="B2" s="41">
        <v>10</v>
      </c>
    </row>
    <row r="3" spans="1:2" ht="13.25" customHeight="1" x14ac:dyDescent="0.25">
      <c r="A3" s="8" t="s">
        <v>138</v>
      </c>
      <c r="B3" s="41">
        <v>10</v>
      </c>
    </row>
    <row r="4" spans="1:2" ht="13.25" customHeight="1" x14ac:dyDescent="0.25">
      <c r="A4" s="8" t="s">
        <v>139</v>
      </c>
      <c r="B4" s="41">
        <v>10</v>
      </c>
    </row>
    <row r="5" spans="1:2" ht="13.25" customHeight="1" x14ac:dyDescent="0.25">
      <c r="A5" s="8" t="s">
        <v>140</v>
      </c>
      <c r="B5" s="41">
        <v>10</v>
      </c>
    </row>
    <row r="6" spans="1:2" ht="13.25" customHeight="1" x14ac:dyDescent="0.25">
      <c r="A6" s="8" t="s">
        <v>141</v>
      </c>
      <c r="B6" s="41">
        <v>10</v>
      </c>
    </row>
    <row r="7" spans="1:2" ht="13.25" customHeight="1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ht="13.25" customHeight="1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ht="13.25" customHeight="1" x14ac:dyDescent="0.25">
      <c r="B5" s="32" t="s">
        <v>78</v>
      </c>
      <c r="C5" s="47"/>
      <c r="D5" s="47" t="s">
        <v>149</v>
      </c>
      <c r="E5" s="38" t="str">
        <f>IF(E$7="","",E$7)</f>
        <v/>
      </c>
    </row>
    <row r="6" spans="1:5" ht="13.25" customHeight="1" x14ac:dyDescent="0.25">
      <c r="B6" s="32" t="s">
        <v>79</v>
      </c>
      <c r="C6" s="47"/>
      <c r="D6" s="47" t="s">
        <v>149</v>
      </c>
      <c r="E6" s="38" t="str">
        <f>IF(E$7="","",E$7)</f>
        <v/>
      </c>
    </row>
    <row r="7" spans="1:5" ht="13.25" customHeight="1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67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77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ht="13.25" customHeight="1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ht="13.25" customHeight="1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topLeftCell="A6"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</v>
      </c>
      <c r="C2" s="98">
        <v>0.95</v>
      </c>
      <c r="D2" s="56">
        <v>42.533893708163482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44.807550932125316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171.46801836850591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0.94053016777428589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1.1113E-2</v>
      </c>
      <c r="C10" s="98">
        <v>0.95</v>
      </c>
      <c r="D10" s="56">
        <v>14.332612801245681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14.332612801245681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14.332612801245681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14.332612801245681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1.1113E-2</v>
      </c>
      <c r="C14" s="98">
        <v>0.95</v>
      </c>
      <c r="D14" s="56">
        <v>14.332612801245681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14.332612801245681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</v>
      </c>
      <c r="C16" s="98">
        <v>0.95</v>
      </c>
      <c r="D16" s="56">
        <v>0.38901621782286311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0.50451279999999998</v>
      </c>
      <c r="C18" s="98">
        <v>0.95</v>
      </c>
      <c r="D18" s="56">
        <v>4.0260706086583404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0.50451279999999998</v>
      </c>
      <c r="C19" s="98">
        <v>0.95</v>
      </c>
      <c r="D19" s="56">
        <v>4.0260706086583404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</v>
      </c>
      <c r="C21" s="98">
        <v>0.95</v>
      </c>
      <c r="D21" s="56">
        <v>8.8560391003737333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24.509852846612429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4.7482493984987979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0.62744799530607998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1.1113E-2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</v>
      </c>
      <c r="C27" s="98">
        <v>0.95</v>
      </c>
      <c r="D27" s="56">
        <v>20.698417778852551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0.58558969999999999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0.2004783</v>
      </c>
      <c r="C29" s="98">
        <v>0.95</v>
      </c>
      <c r="D29" s="56">
        <v>78.281838017014053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0.5324638758293635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0.79117266352621562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0.7196437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0.1203943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1.57512E-2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0.88436999999999999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0.33004980000000012</v>
      </c>
      <c r="C38" s="98">
        <v>0.95</v>
      </c>
      <c r="D38" s="56">
        <v>4.645638405644835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C8" sqref="C8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ht="13.25" customHeight="1" x14ac:dyDescent="0.25">
      <c r="A2" s="57" t="s">
        <v>179</v>
      </c>
      <c r="B2" s="47" t="s">
        <v>189</v>
      </c>
      <c r="C2" s="47"/>
    </row>
    <row r="3" spans="1:3" ht="13.25" customHeight="1" x14ac:dyDescent="0.25">
      <c r="A3" s="57" t="s">
        <v>180</v>
      </c>
      <c r="B3" s="47" t="s">
        <v>189</v>
      </c>
      <c r="C3" s="47"/>
    </row>
    <row r="4" spans="1:3" ht="13.25" customHeight="1" x14ac:dyDescent="0.25">
      <c r="A4" s="57" t="s">
        <v>191</v>
      </c>
      <c r="B4" s="47" t="s">
        <v>184</v>
      </c>
      <c r="C4" s="47"/>
    </row>
    <row r="5" spans="1:3" ht="13.25" customHeight="1" x14ac:dyDescent="0.25">
      <c r="A5" s="57" t="s">
        <v>188</v>
      </c>
      <c r="B5" s="47" t="s">
        <v>184</v>
      </c>
      <c r="C5" s="47"/>
    </row>
    <row r="6" spans="1:3" ht="13.25" customHeight="1" x14ac:dyDescent="0.25">
      <c r="A6" s="57" t="s">
        <v>191</v>
      </c>
      <c r="B6" s="58" t="s">
        <v>192</v>
      </c>
      <c r="C6" s="58"/>
    </row>
    <row r="7" spans="1:3" ht="13.25" customHeight="1" x14ac:dyDescent="0.25">
      <c r="A7" s="57" t="s">
        <v>188</v>
      </c>
      <c r="B7" s="58" t="s">
        <v>192</v>
      </c>
      <c r="C7" s="58"/>
    </row>
    <row r="8" spans="1:3" ht="13.25" customHeight="1" x14ac:dyDescent="0.25">
      <c r="A8" s="57" t="s">
        <v>200</v>
      </c>
      <c r="B8" s="58" t="s">
        <v>192</v>
      </c>
      <c r="C8" s="58"/>
    </row>
    <row r="9" spans="1:3" ht="13.25" customHeight="1" x14ac:dyDescent="0.25">
      <c r="A9" s="57" t="s">
        <v>193</v>
      </c>
      <c r="B9" s="58" t="s">
        <v>192</v>
      </c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ht="13.25" customHeight="1" x14ac:dyDescent="0.25">
      <c r="A2" s="33" t="s">
        <v>171</v>
      </c>
    </row>
    <row r="3" spans="1:1" ht="13.25" customHeight="1" x14ac:dyDescent="0.25">
      <c r="A3" s="33" t="s">
        <v>181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157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2.2000000000000002</v>
      </c>
      <c r="C2" s="21">
        <f>'Baseline year population inputs'!C52</f>
        <v>2.2000000000000002</v>
      </c>
      <c r="D2" s="21">
        <f>'Baseline year population inputs'!C53</f>
        <v>2.2000000000000002</v>
      </c>
      <c r="E2" s="21">
        <f>'Baseline year population inputs'!C54</f>
        <v>2.2000000000000002</v>
      </c>
      <c r="F2" s="21">
        <f>'Baseline year population inputs'!C55</f>
        <v>2.2000000000000002</v>
      </c>
    </row>
    <row r="3" spans="1:6" ht="15.75" customHeight="1" x14ac:dyDescent="0.25">
      <c r="A3" s="3" t="s">
        <v>204</v>
      </c>
      <c r="B3" s="21">
        <f>frac_mam_1month * 2.6</f>
        <v>0.10550462000000001</v>
      </c>
      <c r="C3" s="21">
        <f>frac_mam_1_5months * 2.6</f>
        <v>0.10550462000000001</v>
      </c>
      <c r="D3" s="21">
        <f>frac_mam_6_11months * 2.6</f>
        <v>8.0769779999999999E-2</v>
      </c>
      <c r="E3" s="21">
        <f>frac_mam_12_23months * 2.6</f>
        <v>6.0459619999999999E-2</v>
      </c>
      <c r="F3" s="21">
        <f>frac_mam_24_59months * 2.6</f>
        <v>3.034512E-2</v>
      </c>
    </row>
    <row r="4" spans="1:6" ht="15.75" customHeight="1" x14ac:dyDescent="0.25">
      <c r="A4" s="3" t="s">
        <v>205</v>
      </c>
      <c r="B4" s="21">
        <f>frac_sam_1month * 2.6</f>
        <v>0.13271050000000001</v>
      </c>
      <c r="C4" s="21">
        <f>frac_sam_1_5months * 2.6</f>
        <v>0.13271050000000001</v>
      </c>
      <c r="D4" s="21">
        <f>frac_sam_6_11months * 2.6</f>
        <v>1.1429339999999996E-2</v>
      </c>
      <c r="E4" s="21">
        <f>frac_sam_12_23months * 2.6</f>
        <v>2.9325919999999998E-2</v>
      </c>
      <c r="F4" s="21">
        <f>frac_sam_24_59months * 2.6</f>
        <v>1.7413760000000004E-2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1.0999999999999999E-2</v>
      </c>
      <c r="E2" s="60">
        <f>food_insecure</f>
        <v>1.0999999999999999E-2</v>
      </c>
      <c r="F2" s="60">
        <f>food_insecure</f>
        <v>1.0999999999999999E-2</v>
      </c>
      <c r="G2" s="60">
        <f>food_insecure</f>
        <v>1.0999999999999999E-2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1.0999999999999999E-2</v>
      </c>
      <c r="F5" s="60">
        <f>food_insecure</f>
        <v>1.0999999999999999E-2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4.6999999999999993E-2</v>
      </c>
      <c r="D7" s="60">
        <f>diarrhoea_1_5mo*frac_diarrhea_severe</f>
        <v>4.6999999999999993E-2</v>
      </c>
      <c r="E7" s="60">
        <f>diarrhoea_6_11mo*frac_diarrhea_severe</f>
        <v>4.6999999999999993E-2</v>
      </c>
      <c r="F7" s="60">
        <f>diarrhoea_12_23mo*frac_diarrhea_severe</f>
        <v>4.6999999999999993E-2</v>
      </c>
      <c r="G7" s="60">
        <f>diarrhoea_24_59mo*frac_diarrhea_severe</f>
        <v>4.6999999999999993E-2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1.0999999999999999E-2</v>
      </c>
      <c r="F8" s="60">
        <f>food_insecure</f>
        <v>1.0999999999999999E-2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1.0999999999999999E-2</v>
      </c>
      <c r="F9" s="60">
        <f>food_insecure</f>
        <v>1.0999999999999999E-2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4.6999999999999993E-2</v>
      </c>
      <c r="D12" s="60">
        <f>diarrhoea_1_5mo*frac_diarrhea_severe</f>
        <v>4.6999999999999993E-2</v>
      </c>
      <c r="E12" s="60">
        <f>diarrhoea_6_11mo*frac_diarrhea_severe</f>
        <v>4.6999999999999993E-2</v>
      </c>
      <c r="F12" s="60">
        <f>diarrhoea_12_23mo*frac_diarrhea_severe</f>
        <v>4.6999999999999993E-2</v>
      </c>
      <c r="G12" s="60">
        <f>diarrhoea_24_59mo*frac_diarrhea_severe</f>
        <v>4.6999999999999993E-2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1.0999999999999999E-2</v>
      </c>
      <c r="I15" s="60">
        <f>food_insecure</f>
        <v>1.0999999999999999E-2</v>
      </c>
      <c r="J15" s="60">
        <f>food_insecure</f>
        <v>1.0999999999999999E-2</v>
      </c>
      <c r="K15" s="60">
        <f>food_insecure</f>
        <v>1.0999999999999999E-2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0.49700000000000011</v>
      </c>
      <c r="M24" s="60">
        <f>famplan_unmet_need</f>
        <v>0.49700000000000011</v>
      </c>
      <c r="N24" s="60">
        <f>famplan_unmet_need</f>
        <v>0.49700000000000011</v>
      </c>
      <c r="O24" s="60">
        <f>famplan_unmet_need</f>
        <v>0.49700000000000011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0.15610905507507314</v>
      </c>
      <c r="M25" s="60">
        <f>(1-food_insecure)*(0.49)+food_insecure*(0.7)</f>
        <v>0.49230999999999997</v>
      </c>
      <c r="N25" s="60">
        <f>(1-food_insecure)*(0.49)+food_insecure*(0.7)</f>
        <v>0.49230999999999997</v>
      </c>
      <c r="O25" s="60">
        <f>(1-food_insecure)*(0.49)+food_insecure*(0.7)</f>
        <v>0.49230999999999997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6.6903880746459907E-2</v>
      </c>
      <c r="M26" s="60">
        <f>(1-food_insecure)*(0.21)+food_insecure*(0.3)</f>
        <v>0.21098999999999998</v>
      </c>
      <c r="N26" s="60">
        <f>(1-food_insecure)*(0.21)+food_insecure*(0.3)</f>
        <v>0.21098999999999998</v>
      </c>
      <c r="O26" s="60">
        <f>(1-food_insecure)*(0.21)+food_insecure*(0.3)</f>
        <v>0.21098999999999998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9.4082095916747974E-2</v>
      </c>
      <c r="M27" s="60">
        <f>(1-food_insecure)*(0.3)</f>
        <v>0.29669999999999996</v>
      </c>
      <c r="N27" s="60">
        <f>(1-food_insecure)*(0.3)</f>
        <v>0.29669999999999996</v>
      </c>
      <c r="O27" s="60">
        <f>(1-food_insecure)*(0.3)</f>
        <v>0.29669999999999996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0.68290496826171898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ht="13.25" customHeight="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ht="13.25" customHeight="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ht="13.25" customHeight="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ht="13.25" customHeight="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ht="13.25" customHeight="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ht="13.25" customHeight="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ht="13.25" customHeight="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ht="13.25" customHeight="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ht="13.25" customHeight="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ht="13.25" customHeight="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ht="13.25" customHeight="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ht="13.25" customHeight="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ht="13.25" customHeight="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ht="13.25" customHeight="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ht="13.25" customHeight="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ht="13.25" customHeight="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ht="13.25" customHeight="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ht="13.25" customHeight="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ht="13.25" customHeight="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ht="13.25" customHeight="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ht="13.25" customHeight="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5" zoomScale="85" zoomScaleNormal="85" workbookViewId="0">
      <selection activeCell="C61" sqref="C61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67</v>
      </c>
      <c r="C5" s="8" t="s">
        <v>145</v>
      </c>
      <c r="D5" s="88">
        <v>1.73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146</v>
      </c>
      <c r="D6" s="88">
        <v>1.73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77</v>
      </c>
      <c r="C8" s="8" t="s">
        <v>145</v>
      </c>
      <c r="D8" s="88">
        <v>1</v>
      </c>
      <c r="E8" s="88">
        <v>1.73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146</v>
      </c>
      <c r="D9" s="88">
        <v>1</v>
      </c>
      <c r="E9" s="88">
        <v>1.73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ht="13.25" customHeight="1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ht="13.25" customHeight="1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1.35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1.35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1.35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1.35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2.11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2.11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2.11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2.11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15" zoomScale="85" zoomScaleNormal="85" workbookViewId="0">
      <selection activeCell="C61" sqref="C6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C61" sqref="C61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43" zoomScale="70" zoomScaleNormal="70" workbookViewId="0">
      <selection activeCell="C61" sqref="C61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289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302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111</v>
      </c>
      <c r="B40" s="11" t="s">
        <v>303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307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310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316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111</v>
      </c>
      <c r="B63" s="11" t="s">
        <v>317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Z5W0iLQonUXgebQ0oBIAJiknKvZHIMnPuF1vh21+BfR+VnJC7YVzBoFQiTm+hEbHNMOFIRa563Ft7+Jm2vvcKg==" saltValue="MgosxU+mdCbdebb7wBaTK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61" sqref="C61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njPs+tiryCjGlxIcCoc9VYZVK7anRAVHCvKud83EfjtgKW0vUQr2FSI3nvdju1neMs4gxoXRQGAXnwHTy0eGQ==" saltValue="uusuOaSrLiI1eiqZNmtU+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49" sqref="C49:O61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0.92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0.87</v>
      </c>
      <c r="D26" s="90">
        <v>0.4</v>
      </c>
      <c r="E26" s="90">
        <f t="shared" ref="E26:O26" si="0">IF(E3=1,1,E3*0.9)</f>
        <v>1</v>
      </c>
      <c r="F26" s="90">
        <f t="shared" si="0"/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175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176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177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178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179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189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192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173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174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182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0.99</v>
      </c>
      <c r="D49" s="90">
        <v>0.7</v>
      </c>
      <c r="E49" s="90">
        <f t="shared" ref="E49:O49" si="9">IF(E3=1,1,E3*1.05)</f>
        <v>1</v>
      </c>
      <c r="F49" s="90">
        <f t="shared" si="9"/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175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176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177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178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179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189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192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173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174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182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Z+I5w7Zv8b/t9kdTHtfTBlYoSm79UCEUpz3ShmnqEGsFIWvoyqli8qZ/O3UtxFRtNUOisgC6wk7M7CD5q+6g2w==" saltValue="qncMJDCOHin5ZX0oUaABD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ht="13.25" customHeight="1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ht="13.25" customHeight="1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ht="13.25" customHeight="1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SrwgMfue31l5YKH5YC63gNl/EJnr5ZJbUkDIAIpA9VCbqMkKC4yV7Qlzd02MRVNDQ406JZzgd4mO0azU8HKbQ==" saltValue="P3gP/2fV5vANzIL7NniDMg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zoomScale="80" zoomScaleNormal="80" workbookViewId="0">
      <selection activeCell="C49" sqref="C49:O61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ht="13.25" customHeight="1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340</v>
      </c>
      <c r="D18" s="90">
        <v>0</v>
      </c>
      <c r="E18" s="90">
        <v>0</v>
      </c>
      <c r="F18" s="90">
        <f>MIN(MAX(1-0.89/(1-frac_sam_6_11months+(frac_sam_6_11months*0.89)),0),1)</f>
        <v>0.10956943318984946</v>
      </c>
      <c r="G18" s="90">
        <f>MIN(MAX(1-0.89/(1-frac_sam_12_23months+(frac_sam_12_23months*0.89)),0),1)</f>
        <v>0.1088943945820906</v>
      </c>
      <c r="H18" s="90">
        <f>MIN(MAX(1-0.89/(1-frac_sam_24_59months+(frac_sam_24_59months*0.89)),0),1)</f>
        <v>0.10934382152969846</v>
      </c>
    </row>
    <row r="19" spans="1:8" ht="13.25" customHeight="1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340</v>
      </c>
      <c r="D20" s="90">
        <v>0</v>
      </c>
      <c r="E20" s="90">
        <v>0</v>
      </c>
      <c r="F20" s="90">
        <f>MIN(MAX(1-0.89/(1-frac_mam_6_11months+(frac_mam_6_11months*0.89)),0),1)</f>
        <v>0.10694827884033253</v>
      </c>
      <c r="G20" s="90">
        <f>MIN(MAX(1-0.89/(1-frac_mam_12_23months+(frac_mam_12_23months*0.89)),0),1)</f>
        <v>0.10771762466615686</v>
      </c>
      <c r="H20" s="90">
        <f>MIN(MAX(1-0.89/(1-frac_mam_24_59months+(frac_mam_24_59months*0.89)),0),1)</f>
        <v>0.10885592071440253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9.9564786768462366E-3</v>
      </c>
      <c r="G73" s="90">
        <f>MIN(MAX(1-0.99/(1-frac_sam_12_23months+(frac_sam_12_23months*0.99)),0),1)</f>
        <v>9.8883233237643253E-3</v>
      </c>
      <c r="H73" s="90">
        <f>MIN(MAX(1-0.99/(1-frac_sam_24_59months+(frac_sam_24_59months*0.99)),0),1)</f>
        <v>9.9336893187759179E-3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9.6923579600773913E-3</v>
      </c>
      <c r="G75" s="90">
        <f>MIN(MAX(1-0.99/(1-frac_mam_12_23months+(frac_mam_12_23months*0.99)),0),1)</f>
        <v>9.7697348248269034E-3</v>
      </c>
      <c r="H75" s="90">
        <f>MIN(MAX(1-0.99/(1-frac_mam_24_59months+(frac_mam_24_59months*0.99)),0),1)</f>
        <v>9.8844416329518792E-3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0.19929603708988863</v>
      </c>
      <c r="G128" s="90">
        <f>MIN(MAX(1-0.8/(1-frac_sam_12_23months+(frac_sam_12_23months*0.8)),0),1)</f>
        <v>0.19819124774431152</v>
      </c>
      <c r="H128" s="90">
        <f>MIN(MAX(1-0.8/(1-frac_sam_24_59months+(frac_sam_24_59months*0.8)),0),1)</f>
        <v>0.19892694662354116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0.19499847723899444</v>
      </c>
      <c r="G130" s="90">
        <f>MIN(MAX(1-0.8/(1-frac_mam_12_23months+(frac_mam_12_23months*0.8)),0),1)</f>
        <v>0.19626202364384127</v>
      </c>
      <c r="H130" s="90">
        <f>MIN(MAX(1-0.8/(1-frac_mam_24_59months+(frac_mam_24_59months*0.8)),0),1)</f>
        <v>0.19812823886027708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ogxQtq/9g6OeNkiNBs6ghJq8+LdVqsoK1CbSDtbSeFSK0ebg4cqAnXfIn86tuaNowgHjhLbE7woQSAqVYa5K1w==" saltValue="QFHNUEWTAfsZg09RvHfUX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C49" sqref="C49:O6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ht="13.25" customHeight="1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ht="13.25" customHeight="1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bFi4UO/MYSy1ocOot5y7JdpTLSj3VYrhdtuVEmlekdzp7NtFBQZX4yNIi9A9S9nFic+mLseFiB4QMgSz7PmPmQ==" saltValue="0Yi1KsKDfpD+pl5y1FWoH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2024-06-18T06:57:02Z</dcterms:modified>
</cp:coreProperties>
</file>