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8F48E3E4-739D-46F8-9CAF-38ED45AAE72B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A39" i="2"/>
  <c r="H38" i="2"/>
  <c r="I38" i="2" s="1"/>
  <c r="G38" i="2"/>
  <c r="A37" i="2"/>
  <c r="A36" i="2"/>
  <c r="A35" i="2"/>
  <c r="A34" i="2"/>
  <c r="A29" i="2"/>
  <c r="A28" i="2"/>
  <c r="A27" i="2"/>
  <c r="A26" i="2"/>
  <c r="A21" i="2"/>
  <c r="A20" i="2"/>
  <c r="A19" i="2"/>
  <c r="A18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33" i="2" s="1"/>
  <c r="C33" i="1"/>
  <c r="C20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  <c r="A31" i="2"/>
  <c r="A32" i="2"/>
  <c r="A16" i="2"/>
  <c r="A24" i="2"/>
  <c r="A17" i="2"/>
  <c r="A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<sst xmlns="http://schemas.openxmlformats.org/spreadsheetml/2006/main" count="2094" uniqueCount="341">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</sst>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437363.9921875</v>
      </c>
    </row>
    <row r="8" spans="1:3" ht="15" customHeight="1" x14ac:dyDescent="0.25">
      <c r="B8" s="5" t="s">
        <v>8</v>
      </c>
      <c r="C8" s="44">
        <v>0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0.96395172119140593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0.25800000000000001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5.7299999999999997E-2</v>
      </c>
    </row>
    <row r="24" spans="1:3" ht="15" customHeight="1" x14ac:dyDescent="0.25">
      <c r="B24" s="15" t="s">
        <v>22</v>
      </c>
      <c r="C24" s="45">
        <v>0.57350000000000001</v>
      </c>
    </row>
    <row r="25" spans="1:3" ht="15" customHeight="1" x14ac:dyDescent="0.25">
      <c r="B25" s="15" t="s">
        <v>23</v>
      </c>
      <c r="C25" s="45">
        <v>0.35089999999999999</v>
      </c>
    </row>
    <row r="26" spans="1:3" ht="15" customHeight="1" x14ac:dyDescent="0.25">
      <c r="B26" s="15" t="s">
        <v>24</v>
      </c>
      <c r="C26" s="45">
        <v>1.83E-2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0.57290349526853401</v>
      </c>
    </row>
    <row r="30" spans="1:3" ht="14.25" customHeight="1" x14ac:dyDescent="0.25">
      <c r="B30" s="25" t="s">
        <v>27</v>
      </c>
      <c r="C30" s="99">
        <v>2.97816918362898E-2</v>
      </c>
    </row>
    <row r="31" spans="1:3" ht="14.25" customHeight="1" x14ac:dyDescent="0.25">
      <c r="B31" s="25" t="s">
        <v>28</v>
      </c>
      <c r="C31" s="99">
        <v>2.5306962187057899E-2</v>
      </c>
    </row>
    <row r="32" spans="1:3" ht="14.25" customHeight="1" x14ac:dyDescent="0.25">
      <c r="B32" s="25" t="s">
        <v>29</v>
      </c>
      <c r="C32" s="99">
        <v>0.37200785070811798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0.87329999999999997</v>
      </c>
    </row>
    <row r="38" spans="1:5" ht="15" customHeight="1" x14ac:dyDescent="0.25">
      <c r="B38" s="11" t="s">
        <v>34</v>
      </c>
      <c r="C38" s="43">
        <v>2.0504600000000002</v>
      </c>
      <c r="D38" s="12"/>
      <c r="E38" s="13"/>
    </row>
    <row r="39" spans="1:5" ht="15" customHeight="1" x14ac:dyDescent="0.25">
      <c r="B39" s="11" t="s">
        <v>35</v>
      </c>
      <c r="C39" s="43">
        <v>2.7249400000000001</v>
      </c>
      <c r="D39" s="12"/>
      <c r="E39" s="12"/>
    </row>
    <row r="40" spans="1:5" ht="15" customHeight="1" x14ac:dyDescent="0.25">
      <c r="B40" s="11" t="s">
        <v>36</v>
      </c>
      <c r="C40" s="100">
        <v>0.01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2.18526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6.2438000000000007E-3</v>
      </c>
      <c r="D45" s="12"/>
    </row>
    <row r="46" spans="1:5" ht="15.75" customHeight="1" x14ac:dyDescent="0.25">
      <c r="B46" s="11" t="s">
        <v>41</v>
      </c>
      <c r="C46" s="45">
        <v>6.7088499999999995E-2</v>
      </c>
      <c r="D46" s="12"/>
    </row>
    <row r="47" spans="1:5" ht="15.75" customHeight="1" x14ac:dyDescent="0.25">
      <c r="B47" s="11" t="s">
        <v>42</v>
      </c>
      <c r="C47" s="45">
        <v>7.5063599999999994E-2</v>
      </c>
      <c r="D47" s="12"/>
      <c r="E47" s="13"/>
    </row>
    <row r="48" spans="1:5" ht="15" customHeight="1" x14ac:dyDescent="0.25">
      <c r="B48" s="11" t="s">
        <v>43</v>
      </c>
      <c r="C48" s="46">
        <v>0.85160409999999997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0.64647999999999994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5.0638231999999901E-2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84358</v>
      </c>
      <c r="C2" s="49">
        <v>308980.5</v>
      </c>
      <c r="D2" s="49">
        <v>457803</v>
      </c>
      <c r="E2" s="49">
        <v>719656.5</v>
      </c>
      <c r="F2" s="49">
        <v>665176</v>
      </c>
      <c r="G2" s="17">
        <f t="shared" ref="G2:G13" si="0">C2+D2+E2+F2</f>
        <v>2151616</v>
      </c>
      <c r="H2" s="17">
        <f t="shared" ref="H2:H13" si="1">(B2 + stillbirth*B2/(1000-stillbirth))/(1-abortion)</f>
        <v>96071.304415049672</v>
      </c>
      <c r="I2" s="17">
        <f t="shared" ref="I2:I13" si="2">G2-H2</f>
        <v>2055544.6955849503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82810</v>
      </c>
      <c r="C3" s="50">
        <v>317317</v>
      </c>
      <c r="D3" s="50">
        <v>454931.5</v>
      </c>
      <c r="E3" s="50">
        <v>686342.49999999988</v>
      </c>
      <c r="F3" s="50">
        <v>678570</v>
      </c>
      <c r="G3" s="17">
        <f t="shared" si="0"/>
        <v>2137161</v>
      </c>
      <c r="H3" s="17">
        <f t="shared" si="1"/>
        <v>94308.361016267139</v>
      </c>
      <c r="I3" s="17">
        <f t="shared" si="2"/>
        <v>2042852.6389837328</v>
      </c>
    </row>
    <row r="4" spans="1:9" ht="15.75" customHeight="1" x14ac:dyDescent="0.25">
      <c r="A4" s="5">
        <f t="shared" si="3"/>
        <v>2026</v>
      </c>
      <c r="B4" s="49">
        <v>81437</v>
      </c>
      <c r="C4" s="50">
        <v>325944.5</v>
      </c>
      <c r="D4" s="50">
        <v>456785</v>
      </c>
      <c r="E4" s="50">
        <v>649006</v>
      </c>
      <c r="F4" s="50">
        <v>691224.49999999988</v>
      </c>
      <c r="G4" s="17">
        <f t="shared" si="0"/>
        <v>2122960</v>
      </c>
      <c r="H4" s="17">
        <f t="shared" si="1"/>
        <v>92744.716774323722</v>
      </c>
      <c r="I4" s="17">
        <f t="shared" si="2"/>
        <v>2030215.2832256763</v>
      </c>
    </row>
    <row r="5" spans="1:9" ht="15.75" customHeight="1" x14ac:dyDescent="0.25">
      <c r="A5" s="5">
        <f t="shared" si="3"/>
        <v>2027</v>
      </c>
      <c r="B5" s="49">
        <v>80379</v>
      </c>
      <c r="C5" s="50">
        <v>333959</v>
      </c>
      <c r="D5" s="50">
        <v>463250.5</v>
      </c>
      <c r="E5" s="50">
        <v>610573</v>
      </c>
      <c r="F5" s="50">
        <v>703440</v>
      </c>
      <c r="G5" s="17">
        <f t="shared" si="0"/>
        <v>2111222.5</v>
      </c>
      <c r="H5" s="17">
        <f t="shared" si="1"/>
        <v>91539.811014690698</v>
      </c>
      <c r="I5" s="17">
        <f t="shared" si="2"/>
        <v>2019682.6889853093</v>
      </c>
    </row>
    <row r="6" spans="1:9" ht="15.75" customHeight="1" x14ac:dyDescent="0.25">
      <c r="A6" s="5">
        <f t="shared" si="3"/>
        <v>2028</v>
      </c>
      <c r="B6" s="49">
        <v>79369</v>
      </c>
      <c r="C6" s="50">
        <v>339969.50000000012</v>
      </c>
      <c r="D6" s="50">
        <v>472149.5</v>
      </c>
      <c r="E6" s="50">
        <v>575162</v>
      </c>
      <c r="F6" s="50">
        <v>712751.5</v>
      </c>
      <c r="G6" s="17">
        <f t="shared" si="0"/>
        <v>2100032.5</v>
      </c>
      <c r="H6" s="17">
        <f t="shared" si="1"/>
        <v>90389.570166647813</v>
      </c>
      <c r="I6" s="17">
        <f t="shared" si="2"/>
        <v>2009642.9298333521</v>
      </c>
    </row>
    <row r="7" spans="1:9" ht="15.75" customHeight="1" x14ac:dyDescent="0.25">
      <c r="A7" s="5">
        <f t="shared" si="3"/>
        <v>2029</v>
      </c>
      <c r="B7" s="49">
        <v>78784</v>
      </c>
      <c r="C7" s="50">
        <v>343664.50000000012</v>
      </c>
      <c r="D7" s="50">
        <v>482290</v>
      </c>
      <c r="E7" s="50">
        <v>543747</v>
      </c>
      <c r="F7" s="50">
        <v>717762.5</v>
      </c>
      <c r="G7" s="17">
        <f t="shared" si="0"/>
        <v>2087464</v>
      </c>
      <c r="H7" s="17">
        <f t="shared" si="1"/>
        <v>89723.341556642801</v>
      </c>
      <c r="I7" s="17">
        <f t="shared" si="2"/>
        <v>1997740.6584433571</v>
      </c>
    </row>
    <row r="8" spans="1:9" ht="15.75" customHeight="1" x14ac:dyDescent="0.25">
      <c r="A8" s="5">
        <f t="shared" si="3"/>
        <v>2030</v>
      </c>
      <c r="B8" s="49">
        <v>78527</v>
      </c>
      <c r="C8" s="50">
        <v>345508.49999999988</v>
      </c>
      <c r="D8" s="50">
        <v>491869</v>
      </c>
      <c r="E8" s="50">
        <v>518108.5</v>
      </c>
      <c r="F8" s="50">
        <v>719119.5</v>
      </c>
      <c r="G8" s="17">
        <f t="shared" si="0"/>
        <v>2074605.5</v>
      </c>
      <c r="H8" s="17">
        <f t="shared" si="1"/>
        <v>89430.656509170498</v>
      </c>
      <c r="I8" s="17">
        <f t="shared" si="2"/>
        <v>1985174.8434908295</v>
      </c>
    </row>
    <row r="9" spans="1:9" ht="15.75" customHeight="1" x14ac:dyDescent="0.25">
      <c r="A9" s="5">
        <f t="shared" si="3"/>
        <v>2031</v>
      </c>
      <c r="B9" s="49">
        <v>78304</v>
      </c>
      <c r="C9" s="50">
        <v>343245</v>
      </c>
      <c r="D9" s="50">
        <v>500547</v>
      </c>
      <c r="E9" s="50">
        <v>498002.5</v>
      </c>
      <c r="F9" s="50">
        <v>715076</v>
      </c>
      <c r="G9" s="17">
        <f t="shared" si="0"/>
        <v>2056870.5</v>
      </c>
      <c r="H9" s="17">
        <f t="shared" si="1"/>
        <v>89176.69244074123</v>
      </c>
      <c r="I9" s="17">
        <f t="shared" si="2"/>
        <v>1967693.8075592588</v>
      </c>
    </row>
    <row r="10" spans="1:9" ht="15.75" customHeight="1" x14ac:dyDescent="0.25">
      <c r="A10" s="5">
        <f t="shared" si="3"/>
        <v>2032</v>
      </c>
      <c r="B10" s="49">
        <v>78358</v>
      </c>
      <c r="C10" s="50">
        <v>333806</v>
      </c>
      <c r="D10" s="50">
        <v>511994</v>
      </c>
      <c r="E10" s="50">
        <v>480966.5</v>
      </c>
      <c r="F10" s="50">
        <v>702748.5</v>
      </c>
      <c r="G10" s="17">
        <f t="shared" si="0"/>
        <v>2029515</v>
      </c>
      <c r="H10" s="17">
        <f t="shared" si="1"/>
        <v>89238.190466280153</v>
      </c>
      <c r="I10" s="17">
        <f t="shared" si="2"/>
        <v>1940276.8095337199</v>
      </c>
    </row>
    <row r="11" spans="1:9" ht="15.75" customHeight="1" x14ac:dyDescent="0.25">
      <c r="A11" s="5">
        <f t="shared" si="3"/>
        <v>2033</v>
      </c>
      <c r="B11" s="49">
        <v>78861</v>
      </c>
      <c r="C11" s="50">
        <v>319880.00000000012</v>
      </c>
      <c r="D11" s="50">
        <v>525324</v>
      </c>
      <c r="E11" s="50">
        <v>467907</v>
      </c>
      <c r="F11" s="50">
        <v>682938.5</v>
      </c>
      <c r="G11" s="17">
        <f t="shared" si="0"/>
        <v>1996049.5</v>
      </c>
      <c r="H11" s="17">
        <f t="shared" si="1"/>
        <v>89811.033185652006</v>
      </c>
      <c r="I11" s="17">
        <f t="shared" si="2"/>
        <v>1906238.466814348</v>
      </c>
    </row>
    <row r="12" spans="1:9" ht="15.75" customHeight="1" x14ac:dyDescent="0.25">
      <c r="A12" s="5">
        <f t="shared" si="3"/>
        <v>2034</v>
      </c>
      <c r="B12" s="49">
        <v>79154</v>
      </c>
      <c r="C12" s="50">
        <v>304728</v>
      </c>
      <c r="D12" s="50">
        <v>538200.5</v>
      </c>
      <c r="E12" s="50">
        <v>460255.5</v>
      </c>
      <c r="F12" s="50">
        <v>659275.5</v>
      </c>
      <c r="G12" s="17">
        <f t="shared" si="0"/>
        <v>1962459.5</v>
      </c>
      <c r="H12" s="17">
        <f t="shared" si="1"/>
        <v>90144.71691681692</v>
      </c>
      <c r="I12" s="17">
        <f t="shared" si="2"/>
        <v>1872314.783083183</v>
      </c>
    </row>
    <row r="13" spans="1:9" ht="15.75" customHeight="1" x14ac:dyDescent="0.25">
      <c r="A13" s="5">
        <f t="shared" si="3"/>
        <v>2035</v>
      </c>
      <c r="B13" s="49">
        <v>80327</v>
      </c>
      <c r="C13" s="50">
        <v>289238.5</v>
      </c>
      <c r="D13" s="50">
        <v>549841</v>
      </c>
      <c r="E13" s="50">
        <v>457967</v>
      </c>
      <c r="F13" s="50">
        <v>631411</v>
      </c>
      <c r="G13" s="17">
        <f t="shared" si="0"/>
        <v>1928457.5</v>
      </c>
      <c r="H13" s="17">
        <f t="shared" si="1"/>
        <v>91480.59069380135</v>
      </c>
      <c r="I13" s="17">
        <f t="shared" si="2"/>
        <v>1836976.9093061986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4.5424600000000009E-2</v>
      </c>
    </row>
    <row r="5" spans="1:8" ht="15.75" customHeight="1" x14ac:dyDescent="0.25">
      <c r="B5" s="19" t="s">
        <v>70</v>
      </c>
      <c r="C5" s="101">
        <v>1.7769299999999998E-2</v>
      </c>
    </row>
    <row r="6" spans="1:8" ht="15.75" customHeight="1" x14ac:dyDescent="0.25">
      <c r="B6" s="19" t="s">
        <v>71</v>
      </c>
      <c r="C6" s="101">
        <v>0.14635760000000009</v>
      </c>
    </row>
    <row r="7" spans="1:8" ht="15.75" customHeight="1" x14ac:dyDescent="0.25">
      <c r="B7" s="19" t="s">
        <v>72</v>
      </c>
      <c r="C7" s="101">
        <v>0.369857399999999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0.31618180000000068</v>
      </c>
    </row>
    <row r="10" spans="1:8" ht="15.75" customHeight="1" x14ac:dyDescent="0.25">
      <c r="B10" s="19" t="s">
        <v>75</v>
      </c>
      <c r="C10" s="101">
        <v>0.10440930000000009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7.7919947146150147E-3</v>
      </c>
      <c r="D14" s="55">
        <v>7.7919947146150147E-3</v>
      </c>
      <c r="E14" s="55">
        <v>7.7919947146150147E-3</v>
      </c>
      <c r="F14" s="55">
        <v>7.7919947146150147E-3</v>
      </c>
    </row>
    <row r="15" spans="1:8" ht="15.75" customHeight="1" x14ac:dyDescent="0.25">
      <c r="B15" s="19" t="s">
        <v>82</v>
      </c>
      <c r="C15" s="101">
        <v>8.4127530830723177E-2</v>
      </c>
      <c r="D15" s="101">
        <v>8.4127530830723177E-2</v>
      </c>
      <c r="E15" s="101">
        <v>8.4127530830723177E-2</v>
      </c>
      <c r="F15" s="101">
        <v>8.4127530830723177E-2</v>
      </c>
    </row>
    <row r="16" spans="1:8" ht="15.75" customHeight="1" x14ac:dyDescent="0.25">
      <c r="B16" s="19" t="s">
        <v>83</v>
      </c>
      <c r="C16" s="101">
        <v>2.473115043862726E-2</v>
      </c>
      <c r="D16" s="101">
        <v>2.473115043862726E-2</v>
      </c>
      <c r="E16" s="101">
        <v>2.473115043862726E-2</v>
      </c>
      <c r="F16" s="101">
        <v>2.473115043862726E-2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5.8802966437170853E-2</v>
      </c>
      <c r="D19" s="101">
        <v>5.8802966437170853E-2</v>
      </c>
      <c r="E19" s="101">
        <v>5.8802966437170853E-2</v>
      </c>
      <c r="F19" s="101">
        <v>5.8802966437170853E-2</v>
      </c>
    </row>
    <row r="20" spans="1:8" ht="15.75" customHeight="1" x14ac:dyDescent="0.25">
      <c r="B20" s="19" t="s">
        <v>87</v>
      </c>
      <c r="C20" s="101">
        <v>0.46405541621651591</v>
      </c>
      <c r="D20" s="101">
        <v>0.46405541621651591</v>
      </c>
      <c r="E20" s="101">
        <v>0.46405541621651591</v>
      </c>
      <c r="F20" s="101">
        <v>0.46405541621651591</v>
      </c>
    </row>
    <row r="21" spans="1:8" ht="15.75" customHeight="1" x14ac:dyDescent="0.25">
      <c r="B21" s="19" t="s">
        <v>88</v>
      </c>
      <c r="C21" s="101">
        <v>0.3224494270929934</v>
      </c>
      <c r="D21" s="101">
        <v>0.3224494270929934</v>
      </c>
      <c r="E21" s="101">
        <v>0.3224494270929934</v>
      </c>
      <c r="F21" s="101">
        <v>0.3224494270929934</v>
      </c>
    </row>
    <row r="22" spans="1:8" ht="15.75" customHeight="1" x14ac:dyDescent="0.25">
      <c r="B22" s="19" t="s">
        <v>89</v>
      </c>
      <c r="C22" s="101">
        <v>3.8041514269354551E-2</v>
      </c>
      <c r="D22" s="101">
        <v>3.8041514269354551E-2</v>
      </c>
      <c r="E22" s="101">
        <v>3.8041514269354551E-2</v>
      </c>
      <c r="F22" s="101">
        <v>3.8041514269354551E-2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5.5138011000000001E-2</v>
      </c>
    </row>
    <row r="27" spans="1:8" ht="15.75" customHeight="1" x14ac:dyDescent="0.25">
      <c r="B27" s="19" t="s">
        <v>92</v>
      </c>
      <c r="C27" s="101">
        <v>5.8021491999999987E-2</v>
      </c>
    </row>
    <row r="28" spans="1:8" ht="15.75" customHeight="1" x14ac:dyDescent="0.25">
      <c r="B28" s="19" t="s">
        <v>93</v>
      </c>
      <c r="C28" s="101">
        <v>0.12039119400000001</v>
      </c>
    </row>
    <row r="29" spans="1:8" ht="15.75" customHeight="1" x14ac:dyDescent="0.25">
      <c r="B29" s="19" t="s">
        <v>94</v>
      </c>
      <c r="C29" s="101">
        <v>0.13459314</v>
      </c>
    </row>
    <row r="30" spans="1:8" ht="15.75" customHeight="1" x14ac:dyDescent="0.25">
      <c r="B30" s="19" t="s">
        <v>95</v>
      </c>
      <c r="C30" s="101">
        <v>8.1866218000000004E-2</v>
      </c>
    </row>
    <row r="31" spans="1:8" ht="15.75" customHeight="1" x14ac:dyDescent="0.25">
      <c r="B31" s="19" t="s">
        <v>96</v>
      </c>
      <c r="C31" s="101">
        <v>6.5181787000000005E-2</v>
      </c>
    </row>
    <row r="32" spans="1:8" ht="15.75" customHeight="1" x14ac:dyDescent="0.25">
      <c r="B32" s="19" t="s">
        <v>97</v>
      </c>
      <c r="C32" s="101">
        <v>0.13227402499999999</v>
      </c>
    </row>
    <row r="33" spans="2:3" ht="15.75" customHeight="1" x14ac:dyDescent="0.25">
      <c r="B33" s="19" t="s">
        <v>98</v>
      </c>
      <c r="C33" s="101">
        <v>0.124908043</v>
      </c>
    </row>
    <row r="34" spans="2:3" ht="15.75" customHeight="1" x14ac:dyDescent="0.25">
      <c r="B34" s="19" t="s">
        <v>99</v>
      </c>
      <c r="C34" s="101">
        <v>0.22762609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0.63739772195389532</v>
      </c>
      <c r="D2" s="52">
        <f>IFERROR(1-_xlfn.NORM.DIST(_xlfn.NORM.INV(SUM(D4:D5), 0, 1) + 1, 0, 1, TRUE), "")</f>
        <v>0.63739772195389532</v>
      </c>
      <c r="E2" s="52">
        <f>IFERROR(1-_xlfn.NORM.DIST(_xlfn.NORM.INV(SUM(E4:E5), 0, 1) + 1, 0, 1, TRUE), "")</f>
        <v>0.70722485562277604</v>
      </c>
      <c r="F2" s="52">
        <f>IFERROR(1-_xlfn.NORM.DIST(_xlfn.NORM.INV(SUM(F4:F5), 0, 1) + 1, 0, 1, TRUE), "")</f>
        <v>0.77522141936932853</v>
      </c>
      <c r="G2" s="52">
        <f>IFERROR(1-_xlfn.NORM.DIST(_xlfn.NORM.INV(SUM(G4:G5), 0, 1) + 1, 0, 1, TRUE), "")</f>
        <v>0.78753144720065926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0.27433647804610461</v>
      </c>
      <c r="D3" s="52">
        <f>IFERROR(_xlfn.NORM.DIST(_xlfn.NORM.INV(SUM(D4:D5), 0, 1) + 1, 0, 1, TRUE) - SUM(D4:D5), "")</f>
        <v>0.27433647804610461</v>
      </c>
      <c r="E3" s="52">
        <f>IFERROR(_xlfn.NORM.DIST(_xlfn.NORM.INV(SUM(E4:E5), 0, 1) + 1, 0, 1, TRUE) - SUM(E4:E5), "")</f>
        <v>0.2316377443772239</v>
      </c>
      <c r="F3" s="52">
        <f>IFERROR(_xlfn.NORM.DIST(_xlfn.NORM.INV(SUM(F4:F5), 0, 1) + 1, 0, 1, TRUE) - SUM(F4:F5), "")</f>
        <v>0.18524748063067148</v>
      </c>
      <c r="G3" s="52">
        <f>IFERROR(_xlfn.NORM.DIST(_xlfn.NORM.INV(SUM(G4:G5), 0, 1) + 1, 0, 1, TRUE) - SUM(G4:G5), "")</f>
        <v>0.1763709527993407</v>
      </c>
    </row>
    <row r="4" spans="1:15" ht="15.75" customHeight="1" x14ac:dyDescent="0.25">
      <c r="B4" s="5" t="s">
        <v>104</v>
      </c>
      <c r="C4" s="45">
        <v>7.97017E-2</v>
      </c>
      <c r="D4" s="53">
        <v>7.97017E-2</v>
      </c>
      <c r="E4" s="53">
        <v>2.3720999999999999E-2</v>
      </c>
      <c r="F4" s="53">
        <v>2.1841300000000001E-2</v>
      </c>
      <c r="G4" s="53">
        <v>2.86316E-2</v>
      </c>
    </row>
    <row r="5" spans="1:15" ht="15.75" customHeight="1" x14ac:dyDescent="0.25">
      <c r="B5" s="5" t="s">
        <v>105</v>
      </c>
      <c r="C5" s="45">
        <v>8.5640999999999998E-3</v>
      </c>
      <c r="D5" s="53">
        <v>8.5640999999999998E-3</v>
      </c>
      <c r="E5" s="53">
        <v>3.7416400000000002E-2</v>
      </c>
      <c r="F5" s="53">
        <v>1.7689799999999999E-2</v>
      </c>
      <c r="G5" s="53">
        <v>7.4660000000000004E-3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0.65625787131242952</v>
      </c>
      <c r="D8" s="52">
        <f>IFERROR(1-_xlfn.NORM.DIST(_xlfn.NORM.INV(SUM(D10:D11), 0, 1) + 1, 0, 1, TRUE), "")</f>
        <v>0.65625787131242952</v>
      </c>
      <c r="E8" s="52">
        <f>IFERROR(1-_xlfn.NORM.DIST(_xlfn.NORM.INV(SUM(E10:E11), 0, 1) + 1, 0, 1, TRUE), "")</f>
        <v>0.86702480875068366</v>
      </c>
      <c r="F8" s="52">
        <f>IFERROR(1-_xlfn.NORM.DIST(_xlfn.NORM.INV(SUM(F10:F11), 0, 1) + 1, 0, 1, TRUE), "")</f>
        <v>0.96277395242881758</v>
      </c>
      <c r="G8" s="52">
        <f>IFERROR(1-_xlfn.NORM.DIST(_xlfn.NORM.INV(SUM(G10:G11), 0, 1) + 1, 0, 1, TRUE), "")</f>
        <v>0.85710552219452829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0.26332502868757046</v>
      </c>
      <c r="D9" s="52">
        <f>IFERROR(_xlfn.NORM.DIST(_xlfn.NORM.INV(SUM(D10:D11), 0, 1) + 1, 0, 1, TRUE) - SUM(D10:D11), "")</f>
        <v>0.26332502868757046</v>
      </c>
      <c r="E9" s="52">
        <f>IFERROR(_xlfn.NORM.DIST(_xlfn.NORM.INV(SUM(E10:E11), 0, 1) + 1, 0, 1, TRUE) - SUM(E10:E11), "")</f>
        <v>0.11565069124931635</v>
      </c>
      <c r="F9" s="52">
        <f>IFERROR(_xlfn.NORM.DIST(_xlfn.NORM.INV(SUM(F10:F11), 0, 1) + 1, 0, 1, TRUE) - SUM(F10:F11), "")</f>
        <v>3.4539947571182464E-2</v>
      </c>
      <c r="G9" s="52">
        <f>IFERROR(_xlfn.NORM.DIST(_xlfn.NORM.INV(SUM(G10:G11), 0, 1) + 1, 0, 1, TRUE) - SUM(G10:G11), "")</f>
        <v>0.12354647780547173</v>
      </c>
    </row>
    <row r="10" spans="1:15" ht="15.75" customHeight="1" x14ac:dyDescent="0.25">
      <c r="B10" s="5" t="s">
        <v>109</v>
      </c>
      <c r="C10" s="45">
        <v>6.0291400000000002E-2</v>
      </c>
      <c r="D10" s="53">
        <v>6.0291400000000002E-2</v>
      </c>
      <c r="E10" s="53">
        <v>1.05738E-2</v>
      </c>
      <c r="F10" s="53">
        <v>1.4062E-3</v>
      </c>
      <c r="G10" s="53">
        <v>1.35148E-2</v>
      </c>
    </row>
    <row r="11" spans="1:15" ht="15.75" customHeight="1" x14ac:dyDescent="0.25">
      <c r="B11" s="5" t="s">
        <v>110</v>
      </c>
      <c r="C11" s="45">
        <v>2.01257E-2</v>
      </c>
      <c r="D11" s="53">
        <v>2.01257E-2</v>
      </c>
      <c r="E11" s="53">
        <v>6.7506999999999992E-3</v>
      </c>
      <c r="F11" s="53">
        <v>1.2799E-3</v>
      </c>
      <c r="G11" s="53">
        <v>5.8331999999999993E-3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0.24705571949999999</v>
      </c>
      <c r="D14" s="54">
        <v>0.22576595799400001</v>
      </c>
      <c r="E14" s="54">
        <v>0.22576595799400001</v>
      </c>
      <c r="F14" s="54">
        <v>9.01791644541E-2</v>
      </c>
      <c r="G14" s="54">
        <v>9.01791644541E-2</v>
      </c>
      <c r="H14" s="45">
        <v>0.24099999999999999</v>
      </c>
      <c r="I14" s="55">
        <v>0.24099999999999999</v>
      </c>
      <c r="J14" s="55">
        <v>0.24099999999999999</v>
      </c>
      <c r="K14" s="55">
        <v>0.24099999999999999</v>
      </c>
      <c r="L14" s="45">
        <v>0.22600000000000001</v>
      </c>
      <c r="M14" s="55">
        <v>0.22600000000000001</v>
      </c>
      <c r="N14" s="55">
        <v>0.22600000000000001</v>
      </c>
      <c r="O14" s="55">
        <v>0.22600000000000001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0.15971658154235999</v>
      </c>
      <c r="D15" s="52">
        <f t="shared" si="0"/>
        <v>0.14595317652396111</v>
      </c>
      <c r="E15" s="52">
        <f t="shared" si="0"/>
        <v>0.14595317652396111</v>
      </c>
      <c r="F15" s="52">
        <f t="shared" si="0"/>
        <v>5.8299026236286564E-2</v>
      </c>
      <c r="G15" s="52">
        <f t="shared" si="0"/>
        <v>5.8299026236286564E-2</v>
      </c>
      <c r="H15" s="52">
        <f t="shared" si="0"/>
        <v>0.15580167999999997</v>
      </c>
      <c r="I15" s="52">
        <f t="shared" si="0"/>
        <v>0.15580167999999997</v>
      </c>
      <c r="J15" s="52">
        <f t="shared" si="0"/>
        <v>0.15580167999999997</v>
      </c>
      <c r="K15" s="52">
        <f t="shared" si="0"/>
        <v>0.15580167999999997</v>
      </c>
      <c r="L15" s="52">
        <f t="shared" si="0"/>
        <v>0.14610447999999998</v>
      </c>
      <c r="M15" s="52">
        <f t="shared" si="0"/>
        <v>0.14610447999999998</v>
      </c>
      <c r="N15" s="52">
        <f t="shared" si="0"/>
        <v>0.14610447999999998</v>
      </c>
      <c r="O15" s="52">
        <f t="shared" si="0"/>
        <v>0.14610447999999998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0.43329620000000002</v>
      </c>
      <c r="D2" s="53">
        <v>0.18631239999999999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0.2510193</v>
      </c>
      <c r="D3" s="53">
        <v>0.18873329999999999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0.1494074</v>
      </c>
      <c r="D4" s="53">
        <v>0.20997060000000001</v>
      </c>
      <c r="E4" s="53">
        <v>0.36932389999999998</v>
      </c>
      <c r="F4" s="53">
        <v>0.1736338</v>
      </c>
      <c r="G4" s="53">
        <v>0</v>
      </c>
    </row>
    <row r="5" spans="1:7" x14ac:dyDescent="0.25">
      <c r="B5" s="3" t="s">
        <v>122</v>
      </c>
      <c r="C5" s="52">
        <v>0.16627720000000001</v>
      </c>
      <c r="D5" s="52">
        <v>0.41498380000000001</v>
      </c>
      <c r="E5" s="52">
        <f>1-SUM(E2:E4)</f>
        <v>0.63067610000000007</v>
      </c>
      <c r="F5" s="52">
        <f>1-SUM(F2:F4)</f>
        <v>0.82636620000000005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63.421848665062683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0.53121767900000005</v>
      </c>
      <c r="C3" s="98">
        <v>0.95</v>
      </c>
      <c r="D3" s="56">
        <v>40.000995134003318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498.94277630498448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13.635817046321829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13.13329457779923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13.13329457779923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13.13329457779923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13.13329457779923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13.13329457779923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13.13329457779923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0.84006037769458042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0.21351679160000001</v>
      </c>
      <c r="C18" s="98">
        <v>0.95</v>
      </c>
      <c r="D18" s="56">
        <v>11.47697383223603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0.99</v>
      </c>
      <c r="C19" s="98">
        <v>0.95</v>
      </c>
      <c r="D19" s="56">
        <v>11.47697383223603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0.97181479999999998</v>
      </c>
      <c r="C21" s="98">
        <v>0.95</v>
      </c>
      <c r="D21" s="56">
        <v>134.72675449417599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22.72737563050903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4.355034620978258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0.96895340149104003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18.696975825051741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0.79083989791828002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125.9554584200983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0.8476197124550896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1.8161937938239601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0.69994709999999993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0.52661570000000002</v>
      </c>
      <c r="C38" s="98">
        <v>0.95</v>
      </c>
      <c r="D38" s="56">
        <v>2.018253434489619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0.15675764</v>
      </c>
      <c r="C3" s="21">
        <f>frac_mam_1_5months * 2.6</f>
        <v>0.15675764</v>
      </c>
      <c r="D3" s="21">
        <f>frac_mam_6_11months * 2.6</f>
        <v>2.749188E-2</v>
      </c>
      <c r="E3" s="21">
        <f>frac_mam_12_23months * 2.6</f>
        <v>3.6561200000000001E-3</v>
      </c>
      <c r="F3" s="21">
        <f>frac_mam_24_59months * 2.6</f>
        <v>3.513848E-2</v>
      </c>
    </row>
    <row r="4" spans="1:6" ht="15.75" customHeight="1" x14ac:dyDescent="0.25">
      <c r="A4" s="3" t="s">
        <v>205</v>
      </c>
      <c r="B4" s="21">
        <f>frac_sam_1month * 2.6</f>
        <v>5.2326820000000003E-2</v>
      </c>
      <c r="C4" s="21">
        <f>frac_sam_1_5months * 2.6</f>
        <v>5.2326820000000003E-2</v>
      </c>
      <c r="D4" s="21">
        <f>frac_sam_6_11months * 2.6</f>
        <v>1.7551819999999999E-2</v>
      </c>
      <c r="E4" s="21">
        <f>frac_sam_12_23months * 2.6</f>
        <v>3.32774E-3</v>
      </c>
      <c r="F4" s="21">
        <f>frac_sam_24_59months * 2.6</f>
        <v>1.5166319999999999E-2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0.25800000000000001</v>
      </c>
      <c r="M24" s="60">
        <f>famplan_unmet_need</f>
        <v>0.25800000000000001</v>
      </c>
      <c r="N24" s="60">
        <f>famplan_unmet_need</f>
        <v>0.25800000000000001</v>
      </c>
      <c r="O24" s="60">
        <f>famplan_unmet_need</f>
        <v>0.25800000000000001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1.7663656616211092E-2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7.5701385498047544E-3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1.0814483642578221E-2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0.96395172119140593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A145EB-3DC5-4CC1-A87C-2C60D8CACD29}"/>
</file>

<file path=customXml/itemProps2.xml><?xml version="1.0" encoding="utf-8"?>
<ds:datastoreItem xmlns:ds="http://schemas.openxmlformats.org/officeDocument/2006/customXml" ds:itemID="{C191961D-60B4-47A5-A5C1-F099CA0D6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2024-04-11T00:39:46Z</dcterms:modified>
</cp:coreProperties>
</file>