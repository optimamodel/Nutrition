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16DC823-8D23-42B3-8701-4CF075A627ED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31" i="2"/>
  <c r="A28" i="2"/>
  <c r="A27" i="2"/>
  <c r="A23" i="2"/>
  <c r="A20" i="2"/>
  <c r="A19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14" i="2"/>
  <c r="A22" i="2"/>
  <c r="A30" i="2"/>
  <c r="A38" i="2"/>
  <c r="A40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<sst xmlns="http://schemas.openxmlformats.org/spreadsheetml/2006/main" count="2092" uniqueCount="341">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</sst>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437363.9921875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0.96395172119140593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5.7299999999999997E-2</v>
      </c>
    </row>
    <row r="24" spans="1:3" ht="15" customHeight="1" x14ac:dyDescent="0.25">
      <c r="B24" s="15" t="s">
        <v>22</v>
      </c>
      <c r="C24" s="45">
        <v>0.57350000000000001</v>
      </c>
    </row>
    <row r="25" spans="1:3" ht="15" customHeight="1" x14ac:dyDescent="0.25">
      <c r="B25" s="15" t="s">
        <v>23</v>
      </c>
      <c r="C25" s="45">
        <v>0.35089999999999999</v>
      </c>
    </row>
    <row r="26" spans="1:3" ht="15" customHeight="1" x14ac:dyDescent="0.25">
      <c r="B26" s="15" t="s">
        <v>24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0.87329999999999997</v>
      </c>
    </row>
    <row r="38" spans="1:5" ht="15" customHeight="1" x14ac:dyDescent="0.25">
      <c r="B38" s="11" t="s">
        <v>34</v>
      </c>
      <c r="C38" s="43">
        <v>2.0504600000000002</v>
      </c>
      <c r="D38" s="12"/>
      <c r="E38" s="13"/>
    </row>
    <row r="39" spans="1:5" ht="15" customHeight="1" x14ac:dyDescent="0.25">
      <c r="B39" s="11" t="s">
        <v>35</v>
      </c>
      <c r="C39" s="43">
        <v>2.7249400000000001</v>
      </c>
      <c r="D39" s="12"/>
      <c r="E39" s="12"/>
    </row>
    <row r="40" spans="1:5" ht="15" customHeight="1" x14ac:dyDescent="0.25">
      <c r="B40" s="11" t="s">
        <v>36</v>
      </c>
      <c r="C40" s="100">
        <v>0.01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6.2438000000000007E-3</v>
      </c>
      <c r="D45" s="12"/>
    </row>
    <row r="46" spans="1:5" ht="15.75" customHeight="1" x14ac:dyDescent="0.25">
      <c r="B46" s="11" t="s">
        <v>41</v>
      </c>
      <c r="C46" s="45">
        <v>6.7088499999999995E-2</v>
      </c>
      <c r="D46" s="12"/>
    </row>
    <row r="47" spans="1:5" ht="15.75" customHeight="1" x14ac:dyDescent="0.25">
      <c r="B47" s="11" t="s">
        <v>42</v>
      </c>
      <c r="C47" s="45">
        <v>7.5063599999999994E-2</v>
      </c>
      <c r="D47" s="12"/>
      <c r="E47" s="13"/>
    </row>
    <row r="48" spans="1:5" ht="15" customHeight="1" x14ac:dyDescent="0.25">
      <c r="B48" s="11" t="s">
        <v>43</v>
      </c>
      <c r="C48" s="46">
        <v>0.85160409999999997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0.64647999999999994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99420.695200000016</v>
      </c>
      <c r="C2" s="49">
        <v>242000</v>
      </c>
      <c r="D2" s="49">
        <v>450000</v>
      </c>
      <c r="E2" s="49">
        <v>696000</v>
      </c>
      <c r="F2" s="49">
        <v>697000</v>
      </c>
      <c r="G2" s="17">
        <f t="shared" ref="G2:G13" si="0">C2+D2+E2+F2</f>
        <v>2085000</v>
      </c>
      <c r="H2" s="17">
        <f t="shared" ref="H2:H13" si="1">(B2 + stillbirth*B2/(1000-stillbirth))/(1-abortion)</f>
        <v>113225.48986124693</v>
      </c>
      <c r="I2" s="17">
        <f t="shared" ref="I2:I13" si="2">G2-H2</f>
        <v>1971774.5101387531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97359.074999999997</v>
      </c>
      <c r="C3" s="50">
        <v>250000</v>
      </c>
      <c r="D3" s="50">
        <v>443000</v>
      </c>
      <c r="E3" s="50">
        <v>673000</v>
      </c>
      <c r="F3" s="50">
        <v>706000</v>
      </c>
      <c r="G3" s="17">
        <f t="shared" si="0"/>
        <v>2072000</v>
      </c>
      <c r="H3" s="17">
        <f t="shared" si="1"/>
        <v>110877.60890363276</v>
      </c>
      <c r="I3" s="17">
        <f t="shared" si="2"/>
        <v>1961122.3910963673</v>
      </c>
    </row>
    <row r="4" spans="1:9" ht="15.75" customHeight="1" x14ac:dyDescent="0.25">
      <c r="A4" s="5">
        <f t="shared" si="3"/>
        <v>2026</v>
      </c>
      <c r="B4" s="49">
        <v>95737.640000000014</v>
      </c>
      <c r="C4" s="50">
        <v>257000</v>
      </c>
      <c r="D4" s="50">
        <v>441000</v>
      </c>
      <c r="E4" s="50">
        <v>645000</v>
      </c>
      <c r="F4" s="50">
        <v>714000</v>
      </c>
      <c r="G4" s="17">
        <f t="shared" si="0"/>
        <v>2057000</v>
      </c>
      <c r="H4" s="17">
        <f t="shared" si="1"/>
        <v>109031.03388437892</v>
      </c>
      <c r="I4" s="17">
        <f t="shared" si="2"/>
        <v>1947968.9661156212</v>
      </c>
    </row>
    <row r="5" spans="1:9" ht="15.75" customHeight="1" x14ac:dyDescent="0.25">
      <c r="A5" s="5">
        <f t="shared" si="3"/>
        <v>2027</v>
      </c>
      <c r="B5" s="49">
        <v>94103.47500000002</v>
      </c>
      <c r="C5" s="50">
        <v>265000</v>
      </c>
      <c r="D5" s="50">
        <v>443000</v>
      </c>
      <c r="E5" s="50">
        <v>615000</v>
      </c>
      <c r="F5" s="50">
        <v>724000</v>
      </c>
      <c r="G5" s="17">
        <f t="shared" si="0"/>
        <v>2047000</v>
      </c>
      <c r="H5" s="17">
        <f t="shared" si="1"/>
        <v>107169.96127503044</v>
      </c>
      <c r="I5" s="17">
        <f t="shared" si="2"/>
        <v>1939830.0387249696</v>
      </c>
    </row>
    <row r="6" spans="1:9" ht="15.75" customHeight="1" x14ac:dyDescent="0.25">
      <c r="A6" s="5">
        <f t="shared" si="3"/>
        <v>2028</v>
      </c>
      <c r="B6" s="49">
        <v>92457.450000000012</v>
      </c>
      <c r="C6" s="50">
        <v>272000</v>
      </c>
      <c r="D6" s="50">
        <v>449000</v>
      </c>
      <c r="E6" s="50">
        <v>582000</v>
      </c>
      <c r="F6" s="50">
        <v>732000</v>
      </c>
      <c r="G6" s="17">
        <f t="shared" si="0"/>
        <v>2035000</v>
      </c>
      <c r="H6" s="17">
        <f t="shared" si="1"/>
        <v>105295.38187710989</v>
      </c>
      <c r="I6" s="17">
        <f t="shared" si="2"/>
        <v>1929704.6181228901</v>
      </c>
    </row>
    <row r="7" spans="1:9" ht="15.75" customHeight="1" x14ac:dyDescent="0.25">
      <c r="A7" s="5">
        <f t="shared" si="3"/>
        <v>2029</v>
      </c>
      <c r="B7" s="49">
        <v>90800.435000000012</v>
      </c>
      <c r="C7" s="50">
        <v>277000</v>
      </c>
      <c r="D7" s="50">
        <v>458000</v>
      </c>
      <c r="E7" s="50">
        <v>551000</v>
      </c>
      <c r="F7" s="50">
        <v>737000</v>
      </c>
      <c r="G7" s="17">
        <f t="shared" si="0"/>
        <v>2023000</v>
      </c>
      <c r="H7" s="17">
        <f t="shared" si="1"/>
        <v>103408.28649213983</v>
      </c>
      <c r="I7" s="17">
        <f t="shared" si="2"/>
        <v>1919591.7135078602</v>
      </c>
    </row>
    <row r="8" spans="1:9" ht="15.75" customHeight="1" x14ac:dyDescent="0.25">
      <c r="A8" s="5">
        <f t="shared" si="3"/>
        <v>2030</v>
      </c>
      <c r="B8" s="49">
        <v>89143</v>
      </c>
      <c r="C8" s="50">
        <v>280000</v>
      </c>
      <c r="D8" s="50">
        <v>468000</v>
      </c>
      <c r="E8" s="50">
        <v>524000</v>
      </c>
      <c r="F8" s="50">
        <v>736000</v>
      </c>
      <c r="G8" s="17">
        <f t="shared" si="0"/>
        <v>2008000</v>
      </c>
      <c r="H8" s="17">
        <f t="shared" si="1"/>
        <v>101520.71278919335</v>
      </c>
      <c r="I8" s="17">
        <f t="shared" si="2"/>
        <v>1906479.2872108067</v>
      </c>
    </row>
    <row r="9" spans="1:9" ht="15.75" customHeight="1" x14ac:dyDescent="0.25">
      <c r="A9" s="5">
        <f t="shared" si="3"/>
        <v>2031</v>
      </c>
      <c r="B9" s="49">
        <v>87674.757828571426</v>
      </c>
      <c r="C9" s="50">
        <v>285428.57142857142</v>
      </c>
      <c r="D9" s="50">
        <v>470571.42857142858</v>
      </c>
      <c r="E9" s="50">
        <v>499428.57142857142</v>
      </c>
      <c r="F9" s="50">
        <v>741571.42857142852</v>
      </c>
      <c r="G9" s="17">
        <f t="shared" si="0"/>
        <v>1997000</v>
      </c>
      <c r="H9" s="17">
        <f t="shared" si="1"/>
        <v>99848.601778899974</v>
      </c>
      <c r="I9" s="17">
        <f t="shared" si="2"/>
        <v>1897151.3982211</v>
      </c>
    </row>
    <row r="10" spans="1:9" ht="15.75" customHeight="1" x14ac:dyDescent="0.25">
      <c r="A10" s="5">
        <f t="shared" si="3"/>
        <v>2032</v>
      </c>
      <c r="B10" s="49">
        <v>86291.283946938769</v>
      </c>
      <c r="C10" s="50">
        <v>290489.79591836728</v>
      </c>
      <c r="D10" s="50">
        <v>474510.20408163272</v>
      </c>
      <c r="E10" s="50">
        <v>474632.6530612245</v>
      </c>
      <c r="F10" s="50">
        <v>746653.06122448971</v>
      </c>
      <c r="G10" s="17">
        <f t="shared" si="0"/>
        <v>1986285.7142857143</v>
      </c>
      <c r="H10" s="17">
        <f t="shared" si="1"/>
        <v>98273.02933250957</v>
      </c>
      <c r="I10" s="17">
        <f t="shared" si="2"/>
        <v>1888012.6849532048</v>
      </c>
    </row>
    <row r="11" spans="1:9" ht="15.75" customHeight="1" x14ac:dyDescent="0.25">
      <c r="A11" s="5">
        <f t="shared" si="3"/>
        <v>2033</v>
      </c>
      <c r="B11" s="49">
        <v>84941.804510787159</v>
      </c>
      <c r="C11" s="50">
        <v>295274.05247813411</v>
      </c>
      <c r="D11" s="50">
        <v>479297.37609329447</v>
      </c>
      <c r="E11" s="50">
        <v>450294.46064139938</v>
      </c>
      <c r="F11" s="50">
        <v>751317.78425655968</v>
      </c>
      <c r="G11" s="17">
        <f t="shared" si="0"/>
        <v>1976183.6734693879</v>
      </c>
      <c r="H11" s="17">
        <f t="shared" si="1"/>
        <v>96736.171539385381</v>
      </c>
      <c r="I11" s="17">
        <f t="shared" si="2"/>
        <v>1879447.5019300026</v>
      </c>
    </row>
    <row r="12" spans="1:9" ht="15.75" customHeight="1" x14ac:dyDescent="0.25">
      <c r="A12" s="5">
        <f t="shared" si="3"/>
        <v>2034</v>
      </c>
      <c r="B12" s="49">
        <v>83632.994440899609</v>
      </c>
      <c r="C12" s="50">
        <v>299598.91711786762</v>
      </c>
      <c r="D12" s="50">
        <v>484482.71553519368</v>
      </c>
      <c r="E12" s="50">
        <v>426765.09787588508</v>
      </c>
      <c r="F12" s="50">
        <v>755220.32486463967</v>
      </c>
      <c r="G12" s="17">
        <f t="shared" si="0"/>
        <v>1966067.0553935862</v>
      </c>
      <c r="H12" s="17">
        <f t="shared" si="1"/>
        <v>95245.630148578959</v>
      </c>
      <c r="I12" s="17">
        <f t="shared" si="2"/>
        <v>1870821.4252450073</v>
      </c>
    </row>
    <row r="13" spans="1:9" ht="15.75" customHeight="1" x14ac:dyDescent="0.25">
      <c r="A13" s="5">
        <f t="shared" si="3"/>
        <v>2035</v>
      </c>
      <c r="B13" s="49">
        <v>82372.357932456696</v>
      </c>
      <c r="C13" s="50">
        <v>303541.61956327723</v>
      </c>
      <c r="D13" s="50">
        <v>489551.67489736422</v>
      </c>
      <c r="E13" s="50">
        <v>404588.68328672578</v>
      </c>
      <c r="F13" s="50">
        <v>758537.5141310168</v>
      </c>
      <c r="G13" s="17">
        <f t="shared" si="0"/>
        <v>1956219.491878384</v>
      </c>
      <c r="H13" s="17">
        <f t="shared" si="1"/>
        <v>93809.951330217387</v>
      </c>
      <c r="I13" s="17">
        <f t="shared" si="2"/>
        <v>1862409.5405481667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4.5424600000000009E-2</v>
      </c>
    </row>
    <row r="5" spans="1:8" ht="15.75" customHeight="1" x14ac:dyDescent="0.25">
      <c r="B5" s="19" t="s">
        <v>70</v>
      </c>
      <c r="C5" s="101">
        <v>1.7769299999999998E-2</v>
      </c>
    </row>
    <row r="6" spans="1:8" ht="15.75" customHeight="1" x14ac:dyDescent="0.25">
      <c r="B6" s="19" t="s">
        <v>71</v>
      </c>
      <c r="C6" s="101">
        <v>0.14635760000000009</v>
      </c>
    </row>
    <row r="7" spans="1:8" ht="15.75" customHeight="1" x14ac:dyDescent="0.25">
      <c r="B7" s="19" t="s">
        <v>72</v>
      </c>
      <c r="C7" s="101">
        <v>0.369857399999999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0.31618180000000068</v>
      </c>
    </row>
    <row r="10" spans="1:8" ht="15.75" customHeight="1" x14ac:dyDescent="0.25">
      <c r="B10" s="19" t="s">
        <v>75</v>
      </c>
      <c r="C10" s="101">
        <v>0.10440930000000009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82</v>
      </c>
      <c r="C15" s="101">
        <v>8.4127530830723177E-2</v>
      </c>
      <c r="D15" s="101">
        <v>8.4127530830723177E-2</v>
      </c>
      <c r="E15" s="101">
        <v>8.4127530830723177E-2</v>
      </c>
      <c r="F15" s="101">
        <v>8.4127530830723177E-2</v>
      </c>
    </row>
    <row r="16" spans="1:8" ht="15.75" customHeight="1" x14ac:dyDescent="0.25">
      <c r="B16" s="19" t="s">
        <v>83</v>
      </c>
      <c r="C16" s="101">
        <v>2.473115043862726E-2</v>
      </c>
      <c r="D16" s="101">
        <v>2.473115043862726E-2</v>
      </c>
      <c r="E16" s="101">
        <v>2.473115043862726E-2</v>
      </c>
      <c r="F16" s="101">
        <v>2.473115043862726E-2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5.8802966437170853E-2</v>
      </c>
      <c r="D19" s="101">
        <v>5.8802966437170853E-2</v>
      </c>
      <c r="E19" s="101">
        <v>5.8802966437170853E-2</v>
      </c>
      <c r="F19" s="101">
        <v>5.8802966437170853E-2</v>
      </c>
    </row>
    <row r="20" spans="1:8" ht="15.75" customHeight="1" x14ac:dyDescent="0.25">
      <c r="B20" s="19" t="s">
        <v>87</v>
      </c>
      <c r="C20" s="101">
        <v>0.46405541621651591</v>
      </c>
      <c r="D20" s="101">
        <v>0.46405541621651591</v>
      </c>
      <c r="E20" s="101">
        <v>0.46405541621651591</v>
      </c>
      <c r="F20" s="101">
        <v>0.46405541621651591</v>
      </c>
    </row>
    <row r="21" spans="1:8" ht="15.75" customHeight="1" x14ac:dyDescent="0.25">
      <c r="B21" s="19" t="s">
        <v>88</v>
      </c>
      <c r="C21" s="101">
        <v>0.3224494270929934</v>
      </c>
      <c r="D21" s="101">
        <v>0.3224494270929934</v>
      </c>
      <c r="E21" s="101">
        <v>0.3224494270929934</v>
      </c>
      <c r="F21" s="101">
        <v>0.3224494270929934</v>
      </c>
    </row>
    <row r="22" spans="1:8" ht="15.75" customHeight="1" x14ac:dyDescent="0.25">
      <c r="B22" s="19" t="s">
        <v>89</v>
      </c>
      <c r="C22" s="101">
        <v>3.8041514269354551E-2</v>
      </c>
      <c r="D22" s="101">
        <v>3.8041514269354551E-2</v>
      </c>
      <c r="E22" s="101">
        <v>3.8041514269354551E-2</v>
      </c>
      <c r="F22" s="101">
        <v>3.8041514269354551E-2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5.5138011000000001E-2</v>
      </c>
    </row>
    <row r="27" spans="1:8" ht="15.75" customHeight="1" x14ac:dyDescent="0.25">
      <c r="B27" s="19" t="s">
        <v>92</v>
      </c>
      <c r="C27" s="101">
        <v>5.8021491999999987E-2</v>
      </c>
    </row>
    <row r="28" spans="1:8" ht="15.75" customHeight="1" x14ac:dyDescent="0.25">
      <c r="B28" s="19" t="s">
        <v>93</v>
      </c>
      <c r="C28" s="101">
        <v>0.12039119400000001</v>
      </c>
    </row>
    <row r="29" spans="1:8" ht="15.75" customHeight="1" x14ac:dyDescent="0.25">
      <c r="B29" s="19" t="s">
        <v>94</v>
      </c>
      <c r="C29" s="101">
        <v>0.13459314</v>
      </c>
    </row>
    <row r="30" spans="1:8" ht="15.75" customHeight="1" x14ac:dyDescent="0.25">
      <c r="B30" s="19" t="s">
        <v>95</v>
      </c>
      <c r="C30" s="101">
        <v>8.1866218000000004E-2</v>
      </c>
    </row>
    <row r="31" spans="1:8" ht="15.75" customHeight="1" x14ac:dyDescent="0.25">
      <c r="B31" s="19" t="s">
        <v>96</v>
      </c>
      <c r="C31" s="101">
        <v>6.5181787000000005E-2</v>
      </c>
    </row>
    <row r="32" spans="1:8" ht="15.75" customHeight="1" x14ac:dyDescent="0.25">
      <c r="B32" s="19" t="s">
        <v>97</v>
      </c>
      <c r="C32" s="101">
        <v>0.13227402499999999</v>
      </c>
    </row>
    <row r="33" spans="2:3" ht="15.75" customHeight="1" x14ac:dyDescent="0.25">
      <c r="B33" s="19" t="s">
        <v>98</v>
      </c>
      <c r="C33" s="101">
        <v>0.124908043</v>
      </c>
    </row>
    <row r="34" spans="2:3" ht="15.75" customHeight="1" x14ac:dyDescent="0.25">
      <c r="B34" s="19" t="s">
        <v>99</v>
      </c>
      <c r="C34" s="101">
        <v>0.22762609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104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105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109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110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122</v>
      </c>
      <c r="C5" s="52">
        <v>0.16627720000000001</v>
      </c>
      <c r="D5" s="52">
        <v>0.41498380000000001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0.33263535501094998</v>
      </c>
      <c r="C2" s="98">
        <v>0.95</v>
      </c>
      <c r="D2" s="56">
        <v>63.421848665062683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40.000995134003318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498.94277630498448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12.853065365559271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13.13329457779923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13.13329457779923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13.13329457779923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13.13329457779923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13.13329457779923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13.13329457779923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0.53121767900000005</v>
      </c>
      <c r="C16" s="98">
        <v>0.95</v>
      </c>
      <c r="D16" s="56">
        <v>0.84006037769458042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11.47697383223603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11.47697383223603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0.44281280000000001</v>
      </c>
      <c r="C21" s="98">
        <v>0.95</v>
      </c>
      <c r="D21" s="56">
        <v>134.72675449417599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22.72737563050903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0.31885570000000002</v>
      </c>
      <c r="C23" s="98">
        <v>0.95</v>
      </c>
      <c r="D23" s="56">
        <v>4.355034620978258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0.79083989791828002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0.29507654698905</v>
      </c>
      <c r="C27" s="98">
        <v>0.95</v>
      </c>
      <c r="D27" s="56">
        <v>18.696975825051741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0.52661570000000002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125.9554584200983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0.8476197124550896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0.18631239999999999</v>
      </c>
      <c r="C32" s="98">
        <v>0.95</v>
      </c>
      <c r="D32" s="56">
        <v>1.8161937938239601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7.3998900000000006E-2</v>
      </c>
      <c r="C38" s="98">
        <v>0.95</v>
      </c>
      <c r="D38" s="56">
        <v>2.018253434489619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0.69994709999999993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205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1.7663656616211092E-2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7.5701385498047544E-3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1.0814483642578221E-2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0.89900010099989902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2024-03-28T03:03:41Z</dcterms:modified>
</cp:coreProperties>
</file>