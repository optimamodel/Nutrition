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42D915F-9FF4-4F1C-9FBB-600FEF2E631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36" i="2" l="1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<sst xmlns="http://schemas.openxmlformats.org/spreadsheetml/2006/main" count="2101" uniqueCount="341">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</sst>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437363.9921875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0.96395172119140593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5.7299999999999997E-2</v>
      </c>
    </row>
    <row r="24" spans="1:3" ht="15" customHeight="1" x14ac:dyDescent="0.25">
      <c r="B24" s="15" t="s">
        <v>22</v>
      </c>
      <c r="C24" s="45">
        <v>0.57350000000000001</v>
      </c>
    </row>
    <row r="25" spans="1:3" ht="15" customHeight="1" x14ac:dyDescent="0.25">
      <c r="B25" s="15" t="s">
        <v>23</v>
      </c>
      <c r="C25" s="45">
        <v>0.35089999999999999</v>
      </c>
    </row>
    <row r="26" spans="1:3" ht="15" customHeight="1" x14ac:dyDescent="0.25">
      <c r="B26" s="15" t="s">
        <v>24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0.87329999999999997</v>
      </c>
    </row>
    <row r="38" spans="1:5" ht="15" customHeight="1" x14ac:dyDescent="0.25">
      <c r="B38" s="11" t="s">
        <v>34</v>
      </c>
      <c r="C38" s="43">
        <v>2.0504600000000002</v>
      </c>
      <c r="D38" s="12"/>
      <c r="E38" s="13"/>
    </row>
    <row r="39" spans="1:5" ht="15" customHeight="1" x14ac:dyDescent="0.25">
      <c r="B39" s="11" t="s">
        <v>35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100">
        <v>0.01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6.2438000000000007E-3</v>
      </c>
      <c r="D45" s="12"/>
    </row>
    <row r="46" spans="1:5" ht="15.75" customHeight="1" x14ac:dyDescent="0.25">
      <c r="B46" s="11" t="s">
        <v>41</v>
      </c>
      <c r="C46" s="45">
        <v>6.7088499999999995E-2</v>
      </c>
      <c r="D46" s="12"/>
    </row>
    <row r="47" spans="1:5" ht="15.75" customHeight="1" x14ac:dyDescent="0.25">
      <c r="B47" s="11" t="s">
        <v>42</v>
      </c>
      <c r="C47" s="45">
        <v>7.5063599999999994E-2</v>
      </c>
      <c r="D47" s="12"/>
      <c r="E47" s="13"/>
    </row>
    <row r="48" spans="1:5" ht="15" customHeight="1" x14ac:dyDescent="0.25">
      <c r="B48" s="11" t="s">
        <v>43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0.64647999999999994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84358</v>
      </c>
      <c r="C2" s="49">
        <v>308980.5</v>
      </c>
      <c r="D2" s="49">
        <v>457803</v>
      </c>
      <c r="E2" s="49">
        <v>719656.5</v>
      </c>
      <c r="F2" s="49">
        <v>665176</v>
      </c>
      <c r="G2" s="17">
        <f t="shared" ref="G2:G13" si="0">C2+D2+E2+F2</f>
        <v>2151616</v>
      </c>
      <c r="H2" s="17">
        <f t="shared" ref="H2:H13" si="1">(B2 + stillbirth*B2/(1000-stillbirth))/(1-abortion)</f>
        <v>96071.304415049672</v>
      </c>
      <c r="I2" s="17">
        <f t="shared" ref="I2:I13" si="2">G2-H2</f>
        <v>2055544.6955849503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82810</v>
      </c>
      <c r="C3" s="50">
        <v>317317</v>
      </c>
      <c r="D3" s="50">
        <v>454931.5</v>
      </c>
      <c r="E3" s="50">
        <v>686342.49999999988</v>
      </c>
      <c r="F3" s="50">
        <v>678570</v>
      </c>
      <c r="G3" s="17">
        <f t="shared" si="0"/>
        <v>2137161</v>
      </c>
      <c r="H3" s="17">
        <f t="shared" si="1"/>
        <v>94308.361016267139</v>
      </c>
      <c r="I3" s="17">
        <f t="shared" si="2"/>
        <v>2042852.6389837328</v>
      </c>
    </row>
    <row r="4" spans="1:9" ht="15.75" customHeight="1" x14ac:dyDescent="0.25">
      <c r="A4" s="5">
        <f t="shared" si="3"/>
        <v>2026</v>
      </c>
      <c r="B4" s="49">
        <v>81437</v>
      </c>
      <c r="C4" s="50">
        <v>325944.5</v>
      </c>
      <c r="D4" s="50">
        <v>456785</v>
      </c>
      <c r="E4" s="50">
        <v>649006</v>
      </c>
      <c r="F4" s="50">
        <v>691224.49999999988</v>
      </c>
      <c r="G4" s="17">
        <f t="shared" si="0"/>
        <v>2122960</v>
      </c>
      <c r="H4" s="17">
        <f t="shared" si="1"/>
        <v>92744.716774323722</v>
      </c>
      <c r="I4" s="17">
        <f t="shared" si="2"/>
        <v>2030215.2832256763</v>
      </c>
    </row>
    <row r="5" spans="1:9" ht="15.75" customHeight="1" x14ac:dyDescent="0.25">
      <c r="A5" s="5">
        <f t="shared" si="3"/>
        <v>2027</v>
      </c>
      <c r="B5" s="49">
        <v>80379</v>
      </c>
      <c r="C5" s="50">
        <v>333959</v>
      </c>
      <c r="D5" s="50">
        <v>463250.5</v>
      </c>
      <c r="E5" s="50">
        <v>610573</v>
      </c>
      <c r="F5" s="50">
        <v>703440</v>
      </c>
      <c r="G5" s="17">
        <f t="shared" si="0"/>
        <v>2111222.5</v>
      </c>
      <c r="H5" s="17">
        <f t="shared" si="1"/>
        <v>91539.811014690698</v>
      </c>
      <c r="I5" s="17">
        <f t="shared" si="2"/>
        <v>2019682.6889853093</v>
      </c>
    </row>
    <row r="6" spans="1:9" ht="15.75" customHeight="1" x14ac:dyDescent="0.25">
      <c r="A6" s="5">
        <f t="shared" si="3"/>
        <v>2028</v>
      </c>
      <c r="B6" s="49">
        <v>79369</v>
      </c>
      <c r="C6" s="50">
        <v>339969.50000000012</v>
      </c>
      <c r="D6" s="50">
        <v>472149.5</v>
      </c>
      <c r="E6" s="50">
        <v>575162</v>
      </c>
      <c r="F6" s="50">
        <v>712751.5</v>
      </c>
      <c r="G6" s="17">
        <f t="shared" si="0"/>
        <v>2100032.5</v>
      </c>
      <c r="H6" s="17">
        <f t="shared" si="1"/>
        <v>90389.570166647813</v>
      </c>
      <c r="I6" s="17">
        <f t="shared" si="2"/>
        <v>2009642.9298333521</v>
      </c>
    </row>
    <row r="7" spans="1:9" ht="15.75" customHeight="1" x14ac:dyDescent="0.25">
      <c r="A7" s="5">
        <f t="shared" si="3"/>
        <v>2029</v>
      </c>
      <c r="B7" s="49">
        <v>78784</v>
      </c>
      <c r="C7" s="50">
        <v>343664.50000000012</v>
      </c>
      <c r="D7" s="50">
        <v>482290</v>
      </c>
      <c r="E7" s="50">
        <v>543747</v>
      </c>
      <c r="F7" s="50">
        <v>717762.5</v>
      </c>
      <c r="G7" s="17">
        <f t="shared" si="0"/>
        <v>2087464</v>
      </c>
      <c r="H7" s="17">
        <f t="shared" si="1"/>
        <v>89723.341556642801</v>
      </c>
      <c r="I7" s="17">
        <f t="shared" si="2"/>
        <v>1997740.6584433571</v>
      </c>
    </row>
    <row r="8" spans="1:9" ht="15.75" customHeight="1" x14ac:dyDescent="0.25">
      <c r="A8" s="5">
        <f t="shared" si="3"/>
        <v>2030</v>
      </c>
      <c r="B8" s="49">
        <v>78527</v>
      </c>
      <c r="C8" s="50">
        <v>345508.49999999988</v>
      </c>
      <c r="D8" s="50">
        <v>491869</v>
      </c>
      <c r="E8" s="50">
        <v>518108.5</v>
      </c>
      <c r="F8" s="50">
        <v>719119.5</v>
      </c>
      <c r="G8" s="17">
        <f t="shared" si="0"/>
        <v>2074605.5</v>
      </c>
      <c r="H8" s="17">
        <f t="shared" si="1"/>
        <v>89430.656509170498</v>
      </c>
      <c r="I8" s="17">
        <f t="shared" si="2"/>
        <v>1985174.8434908295</v>
      </c>
    </row>
    <row r="9" spans="1:9" ht="15.75" customHeight="1" x14ac:dyDescent="0.25">
      <c r="A9" s="5">
        <f t="shared" si="3"/>
        <v>2031</v>
      </c>
      <c r="B9" s="49">
        <v>78304</v>
      </c>
      <c r="C9" s="50">
        <v>343245</v>
      </c>
      <c r="D9" s="50">
        <v>500547</v>
      </c>
      <c r="E9" s="50">
        <v>498002.5</v>
      </c>
      <c r="F9" s="50">
        <v>715076</v>
      </c>
      <c r="G9" s="17">
        <f t="shared" si="0"/>
        <v>2056870.5</v>
      </c>
      <c r="H9" s="17">
        <f t="shared" si="1"/>
        <v>89176.69244074123</v>
      </c>
      <c r="I9" s="17">
        <f t="shared" si="2"/>
        <v>1967693.8075592588</v>
      </c>
    </row>
    <row r="10" spans="1:9" ht="15.75" customHeight="1" x14ac:dyDescent="0.25">
      <c r="A10" s="5">
        <f t="shared" si="3"/>
        <v>2032</v>
      </c>
      <c r="B10" s="49">
        <v>78358</v>
      </c>
      <c r="C10" s="50">
        <v>333806</v>
      </c>
      <c r="D10" s="50">
        <v>511994</v>
      </c>
      <c r="E10" s="50">
        <v>480966.5</v>
      </c>
      <c r="F10" s="50">
        <v>702748.5</v>
      </c>
      <c r="G10" s="17">
        <f t="shared" si="0"/>
        <v>2029515</v>
      </c>
      <c r="H10" s="17">
        <f t="shared" si="1"/>
        <v>89238.190466280153</v>
      </c>
      <c r="I10" s="17">
        <f t="shared" si="2"/>
        <v>1940276.8095337199</v>
      </c>
    </row>
    <row r="11" spans="1:9" ht="15.75" customHeight="1" x14ac:dyDescent="0.25">
      <c r="A11" s="5">
        <f t="shared" si="3"/>
        <v>2033</v>
      </c>
      <c r="B11" s="49">
        <v>78861</v>
      </c>
      <c r="C11" s="50">
        <v>319880.00000000012</v>
      </c>
      <c r="D11" s="50">
        <v>525324</v>
      </c>
      <c r="E11" s="50">
        <v>467907</v>
      </c>
      <c r="F11" s="50">
        <v>682938.5</v>
      </c>
      <c r="G11" s="17">
        <f t="shared" si="0"/>
        <v>1996049.5</v>
      </c>
      <c r="H11" s="17">
        <f t="shared" si="1"/>
        <v>89811.033185652006</v>
      </c>
      <c r="I11" s="17">
        <f t="shared" si="2"/>
        <v>1906238.466814348</v>
      </c>
    </row>
    <row r="12" spans="1:9" ht="15.75" customHeight="1" x14ac:dyDescent="0.25">
      <c r="A12" s="5">
        <f t="shared" si="3"/>
        <v>2034</v>
      </c>
      <c r="B12" s="49">
        <v>79154</v>
      </c>
      <c r="C12" s="50">
        <v>304728</v>
      </c>
      <c r="D12" s="50">
        <v>538200.5</v>
      </c>
      <c r="E12" s="50">
        <v>460255.5</v>
      </c>
      <c r="F12" s="50">
        <v>659275.5</v>
      </c>
      <c r="G12" s="17">
        <f t="shared" si="0"/>
        <v>1962459.5</v>
      </c>
      <c r="H12" s="17">
        <f t="shared" si="1"/>
        <v>90144.71691681692</v>
      </c>
      <c r="I12" s="17">
        <f t="shared" si="2"/>
        <v>1872314.783083183</v>
      </c>
    </row>
    <row r="13" spans="1:9" ht="15.75" customHeight="1" x14ac:dyDescent="0.25">
      <c r="A13" s="5">
        <f t="shared" si="3"/>
        <v>2035</v>
      </c>
      <c r="B13" s="49">
        <v>80327</v>
      </c>
      <c r="C13" s="50">
        <v>289238.5</v>
      </c>
      <c r="D13" s="50">
        <v>549841</v>
      </c>
      <c r="E13" s="50">
        <v>457967</v>
      </c>
      <c r="F13" s="50">
        <v>631411</v>
      </c>
      <c r="G13" s="17">
        <f t="shared" si="0"/>
        <v>1928457.5</v>
      </c>
      <c r="H13" s="17">
        <f t="shared" si="1"/>
        <v>91480.59069380135</v>
      </c>
      <c r="I13" s="17">
        <f t="shared" si="2"/>
        <v>1836976.9093061986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4.5424600000000009E-2</v>
      </c>
    </row>
    <row r="5" spans="1:8" ht="15.75" customHeight="1" x14ac:dyDescent="0.25">
      <c r="B5" s="19" t="s">
        <v>70</v>
      </c>
      <c r="C5" s="101">
        <v>1.7769299999999998E-2</v>
      </c>
    </row>
    <row r="6" spans="1:8" ht="15.75" customHeight="1" x14ac:dyDescent="0.25">
      <c r="B6" s="19" t="s">
        <v>71</v>
      </c>
      <c r="C6" s="101">
        <v>0.14635760000000009</v>
      </c>
    </row>
    <row r="7" spans="1:8" ht="15.75" customHeight="1" x14ac:dyDescent="0.25">
      <c r="B7" s="19" t="s">
        <v>72</v>
      </c>
      <c r="C7" s="101">
        <v>0.369857399999999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0.31618180000000068</v>
      </c>
    </row>
    <row r="10" spans="1:8" ht="15.75" customHeight="1" x14ac:dyDescent="0.25">
      <c r="B10" s="19" t="s">
        <v>75</v>
      </c>
      <c r="C10" s="101">
        <v>0.10440930000000009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82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83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87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88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89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5.5138011000000001E-2</v>
      </c>
    </row>
    <row r="27" spans="1:8" ht="15.75" customHeight="1" x14ac:dyDescent="0.25">
      <c r="B27" s="19" t="s">
        <v>92</v>
      </c>
      <c r="C27" s="101">
        <v>5.8021491999999987E-2</v>
      </c>
    </row>
    <row r="28" spans="1:8" ht="15.75" customHeight="1" x14ac:dyDescent="0.25">
      <c r="B28" s="19" t="s">
        <v>93</v>
      </c>
      <c r="C28" s="101">
        <v>0.12039119400000001</v>
      </c>
    </row>
    <row r="29" spans="1:8" ht="15.75" customHeight="1" x14ac:dyDescent="0.25">
      <c r="B29" s="19" t="s">
        <v>94</v>
      </c>
      <c r="C29" s="101">
        <v>0.13459314</v>
      </c>
    </row>
    <row r="30" spans="1:8" ht="15.75" customHeight="1" x14ac:dyDescent="0.25">
      <c r="B30" s="19" t="s">
        <v>95</v>
      </c>
      <c r="C30" s="101">
        <v>8.1866218000000004E-2</v>
      </c>
    </row>
    <row r="31" spans="1:8" ht="15.75" customHeight="1" x14ac:dyDescent="0.25">
      <c r="B31" s="19" t="s">
        <v>96</v>
      </c>
      <c r="C31" s="101">
        <v>6.5181787000000005E-2</v>
      </c>
    </row>
    <row r="32" spans="1:8" ht="15.75" customHeight="1" x14ac:dyDescent="0.25">
      <c r="B32" s="19" t="s">
        <v>97</v>
      </c>
      <c r="C32" s="101">
        <v>0.13227402499999999</v>
      </c>
    </row>
    <row r="33" spans="2:3" ht="15.75" customHeight="1" x14ac:dyDescent="0.25">
      <c r="B33" s="19" t="s">
        <v>98</v>
      </c>
      <c r="C33" s="101">
        <v>0.124908043</v>
      </c>
    </row>
    <row r="34" spans="2:3" ht="15.75" customHeight="1" x14ac:dyDescent="0.25">
      <c r="B34" s="19" t="s">
        <v>99</v>
      </c>
      <c r="C34" s="101">
        <v>0.22762609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104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122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63.421848665062683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40.000995134003318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498.94277630498448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13.635817046321829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13.13329457779923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13.13329457779923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13.13329457779923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13.13329457779923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13.13329457779923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13.13329457779923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0.84006037769458042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0.18631239999999999</v>
      </c>
      <c r="C18" s="98">
        <v>0.95</v>
      </c>
      <c r="D18" s="56">
        <v>11.47697383223603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0.18631239999999999</v>
      </c>
      <c r="C19" s="98">
        <v>0.95</v>
      </c>
      <c r="D19" s="56">
        <v>11.47697383223603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134.72675449417599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22.72737563050903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4.355034620978258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0.91739417245447996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18.696975825051741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0.52661570000000002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0.69994709999999993</v>
      </c>
      <c r="C29" s="98">
        <v>0.95</v>
      </c>
      <c r="D29" s="56">
        <v>125.9554584200983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0.8476197124550896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1.8161937938239601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0.44281280000000001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0.31885570000000002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0.97181479999999998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7.3998900000000006E-2</v>
      </c>
      <c r="C38" s="98">
        <v>0.95</v>
      </c>
      <c r="D38" s="56">
        <v>2.018253434489619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205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0.10933861534096401</v>
      </c>
      <c r="G18" s="90">
        <f>MIN(MAX(1-0.89/(1-frac_sam_12_23months+(frac_sam_12_23months*0.89)),0),1)</f>
        <v>0.10987468014634305</v>
      </c>
      <c r="H18" s="90">
        <f>MIN(MAX(1-0.89/(1-frac_sam_24_59months+(frac_sam_24_59months*0.89)),0),1)</f>
        <v>0.10942856305634219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0.10896361954724054</v>
      </c>
      <c r="G20" s="90">
        <f>MIN(MAX(1-0.89/(1-frac_mam_12_23months+(frac_mam_12_23months*0.89)),0),1)</f>
        <v>0.10986231172210181</v>
      </c>
      <c r="H20" s="90">
        <f>MIN(MAX(1-0.89/(1-frac_mam_24_59months+(frac_mam_24_59months*0.89)),0),1)</f>
        <v>0.10867493119561333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9.9331635580722777E-3</v>
      </c>
      <c r="G73" s="90">
        <f>MIN(MAX(1-0.99/(1-frac_sam_12_23months+(frac_sam_12_23months*0.99)),0),1)</f>
        <v>9.9873288278217176E-3</v>
      </c>
      <c r="H73" s="90">
        <f>MIN(MAX(1-0.99/(1-frac_sam_24_59months+(frac_sam_24_59months*0.99)),0),1)</f>
        <v>9.9422479512075723E-3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9.8953083101100958E-3</v>
      </c>
      <c r="G75" s="90">
        <f>MIN(MAX(1-0.99/(1-frac_mam_12_23months+(frac_mam_12_23months*0.99)),0),1)</f>
        <v>9.9860784242348233E-3</v>
      </c>
      <c r="H75" s="90">
        <f>MIN(MAX(1-0.99/(1-frac_mam_24_59months+(frac_mam_24_59months*0.99)),0),1)</f>
        <v>9.8661853952237699E-3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0.19891842772600998</v>
      </c>
      <c r="G128" s="90">
        <f>MIN(MAX(1-0.8/(1-frac_sam_12_23months+(frac_sam_12_23months*0.8)),0),1)</f>
        <v>0.19979516356596949</v>
      </c>
      <c r="H128" s="90">
        <f>MIN(MAX(1-0.8/(1-frac_sam_24_59months+(frac_sam_24_59months*0.8)),0),1)</f>
        <v>0.19906559788912137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0.19830460664995908</v>
      </c>
      <c r="G130" s="90">
        <f>MIN(MAX(1-0.8/(1-frac_mam_12_23months+(frac_mam_12_23months*0.8)),0),1)</f>
        <v>0.19977494470544888</v>
      </c>
      <c r="H130" s="90">
        <f>MIN(MAX(1-0.8/(1-frac_mam_24_59months+(frac_mam_24_59months*0.8)),0),1)</f>
        <v>0.19783177136472796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2024-08-06T06:31:00Z</dcterms:modified>
</cp:coreProperties>
</file>