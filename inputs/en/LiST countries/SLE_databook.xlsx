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30BB084E-1406-4BB8-AA8D-C0F36FC24E3B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A39" i="2"/>
  <c r="H38" i="2"/>
  <c r="G38" i="2"/>
  <c r="I38" i="2" s="1"/>
  <c r="A37" i="2"/>
  <c r="A36" i="2"/>
  <c r="A35" i="2"/>
  <c r="A34" i="2"/>
  <c r="A33" i="2"/>
  <c r="A32" i="2"/>
  <c r="A31" i="2"/>
  <c r="A29" i="2"/>
  <c r="A28" i="2"/>
  <c r="A27" i="2"/>
  <c r="A26" i="2"/>
  <c r="A25" i="2"/>
  <c r="A24" i="2"/>
  <c r="A23" i="2"/>
  <c r="A21" i="2"/>
  <c r="A20" i="2"/>
  <c r="A19" i="2"/>
  <c r="A18" i="2"/>
  <c r="A17" i="2"/>
  <c r="A16" i="2"/>
  <c r="A15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A3" i="2"/>
  <c r="H2" i="2"/>
  <c r="G2" i="2"/>
  <c r="I2" i="2" s="1"/>
  <c r="A2" i="2"/>
  <c r="A40" i="2" s="1"/>
  <c r="C33" i="1"/>
  <c r="C20" i="1"/>
  <c r="A4" i="2" l="1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<sst xmlns="http://schemas.openxmlformats.org/spreadsheetml/2006/main" count="2103" uniqueCount="341">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</sst>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1197240.3984375</v>
      </c>
    </row>
    <row r="8" spans="1:3" ht="15" customHeight="1" x14ac:dyDescent="0.25">
      <c r="B8" s="5" t="s">
        <v>8</v>
      </c>
      <c r="C8" s="44">
        <v>0.40100000000000002</v>
      </c>
    </row>
    <row r="9" spans="1:3" ht="15" customHeight="1" x14ac:dyDescent="0.25">
      <c r="B9" s="5" t="s">
        <v>9</v>
      </c>
      <c r="C9" s="45">
        <v>0.99900000000000011</v>
      </c>
    </row>
    <row r="10" spans="1:3" ht="15" customHeight="1" x14ac:dyDescent="0.25">
      <c r="B10" s="5" t="s">
        <v>10</v>
      </c>
      <c r="C10" s="45">
        <v>0.369639015197754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0.625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0.13070000000000001</v>
      </c>
    </row>
    <row r="24" spans="1:3" ht="15" customHeight="1" x14ac:dyDescent="0.25">
      <c r="B24" s="15" t="s">
        <v>22</v>
      </c>
      <c r="C24" s="45">
        <v>0.4617</v>
      </c>
    </row>
    <row r="25" spans="1:3" ht="15" customHeight="1" x14ac:dyDescent="0.25">
      <c r="B25" s="15" t="s">
        <v>23</v>
      </c>
      <c r="C25" s="45">
        <v>0.31919999999999998</v>
      </c>
    </row>
    <row r="26" spans="1:3" ht="15" customHeight="1" x14ac:dyDescent="0.25">
      <c r="B26" s="15" t="s">
        <v>24</v>
      </c>
      <c r="C26" s="45">
        <v>8.8399999999999992E-2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0.24044101075302499</v>
      </c>
    </row>
    <row r="30" spans="1:3" ht="14.25" customHeight="1" x14ac:dyDescent="0.25">
      <c r="B30" s="25" t="s">
        <v>27</v>
      </c>
      <c r="C30" s="99">
        <v>3.7322814416453E-2</v>
      </c>
    </row>
    <row r="31" spans="1:3" ht="14.25" customHeight="1" x14ac:dyDescent="0.25">
      <c r="B31" s="25" t="s">
        <v>28</v>
      </c>
      <c r="C31" s="99">
        <v>7.2887930619641203E-2</v>
      </c>
    </row>
    <row r="32" spans="1:3" ht="14.25" customHeight="1" x14ac:dyDescent="0.25">
      <c r="B32" s="25" t="s">
        <v>29</v>
      </c>
      <c r="C32" s="99">
        <v>0.649348244210881</v>
      </c>
    </row>
    <row r="33" spans="1:5" ht="13" customHeight="1" x14ac:dyDescent="0.25">
      <c r="B33" s="27" t="s">
        <v>30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30.93599</v>
      </c>
    </row>
    <row r="38" spans="1:5" ht="15" customHeight="1" x14ac:dyDescent="0.25">
      <c r="B38" s="11" t="s">
        <v>34</v>
      </c>
      <c r="C38" s="43">
        <v>78.254159999999999</v>
      </c>
      <c r="D38" s="12"/>
      <c r="E38" s="13"/>
    </row>
    <row r="39" spans="1:5" ht="15" customHeight="1" x14ac:dyDescent="0.25">
      <c r="B39" s="11" t="s">
        <v>35</v>
      </c>
      <c r="C39" s="43">
        <v>104.68697</v>
      </c>
      <c r="D39" s="12"/>
      <c r="E39" s="12"/>
    </row>
    <row r="40" spans="1:5" ht="15" customHeight="1" x14ac:dyDescent="0.25">
      <c r="B40" s="11" t="s">
        <v>36</v>
      </c>
      <c r="C40" s="100">
        <v>4.43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23.13083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7.9579999999999998E-3</v>
      </c>
      <c r="D45" s="12"/>
    </row>
    <row r="46" spans="1:5" ht="15.75" customHeight="1" x14ac:dyDescent="0.25">
      <c r="B46" s="11" t="s">
        <v>41</v>
      </c>
      <c r="C46" s="45">
        <v>8.5507100000000003E-2</v>
      </c>
      <c r="D46" s="12"/>
    </row>
    <row r="47" spans="1:5" ht="15.75" customHeight="1" x14ac:dyDescent="0.25">
      <c r="B47" s="11" t="s">
        <v>42</v>
      </c>
      <c r="C47" s="45">
        <v>7.3432800000000006E-2</v>
      </c>
      <c r="D47" s="12"/>
      <c r="E47" s="13"/>
    </row>
    <row r="48" spans="1:5" ht="15" customHeight="1" x14ac:dyDescent="0.25">
      <c r="B48" s="11" t="s">
        <v>43</v>
      </c>
      <c r="C48" s="46">
        <v>0.83310209999999996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0.45287100000000008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0.144151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267219</v>
      </c>
      <c r="C2" s="49">
        <v>586868.49999999988</v>
      </c>
      <c r="D2" s="49">
        <v>804283.5</v>
      </c>
      <c r="E2" s="49">
        <v>575430.5</v>
      </c>
      <c r="F2" s="49">
        <v>354070</v>
      </c>
      <c r="G2" s="17">
        <f t="shared" ref="G2:G13" si="0">C2+D2+E2+F2</f>
        <v>2320652.5</v>
      </c>
      <c r="H2" s="17">
        <f t="shared" ref="H2:H13" si="1">(B2 + stillbirth*B2/(1000-stillbirth))/(1-abortion)</f>
        <v>310848.12979147921</v>
      </c>
      <c r="I2" s="17">
        <f t="shared" ref="I2:I13" si="2">G2-H2</f>
        <v>2009804.3702085209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268121</v>
      </c>
      <c r="C3" s="50">
        <v>598841</v>
      </c>
      <c r="D3" s="50">
        <v>824883</v>
      </c>
      <c r="E3" s="50">
        <v>593397.5</v>
      </c>
      <c r="F3" s="50">
        <v>365392.5</v>
      </c>
      <c r="G3" s="17">
        <f t="shared" si="0"/>
        <v>2382514</v>
      </c>
      <c r="H3" s="17">
        <f t="shared" si="1"/>
        <v>311897.40028898092</v>
      </c>
      <c r="I3" s="17">
        <f t="shared" si="2"/>
        <v>2070616.5997110191</v>
      </c>
    </row>
    <row r="4" spans="1:9" ht="15.75" customHeight="1" x14ac:dyDescent="0.25">
      <c r="A4" s="5">
        <f t="shared" si="3"/>
        <v>2026</v>
      </c>
      <c r="B4" s="49">
        <v>269644</v>
      </c>
      <c r="C4" s="50">
        <v>610233.5</v>
      </c>
      <c r="D4" s="50">
        <v>845488</v>
      </c>
      <c r="E4" s="50">
        <v>611938.49999999988</v>
      </c>
      <c r="F4" s="50">
        <v>377212</v>
      </c>
      <c r="G4" s="17">
        <f t="shared" si="0"/>
        <v>2444872</v>
      </c>
      <c r="H4" s="17">
        <f t="shared" si="1"/>
        <v>313669.06211569393</v>
      </c>
      <c r="I4" s="17">
        <f t="shared" si="2"/>
        <v>2131202.9378843061</v>
      </c>
    </row>
    <row r="5" spans="1:9" ht="15.75" customHeight="1" x14ac:dyDescent="0.25">
      <c r="A5" s="5">
        <f t="shared" si="3"/>
        <v>2027</v>
      </c>
      <c r="B5" s="49">
        <v>270048</v>
      </c>
      <c r="C5" s="50">
        <v>620247</v>
      </c>
      <c r="D5" s="50">
        <v>865951.00000000012</v>
      </c>
      <c r="E5" s="50">
        <v>631117</v>
      </c>
      <c r="F5" s="50">
        <v>389498.5</v>
      </c>
      <c r="G5" s="17">
        <f t="shared" si="0"/>
        <v>2506813.5</v>
      </c>
      <c r="H5" s="17">
        <f t="shared" si="1"/>
        <v>314139.02362455276</v>
      </c>
      <c r="I5" s="17">
        <f t="shared" si="2"/>
        <v>2192674.4763754471</v>
      </c>
    </row>
    <row r="6" spans="1:9" ht="15.75" customHeight="1" x14ac:dyDescent="0.25">
      <c r="A6" s="5">
        <f t="shared" si="3"/>
        <v>2028</v>
      </c>
      <c r="B6" s="49">
        <v>271566</v>
      </c>
      <c r="C6" s="50">
        <v>628531</v>
      </c>
      <c r="D6" s="50">
        <v>886199.5</v>
      </c>
      <c r="E6" s="50">
        <v>650998.5</v>
      </c>
      <c r="F6" s="50">
        <v>402226</v>
      </c>
      <c r="G6" s="17">
        <f t="shared" si="0"/>
        <v>2567955</v>
      </c>
      <c r="H6" s="17">
        <f t="shared" si="1"/>
        <v>315904.86909595813</v>
      </c>
      <c r="I6" s="17">
        <f t="shared" si="2"/>
        <v>2252050.1309040417</v>
      </c>
    </row>
    <row r="7" spans="1:9" ht="15.75" customHeight="1" x14ac:dyDescent="0.25">
      <c r="A7" s="5">
        <f t="shared" si="3"/>
        <v>2029</v>
      </c>
      <c r="B7" s="49">
        <v>272836</v>
      </c>
      <c r="C7" s="50">
        <v>635095</v>
      </c>
      <c r="D7" s="50">
        <v>906121.5</v>
      </c>
      <c r="E7" s="50">
        <v>671794.5</v>
      </c>
      <c r="F7" s="50">
        <v>415280.5</v>
      </c>
      <c r="G7" s="17">
        <f t="shared" si="0"/>
        <v>2628291.5</v>
      </c>
      <c r="H7" s="17">
        <f t="shared" si="1"/>
        <v>317382.22334410355</v>
      </c>
      <c r="I7" s="17">
        <f t="shared" si="2"/>
        <v>2310909.2766558966</v>
      </c>
    </row>
    <row r="8" spans="1:9" ht="15.75" customHeight="1" x14ac:dyDescent="0.25">
      <c r="A8" s="5">
        <f t="shared" si="3"/>
        <v>2030</v>
      </c>
      <c r="B8" s="49">
        <v>273274</v>
      </c>
      <c r="C8" s="50">
        <v>640786.5</v>
      </c>
      <c r="D8" s="50">
        <v>925313.5</v>
      </c>
      <c r="E8" s="50">
        <v>693341.5</v>
      </c>
      <c r="F8" s="50">
        <v>428576</v>
      </c>
      <c r="G8" s="17">
        <f t="shared" si="0"/>
        <v>2688017.5</v>
      </c>
      <c r="H8" s="17">
        <f t="shared" si="1"/>
        <v>317891.73606905452</v>
      </c>
      <c r="I8" s="17">
        <f t="shared" si="2"/>
        <v>2370125.7639309457</v>
      </c>
    </row>
    <row r="9" spans="1:9" ht="15.75" customHeight="1" x14ac:dyDescent="0.25">
      <c r="A9" s="5">
        <f t="shared" si="3"/>
        <v>2031</v>
      </c>
      <c r="B9" s="49">
        <v>273322</v>
      </c>
      <c r="C9" s="50">
        <v>646292</v>
      </c>
      <c r="D9" s="50">
        <v>943742.5</v>
      </c>
      <c r="E9" s="50">
        <v>715458</v>
      </c>
      <c r="F9" s="50">
        <v>442180</v>
      </c>
      <c r="G9" s="17">
        <f t="shared" si="0"/>
        <v>2747672.5</v>
      </c>
      <c r="H9" s="17">
        <f t="shared" si="1"/>
        <v>317947.57308000803</v>
      </c>
      <c r="I9" s="17">
        <f t="shared" si="2"/>
        <v>2429724.9269199921</v>
      </c>
    </row>
    <row r="10" spans="1:9" ht="15.75" customHeight="1" x14ac:dyDescent="0.25">
      <c r="A10" s="5">
        <f t="shared" si="3"/>
        <v>2032</v>
      </c>
      <c r="B10" s="49">
        <v>274550</v>
      </c>
      <c r="C10" s="50">
        <v>651701</v>
      </c>
      <c r="D10" s="50">
        <v>961421.5</v>
      </c>
      <c r="E10" s="50">
        <v>737959.5</v>
      </c>
      <c r="F10" s="50">
        <v>456195</v>
      </c>
      <c r="G10" s="17">
        <f t="shared" si="0"/>
        <v>2807277</v>
      </c>
      <c r="H10" s="17">
        <f t="shared" si="1"/>
        <v>319376.06994356913</v>
      </c>
      <c r="I10" s="17">
        <f t="shared" si="2"/>
        <v>2487900.9300564309</v>
      </c>
    </row>
    <row r="11" spans="1:9" ht="15.75" customHeight="1" x14ac:dyDescent="0.25">
      <c r="A11" s="5">
        <f t="shared" si="3"/>
        <v>2033</v>
      </c>
      <c r="B11" s="49">
        <v>275718</v>
      </c>
      <c r="C11" s="50">
        <v>657588.50000000012</v>
      </c>
      <c r="D11" s="50">
        <v>978066.5</v>
      </c>
      <c r="E11" s="50">
        <v>760194</v>
      </c>
      <c r="F11" s="50">
        <v>470696.5</v>
      </c>
      <c r="G11" s="17">
        <f t="shared" si="0"/>
        <v>2866545.5</v>
      </c>
      <c r="H11" s="17">
        <f t="shared" si="1"/>
        <v>320734.77054343832</v>
      </c>
      <c r="I11" s="17">
        <f t="shared" si="2"/>
        <v>2545810.7294565616</v>
      </c>
    </row>
    <row r="12" spans="1:9" ht="15.75" customHeight="1" x14ac:dyDescent="0.25">
      <c r="A12" s="5">
        <f t="shared" si="3"/>
        <v>2034</v>
      </c>
      <c r="B12" s="49">
        <v>275979</v>
      </c>
      <c r="C12" s="50">
        <v>664033</v>
      </c>
      <c r="D12" s="50">
        <v>994091.49999999977</v>
      </c>
      <c r="E12" s="50">
        <v>781284.5</v>
      </c>
      <c r="F12" s="50">
        <v>485756</v>
      </c>
      <c r="G12" s="17">
        <f t="shared" si="0"/>
        <v>2925165</v>
      </c>
      <c r="H12" s="17">
        <f t="shared" si="1"/>
        <v>321038.38429049822</v>
      </c>
      <c r="I12" s="17">
        <f t="shared" si="2"/>
        <v>2604126.6157095018</v>
      </c>
    </row>
    <row r="13" spans="1:9" ht="15.75" customHeight="1" x14ac:dyDescent="0.25">
      <c r="A13" s="5">
        <f t="shared" si="3"/>
        <v>2035</v>
      </c>
      <c r="B13" s="49">
        <v>275102</v>
      </c>
      <c r="C13" s="50">
        <v>670866.00000000012</v>
      </c>
      <c r="D13" s="50">
        <v>1009241</v>
      </c>
      <c r="E13" s="50">
        <v>801619.5</v>
      </c>
      <c r="F13" s="50">
        <v>501334</v>
      </c>
      <c r="G13" s="17">
        <f t="shared" si="0"/>
        <v>2983060.5</v>
      </c>
      <c r="H13" s="17">
        <f t="shared" si="1"/>
        <v>320018.19556953473</v>
      </c>
      <c r="I13" s="17">
        <f t="shared" si="2"/>
        <v>2663042.3044304652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1.9270251420426689E-2</v>
      </c>
    </row>
    <row r="4" spans="1:8" ht="15.75" customHeight="1" x14ac:dyDescent="0.25">
      <c r="B4" s="19" t="s">
        <v>69</v>
      </c>
      <c r="C4" s="101">
        <v>5.5527335526750703E-2</v>
      </c>
    </row>
    <row r="5" spans="1:8" ht="15.75" customHeight="1" x14ac:dyDescent="0.25">
      <c r="B5" s="19" t="s">
        <v>70</v>
      </c>
      <c r="C5" s="101">
        <v>8.3290502540403655E-2</v>
      </c>
    </row>
    <row r="6" spans="1:8" ht="15.75" customHeight="1" x14ac:dyDescent="0.25">
      <c r="B6" s="19" t="s">
        <v>71</v>
      </c>
      <c r="C6" s="101">
        <v>0.247329601879935</v>
      </c>
    </row>
    <row r="7" spans="1:8" ht="15.75" customHeight="1" x14ac:dyDescent="0.25">
      <c r="B7" s="19" t="s">
        <v>72</v>
      </c>
      <c r="C7" s="101">
        <v>0.41542046752397621</v>
      </c>
    </row>
    <row r="8" spans="1:8" ht="15.75" customHeight="1" x14ac:dyDescent="0.25">
      <c r="B8" s="19" t="s">
        <v>73</v>
      </c>
      <c r="C8" s="101">
        <v>2.827032633258517E-3</v>
      </c>
    </row>
    <row r="9" spans="1:8" ht="15.75" customHeight="1" x14ac:dyDescent="0.25">
      <c r="B9" s="19" t="s">
        <v>74</v>
      </c>
      <c r="C9" s="101">
        <v>6.8686537483920895E-2</v>
      </c>
    </row>
    <row r="10" spans="1:8" ht="15.75" customHeight="1" x14ac:dyDescent="0.25">
      <c r="B10" s="19" t="s">
        <v>75</v>
      </c>
      <c r="C10" s="101">
        <v>0.1076482709913284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0.15521897653309941</v>
      </c>
      <c r="D14" s="55">
        <v>0.15521897653309941</v>
      </c>
      <c r="E14" s="55">
        <v>0.15521897653309941</v>
      </c>
      <c r="F14" s="55">
        <v>0.15521897653309941</v>
      </c>
    </row>
    <row r="15" spans="1:8" ht="15.75" customHeight="1" x14ac:dyDescent="0.25">
      <c r="B15" s="19" t="s">
        <v>82</v>
      </c>
      <c r="C15" s="101">
        <v>0.20898917462724789</v>
      </c>
      <c r="D15" s="101">
        <v>0.20898917462724789</v>
      </c>
      <c r="E15" s="101">
        <v>0.20898917462724789</v>
      </c>
      <c r="F15" s="101">
        <v>0.20898917462724789</v>
      </c>
    </row>
    <row r="16" spans="1:8" ht="15.75" customHeight="1" x14ac:dyDescent="0.25">
      <c r="B16" s="19" t="s">
        <v>83</v>
      </c>
      <c r="C16" s="101">
        <v>2.0453097249142231E-2</v>
      </c>
      <c r="D16" s="101">
        <v>2.0453097249142231E-2</v>
      </c>
      <c r="E16" s="101">
        <v>2.0453097249142231E-2</v>
      </c>
      <c r="F16" s="101">
        <v>2.0453097249142231E-2</v>
      </c>
    </row>
    <row r="17" spans="1:8" ht="15.75" customHeight="1" x14ac:dyDescent="0.25">
      <c r="B17" s="19" t="s">
        <v>84</v>
      </c>
      <c r="C17" s="101">
        <v>1.78518465199384E-3</v>
      </c>
      <c r="D17" s="101">
        <v>1.78518465199384E-3</v>
      </c>
      <c r="E17" s="101">
        <v>1.78518465199384E-3</v>
      </c>
      <c r="F17" s="101">
        <v>1.78518465199384E-3</v>
      </c>
    </row>
    <row r="18" spans="1:8" ht="15.75" customHeight="1" x14ac:dyDescent="0.25">
      <c r="B18" s="19" t="s">
        <v>85</v>
      </c>
      <c r="C18" s="101">
        <v>0.35346795150880239</v>
      </c>
      <c r="D18" s="101">
        <v>0.35346795150880239</v>
      </c>
      <c r="E18" s="101">
        <v>0.35346795150880239</v>
      </c>
      <c r="F18" s="101">
        <v>0.35346795150880239</v>
      </c>
    </row>
    <row r="19" spans="1:8" ht="15.75" customHeight="1" x14ac:dyDescent="0.25">
      <c r="B19" s="19" t="s">
        <v>86</v>
      </c>
      <c r="C19" s="101">
        <v>8.3972450660439787E-3</v>
      </c>
      <c r="D19" s="101">
        <v>8.3972450660439787E-3</v>
      </c>
      <c r="E19" s="101">
        <v>8.3972450660439787E-3</v>
      </c>
      <c r="F19" s="101">
        <v>8.3972450660439787E-3</v>
      </c>
    </row>
    <row r="20" spans="1:8" ht="15.75" customHeight="1" x14ac:dyDescent="0.25">
      <c r="B20" s="19" t="s">
        <v>87</v>
      </c>
      <c r="C20" s="101">
        <v>5.2756167327518533E-2</v>
      </c>
      <c r="D20" s="101">
        <v>5.2756167327518533E-2</v>
      </c>
      <c r="E20" s="101">
        <v>5.2756167327518533E-2</v>
      </c>
      <c r="F20" s="101">
        <v>5.2756167327518533E-2</v>
      </c>
    </row>
    <row r="21" spans="1:8" ht="15.75" customHeight="1" x14ac:dyDescent="0.25">
      <c r="B21" s="19" t="s">
        <v>88</v>
      </c>
      <c r="C21" s="101">
        <v>6.5268173388815381E-2</v>
      </c>
      <c r="D21" s="101">
        <v>6.5268173388815381E-2</v>
      </c>
      <c r="E21" s="101">
        <v>6.5268173388815381E-2</v>
      </c>
      <c r="F21" s="101">
        <v>6.5268173388815381E-2</v>
      </c>
    </row>
    <row r="22" spans="1:8" ht="15.75" customHeight="1" x14ac:dyDescent="0.25">
      <c r="B22" s="19" t="s">
        <v>89</v>
      </c>
      <c r="C22" s="101">
        <v>0.13366402964733631</v>
      </c>
      <c r="D22" s="101">
        <v>0.13366402964733631</v>
      </c>
      <c r="E22" s="101">
        <v>0.13366402964733631</v>
      </c>
      <c r="F22" s="101">
        <v>0.13366402964733631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8.8541960999999988E-2</v>
      </c>
    </row>
    <row r="27" spans="1:8" ht="15.75" customHeight="1" x14ac:dyDescent="0.25">
      <c r="B27" s="19" t="s">
        <v>92</v>
      </c>
      <c r="C27" s="101">
        <v>8.4139049999999993E-3</v>
      </c>
    </row>
    <row r="28" spans="1:8" ht="15.75" customHeight="1" x14ac:dyDescent="0.25">
      <c r="B28" s="19" t="s">
        <v>93</v>
      </c>
      <c r="C28" s="101">
        <v>0.15592515700000001</v>
      </c>
    </row>
    <row r="29" spans="1:8" ht="15.75" customHeight="1" x14ac:dyDescent="0.25">
      <c r="B29" s="19" t="s">
        <v>94</v>
      </c>
      <c r="C29" s="101">
        <v>0.16923094399999999</v>
      </c>
    </row>
    <row r="30" spans="1:8" ht="15.75" customHeight="1" x14ac:dyDescent="0.25">
      <c r="B30" s="19" t="s">
        <v>95</v>
      </c>
      <c r="C30" s="101">
        <v>0.105940403</v>
      </c>
    </row>
    <row r="31" spans="1:8" ht="15.75" customHeight="1" x14ac:dyDescent="0.25">
      <c r="B31" s="19" t="s">
        <v>96</v>
      </c>
      <c r="C31" s="101">
        <v>0.11097119599999999</v>
      </c>
    </row>
    <row r="32" spans="1:8" ht="15.75" customHeight="1" x14ac:dyDescent="0.25">
      <c r="B32" s="19" t="s">
        <v>97</v>
      </c>
      <c r="C32" s="101">
        <v>1.8550027E-2</v>
      </c>
    </row>
    <row r="33" spans="2:3" ht="15.75" customHeight="1" x14ac:dyDescent="0.25">
      <c r="B33" s="19" t="s">
        <v>98</v>
      </c>
      <c r="C33" s="101">
        <v>8.4407093999999988E-2</v>
      </c>
    </row>
    <row r="34" spans="2:3" ht="15.75" customHeight="1" x14ac:dyDescent="0.25">
      <c r="B34" s="19" t="s">
        <v>99</v>
      </c>
      <c r="C34" s="101">
        <v>0.258019314</v>
      </c>
    </row>
    <row r="35" spans="2:3" ht="15.75" customHeight="1" x14ac:dyDescent="0.25">
      <c r="B35" s="27" t="s">
        <v>30</v>
      </c>
      <c r="C35" s="48">
        <f>SUM(C26:C34)</f>
        <v>1.0000000009999999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0.44863980932331038</v>
      </c>
      <c r="D2" s="52">
        <f>IFERROR(1-_xlfn.NORM.DIST(_xlfn.NORM.INV(SUM(D4:D5), 0, 1) + 1, 0, 1, TRUE), "")</f>
        <v>0.44863980932331038</v>
      </c>
      <c r="E2" s="52">
        <f>IFERROR(1-_xlfn.NORM.DIST(_xlfn.NORM.INV(SUM(E4:E5), 0, 1) + 1, 0, 1, TRUE), "")</f>
        <v>0.4699543555463106</v>
      </c>
      <c r="F2" s="52">
        <f>IFERROR(1-_xlfn.NORM.DIST(_xlfn.NORM.INV(SUM(F4:F5), 0, 1) + 1, 0, 1, TRUE), "")</f>
        <v>0.3141720076106479</v>
      </c>
      <c r="G2" s="52">
        <f>IFERROR(1-_xlfn.NORM.DIST(_xlfn.NORM.INV(SUM(G4:G5), 0, 1) + 1, 0, 1, TRUE), "")</f>
        <v>0.28748709338451461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0.35945619067668966</v>
      </c>
      <c r="D3" s="52">
        <f>IFERROR(_xlfn.NORM.DIST(_xlfn.NORM.INV(SUM(D4:D5), 0, 1) + 1, 0, 1, TRUE) - SUM(D4:D5), "")</f>
        <v>0.35945619067668966</v>
      </c>
      <c r="E3" s="52">
        <f>IFERROR(_xlfn.NORM.DIST(_xlfn.NORM.INV(SUM(E4:E5), 0, 1) + 1, 0, 1, TRUE) - SUM(E4:E5), "")</f>
        <v>0.35246264445368941</v>
      </c>
      <c r="F3" s="52">
        <f>IFERROR(_xlfn.NORM.DIST(_xlfn.NORM.INV(SUM(F4:F5), 0, 1) + 1, 0, 1, TRUE) - SUM(F4:F5), "")</f>
        <v>0.38288019238935211</v>
      </c>
      <c r="G3" s="52">
        <f>IFERROR(_xlfn.NORM.DIST(_xlfn.NORM.INV(SUM(G4:G5), 0, 1) + 1, 0, 1, TRUE) - SUM(G4:G5), "")</f>
        <v>0.38227600661548539</v>
      </c>
    </row>
    <row r="4" spans="1:15" ht="15.75" customHeight="1" x14ac:dyDescent="0.25">
      <c r="B4" s="5" t="s">
        <v>104</v>
      </c>
      <c r="C4" s="45">
        <v>0.1133801</v>
      </c>
      <c r="D4" s="53">
        <v>0.1133801</v>
      </c>
      <c r="E4" s="53">
        <v>0.1031483</v>
      </c>
      <c r="F4" s="53">
        <v>0.2021889</v>
      </c>
      <c r="G4" s="53">
        <v>0.2106642</v>
      </c>
    </row>
    <row r="5" spans="1:15" ht="15.75" customHeight="1" x14ac:dyDescent="0.25">
      <c r="B5" s="5" t="s">
        <v>105</v>
      </c>
      <c r="C5" s="45">
        <v>7.8523899999999994E-2</v>
      </c>
      <c r="D5" s="53">
        <v>7.8523899999999994E-2</v>
      </c>
      <c r="E5" s="53">
        <v>7.4434699999999993E-2</v>
      </c>
      <c r="F5" s="53">
        <v>0.1007589</v>
      </c>
      <c r="G5" s="53">
        <v>0.1195727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0.76914882237139048</v>
      </c>
      <c r="D8" s="52">
        <f>IFERROR(1-_xlfn.NORM.DIST(_xlfn.NORM.INV(SUM(D10:D11), 0, 1) + 1, 0, 1, TRUE), "")</f>
        <v>0.76914882237139048</v>
      </c>
      <c r="E8" s="52">
        <f>IFERROR(1-_xlfn.NORM.DIST(_xlfn.NORM.INV(SUM(E10:E11), 0, 1) + 1, 0, 1, TRUE), "")</f>
        <v>0.58795261618574035</v>
      </c>
      <c r="F8" s="52">
        <f>IFERROR(1-_xlfn.NORM.DIST(_xlfn.NORM.INV(SUM(F10:F11), 0, 1) + 1, 0, 1, TRUE), "")</f>
        <v>0.63349464666587818</v>
      </c>
      <c r="G8" s="52">
        <f>IFERROR(1-_xlfn.NORM.DIST(_xlfn.NORM.INV(SUM(G10:G11), 0, 1) + 1, 0, 1, TRUE), "")</f>
        <v>0.79223767337338391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0.18957337762860954</v>
      </c>
      <c r="D9" s="52">
        <f>IFERROR(_xlfn.NORM.DIST(_xlfn.NORM.INV(SUM(D10:D11), 0, 1) + 1, 0, 1, TRUE) - SUM(D10:D11), "")</f>
        <v>0.18957337762860954</v>
      </c>
      <c r="E9" s="52">
        <f>IFERROR(_xlfn.NORM.DIST(_xlfn.NORM.INV(SUM(E10:E11), 0, 1) + 1, 0, 1, TRUE) - SUM(E10:E11), "")</f>
        <v>0.30124678381425962</v>
      </c>
      <c r="F9" s="52">
        <f>IFERROR(_xlfn.NORM.DIST(_xlfn.NORM.INV(SUM(F10:F11), 0, 1) + 1, 0, 1, TRUE) - SUM(F10:F11), "")</f>
        <v>0.27656515333412179</v>
      </c>
      <c r="G9" s="52">
        <f>IFERROR(_xlfn.NORM.DIST(_xlfn.NORM.INV(SUM(G10:G11), 0, 1) + 1, 0, 1, TRUE) - SUM(G10:G11), "")</f>
        <v>0.17293962662661605</v>
      </c>
    </row>
    <row r="10" spans="1:15" ht="15.75" customHeight="1" x14ac:dyDescent="0.25">
      <c r="B10" s="5" t="s">
        <v>109</v>
      </c>
      <c r="C10" s="45">
        <v>2.9913700000000001E-2</v>
      </c>
      <c r="D10" s="53">
        <v>2.9913700000000001E-2</v>
      </c>
      <c r="E10" s="53">
        <v>9.8630600000000013E-2</v>
      </c>
      <c r="F10" s="53">
        <v>7.0580699999999996E-2</v>
      </c>
      <c r="G10" s="53">
        <v>2.7266700000000001E-2</v>
      </c>
    </row>
    <row r="11" spans="1:15" ht="15.75" customHeight="1" x14ac:dyDescent="0.25">
      <c r="B11" s="5" t="s">
        <v>110</v>
      </c>
      <c r="C11" s="45">
        <v>1.13641E-2</v>
      </c>
      <c r="D11" s="53">
        <v>1.13641E-2</v>
      </c>
      <c r="E11" s="53">
        <v>1.217E-2</v>
      </c>
      <c r="F11" s="53">
        <v>1.9359500000000002E-2</v>
      </c>
      <c r="G11" s="53">
        <v>7.5560000000000002E-3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0.90340710200000007</v>
      </c>
      <c r="D14" s="54">
        <v>0.89947195748300002</v>
      </c>
      <c r="E14" s="54">
        <v>0.89947195748300002</v>
      </c>
      <c r="F14" s="54">
        <v>0.83211495658599999</v>
      </c>
      <c r="G14" s="54">
        <v>0.83211495658599999</v>
      </c>
      <c r="H14" s="45">
        <v>0.55900000000000016</v>
      </c>
      <c r="I14" s="55">
        <v>0.55900000000000016</v>
      </c>
      <c r="J14" s="55">
        <v>0.55900000000000016</v>
      </c>
      <c r="K14" s="55">
        <v>0.55900000000000016</v>
      </c>
      <c r="L14" s="45">
        <v>0.47299999999999998</v>
      </c>
      <c r="M14" s="55">
        <v>0.47299999999999998</v>
      </c>
      <c r="N14" s="55">
        <v>0.47299999999999998</v>
      </c>
      <c r="O14" s="55">
        <v>0.47299999999999998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0.40912687768984213</v>
      </c>
      <c r="D15" s="52">
        <f t="shared" si="0"/>
        <v>0.40734476485728377</v>
      </c>
      <c r="E15" s="52">
        <f t="shared" si="0"/>
        <v>0.40734476485728377</v>
      </c>
      <c r="F15" s="52">
        <f t="shared" si="0"/>
        <v>0.37684073250405847</v>
      </c>
      <c r="G15" s="52">
        <f t="shared" si="0"/>
        <v>0.37684073250405847</v>
      </c>
      <c r="H15" s="52">
        <f t="shared" si="0"/>
        <v>0.25315488900000011</v>
      </c>
      <c r="I15" s="52">
        <f t="shared" si="0"/>
        <v>0.25315488900000011</v>
      </c>
      <c r="J15" s="52">
        <f t="shared" si="0"/>
        <v>0.25315488900000011</v>
      </c>
      <c r="K15" s="52">
        <f t="shared" si="0"/>
        <v>0.25315488900000011</v>
      </c>
      <c r="L15" s="52">
        <f t="shared" si="0"/>
        <v>0.21420798300000002</v>
      </c>
      <c r="M15" s="52">
        <f t="shared" si="0"/>
        <v>0.21420798300000002</v>
      </c>
      <c r="N15" s="52">
        <f t="shared" si="0"/>
        <v>0.21420798300000002</v>
      </c>
      <c r="O15" s="52">
        <f t="shared" si="0"/>
        <v>0.21420798300000002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0.77430790000000005</v>
      </c>
      <c r="D2" s="53">
        <v>0.4961622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0.15446280000000001</v>
      </c>
      <c r="D3" s="53">
        <v>0.24405350000000001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3.8687199999999998E-2</v>
      </c>
      <c r="D4" s="53">
        <v>0.24085190000000001</v>
      </c>
      <c r="E4" s="53">
        <v>0.95201559999999996</v>
      </c>
      <c r="F4" s="53">
        <v>0.64523189999999997</v>
      </c>
      <c r="G4" s="53">
        <v>0</v>
      </c>
    </row>
    <row r="5" spans="1:7" x14ac:dyDescent="0.25">
      <c r="B5" s="3" t="s">
        <v>122</v>
      </c>
      <c r="C5" s="52">
        <v>3.2542099999999997E-2</v>
      </c>
      <c r="D5" s="52">
        <v>1.8932399999999999E-2</v>
      </c>
      <c r="E5" s="52">
        <f>1-SUM(E2:E4)</f>
        <v>4.7984400000000038E-2</v>
      </c>
      <c r="F5" s="52">
        <f>1-SUM(F2:F4)</f>
        <v>0.35476810000000003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34.819261433026043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47.362947514627443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50.52045111826412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0.1621532183204808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0.27672940000000001</v>
      </c>
      <c r="C10" s="98">
        <v>0.95</v>
      </c>
      <c r="D10" s="56">
        <v>15.022196845122521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15.022196845122521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15.022196845122521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15.022196845122521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0.27672940000000001</v>
      </c>
      <c r="C14" s="98">
        <v>0.95</v>
      </c>
      <c r="D14" s="56">
        <v>15.022196845122521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15.022196845122521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0.73015299999999994</v>
      </c>
      <c r="C16" s="98">
        <v>0.95</v>
      </c>
      <c r="D16" s="56">
        <v>0.22477769467930861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0.103311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0.4961622</v>
      </c>
      <c r="C18" s="98">
        <v>0.95</v>
      </c>
      <c r="D18" s="56">
        <v>1.2741986036609081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0.4961622</v>
      </c>
      <c r="C19" s="98">
        <v>0.95</v>
      </c>
      <c r="D19" s="56">
        <v>1.2741986036609081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1.617657643758611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25.587629641895109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0.65059860000000003</v>
      </c>
      <c r="C23" s="98">
        <v>0.95</v>
      </c>
      <c r="D23" s="56">
        <v>4.9145085291285842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0.73707815445430003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0.27672940000000001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21.711791130794801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0.85267629999999994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0.25069370000000002</v>
      </c>
      <c r="C29" s="98">
        <v>0.95</v>
      </c>
      <c r="D29" s="56">
        <v>60.674348370795308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2.935143539368509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0.66</v>
      </c>
      <c r="C32" s="98">
        <v>0.95</v>
      </c>
      <c r="D32" s="56">
        <v>0.41676337027171728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0.17836579999999999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0.62068789999999996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6.3924000000000003E-3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0.20684730000000001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0.5778664</v>
      </c>
      <c r="C38" s="98">
        <v>0.95</v>
      </c>
      <c r="D38" s="56">
        <v>3.9579419154138891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7.7775620000000004E-2</v>
      </c>
      <c r="C3" s="21">
        <f>frac_mam_1_5months * 2.6</f>
        <v>7.7775620000000004E-2</v>
      </c>
      <c r="D3" s="21">
        <f>frac_mam_6_11months * 2.6</f>
        <v>0.25643956000000007</v>
      </c>
      <c r="E3" s="21">
        <f>frac_mam_12_23months * 2.6</f>
        <v>0.18350981999999999</v>
      </c>
      <c r="F3" s="21">
        <f>frac_mam_24_59months * 2.6</f>
        <v>7.0893420000000013E-2</v>
      </c>
    </row>
    <row r="4" spans="1:6" ht="15.75" customHeight="1" x14ac:dyDescent="0.25">
      <c r="A4" s="3" t="s">
        <v>205</v>
      </c>
      <c r="B4" s="21">
        <f>frac_sam_1month * 2.6</f>
        <v>2.9546660000000002E-2</v>
      </c>
      <c r="C4" s="21">
        <f>frac_sam_1_5months * 2.6</f>
        <v>2.9546660000000002E-2</v>
      </c>
      <c r="D4" s="21">
        <f>frac_sam_6_11months * 2.6</f>
        <v>3.1642000000000003E-2</v>
      </c>
      <c r="E4" s="21">
        <f>frac_sam_12_23months * 2.6</f>
        <v>5.0334700000000003E-2</v>
      </c>
      <c r="F4" s="21">
        <f>frac_sam_24_59months * 2.6</f>
        <v>1.9645600000000003E-2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0.40100000000000002</v>
      </c>
      <c r="E2" s="60">
        <f>food_insecure</f>
        <v>0.40100000000000002</v>
      </c>
      <c r="F2" s="60">
        <f>food_insecure</f>
        <v>0.40100000000000002</v>
      </c>
      <c r="G2" s="60">
        <f>food_insecure</f>
        <v>0.40100000000000002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0.40100000000000002</v>
      </c>
      <c r="F5" s="60">
        <f>food_insecure</f>
        <v>0.40100000000000002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0.40100000000000002</v>
      </c>
      <c r="F8" s="60">
        <f>food_insecure</f>
        <v>0.40100000000000002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0.40100000000000002</v>
      </c>
      <c r="F9" s="60">
        <f>food_insecure</f>
        <v>0.40100000000000002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0.40100000000000002</v>
      </c>
      <c r="I15" s="60">
        <f>food_insecure</f>
        <v>0.40100000000000002</v>
      </c>
      <c r="J15" s="60">
        <f>food_insecure</f>
        <v>0.40100000000000002</v>
      </c>
      <c r="K15" s="60">
        <f>food_insecure</f>
        <v>0.40100000000000002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0.99900000000000011</v>
      </c>
      <c r="I19" s="60">
        <f>frac_malaria_risk</f>
        <v>0.99900000000000011</v>
      </c>
      <c r="J19" s="60">
        <f>frac_malaria_risk</f>
        <v>0.99900000000000011</v>
      </c>
      <c r="K19" s="60">
        <f>frac_malaria_risk</f>
        <v>0.99900000000000011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0.625</v>
      </c>
      <c r="M24" s="60">
        <f>famplan_unmet_need</f>
        <v>0.625</v>
      </c>
      <c r="N24" s="60">
        <f>famplan_unmet_need</f>
        <v>0.625</v>
      </c>
      <c r="O24" s="60">
        <f>famplan_unmet_need</f>
        <v>0.625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0.36195958108329768</v>
      </c>
      <c r="M25" s="60">
        <f>(1-food_insecure)*(0.49)+food_insecure*(0.7)</f>
        <v>0.57421</v>
      </c>
      <c r="N25" s="60">
        <f>(1-food_insecure)*(0.49)+food_insecure*(0.7)</f>
        <v>0.57421</v>
      </c>
      <c r="O25" s="60">
        <f>(1-food_insecure)*(0.49)+food_insecure*(0.7)</f>
        <v>0.57421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0.15512553474998469</v>
      </c>
      <c r="M26" s="60">
        <f>(1-food_insecure)*(0.21)+food_insecure*(0.3)</f>
        <v>0.24608999999999998</v>
      </c>
      <c r="N26" s="60">
        <f>(1-food_insecure)*(0.21)+food_insecure*(0.3)</f>
        <v>0.24608999999999998</v>
      </c>
      <c r="O26" s="60">
        <f>(1-food_insecure)*(0.21)+food_insecure*(0.3)</f>
        <v>0.24608999999999998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0.11327586896896361</v>
      </c>
      <c r="M27" s="60">
        <f>(1-food_insecure)*(0.3)</f>
        <v>0.1797</v>
      </c>
      <c r="N27" s="60">
        <f>(1-food_insecure)*(0.3)</f>
        <v>0.1797</v>
      </c>
      <c r="O27" s="60">
        <f>(1-food_insecure)*(0.3)</f>
        <v>0.1797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0.369639015197754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0.99900000000000011</v>
      </c>
      <c r="D34" s="60">
        <f t="shared" si="3"/>
        <v>0.99900000000000011</v>
      </c>
      <c r="E34" s="60">
        <f t="shared" si="3"/>
        <v>0.99900000000000011</v>
      </c>
      <c r="F34" s="60">
        <f t="shared" si="3"/>
        <v>0.99900000000000011</v>
      </c>
      <c r="G34" s="60">
        <f t="shared" si="3"/>
        <v>0.99900000000000011</v>
      </c>
      <c r="H34" s="60">
        <f t="shared" si="3"/>
        <v>0.99900000000000011</v>
      </c>
      <c r="I34" s="60">
        <f t="shared" si="3"/>
        <v>0.99900000000000011</v>
      </c>
      <c r="J34" s="60">
        <f t="shared" si="3"/>
        <v>0.99900000000000011</v>
      </c>
      <c r="K34" s="60">
        <f t="shared" si="3"/>
        <v>0.99900000000000011</v>
      </c>
      <c r="L34" s="60">
        <f t="shared" si="3"/>
        <v>0.99900000000000011</v>
      </c>
      <c r="M34" s="60">
        <f t="shared" si="3"/>
        <v>0.99900000000000011</v>
      </c>
      <c r="N34" s="60">
        <f t="shared" si="3"/>
        <v>0.99900000000000011</v>
      </c>
      <c r="O34" s="60">
        <f t="shared" si="3"/>
        <v>0.99900000000000011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0.10880695987718758</v>
      </c>
      <c r="G18" s="90">
        <f>MIN(MAX(1-0.89/(1-frac_sam_12_23months+(frac_sam_12_23months*0.89)),0),1)</f>
        <v>0.10810066022046927</v>
      </c>
      <c r="H18" s="90">
        <f>MIN(MAX(1-0.89/(1-frac_sam_24_59months+(frac_sam_24_59months*0.89)),0),1)</f>
        <v>0.10925965225256618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0.10023815442451611</v>
      </c>
      <c r="G20" s="90">
        <f>MIN(MAX(1-0.89/(1-frac_mam_12_23months+(frac_mam_12_23months*0.89)),0),1)</f>
        <v>0.1030360824708656</v>
      </c>
      <c r="H20" s="90">
        <f>MIN(MAX(1-0.89/(1-frac_mam_24_59months+(frac_mam_24_59months*0.89)),0),1)</f>
        <v>0.10732255952371417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9.8795023354342204E-3</v>
      </c>
      <c r="G73" s="90">
        <f>MIN(MAX(1-0.99/(1-frac_sam_12_23months+(frac_sam_12_23months*0.99)),0),1)</f>
        <v>9.8083038385816668E-3</v>
      </c>
      <c r="H73" s="90">
        <f>MIN(MAX(1-0.99/(1-frac_sam_24_59months+(frac_sam_24_59months*0.99)),0),1)</f>
        <v>9.9251899473524752E-3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9.0225930376485186E-3</v>
      </c>
      <c r="G75" s="90">
        <f>MIN(MAX(1-0.99/(1-frac_mam_12_23months+(frac_mam_12_23months*0.99)),0),1)</f>
        <v>9.3007575397767717E-3</v>
      </c>
      <c r="H75" s="90">
        <f>MIN(MAX(1-0.99/(1-frac_mam_24_59months+(frac_mam_24_59months*0.99)),0),1)</f>
        <v>9.72998604610531E-3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0.19804804895114703</v>
      </c>
      <c r="G128" s="90">
        <f>MIN(MAX(1-0.8/(1-frac_sam_12_23months+(frac_sam_12_23months*0.8)),0),1)</f>
        <v>0.19689044009500389</v>
      </c>
      <c r="H128" s="90">
        <f>MIN(MAX(1-0.8/(1-frac_sam_24_59months+(frac_sam_24_59months*0.8)),0),1)</f>
        <v>0.19878921025453655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0.18390154392362268</v>
      </c>
      <c r="G130" s="90">
        <f>MIN(MAX(1-0.8/(1-frac_mam_12_23months+(frac_mam_12_23months*0.8)),0),1)</f>
        <v>0.18854539316629026</v>
      </c>
      <c r="H130" s="90">
        <f>MIN(MAX(1-0.8/(1-frac_mam_24_59months+(frac_mam_24_59months*0.8)),0),1)</f>
        <v>0.19561340641373226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2024-06-18T06:57:07Z</dcterms:modified>
</cp:coreProperties>
</file>