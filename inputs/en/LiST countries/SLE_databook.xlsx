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00EBC82-11D8-4507-9D3C-76A89C5216F1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40" i="2"/>
  <c r="A34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<sst xmlns="http://schemas.openxmlformats.org/spreadsheetml/2006/main" count="2169" uniqueCount="373">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</sst>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1172897</v>
      </c>
    </row>
    <row r="8" spans="1:3" ht="15" customHeight="1" x14ac:dyDescent="0.25">
      <c r="B8" s="5" t="s">
        <v>8</v>
      </c>
      <c r="C8" s="44">
        <v>0.75800000000000001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0.3134342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7">
        <v>3.7322814416453E-2</v>
      </c>
    </row>
    <row r="31" spans="1:3" ht="14.25" customHeight="1" x14ac:dyDescent="0.25">
      <c r="B31" s="25" t="s">
        <v>28</v>
      </c>
      <c r="C31" s="97">
        <v>7.2887930619641203E-2</v>
      </c>
    </row>
    <row r="32" spans="1:3" ht="14.25" customHeight="1" x14ac:dyDescent="0.25">
      <c r="B32" s="25" t="s">
        <v>29</v>
      </c>
      <c r="C32" s="97">
        <v>0.649348244210881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98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0.88400000000000012</v>
      </c>
      <c r="D51" s="12"/>
    </row>
    <row r="52" spans="1:4" ht="15" customHeight="1" x14ac:dyDescent="0.25">
      <c r="B52" s="11" t="s">
        <v>46</v>
      </c>
      <c r="C52" s="98">
        <v>0.88400000000000012</v>
      </c>
    </row>
    <row r="53" spans="1:4" ht="15.75" customHeight="1" x14ac:dyDescent="0.25">
      <c r="B53" s="11" t="s">
        <v>47</v>
      </c>
      <c r="C53" s="98">
        <v>2.3660000000000001</v>
      </c>
    </row>
    <row r="54" spans="1:4" ht="15.75" customHeight="1" x14ac:dyDescent="0.25">
      <c r="B54" s="11" t="s">
        <v>48</v>
      </c>
      <c r="C54" s="98">
        <v>2.6779999999999999</v>
      </c>
    </row>
    <row r="55" spans="1:4" ht="15.75" customHeight="1" x14ac:dyDescent="0.25">
      <c r="B55" s="11" t="s">
        <v>49</v>
      </c>
      <c r="C55" s="98">
        <v>1.6466666666666669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99">
        <v>5.5527335526750703E-2</v>
      </c>
    </row>
    <row r="5" spans="1:8" ht="15.75" customHeight="1" x14ac:dyDescent="0.25">
      <c r="B5" s="19" t="s">
        <v>70</v>
      </c>
      <c r="C5" s="99">
        <v>8.3290502540403655E-2</v>
      </c>
    </row>
    <row r="6" spans="1:8" ht="15.75" customHeight="1" x14ac:dyDescent="0.25">
      <c r="B6" s="19" t="s">
        <v>71</v>
      </c>
      <c r="C6" s="99">
        <v>0.247329601879935</v>
      </c>
    </row>
    <row r="7" spans="1:8" ht="15.75" customHeight="1" x14ac:dyDescent="0.25">
      <c r="B7" s="19" t="s">
        <v>72</v>
      </c>
      <c r="C7" s="99">
        <v>0.41542046752397621</v>
      </c>
    </row>
    <row r="8" spans="1:8" ht="15.75" customHeight="1" x14ac:dyDescent="0.25">
      <c r="B8" s="19" t="s">
        <v>73</v>
      </c>
      <c r="C8" s="99">
        <v>2.827032633258517E-3</v>
      </c>
    </row>
    <row r="9" spans="1:8" ht="15.75" customHeight="1" x14ac:dyDescent="0.25">
      <c r="B9" s="19" t="s">
        <v>74</v>
      </c>
      <c r="C9" s="99">
        <v>6.8686537483920895E-2</v>
      </c>
    </row>
    <row r="10" spans="1:8" ht="15.75" customHeight="1" x14ac:dyDescent="0.25">
      <c r="B10" s="19" t="s">
        <v>75</v>
      </c>
      <c r="C10" s="99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99">
        <v>0.20898917462724789</v>
      </c>
      <c r="D15" s="99">
        <v>0.20898917462724789</v>
      </c>
      <c r="E15" s="99">
        <v>0.20898917462724789</v>
      </c>
      <c r="F15" s="99">
        <v>0.20898917462724789</v>
      </c>
    </row>
    <row r="16" spans="1:8" ht="15.75" customHeight="1" x14ac:dyDescent="0.25">
      <c r="B16" s="19" t="s">
        <v>83</v>
      </c>
      <c r="C16" s="99">
        <v>2.0453097249142231E-2</v>
      </c>
      <c r="D16" s="99">
        <v>2.0453097249142231E-2</v>
      </c>
      <c r="E16" s="99">
        <v>2.0453097249142231E-2</v>
      </c>
      <c r="F16" s="99">
        <v>2.0453097249142231E-2</v>
      </c>
    </row>
    <row r="17" spans="1:8" ht="15.75" customHeight="1" x14ac:dyDescent="0.25">
      <c r="B17" s="19" t="s">
        <v>84</v>
      </c>
      <c r="C17" s="99">
        <v>1.78518465199384E-3</v>
      </c>
      <c r="D17" s="99">
        <v>1.78518465199384E-3</v>
      </c>
      <c r="E17" s="99">
        <v>1.78518465199384E-3</v>
      </c>
      <c r="F17" s="99">
        <v>1.78518465199384E-3</v>
      </c>
    </row>
    <row r="18" spans="1:8" ht="15.75" customHeight="1" x14ac:dyDescent="0.25">
      <c r="B18" s="19" t="s">
        <v>85</v>
      </c>
      <c r="C18" s="99">
        <v>0.35346795150880239</v>
      </c>
      <c r="D18" s="99">
        <v>0.35346795150880239</v>
      </c>
      <c r="E18" s="99">
        <v>0.35346795150880239</v>
      </c>
      <c r="F18" s="99">
        <v>0.35346795150880239</v>
      </c>
    </row>
    <row r="19" spans="1:8" ht="15.75" customHeight="1" x14ac:dyDescent="0.25">
      <c r="B19" s="19" t="s">
        <v>86</v>
      </c>
      <c r="C19" s="99">
        <v>8.3972450660439787E-3</v>
      </c>
      <c r="D19" s="99">
        <v>8.3972450660439787E-3</v>
      </c>
      <c r="E19" s="99">
        <v>8.3972450660439787E-3</v>
      </c>
      <c r="F19" s="99">
        <v>8.3972450660439787E-3</v>
      </c>
    </row>
    <row r="20" spans="1:8" ht="15.75" customHeight="1" x14ac:dyDescent="0.25">
      <c r="B20" s="19" t="s">
        <v>87</v>
      </c>
      <c r="C20" s="99">
        <v>5.2756167327518533E-2</v>
      </c>
      <c r="D20" s="99">
        <v>5.2756167327518533E-2</v>
      </c>
      <c r="E20" s="99">
        <v>5.2756167327518533E-2</v>
      </c>
      <c r="F20" s="99">
        <v>5.2756167327518533E-2</v>
      </c>
    </row>
    <row r="21" spans="1:8" ht="15.75" customHeight="1" x14ac:dyDescent="0.25">
      <c r="B21" s="19" t="s">
        <v>88</v>
      </c>
      <c r="C21" s="99">
        <v>6.5268173388815381E-2</v>
      </c>
      <c r="D21" s="99">
        <v>6.5268173388815381E-2</v>
      </c>
      <c r="E21" s="99">
        <v>6.5268173388815381E-2</v>
      </c>
      <c r="F21" s="99">
        <v>6.5268173388815381E-2</v>
      </c>
    </row>
    <row r="22" spans="1:8" ht="15.75" customHeight="1" x14ac:dyDescent="0.25">
      <c r="B22" s="19" t="s">
        <v>89</v>
      </c>
      <c r="C22" s="99">
        <v>0.13366402964733631</v>
      </c>
      <c r="D22" s="99">
        <v>0.13366402964733631</v>
      </c>
      <c r="E22" s="99">
        <v>0.13366402964733631</v>
      </c>
      <c r="F22" s="99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99">
        <v>8.4139049999999993E-3</v>
      </c>
    </row>
    <row r="28" spans="1:8" ht="15.75" customHeight="1" x14ac:dyDescent="0.25">
      <c r="B28" s="19" t="s">
        <v>93</v>
      </c>
      <c r="C28" s="99">
        <v>0.15592515700000001</v>
      </c>
    </row>
    <row r="29" spans="1:8" ht="15.75" customHeight="1" x14ac:dyDescent="0.25">
      <c r="B29" s="19" t="s">
        <v>94</v>
      </c>
      <c r="C29" s="99">
        <v>0.16923094399999999</v>
      </c>
    </row>
    <row r="30" spans="1:8" ht="15.75" customHeight="1" x14ac:dyDescent="0.25">
      <c r="B30" s="19" t="s">
        <v>95</v>
      </c>
      <c r="C30" s="99">
        <v>0.105940403</v>
      </c>
    </row>
    <row r="31" spans="1:8" ht="15.75" customHeight="1" x14ac:dyDescent="0.25">
      <c r="B31" s="19" t="s">
        <v>96</v>
      </c>
      <c r="C31" s="99">
        <v>0.11097119599999999</v>
      </c>
    </row>
    <row r="32" spans="1:8" ht="15.75" customHeight="1" x14ac:dyDescent="0.25">
      <c r="B32" s="19" t="s">
        <v>97</v>
      </c>
      <c r="C32" s="99">
        <v>1.8550027E-2</v>
      </c>
    </row>
    <row r="33" spans="2:3" ht="15.75" customHeight="1" x14ac:dyDescent="0.25">
      <c r="B33" s="19" t="s">
        <v>98</v>
      </c>
      <c r="C33" s="99">
        <v>8.4407093999999988E-2</v>
      </c>
    </row>
    <row r="34" spans="2:3" ht="15.75" customHeight="1" x14ac:dyDescent="0.25">
      <c r="B34" s="19" t="s">
        <v>99</v>
      </c>
      <c r="C34" s="99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475.79572784462198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0.40393000000000001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0.52807999999999999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1.55311085E-2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89083.913109999994</v>
      </c>
      <c r="C22" s="107">
        <v>87868.854290000003</v>
      </c>
      <c r="D22" s="107">
        <v>87166.786850000004</v>
      </c>
      <c r="E22" s="107">
        <v>86542.439870000002</v>
      </c>
      <c r="F22" s="107">
        <v>85678.934659999999</v>
      </c>
      <c r="G22" s="107">
        <v>84574.450549999994</v>
      </c>
      <c r="H22" s="107">
        <v>83148.448199999999</v>
      </c>
      <c r="I22" s="107">
        <v>81302.881840000002</v>
      </c>
      <c r="J22" s="107">
        <v>78843.271429999993</v>
      </c>
      <c r="K22" s="107">
        <v>75760.692999999999</v>
      </c>
      <c r="L22" s="107">
        <v>71528.901450000005</v>
      </c>
      <c r="M22" s="107">
        <v>66041.043470000004</v>
      </c>
      <c r="N22" s="107">
        <v>58497.340550000001</v>
      </c>
      <c r="O22" s="107">
        <v>49179.331469999997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20.202942681678611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20.202942681678611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5.053715455475948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0.77474411463664294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0.27672940000000001</v>
      </c>
      <c r="C10" s="96">
        <v>0.95</v>
      </c>
      <c r="D10" s="56">
        <v>15.022196845122521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15.022196845122521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15.022196845122521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15.022196845122521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0.27672940000000001</v>
      </c>
      <c r="C14" s="96">
        <v>0.95</v>
      </c>
      <c r="D14" s="56">
        <v>15.022196845122521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15.022196845122521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0.73015299999999994</v>
      </c>
      <c r="C16" s="96">
        <v>0.95</v>
      </c>
      <c r="D16" s="56">
        <v>6.2098720573183224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0.103311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0.49299999999999999</v>
      </c>
      <c r="C18" s="96">
        <v>0.95</v>
      </c>
      <c r="D18" s="56">
        <v>5.053715455475948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0.4961622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0.65555271238485169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5.053715455475948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0.65059860000000003</v>
      </c>
      <c r="C23" s="96">
        <v>0.95</v>
      </c>
      <c r="D23" s="56">
        <v>4.9145085291285842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0.73707815445430003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0.27672940000000001</v>
      </c>
      <c r="C26" s="96">
        <v>0.95</v>
      </c>
      <c r="D26" s="56">
        <v>24.315046059365404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6.1979529170931436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0.85267629999999994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0.25069370000000002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45.495358239508711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0.69</v>
      </c>
      <c r="C32" s="96">
        <v>0.95</v>
      </c>
      <c r="D32" s="56">
        <v>0.75090583418628465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0.17836582242680299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0.62068789999999996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6.3924000000000003E-3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0.20684730000000001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0.53400000000000003</v>
      </c>
      <c r="C38" s="96">
        <v>0.95</v>
      </c>
      <c r="D38" s="56">
        <v>3.5280655066530198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7.4375435005117723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0.88400000000000012</v>
      </c>
      <c r="C2" s="21">
        <f>'Baseline year population inputs'!C52</f>
        <v>0.88400000000000012</v>
      </c>
      <c r="D2" s="21">
        <f>'Baseline year population inputs'!C53</f>
        <v>2.3660000000000001</v>
      </c>
      <c r="E2" s="21">
        <f>'Baseline year population inputs'!C54</f>
        <v>2.6779999999999999</v>
      </c>
      <c r="F2" s="21">
        <f>'Baseline year population inputs'!C55</f>
        <v>1.6466666666666669</v>
      </c>
    </row>
    <row r="3" spans="1:6" ht="15.75" customHeight="1" x14ac:dyDescent="0.25">
      <c r="A3" s="3" t="s">
        <v>197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198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