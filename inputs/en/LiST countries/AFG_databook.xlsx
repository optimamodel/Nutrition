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EB273235-A6C5-4D68-9C13-8438E20AC9F1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H38" i="2"/>
  <c r="G38" i="2"/>
  <c r="I38" i="2" s="1"/>
  <c r="A31" i="2"/>
  <c r="A23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A16" i="2" l="1"/>
  <c r="A24" i="2"/>
  <c r="A32" i="2"/>
  <c r="A33" i="2"/>
  <c r="A3" i="2"/>
  <c r="A18" i="2"/>
  <c r="A26" i="2"/>
  <c r="A34" i="2"/>
  <c r="A39" i="2"/>
  <c r="A17" i="2"/>
  <c r="A25" i="2"/>
  <c r="A19" i="2"/>
  <c r="A27" i="2"/>
  <c r="A35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<sst xmlns="http://schemas.openxmlformats.org/spreadsheetml/2006/main" count="2101" uniqueCount="341">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</sst>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6883025.3125</v>
      </c>
    </row>
    <row r="8" spans="1:3" ht="15" customHeight="1" x14ac:dyDescent="0.25">
      <c r="B8" s="5" t="s">
        <v>8</v>
      </c>
      <c r="C8" s="44">
        <v>0.45</v>
      </c>
    </row>
    <row r="9" spans="1:3" ht="15" customHeight="1" x14ac:dyDescent="0.25">
      <c r="B9" s="5" t="s">
        <v>9</v>
      </c>
      <c r="C9" s="45">
        <v>3.2400000000000012E-2</v>
      </c>
    </row>
    <row r="10" spans="1:3" ht="15" customHeight="1" x14ac:dyDescent="0.25">
      <c r="B10" s="5" t="s">
        <v>10</v>
      </c>
      <c r="C10" s="45">
        <v>0.36149230957031298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0.57899999999999996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8.48E-2</v>
      </c>
    </row>
    <row r="24" spans="1:3" ht="15" customHeight="1" x14ac:dyDescent="0.25">
      <c r="B24" s="15" t="s">
        <v>22</v>
      </c>
      <c r="C24" s="45">
        <v>0.49769999999999998</v>
      </c>
    </row>
    <row r="25" spans="1:3" ht="15" customHeight="1" x14ac:dyDescent="0.25">
      <c r="B25" s="15" t="s">
        <v>23</v>
      </c>
      <c r="C25" s="45">
        <v>0.3468</v>
      </c>
    </row>
    <row r="26" spans="1:3" ht="15" customHeight="1" x14ac:dyDescent="0.25">
      <c r="B26" s="15" t="s">
        <v>24</v>
      </c>
      <c r="C26" s="45">
        <v>7.0699999999999999E-2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0.19234081473040299</v>
      </c>
    </row>
    <row r="30" spans="1:3" ht="14.25" customHeight="1" x14ac:dyDescent="0.25">
      <c r="B30" s="25" t="s">
        <v>27</v>
      </c>
      <c r="C30" s="99">
        <v>9.4472202810495898E-2</v>
      </c>
    </row>
    <row r="31" spans="1:3" ht="14.25" customHeight="1" x14ac:dyDescent="0.25">
      <c r="B31" s="25" t="s">
        <v>28</v>
      </c>
      <c r="C31" s="99">
        <v>0.16743043577463701</v>
      </c>
    </row>
    <row r="32" spans="1:3" ht="14.25" customHeight="1" x14ac:dyDescent="0.25">
      <c r="B32" s="25" t="s">
        <v>29</v>
      </c>
      <c r="C32" s="99">
        <v>0.54575654668446394</v>
      </c>
    </row>
    <row r="33" spans="1:5" ht="13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34.087879999999998</v>
      </c>
    </row>
    <row r="38" spans="1:5" ht="15" customHeight="1" x14ac:dyDescent="0.25">
      <c r="B38" s="11" t="s">
        <v>34</v>
      </c>
      <c r="C38" s="43">
        <v>43.391629999999999</v>
      </c>
      <c r="D38" s="12"/>
      <c r="E38" s="13"/>
    </row>
    <row r="39" spans="1:5" ht="15" customHeight="1" x14ac:dyDescent="0.25">
      <c r="B39" s="11" t="s">
        <v>35</v>
      </c>
      <c r="C39" s="43">
        <v>55.65748</v>
      </c>
      <c r="D39" s="12"/>
      <c r="E39" s="12"/>
    </row>
    <row r="40" spans="1:5" ht="15" customHeight="1" x14ac:dyDescent="0.25">
      <c r="B40" s="11" t="s">
        <v>36</v>
      </c>
      <c r="C40" s="100">
        <v>6.2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25.68103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1.77188E-2</v>
      </c>
      <c r="D45" s="12"/>
    </row>
    <row r="46" spans="1:5" ht="15.75" customHeight="1" x14ac:dyDescent="0.25">
      <c r="B46" s="11" t="s">
        <v>41</v>
      </c>
      <c r="C46" s="45">
        <v>0.1052503</v>
      </c>
      <c r="D46" s="12"/>
    </row>
    <row r="47" spans="1:5" ht="15.75" customHeight="1" x14ac:dyDescent="0.25">
      <c r="B47" s="11" t="s">
        <v>42</v>
      </c>
      <c r="C47" s="45">
        <v>0.40861540000000002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0.48581400000000002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1468735</v>
      </c>
      <c r="C2" s="49">
        <v>2905774.5</v>
      </c>
      <c r="D2" s="49">
        <v>3950747</v>
      </c>
      <c r="E2" s="49">
        <v>2532678.5</v>
      </c>
      <c r="F2" s="49">
        <v>1394378</v>
      </c>
      <c r="G2" s="17">
        <f t="shared" ref="G2:G13" si="0">C2+D2+E2+F2</f>
        <v>10783578</v>
      </c>
      <c r="H2" s="17">
        <f t="shared" ref="H2:H13" si="1">(B2 + stillbirth*B2/(1000-stillbirth))/(1-abortion)</f>
        <v>1713008.877836532</v>
      </c>
      <c r="I2" s="17">
        <f t="shared" ref="I2:I13" si="2">G2-H2</f>
        <v>9070569.1221634671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1477664</v>
      </c>
      <c r="C3" s="50">
        <v>2949385</v>
      </c>
      <c r="D3" s="50">
        <v>4058596.5</v>
      </c>
      <c r="E3" s="50">
        <v>2659627</v>
      </c>
      <c r="F3" s="50">
        <v>1437093.5</v>
      </c>
      <c r="G3" s="17">
        <f t="shared" si="0"/>
        <v>11104702</v>
      </c>
      <c r="H3" s="17">
        <f t="shared" si="1"/>
        <v>1723422.9118659531</v>
      </c>
      <c r="I3" s="17">
        <f t="shared" si="2"/>
        <v>9381279.0881340466</v>
      </c>
    </row>
    <row r="4" spans="1:9" ht="15.75" customHeight="1" x14ac:dyDescent="0.25">
      <c r="A4" s="5">
        <f t="shared" si="3"/>
        <v>2026</v>
      </c>
      <c r="B4" s="49">
        <v>1493786</v>
      </c>
      <c r="C4" s="50">
        <v>2998178.5</v>
      </c>
      <c r="D4" s="50">
        <v>4165697.5</v>
      </c>
      <c r="E4" s="50">
        <v>2788340.5</v>
      </c>
      <c r="F4" s="50">
        <v>1483886.5</v>
      </c>
      <c r="G4" s="17">
        <f t="shared" si="0"/>
        <v>11436103</v>
      </c>
      <c r="H4" s="17">
        <f t="shared" si="1"/>
        <v>1742226.2556471531</v>
      </c>
      <c r="I4" s="17">
        <f t="shared" si="2"/>
        <v>9693876.7443528473</v>
      </c>
    </row>
    <row r="5" spans="1:9" ht="15.75" customHeight="1" x14ac:dyDescent="0.25">
      <c r="A5" s="5">
        <f t="shared" si="3"/>
        <v>2027</v>
      </c>
      <c r="B5" s="49">
        <v>1499799</v>
      </c>
      <c r="C5" s="50">
        <v>3054535.5</v>
      </c>
      <c r="D5" s="50">
        <v>4274463.5</v>
      </c>
      <c r="E5" s="50">
        <v>2917505</v>
      </c>
      <c r="F5" s="50">
        <v>1536477</v>
      </c>
      <c r="G5" s="17">
        <f t="shared" si="0"/>
        <v>11782981</v>
      </c>
      <c r="H5" s="17">
        <f t="shared" si="1"/>
        <v>1749239.3127217318</v>
      </c>
      <c r="I5" s="17">
        <f t="shared" si="2"/>
        <v>10033741.687278269</v>
      </c>
    </row>
    <row r="6" spans="1:9" ht="15.75" customHeight="1" x14ac:dyDescent="0.25">
      <c r="A6" s="5">
        <f t="shared" si="3"/>
        <v>2028</v>
      </c>
      <c r="B6" s="49">
        <v>1505765</v>
      </c>
      <c r="C6" s="50">
        <v>3129570</v>
      </c>
      <c r="D6" s="50">
        <v>4368145</v>
      </c>
      <c r="E6" s="50">
        <v>3046277.5</v>
      </c>
      <c r="F6" s="50">
        <v>1595305.5</v>
      </c>
      <c r="G6" s="17">
        <f t="shared" si="0"/>
        <v>12139298</v>
      </c>
      <c r="H6" s="17">
        <f t="shared" si="1"/>
        <v>1756197.5529523878</v>
      </c>
      <c r="I6" s="17">
        <f t="shared" si="2"/>
        <v>10383100.447047612</v>
      </c>
    </row>
    <row r="7" spans="1:9" ht="15.75" customHeight="1" x14ac:dyDescent="0.25">
      <c r="A7" s="5">
        <f t="shared" si="3"/>
        <v>2029</v>
      </c>
      <c r="B7" s="49">
        <v>1512936</v>
      </c>
      <c r="C7" s="50">
        <v>3221360</v>
      </c>
      <c r="D7" s="50">
        <v>4449861</v>
      </c>
      <c r="E7" s="50">
        <v>3174490.5</v>
      </c>
      <c r="F7" s="50">
        <v>1660583.5</v>
      </c>
      <c r="G7" s="17">
        <f t="shared" si="0"/>
        <v>12506295</v>
      </c>
      <c r="H7" s="17">
        <f t="shared" si="1"/>
        <v>1764561.2037559471</v>
      </c>
      <c r="I7" s="17">
        <f t="shared" si="2"/>
        <v>10741733.796244053</v>
      </c>
    </row>
    <row r="8" spans="1:9" ht="15.75" customHeight="1" x14ac:dyDescent="0.25">
      <c r="A8" s="5">
        <f t="shared" si="3"/>
        <v>2030</v>
      </c>
      <c r="B8" s="49">
        <v>1521758</v>
      </c>
      <c r="C8" s="50">
        <v>3310382.5</v>
      </c>
      <c r="D8" s="50">
        <v>4534810.5</v>
      </c>
      <c r="E8" s="50">
        <v>3301572</v>
      </c>
      <c r="F8" s="50">
        <v>1732985</v>
      </c>
      <c r="G8" s="17">
        <f t="shared" si="0"/>
        <v>12879750</v>
      </c>
      <c r="H8" s="17">
        <f t="shared" si="1"/>
        <v>1774850.4419917583</v>
      </c>
      <c r="I8" s="17">
        <f t="shared" si="2"/>
        <v>11104899.558008242</v>
      </c>
    </row>
    <row r="9" spans="1:9" ht="15.75" customHeight="1" x14ac:dyDescent="0.25">
      <c r="A9" s="5">
        <f t="shared" si="3"/>
        <v>2031</v>
      </c>
      <c r="B9" s="49">
        <v>1523392</v>
      </c>
      <c r="C9" s="50">
        <v>3396745</v>
      </c>
      <c r="D9" s="50">
        <v>4618710.5</v>
      </c>
      <c r="E9" s="50">
        <v>3426603</v>
      </c>
      <c r="F9" s="50">
        <v>1813334.5</v>
      </c>
      <c r="G9" s="17">
        <f t="shared" si="0"/>
        <v>13255393</v>
      </c>
      <c r="H9" s="17">
        <f t="shared" si="1"/>
        <v>1776756.2020549315</v>
      </c>
      <c r="I9" s="17">
        <f t="shared" si="2"/>
        <v>11478636.797945069</v>
      </c>
    </row>
    <row r="10" spans="1:9" ht="15.75" customHeight="1" x14ac:dyDescent="0.25">
      <c r="A10" s="5">
        <f t="shared" si="3"/>
        <v>2032</v>
      </c>
      <c r="B10" s="49">
        <v>1534556</v>
      </c>
      <c r="C10" s="50">
        <v>3477338</v>
      </c>
      <c r="D10" s="50">
        <v>4708517.5</v>
      </c>
      <c r="E10" s="50">
        <v>3548918.5</v>
      </c>
      <c r="F10" s="50">
        <v>1902426.5</v>
      </c>
      <c r="G10" s="17">
        <f t="shared" si="0"/>
        <v>13637200.5</v>
      </c>
      <c r="H10" s="17">
        <f t="shared" si="1"/>
        <v>1789776.9519602356</v>
      </c>
      <c r="I10" s="17">
        <f t="shared" si="2"/>
        <v>11847423.548039764</v>
      </c>
    </row>
    <row r="11" spans="1:9" ht="15.75" customHeight="1" x14ac:dyDescent="0.25">
      <c r="A11" s="5">
        <f t="shared" si="3"/>
        <v>2033</v>
      </c>
      <c r="B11" s="49">
        <v>1534932</v>
      </c>
      <c r="C11" s="50">
        <v>3549482.5</v>
      </c>
      <c r="D11" s="50">
        <v>4808255</v>
      </c>
      <c r="E11" s="50">
        <v>3667562.5</v>
      </c>
      <c r="F11" s="50">
        <v>2000292</v>
      </c>
      <c r="G11" s="17">
        <f t="shared" si="0"/>
        <v>14025592</v>
      </c>
      <c r="H11" s="17">
        <f t="shared" si="1"/>
        <v>1790215.4867116148</v>
      </c>
      <c r="I11" s="17">
        <f t="shared" si="2"/>
        <v>12235376.513288386</v>
      </c>
    </row>
    <row r="12" spans="1:9" ht="15.75" customHeight="1" x14ac:dyDescent="0.25">
      <c r="A12" s="5">
        <f t="shared" si="3"/>
        <v>2034</v>
      </c>
      <c r="B12" s="49">
        <v>1540730</v>
      </c>
      <c r="C12" s="50">
        <v>3619308</v>
      </c>
      <c r="D12" s="50">
        <v>4912971.5</v>
      </c>
      <c r="E12" s="50">
        <v>3781202.5</v>
      </c>
      <c r="F12" s="50">
        <v>2105961.5</v>
      </c>
      <c r="G12" s="17">
        <f t="shared" si="0"/>
        <v>14419443.5</v>
      </c>
      <c r="H12" s="17">
        <f t="shared" si="1"/>
        <v>1796977.785883144</v>
      </c>
      <c r="I12" s="17">
        <f t="shared" si="2"/>
        <v>12622465.714116856</v>
      </c>
    </row>
    <row r="13" spans="1:9" ht="15.75" customHeight="1" x14ac:dyDescent="0.25">
      <c r="A13" s="5">
        <f t="shared" si="3"/>
        <v>2035</v>
      </c>
      <c r="B13" s="49">
        <v>1544169</v>
      </c>
      <c r="C13" s="50">
        <v>3688461</v>
      </c>
      <c r="D13" s="50">
        <v>5025354.5</v>
      </c>
      <c r="E13" s="50">
        <v>3889516</v>
      </c>
      <c r="F13" s="50">
        <v>2217473.5</v>
      </c>
      <c r="G13" s="17">
        <f t="shared" si="0"/>
        <v>14820805</v>
      </c>
      <c r="H13" s="17">
        <f t="shared" si="1"/>
        <v>1800988.7460161019</v>
      </c>
      <c r="I13" s="17">
        <f t="shared" si="2"/>
        <v>13019816.253983898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1.9534098046590211E-2</v>
      </c>
    </row>
    <row r="4" spans="1:8" ht="15.75" customHeight="1" x14ac:dyDescent="0.25">
      <c r="B4" s="19" t="s">
        <v>69</v>
      </c>
      <c r="C4" s="101">
        <v>6.1386493861350512E-2</v>
      </c>
    </row>
    <row r="5" spans="1:8" ht="15.75" customHeight="1" x14ac:dyDescent="0.25">
      <c r="B5" s="19" t="s">
        <v>70</v>
      </c>
      <c r="C5" s="101">
        <v>8.0232691976730747E-2</v>
      </c>
    </row>
    <row r="6" spans="1:8" ht="15.75" customHeight="1" x14ac:dyDescent="0.25">
      <c r="B6" s="19" t="s">
        <v>71</v>
      </c>
      <c r="C6" s="101">
        <v>0.1940574805942524</v>
      </c>
    </row>
    <row r="7" spans="1:8" ht="15.75" customHeight="1" x14ac:dyDescent="0.25">
      <c r="B7" s="19" t="s">
        <v>72</v>
      </c>
      <c r="C7" s="101">
        <v>0.38271406172859451</v>
      </c>
    </row>
    <row r="8" spans="1:8" ht="15.75" customHeight="1" x14ac:dyDescent="0.25">
      <c r="B8" s="19" t="s">
        <v>73</v>
      </c>
      <c r="C8" s="101">
        <v>5.6656994334300581E-3</v>
      </c>
    </row>
    <row r="9" spans="1:8" ht="15.75" customHeight="1" x14ac:dyDescent="0.25">
      <c r="B9" s="19" t="s">
        <v>74</v>
      </c>
      <c r="C9" s="101">
        <v>5.6122894387710467E-2</v>
      </c>
    </row>
    <row r="10" spans="1:8" ht="15.75" customHeight="1" x14ac:dyDescent="0.25">
      <c r="B10" s="19" t="s">
        <v>75</v>
      </c>
      <c r="C10" s="101">
        <v>0.20028657997134119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0.14813738001346069</v>
      </c>
      <c r="D14" s="55">
        <v>0.14813738001346069</v>
      </c>
      <c r="E14" s="55">
        <v>0.14813738001346069</v>
      </c>
      <c r="F14" s="55">
        <v>0.14813738001346069</v>
      </c>
    </row>
    <row r="15" spans="1:8" ht="15.75" customHeight="1" x14ac:dyDescent="0.25">
      <c r="B15" s="19" t="s">
        <v>82</v>
      </c>
      <c r="C15" s="101">
        <v>0.34578053216219262</v>
      </c>
      <c r="D15" s="101">
        <v>0.34578053216219262</v>
      </c>
      <c r="E15" s="101">
        <v>0.34578053216219262</v>
      </c>
      <c r="F15" s="101">
        <v>0.34578053216219262</v>
      </c>
    </row>
    <row r="16" spans="1:8" ht="15.75" customHeight="1" x14ac:dyDescent="0.25">
      <c r="B16" s="19" t="s">
        <v>83</v>
      </c>
      <c r="C16" s="101">
        <v>3.4655738467156229E-2</v>
      </c>
      <c r="D16" s="101">
        <v>3.4655738467156229E-2</v>
      </c>
      <c r="E16" s="101">
        <v>3.4655738467156229E-2</v>
      </c>
      <c r="F16" s="101">
        <v>3.4655738467156229E-2</v>
      </c>
    </row>
    <row r="17" spans="1:8" ht="15.75" customHeight="1" x14ac:dyDescent="0.25">
      <c r="B17" s="19" t="s">
        <v>84</v>
      </c>
      <c r="C17" s="101">
        <v>1.1276825226316831E-2</v>
      </c>
      <c r="D17" s="101">
        <v>1.1276825226316831E-2</v>
      </c>
      <c r="E17" s="101">
        <v>1.1276825226316831E-2</v>
      </c>
      <c r="F17" s="101">
        <v>1.1276825226316831E-2</v>
      </c>
    </row>
    <row r="18" spans="1:8" ht="15.75" customHeight="1" x14ac:dyDescent="0.25">
      <c r="B18" s="19" t="s">
        <v>85</v>
      </c>
      <c r="C18" s="101">
        <v>1.698333737350857E-3</v>
      </c>
      <c r="D18" s="101">
        <v>1.698333737350857E-3</v>
      </c>
      <c r="E18" s="101">
        <v>1.698333737350857E-3</v>
      </c>
      <c r="F18" s="101">
        <v>1.698333737350857E-3</v>
      </c>
    </row>
    <row r="19" spans="1:8" ht="15.75" customHeight="1" x14ac:dyDescent="0.25">
      <c r="B19" s="19" t="s">
        <v>86</v>
      </c>
      <c r="C19" s="101">
        <v>2.5823030204128981E-2</v>
      </c>
      <c r="D19" s="101">
        <v>2.5823030204128981E-2</v>
      </c>
      <c r="E19" s="101">
        <v>2.5823030204128981E-2</v>
      </c>
      <c r="F19" s="101">
        <v>2.5823030204128981E-2</v>
      </c>
    </row>
    <row r="20" spans="1:8" ht="15.75" customHeight="1" x14ac:dyDescent="0.25">
      <c r="B20" s="19" t="s">
        <v>87</v>
      </c>
      <c r="C20" s="101">
        <v>3.3022044559235918E-3</v>
      </c>
      <c r="D20" s="101">
        <v>3.3022044559235918E-3</v>
      </c>
      <c r="E20" s="101">
        <v>3.3022044559235918E-3</v>
      </c>
      <c r="F20" s="101">
        <v>3.3022044559235918E-3</v>
      </c>
    </row>
    <row r="21" spans="1:8" ht="15.75" customHeight="1" x14ac:dyDescent="0.25">
      <c r="B21" s="19" t="s">
        <v>88</v>
      </c>
      <c r="C21" s="101">
        <v>0.2312457864158497</v>
      </c>
      <c r="D21" s="101">
        <v>0.2312457864158497</v>
      </c>
      <c r="E21" s="101">
        <v>0.2312457864158497</v>
      </c>
      <c r="F21" s="101">
        <v>0.2312457864158497</v>
      </c>
    </row>
    <row r="22" spans="1:8" ht="15.75" customHeight="1" x14ac:dyDescent="0.25">
      <c r="B22" s="19" t="s">
        <v>89</v>
      </c>
      <c r="C22" s="101">
        <v>0.1980801693176206</v>
      </c>
      <c r="D22" s="101">
        <v>0.1980801693176206</v>
      </c>
      <c r="E22" s="101">
        <v>0.1980801693176206</v>
      </c>
      <c r="F22" s="101">
        <v>0.1980801693176206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5.6316962999999998E-2</v>
      </c>
    </row>
    <row r="27" spans="1:8" ht="15.75" customHeight="1" x14ac:dyDescent="0.25">
      <c r="B27" s="19" t="s">
        <v>92</v>
      </c>
      <c r="C27" s="101">
        <v>9.746111E-3</v>
      </c>
    </row>
    <row r="28" spans="1:8" ht="15.75" customHeight="1" x14ac:dyDescent="0.25">
      <c r="B28" s="19" t="s">
        <v>93</v>
      </c>
      <c r="C28" s="101">
        <v>0.40384162200000001</v>
      </c>
    </row>
    <row r="29" spans="1:8" ht="15.75" customHeight="1" x14ac:dyDescent="0.25">
      <c r="B29" s="19" t="s">
        <v>94</v>
      </c>
      <c r="C29" s="101">
        <v>0.15108449600000001</v>
      </c>
    </row>
    <row r="30" spans="1:8" ht="15.75" customHeight="1" x14ac:dyDescent="0.25">
      <c r="B30" s="19" t="s">
        <v>95</v>
      </c>
      <c r="C30" s="101">
        <v>5.3471453999999988E-2</v>
      </c>
    </row>
    <row r="31" spans="1:8" ht="15.75" customHeight="1" x14ac:dyDescent="0.25">
      <c r="B31" s="19" t="s">
        <v>96</v>
      </c>
      <c r="C31" s="101">
        <v>2.1151507E-2</v>
      </c>
    </row>
    <row r="32" spans="1:8" ht="15.75" customHeight="1" x14ac:dyDescent="0.25">
      <c r="B32" s="19" t="s">
        <v>97</v>
      </c>
      <c r="C32" s="101">
        <v>7.030825000000001E-3</v>
      </c>
    </row>
    <row r="33" spans="2:3" ht="15.75" customHeight="1" x14ac:dyDescent="0.25">
      <c r="B33" s="19" t="s">
        <v>98</v>
      </c>
      <c r="C33" s="101">
        <v>0.17616351399999999</v>
      </c>
    </row>
    <row r="34" spans="2:3" ht="15.75" customHeight="1" x14ac:dyDescent="0.25">
      <c r="B34" s="19" t="s">
        <v>99</v>
      </c>
      <c r="C34" s="101">
        <v>0.12119350800000001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0.53504786775000002</v>
      </c>
      <c r="D14" s="54">
        <v>0.55257860089599997</v>
      </c>
      <c r="E14" s="54">
        <v>0.55257860089599997</v>
      </c>
      <c r="F14" s="54">
        <v>0.36355796776299998</v>
      </c>
      <c r="G14" s="54">
        <v>0.36355796776299998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0.2599337448230985</v>
      </c>
      <c r="D15" s="52">
        <f t="shared" si="0"/>
        <v>0.26845042041568934</v>
      </c>
      <c r="E15" s="52">
        <f t="shared" si="0"/>
        <v>0.26845042041568934</v>
      </c>
      <c r="F15" s="52">
        <f t="shared" si="0"/>
        <v>0.17662155055081408</v>
      </c>
      <c r="G15" s="52">
        <f t="shared" si="0"/>
        <v>0.17662155055081408</v>
      </c>
      <c r="H15" s="52">
        <f t="shared" si="0"/>
        <v>0.18558094800000002</v>
      </c>
      <c r="I15" s="52">
        <f t="shared" si="0"/>
        <v>0.18558094800000002</v>
      </c>
      <c r="J15" s="52">
        <f t="shared" si="0"/>
        <v>0.18558094800000002</v>
      </c>
      <c r="K15" s="52">
        <f t="shared" si="0"/>
        <v>0.18558094800000002</v>
      </c>
      <c r="L15" s="52">
        <f t="shared" si="0"/>
        <v>0.20598513600000001</v>
      </c>
      <c r="M15" s="52">
        <f t="shared" si="0"/>
        <v>0.20598513600000001</v>
      </c>
      <c r="N15" s="52">
        <f t="shared" si="0"/>
        <v>0.20598513600000001</v>
      </c>
      <c r="O15" s="52">
        <f t="shared" si="0"/>
        <v>0.20598513600000001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0.5678782</v>
      </c>
      <c r="D2" s="53">
        <v>0.41937809999999998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6.9442400000000001E-2</v>
      </c>
      <c r="D3" s="53">
        <v>0.1167952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0.34549809999999997</v>
      </c>
      <c r="D4" s="53">
        <v>0.42585460000000003</v>
      </c>
      <c r="E4" s="53">
        <v>0.90376299999999998</v>
      </c>
      <c r="F4" s="53">
        <v>0.73807869999999998</v>
      </c>
      <c r="G4" s="53">
        <v>0</v>
      </c>
    </row>
    <row r="5" spans="1:7" x14ac:dyDescent="0.25">
      <c r="B5" s="3" t="s">
        <v>122</v>
      </c>
      <c r="C5" s="52">
        <v>1.71813E-2</v>
      </c>
      <c r="D5" s="52">
        <v>3.7972100000000002E-2</v>
      </c>
      <c r="E5" s="52">
        <f>1-SUM(E2:E4)</f>
        <v>9.6237000000000017E-2</v>
      </c>
      <c r="F5" s="52">
        <f>1-SUM(F2:F4)</f>
        <v>0.26192130000000002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52.760864598354758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5.9288079349019522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0.19409811402666791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0.10284547803181469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0.2228318690689319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6.7892599999999997E-2</v>
      </c>
      <c r="C10" s="98">
        <v>0.95</v>
      </c>
      <c r="D10" s="56">
        <v>17.330280382167182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17.330280382167182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17.330280382167182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17.330280382167182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6.7892599999999997E-2</v>
      </c>
      <c r="C14" s="98">
        <v>0.95</v>
      </c>
      <c r="D14" s="56">
        <v>17.330280382167182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17.330280382167182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3.8198900000000001E-2</v>
      </c>
      <c r="C16" s="98">
        <v>0.95</v>
      </c>
      <c r="D16" s="56">
        <v>0.25634399313294071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6.5675947999999998E-2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0.27200000000000002</v>
      </c>
      <c r="C18" s="98">
        <v>0.95</v>
      </c>
      <c r="D18" s="56">
        <v>5.9288079349019522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0.41937809999999998</v>
      </c>
      <c r="C19" s="98">
        <v>0.95</v>
      </c>
      <c r="D19" s="56">
        <v>5.9288079349019522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10.726757057587051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29.517384791071638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0.2491554</v>
      </c>
      <c r="C23" s="98">
        <v>0.95</v>
      </c>
      <c r="D23" s="56">
        <v>5.6396812437985204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0.34541283892014002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6.7892599999999997E-2</v>
      </c>
      <c r="C26" s="98">
        <v>0.95</v>
      </c>
      <c r="D26" s="56">
        <v>8.7121114042606536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21.404647062622459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0.46226600000000001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0.220586</v>
      </c>
      <c r="C29" s="98">
        <v>0.95</v>
      </c>
      <c r="D29" s="56">
        <v>26.81689264396762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9.2499999999999999E-2</v>
      </c>
      <c r="C31" s="98">
        <v>0.95</v>
      </c>
      <c r="D31" s="56">
        <v>89.744632316535117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0.57999999999999996</v>
      </c>
      <c r="C32" s="98">
        <v>0.95</v>
      </c>
      <c r="D32" s="56">
        <v>0.76173121219297035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0.48214689999999999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0.30872719999999998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8.1247000000000003E-3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0.23417370000000001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7.0999999999999994E-2</v>
      </c>
      <c r="C38" s="98">
        <v>0.95</v>
      </c>
      <c r="D38" s="56">
        <v>12.263872516306821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0.45</v>
      </c>
      <c r="E2" s="60">
        <f>food_insecure</f>
        <v>0.45</v>
      </c>
      <c r="F2" s="60">
        <f>food_insecure</f>
        <v>0.45</v>
      </c>
      <c r="G2" s="60">
        <f>food_insecure</f>
        <v>0.45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0.45</v>
      </c>
      <c r="F5" s="60">
        <f>food_insecure</f>
        <v>0.45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0.45</v>
      </c>
      <c r="F8" s="60">
        <f>food_insecure</f>
        <v>0.45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0.45</v>
      </c>
      <c r="F9" s="60">
        <f>food_insecure</f>
        <v>0.45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</v>
      </c>
      <c r="I15" s="60">
        <f>food_insecure</f>
        <v>0.45</v>
      </c>
      <c r="J15" s="60">
        <f>food_insecure</f>
        <v>0.45</v>
      </c>
      <c r="K15" s="60">
        <f>food_insecure</f>
        <v>0.45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3.2400000000000012E-2</v>
      </c>
      <c r="I19" s="60">
        <f>frac_malaria_risk</f>
        <v>3.2400000000000012E-2</v>
      </c>
      <c r="J19" s="60">
        <f>frac_malaria_risk</f>
        <v>3.2400000000000012E-2</v>
      </c>
      <c r="K19" s="60">
        <f>frac_malaria_risk</f>
        <v>3.2400000000000012E-2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0.57899999999999996</v>
      </c>
      <c r="M24" s="60">
        <f>famplan_unmet_need</f>
        <v>0.57899999999999996</v>
      </c>
      <c r="N24" s="60">
        <f>famplan_unmet_need</f>
        <v>0.57899999999999996</v>
      </c>
      <c r="O24" s="60">
        <f>famplan_unmet_need</f>
        <v>0.57899999999999996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0.37320774505615206</v>
      </c>
      <c r="M25" s="60">
        <f>(1-food_insecure)*(0.49)+food_insecure*(0.7)</f>
        <v>0.58450000000000002</v>
      </c>
      <c r="N25" s="60">
        <f>(1-food_insecure)*(0.49)+food_insecure*(0.7)</f>
        <v>0.58450000000000002</v>
      </c>
      <c r="O25" s="60">
        <f>(1-food_insecure)*(0.49)+food_insecure*(0.7)</f>
        <v>0.58450000000000002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0.15994617645263659</v>
      </c>
      <c r="M26" s="60">
        <f>(1-food_insecure)*(0.21)+food_insecure*(0.3)</f>
        <v>0.2505</v>
      </c>
      <c r="N26" s="60">
        <f>(1-food_insecure)*(0.21)+food_insecure*(0.3)</f>
        <v>0.2505</v>
      </c>
      <c r="O26" s="60">
        <f>(1-food_insecure)*(0.21)+food_insecure*(0.3)</f>
        <v>0.2505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0.10535376892089836</v>
      </c>
      <c r="M27" s="60">
        <f>(1-food_insecure)*(0.3)</f>
        <v>0.16500000000000001</v>
      </c>
      <c r="N27" s="60">
        <f>(1-food_insecure)*(0.3)</f>
        <v>0.16500000000000001</v>
      </c>
      <c r="O27" s="60">
        <f>(1-food_insecure)*(0.3)</f>
        <v>0.16500000000000001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0.36149230957031298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3.2400000000000012E-2</v>
      </c>
      <c r="D34" s="60">
        <f t="shared" si="3"/>
        <v>3.2400000000000012E-2</v>
      </c>
      <c r="E34" s="60">
        <f t="shared" si="3"/>
        <v>3.2400000000000012E-2</v>
      </c>
      <c r="F34" s="60">
        <f t="shared" si="3"/>
        <v>3.2400000000000012E-2</v>
      </c>
      <c r="G34" s="60">
        <f t="shared" si="3"/>
        <v>3.2400000000000012E-2</v>
      </c>
      <c r="H34" s="60">
        <f t="shared" si="3"/>
        <v>3.2400000000000012E-2</v>
      </c>
      <c r="I34" s="60">
        <f t="shared" si="3"/>
        <v>3.2400000000000012E-2</v>
      </c>
      <c r="J34" s="60">
        <f t="shared" si="3"/>
        <v>3.2400000000000012E-2</v>
      </c>
      <c r="K34" s="60">
        <f t="shared" si="3"/>
        <v>3.2400000000000012E-2</v>
      </c>
      <c r="L34" s="60">
        <f t="shared" si="3"/>
        <v>3.2400000000000012E-2</v>
      </c>
      <c r="M34" s="60">
        <f t="shared" si="3"/>
        <v>3.2400000000000012E-2</v>
      </c>
      <c r="N34" s="60">
        <f t="shared" si="3"/>
        <v>3.2400000000000012E-2</v>
      </c>
      <c r="O34" s="60">
        <f t="shared" si="3"/>
        <v>3.2400000000000012E-2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2024-08-06T06:30:55Z</dcterms:modified>
</cp:coreProperties>
</file>