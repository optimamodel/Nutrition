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2E3AB5E-EFD6-4FE2-8C25-3BCEDB86E2B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34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I4" i="2"/>
  <c r="A19" i="2"/>
  <c r="A22" i="2"/>
  <c r="I39" i="2"/>
  <c r="I2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<sst xmlns="http://schemas.openxmlformats.org/spreadsheetml/2006/main" count="2169" uniqueCount="373">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</sst>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6897832.5</v>
      </c>
    </row>
    <row r="8" spans="1:3" ht="15" customHeight="1" x14ac:dyDescent="0.25">
      <c r="B8" s="5" t="s">
        <v>8</v>
      </c>
      <c r="C8" s="44">
        <v>0.54500000000000004</v>
      </c>
    </row>
    <row r="9" spans="1:3" ht="15" customHeight="1" x14ac:dyDescent="0.25">
      <c r="B9" s="5" t="s">
        <v>9</v>
      </c>
      <c r="C9" s="45">
        <v>3.2400000000000012E-2</v>
      </c>
    </row>
    <row r="10" spans="1:3" ht="15" customHeight="1" x14ac:dyDescent="0.25">
      <c r="B10" s="5" t="s">
        <v>10</v>
      </c>
      <c r="C10" s="45">
        <v>0.36695270000000002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8.48E-2</v>
      </c>
    </row>
    <row r="24" spans="1:3" ht="15" customHeight="1" x14ac:dyDescent="0.25">
      <c r="B24" s="15" t="s">
        <v>22</v>
      </c>
      <c r="C24" s="45">
        <v>0.49769999999999998</v>
      </c>
    </row>
    <row r="25" spans="1:3" ht="15" customHeight="1" x14ac:dyDescent="0.25">
      <c r="B25" s="15" t="s">
        <v>23</v>
      </c>
      <c r="C25" s="45">
        <v>0.3468</v>
      </c>
    </row>
    <row r="26" spans="1:3" ht="15" customHeight="1" x14ac:dyDescent="0.25">
      <c r="B26" s="15" t="s">
        <v>24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0.19234081473040299</v>
      </c>
    </row>
    <row r="30" spans="1:3" ht="14.25" customHeight="1" x14ac:dyDescent="0.25">
      <c r="B30" s="25" t="s">
        <v>27</v>
      </c>
      <c r="C30" s="97">
        <v>9.4472202810495898E-2</v>
      </c>
    </row>
    <row r="31" spans="1:3" ht="14.25" customHeight="1" x14ac:dyDescent="0.25">
      <c r="B31" s="25" t="s">
        <v>28</v>
      </c>
      <c r="C31" s="97">
        <v>0.16743043577463701</v>
      </c>
    </row>
    <row r="32" spans="1:3" ht="14.25" customHeight="1" x14ac:dyDescent="0.25">
      <c r="B32" s="25" t="s">
        <v>29</v>
      </c>
      <c r="C32" s="97">
        <v>0.54575654668446394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34.087879999999998</v>
      </c>
    </row>
    <row r="38" spans="1:5" ht="15" customHeight="1" x14ac:dyDescent="0.25">
      <c r="B38" s="11" t="s">
        <v>34</v>
      </c>
      <c r="C38" s="43">
        <v>43.391629999999999</v>
      </c>
      <c r="D38" s="12"/>
      <c r="E38" s="13"/>
    </row>
    <row r="39" spans="1:5" ht="15" customHeight="1" x14ac:dyDescent="0.25">
      <c r="B39" s="11" t="s">
        <v>35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98">
        <v>6.2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1.77188E-2</v>
      </c>
      <c r="D45" s="12"/>
    </row>
    <row r="46" spans="1:5" ht="15.75" customHeight="1" x14ac:dyDescent="0.25">
      <c r="B46" s="11" t="s">
        <v>41</v>
      </c>
      <c r="C46" s="45">
        <v>0.1052503</v>
      </c>
      <c r="D46" s="12"/>
    </row>
    <row r="47" spans="1:5" ht="15.75" customHeight="1" x14ac:dyDescent="0.25">
      <c r="B47" s="11" t="s">
        <v>42</v>
      </c>
      <c r="C47" s="45">
        <v>0.40861540000000002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5.4080000000000004</v>
      </c>
      <c r="D51" s="12"/>
    </row>
    <row r="52" spans="1:4" ht="15" customHeight="1" x14ac:dyDescent="0.25">
      <c r="B52" s="11" t="s">
        <v>46</v>
      </c>
      <c r="C52" s="98">
        <v>5.4080000000000004</v>
      </c>
    </row>
    <row r="53" spans="1:4" ht="15.75" customHeight="1" x14ac:dyDescent="0.25">
      <c r="B53" s="11" t="s">
        <v>47</v>
      </c>
      <c r="C53" s="98">
        <v>8.9960000000000004</v>
      </c>
    </row>
    <row r="54" spans="1:4" ht="15.75" customHeight="1" x14ac:dyDescent="0.25">
      <c r="B54" s="11" t="s">
        <v>48</v>
      </c>
      <c r="C54" s="98">
        <v>9.8539999999999992</v>
      </c>
    </row>
    <row r="55" spans="1:4" ht="15.75" customHeight="1" x14ac:dyDescent="0.25">
      <c r="B55" s="11" t="s">
        <v>49</v>
      </c>
      <c r="C55" s="98">
        <v>6.7773333333333339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0.48581400000000002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1.9534098046590211E-2</v>
      </c>
    </row>
    <row r="4" spans="1:8" ht="15.75" customHeight="1" x14ac:dyDescent="0.25">
      <c r="B4" s="19" t="s">
        <v>69</v>
      </c>
      <c r="C4" s="99">
        <v>6.1386493861350512E-2</v>
      </c>
    </row>
    <row r="5" spans="1:8" ht="15.75" customHeight="1" x14ac:dyDescent="0.25">
      <c r="B5" s="19" t="s">
        <v>70</v>
      </c>
      <c r="C5" s="99">
        <v>8.0232691976730747E-2</v>
      </c>
    </row>
    <row r="6" spans="1:8" ht="15.75" customHeight="1" x14ac:dyDescent="0.25">
      <c r="B6" s="19" t="s">
        <v>71</v>
      </c>
      <c r="C6" s="99">
        <v>0.1940574805942524</v>
      </c>
    </row>
    <row r="7" spans="1:8" ht="15.75" customHeight="1" x14ac:dyDescent="0.25">
      <c r="B7" s="19" t="s">
        <v>72</v>
      </c>
      <c r="C7" s="99">
        <v>0.38271406172859451</v>
      </c>
    </row>
    <row r="8" spans="1:8" ht="15.75" customHeight="1" x14ac:dyDescent="0.25">
      <c r="B8" s="19" t="s">
        <v>73</v>
      </c>
      <c r="C8" s="99">
        <v>5.6656994334300581E-3</v>
      </c>
    </row>
    <row r="9" spans="1:8" ht="15.75" customHeight="1" x14ac:dyDescent="0.25">
      <c r="B9" s="19" t="s">
        <v>74</v>
      </c>
      <c r="C9" s="99">
        <v>5.6122894387710467E-2</v>
      </c>
    </row>
    <row r="10" spans="1:8" ht="15.75" customHeight="1" x14ac:dyDescent="0.25">
      <c r="B10" s="19" t="s">
        <v>75</v>
      </c>
      <c r="C10" s="99">
        <v>0.20028657997134119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82</v>
      </c>
      <c r="C15" s="99">
        <v>0.34578053216219262</v>
      </c>
      <c r="D15" s="99">
        <v>0.34578053216219262</v>
      </c>
      <c r="E15" s="99">
        <v>0.34578053216219262</v>
      </c>
      <c r="F15" s="99">
        <v>0.34578053216219262</v>
      </c>
    </row>
    <row r="16" spans="1:8" ht="15.75" customHeight="1" x14ac:dyDescent="0.25">
      <c r="B16" s="19" t="s">
        <v>83</v>
      </c>
      <c r="C16" s="99">
        <v>3.4655738467156229E-2</v>
      </c>
      <c r="D16" s="99">
        <v>3.4655738467156229E-2</v>
      </c>
      <c r="E16" s="99">
        <v>3.4655738467156229E-2</v>
      </c>
      <c r="F16" s="99">
        <v>3.4655738467156229E-2</v>
      </c>
    </row>
    <row r="17" spans="1:8" ht="15.75" customHeight="1" x14ac:dyDescent="0.25">
      <c r="B17" s="19" t="s">
        <v>84</v>
      </c>
      <c r="C17" s="99">
        <v>1.1276825226316831E-2</v>
      </c>
      <c r="D17" s="99">
        <v>1.1276825226316831E-2</v>
      </c>
      <c r="E17" s="99">
        <v>1.1276825226316831E-2</v>
      </c>
      <c r="F17" s="99">
        <v>1.1276825226316831E-2</v>
      </c>
    </row>
    <row r="18" spans="1:8" ht="15.75" customHeight="1" x14ac:dyDescent="0.25">
      <c r="B18" s="19" t="s">
        <v>85</v>
      </c>
      <c r="C18" s="99">
        <v>1.698333737350857E-3</v>
      </c>
      <c r="D18" s="99">
        <v>1.698333737350857E-3</v>
      </c>
      <c r="E18" s="99">
        <v>1.698333737350857E-3</v>
      </c>
      <c r="F18" s="99">
        <v>1.698333737350857E-3</v>
      </c>
    </row>
    <row r="19" spans="1:8" ht="15.75" customHeight="1" x14ac:dyDescent="0.25">
      <c r="B19" s="19" t="s">
        <v>86</v>
      </c>
      <c r="C19" s="99">
        <v>2.5823030204128981E-2</v>
      </c>
      <c r="D19" s="99">
        <v>2.5823030204128981E-2</v>
      </c>
      <c r="E19" s="99">
        <v>2.5823030204128981E-2</v>
      </c>
      <c r="F19" s="99">
        <v>2.5823030204128981E-2</v>
      </c>
    </row>
    <row r="20" spans="1:8" ht="15.75" customHeight="1" x14ac:dyDescent="0.25">
      <c r="B20" s="19" t="s">
        <v>87</v>
      </c>
      <c r="C20" s="99">
        <v>3.3022044559235918E-3</v>
      </c>
      <c r="D20" s="99">
        <v>3.3022044559235918E-3</v>
      </c>
      <c r="E20" s="99">
        <v>3.3022044559235918E-3</v>
      </c>
      <c r="F20" s="99">
        <v>3.3022044559235918E-3</v>
      </c>
    </row>
    <row r="21" spans="1:8" ht="15.75" customHeight="1" x14ac:dyDescent="0.25">
      <c r="B21" s="19" t="s">
        <v>88</v>
      </c>
      <c r="C21" s="99">
        <v>0.2312457864158497</v>
      </c>
      <c r="D21" s="99">
        <v>0.2312457864158497</v>
      </c>
      <c r="E21" s="99">
        <v>0.2312457864158497</v>
      </c>
      <c r="F21" s="99">
        <v>0.2312457864158497</v>
      </c>
    </row>
    <row r="22" spans="1:8" ht="15.75" customHeight="1" x14ac:dyDescent="0.25">
      <c r="B22" s="19" t="s">
        <v>89</v>
      </c>
      <c r="C22" s="99">
        <v>0.1980801693176206</v>
      </c>
      <c r="D22" s="99">
        <v>0.1980801693176206</v>
      </c>
      <c r="E22" s="99">
        <v>0.1980801693176206</v>
      </c>
      <c r="F22" s="99">
        <v>0.1980801693176206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5.6316962999999998E-2</v>
      </c>
    </row>
    <row r="27" spans="1:8" ht="15.75" customHeight="1" x14ac:dyDescent="0.25">
      <c r="B27" s="19" t="s">
        <v>92</v>
      </c>
      <c r="C27" s="99">
        <v>9.746111E-3</v>
      </c>
    </row>
    <row r="28" spans="1:8" ht="15.75" customHeight="1" x14ac:dyDescent="0.25">
      <c r="B28" s="19" t="s">
        <v>93</v>
      </c>
      <c r="C28" s="99">
        <v>0.40384162200000001</v>
      </c>
    </row>
    <row r="29" spans="1:8" ht="15.75" customHeight="1" x14ac:dyDescent="0.25">
      <c r="B29" s="19" t="s">
        <v>94</v>
      </c>
      <c r="C29" s="99">
        <v>0.15108449600000001</v>
      </c>
    </row>
    <row r="30" spans="1:8" ht="15.75" customHeight="1" x14ac:dyDescent="0.25">
      <c r="B30" s="19" t="s">
        <v>95</v>
      </c>
      <c r="C30" s="99">
        <v>5.3471453999999988E-2</v>
      </c>
    </row>
    <row r="31" spans="1:8" ht="15.75" customHeight="1" x14ac:dyDescent="0.25">
      <c r="B31" s="19" t="s">
        <v>96</v>
      </c>
      <c r="C31" s="99">
        <v>2.1151507E-2</v>
      </c>
    </row>
    <row r="32" spans="1:8" ht="15.75" customHeight="1" x14ac:dyDescent="0.25">
      <c r="B32" s="19" t="s">
        <v>97</v>
      </c>
      <c r="C32" s="99">
        <v>7.030825000000001E-3</v>
      </c>
    </row>
    <row r="33" spans="2:3" ht="15.75" customHeight="1" x14ac:dyDescent="0.25">
      <c r="B33" s="19" t="s">
        <v>98</v>
      </c>
      <c r="C33" s="99">
        <v>0.17616351399999999</v>
      </c>
    </row>
    <row r="34" spans="2:3" ht="15.75" customHeight="1" x14ac:dyDescent="0.25">
      <c r="B34" s="19" t="s">
        <v>99</v>
      </c>
      <c r="C34" s="99">
        <v>0.12119350800000001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355.77782639264802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0.39456000000000002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5.3419999999999995E-2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2.2956430786622462E-2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94009.684729999994</v>
      </c>
      <c r="C22" s="107">
        <v>93793.063160000005</v>
      </c>
      <c r="D22" s="107">
        <v>93619.879589999997</v>
      </c>
      <c r="E22" s="107">
        <v>93002.658559999996</v>
      </c>
      <c r="F22" s="107">
        <v>92072.362380000006</v>
      </c>
      <c r="G22" s="107">
        <v>90934.833880000006</v>
      </c>
      <c r="H22" s="107">
        <v>89533.178140000004</v>
      </c>
      <c r="I22" s="107">
        <v>87597.276540000006</v>
      </c>
      <c r="J22" s="107">
        <v>84803.133549999999</v>
      </c>
      <c r="K22" s="107">
        <v>80890.356390000001</v>
      </c>
      <c r="L22" s="107">
        <v>75378.861269999994</v>
      </c>
      <c r="M22" s="107">
        <v>67914.972120000006</v>
      </c>
      <c r="N22" s="107">
        <v>58238.404139999999</v>
      </c>
      <c r="O22" s="107">
        <v>46723.694889999999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12.644775143090762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6.7892599999999997E-2</v>
      </c>
      <c r="C10" s="96">
        <v>0.95</v>
      </c>
      <c r="D10" s="56">
        <v>17.330280382167182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17.330280382167182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17.330280382167182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17.330280382167182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6.7892599999999997E-2</v>
      </c>
      <c r="C14" s="96">
        <v>0.95</v>
      </c>
      <c r="D14" s="56">
        <v>17.330280382167182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17.330280382167182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3.8198900000000001E-2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6.5675947999999998E-2</v>
      </c>
      <c r="C17" s="96">
        <v>0.95</v>
      </c>
      <c r="D17" s="56">
        <v>2.5391114745162171E-2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0.27200000000000002</v>
      </c>
      <c r="C18" s="96">
        <v>0.95</v>
      </c>
      <c r="D18" s="56">
        <v>12.644775143090762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0.41937809999999998</v>
      </c>
      <c r="C19" s="96">
        <v>0.95</v>
      </c>
      <c r="D19" s="56">
        <v>1.4029197158578659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12.644775143090762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0.2491554</v>
      </c>
      <c r="C23" s="96">
        <v>0.95</v>
      </c>
      <c r="D23" s="56">
        <v>5.6396812437985204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0.34541283892014002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0.46226600000000001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0.220586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9.2499999999999999E-2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0.57999999999999996</v>
      </c>
      <c r="C32" s="96">
        <v>0.95</v>
      </c>
      <c r="D32" s="56">
        <v>0.76173344235486506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0.48214689999999999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0.30872719999999998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8.1247000000000003E-3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0.23417370000000001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7.0999999999999994E-2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5.4080000000000004</v>
      </c>
      <c r="C2" s="21">
        <f>'Baseline year population inputs'!C52</f>
        <v>5.4080000000000004</v>
      </c>
      <c r="D2" s="21">
        <f>'Baseline year population inputs'!C53</f>
        <v>8.9960000000000004</v>
      </c>
      <c r="E2" s="21">
        <f>'Baseline year population inputs'!C54</f>
        <v>9.8539999999999992</v>
      </c>
      <c r="F2" s="21">
        <f>'Baseline year population inputs'!C55</f>
        <v>6.7773333333333339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