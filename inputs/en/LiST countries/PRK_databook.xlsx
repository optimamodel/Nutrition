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BB21A69-ED78-49C7-A487-E9D85A2D714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29" i="2"/>
  <c r="A27" i="2"/>
  <c r="A26" i="2"/>
  <c r="A25" i="2"/>
  <c r="A21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38" i="2"/>
  <c r="A14" i="2"/>
  <c r="A22" i="2"/>
  <c r="A40" i="2"/>
  <c r="A15" i="2"/>
  <c r="A23" i="2"/>
  <c r="A31" i="2"/>
  <c r="A30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<sst xmlns="http://schemas.openxmlformats.org/spreadsheetml/2006/main" count="2094" uniqueCount="341">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</sst>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36442523.5</v>
      </c>
    </row>
    <row r="8" spans="1:3" ht="15" customHeight="1" x14ac:dyDescent="0.25">
      <c r="B8" s="5" t="s">
        <v>8</v>
      </c>
      <c r="C8" s="44">
        <v>0.53500000000000003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0.90525772094726609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4.0000000000000002E-4</v>
      </c>
    </row>
    <row r="24" spans="1:3" ht="15" customHeight="1" x14ac:dyDescent="0.25">
      <c r="B24" s="15" t="s">
        <v>22</v>
      </c>
      <c r="C24" s="45">
        <v>0.62990000000000002</v>
      </c>
    </row>
    <row r="25" spans="1:3" ht="15" customHeight="1" x14ac:dyDescent="0.25">
      <c r="B25" s="15" t="s">
        <v>23</v>
      </c>
      <c r="C25" s="45">
        <v>0.36969999999999997</v>
      </c>
    </row>
    <row r="26" spans="1:3" ht="15" customHeight="1" x14ac:dyDescent="0.25">
      <c r="B26" s="15" t="s">
        <v>24</v>
      </c>
      <c r="C26" s="45">
        <v>0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334005</v>
      </c>
      <c r="C2" s="49">
        <v>960183.5</v>
      </c>
      <c r="D2" s="49">
        <v>1814432.5</v>
      </c>
      <c r="E2" s="49">
        <v>1857251</v>
      </c>
      <c r="F2" s="49">
        <v>1471101.5</v>
      </c>
      <c r="G2" s="17">
        <f t="shared" ref="G2:G13" si="0">C2+D2+E2+F2</f>
        <v>6102968.5</v>
      </c>
      <c r="H2" s="17">
        <f t="shared" ref="H2:H13" si="1">(B2 + stillbirth*B2/(1000-stillbirth))/(1-abortion)</f>
        <v>388284.2152597832</v>
      </c>
      <c r="I2" s="17">
        <f t="shared" ref="I2:I13" si="2">G2-H2</f>
        <v>5714684.284740217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330197</v>
      </c>
      <c r="C3" s="50">
        <v>942021.50000000012</v>
      </c>
      <c r="D3" s="50">
        <v>1784204</v>
      </c>
      <c r="E3" s="50">
        <v>1873709.5</v>
      </c>
      <c r="F3" s="50">
        <v>1464164.5</v>
      </c>
      <c r="G3" s="17">
        <f t="shared" si="0"/>
        <v>6064099.5</v>
      </c>
      <c r="H3" s="17">
        <f t="shared" si="1"/>
        <v>383857.37646482728</v>
      </c>
      <c r="I3" s="17">
        <f t="shared" si="2"/>
        <v>5680242.123535173</v>
      </c>
    </row>
    <row r="4" spans="1:9" ht="15.75" customHeight="1" x14ac:dyDescent="0.25">
      <c r="A4" s="5">
        <f t="shared" si="3"/>
        <v>2026</v>
      </c>
      <c r="B4" s="49">
        <v>326245</v>
      </c>
      <c r="C4" s="50">
        <v>929883</v>
      </c>
      <c r="D4" s="50">
        <v>1752308</v>
      </c>
      <c r="E4" s="50">
        <v>1885281</v>
      </c>
      <c r="F4" s="50">
        <v>1470247.5</v>
      </c>
      <c r="G4" s="17">
        <f t="shared" si="0"/>
        <v>6037719.5</v>
      </c>
      <c r="H4" s="17">
        <f t="shared" si="1"/>
        <v>379263.13620283519</v>
      </c>
      <c r="I4" s="17">
        <f t="shared" si="2"/>
        <v>5658456.3637971645</v>
      </c>
    </row>
    <row r="5" spans="1:9" ht="15.75" customHeight="1" x14ac:dyDescent="0.25">
      <c r="A5" s="5">
        <f t="shared" si="3"/>
        <v>2027</v>
      </c>
      <c r="B5" s="49">
        <v>321344</v>
      </c>
      <c r="C5" s="50">
        <v>923605.5</v>
      </c>
      <c r="D5" s="50">
        <v>1721624</v>
      </c>
      <c r="E5" s="50">
        <v>1892161.5</v>
      </c>
      <c r="F5" s="50">
        <v>1488392</v>
      </c>
      <c r="G5" s="17">
        <f t="shared" si="0"/>
        <v>6025783</v>
      </c>
      <c r="H5" s="17">
        <f t="shared" si="1"/>
        <v>373565.67377266736</v>
      </c>
      <c r="I5" s="17">
        <f t="shared" si="2"/>
        <v>5652217.3262273325</v>
      </c>
    </row>
    <row r="6" spans="1:9" ht="15.75" customHeight="1" x14ac:dyDescent="0.25">
      <c r="A6" s="5">
        <f t="shared" si="3"/>
        <v>2028</v>
      </c>
      <c r="B6" s="49">
        <v>315938</v>
      </c>
      <c r="C6" s="50">
        <v>921588.00000000012</v>
      </c>
      <c r="D6" s="50">
        <v>1694178</v>
      </c>
      <c r="E6" s="50">
        <v>1894482.5</v>
      </c>
      <c r="F6" s="50">
        <v>1509646.5</v>
      </c>
      <c r="G6" s="17">
        <f t="shared" si="0"/>
        <v>6019895</v>
      </c>
      <c r="H6" s="17">
        <f t="shared" si="1"/>
        <v>367281.14369768533</v>
      </c>
      <c r="I6" s="17">
        <f t="shared" si="2"/>
        <v>5652613.8563023144</v>
      </c>
    </row>
    <row r="7" spans="1:9" ht="15.75" customHeight="1" x14ac:dyDescent="0.25">
      <c r="A7" s="5">
        <f t="shared" si="3"/>
        <v>2029</v>
      </c>
      <c r="B7" s="49">
        <v>308992</v>
      </c>
      <c r="C7" s="50">
        <v>923172.99999999988</v>
      </c>
      <c r="D7" s="50">
        <v>1668774</v>
      </c>
      <c r="E7" s="50">
        <v>1892851</v>
      </c>
      <c r="F7" s="50">
        <v>1529221</v>
      </c>
      <c r="G7" s="17">
        <f t="shared" si="0"/>
        <v>6014019</v>
      </c>
      <c r="H7" s="17">
        <f t="shared" si="1"/>
        <v>359206.34793356666</v>
      </c>
      <c r="I7" s="17">
        <f t="shared" si="2"/>
        <v>5654812.6520664338</v>
      </c>
    </row>
    <row r="8" spans="1:9" ht="15.75" customHeight="1" x14ac:dyDescent="0.25">
      <c r="A8" s="5">
        <f t="shared" si="3"/>
        <v>2030</v>
      </c>
      <c r="B8" s="49">
        <v>304323</v>
      </c>
      <c r="C8" s="50">
        <v>932727.5</v>
      </c>
      <c r="D8" s="50">
        <v>1640535</v>
      </c>
      <c r="E8" s="50">
        <v>1884661.5</v>
      </c>
      <c r="F8" s="50">
        <v>1546998.5</v>
      </c>
      <c r="G8" s="17">
        <f t="shared" si="0"/>
        <v>6004922.5</v>
      </c>
      <c r="H8" s="17">
        <f t="shared" si="1"/>
        <v>353778.58786695707</v>
      </c>
      <c r="I8" s="17">
        <f t="shared" si="2"/>
        <v>5651143.9121330427</v>
      </c>
    </row>
    <row r="9" spans="1:9" ht="15.75" customHeight="1" x14ac:dyDescent="0.25">
      <c r="A9" s="5">
        <f t="shared" si="3"/>
        <v>2031</v>
      </c>
      <c r="B9" s="49">
        <v>298942</v>
      </c>
      <c r="C9" s="50">
        <v>947997.5</v>
      </c>
      <c r="D9" s="50">
        <v>1610041.5</v>
      </c>
      <c r="E9" s="50">
        <v>1868861</v>
      </c>
      <c r="F9" s="50">
        <v>1564640.5</v>
      </c>
      <c r="G9" s="17">
        <f t="shared" si="0"/>
        <v>5991540.5</v>
      </c>
      <c r="H9" s="17">
        <f t="shared" si="1"/>
        <v>347523.12054666877</v>
      </c>
      <c r="I9" s="17">
        <f t="shared" si="2"/>
        <v>5644017.3794533312</v>
      </c>
    </row>
    <row r="10" spans="1:9" ht="15.75" customHeight="1" x14ac:dyDescent="0.25">
      <c r="A10" s="5">
        <f t="shared" si="3"/>
        <v>2032</v>
      </c>
      <c r="B10" s="49">
        <v>293078</v>
      </c>
      <c r="C10" s="50">
        <v>961617.50000000012</v>
      </c>
      <c r="D10" s="50">
        <v>1584743</v>
      </c>
      <c r="E10" s="50">
        <v>1846877</v>
      </c>
      <c r="F10" s="50">
        <v>1585067</v>
      </c>
      <c r="G10" s="17">
        <f t="shared" si="0"/>
        <v>5978304.5</v>
      </c>
      <c r="H10" s="17">
        <f t="shared" si="1"/>
        <v>340706.16080569668</v>
      </c>
      <c r="I10" s="17">
        <f t="shared" si="2"/>
        <v>5637598.3391943034</v>
      </c>
    </row>
    <row r="11" spans="1:9" ht="15.75" customHeight="1" x14ac:dyDescent="0.25">
      <c r="A11" s="5">
        <f t="shared" si="3"/>
        <v>2033</v>
      </c>
      <c r="B11" s="49">
        <v>287680</v>
      </c>
      <c r="C11" s="50">
        <v>972357</v>
      </c>
      <c r="D11" s="50">
        <v>1567343.5</v>
      </c>
      <c r="E11" s="50">
        <v>1819375.5</v>
      </c>
      <c r="F11" s="50">
        <v>1607991.5</v>
      </c>
      <c r="G11" s="17">
        <f t="shared" si="0"/>
        <v>5967067.5</v>
      </c>
      <c r="H11" s="17">
        <f t="shared" si="1"/>
        <v>334430.9308122166</v>
      </c>
      <c r="I11" s="17">
        <f t="shared" si="2"/>
        <v>5632636.5691877836</v>
      </c>
    </row>
    <row r="12" spans="1:9" ht="15.75" customHeight="1" x14ac:dyDescent="0.25">
      <c r="A12" s="5">
        <f t="shared" si="3"/>
        <v>2034</v>
      </c>
      <c r="B12" s="49">
        <v>283097</v>
      </c>
      <c r="C12" s="50">
        <v>979115.50000000012</v>
      </c>
      <c r="D12" s="50">
        <v>1556400.5</v>
      </c>
      <c r="E12" s="50">
        <v>1790281.5</v>
      </c>
      <c r="F12" s="50">
        <v>1630386.5</v>
      </c>
      <c r="G12" s="17">
        <f t="shared" si="0"/>
        <v>5956184</v>
      </c>
      <c r="H12" s="17">
        <f t="shared" si="1"/>
        <v>329103.14662175369</v>
      </c>
      <c r="I12" s="17">
        <f t="shared" si="2"/>
        <v>5627080.8533782465</v>
      </c>
    </row>
    <row r="13" spans="1:9" ht="15.75" customHeight="1" x14ac:dyDescent="0.25">
      <c r="A13" s="5">
        <f t="shared" si="3"/>
        <v>2035</v>
      </c>
      <c r="B13" s="49">
        <v>279272</v>
      </c>
      <c r="C13" s="50">
        <v>982045.00000000012</v>
      </c>
      <c r="D13" s="50">
        <v>1551437.5</v>
      </c>
      <c r="E13" s="50">
        <v>1760632.5</v>
      </c>
      <c r="F13" s="50">
        <v>1649161.5</v>
      </c>
      <c r="G13" s="17">
        <f t="shared" si="0"/>
        <v>5943276.5</v>
      </c>
      <c r="H13" s="17">
        <f t="shared" si="1"/>
        <v>324656.54515360598</v>
      </c>
      <c r="I13" s="17">
        <f t="shared" si="2"/>
        <v>5618619.9548463942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0.55798007500000002</v>
      </c>
      <c r="D14" s="54">
        <v>0.52895796887199997</v>
      </c>
      <c r="E14" s="54">
        <v>0.52895796887199997</v>
      </c>
      <c r="F14" s="54">
        <v>0.31842903291500002</v>
      </c>
      <c r="G14" s="54">
        <v>0.31842903291500002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0.23399117637155001</v>
      </c>
      <c r="D15" s="52">
        <f t="shared" si="0"/>
        <v>0.22182064007834867</v>
      </c>
      <c r="E15" s="52">
        <f t="shared" si="0"/>
        <v>0.22182064007834867</v>
      </c>
      <c r="F15" s="52">
        <f t="shared" si="0"/>
        <v>0.13353448866903692</v>
      </c>
      <c r="G15" s="52">
        <f t="shared" si="0"/>
        <v>0.13353448866903692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39.888859002919943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0.17195999738539999</v>
      </c>
      <c r="C3" s="98">
        <v>0.95</v>
      </c>
      <c r="D3" s="56">
        <v>54.752071881275683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130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3.805795445360411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0.30538290000000001</v>
      </c>
      <c r="C10" s="98">
        <v>0.95</v>
      </c>
      <c r="D10" s="56">
        <v>17.43582110877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0.30538290000000001</v>
      </c>
      <c r="C11" s="98">
        <v>0.95</v>
      </c>
      <c r="D11" s="56">
        <v>17.43582110877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0.30538290000000001</v>
      </c>
      <c r="C12" s="98">
        <v>0.95</v>
      </c>
      <c r="D12" s="56">
        <v>17.43582110877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0.30538290000000001</v>
      </c>
      <c r="C13" s="98">
        <v>0.95</v>
      </c>
      <c r="D13" s="56">
        <v>17.43582110877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0.30538290000000001</v>
      </c>
      <c r="C14" s="98">
        <v>0.95</v>
      </c>
      <c r="D14" s="56">
        <v>17.43582110877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0.30538290000000001</v>
      </c>
      <c r="C15" s="98">
        <v>0.95</v>
      </c>
      <c r="D15" s="56">
        <v>17.43582110877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0.67</v>
      </c>
      <c r="C16" s="98">
        <v>0.95</v>
      </c>
      <c r="D16" s="56">
        <v>0.36188471973576708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0.143035555555556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6.1726415088800002E-2</v>
      </c>
      <c r="C18" s="98">
        <v>0.95</v>
      </c>
      <c r="D18" s="56">
        <v>3.082565241453175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0.46570679999999998</v>
      </c>
      <c r="C19" s="98">
        <v>0.95</v>
      </c>
      <c r="D19" s="56">
        <v>3.082565241453175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0.12378939999999999</v>
      </c>
      <c r="C21" s="98">
        <v>0.95</v>
      </c>
      <c r="D21" s="56">
        <v>33.744034081912098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29.75485142592801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5.7056441979252872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0.4677424218656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0.30538290000000001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25.164486250613059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0.36680256677680001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72.244943512455777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0.56999999999999995</v>
      </c>
      <c r="C31" s="98">
        <v>0.95</v>
      </c>
      <c r="D31" s="56">
        <v>0.35349840139862337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0.71154246388970954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0.56999999999999995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0.31096489999999999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0.45741510000000002</v>
      </c>
      <c r="C38" s="98">
        <v>0.95</v>
      </c>
      <c r="D38" s="56">
        <v>8.1649856306609028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205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5.7068011787414274E-2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2.4457719337463261E-2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1.3216547927856379E-2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0.90525772094726609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D47122-A5E6-4B6E-A8F6-F1103F6D87B5}"/>
</file>

<file path=customXml/itemProps2.xml><?xml version="1.0" encoding="utf-8"?>
<ds:datastoreItem xmlns:ds="http://schemas.openxmlformats.org/officeDocument/2006/customXml" ds:itemID="{F8FCC70F-6158-45D0-AD66-DCDC1D96972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2024-04-11T00:41:35Z</dcterms:modified>
</cp:coreProperties>
</file>