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0262AD0B-9B6E-4D6D-B9CC-EC1C86EC7D9A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7" i="2"/>
  <c r="A36" i="2"/>
  <c r="A35" i="2"/>
  <c r="A31" i="2"/>
  <c r="A26" i="2"/>
  <c r="A24" i="2"/>
  <c r="A23" i="2"/>
  <c r="A22" i="2"/>
  <c r="A19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4" i="2" l="1"/>
  <c r="I8" i="2"/>
  <c r="I12" i="2"/>
  <c r="A25" i="2"/>
  <c r="I6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<sst xmlns="http://schemas.openxmlformats.org/spreadsheetml/2006/main" count="2159" uniqueCount="372">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</sst>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332418</v>
      </c>
    </row>
    <row r="8" spans="1:3" ht="15" customHeight="1" x14ac:dyDescent="0.25">
      <c r="B8" s="5" t="s">
        <v>8</v>
      </c>
      <c r="C8" s="44">
        <v>3.4000000000000002E-2</v>
      </c>
    </row>
    <row r="9" spans="1:3" ht="15" customHeight="1" x14ac:dyDescent="0.25">
      <c r="B9" s="5" t="s">
        <v>9</v>
      </c>
      <c r="C9" s="45">
        <v>0.96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0.66299999999999992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0.13100000000000001</v>
      </c>
    </row>
    <row r="24" spans="1:3" ht="15" customHeight="1" x14ac:dyDescent="0.25">
      <c r="B24" s="15" t="s">
        <v>22</v>
      </c>
      <c r="C24" s="45">
        <v>0.434</v>
      </c>
    </row>
    <row r="25" spans="1:3" ht="15" customHeight="1" x14ac:dyDescent="0.25">
      <c r="B25" s="15" t="s">
        <v>23</v>
      </c>
      <c r="C25" s="45">
        <v>0.35249999999999998</v>
      </c>
    </row>
    <row r="26" spans="1:3" ht="15" customHeight="1" x14ac:dyDescent="0.25">
      <c r="B26" s="15" t="s">
        <v>24</v>
      </c>
      <c r="C26" s="45">
        <v>8.2500000000000004E-2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0.267409234355309</v>
      </c>
    </row>
    <row r="30" spans="1:3" ht="14.25" customHeight="1" x14ac:dyDescent="0.25">
      <c r="B30" s="25" t="s">
        <v>27</v>
      </c>
      <c r="C30" s="99">
        <v>6.2316367797226199E-2</v>
      </c>
    </row>
    <row r="31" spans="1:3" ht="14.25" customHeight="1" x14ac:dyDescent="0.25">
      <c r="B31" s="25" t="s">
        <v>28</v>
      </c>
      <c r="C31" s="99">
        <v>9.3002675244955299E-2</v>
      </c>
    </row>
    <row r="32" spans="1:3" ht="14.25" customHeight="1" x14ac:dyDescent="0.25">
      <c r="B32" s="25" t="s">
        <v>29</v>
      </c>
      <c r="C32" s="99">
        <v>0.57727172260250903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18.94415</v>
      </c>
    </row>
    <row r="38" spans="1:5" ht="15" customHeight="1" x14ac:dyDescent="0.25">
      <c r="B38" s="11" t="s">
        <v>34</v>
      </c>
      <c r="C38" s="43">
        <v>29.356670000000001</v>
      </c>
      <c r="D38" s="12"/>
      <c r="E38" s="13"/>
    </row>
    <row r="39" spans="1:5" ht="15" customHeight="1" x14ac:dyDescent="0.25">
      <c r="B39" s="11" t="s">
        <v>35</v>
      </c>
      <c r="C39" s="43">
        <v>39.74532</v>
      </c>
      <c r="D39" s="12"/>
      <c r="E39" s="12"/>
    </row>
    <row r="40" spans="1:5" ht="15" customHeight="1" x14ac:dyDescent="0.25">
      <c r="B40" s="11" t="s">
        <v>36</v>
      </c>
      <c r="C40" s="100">
        <v>2.27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5.8306E-3</v>
      </c>
      <c r="D45" s="12"/>
    </row>
    <row r="46" spans="1:5" ht="15.75" customHeight="1" x14ac:dyDescent="0.25">
      <c r="B46" s="11" t="s">
        <v>41</v>
      </c>
      <c r="C46" s="45">
        <v>6.2648999999999996E-2</v>
      </c>
      <c r="D46" s="12"/>
    </row>
    <row r="47" spans="1:5" ht="15.75" customHeight="1" x14ac:dyDescent="0.25">
      <c r="B47" s="11" t="s">
        <v>42</v>
      </c>
      <c r="C47" s="45">
        <v>7.5456700000000002E-2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2.9119999999999999</v>
      </c>
      <c r="D51" s="12"/>
    </row>
    <row r="52" spans="1:4" ht="15" customHeight="1" x14ac:dyDescent="0.25">
      <c r="B52" s="11" t="s">
        <v>46</v>
      </c>
      <c r="C52" s="100">
        <v>2.9119999999999999</v>
      </c>
    </row>
    <row r="53" spans="1:4" ht="15.75" customHeight="1" x14ac:dyDescent="0.25">
      <c r="B53" s="11" t="s">
        <v>47</v>
      </c>
      <c r="C53" s="100">
        <v>5.7720000000000002</v>
      </c>
    </row>
    <row r="54" spans="1:4" ht="15.75" customHeight="1" x14ac:dyDescent="0.25">
      <c r="B54" s="11" t="s">
        <v>48</v>
      </c>
      <c r="C54" s="100">
        <v>6.0060000000000002</v>
      </c>
    </row>
    <row r="55" spans="1:4" ht="15.75" customHeight="1" x14ac:dyDescent="0.25">
      <c r="B55" s="11" t="s">
        <v>49</v>
      </c>
      <c r="C55" s="100">
        <v>3.631333333333334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0.40570099999999998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0.1421289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68875</v>
      </c>
      <c r="C2" s="49">
        <v>118035</v>
      </c>
      <c r="D2" s="49">
        <v>196519.99999999997</v>
      </c>
      <c r="E2" s="49">
        <v>177429.5</v>
      </c>
      <c r="F2" s="49">
        <v>131877</v>
      </c>
      <c r="G2" s="17">
        <f t="shared" ref="G2:G13" si="0">C2+D2+E2+F2</f>
        <v>623861.5</v>
      </c>
      <c r="H2" s="17">
        <f t="shared" ref="H2:H13" si="1">(B2 + stillbirth*B2/(1000-stillbirth))/(1-abortion)</f>
        <v>79386.019985204111</v>
      </c>
      <c r="I2" s="17">
        <f t="shared" ref="I2:I13" si="2">G2-H2</f>
        <v>544475.4800147959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69096</v>
      </c>
      <c r="C3" s="50">
        <v>122614</v>
      </c>
      <c r="D3" s="50">
        <v>200607</v>
      </c>
      <c r="E3" s="50">
        <v>178797.5</v>
      </c>
      <c r="F3" s="50">
        <v>136702.5</v>
      </c>
      <c r="G3" s="17">
        <f t="shared" si="0"/>
        <v>638721</v>
      </c>
      <c r="H3" s="17">
        <f t="shared" si="1"/>
        <v>79640.746815211081</v>
      </c>
      <c r="I3" s="17">
        <f t="shared" si="2"/>
        <v>559080.25318478886</v>
      </c>
    </row>
    <row r="4" spans="1:9" ht="15.75" customHeight="1" x14ac:dyDescent="0.25">
      <c r="A4" s="5">
        <f t="shared" si="3"/>
        <v>2026</v>
      </c>
      <c r="B4" s="49">
        <v>69484</v>
      </c>
      <c r="C4" s="50">
        <v>127376</v>
      </c>
      <c r="D4" s="50">
        <v>205693.5</v>
      </c>
      <c r="E4" s="50">
        <v>179646.00000000003</v>
      </c>
      <c r="F4" s="50">
        <v>141421.49999999997</v>
      </c>
      <c r="G4" s="17">
        <f t="shared" si="0"/>
        <v>654137</v>
      </c>
      <c r="H4" s="17">
        <f t="shared" si="1"/>
        <v>80087.959530336433</v>
      </c>
      <c r="I4" s="17">
        <f t="shared" si="2"/>
        <v>574049.04046966357</v>
      </c>
    </row>
    <row r="5" spans="1:9" ht="15.75" customHeight="1" x14ac:dyDescent="0.25">
      <c r="A5" s="5">
        <f t="shared" si="3"/>
        <v>2027</v>
      </c>
      <c r="B5" s="49">
        <v>69719</v>
      </c>
      <c r="C5" s="50">
        <v>132085</v>
      </c>
      <c r="D5" s="50">
        <v>211630</v>
      </c>
      <c r="E5" s="50">
        <v>180146.00000000003</v>
      </c>
      <c r="F5" s="50">
        <v>146015.5</v>
      </c>
      <c r="G5" s="17">
        <f t="shared" si="0"/>
        <v>669876.5</v>
      </c>
      <c r="H5" s="17">
        <f t="shared" si="1"/>
        <v>80358.822901610823</v>
      </c>
      <c r="I5" s="17">
        <f t="shared" si="2"/>
        <v>589517.67709838913</v>
      </c>
    </row>
    <row r="6" spans="1:9" ht="15.75" customHeight="1" x14ac:dyDescent="0.25">
      <c r="A6" s="5">
        <f t="shared" si="3"/>
        <v>2028</v>
      </c>
      <c r="B6" s="49">
        <v>70157</v>
      </c>
      <c r="C6" s="50">
        <v>136483</v>
      </c>
      <c r="D6" s="50">
        <v>218287</v>
      </c>
      <c r="E6" s="50">
        <v>180485.5</v>
      </c>
      <c r="F6" s="50">
        <v>150433</v>
      </c>
      <c r="G6" s="17">
        <f t="shared" si="0"/>
        <v>685688.5</v>
      </c>
      <c r="H6" s="17">
        <f t="shared" si="1"/>
        <v>80863.66612126265</v>
      </c>
      <c r="I6" s="17">
        <f t="shared" si="2"/>
        <v>604824.83387873741</v>
      </c>
    </row>
    <row r="7" spans="1:9" ht="15.75" customHeight="1" x14ac:dyDescent="0.25">
      <c r="A7" s="5">
        <f t="shared" si="3"/>
        <v>2029</v>
      </c>
      <c r="B7" s="49">
        <v>70838</v>
      </c>
      <c r="C7" s="50">
        <v>140393.5</v>
      </c>
      <c r="D7" s="50">
        <v>225685.5</v>
      </c>
      <c r="E7" s="50">
        <v>180846.99999999997</v>
      </c>
      <c r="F7" s="50">
        <v>154560.99999999997</v>
      </c>
      <c r="G7" s="17">
        <f t="shared" si="0"/>
        <v>701487</v>
      </c>
      <c r="H7" s="17">
        <f t="shared" si="1"/>
        <v>81648.593592913079</v>
      </c>
      <c r="I7" s="17">
        <f t="shared" si="2"/>
        <v>619838.40640708688</v>
      </c>
    </row>
    <row r="8" spans="1:9" ht="15.75" customHeight="1" x14ac:dyDescent="0.25">
      <c r="A8" s="5">
        <f t="shared" si="3"/>
        <v>2030</v>
      </c>
      <c r="B8" s="49">
        <v>71554</v>
      </c>
      <c r="C8" s="50">
        <v>143788</v>
      </c>
      <c r="D8" s="50">
        <v>233794.5</v>
      </c>
      <c r="E8" s="50">
        <v>181452.99999999997</v>
      </c>
      <c r="F8" s="50">
        <v>158311.5</v>
      </c>
      <c r="G8" s="17">
        <f t="shared" si="0"/>
        <v>717347</v>
      </c>
      <c r="H8" s="17">
        <f t="shared" si="1"/>
        <v>82473.862417732031</v>
      </c>
      <c r="I8" s="17">
        <f t="shared" si="2"/>
        <v>634873.13758226798</v>
      </c>
    </row>
    <row r="9" spans="1:9" ht="15.75" customHeight="1" x14ac:dyDescent="0.25">
      <c r="A9" s="5">
        <f t="shared" si="3"/>
        <v>2031</v>
      </c>
      <c r="B9" s="49">
        <v>72211</v>
      </c>
      <c r="C9" s="50">
        <v>146869</v>
      </c>
      <c r="D9" s="50">
        <v>242452.5</v>
      </c>
      <c r="E9" s="50">
        <v>182471.5</v>
      </c>
      <c r="F9" s="50">
        <v>161618</v>
      </c>
      <c r="G9" s="17">
        <f t="shared" si="0"/>
        <v>733411</v>
      </c>
      <c r="H9" s="17">
        <f t="shared" si="1"/>
        <v>83231.127247209763</v>
      </c>
      <c r="I9" s="17">
        <f t="shared" si="2"/>
        <v>650179.87275279022</v>
      </c>
    </row>
    <row r="10" spans="1:9" ht="15.75" customHeight="1" x14ac:dyDescent="0.25">
      <c r="A10" s="5">
        <f t="shared" si="3"/>
        <v>2032</v>
      </c>
      <c r="B10" s="49">
        <v>73025</v>
      </c>
      <c r="C10" s="50">
        <v>149884</v>
      </c>
      <c r="D10" s="50">
        <v>251315</v>
      </c>
      <c r="E10" s="50">
        <v>184020.5</v>
      </c>
      <c r="F10" s="50">
        <v>164476.5</v>
      </c>
      <c r="G10" s="17">
        <f t="shared" si="0"/>
        <v>749696</v>
      </c>
      <c r="H10" s="17">
        <f t="shared" si="1"/>
        <v>84169.351860900613</v>
      </c>
      <c r="I10" s="17">
        <f t="shared" si="2"/>
        <v>665526.64813909936</v>
      </c>
    </row>
    <row r="11" spans="1:9" ht="15.75" customHeight="1" x14ac:dyDescent="0.25">
      <c r="A11" s="5">
        <f t="shared" si="3"/>
        <v>2033</v>
      </c>
      <c r="B11" s="49">
        <v>73941</v>
      </c>
      <c r="C11" s="50">
        <v>152981.5</v>
      </c>
      <c r="D11" s="50">
        <v>260052.5</v>
      </c>
      <c r="E11" s="50">
        <v>186225</v>
      </c>
      <c r="F11" s="50">
        <v>166897</v>
      </c>
      <c r="G11" s="17">
        <f t="shared" si="0"/>
        <v>766156</v>
      </c>
      <c r="H11" s="17">
        <f t="shared" si="1"/>
        <v>85225.142703825419</v>
      </c>
      <c r="I11" s="17">
        <f t="shared" si="2"/>
        <v>680930.85729617462</v>
      </c>
    </row>
    <row r="12" spans="1:9" ht="15.75" customHeight="1" x14ac:dyDescent="0.25">
      <c r="A12" s="5">
        <f t="shared" si="3"/>
        <v>2034</v>
      </c>
      <c r="B12" s="49">
        <v>74893</v>
      </c>
      <c r="C12" s="50">
        <v>156105.5</v>
      </c>
      <c r="D12" s="50">
        <v>268537.5</v>
      </c>
      <c r="E12" s="50">
        <v>189271.00000000003</v>
      </c>
      <c r="F12" s="50">
        <v>168808</v>
      </c>
      <c r="G12" s="17">
        <f t="shared" si="0"/>
        <v>782722</v>
      </c>
      <c r="H12" s="17">
        <f t="shared" si="1"/>
        <v>86322.427510009307</v>
      </c>
      <c r="I12" s="17">
        <f t="shared" si="2"/>
        <v>696399.57248999074</v>
      </c>
    </row>
    <row r="13" spans="1:9" ht="15.75" customHeight="1" x14ac:dyDescent="0.25">
      <c r="A13" s="5">
        <f t="shared" si="3"/>
        <v>2035</v>
      </c>
      <c r="B13" s="49">
        <v>75866</v>
      </c>
      <c r="C13" s="50">
        <v>158978.5</v>
      </c>
      <c r="D13" s="50">
        <v>276775.5</v>
      </c>
      <c r="E13" s="50">
        <v>193341</v>
      </c>
      <c r="F13" s="50">
        <v>170156.99999999997</v>
      </c>
      <c r="G13" s="17">
        <f t="shared" si="0"/>
        <v>799252</v>
      </c>
      <c r="H13" s="17">
        <f t="shared" si="1"/>
        <v>87443.917128094283</v>
      </c>
      <c r="I13" s="17">
        <f t="shared" si="2"/>
        <v>711808.08287190576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7.9603999999999977E-3</v>
      </c>
    </row>
    <row r="4" spans="1:8" ht="15.75" customHeight="1" x14ac:dyDescent="0.25">
      <c r="B4" s="19" t="s">
        <v>69</v>
      </c>
      <c r="C4" s="101">
        <v>5.4278499999999973E-2</v>
      </c>
    </row>
    <row r="5" spans="1:8" ht="15.75" customHeight="1" x14ac:dyDescent="0.25">
      <c r="B5" s="19" t="s">
        <v>70</v>
      </c>
      <c r="C5" s="101">
        <v>6.8896700000000047E-2</v>
      </c>
    </row>
    <row r="6" spans="1:8" ht="15.75" customHeight="1" x14ac:dyDescent="0.25">
      <c r="B6" s="19" t="s">
        <v>71</v>
      </c>
      <c r="C6" s="101">
        <v>0.2405291000000005</v>
      </c>
    </row>
    <row r="7" spans="1:8" ht="15.75" customHeight="1" x14ac:dyDescent="0.25">
      <c r="B7" s="19" t="s">
        <v>72</v>
      </c>
      <c r="C7" s="101">
        <v>0.42675559999999951</v>
      </c>
    </row>
    <row r="8" spans="1:8" ht="15.75" customHeight="1" x14ac:dyDescent="0.25">
      <c r="B8" s="19" t="s">
        <v>73</v>
      </c>
      <c r="C8" s="101">
        <v>1.9896999999999992E-3</v>
      </c>
    </row>
    <row r="9" spans="1:8" ht="15.75" customHeight="1" x14ac:dyDescent="0.25">
      <c r="B9" s="19" t="s">
        <v>74</v>
      </c>
      <c r="C9" s="101">
        <v>8.7416600000000025E-2</v>
      </c>
    </row>
    <row r="10" spans="1:8" ht="15.75" customHeight="1" x14ac:dyDescent="0.25">
      <c r="B10" s="19" t="s">
        <v>75</v>
      </c>
      <c r="C10" s="101">
        <v>0.11217340000000001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82</v>
      </c>
      <c r="C15" s="101">
        <v>0.1457257056059359</v>
      </c>
      <c r="D15" s="101">
        <v>0.1457257056059359</v>
      </c>
      <c r="E15" s="101">
        <v>0.1457257056059359</v>
      </c>
      <c r="F15" s="101">
        <v>0.1457257056059359</v>
      </c>
    </row>
    <row r="16" spans="1:8" ht="15.75" customHeight="1" x14ac:dyDescent="0.25">
      <c r="B16" s="19" t="s">
        <v>83</v>
      </c>
      <c r="C16" s="101">
        <v>3.6673544337957442E-2</v>
      </c>
      <c r="D16" s="101">
        <v>3.6673544337957442E-2</v>
      </c>
      <c r="E16" s="101">
        <v>3.6673544337957442E-2</v>
      </c>
      <c r="F16" s="101">
        <v>3.6673544337957442E-2</v>
      </c>
    </row>
    <row r="17" spans="1:8" ht="15.75" customHeight="1" x14ac:dyDescent="0.25">
      <c r="B17" s="19" t="s">
        <v>84</v>
      </c>
      <c r="C17" s="101">
        <v>9.8008104921843586E-2</v>
      </c>
      <c r="D17" s="101">
        <v>9.8008104921843586E-2</v>
      </c>
      <c r="E17" s="101">
        <v>9.8008104921843586E-2</v>
      </c>
      <c r="F17" s="101">
        <v>9.8008104921843586E-2</v>
      </c>
    </row>
    <row r="18" spans="1:8" ht="15.75" customHeight="1" x14ac:dyDescent="0.25">
      <c r="B18" s="19" t="s">
        <v>85</v>
      </c>
      <c r="C18" s="101">
        <v>0.135975881764268</v>
      </c>
      <c r="D18" s="101">
        <v>0.135975881764268</v>
      </c>
      <c r="E18" s="101">
        <v>0.135975881764268</v>
      </c>
      <c r="F18" s="101">
        <v>0.135975881764268</v>
      </c>
    </row>
    <row r="19" spans="1:8" ht="15.75" customHeight="1" x14ac:dyDescent="0.25">
      <c r="B19" s="19" t="s">
        <v>86</v>
      </c>
      <c r="C19" s="101">
        <v>6.2473064113144711E-2</v>
      </c>
      <c r="D19" s="101">
        <v>6.2473064113144711E-2</v>
      </c>
      <c r="E19" s="101">
        <v>6.2473064113144711E-2</v>
      </c>
      <c r="F19" s="101">
        <v>6.2473064113144711E-2</v>
      </c>
    </row>
    <row r="20" spans="1:8" ht="15.75" customHeight="1" x14ac:dyDescent="0.25">
      <c r="B20" s="19" t="s">
        <v>87</v>
      </c>
      <c r="C20" s="101">
        <v>8.6546694608013008E-2</v>
      </c>
      <c r="D20" s="101">
        <v>8.6546694608013008E-2</v>
      </c>
      <c r="E20" s="101">
        <v>8.6546694608013008E-2</v>
      </c>
      <c r="F20" s="101">
        <v>8.6546694608013008E-2</v>
      </c>
    </row>
    <row r="21" spans="1:8" ht="15.75" customHeight="1" x14ac:dyDescent="0.25">
      <c r="B21" s="19" t="s">
        <v>88</v>
      </c>
      <c r="C21" s="101">
        <v>8.7176531093682147E-2</v>
      </c>
      <c r="D21" s="101">
        <v>8.7176531093682147E-2</v>
      </c>
      <c r="E21" s="101">
        <v>8.7176531093682147E-2</v>
      </c>
      <c r="F21" s="101">
        <v>8.7176531093682147E-2</v>
      </c>
    </row>
    <row r="22" spans="1:8" ht="15.75" customHeight="1" x14ac:dyDescent="0.25">
      <c r="B22" s="19" t="s">
        <v>89</v>
      </c>
      <c r="C22" s="101">
        <v>0.1887353939572296</v>
      </c>
      <c r="D22" s="101">
        <v>0.1887353939572296</v>
      </c>
      <c r="E22" s="101">
        <v>0.1887353939572296</v>
      </c>
      <c r="F22" s="101">
        <v>0.1887353939572296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9.5711987999999998E-2</v>
      </c>
    </row>
    <row r="27" spans="1:8" ht="15.75" customHeight="1" x14ac:dyDescent="0.25">
      <c r="B27" s="19" t="s">
        <v>92</v>
      </c>
      <c r="C27" s="101">
        <v>4.2970438999999999E-2</v>
      </c>
    </row>
    <row r="28" spans="1:8" ht="15.75" customHeight="1" x14ac:dyDescent="0.25">
      <c r="B28" s="19" t="s">
        <v>93</v>
      </c>
      <c r="C28" s="101">
        <v>0.19642078600000001</v>
      </c>
    </row>
    <row r="29" spans="1:8" ht="15.75" customHeight="1" x14ac:dyDescent="0.25">
      <c r="B29" s="19" t="s">
        <v>94</v>
      </c>
      <c r="C29" s="101">
        <v>0.206894785</v>
      </c>
    </row>
    <row r="30" spans="1:8" ht="15.75" customHeight="1" x14ac:dyDescent="0.25">
      <c r="B30" s="19" t="s">
        <v>95</v>
      </c>
      <c r="C30" s="101">
        <v>2.7698743000000001E-2</v>
      </c>
    </row>
    <row r="31" spans="1:8" ht="15.75" customHeight="1" x14ac:dyDescent="0.25">
      <c r="B31" s="19" t="s">
        <v>96</v>
      </c>
      <c r="C31" s="101">
        <v>0.20935653800000001</v>
      </c>
    </row>
    <row r="32" spans="1:8" ht="15.75" customHeight="1" x14ac:dyDescent="0.25">
      <c r="B32" s="19" t="s">
        <v>97</v>
      </c>
      <c r="C32" s="101">
        <v>1.2451637999999999E-2</v>
      </c>
    </row>
    <row r="33" spans="2:3" ht="15.75" customHeight="1" x14ac:dyDescent="0.25">
      <c r="B33" s="19" t="s">
        <v>98</v>
      </c>
      <c r="C33" s="101">
        <v>5.1474696E-2</v>
      </c>
    </row>
    <row r="34" spans="2:3" ht="15.75" customHeight="1" x14ac:dyDescent="0.25">
      <c r="B34" s="19" t="s">
        <v>99</v>
      </c>
      <c r="C34" s="101">
        <v>0.15702038800000001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104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105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109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110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0.77009803950000011</v>
      </c>
      <c r="D14" s="54">
        <v>0.75845489217399997</v>
      </c>
      <c r="E14" s="54">
        <v>0.75845489217399997</v>
      </c>
      <c r="F14" s="54">
        <v>0.60551019102899994</v>
      </c>
      <c r="G14" s="54">
        <v>0.60551019102899994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0.31242954472318951</v>
      </c>
      <c r="D15" s="52">
        <f t="shared" si="0"/>
        <v>0.30770590820988397</v>
      </c>
      <c r="E15" s="52">
        <f t="shared" si="0"/>
        <v>0.30770590820988397</v>
      </c>
      <c r="F15" s="52">
        <f t="shared" si="0"/>
        <v>0.2456560900106563</v>
      </c>
      <c r="G15" s="52">
        <f t="shared" si="0"/>
        <v>0.2456560900106563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4.4279100000000016E-2</v>
      </c>
      <c r="D5" s="52">
        <f t="shared" si="0"/>
        <v>0.10630519999999999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8820.3473368231607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0.26804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0.41104000000000002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7.7445127724982193E-3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95775.478449999995</v>
      </c>
      <c r="C22" s="109">
        <v>95268.875050000002</v>
      </c>
      <c r="D22" s="109">
        <v>94620.67052</v>
      </c>
      <c r="E22" s="109">
        <v>94092.716570000004</v>
      </c>
      <c r="F22" s="109">
        <v>93341.483800000002</v>
      </c>
      <c r="G22" s="109">
        <v>92423.458759999994</v>
      </c>
      <c r="H22" s="109">
        <v>91171.408689999997</v>
      </c>
      <c r="I22" s="109">
        <v>89390.063110000003</v>
      </c>
      <c r="J22" s="109">
        <v>86861.316219999993</v>
      </c>
      <c r="K22" s="109">
        <v>83394.796040000001</v>
      </c>
      <c r="L22" s="109">
        <v>78691.335470000005</v>
      </c>
      <c r="M22" s="109">
        <v>72628.909270000004</v>
      </c>
      <c r="N22" s="109">
        <v>64639.227319999998</v>
      </c>
      <c r="O22" s="109">
        <v>54570.89415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18.025735670419653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18.025735670419653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5.2668836507008754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0.56149571024496792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0.70706266146872643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0.19283348666053357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0.3935863</v>
      </c>
      <c r="C10" s="98">
        <v>0.95</v>
      </c>
      <c r="D10" s="56">
        <v>13.446378219451059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13.446378219451059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13.446378219451059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13.446378219451059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0.3935863</v>
      </c>
      <c r="C14" s="98">
        <v>0.95</v>
      </c>
      <c r="D14" s="56">
        <v>13.446378219451059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13.446378219451059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0.50625290000000001</v>
      </c>
      <c r="C16" s="98">
        <v>0.95</v>
      </c>
      <c r="D16" s="56">
        <v>2.8407188685968858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0.35500000000000004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0.33</v>
      </c>
      <c r="C18" s="98">
        <v>0.95</v>
      </c>
      <c r="D18" s="56">
        <v>5.2668836507008754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0.1464792</v>
      </c>
      <c r="C19" s="98">
        <v>0.95</v>
      </c>
      <c r="D19" s="56">
        <v>7.2861200073283072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2.1939130069251829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5.2668836507008754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0.18503539999999999</v>
      </c>
      <c r="C23" s="98">
        <v>0.95</v>
      </c>
      <c r="D23" s="56">
        <v>4.5507118970106513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0.87473390287197805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0.3935863</v>
      </c>
      <c r="C26" s="98">
        <v>0.95</v>
      </c>
      <c r="D26" s="56">
        <v>3.8681355531509101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13.457928721749347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0.199735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0.26319480000000001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44.783843336315748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126.62714253872848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0.46210405728622134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0.2726925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0.1465804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0.88436610000000004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3.5000000000000003E-2</v>
      </c>
      <c r="C38" s="98">
        <v>0.95</v>
      </c>
      <c r="D38" s="56">
        <v>4.0706758054007581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3.4125000000000001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2.9119999999999999</v>
      </c>
      <c r="C2" s="21">
        <f>'Baseline year population inputs'!C52</f>
        <v>2.9119999999999999</v>
      </c>
      <c r="D2" s="21">
        <f>'Baseline year population inputs'!C53</f>
        <v>5.7720000000000002</v>
      </c>
      <c r="E2" s="21">
        <f>'Baseline year population inputs'!C54</f>
        <v>6.0060000000000002</v>
      </c>
      <c r="F2" s="21">
        <f>'Baseline year population inputs'!C55</f>
        <v>3.631333333333334</v>
      </c>
    </row>
    <row r="3" spans="1:6" ht="15.75" customHeight="1" x14ac:dyDescent="0.25">
      <c r="A3" s="3" t="s">
        <v>197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198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3.4000000000000002E-2</v>
      </c>
      <c r="F2" s="60">
        <f>food_insecure</f>
        <v>3.4000000000000002E-2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3.4000000000000002E-2</v>
      </c>
      <c r="F5" s="60">
        <f>food_insecure</f>
        <v>3.4000000000000002E-2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6.3534545454545455E-2</v>
      </c>
      <c r="D7" s="60">
        <f>diarrhoea_1_5mo*frac_diarrhea_severe</f>
        <v>6.3534545454545455E-2</v>
      </c>
      <c r="E7" s="60">
        <f>diarrhoea_6_11mo*frac_diarrhea_severe</f>
        <v>0.12593454545454547</v>
      </c>
      <c r="F7" s="60">
        <f>diarrhoea_12_23mo*frac_diarrhea_severe</f>
        <v>0.13104000000000002</v>
      </c>
      <c r="G7" s="60">
        <f>diarrhoea_24_59mo*frac_diarrhea_severe</f>
        <v>7.922909090909093E-2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3.4000000000000002E-2</v>
      </c>
      <c r="F8" s="60">
        <f>food_insecure</f>
        <v>3.4000000000000002E-2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3.4000000000000002E-2</v>
      </c>
      <c r="F9" s="60">
        <f>food_insecure</f>
        <v>3.4000000000000002E-2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6.3534545454545455E-2</v>
      </c>
      <c r="D12" s="60">
        <f>diarrhoea_1_5mo*frac_diarrhea_severe</f>
        <v>6.3534545454545455E-2</v>
      </c>
      <c r="E12" s="60">
        <f>diarrhoea_6_11mo*frac_diarrhea_severe</f>
        <v>0.12593454545454547</v>
      </c>
      <c r="F12" s="60">
        <f>diarrhoea_12_23mo*frac_diarrhea_severe</f>
        <v>0.13104000000000002</v>
      </c>
      <c r="G12" s="60">
        <f>diarrhoea_24_59mo*frac_diarrhea_severe</f>
        <v>7.922909090909093E-2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3.4000000000000002E-2</v>
      </c>
      <c r="I15" s="60">
        <f t="shared" si="0"/>
        <v>3.4000000000000002E-2</v>
      </c>
      <c r="J15" s="60">
        <f t="shared" si="0"/>
        <v>3.4000000000000002E-2</v>
      </c>
      <c r="K15" s="60">
        <f t="shared" si="0"/>
        <v>3.4000000000000002E-2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3.4000000000000002E-2</v>
      </c>
      <c r="I16" s="60">
        <f t="shared" si="0"/>
        <v>3.4000000000000002E-2</v>
      </c>
      <c r="J16" s="60">
        <f t="shared" si="0"/>
        <v>3.4000000000000002E-2</v>
      </c>
      <c r="K16" s="60">
        <f t="shared" si="0"/>
        <v>3.4000000000000002E-2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0.66299999999999992</v>
      </c>
      <c r="M24" s="60">
        <f>famplan_unmet_need</f>
        <v>0.66299999999999992</v>
      </c>
      <c r="N24" s="60">
        <f>famplan_unmet_need</f>
        <v>0.66299999999999992</v>
      </c>
      <c r="O24" s="60">
        <f>famplan_unmet_need</f>
        <v>0.66299999999999992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0.33505584958288803</v>
      </c>
      <c r="M25" s="60">
        <f>(1-food_insecure)*(0.49)+food_insecure*(0.7)</f>
        <v>0.49713999999999997</v>
      </c>
      <c r="N25" s="60">
        <f>(1-food_insecure)*(0.49)+food_insecure*(0.7)</f>
        <v>0.49713999999999997</v>
      </c>
      <c r="O25" s="60">
        <f>(1-food_insecure)*(0.49)+food_insecure*(0.7)</f>
        <v>0.49713999999999997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0.14359536410695201</v>
      </c>
      <c r="M26" s="60">
        <f>(1-food_insecure)*(0.21)+food_insecure*(0.3)</f>
        <v>0.21305999999999997</v>
      </c>
      <c r="N26" s="60">
        <f>(1-food_insecure)*(0.21)+food_insecure*(0.3)</f>
        <v>0.21305999999999997</v>
      </c>
      <c r="O26" s="60">
        <f>(1-food_insecure)*(0.21)+food_insecure*(0.3)</f>
        <v>0.21305999999999997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0.19531557551016002</v>
      </c>
      <c r="M27" s="60">
        <f>(1-food_insecure)*(0.3)</f>
        <v>0.2898</v>
      </c>
      <c r="N27" s="60">
        <f>(1-food_insecure)*(0.3)</f>
        <v>0.2898</v>
      </c>
      <c r="O27" s="60">
        <f>(1-food_insecure)*(0.3)</f>
        <v>0.2898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