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9F05108-CE7B-41BE-AE5D-55D07DBE5E44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4" i="2" l="1"/>
  <c r="A15" i="2"/>
  <c r="A23" i="2"/>
  <c r="A31" i="2"/>
  <c r="A22" i="2"/>
  <c r="A30" i="2"/>
  <c r="A38" i="2"/>
  <c r="A40" i="2"/>
  <c r="A17" i="2"/>
  <c r="A25" i="2"/>
  <c r="A33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<sst xmlns="http://schemas.openxmlformats.org/spreadsheetml/2006/main" count="2094" uniqueCount="341">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</sst>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309928.00390625</v>
      </c>
    </row>
    <row r="8" spans="1:3" ht="15" customHeight="1" x14ac:dyDescent="0.25">
      <c r="B8" s="5" t="s">
        <v>8</v>
      </c>
      <c r="C8" s="44">
        <v>3.4000000000000002E-2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0.13100000000000001</v>
      </c>
    </row>
    <row r="24" spans="1:3" ht="15" customHeight="1" x14ac:dyDescent="0.25">
      <c r="B24" s="15" t="s">
        <v>22</v>
      </c>
      <c r="C24" s="45">
        <v>0.434</v>
      </c>
    </row>
    <row r="25" spans="1:3" ht="15" customHeight="1" x14ac:dyDescent="0.25">
      <c r="B25" s="15" t="s">
        <v>23</v>
      </c>
      <c r="C25" s="45">
        <v>0.35249999999999998</v>
      </c>
    </row>
    <row r="26" spans="1:3" ht="15" customHeight="1" x14ac:dyDescent="0.25">
      <c r="B26" s="15" t="s">
        <v>24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9">
        <v>6.2316367797226199E-2</v>
      </c>
    </row>
    <row r="31" spans="1:3" ht="14.25" customHeight="1" x14ac:dyDescent="0.25">
      <c r="B31" s="25" t="s">
        <v>28</v>
      </c>
      <c r="C31" s="99">
        <v>9.3002675244955299E-2</v>
      </c>
    </row>
    <row r="32" spans="1:3" ht="14.25" customHeight="1" x14ac:dyDescent="0.25">
      <c r="B32" s="25" t="s">
        <v>29</v>
      </c>
      <c r="C32" s="99">
        <v>0.57727172260250903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0.1421289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63677</v>
      </c>
      <c r="C2" s="49">
        <v>143313</v>
      </c>
      <c r="D2" s="49">
        <v>195755</v>
      </c>
      <c r="E2" s="49">
        <v>177202</v>
      </c>
      <c r="F2" s="49">
        <v>115180.5</v>
      </c>
      <c r="G2" s="17">
        <f t="shared" ref="G2:G13" si="0">C2+D2+E2+F2</f>
        <v>631450.5</v>
      </c>
      <c r="H2" s="17">
        <f t="shared" ref="H2:H13" si="1">(B2 + stillbirth*B2/(1000-stillbirth))/(1-abortion)</f>
        <v>73394.752734632901</v>
      </c>
      <c r="I2" s="17">
        <f t="shared" ref="I2:I13" si="2">G2-H2</f>
        <v>558055.74726536707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63807</v>
      </c>
      <c r="C3" s="50">
        <v>148548</v>
      </c>
      <c r="D3" s="50">
        <v>198936.5</v>
      </c>
      <c r="E3" s="50">
        <v>179286</v>
      </c>
      <c r="F3" s="50">
        <v>119733</v>
      </c>
      <c r="G3" s="17">
        <f t="shared" si="0"/>
        <v>646503.5</v>
      </c>
      <c r="H3" s="17">
        <f t="shared" si="1"/>
        <v>73544.592046401711</v>
      </c>
      <c r="I3" s="17">
        <f t="shared" si="2"/>
        <v>572958.9079535983</v>
      </c>
    </row>
    <row r="4" spans="1:9" ht="15.75" customHeight="1" x14ac:dyDescent="0.25">
      <c r="A4" s="5">
        <f t="shared" si="3"/>
        <v>2026</v>
      </c>
      <c r="B4" s="49">
        <v>64339</v>
      </c>
      <c r="C4" s="50">
        <v>153899</v>
      </c>
      <c r="D4" s="50">
        <v>202834</v>
      </c>
      <c r="E4" s="50">
        <v>180908.5</v>
      </c>
      <c r="F4" s="50">
        <v>124231.5</v>
      </c>
      <c r="G4" s="17">
        <f t="shared" si="0"/>
        <v>661873</v>
      </c>
      <c r="H4" s="17">
        <f t="shared" si="1"/>
        <v>74157.780614563293</v>
      </c>
      <c r="I4" s="17">
        <f t="shared" si="2"/>
        <v>587715.21938543674</v>
      </c>
    </row>
    <row r="5" spans="1:9" ht="15.75" customHeight="1" x14ac:dyDescent="0.25">
      <c r="A5" s="5">
        <f t="shared" si="3"/>
        <v>2027</v>
      </c>
      <c r="B5" s="49">
        <v>64433.000000000007</v>
      </c>
      <c r="C5" s="50">
        <v>159067</v>
      </c>
      <c r="D5" s="50">
        <v>207370.5</v>
      </c>
      <c r="E5" s="50">
        <v>182203</v>
      </c>
      <c r="F5" s="50">
        <v>128641.5</v>
      </c>
      <c r="G5" s="17">
        <f t="shared" si="0"/>
        <v>677282</v>
      </c>
      <c r="H5" s="17">
        <f t="shared" si="1"/>
        <v>74266.125963073049</v>
      </c>
      <c r="I5" s="17">
        <f t="shared" si="2"/>
        <v>603015.87403692701</v>
      </c>
    </row>
    <row r="6" spans="1:9" ht="15.75" customHeight="1" x14ac:dyDescent="0.25">
      <c r="A6" s="5">
        <f t="shared" si="3"/>
        <v>2028</v>
      </c>
      <c r="B6" s="49">
        <v>64745.999999999993</v>
      </c>
      <c r="C6" s="50">
        <v>163956.5</v>
      </c>
      <c r="D6" s="50">
        <v>212478</v>
      </c>
      <c r="E6" s="50">
        <v>183318.5</v>
      </c>
      <c r="F6" s="50">
        <v>132948</v>
      </c>
      <c r="G6" s="17">
        <f t="shared" si="0"/>
        <v>692701</v>
      </c>
      <c r="H6" s="17">
        <f t="shared" si="1"/>
        <v>74626.892921408697</v>
      </c>
      <c r="I6" s="17">
        <f t="shared" si="2"/>
        <v>618074.10707859136</v>
      </c>
    </row>
    <row r="7" spans="1:9" ht="15.75" customHeight="1" x14ac:dyDescent="0.25">
      <c r="A7" s="5">
        <f t="shared" si="3"/>
        <v>2029</v>
      </c>
      <c r="B7" s="49">
        <v>65259</v>
      </c>
      <c r="C7" s="50">
        <v>168345</v>
      </c>
      <c r="D7" s="50">
        <v>218276</v>
      </c>
      <c r="E7" s="50">
        <v>184393</v>
      </c>
      <c r="F7" s="50">
        <v>137131</v>
      </c>
      <c r="G7" s="17">
        <f t="shared" si="0"/>
        <v>708145</v>
      </c>
      <c r="H7" s="17">
        <f t="shared" si="1"/>
        <v>75218.181897850227</v>
      </c>
      <c r="I7" s="17">
        <f t="shared" si="2"/>
        <v>632926.81810214976</v>
      </c>
    </row>
    <row r="8" spans="1:9" ht="15.75" customHeight="1" x14ac:dyDescent="0.25">
      <c r="A8" s="5">
        <f t="shared" si="3"/>
        <v>2030</v>
      </c>
      <c r="B8" s="49">
        <v>65815</v>
      </c>
      <c r="C8" s="50">
        <v>171968.5</v>
      </c>
      <c r="D8" s="50">
        <v>224812</v>
      </c>
      <c r="E8" s="50">
        <v>185599.5</v>
      </c>
      <c r="F8" s="50">
        <v>141077</v>
      </c>
      <c r="G8" s="17">
        <f t="shared" si="0"/>
        <v>723457</v>
      </c>
      <c r="H8" s="17">
        <f t="shared" si="1"/>
        <v>75859.033108184507</v>
      </c>
      <c r="I8" s="17">
        <f t="shared" si="2"/>
        <v>647597.96689181554</v>
      </c>
    </row>
    <row r="9" spans="1:9" ht="15.75" customHeight="1" x14ac:dyDescent="0.25">
      <c r="A9" s="5">
        <f t="shared" si="3"/>
        <v>2031</v>
      </c>
      <c r="B9" s="49">
        <v>66644</v>
      </c>
      <c r="C9" s="50">
        <v>174749</v>
      </c>
      <c r="D9" s="50">
        <v>231981.5</v>
      </c>
      <c r="E9" s="50">
        <v>187032.5</v>
      </c>
      <c r="F9" s="50">
        <v>144672</v>
      </c>
      <c r="G9" s="17">
        <f t="shared" si="0"/>
        <v>738435</v>
      </c>
      <c r="H9" s="17">
        <f t="shared" si="1"/>
        <v>76814.546873233281</v>
      </c>
      <c r="I9" s="17">
        <f t="shared" si="2"/>
        <v>661620.45312676672</v>
      </c>
    </row>
    <row r="10" spans="1:9" ht="15.75" customHeight="1" x14ac:dyDescent="0.25">
      <c r="A10" s="5">
        <f t="shared" si="3"/>
        <v>2032</v>
      </c>
      <c r="B10" s="49">
        <v>67107</v>
      </c>
      <c r="C10" s="50">
        <v>176838</v>
      </c>
      <c r="D10" s="50">
        <v>239525.5</v>
      </c>
      <c r="E10" s="50">
        <v>188715</v>
      </c>
      <c r="F10" s="50">
        <v>147918</v>
      </c>
      <c r="G10" s="17">
        <f t="shared" si="0"/>
        <v>752996.5</v>
      </c>
      <c r="H10" s="17">
        <f t="shared" si="1"/>
        <v>77348.205345148337</v>
      </c>
      <c r="I10" s="17">
        <f t="shared" si="2"/>
        <v>675648.29465485166</v>
      </c>
    </row>
    <row r="11" spans="1:9" ht="15.75" customHeight="1" x14ac:dyDescent="0.25">
      <c r="A11" s="5">
        <f t="shared" si="3"/>
        <v>2033</v>
      </c>
      <c r="B11" s="49">
        <v>67819</v>
      </c>
      <c r="C11" s="50">
        <v>178408.5</v>
      </c>
      <c r="D11" s="50">
        <v>247172</v>
      </c>
      <c r="E11" s="50">
        <v>190716.5</v>
      </c>
      <c r="F11" s="50">
        <v>150830.5</v>
      </c>
      <c r="G11" s="17">
        <f t="shared" si="0"/>
        <v>767127.5</v>
      </c>
      <c r="H11" s="17">
        <f t="shared" si="1"/>
        <v>78168.863729605189</v>
      </c>
      <c r="I11" s="17">
        <f t="shared" si="2"/>
        <v>688958.63627039478</v>
      </c>
    </row>
    <row r="12" spans="1:9" ht="15.75" customHeight="1" x14ac:dyDescent="0.25">
      <c r="A12" s="5">
        <f t="shared" si="3"/>
        <v>2034</v>
      </c>
      <c r="B12" s="49">
        <v>68127</v>
      </c>
      <c r="C12" s="50">
        <v>179486</v>
      </c>
      <c r="D12" s="50">
        <v>254813.5</v>
      </c>
      <c r="E12" s="50">
        <v>193218</v>
      </c>
      <c r="F12" s="50">
        <v>153410.5</v>
      </c>
      <c r="G12" s="17">
        <f t="shared" si="0"/>
        <v>780928</v>
      </c>
      <c r="H12" s="17">
        <f t="shared" si="1"/>
        <v>78523.867637488205</v>
      </c>
      <c r="I12" s="17">
        <f t="shared" si="2"/>
        <v>702404.13236251182</v>
      </c>
    </row>
    <row r="13" spans="1:9" ht="15.75" customHeight="1" x14ac:dyDescent="0.25">
      <c r="A13" s="5">
        <f t="shared" si="3"/>
        <v>2035</v>
      </c>
      <c r="B13" s="49">
        <v>68999</v>
      </c>
      <c r="C13" s="50">
        <v>180144.5</v>
      </c>
      <c r="D13" s="50">
        <v>262289</v>
      </c>
      <c r="E13" s="50">
        <v>196403</v>
      </c>
      <c r="F13" s="50">
        <v>155577</v>
      </c>
      <c r="G13" s="17">
        <f t="shared" si="0"/>
        <v>794413.5</v>
      </c>
      <c r="H13" s="17">
        <f t="shared" si="1"/>
        <v>79528.943636429743</v>
      </c>
      <c r="I13" s="17">
        <f t="shared" si="2"/>
        <v>714884.55636357027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101">
        <v>5.4278499999999973E-2</v>
      </c>
    </row>
    <row r="5" spans="1:8" ht="15.75" customHeight="1" x14ac:dyDescent="0.25">
      <c r="B5" s="19" t="s">
        <v>70</v>
      </c>
      <c r="C5" s="101">
        <v>6.8896700000000047E-2</v>
      </c>
    </row>
    <row r="6" spans="1:8" ht="15.75" customHeight="1" x14ac:dyDescent="0.25">
      <c r="B6" s="19" t="s">
        <v>71</v>
      </c>
      <c r="C6" s="101">
        <v>0.2405291000000005</v>
      </c>
    </row>
    <row r="7" spans="1:8" ht="15.75" customHeight="1" x14ac:dyDescent="0.25">
      <c r="B7" s="19" t="s">
        <v>72</v>
      </c>
      <c r="C7" s="101">
        <v>0.42675559999999951</v>
      </c>
    </row>
    <row r="8" spans="1:8" ht="15.75" customHeight="1" x14ac:dyDescent="0.25">
      <c r="B8" s="19" t="s">
        <v>73</v>
      </c>
      <c r="C8" s="101">
        <v>1.9896999999999992E-3</v>
      </c>
    </row>
    <row r="9" spans="1:8" ht="15.75" customHeight="1" x14ac:dyDescent="0.25">
      <c r="B9" s="19" t="s">
        <v>74</v>
      </c>
      <c r="C9" s="101">
        <v>8.7416600000000025E-2</v>
      </c>
    </row>
    <row r="10" spans="1:8" ht="15.75" customHeight="1" x14ac:dyDescent="0.25">
      <c r="B10" s="19" t="s">
        <v>75</v>
      </c>
      <c r="C10" s="101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83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84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85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86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87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89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101">
        <v>4.2970438999999999E-2</v>
      </c>
    </row>
    <row r="28" spans="1:8" ht="15.75" customHeight="1" x14ac:dyDescent="0.25">
      <c r="B28" s="19" t="s">
        <v>93</v>
      </c>
      <c r="C28" s="101">
        <v>0.19642078600000001</v>
      </c>
    </row>
    <row r="29" spans="1:8" ht="15.75" customHeight="1" x14ac:dyDescent="0.25">
      <c r="B29" s="19" t="s">
        <v>94</v>
      </c>
      <c r="C29" s="101">
        <v>0.206894785</v>
      </c>
    </row>
    <row r="30" spans="1:8" ht="15.75" customHeight="1" x14ac:dyDescent="0.25">
      <c r="B30" s="19" t="s">
        <v>95</v>
      </c>
      <c r="C30" s="101">
        <v>2.7698743000000001E-2</v>
      </c>
    </row>
    <row r="31" spans="1:8" ht="15.75" customHeight="1" x14ac:dyDescent="0.25">
      <c r="B31" s="19" t="s">
        <v>96</v>
      </c>
      <c r="C31" s="101">
        <v>0.20935653800000001</v>
      </c>
    </row>
    <row r="32" spans="1:8" ht="15.75" customHeight="1" x14ac:dyDescent="0.25">
      <c r="B32" s="19" t="s">
        <v>97</v>
      </c>
      <c r="C32" s="101">
        <v>1.2451637999999999E-2</v>
      </c>
    </row>
    <row r="33" spans="2:3" ht="15.75" customHeight="1" x14ac:dyDescent="0.25">
      <c r="B33" s="19" t="s">
        <v>98</v>
      </c>
      <c r="C33" s="101">
        <v>5.1474696E-2</v>
      </c>
    </row>
    <row r="34" spans="2:3" ht="15.75" customHeight="1" x14ac:dyDescent="0.25">
      <c r="B34" s="19" t="s">
        <v>99</v>
      </c>
      <c r="C34" s="101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77.390193053910821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0.51482233818000001</v>
      </c>
      <c r="C3" s="98">
        <v>0.95</v>
      </c>
      <c r="D3" s="56">
        <v>40.314078775655148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717.93406611531384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1.953366982272418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0.3935863</v>
      </c>
      <c r="C10" s="98">
        <v>0.95</v>
      </c>
      <c r="D10" s="56">
        <v>13.446378219451059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0.3935863</v>
      </c>
      <c r="C11" s="98">
        <v>0.95</v>
      </c>
      <c r="D11" s="56">
        <v>13.446378219451059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0.3935863</v>
      </c>
      <c r="C12" s="98">
        <v>0.95</v>
      </c>
      <c r="D12" s="56">
        <v>13.446378219451059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0.3935863</v>
      </c>
      <c r="C13" s="98">
        <v>0.95</v>
      </c>
      <c r="D13" s="56">
        <v>13.446378219451059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0.3935863</v>
      </c>
      <c r="C14" s="98">
        <v>0.95</v>
      </c>
      <c r="D14" s="56">
        <v>13.446378219451059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0.3935863</v>
      </c>
      <c r="C15" s="98">
        <v>0.95</v>
      </c>
      <c r="D15" s="56">
        <v>13.446378219451059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1.1530314605155489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0.20358792550999999</v>
      </c>
      <c r="C18" s="98">
        <v>0.95</v>
      </c>
      <c r="D18" s="56">
        <v>16.459595752364979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0.49896239999999997</v>
      </c>
      <c r="C19" s="98">
        <v>0.95</v>
      </c>
      <c r="D19" s="56">
        <v>16.459595752364979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0.88436610000000004</v>
      </c>
      <c r="C21" s="98">
        <v>0.95</v>
      </c>
      <c r="D21" s="56">
        <v>15.053841697970229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23.431813824225639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4.5507118970106513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0.92389554679604402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0.3935863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19.019954364099402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0.75406460082703308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157.83610683338631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0.93338364466171397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2.5205892106452601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0.26319480000000001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0.199735</v>
      </c>
      <c r="C38" s="98">
        <v>0.95</v>
      </c>
      <c r="D38" s="56">
        <v>6.6808099719985172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205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75F7A0-CAD1-4912-9D68-873C37B10A98}"/>
</file>

<file path=customXml/itemProps2.xml><?xml version="1.0" encoding="utf-8"?>
<ds:datastoreItem xmlns:ds="http://schemas.openxmlformats.org/officeDocument/2006/customXml" ds:itemID="{A42644D0-44AC-4F67-B75E-8B3B52B3FA3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2024-04-11T00:40:33Z</dcterms:modified>
</cp:coreProperties>
</file>