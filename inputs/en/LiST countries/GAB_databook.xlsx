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B662817-944E-4D38-B61E-1924015AC023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27" i="2"/>
  <c r="A19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  <c r="A32" i="2"/>
  <c r="A17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<sst xmlns="http://schemas.openxmlformats.org/spreadsheetml/2006/main" count="2092" uniqueCount="341">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</sst>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0.13100000000000001</v>
      </c>
    </row>
    <row r="24" spans="1:3" ht="15" customHeight="1" x14ac:dyDescent="0.25">
      <c r="B24" s="15" t="s">
        <v>22</v>
      </c>
      <c r="C24" s="45">
        <v>0.434</v>
      </c>
    </row>
    <row r="25" spans="1:3" ht="15" customHeight="1" x14ac:dyDescent="0.25">
      <c r="B25" s="15" t="s">
        <v>23</v>
      </c>
      <c r="C25" s="45">
        <v>0.35249999999999998</v>
      </c>
    </row>
    <row r="26" spans="1:3" ht="15" customHeight="1" x14ac:dyDescent="0.25">
      <c r="B26" s="15" t="s">
        <v>24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0.1421289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58535.684999999998</v>
      </c>
      <c r="C2" s="49">
        <v>108000</v>
      </c>
      <c r="D2" s="49">
        <v>182000</v>
      </c>
      <c r="E2" s="49">
        <v>162000</v>
      </c>
      <c r="F2" s="49">
        <v>122000</v>
      </c>
      <c r="G2" s="17">
        <f t="shared" ref="G2:G13" si="0">C2+D2+E2+F2</f>
        <v>574000</v>
      </c>
      <c r="H2" s="17">
        <f t="shared" ref="H2:H13" si="1">(B2 + stillbirth*B2/(1000-stillbirth))/(1-abortion)</f>
        <v>67468.821187043359</v>
      </c>
      <c r="I2" s="17">
        <f t="shared" ref="I2:I13" si="2">G2-H2</f>
        <v>506531.17881295667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58492.570000000007</v>
      </c>
      <c r="C3" s="50">
        <v>112000</v>
      </c>
      <c r="D3" s="50">
        <v>185000</v>
      </c>
      <c r="E3" s="50">
        <v>165000</v>
      </c>
      <c r="F3" s="50">
        <v>126000</v>
      </c>
      <c r="G3" s="17">
        <f t="shared" si="0"/>
        <v>588000</v>
      </c>
      <c r="H3" s="17">
        <f t="shared" si="1"/>
        <v>67419.126402990209</v>
      </c>
      <c r="I3" s="17">
        <f t="shared" si="2"/>
        <v>520580.87359700981</v>
      </c>
    </row>
    <row r="4" spans="1:9" ht="15.75" customHeight="1" x14ac:dyDescent="0.25">
      <c r="A4" s="5">
        <f t="shared" si="3"/>
        <v>2026</v>
      </c>
      <c r="B4" s="49">
        <v>58786.896000000001</v>
      </c>
      <c r="C4" s="50">
        <v>116000</v>
      </c>
      <c r="D4" s="50">
        <v>189000</v>
      </c>
      <c r="E4" s="50">
        <v>167000</v>
      </c>
      <c r="F4" s="50">
        <v>130000</v>
      </c>
      <c r="G4" s="17">
        <f t="shared" si="0"/>
        <v>602000</v>
      </c>
      <c r="H4" s="17">
        <f t="shared" si="1"/>
        <v>67758.369520495311</v>
      </c>
      <c r="I4" s="17">
        <f t="shared" si="2"/>
        <v>534241.6304795047</v>
      </c>
    </row>
    <row r="5" spans="1:9" ht="15.75" customHeight="1" x14ac:dyDescent="0.25">
      <c r="A5" s="5">
        <f t="shared" si="3"/>
        <v>2027</v>
      </c>
      <c r="B5" s="49">
        <v>59076.408000000003</v>
      </c>
      <c r="C5" s="50">
        <v>119000</v>
      </c>
      <c r="D5" s="50">
        <v>192000</v>
      </c>
      <c r="E5" s="50">
        <v>168000</v>
      </c>
      <c r="F5" s="50">
        <v>134000</v>
      </c>
      <c r="G5" s="17">
        <f t="shared" si="0"/>
        <v>613000</v>
      </c>
      <c r="H5" s="17">
        <f t="shared" si="1"/>
        <v>68092.063973024633</v>
      </c>
      <c r="I5" s="17">
        <f t="shared" si="2"/>
        <v>544907.9360269754</v>
      </c>
    </row>
    <row r="6" spans="1:9" ht="15.75" customHeight="1" x14ac:dyDescent="0.25">
      <c r="A6" s="5">
        <f t="shared" si="3"/>
        <v>2028</v>
      </c>
      <c r="B6" s="49">
        <v>59312.748800000001</v>
      </c>
      <c r="C6" s="50">
        <v>123000</v>
      </c>
      <c r="D6" s="50">
        <v>196000</v>
      </c>
      <c r="E6" s="50">
        <v>170000</v>
      </c>
      <c r="F6" s="50">
        <v>138000</v>
      </c>
      <c r="G6" s="17">
        <f t="shared" si="0"/>
        <v>627000</v>
      </c>
      <c r="H6" s="17">
        <f t="shared" si="1"/>
        <v>68364.472763908387</v>
      </c>
      <c r="I6" s="17">
        <f t="shared" si="2"/>
        <v>558635.52723609167</v>
      </c>
    </row>
    <row r="7" spans="1:9" ht="15.75" customHeight="1" x14ac:dyDescent="0.25">
      <c r="A7" s="5">
        <f t="shared" si="3"/>
        <v>2029</v>
      </c>
      <c r="B7" s="49">
        <v>59543.6204</v>
      </c>
      <c r="C7" s="50">
        <v>127000</v>
      </c>
      <c r="D7" s="50">
        <v>202000</v>
      </c>
      <c r="E7" s="50">
        <v>171000</v>
      </c>
      <c r="F7" s="50">
        <v>142000</v>
      </c>
      <c r="G7" s="17">
        <f t="shared" si="0"/>
        <v>642000</v>
      </c>
      <c r="H7" s="17">
        <f t="shared" si="1"/>
        <v>68630.577699685033</v>
      </c>
      <c r="I7" s="17">
        <f t="shared" si="2"/>
        <v>573369.422300315</v>
      </c>
    </row>
    <row r="8" spans="1:9" ht="15.75" customHeight="1" x14ac:dyDescent="0.25">
      <c r="A8" s="5">
        <f t="shared" si="3"/>
        <v>2030</v>
      </c>
      <c r="B8" s="49">
        <v>59745.008000000002</v>
      </c>
      <c r="C8" s="50">
        <v>130000</v>
      </c>
      <c r="D8" s="50">
        <v>207000</v>
      </c>
      <c r="E8" s="50">
        <v>172000</v>
      </c>
      <c r="F8" s="50">
        <v>146000</v>
      </c>
      <c r="G8" s="17">
        <f t="shared" si="0"/>
        <v>655000</v>
      </c>
      <c r="H8" s="17">
        <f t="shared" si="1"/>
        <v>68862.699079552505</v>
      </c>
      <c r="I8" s="17">
        <f t="shared" si="2"/>
        <v>586137.30092044745</v>
      </c>
    </row>
    <row r="9" spans="1:9" ht="15.75" customHeight="1" x14ac:dyDescent="0.25">
      <c r="A9" s="5">
        <f t="shared" si="3"/>
        <v>2031</v>
      </c>
      <c r="B9" s="49">
        <v>59917.768428571428</v>
      </c>
      <c r="C9" s="50">
        <v>133142.8571428571</v>
      </c>
      <c r="D9" s="50">
        <v>210571.42857142861</v>
      </c>
      <c r="E9" s="50">
        <v>173428.57142857139</v>
      </c>
      <c r="F9" s="50">
        <v>149428.57142857139</v>
      </c>
      <c r="G9" s="17">
        <f t="shared" si="0"/>
        <v>666571.42857142841</v>
      </c>
      <c r="H9" s="17">
        <f t="shared" si="1"/>
        <v>69061.824492768093</v>
      </c>
      <c r="I9" s="17">
        <f t="shared" si="2"/>
        <v>597509.60407866025</v>
      </c>
    </row>
    <row r="10" spans="1:9" ht="15.75" customHeight="1" x14ac:dyDescent="0.25">
      <c r="A10" s="5">
        <f t="shared" si="3"/>
        <v>2032</v>
      </c>
      <c r="B10" s="49">
        <v>60121.368204081627</v>
      </c>
      <c r="C10" s="50">
        <v>136163.2653061224</v>
      </c>
      <c r="D10" s="50">
        <v>214224.4897959184</v>
      </c>
      <c r="E10" s="50">
        <v>174632.6530612245</v>
      </c>
      <c r="F10" s="50">
        <v>152775.5102040816</v>
      </c>
      <c r="G10" s="17">
        <f t="shared" si="0"/>
        <v>677795.91836734698</v>
      </c>
      <c r="H10" s="17">
        <f t="shared" si="1"/>
        <v>69296.495648450655</v>
      </c>
      <c r="I10" s="17">
        <f t="shared" si="2"/>
        <v>608499.4227188963</v>
      </c>
    </row>
    <row r="11" spans="1:9" ht="15.75" customHeight="1" x14ac:dyDescent="0.25">
      <c r="A11" s="5">
        <f t="shared" si="3"/>
        <v>2033</v>
      </c>
      <c r="B11" s="49">
        <v>60312.007090378997</v>
      </c>
      <c r="C11" s="50">
        <v>139043.7317784256</v>
      </c>
      <c r="D11" s="50">
        <v>217827.9883381924</v>
      </c>
      <c r="E11" s="50">
        <v>175723.0320699708</v>
      </c>
      <c r="F11" s="50">
        <v>156029.15451895041</v>
      </c>
      <c r="G11" s="17">
        <f t="shared" si="0"/>
        <v>688623.90670553909</v>
      </c>
      <c r="H11" s="17">
        <f t="shared" si="1"/>
        <v>69516.227952444257</v>
      </c>
      <c r="I11" s="17">
        <f t="shared" si="2"/>
        <v>619107.67875309486</v>
      </c>
    </row>
    <row r="12" spans="1:9" ht="15.75" customHeight="1" x14ac:dyDescent="0.25">
      <c r="A12" s="5">
        <f t="shared" si="3"/>
        <v>2034</v>
      </c>
      <c r="B12" s="49">
        <v>60488.521246147429</v>
      </c>
      <c r="C12" s="50">
        <v>141907.1220324864</v>
      </c>
      <c r="D12" s="50">
        <v>221517.7009579342</v>
      </c>
      <c r="E12" s="50">
        <v>176826.32236568091</v>
      </c>
      <c r="F12" s="50">
        <v>159176.17659308619</v>
      </c>
      <c r="G12" s="17">
        <f t="shared" si="0"/>
        <v>699427.32194918778</v>
      </c>
      <c r="H12" s="17">
        <f t="shared" si="1"/>
        <v>69719.679949504207</v>
      </c>
      <c r="I12" s="17">
        <f t="shared" si="2"/>
        <v>629707.64199968358</v>
      </c>
    </row>
    <row r="13" spans="1:9" ht="15.75" customHeight="1" x14ac:dyDescent="0.25">
      <c r="A13" s="5">
        <f t="shared" si="3"/>
        <v>2035</v>
      </c>
      <c r="B13" s="49">
        <v>60656.488738454202</v>
      </c>
      <c r="C13" s="50">
        <v>144608.1394656988</v>
      </c>
      <c r="D13" s="50">
        <v>225163.0868090677</v>
      </c>
      <c r="E13" s="50">
        <v>177801.51127506391</v>
      </c>
      <c r="F13" s="50">
        <v>162201.3446778128</v>
      </c>
      <c r="G13" s="17">
        <f t="shared" si="0"/>
        <v>709774.08222764323</v>
      </c>
      <c r="H13" s="17">
        <f t="shared" si="1"/>
        <v>69913.280976017893</v>
      </c>
      <c r="I13" s="17">
        <f t="shared" si="2"/>
        <v>639860.80125162529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0.25891212092486099</v>
      </c>
      <c r="C2" s="98">
        <v>0.95</v>
      </c>
      <c r="D2" s="56">
        <v>77.390193053910821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40.314078775655148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717.93406611531384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1.841235726526929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13.446378219451059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13.446378219451059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13.446378219451059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13.446378219451059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13.446378219451059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13.446378219451059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0.51482233818000001</v>
      </c>
      <c r="C16" s="98">
        <v>0.95</v>
      </c>
      <c r="D16" s="56">
        <v>1.1530314605155489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16.459595752364979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16.459595752364979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0.2726925</v>
      </c>
      <c r="C21" s="98">
        <v>0.95</v>
      </c>
      <c r="D21" s="56">
        <v>15.053841697970229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23.431813824225639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0.1465804</v>
      </c>
      <c r="C23" s="98">
        <v>0.95</v>
      </c>
      <c r="D23" s="56">
        <v>4.5507118970106513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0.75406460082703308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0.22967761383513899</v>
      </c>
      <c r="C27" s="98">
        <v>0.95</v>
      </c>
      <c r="D27" s="56">
        <v>19.019954364099402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0.199735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157.83610683338631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0.93338364466171397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0.1464792</v>
      </c>
      <c r="C32" s="98">
        <v>0.95</v>
      </c>
      <c r="D32" s="56">
        <v>2.5205892106452601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0.49896239999999997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0.1621195</v>
      </c>
      <c r="C38" s="98">
        <v>0.95</v>
      </c>
      <c r="D38" s="56">
        <v>6.6808099719985172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0.26319480000000001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0.82537326464681748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2024-03-28T03:04:02Z</dcterms:modified>
</cp:coreProperties>
</file>