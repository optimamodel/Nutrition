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6F4773B-13B4-4519-8C6A-3F84EFCE164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<sst xmlns="http://schemas.openxmlformats.org/spreadsheetml/2006/main" count="2092" uniqueCount="341">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</sst>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64997.23291015625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30170.527399999999</v>
      </c>
      <c r="C2" s="49">
        <v>89000</v>
      </c>
      <c r="D2" s="49">
        <v>194000</v>
      </c>
      <c r="E2" s="49">
        <v>330000</v>
      </c>
      <c r="F2" s="49">
        <v>274000</v>
      </c>
      <c r="G2" s="17">
        <f t="shared" ref="G2:G13" si="0">C2+D2+E2+F2</f>
        <v>887000</v>
      </c>
      <c r="H2" s="17">
        <f t="shared" ref="H2:H13" si="1">(B2 + stillbirth*B2/(1000-stillbirth))/(1-abortion)</f>
        <v>34642.841082664927</v>
      </c>
      <c r="I2" s="17">
        <f t="shared" ref="I2:I13" si="2">G2-H2</f>
        <v>852357.15891733509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29411.040000000001</v>
      </c>
      <c r="C3" s="50">
        <v>90000</v>
      </c>
      <c r="D3" s="50">
        <v>185000</v>
      </c>
      <c r="E3" s="50">
        <v>322000</v>
      </c>
      <c r="F3" s="50">
        <v>282000</v>
      </c>
      <c r="G3" s="17">
        <f t="shared" si="0"/>
        <v>879000</v>
      </c>
      <c r="H3" s="17">
        <f t="shared" si="1"/>
        <v>33770.771431589274</v>
      </c>
      <c r="I3" s="17">
        <f t="shared" si="2"/>
        <v>845229.22856841073</v>
      </c>
    </row>
    <row r="4" spans="1:9" ht="15.75" customHeight="1" x14ac:dyDescent="0.25">
      <c r="A4" s="5">
        <f t="shared" si="3"/>
        <v>2026</v>
      </c>
      <c r="B4" s="49">
        <v>28891.2624</v>
      </c>
      <c r="C4" s="50">
        <v>92000</v>
      </c>
      <c r="D4" s="50">
        <v>179000</v>
      </c>
      <c r="E4" s="50">
        <v>308000</v>
      </c>
      <c r="F4" s="50">
        <v>292000</v>
      </c>
      <c r="G4" s="17">
        <f t="shared" si="0"/>
        <v>871000</v>
      </c>
      <c r="H4" s="17">
        <f t="shared" si="1"/>
        <v>33173.944847937018</v>
      </c>
      <c r="I4" s="17">
        <f t="shared" si="2"/>
        <v>837826.05515206303</v>
      </c>
    </row>
    <row r="5" spans="1:9" ht="15.75" customHeight="1" x14ac:dyDescent="0.25">
      <c r="A5" s="5">
        <f t="shared" si="3"/>
        <v>2027</v>
      </c>
      <c r="B5" s="49">
        <v>28366.7592</v>
      </c>
      <c r="C5" s="50">
        <v>93000</v>
      </c>
      <c r="D5" s="50">
        <v>175000</v>
      </c>
      <c r="E5" s="50">
        <v>293000</v>
      </c>
      <c r="F5" s="50">
        <v>302000</v>
      </c>
      <c r="G5" s="17">
        <f t="shared" si="0"/>
        <v>863000</v>
      </c>
      <c r="H5" s="17">
        <f t="shared" si="1"/>
        <v>32571.6921672315</v>
      </c>
      <c r="I5" s="17">
        <f t="shared" si="2"/>
        <v>830428.30783276854</v>
      </c>
    </row>
    <row r="6" spans="1:9" ht="15.75" customHeight="1" x14ac:dyDescent="0.25">
      <c r="A6" s="5">
        <f t="shared" si="3"/>
        <v>2028</v>
      </c>
      <c r="B6" s="49">
        <v>27846.050400000011</v>
      </c>
      <c r="C6" s="50">
        <v>93000</v>
      </c>
      <c r="D6" s="50">
        <v>173000</v>
      </c>
      <c r="E6" s="50">
        <v>275000</v>
      </c>
      <c r="F6" s="50">
        <v>313000</v>
      </c>
      <c r="G6" s="17">
        <f t="shared" si="0"/>
        <v>854000</v>
      </c>
      <c r="H6" s="17">
        <f t="shared" si="1"/>
        <v>31973.796347593132</v>
      </c>
      <c r="I6" s="17">
        <f t="shared" si="2"/>
        <v>822026.20365240681</v>
      </c>
    </row>
    <row r="7" spans="1:9" ht="15.75" customHeight="1" x14ac:dyDescent="0.25">
      <c r="A7" s="5">
        <f t="shared" si="3"/>
        <v>2029</v>
      </c>
      <c r="B7" s="49">
        <v>27312.98880000001</v>
      </c>
      <c r="C7" s="50">
        <v>93000</v>
      </c>
      <c r="D7" s="50">
        <v>171000</v>
      </c>
      <c r="E7" s="50">
        <v>257000</v>
      </c>
      <c r="F7" s="50">
        <v>322000</v>
      </c>
      <c r="G7" s="17">
        <f t="shared" si="0"/>
        <v>843000</v>
      </c>
      <c r="H7" s="17">
        <f t="shared" si="1"/>
        <v>31361.716616561615</v>
      </c>
      <c r="I7" s="17">
        <f t="shared" si="2"/>
        <v>811638.28338343836</v>
      </c>
    </row>
    <row r="8" spans="1:9" ht="15.75" customHeight="1" x14ac:dyDescent="0.25">
      <c r="A8" s="5">
        <f t="shared" si="3"/>
        <v>2030</v>
      </c>
      <c r="B8" s="49">
        <v>26776.205999999998</v>
      </c>
      <c r="C8" s="50">
        <v>92000</v>
      </c>
      <c r="D8" s="50">
        <v>171000</v>
      </c>
      <c r="E8" s="50">
        <v>240000</v>
      </c>
      <c r="F8" s="50">
        <v>328000</v>
      </c>
      <c r="G8" s="17">
        <f t="shared" si="0"/>
        <v>831000</v>
      </c>
      <c r="H8" s="17">
        <f t="shared" si="1"/>
        <v>30745.364075229892</v>
      </c>
      <c r="I8" s="17">
        <f t="shared" si="2"/>
        <v>800254.63592477015</v>
      </c>
    </row>
    <row r="9" spans="1:9" ht="15.75" customHeight="1" x14ac:dyDescent="0.25">
      <c r="A9" s="5">
        <f t="shared" si="3"/>
        <v>2031</v>
      </c>
      <c r="B9" s="49">
        <v>26291.302942857139</v>
      </c>
      <c r="C9" s="50">
        <v>92428.571428571435</v>
      </c>
      <c r="D9" s="50">
        <v>167714.28571428571</v>
      </c>
      <c r="E9" s="50">
        <v>227142.8571428571</v>
      </c>
      <c r="F9" s="50">
        <v>335714.28571428568</v>
      </c>
      <c r="G9" s="17">
        <f t="shared" si="0"/>
        <v>823000</v>
      </c>
      <c r="H9" s="17">
        <f t="shared" si="1"/>
        <v>30188.58164559631</v>
      </c>
      <c r="I9" s="17">
        <f t="shared" si="2"/>
        <v>792811.41835440369</v>
      </c>
    </row>
    <row r="10" spans="1:9" ht="15.75" customHeight="1" x14ac:dyDescent="0.25">
      <c r="A10" s="5">
        <f t="shared" si="3"/>
        <v>2032</v>
      </c>
      <c r="B10" s="49">
        <v>25845.626220408161</v>
      </c>
      <c r="C10" s="50">
        <v>92775.510204081642</v>
      </c>
      <c r="D10" s="50">
        <v>165244.8979591837</v>
      </c>
      <c r="E10" s="50">
        <v>213591.8367346939</v>
      </c>
      <c r="F10" s="50">
        <v>343387.75510204083</v>
      </c>
      <c r="G10" s="17">
        <f t="shared" si="0"/>
        <v>815000</v>
      </c>
      <c r="H10" s="17">
        <f t="shared" si="1"/>
        <v>29676.84024759732</v>
      </c>
      <c r="I10" s="17">
        <f t="shared" si="2"/>
        <v>785323.15975240269</v>
      </c>
    </row>
    <row r="11" spans="1:9" ht="15.75" customHeight="1" x14ac:dyDescent="0.25">
      <c r="A11" s="5">
        <f t="shared" si="3"/>
        <v>2033</v>
      </c>
      <c r="B11" s="49">
        <v>25410.53533760933</v>
      </c>
      <c r="C11" s="50">
        <v>92886.297376093309</v>
      </c>
      <c r="D11" s="50">
        <v>163279.88338192421</v>
      </c>
      <c r="E11" s="50">
        <v>200104.95626822161</v>
      </c>
      <c r="F11" s="50">
        <v>350728.86297376087</v>
      </c>
      <c r="G11" s="17">
        <f t="shared" si="0"/>
        <v>807000</v>
      </c>
      <c r="H11" s="17">
        <f t="shared" si="1"/>
        <v>29177.253876120227</v>
      </c>
      <c r="I11" s="17">
        <f t="shared" si="2"/>
        <v>777822.7461238798</v>
      </c>
    </row>
    <row r="12" spans="1:9" ht="15.75" customHeight="1" x14ac:dyDescent="0.25">
      <c r="A12" s="5">
        <f t="shared" si="3"/>
        <v>2034</v>
      </c>
      <c r="B12" s="49">
        <v>24988.21764298209</v>
      </c>
      <c r="C12" s="50">
        <v>92870.054144106645</v>
      </c>
      <c r="D12" s="50">
        <v>161605.5810079134</v>
      </c>
      <c r="E12" s="50">
        <v>186834.23573511039</v>
      </c>
      <c r="F12" s="50">
        <v>357690.12911286962</v>
      </c>
      <c r="G12" s="17">
        <f t="shared" si="0"/>
        <v>799000</v>
      </c>
      <c r="H12" s="17">
        <f t="shared" si="1"/>
        <v>28692.334120247182</v>
      </c>
      <c r="I12" s="17">
        <f t="shared" si="2"/>
        <v>770307.66587975284</v>
      </c>
    </row>
    <row r="13" spans="1:9" ht="15.75" customHeight="1" x14ac:dyDescent="0.25">
      <c r="A13" s="5">
        <f t="shared" si="3"/>
        <v>2035</v>
      </c>
      <c r="B13" s="49">
        <v>24579.95582055096</v>
      </c>
      <c r="C13" s="50">
        <v>92851.490450407597</v>
      </c>
      <c r="D13" s="50">
        <v>159977.8068661867</v>
      </c>
      <c r="E13" s="50">
        <v>174239.12655441189</v>
      </c>
      <c r="F13" s="50">
        <v>364074.43327185098</v>
      </c>
      <c r="G13" s="17">
        <f t="shared" si="0"/>
        <v>791142.85714285716</v>
      </c>
      <c r="H13" s="17">
        <f t="shared" si="1"/>
        <v>28223.553802054907</v>
      </c>
      <c r="I13" s="17">
        <f t="shared" si="2"/>
        <v>762919.3033408022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0.15682070000000009</v>
      </c>
    </row>
    <row r="5" spans="1:8" ht="15.75" customHeight="1" x14ac:dyDescent="0.25">
      <c r="B5" s="19" t="s">
        <v>70</v>
      </c>
      <c r="C5" s="101">
        <v>2.2275900000000019E-2</v>
      </c>
    </row>
    <row r="6" spans="1:8" ht="15.75" customHeight="1" x14ac:dyDescent="0.25">
      <c r="B6" s="19" t="s">
        <v>71</v>
      </c>
      <c r="C6" s="101">
        <v>0.13210289999999991</v>
      </c>
    </row>
    <row r="7" spans="1:8" ht="15.75" customHeight="1" x14ac:dyDescent="0.25">
      <c r="B7" s="19" t="s">
        <v>72</v>
      </c>
      <c r="C7" s="101">
        <v>0.37545339999999938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0.20337500000000061</v>
      </c>
    </row>
    <row r="10" spans="1:8" ht="15.75" customHeight="1" x14ac:dyDescent="0.25">
      <c r="B10" s="19" t="s">
        <v>75</v>
      </c>
      <c r="C10" s="101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83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89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101">
        <v>0.18947355599999999</v>
      </c>
    </row>
    <row r="28" spans="1:8" ht="15.75" customHeight="1" x14ac:dyDescent="0.25">
      <c r="B28" s="19" t="s">
        <v>93</v>
      </c>
      <c r="C28" s="101">
        <v>0.10579783700000001</v>
      </c>
    </row>
    <row r="29" spans="1:8" ht="15.75" customHeight="1" x14ac:dyDescent="0.25">
      <c r="B29" s="19" t="s">
        <v>94</v>
      </c>
      <c r="C29" s="101">
        <v>0.116400988</v>
      </c>
    </row>
    <row r="30" spans="1:8" ht="15.75" customHeight="1" x14ac:dyDescent="0.25">
      <c r="B30" s="19" t="s">
        <v>95</v>
      </c>
      <c r="C30" s="101">
        <v>5.2355714999999997E-2</v>
      </c>
    </row>
    <row r="31" spans="1:8" ht="15.75" customHeight="1" x14ac:dyDescent="0.25">
      <c r="B31" s="19" t="s">
        <v>96</v>
      </c>
      <c r="C31" s="101">
        <v>0.15858112799999999</v>
      </c>
    </row>
    <row r="32" spans="1:8" ht="15.75" customHeight="1" x14ac:dyDescent="0.25">
      <c r="B32" s="19" t="s">
        <v>97</v>
      </c>
      <c r="C32" s="101">
        <v>7.0649206000000006E-2</v>
      </c>
    </row>
    <row r="33" spans="2:3" ht="15.75" customHeight="1" x14ac:dyDescent="0.25">
      <c r="B33" s="19" t="s">
        <v>98</v>
      </c>
      <c r="C33" s="101">
        <v>0.120208732</v>
      </c>
    </row>
    <row r="34" spans="2:3" ht="15.75" customHeight="1" x14ac:dyDescent="0.25">
      <c r="B34" s="19" t="s">
        <v>99</v>
      </c>
      <c r="C34" s="101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0.27332121241826252</v>
      </c>
      <c r="D15" s="52">
        <f t="shared" si="0"/>
        <v>0.25871194364663636</v>
      </c>
      <c r="E15" s="52">
        <f t="shared" si="0"/>
        <v>0.25871194364663636</v>
      </c>
      <c r="F15" s="52">
        <f t="shared" si="0"/>
        <v>0.11605600508588647</v>
      </c>
      <c r="G15" s="52">
        <f t="shared" si="0"/>
        <v>0.11605600508588647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43.717396986078107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44.834077734861673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190.0226088131827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5.4048141617554819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14.35913960398203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14.35913960398203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14.35913960398203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14.35913960398203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14.35913960398203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14.35913960398203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0.41542488627073471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4.4482358424844612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4.4482358424844612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56.625848696237107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24.569538152769219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4.7648286502090178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0.73634697839999996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20.68706504341953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80.983006519796163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0.43586457689828911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0.85083653245513768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0.95458749999999992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2.6133364444192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0.10895048923187248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4.6693066813659624E-2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6.6513960433959907E-2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0.89610389610389607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2024-03-28T03:04:23Z</dcterms:modified>
</cp:coreProperties>
</file>