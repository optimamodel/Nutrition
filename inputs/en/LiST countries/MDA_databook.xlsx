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16765258-205A-40AC-86CC-1240DB014CE3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F112" i="27"/>
  <c r="E112" i="27"/>
  <c r="D112" i="27"/>
  <c r="H97" i="27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I39" i="2"/>
  <c r="H39" i="2"/>
  <c r="G39" i="2"/>
  <c r="A39" i="2"/>
  <c r="H38" i="2"/>
  <c r="G38" i="2"/>
  <c r="I38" i="2" s="1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1" i="2"/>
  <c r="A20" i="2"/>
  <c r="A19" i="2"/>
  <c r="A18" i="2"/>
  <c r="A17" i="2"/>
  <c r="A16" i="2"/>
  <c r="A15" i="2"/>
  <c r="I13" i="2"/>
  <c r="H13" i="2"/>
  <c r="G13" i="2"/>
  <c r="H12" i="2"/>
  <c r="G12" i="2"/>
  <c r="I12" i="2" s="1"/>
  <c r="I11" i="2"/>
  <c r="H11" i="2"/>
  <c r="G11" i="2"/>
  <c r="H10" i="2"/>
  <c r="G10" i="2"/>
  <c r="I10" i="2" s="1"/>
  <c r="I9" i="2"/>
  <c r="H9" i="2"/>
  <c r="G9" i="2"/>
  <c r="H8" i="2"/>
  <c r="G8" i="2"/>
  <c r="I8" i="2" s="1"/>
  <c r="I7" i="2"/>
  <c r="H7" i="2"/>
  <c r="G7" i="2"/>
  <c r="H6" i="2"/>
  <c r="G6" i="2"/>
  <c r="I6" i="2" s="1"/>
  <c r="I5" i="2"/>
  <c r="H5" i="2"/>
  <c r="G5" i="2"/>
  <c r="H4" i="2"/>
  <c r="G4" i="2"/>
  <c r="I4" i="2" s="1"/>
  <c r="I3" i="2"/>
  <c r="H3" i="2"/>
  <c r="G3" i="2"/>
  <c r="A3" i="2"/>
  <c r="H2" i="2"/>
  <c r="G2" i="2"/>
  <c r="I2" i="2" s="1"/>
  <c r="A2" i="2"/>
  <c r="A40" i="2" s="1"/>
  <c r="C33" i="1"/>
  <c r="C20" i="1"/>
  <c r="A4" i="2" l="1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<sst xmlns="http://schemas.openxmlformats.org/spreadsheetml/2006/main" count="2101" uniqueCount="341">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</sst>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9281396.6875</v>
      </c>
    </row>
    <row r="8" spans="1:3" ht="15" customHeight="1" x14ac:dyDescent="0.25">
      <c r="B8" s="5" t="s">
        <v>8</v>
      </c>
      <c r="C8" s="44">
        <v>1.7000000000000001E-2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0.777842483520508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0.39600000000000002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9.9900000000000003E-2</v>
      </c>
    </row>
    <row r="24" spans="1:3" ht="15" customHeight="1" x14ac:dyDescent="0.25">
      <c r="B24" s="15" t="s">
        <v>22</v>
      </c>
      <c r="C24" s="45">
        <v>0.6048</v>
      </c>
    </row>
    <row r="25" spans="1:3" ht="15" customHeight="1" x14ac:dyDescent="0.25">
      <c r="B25" s="15" t="s">
        <v>23</v>
      </c>
      <c r="C25" s="45">
        <v>0.27869999999999989</v>
      </c>
    </row>
    <row r="26" spans="1:3" ht="15" customHeight="1" x14ac:dyDescent="0.25">
      <c r="B26" s="15" t="s">
        <v>24</v>
      </c>
      <c r="C26" s="45">
        <v>1.66E-2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</v>
      </c>
    </row>
    <row r="30" spans="1:3" ht="14.25" customHeight="1" x14ac:dyDescent="0.25">
      <c r="B30" s="25" t="s">
        <v>27</v>
      </c>
      <c r="C30" s="99">
        <v>0</v>
      </c>
    </row>
    <row r="31" spans="1:3" ht="14.25" customHeight="1" x14ac:dyDescent="0.25">
      <c r="B31" s="25" t="s">
        <v>28</v>
      </c>
      <c r="C31" s="99">
        <v>0</v>
      </c>
    </row>
    <row r="32" spans="1:3" ht="14.25" customHeight="1" x14ac:dyDescent="0.25">
      <c r="B32" s="25" t="s">
        <v>29</v>
      </c>
      <c r="C32" s="99">
        <v>0</v>
      </c>
    </row>
    <row r="33" spans="1:5" ht="13" customHeight="1" x14ac:dyDescent="0.25">
      <c r="B33" s="27" t="s">
        <v>30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8.1054700000000004</v>
      </c>
    </row>
    <row r="38" spans="1:5" ht="15" customHeight="1" x14ac:dyDescent="0.25">
      <c r="B38" s="11" t="s">
        <v>34</v>
      </c>
      <c r="C38" s="43">
        <v>11.39776</v>
      </c>
      <c r="D38" s="12"/>
      <c r="E38" s="13"/>
    </row>
    <row r="39" spans="1:5" ht="15" customHeight="1" x14ac:dyDescent="0.25">
      <c r="B39" s="11" t="s">
        <v>35</v>
      </c>
      <c r="C39" s="43">
        <v>13.240740000000001</v>
      </c>
      <c r="D39" s="12"/>
      <c r="E39" s="12"/>
    </row>
    <row r="40" spans="1:5" ht="15" customHeight="1" x14ac:dyDescent="0.25">
      <c r="B40" s="11" t="s">
        <v>36</v>
      </c>
      <c r="C40" s="100">
        <v>0.59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6.6129100000000003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6.1101999999999997E-3</v>
      </c>
      <c r="D45" s="12"/>
    </row>
    <row r="46" spans="1:5" ht="15.75" customHeight="1" x14ac:dyDescent="0.25">
      <c r="B46" s="11" t="s">
        <v>41</v>
      </c>
      <c r="C46" s="45">
        <v>6.4331199999999991E-2</v>
      </c>
      <c r="D46" s="12"/>
    </row>
    <row r="47" spans="1:5" ht="15.75" customHeight="1" x14ac:dyDescent="0.25">
      <c r="B47" s="11" t="s">
        <v>42</v>
      </c>
      <c r="C47" s="45">
        <v>6.5170800000000001E-2</v>
      </c>
      <c r="D47" s="12"/>
      <c r="E47" s="13"/>
    </row>
    <row r="48" spans="1:5" ht="15" customHeight="1" x14ac:dyDescent="0.25">
      <c r="B48" s="11" t="s">
        <v>43</v>
      </c>
      <c r="C48" s="46">
        <v>0.86438779999999993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0.61096899999999998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5.0010632999999999E-2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45320</v>
      </c>
      <c r="C2" s="49">
        <v>118228.5</v>
      </c>
      <c r="D2" s="49">
        <v>225221.5</v>
      </c>
      <c r="E2" s="49">
        <v>286900</v>
      </c>
      <c r="F2" s="49">
        <v>205064</v>
      </c>
      <c r="G2" s="17">
        <f t="shared" ref="G2:G13" si="0">C2+D2+E2+F2</f>
        <v>835414</v>
      </c>
      <c r="H2" s="17">
        <f t="shared" ref="H2:H13" si="1">(B2 + stillbirth*B2/(1000-stillbirth))/(1-abortion)</f>
        <v>51842.831982042364</v>
      </c>
      <c r="I2" s="17">
        <f t="shared" ref="I2:I13" si="2">G2-H2</f>
        <v>783571.16801795759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41838</v>
      </c>
      <c r="C3" s="50">
        <v>112628</v>
      </c>
      <c r="D3" s="50">
        <v>204046.5</v>
      </c>
      <c r="E3" s="50">
        <v>275457</v>
      </c>
      <c r="F3" s="50">
        <v>207864</v>
      </c>
      <c r="G3" s="17">
        <f t="shared" si="0"/>
        <v>799995.5</v>
      </c>
      <c r="H3" s="17">
        <f t="shared" si="1"/>
        <v>47859.67353187751</v>
      </c>
      <c r="I3" s="17">
        <f t="shared" si="2"/>
        <v>752135.82646812254</v>
      </c>
    </row>
    <row r="4" spans="1:9" ht="15.75" customHeight="1" x14ac:dyDescent="0.25">
      <c r="A4" s="5">
        <f t="shared" si="3"/>
        <v>2026</v>
      </c>
      <c r="B4" s="49">
        <v>39217</v>
      </c>
      <c r="C4" s="50">
        <v>110978.5</v>
      </c>
      <c r="D4" s="50">
        <v>190415</v>
      </c>
      <c r="E4" s="50">
        <v>264913</v>
      </c>
      <c r="F4" s="50">
        <v>212541</v>
      </c>
      <c r="G4" s="17">
        <f t="shared" si="0"/>
        <v>778847.5</v>
      </c>
      <c r="H4" s="17">
        <f t="shared" si="1"/>
        <v>44861.437375104935</v>
      </c>
      <c r="I4" s="17">
        <f t="shared" si="2"/>
        <v>733986.06262489501</v>
      </c>
    </row>
    <row r="5" spans="1:9" ht="15.75" customHeight="1" x14ac:dyDescent="0.25">
      <c r="A5" s="5">
        <f t="shared" si="3"/>
        <v>2027</v>
      </c>
      <c r="B5" s="49">
        <v>37832</v>
      </c>
      <c r="C5" s="50">
        <v>112656</v>
      </c>
      <c r="D5" s="50">
        <v>183119.5</v>
      </c>
      <c r="E5" s="50">
        <v>255388.5</v>
      </c>
      <c r="F5" s="50">
        <v>219148.5</v>
      </c>
      <c r="G5" s="17">
        <f t="shared" si="0"/>
        <v>770312.5</v>
      </c>
      <c r="H5" s="17">
        <f t="shared" si="1"/>
        <v>43277.09663602442</v>
      </c>
      <c r="I5" s="17">
        <f t="shared" si="2"/>
        <v>727035.40336397558</v>
      </c>
    </row>
    <row r="6" spans="1:9" ht="15.75" customHeight="1" x14ac:dyDescent="0.25">
      <c r="A6" s="5">
        <f t="shared" si="3"/>
        <v>2028</v>
      </c>
      <c r="B6" s="49">
        <v>36799</v>
      </c>
      <c r="C6" s="50">
        <v>116454.5</v>
      </c>
      <c r="D6" s="50">
        <v>179468.5</v>
      </c>
      <c r="E6" s="50">
        <v>246253.5</v>
      </c>
      <c r="F6" s="50">
        <v>226386.5</v>
      </c>
      <c r="G6" s="17">
        <f t="shared" si="0"/>
        <v>768563</v>
      </c>
      <c r="H6" s="17">
        <f t="shared" si="1"/>
        <v>42095.418669619969</v>
      </c>
      <c r="I6" s="17">
        <f t="shared" si="2"/>
        <v>726467.58133038005</v>
      </c>
    </row>
    <row r="7" spans="1:9" ht="15.75" customHeight="1" x14ac:dyDescent="0.25">
      <c r="A7" s="5">
        <f t="shared" si="3"/>
        <v>2029</v>
      </c>
      <c r="B7" s="49">
        <v>36154</v>
      </c>
      <c r="C7" s="50">
        <v>121068.5</v>
      </c>
      <c r="D7" s="50">
        <v>177752.5</v>
      </c>
      <c r="E7" s="50">
        <v>237513.49999999991</v>
      </c>
      <c r="F7" s="50">
        <v>232763.5</v>
      </c>
      <c r="G7" s="17">
        <f t="shared" si="0"/>
        <v>769097.99999999988</v>
      </c>
      <c r="H7" s="17">
        <f t="shared" si="1"/>
        <v>41357.584895824351</v>
      </c>
      <c r="I7" s="17">
        <f t="shared" si="2"/>
        <v>727740.41510417557</v>
      </c>
    </row>
    <row r="8" spans="1:9" ht="15.75" customHeight="1" x14ac:dyDescent="0.25">
      <c r="A8" s="5">
        <f t="shared" si="3"/>
        <v>2030</v>
      </c>
      <c r="B8" s="49">
        <v>35521</v>
      </c>
      <c r="C8" s="50">
        <v>125411</v>
      </c>
      <c r="D8" s="50">
        <v>176892</v>
      </c>
      <c r="E8" s="50">
        <v>229172.5</v>
      </c>
      <c r="F8" s="50">
        <v>237768</v>
      </c>
      <c r="G8" s="17">
        <f t="shared" si="0"/>
        <v>769243.5</v>
      </c>
      <c r="H8" s="17">
        <f t="shared" si="1"/>
        <v>40633.478262006327</v>
      </c>
      <c r="I8" s="17">
        <f t="shared" si="2"/>
        <v>728610.02173799369</v>
      </c>
    </row>
    <row r="9" spans="1:9" ht="15.75" customHeight="1" x14ac:dyDescent="0.25">
      <c r="A9" s="5">
        <f t="shared" si="3"/>
        <v>2031</v>
      </c>
      <c r="B9" s="49">
        <v>34925</v>
      </c>
      <c r="C9" s="50">
        <v>128716</v>
      </c>
      <c r="D9" s="50">
        <v>176869</v>
      </c>
      <c r="E9" s="50">
        <v>221068</v>
      </c>
      <c r="F9" s="50">
        <v>241454.5</v>
      </c>
      <c r="G9" s="17">
        <f t="shared" si="0"/>
        <v>768107.5</v>
      </c>
      <c r="H9" s="17">
        <f t="shared" si="1"/>
        <v>39951.696976452557</v>
      </c>
      <c r="I9" s="17">
        <f t="shared" si="2"/>
        <v>728155.8030235474</v>
      </c>
    </row>
    <row r="10" spans="1:9" ht="15.75" customHeight="1" x14ac:dyDescent="0.25">
      <c r="A10" s="5">
        <f t="shared" si="3"/>
        <v>2032</v>
      </c>
      <c r="B10" s="49">
        <v>34337</v>
      </c>
      <c r="C10" s="50">
        <v>130513</v>
      </c>
      <c r="D10" s="50">
        <v>177947</v>
      </c>
      <c r="E10" s="50">
        <v>212737.5</v>
      </c>
      <c r="F10" s="50">
        <v>243622.5</v>
      </c>
      <c r="G10" s="17">
        <f t="shared" si="0"/>
        <v>764820</v>
      </c>
      <c r="H10" s="17">
        <f t="shared" si="1"/>
        <v>39279.067117550505</v>
      </c>
      <c r="I10" s="17">
        <f t="shared" si="2"/>
        <v>725540.93288244947</v>
      </c>
    </row>
    <row r="11" spans="1:9" ht="15.75" customHeight="1" x14ac:dyDescent="0.25">
      <c r="A11" s="5">
        <f t="shared" si="3"/>
        <v>2033</v>
      </c>
      <c r="B11" s="49">
        <v>33874</v>
      </c>
      <c r="C11" s="50">
        <v>130692.5</v>
      </c>
      <c r="D11" s="50">
        <v>180379</v>
      </c>
      <c r="E11" s="50">
        <v>204126</v>
      </c>
      <c r="F11" s="50">
        <v>244194</v>
      </c>
      <c r="G11" s="17">
        <f t="shared" si="0"/>
        <v>759391.5</v>
      </c>
      <c r="H11" s="17">
        <f t="shared" si="1"/>
        <v>38749.428300081716</v>
      </c>
      <c r="I11" s="17">
        <f t="shared" si="2"/>
        <v>720642.07169991825</v>
      </c>
    </row>
    <row r="12" spans="1:9" ht="15.75" customHeight="1" x14ac:dyDescent="0.25">
      <c r="A12" s="5">
        <f t="shared" si="3"/>
        <v>2034</v>
      </c>
      <c r="B12" s="49">
        <v>33569</v>
      </c>
      <c r="C12" s="50">
        <v>128804</v>
      </c>
      <c r="D12" s="50">
        <v>184382</v>
      </c>
      <c r="E12" s="50">
        <v>196142.5</v>
      </c>
      <c r="F12" s="50">
        <v>243478</v>
      </c>
      <c r="G12" s="17">
        <f t="shared" si="0"/>
        <v>752806.5</v>
      </c>
      <c r="H12" s="17">
        <f t="shared" si="1"/>
        <v>38400.530158984555</v>
      </c>
      <c r="I12" s="17">
        <f t="shared" si="2"/>
        <v>714405.96984101541</v>
      </c>
    </row>
    <row r="13" spans="1:9" ht="15.75" customHeight="1" x14ac:dyDescent="0.25">
      <c r="A13" s="5">
        <f t="shared" si="3"/>
        <v>2035</v>
      </c>
      <c r="B13" s="49">
        <v>33288</v>
      </c>
      <c r="C13" s="50">
        <v>125787</v>
      </c>
      <c r="D13" s="50">
        <v>189444</v>
      </c>
      <c r="E13" s="50">
        <v>189407</v>
      </c>
      <c r="F13" s="50">
        <v>241057</v>
      </c>
      <c r="G13" s="17">
        <f t="shared" si="0"/>
        <v>745695</v>
      </c>
      <c r="H13" s="17">
        <f t="shared" si="1"/>
        <v>38079.086297842594</v>
      </c>
      <c r="I13" s="17">
        <f t="shared" si="2"/>
        <v>707615.91370215744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0.1540929999999999</v>
      </c>
    </row>
    <row r="5" spans="1:8" ht="15.75" customHeight="1" x14ac:dyDescent="0.25">
      <c r="B5" s="19" t="s">
        <v>70</v>
      </c>
      <c r="C5" s="101">
        <v>4.3544600000000051E-2</v>
      </c>
    </row>
    <row r="6" spans="1:8" ht="15.75" customHeight="1" x14ac:dyDescent="0.25">
      <c r="B6" s="19" t="s">
        <v>71</v>
      </c>
      <c r="C6" s="101">
        <v>0.13350659999999989</v>
      </c>
    </row>
    <row r="7" spans="1:8" ht="15.75" customHeight="1" x14ac:dyDescent="0.25">
      <c r="B7" s="19" t="s">
        <v>72</v>
      </c>
      <c r="C7" s="101">
        <v>0.34353199999999989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0.24229560000000019</v>
      </c>
    </row>
    <row r="10" spans="1:8" ht="15.75" customHeight="1" x14ac:dyDescent="0.25">
      <c r="B10" s="19" t="s">
        <v>75</v>
      </c>
      <c r="C10" s="101">
        <v>8.3028199999999941E-2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0.1310706655975018</v>
      </c>
      <c r="D14" s="55">
        <v>0.1310706655975018</v>
      </c>
      <c r="E14" s="55">
        <v>0.1310706655975018</v>
      </c>
      <c r="F14" s="55">
        <v>0.1310706655975018</v>
      </c>
    </row>
    <row r="15" spans="1:8" ht="15.75" customHeight="1" x14ac:dyDescent="0.25">
      <c r="B15" s="19" t="s">
        <v>82</v>
      </c>
      <c r="C15" s="101">
        <v>0.32579698637507032</v>
      </c>
      <c r="D15" s="101">
        <v>0.32579698637507032</v>
      </c>
      <c r="E15" s="101">
        <v>0.32579698637507032</v>
      </c>
      <c r="F15" s="101">
        <v>0.32579698637507032</v>
      </c>
    </row>
    <row r="16" spans="1:8" ht="15.75" customHeight="1" x14ac:dyDescent="0.25">
      <c r="B16" s="19" t="s">
        <v>83</v>
      </c>
      <c r="C16" s="101">
        <v>3.0352653282682381E-2</v>
      </c>
      <c r="D16" s="101">
        <v>3.0352653282682381E-2</v>
      </c>
      <c r="E16" s="101">
        <v>3.0352653282682381E-2</v>
      </c>
      <c r="F16" s="101">
        <v>3.0352653282682381E-2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7.463023990219639E-3</v>
      </c>
      <c r="D19" s="101">
        <v>7.463023990219639E-3</v>
      </c>
      <c r="E19" s="101">
        <v>7.463023990219639E-3</v>
      </c>
      <c r="F19" s="101">
        <v>7.463023990219639E-3</v>
      </c>
    </row>
    <row r="20" spans="1:8" ht="15.75" customHeight="1" x14ac:dyDescent="0.25">
      <c r="B20" s="19" t="s">
        <v>87</v>
      </c>
      <c r="C20" s="101">
        <v>2.4205317759995671E-2</v>
      </c>
      <c r="D20" s="101">
        <v>2.4205317759995671E-2</v>
      </c>
      <c r="E20" s="101">
        <v>2.4205317759995671E-2</v>
      </c>
      <c r="F20" s="101">
        <v>2.4205317759995671E-2</v>
      </c>
    </row>
    <row r="21" spans="1:8" ht="15.75" customHeight="1" x14ac:dyDescent="0.25">
      <c r="B21" s="19" t="s">
        <v>88</v>
      </c>
      <c r="C21" s="101">
        <v>0.33452651561541241</v>
      </c>
      <c r="D21" s="101">
        <v>0.33452651561541241</v>
      </c>
      <c r="E21" s="101">
        <v>0.33452651561541241</v>
      </c>
      <c r="F21" s="101">
        <v>0.33452651561541241</v>
      </c>
    </row>
    <row r="22" spans="1:8" ht="15.75" customHeight="1" x14ac:dyDescent="0.25">
      <c r="B22" s="19" t="s">
        <v>89</v>
      </c>
      <c r="C22" s="101">
        <v>0.14658483737911779</v>
      </c>
      <c r="D22" s="101">
        <v>0.14658483737911779</v>
      </c>
      <c r="E22" s="101">
        <v>0.14658483737911779</v>
      </c>
      <c r="F22" s="101">
        <v>0.14658483737911779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5.3514945000000001E-2</v>
      </c>
    </row>
    <row r="27" spans="1:8" ht="15.75" customHeight="1" x14ac:dyDescent="0.25">
      <c r="B27" s="19" t="s">
        <v>92</v>
      </c>
      <c r="C27" s="101">
        <v>2.8541006000000001E-2</v>
      </c>
    </row>
    <row r="28" spans="1:8" ht="15.75" customHeight="1" x14ac:dyDescent="0.25">
      <c r="B28" s="19" t="s">
        <v>93</v>
      </c>
      <c r="C28" s="101">
        <v>0.187630466</v>
      </c>
    </row>
    <row r="29" spans="1:8" ht="15.75" customHeight="1" x14ac:dyDescent="0.25">
      <c r="B29" s="19" t="s">
        <v>94</v>
      </c>
      <c r="C29" s="101">
        <v>0.27936675700000002</v>
      </c>
    </row>
    <row r="30" spans="1:8" ht="15.75" customHeight="1" x14ac:dyDescent="0.25">
      <c r="B30" s="19" t="s">
        <v>95</v>
      </c>
      <c r="C30" s="101">
        <v>9.2226500000000002E-4</v>
      </c>
    </row>
    <row r="31" spans="1:8" ht="15.75" customHeight="1" x14ac:dyDescent="0.25">
      <c r="B31" s="19" t="s">
        <v>96</v>
      </c>
      <c r="C31" s="101">
        <v>7.2676198999999997E-2</v>
      </c>
    </row>
    <row r="32" spans="1:8" ht="15.75" customHeight="1" x14ac:dyDescent="0.25">
      <c r="B32" s="19" t="s">
        <v>97</v>
      </c>
      <c r="C32" s="101">
        <v>4.4662927999999998E-2</v>
      </c>
    </row>
    <row r="33" spans="2:3" ht="15.75" customHeight="1" x14ac:dyDescent="0.25">
      <c r="B33" s="19" t="s">
        <v>98</v>
      </c>
      <c r="C33" s="101">
        <v>0.14648158999999999</v>
      </c>
    </row>
    <row r="34" spans="2:3" ht="15.75" customHeight="1" x14ac:dyDescent="0.25">
      <c r="B34" s="19" t="s">
        <v>99</v>
      </c>
      <c r="C34" s="101">
        <v>0.18620384500000001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0.58386943192158447</v>
      </c>
      <c r="D2" s="52">
        <f>IFERROR(1-_xlfn.NORM.DIST(_xlfn.NORM.INV(SUM(D4:D5), 0, 1) + 1, 0, 1, TRUE), "")</f>
        <v>0.58386943192158447</v>
      </c>
      <c r="E2" s="52">
        <f>IFERROR(1-_xlfn.NORM.DIST(_xlfn.NORM.INV(SUM(E4:E5), 0, 1) + 1, 0, 1, TRUE), "")</f>
        <v>0.59904026500765561</v>
      </c>
      <c r="F2" s="52">
        <f>IFERROR(1-_xlfn.NORM.DIST(_xlfn.NORM.INV(SUM(F4:F5), 0, 1) + 1, 0, 1, TRUE), "")</f>
        <v>0.4178738712092348</v>
      </c>
      <c r="G2" s="52">
        <f>IFERROR(1-_xlfn.NORM.DIST(_xlfn.NORM.INV(SUM(G4:G5), 0, 1) + 1, 0, 1, TRUE), "")</f>
        <v>0.55338444676169551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0.30333656807841547</v>
      </c>
      <c r="D3" s="52">
        <f>IFERROR(_xlfn.NORM.DIST(_xlfn.NORM.INV(SUM(D4:D5), 0, 1) + 1, 0, 1, TRUE) - SUM(D4:D5), "")</f>
        <v>0.30333656807841547</v>
      </c>
      <c r="E3" s="52">
        <f>IFERROR(_xlfn.NORM.DIST(_xlfn.NORM.INV(SUM(E4:E5), 0, 1) + 1, 0, 1, TRUE) - SUM(E4:E5), "")</f>
        <v>0.29546763499234441</v>
      </c>
      <c r="F3" s="52">
        <f>IFERROR(_xlfn.NORM.DIST(_xlfn.NORM.INV(SUM(F4:F5), 0, 1) + 1, 0, 1, TRUE) - SUM(F4:F5), "")</f>
        <v>0.36813942879076522</v>
      </c>
      <c r="G3" s="52">
        <f>IFERROR(_xlfn.NORM.DIST(_xlfn.NORM.INV(SUM(G4:G5), 0, 1) + 1, 0, 1, TRUE) - SUM(G4:G5), "")</f>
        <v>0.31826375323830458</v>
      </c>
    </row>
    <row r="4" spans="1:15" ht="15.75" customHeight="1" x14ac:dyDescent="0.25">
      <c r="B4" s="5" t="s">
        <v>104</v>
      </c>
      <c r="C4" s="45">
        <v>9.6012400000000012E-2</v>
      </c>
      <c r="D4" s="53">
        <v>9.6012400000000012E-2</v>
      </c>
      <c r="E4" s="53">
        <v>8.0807699999999996E-2</v>
      </c>
      <c r="F4" s="53">
        <v>0.15705279999999999</v>
      </c>
      <c r="G4" s="53">
        <v>0.1019114</v>
      </c>
    </row>
    <row r="5" spans="1:15" ht="15.75" customHeight="1" x14ac:dyDescent="0.25">
      <c r="B5" s="5" t="s">
        <v>105</v>
      </c>
      <c r="C5" s="45">
        <v>1.6781600000000001E-2</v>
      </c>
      <c r="D5" s="53">
        <v>1.6781600000000001E-2</v>
      </c>
      <c r="E5" s="53">
        <v>2.4684399999999999E-2</v>
      </c>
      <c r="F5" s="53">
        <v>5.6933900000000003E-2</v>
      </c>
      <c r="G5" s="53">
        <v>2.6440399999999999E-2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0.77685468030084026</v>
      </c>
      <c r="D8" s="52">
        <f>IFERROR(1-_xlfn.NORM.DIST(_xlfn.NORM.INV(SUM(D10:D11), 0, 1) + 1, 0, 1, TRUE), "")</f>
        <v>0.77685468030084026</v>
      </c>
      <c r="E8" s="52">
        <f>IFERROR(1-_xlfn.NORM.DIST(_xlfn.NORM.INV(SUM(E10:E11), 0, 1) + 1, 0, 1, TRUE), "")</f>
        <v>0.80894052763806945</v>
      </c>
      <c r="F8" s="52">
        <f>IFERROR(1-_xlfn.NORM.DIST(_xlfn.NORM.INV(SUM(F10:F11), 0, 1) + 1, 0, 1, TRUE), "")</f>
        <v>0.92437234173385519</v>
      </c>
      <c r="G8" s="52">
        <f>IFERROR(1-_xlfn.NORM.DIST(_xlfn.NORM.INV(SUM(G10:G11), 0, 1) + 1, 0, 1, TRUE), "")</f>
        <v>0.90640630747336237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0.18407801969915977</v>
      </c>
      <c r="D9" s="52">
        <f>IFERROR(_xlfn.NORM.DIST(_xlfn.NORM.INV(SUM(D10:D11), 0, 1) + 1, 0, 1, TRUE) - SUM(D10:D11), "")</f>
        <v>0.18407801969915977</v>
      </c>
      <c r="E9" s="52">
        <f>IFERROR(_xlfn.NORM.DIST(_xlfn.NORM.INV(SUM(E10:E11), 0, 1) + 1, 0, 1, TRUE) - SUM(E10:E11), "")</f>
        <v>0.16059417236193055</v>
      </c>
      <c r="F9" s="52">
        <f>IFERROR(_xlfn.NORM.DIST(_xlfn.NORM.INV(SUM(F10:F11), 0, 1) + 1, 0, 1, TRUE) - SUM(F10:F11), "")</f>
        <v>6.8184058266144792E-2</v>
      </c>
      <c r="G9" s="52">
        <f>IFERROR(_xlfn.NORM.DIST(_xlfn.NORM.INV(SUM(G10:G11), 0, 1) + 1, 0, 1, TRUE) - SUM(G10:G11), "")</f>
        <v>8.3394692526637629E-2</v>
      </c>
    </row>
    <row r="10" spans="1:15" ht="15.75" customHeight="1" x14ac:dyDescent="0.25">
      <c r="B10" s="5" t="s">
        <v>109</v>
      </c>
      <c r="C10" s="45">
        <v>3.3972000000000002E-2</v>
      </c>
      <c r="D10" s="53">
        <v>3.3972000000000002E-2</v>
      </c>
      <c r="E10" s="53">
        <v>1.06941E-2</v>
      </c>
      <c r="F10" s="53">
        <v>7.4435999999999999E-3</v>
      </c>
      <c r="G10" s="53">
        <v>7.1650000000000004E-3</v>
      </c>
    </row>
    <row r="11" spans="1:15" ht="15.75" customHeight="1" x14ac:dyDescent="0.25">
      <c r="B11" s="5" t="s">
        <v>110</v>
      </c>
      <c r="C11" s="45">
        <v>5.0953000000000014E-3</v>
      </c>
      <c r="D11" s="53">
        <v>5.0953000000000014E-3</v>
      </c>
      <c r="E11" s="53">
        <v>1.9771199999999999E-2</v>
      </c>
      <c r="F11" s="53">
        <v>0</v>
      </c>
      <c r="G11" s="53">
        <v>3.0339999999999998E-3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0.49655583125000002</v>
      </c>
      <c r="D14" s="54">
        <v>0.47001446794099999</v>
      </c>
      <c r="E14" s="54">
        <v>0.47001446794099999</v>
      </c>
      <c r="F14" s="54">
        <v>0.21084454282599999</v>
      </c>
      <c r="G14" s="54">
        <v>0.21084454282599999</v>
      </c>
      <c r="H14" s="45">
        <v>0.19600000000000001</v>
      </c>
      <c r="I14" s="55">
        <v>0.19600000000000001</v>
      </c>
      <c r="J14" s="55">
        <v>0.19600000000000001</v>
      </c>
      <c r="K14" s="55">
        <v>0.19600000000000001</v>
      </c>
      <c r="L14" s="45">
        <v>0.14399999999999999</v>
      </c>
      <c r="M14" s="55">
        <v>0.14399999999999999</v>
      </c>
      <c r="N14" s="55">
        <v>0.14399999999999999</v>
      </c>
      <c r="O14" s="55">
        <v>0.14399999999999999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0.30338021966298123</v>
      </c>
      <c r="D15" s="52">
        <f t="shared" si="0"/>
        <v>0.28716426946344481</v>
      </c>
      <c r="E15" s="52">
        <f t="shared" si="0"/>
        <v>0.28716426946344481</v>
      </c>
      <c r="F15" s="52">
        <f t="shared" si="0"/>
        <v>0.1288194794858584</v>
      </c>
      <c r="G15" s="52">
        <f t="shared" si="0"/>
        <v>0.1288194794858584</v>
      </c>
      <c r="H15" s="52">
        <f t="shared" si="0"/>
        <v>0.11974992400000001</v>
      </c>
      <c r="I15" s="52">
        <f t="shared" si="0"/>
        <v>0.11974992400000001</v>
      </c>
      <c r="J15" s="52">
        <f t="shared" si="0"/>
        <v>0.11974992400000001</v>
      </c>
      <c r="K15" s="52">
        <f t="shared" si="0"/>
        <v>0.11974992400000001</v>
      </c>
      <c r="L15" s="52">
        <f t="shared" si="0"/>
        <v>8.7979535999999997E-2</v>
      </c>
      <c r="M15" s="52">
        <f t="shared" si="0"/>
        <v>8.7979535999999997E-2</v>
      </c>
      <c r="N15" s="52">
        <f t="shared" si="0"/>
        <v>8.7979535999999997E-2</v>
      </c>
      <c r="O15" s="52">
        <f t="shared" si="0"/>
        <v>8.7979535999999997E-2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0.37103969999999997</v>
      </c>
      <c r="D2" s="53">
        <v>0.23591980000000001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0.18044669999999999</v>
      </c>
      <c r="D3" s="53">
        <v>9.0277700000000002E-2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0.28596440000000001</v>
      </c>
      <c r="D4" s="53">
        <v>0.42006130000000003</v>
      </c>
      <c r="E4" s="53">
        <v>0.56871260000000001</v>
      </c>
      <c r="F4" s="53">
        <v>0.35001369999999998</v>
      </c>
      <c r="G4" s="53">
        <v>0</v>
      </c>
    </row>
    <row r="5" spans="1:7" x14ac:dyDescent="0.25">
      <c r="B5" s="3" t="s">
        <v>122</v>
      </c>
      <c r="C5" s="52">
        <v>0.1625492</v>
      </c>
      <c r="D5" s="52">
        <v>0.2537412</v>
      </c>
      <c r="E5" s="52">
        <f>1-SUM(E2:E4)</f>
        <v>0.43128739999999999</v>
      </c>
      <c r="F5" s="52">
        <f>1-SUM(F2:F4)</f>
        <v>0.64998630000000002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43.717396986078107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44.834077734861673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190.0226088131827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5.7339673442063903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14.35913960398203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14.35913960398203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14.35913960398203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14.35913960398203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14.35913960398203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14.35913960398203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0.41542488627073471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2.3937511111111101E-2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0.23591980000000001</v>
      </c>
      <c r="C18" s="98">
        <v>0.95</v>
      </c>
      <c r="D18" s="56">
        <v>4.4482358424844612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0.23591980000000001</v>
      </c>
      <c r="C19" s="98">
        <v>0.95</v>
      </c>
      <c r="D19" s="56">
        <v>4.4482358424844612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56.625848696237107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24.569538152769219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4.7648286502090178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0.69322219271638008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20.68706504341953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0.52424380000000004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0.5944374</v>
      </c>
      <c r="C29" s="98">
        <v>0.95</v>
      </c>
      <c r="D29" s="56">
        <v>80.983006519796163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0.43586457689828911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0.85083653245513768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0.93940820000000003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0.13994980000000001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2.1327200000000001E-2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0.97755639999999999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8.7485800000000002E-2</v>
      </c>
      <c r="C38" s="98">
        <v>0.95</v>
      </c>
      <c r="D38" s="56">
        <v>2.6133364444192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8.8327200000000008E-2</v>
      </c>
      <c r="C3" s="21">
        <f>frac_mam_1_5months * 2.6</f>
        <v>8.8327200000000008E-2</v>
      </c>
      <c r="D3" s="21">
        <f>frac_mam_6_11months * 2.6</f>
        <v>2.7804660000000002E-2</v>
      </c>
      <c r="E3" s="21">
        <f>frac_mam_12_23months * 2.6</f>
        <v>1.935336E-2</v>
      </c>
      <c r="F3" s="21">
        <f>frac_mam_24_59months * 2.6</f>
        <v>1.8629000000000003E-2</v>
      </c>
    </row>
    <row r="4" spans="1:6" ht="15.75" customHeight="1" x14ac:dyDescent="0.25">
      <c r="A4" s="3" t="s">
        <v>205</v>
      </c>
      <c r="B4" s="21">
        <f>frac_sam_1month * 2.6</f>
        <v>1.3247780000000004E-2</v>
      </c>
      <c r="C4" s="21">
        <f>frac_sam_1_5months * 2.6</f>
        <v>1.3247780000000004E-2</v>
      </c>
      <c r="D4" s="21">
        <f>frac_sam_6_11months * 2.6</f>
        <v>5.1405119999999999E-2</v>
      </c>
      <c r="E4" s="21">
        <f>frac_sam_12_23months * 2.6</f>
        <v>0</v>
      </c>
      <c r="F4" s="21">
        <f>frac_sam_24_59months * 2.6</f>
        <v>7.8884000000000003E-3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1.7000000000000001E-2</v>
      </c>
      <c r="E2" s="60">
        <f>food_insecure</f>
        <v>1.7000000000000001E-2</v>
      </c>
      <c r="F2" s="60">
        <f>food_insecure</f>
        <v>1.7000000000000001E-2</v>
      </c>
      <c r="G2" s="60">
        <f>food_insecure</f>
        <v>1.7000000000000001E-2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1.7000000000000001E-2</v>
      </c>
      <c r="I15" s="60">
        <f>food_insecure</f>
        <v>1.7000000000000001E-2</v>
      </c>
      <c r="J15" s="60">
        <f>food_insecure</f>
        <v>1.7000000000000001E-2</v>
      </c>
      <c r="K15" s="60">
        <f>food_insecure</f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0.39600000000000002</v>
      </c>
      <c r="M24" s="60">
        <f>famplan_unmet_need</f>
        <v>0.39600000000000002</v>
      </c>
      <c r="N24" s="60">
        <f>famplan_unmet_need</f>
        <v>0.39600000000000002</v>
      </c>
      <c r="O24" s="60">
        <f>famplan_unmet_need</f>
        <v>0.39600000000000002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0.10965028540878287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4.6992979460906942E-2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6.551425160980219E-2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0.777842483520508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0.10806018073899692</v>
      </c>
      <c r="G18" s="90">
        <f>MIN(MAX(1-0.89/(1-frac_sam_12_23months+(frac_sam_12_23months*0.89)),0),1)</f>
        <v>0.10999999999999999</v>
      </c>
      <c r="H18" s="90">
        <f>MIN(MAX(1-0.89/(1-frac_sam_24_59months+(frac_sam_24_59months*0.89)),0),1)</f>
        <v>0.10970287223658026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0.10895181457602832</v>
      </c>
      <c r="G20" s="90">
        <f>MIN(MAX(1-0.89/(1-frac_mam_12_23months+(frac_mam_12_23months*0.89)),0),1)</f>
        <v>0.10927067439110871</v>
      </c>
      <c r="H20" s="90">
        <f>MIN(MAX(1-0.89/(1-frac_mam_24_59months+(frac_mam_24_59months*0.89)),0),1)</f>
        <v>0.1092979932133511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9.8042264132126578E-3</v>
      </c>
      <c r="G73" s="90">
        <f>MIN(MAX(1-0.99/(1-frac_sam_12_23months+(frac_sam_12_23months*0.99)),0),1)</f>
        <v>1.0000000000000009E-2</v>
      </c>
      <c r="H73" s="90">
        <f>MIN(MAX(1-0.99/(1-frac_sam_24_59months+(frac_sam_24_59months*0.99)),0),1)</f>
        <v>9.9699624886618876E-3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9.8941170867753447E-3</v>
      </c>
      <c r="G75" s="90">
        <f>MIN(MAX(1-0.99/(1-frac_mam_12_23months+(frac_mam_12_23months*0.99)),0),1)</f>
        <v>9.9263028742807569E-3</v>
      </c>
      <c r="H75" s="90">
        <f>MIN(MAX(1-0.99/(1-frac_mam_24_59months+(frac_mam_24_59months*0.99)),0),1)</f>
        <v>9.9290614172505842E-3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0.19682404952961197</v>
      </c>
      <c r="G128" s="90">
        <f>MIN(MAX(1-0.8/(1-frac_sam_12_23months+(frac_sam_12_23months*0.8)),0),1)</f>
        <v>0.19999999999999996</v>
      </c>
      <c r="H128" s="90">
        <f>MIN(MAX(1-0.8/(1-frac_sam_24_59months+(frac_sam_24_59months*0.8)),0),1)</f>
        <v>0.19951426525615734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0.19828527651511607</v>
      </c>
      <c r="G130" s="90">
        <f>MIN(MAX(1-0.8/(1-frac_mam_12_23months+(frac_mam_12_23months*0.8)),0),1)</f>
        <v>0.19880724832672891</v>
      </c>
      <c r="H130" s="90">
        <f>MIN(MAX(1-0.8/(1-frac_mam_24_59months+(frac_mam_24_59months*0.8)),0),1)</f>
        <v>0.1988519548513018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2024-08-06T06:31:55Z</dcterms:modified>
</cp:coreProperties>
</file>