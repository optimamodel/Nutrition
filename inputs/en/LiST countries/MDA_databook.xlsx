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569BF78-CBC9-45A8-BBE9-47247DF1041E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1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<sst xmlns="http://schemas.openxmlformats.org/spreadsheetml/2006/main" count="2169" uniqueCount="373">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</sst>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160781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0.777842483520508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9.9900000000000003E-2</v>
      </c>
    </row>
    <row r="24" spans="1:3" ht="15" customHeight="1" x14ac:dyDescent="0.25">
      <c r="B24" s="15" t="s">
        <v>22</v>
      </c>
      <c r="C24" s="45">
        <v>0.6048</v>
      </c>
    </row>
    <row r="25" spans="1:3" ht="15" customHeight="1" x14ac:dyDescent="0.25">
      <c r="B25" s="15" t="s">
        <v>23</v>
      </c>
      <c r="C25" s="45">
        <v>0.27869999999999989</v>
      </c>
    </row>
    <row r="26" spans="1:3" ht="15" customHeight="1" x14ac:dyDescent="0.25">
      <c r="B26" s="15" t="s">
        <v>24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7">
        <v>3.6928466503456402E-2</v>
      </c>
    </row>
    <row r="31" spans="1:3" ht="14.25" customHeight="1" x14ac:dyDescent="0.25">
      <c r="B31" s="25" t="s">
        <v>28</v>
      </c>
      <c r="C31" s="97">
        <v>4.0966963582223501E-2</v>
      </c>
    </row>
    <row r="32" spans="1:3" ht="14.25" customHeight="1" x14ac:dyDescent="0.25">
      <c r="B32" s="25" t="s">
        <v>29</v>
      </c>
      <c r="C32" s="97">
        <v>0.41108468874794901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98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32140</v>
      </c>
      <c r="C2" s="49">
        <v>94083.5</v>
      </c>
      <c r="D2" s="49">
        <v>156248</v>
      </c>
      <c r="E2" s="49">
        <v>237129.5</v>
      </c>
      <c r="F2" s="49">
        <v>219204.99999999997</v>
      </c>
      <c r="G2" s="17">
        <f t="shared" ref="G2:G13" si="0">C2+D2+E2+F2</f>
        <v>706666</v>
      </c>
      <c r="H2" s="17">
        <f t="shared" ref="H2:H13" si="1">(B2 + stillbirth*B2/(1000-stillbirth))/(1-abortion)</f>
        <v>36765.856573319543</v>
      </c>
      <c r="I2" s="17">
        <f t="shared" ref="I2:I13" si="2">G2-H2</f>
        <v>669900.14342668047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31009</v>
      </c>
      <c r="C3" s="50">
        <v>95870</v>
      </c>
      <c r="D3" s="50">
        <v>150238.5</v>
      </c>
      <c r="E3" s="50">
        <v>227194.5</v>
      </c>
      <c r="F3" s="50">
        <v>221692.5</v>
      </c>
      <c r="G3" s="17">
        <f t="shared" si="0"/>
        <v>694995.5</v>
      </c>
      <c r="H3" s="17">
        <f t="shared" si="1"/>
        <v>35472.07363043142</v>
      </c>
      <c r="I3" s="17">
        <f t="shared" si="2"/>
        <v>659523.42636956857</v>
      </c>
    </row>
    <row r="4" spans="1:9" ht="15.75" customHeight="1" x14ac:dyDescent="0.25">
      <c r="A4" s="5">
        <f t="shared" si="3"/>
        <v>2026</v>
      </c>
      <c r="B4" s="49">
        <v>29962</v>
      </c>
      <c r="C4" s="50">
        <v>97409</v>
      </c>
      <c r="D4" s="50">
        <v>147507.99999999997</v>
      </c>
      <c r="E4" s="50">
        <v>215224.5</v>
      </c>
      <c r="F4" s="50">
        <v>225046.5</v>
      </c>
      <c r="G4" s="17">
        <f t="shared" si="0"/>
        <v>685188</v>
      </c>
      <c r="H4" s="17">
        <f t="shared" si="1"/>
        <v>34274.380667386438</v>
      </c>
      <c r="I4" s="17">
        <f t="shared" si="2"/>
        <v>650913.61933261354</v>
      </c>
    </row>
    <row r="5" spans="1:9" ht="15.75" customHeight="1" x14ac:dyDescent="0.25">
      <c r="A5" s="5">
        <f t="shared" si="3"/>
        <v>2027</v>
      </c>
      <c r="B5" s="49">
        <v>29290</v>
      </c>
      <c r="C5" s="50">
        <v>98955</v>
      </c>
      <c r="D5" s="50">
        <v>148112.5</v>
      </c>
      <c r="E5" s="50">
        <v>202361</v>
      </c>
      <c r="F5" s="50">
        <v>228930.5</v>
      </c>
      <c r="G5" s="17">
        <f t="shared" si="0"/>
        <v>678359</v>
      </c>
      <c r="H5" s="17">
        <f t="shared" si="1"/>
        <v>33505.660828641237</v>
      </c>
      <c r="I5" s="17">
        <f t="shared" si="2"/>
        <v>644853.33917135873</v>
      </c>
    </row>
    <row r="6" spans="1:9" ht="15.75" customHeight="1" x14ac:dyDescent="0.25">
      <c r="A6" s="5">
        <f t="shared" si="3"/>
        <v>2028</v>
      </c>
      <c r="B6" s="49">
        <v>28743</v>
      </c>
      <c r="C6" s="50">
        <v>100568.5</v>
      </c>
      <c r="D6" s="50">
        <v>150773</v>
      </c>
      <c r="E6" s="50">
        <v>189086.5</v>
      </c>
      <c r="F6" s="50">
        <v>232184</v>
      </c>
      <c r="G6" s="17">
        <f t="shared" si="0"/>
        <v>672612</v>
      </c>
      <c r="H6" s="17">
        <f t="shared" si="1"/>
        <v>32879.932031329299</v>
      </c>
      <c r="I6" s="17">
        <f t="shared" si="2"/>
        <v>639732.06796867074</v>
      </c>
    </row>
    <row r="7" spans="1:9" ht="15.75" customHeight="1" x14ac:dyDescent="0.25">
      <c r="A7" s="5">
        <f t="shared" si="3"/>
        <v>2029</v>
      </c>
      <c r="B7" s="49">
        <v>28295</v>
      </c>
      <c r="C7" s="50">
        <v>102568.5</v>
      </c>
      <c r="D7" s="50">
        <v>154713.5</v>
      </c>
      <c r="E7" s="50">
        <v>176327</v>
      </c>
      <c r="F7" s="50">
        <v>233993.49999999997</v>
      </c>
      <c r="G7" s="17">
        <f t="shared" si="0"/>
        <v>667602.5</v>
      </c>
      <c r="H7" s="17">
        <f t="shared" si="1"/>
        <v>32367.452138832497</v>
      </c>
      <c r="I7" s="17">
        <f t="shared" si="2"/>
        <v>635235.04786116746</v>
      </c>
    </row>
    <row r="8" spans="1:9" ht="15.75" customHeight="1" x14ac:dyDescent="0.25">
      <c r="A8" s="5">
        <f t="shared" si="3"/>
        <v>2030</v>
      </c>
      <c r="B8" s="49">
        <v>27903</v>
      </c>
      <c r="C8" s="50">
        <v>104696.5</v>
      </c>
      <c r="D8" s="50">
        <v>159156</v>
      </c>
      <c r="E8" s="50">
        <v>164728</v>
      </c>
      <c r="F8" s="50">
        <v>234145.50000000003</v>
      </c>
      <c r="G8" s="17">
        <f t="shared" si="0"/>
        <v>662726</v>
      </c>
      <c r="H8" s="17">
        <f t="shared" si="1"/>
        <v>31919.032232897796</v>
      </c>
      <c r="I8" s="17">
        <f t="shared" si="2"/>
        <v>630806.96776710218</v>
      </c>
    </row>
    <row r="9" spans="1:9" ht="15.75" customHeight="1" x14ac:dyDescent="0.25">
      <c r="A9" s="5">
        <f t="shared" si="3"/>
        <v>2031</v>
      </c>
      <c r="B9" s="49">
        <v>27588</v>
      </c>
      <c r="C9" s="50">
        <v>106300</v>
      </c>
      <c r="D9" s="50">
        <v>163815.5</v>
      </c>
      <c r="E9" s="50">
        <v>154441</v>
      </c>
      <c r="F9" s="50">
        <v>233016</v>
      </c>
      <c r="G9" s="17">
        <f t="shared" si="0"/>
        <v>657572.5</v>
      </c>
      <c r="H9" s="17">
        <f t="shared" si="1"/>
        <v>31558.694808485987</v>
      </c>
      <c r="I9" s="17">
        <f t="shared" si="2"/>
        <v>626013.80519151397</v>
      </c>
    </row>
    <row r="10" spans="1:9" ht="15.75" customHeight="1" x14ac:dyDescent="0.25">
      <c r="A10" s="5">
        <f t="shared" si="3"/>
        <v>2032</v>
      </c>
      <c r="B10" s="49">
        <v>27376</v>
      </c>
      <c r="C10" s="50">
        <v>106331</v>
      </c>
      <c r="D10" s="50">
        <v>168720.50000000003</v>
      </c>
      <c r="E10" s="50">
        <v>145202</v>
      </c>
      <c r="F10" s="50">
        <v>230821.5</v>
      </c>
      <c r="G10" s="17">
        <f t="shared" si="0"/>
        <v>651075</v>
      </c>
      <c r="H10" s="17">
        <f t="shared" si="1"/>
        <v>31316.182002215181</v>
      </c>
      <c r="I10" s="17">
        <f t="shared" si="2"/>
        <v>619758.81799778482</v>
      </c>
    </row>
    <row r="11" spans="1:9" ht="15.75" customHeight="1" x14ac:dyDescent="0.25">
      <c r="A11" s="5">
        <f t="shared" si="3"/>
        <v>2033</v>
      </c>
      <c r="B11" s="49">
        <v>27253</v>
      </c>
      <c r="C11" s="50">
        <v>104272</v>
      </c>
      <c r="D11" s="50">
        <v>173856</v>
      </c>
      <c r="E11" s="50">
        <v>137022.5</v>
      </c>
      <c r="F11" s="50">
        <v>227187</v>
      </c>
      <c r="G11" s="17">
        <f t="shared" si="0"/>
        <v>642337.5</v>
      </c>
      <c r="H11" s="17">
        <f t="shared" si="1"/>
        <v>31175.478817444851</v>
      </c>
      <c r="I11" s="17">
        <f t="shared" si="2"/>
        <v>611162.02118255512</v>
      </c>
    </row>
    <row r="12" spans="1:9" ht="15.75" customHeight="1" x14ac:dyDescent="0.25">
      <c r="A12" s="5">
        <f t="shared" si="3"/>
        <v>2034</v>
      </c>
      <c r="B12" s="49">
        <v>27182</v>
      </c>
      <c r="C12" s="50">
        <v>100289.5</v>
      </c>
      <c r="D12" s="50">
        <v>179124.5</v>
      </c>
      <c r="E12" s="50">
        <v>130922</v>
      </c>
      <c r="F12" s="50">
        <v>221362.5</v>
      </c>
      <c r="G12" s="17">
        <f t="shared" si="0"/>
        <v>631698.5</v>
      </c>
      <c r="H12" s="17">
        <f t="shared" si="1"/>
        <v>31094.259905910763</v>
      </c>
      <c r="I12" s="17">
        <f t="shared" si="2"/>
        <v>600604.24009408918</v>
      </c>
    </row>
    <row r="13" spans="1:9" ht="15.75" customHeight="1" x14ac:dyDescent="0.25">
      <c r="A13" s="5">
        <f t="shared" si="3"/>
        <v>2035</v>
      </c>
      <c r="B13" s="49">
        <v>27195</v>
      </c>
      <c r="C13" s="50">
        <v>94932</v>
      </c>
      <c r="D13" s="50">
        <v>183966.5</v>
      </c>
      <c r="E13" s="50">
        <v>127558</v>
      </c>
      <c r="F13" s="50">
        <v>212990.5</v>
      </c>
      <c r="G13" s="17">
        <f t="shared" si="0"/>
        <v>619447</v>
      </c>
      <c r="H13" s="17">
        <f t="shared" si="1"/>
        <v>31109.130974219817</v>
      </c>
      <c r="I13" s="17">
        <f t="shared" si="2"/>
        <v>588337.86902578024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0.1540929999999999</v>
      </c>
    </row>
    <row r="5" spans="1:8" ht="15.75" customHeight="1" x14ac:dyDescent="0.25">
      <c r="B5" s="19" t="s">
        <v>70</v>
      </c>
      <c r="C5" s="99">
        <v>4.3544600000000051E-2</v>
      </c>
    </row>
    <row r="6" spans="1:8" ht="15.75" customHeight="1" x14ac:dyDescent="0.25">
      <c r="B6" s="19" t="s">
        <v>71</v>
      </c>
      <c r="C6" s="99">
        <v>0.13350659999999989</v>
      </c>
    </row>
    <row r="7" spans="1:8" ht="15.75" customHeight="1" x14ac:dyDescent="0.25">
      <c r="B7" s="19" t="s">
        <v>72</v>
      </c>
      <c r="C7" s="99">
        <v>0.34353199999999989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0.24229560000000019</v>
      </c>
    </row>
    <row r="10" spans="1:8" ht="15.75" customHeight="1" x14ac:dyDescent="0.25">
      <c r="B10" s="19" t="s">
        <v>75</v>
      </c>
      <c r="C10" s="99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99">
        <v>0.32579698637507032</v>
      </c>
      <c r="D15" s="99">
        <v>0.32579698637507032</v>
      </c>
      <c r="E15" s="99">
        <v>0.32579698637507032</v>
      </c>
      <c r="F15" s="99">
        <v>0.32579698637507032</v>
      </c>
    </row>
    <row r="16" spans="1:8" ht="15.75" customHeight="1" x14ac:dyDescent="0.25">
      <c r="B16" s="19" t="s">
        <v>83</v>
      </c>
      <c r="C16" s="99">
        <v>3.0352653282682381E-2</v>
      </c>
      <c r="D16" s="99">
        <v>3.0352653282682381E-2</v>
      </c>
      <c r="E16" s="99">
        <v>3.0352653282682381E-2</v>
      </c>
      <c r="F16" s="99">
        <v>3.0352653282682381E-2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7.463023990219639E-3</v>
      </c>
      <c r="D19" s="99">
        <v>7.463023990219639E-3</v>
      </c>
      <c r="E19" s="99">
        <v>7.463023990219639E-3</v>
      </c>
      <c r="F19" s="99">
        <v>7.463023990219639E-3</v>
      </c>
    </row>
    <row r="20" spans="1:8" ht="15.75" customHeight="1" x14ac:dyDescent="0.25">
      <c r="B20" s="19" t="s">
        <v>87</v>
      </c>
      <c r="C20" s="99">
        <v>2.4205317759995671E-2</v>
      </c>
      <c r="D20" s="99">
        <v>2.4205317759995671E-2</v>
      </c>
      <c r="E20" s="99">
        <v>2.4205317759995671E-2</v>
      </c>
      <c r="F20" s="99">
        <v>2.4205317759995671E-2</v>
      </c>
    </row>
    <row r="21" spans="1:8" ht="15.75" customHeight="1" x14ac:dyDescent="0.25">
      <c r="B21" s="19" t="s">
        <v>88</v>
      </c>
      <c r="C21" s="99">
        <v>0.33452651561541241</v>
      </c>
      <c r="D21" s="99">
        <v>0.33452651561541241</v>
      </c>
      <c r="E21" s="99">
        <v>0.33452651561541241</v>
      </c>
      <c r="F21" s="99">
        <v>0.33452651561541241</v>
      </c>
    </row>
    <row r="22" spans="1:8" ht="15.75" customHeight="1" x14ac:dyDescent="0.25">
      <c r="B22" s="19" t="s">
        <v>89</v>
      </c>
      <c r="C22" s="99">
        <v>0.14658483737911779</v>
      </c>
      <c r="D22" s="99">
        <v>0.14658483737911779</v>
      </c>
      <c r="E22" s="99">
        <v>0.14658483737911779</v>
      </c>
      <c r="F22" s="99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99">
        <v>2.8541006000000001E-2</v>
      </c>
    </row>
    <row r="28" spans="1:8" ht="15.75" customHeight="1" x14ac:dyDescent="0.25">
      <c r="B28" s="19" t="s">
        <v>93</v>
      </c>
      <c r="C28" s="99">
        <v>0.187630466</v>
      </c>
    </row>
    <row r="29" spans="1:8" ht="15.75" customHeight="1" x14ac:dyDescent="0.25">
      <c r="B29" s="19" t="s">
        <v>94</v>
      </c>
      <c r="C29" s="99">
        <v>0.27936675700000002</v>
      </c>
    </row>
    <row r="30" spans="1:8" ht="15.75" customHeight="1" x14ac:dyDescent="0.25">
      <c r="B30" s="19" t="s">
        <v>95</v>
      </c>
      <c r="C30" s="99">
        <v>9.2226500000000002E-4</v>
      </c>
    </row>
    <row r="31" spans="1:8" ht="15.75" customHeight="1" x14ac:dyDescent="0.25">
      <c r="B31" s="19" t="s">
        <v>96</v>
      </c>
      <c r="C31" s="99">
        <v>7.2676198999999997E-2</v>
      </c>
    </row>
    <row r="32" spans="1:8" ht="15.75" customHeight="1" x14ac:dyDescent="0.25">
      <c r="B32" s="19" t="s">
        <v>97</v>
      </c>
      <c r="C32" s="99">
        <v>4.4662927999999998E-2</v>
      </c>
    </row>
    <row r="33" spans="2:3" ht="15.75" customHeight="1" x14ac:dyDescent="0.25">
      <c r="B33" s="19" t="s">
        <v>98</v>
      </c>
      <c r="C33" s="99">
        <v>0.14648158999999999</v>
      </c>
    </row>
    <row r="34" spans="2:3" ht="15.75" customHeight="1" x14ac:dyDescent="0.25">
      <c r="B34" s="19" t="s">
        <v>99</v>
      </c>
      <c r="C34" s="99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5714.4304884029398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0.58991000000000005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0.73199999999999998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1.812342190176422E-2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98490.743119999999</v>
      </c>
      <c r="C22" s="107">
        <v>98372.833450000006</v>
      </c>
      <c r="D22" s="107">
        <v>98225.841650000002</v>
      </c>
      <c r="E22" s="107">
        <v>98019.409790000005</v>
      </c>
      <c r="F22" s="107">
        <v>97757.886029999994</v>
      </c>
      <c r="G22" s="107">
        <v>97404.782040000006</v>
      </c>
      <c r="H22" s="107">
        <v>96848.728700000007</v>
      </c>
      <c r="I22" s="107">
        <v>95941.304990000004</v>
      </c>
      <c r="J22" s="107">
        <v>94313.526740000001</v>
      </c>
      <c r="K22" s="107">
        <v>91939.300380000001</v>
      </c>
      <c r="L22" s="107">
        <v>88620.793609999993</v>
      </c>
      <c r="M22" s="107">
        <v>83627.800470000002</v>
      </c>
      <c r="N22" s="107">
        <v>76538.746270000003</v>
      </c>
      <c r="O22" s="107">
        <v>65091.719239999999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14.35913960398203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14.35913960398203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14.35913960398203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14.35913960398203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14.35913960398203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14.35913960398203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2.3937511111111101E-2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0.23591980000000001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0.23591980000000001</v>
      </c>
      <c r="C19" s="96">
        <v>0.95</v>
      </c>
      <c r="D19" s="56">
        <v>4.4482358424844612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4.7648286502090178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0.69322219271638008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0.52424380000000004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0.5944374</v>
      </c>
      <c r="C29" s="96">
        <v>0.95</v>
      </c>
      <c r="D29" s="56">
        <v>80.983006519796163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0.93940820000000003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0.13994980000000001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2.1327200000000001E-2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0.97755639999999999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8.7485800000000002E-2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198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