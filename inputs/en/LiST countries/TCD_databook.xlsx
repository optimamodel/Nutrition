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15283B7-83F9-4C87-897C-2E8445D0170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4" i="2"/>
  <c r="A31" i="2"/>
  <c r="A26" i="2"/>
  <c r="A25" i="2"/>
  <c r="A23" i="2"/>
  <c r="A18" i="2"/>
  <c r="A17" i="2"/>
  <c r="A15" i="2"/>
  <c r="H13" i="2"/>
  <c r="I13" i="2" s="1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6" i="2" l="1"/>
  <c r="A24" i="2"/>
  <c r="A32" i="2"/>
  <c r="A33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<sst xmlns="http://schemas.openxmlformats.org/spreadsheetml/2006/main" count="2101" uniqueCount="341">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</sst>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3482182.625</v>
      </c>
    </row>
    <row r="8" spans="1:3" ht="15" customHeight="1" x14ac:dyDescent="0.25">
      <c r="B8" s="5" t="s">
        <v>8</v>
      </c>
      <c r="C8" s="44">
        <v>0.38400000000000001</v>
      </c>
    </row>
    <row r="9" spans="1:3" ht="15" customHeight="1" x14ac:dyDescent="0.25">
      <c r="B9" s="5" t="s">
        <v>9</v>
      </c>
      <c r="C9" s="45">
        <v>0.86</v>
      </c>
    </row>
    <row r="10" spans="1:3" ht="15" customHeight="1" x14ac:dyDescent="0.25">
      <c r="B10" s="5" t="s">
        <v>10</v>
      </c>
      <c r="C10" s="45">
        <v>0.12396960258483899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0.1394</v>
      </c>
    </row>
    <row r="24" spans="1:3" ht="15" customHeight="1" x14ac:dyDescent="0.25">
      <c r="B24" s="15" t="s">
        <v>22</v>
      </c>
      <c r="C24" s="45">
        <v>0.44390000000000002</v>
      </c>
    </row>
    <row r="25" spans="1:3" ht="15" customHeight="1" x14ac:dyDescent="0.25">
      <c r="B25" s="15" t="s">
        <v>23</v>
      </c>
      <c r="C25" s="45">
        <v>0.33229999999999998</v>
      </c>
    </row>
    <row r="26" spans="1:3" ht="15" customHeight="1" x14ac:dyDescent="0.25">
      <c r="B26" s="15" t="s">
        <v>24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0.15293756430852301</v>
      </c>
    </row>
    <row r="30" spans="1:3" ht="14.25" customHeight="1" x14ac:dyDescent="0.25">
      <c r="B30" s="25" t="s">
        <v>27</v>
      </c>
      <c r="C30" s="99">
        <v>9.4746756690583189E-2</v>
      </c>
    </row>
    <row r="31" spans="1:3" ht="14.25" customHeight="1" x14ac:dyDescent="0.25">
      <c r="B31" s="25" t="s">
        <v>28</v>
      </c>
      <c r="C31" s="99">
        <v>0.160927169095259</v>
      </c>
    </row>
    <row r="32" spans="1:3" ht="14.25" customHeight="1" x14ac:dyDescent="0.25">
      <c r="B32" s="25" t="s">
        <v>29</v>
      </c>
      <c r="C32" s="99">
        <v>0.59138850990563396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32.347020000000001</v>
      </c>
    </row>
    <row r="38" spans="1:5" ht="15" customHeight="1" x14ac:dyDescent="0.25">
      <c r="B38" s="11" t="s">
        <v>34</v>
      </c>
      <c r="C38" s="43">
        <v>66.049419999999998</v>
      </c>
      <c r="D38" s="12"/>
      <c r="E38" s="13"/>
    </row>
    <row r="39" spans="1:5" ht="15" customHeight="1" x14ac:dyDescent="0.25">
      <c r="B39" s="11" t="s">
        <v>35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100">
        <v>10.63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7.9279999999999993E-3</v>
      </c>
      <c r="D45" s="12"/>
    </row>
    <row r="46" spans="1:5" ht="15.75" customHeight="1" x14ac:dyDescent="0.25">
      <c r="B46" s="11" t="s">
        <v>41</v>
      </c>
      <c r="C46" s="45">
        <v>8.5185700000000003E-2</v>
      </c>
      <c r="D46" s="12"/>
    </row>
    <row r="47" spans="1:5" ht="15.75" customHeight="1" x14ac:dyDescent="0.25">
      <c r="B47" s="11" t="s">
        <v>42</v>
      </c>
      <c r="C47" s="45">
        <v>7.3461200000000004E-2</v>
      </c>
      <c r="D47" s="12"/>
      <c r="E47" s="13"/>
    </row>
    <row r="48" spans="1:5" ht="15" customHeight="1" x14ac:dyDescent="0.25">
      <c r="B48" s="11" t="s">
        <v>43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0.43513099999999999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794344</v>
      </c>
      <c r="C2" s="49">
        <v>1248775.5</v>
      </c>
      <c r="D2" s="49">
        <v>1507659</v>
      </c>
      <c r="E2" s="49">
        <v>1005520</v>
      </c>
      <c r="F2" s="49">
        <v>595335</v>
      </c>
      <c r="G2" s="17">
        <f t="shared" ref="G2:G13" si="0">C2+D2+E2+F2</f>
        <v>4357289.5</v>
      </c>
      <c r="H2" s="17">
        <f t="shared" ref="H2:H13" si="1">(B2 + stillbirth*B2/(1000-stillbirth))/(1-abortion)</f>
        <v>926073.3158533019</v>
      </c>
      <c r="I2" s="17">
        <f t="shared" ref="I2:I13" si="2">G2-H2</f>
        <v>3431216.1841466981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808202</v>
      </c>
      <c r="C3" s="50">
        <v>1292760</v>
      </c>
      <c r="D3" s="50">
        <v>1563546.5</v>
      </c>
      <c r="E3" s="50">
        <v>1038670</v>
      </c>
      <c r="F3" s="50">
        <v>612062.99999999988</v>
      </c>
      <c r="G3" s="17">
        <f t="shared" si="0"/>
        <v>4507039.5</v>
      </c>
      <c r="H3" s="17">
        <f t="shared" si="1"/>
        <v>942229.44469810359</v>
      </c>
      <c r="I3" s="17">
        <f t="shared" si="2"/>
        <v>3564810.0553018963</v>
      </c>
    </row>
    <row r="4" spans="1:9" ht="15.75" customHeight="1" x14ac:dyDescent="0.25">
      <c r="A4" s="5">
        <f t="shared" si="3"/>
        <v>2026</v>
      </c>
      <c r="B4" s="49">
        <v>821405</v>
      </c>
      <c r="C4" s="50">
        <v>1336974</v>
      </c>
      <c r="D4" s="50">
        <v>1620184.5</v>
      </c>
      <c r="E4" s="50">
        <v>1077588.5</v>
      </c>
      <c r="F4" s="50">
        <v>628111.5</v>
      </c>
      <c r="G4" s="17">
        <f t="shared" si="0"/>
        <v>4662858.5</v>
      </c>
      <c r="H4" s="17">
        <f t="shared" si="1"/>
        <v>957621.95221274591</v>
      </c>
      <c r="I4" s="17">
        <f t="shared" si="2"/>
        <v>3705236.5477872542</v>
      </c>
    </row>
    <row r="5" spans="1:9" ht="15.75" customHeight="1" x14ac:dyDescent="0.25">
      <c r="A5" s="5">
        <f t="shared" si="3"/>
        <v>2027</v>
      </c>
      <c r="B5" s="49">
        <v>837331</v>
      </c>
      <c r="C5" s="50">
        <v>1381822.5</v>
      </c>
      <c r="D5" s="50">
        <v>1677391</v>
      </c>
      <c r="E5" s="50">
        <v>1118945.5</v>
      </c>
      <c r="F5" s="50">
        <v>643147</v>
      </c>
      <c r="G5" s="17">
        <f t="shared" si="0"/>
        <v>4821306</v>
      </c>
      <c r="H5" s="17">
        <f t="shared" si="1"/>
        <v>976189.02595948498</v>
      </c>
      <c r="I5" s="17">
        <f t="shared" si="2"/>
        <v>3845116.9740405148</v>
      </c>
    </row>
    <row r="6" spans="1:9" ht="15.75" customHeight="1" x14ac:dyDescent="0.25">
      <c r="A6" s="5">
        <f t="shared" si="3"/>
        <v>2028</v>
      </c>
      <c r="B6" s="49">
        <v>850444</v>
      </c>
      <c r="C6" s="50">
        <v>1427303.5</v>
      </c>
      <c r="D6" s="50">
        <v>1737004.5</v>
      </c>
      <c r="E6" s="50">
        <v>1159709.5</v>
      </c>
      <c r="F6" s="50">
        <v>660210.5</v>
      </c>
      <c r="G6" s="17">
        <f t="shared" si="0"/>
        <v>4984228</v>
      </c>
      <c r="H6" s="17">
        <f t="shared" si="1"/>
        <v>991476.60840586142</v>
      </c>
      <c r="I6" s="17">
        <f t="shared" si="2"/>
        <v>3992751.3915941385</v>
      </c>
    </row>
    <row r="7" spans="1:9" ht="15.75" customHeight="1" x14ac:dyDescent="0.25">
      <c r="A7" s="5">
        <f t="shared" si="3"/>
        <v>2029</v>
      </c>
      <c r="B7" s="49">
        <v>863892</v>
      </c>
      <c r="C7" s="50">
        <v>1473279.5</v>
      </c>
      <c r="D7" s="50">
        <v>1798851</v>
      </c>
      <c r="E7" s="50">
        <v>1200619</v>
      </c>
      <c r="F7" s="50">
        <v>680407.5</v>
      </c>
      <c r="G7" s="17">
        <f t="shared" si="0"/>
        <v>5153157</v>
      </c>
      <c r="H7" s="17">
        <f t="shared" si="1"/>
        <v>1007154.745273006</v>
      </c>
      <c r="I7" s="17">
        <f t="shared" si="2"/>
        <v>4146002.2547269939</v>
      </c>
    </row>
    <row r="8" spans="1:9" ht="15.75" customHeight="1" x14ac:dyDescent="0.25">
      <c r="A8" s="5">
        <f t="shared" si="3"/>
        <v>2030</v>
      </c>
      <c r="B8" s="49">
        <v>881686</v>
      </c>
      <c r="C8" s="50">
        <v>1516808.5</v>
      </c>
      <c r="D8" s="50">
        <v>1864021</v>
      </c>
      <c r="E8" s="50">
        <v>1242039</v>
      </c>
      <c r="F8" s="50">
        <v>702932.5</v>
      </c>
      <c r="G8" s="17">
        <f t="shared" si="0"/>
        <v>5325801</v>
      </c>
      <c r="H8" s="17">
        <f t="shared" si="1"/>
        <v>1027899.5971033134</v>
      </c>
      <c r="I8" s="17">
        <f t="shared" si="2"/>
        <v>4297901.4028966865</v>
      </c>
    </row>
    <row r="9" spans="1:9" ht="15.75" customHeight="1" x14ac:dyDescent="0.25">
      <c r="A9" s="5">
        <f t="shared" si="3"/>
        <v>2031</v>
      </c>
      <c r="B9" s="49">
        <v>894317</v>
      </c>
      <c r="C9" s="50">
        <v>1557852</v>
      </c>
      <c r="D9" s="50">
        <v>1931846.5</v>
      </c>
      <c r="E9" s="50">
        <v>1285385</v>
      </c>
      <c r="F9" s="50">
        <v>729177.5</v>
      </c>
      <c r="G9" s="17">
        <f t="shared" si="0"/>
        <v>5504261</v>
      </c>
      <c r="H9" s="17">
        <f t="shared" si="1"/>
        <v>1042625.24751742</v>
      </c>
      <c r="I9" s="17">
        <f t="shared" si="2"/>
        <v>4461635.75248258</v>
      </c>
    </row>
    <row r="10" spans="1:9" ht="15.75" customHeight="1" x14ac:dyDescent="0.25">
      <c r="A10" s="5">
        <f t="shared" si="3"/>
        <v>2032</v>
      </c>
      <c r="B10" s="49">
        <v>907435</v>
      </c>
      <c r="C10" s="50">
        <v>1598210</v>
      </c>
      <c r="D10" s="50">
        <v>2002739</v>
      </c>
      <c r="E10" s="50">
        <v>1328376.5</v>
      </c>
      <c r="F10" s="50">
        <v>758071</v>
      </c>
      <c r="G10" s="17">
        <f t="shared" si="0"/>
        <v>5687396.5</v>
      </c>
      <c r="H10" s="17">
        <f t="shared" si="1"/>
        <v>1057918.6591342555</v>
      </c>
      <c r="I10" s="17">
        <f t="shared" si="2"/>
        <v>4629477.8408657443</v>
      </c>
    </row>
    <row r="11" spans="1:9" ht="15.75" customHeight="1" x14ac:dyDescent="0.25">
      <c r="A11" s="5">
        <f t="shared" si="3"/>
        <v>2033</v>
      </c>
      <c r="B11" s="49">
        <v>920197</v>
      </c>
      <c r="C11" s="50">
        <v>1639934.5</v>
      </c>
      <c r="D11" s="50">
        <v>2076356</v>
      </c>
      <c r="E11" s="50">
        <v>1369938.5</v>
      </c>
      <c r="F11" s="50">
        <v>786500.5</v>
      </c>
      <c r="G11" s="17">
        <f t="shared" si="0"/>
        <v>5872729.5</v>
      </c>
      <c r="H11" s="17">
        <f t="shared" si="1"/>
        <v>1072797.0338143939</v>
      </c>
      <c r="I11" s="17">
        <f t="shared" si="2"/>
        <v>4799932.4661856061</v>
      </c>
    </row>
    <row r="12" spans="1:9" ht="15.75" customHeight="1" x14ac:dyDescent="0.25">
      <c r="A12" s="5">
        <f t="shared" si="3"/>
        <v>2034</v>
      </c>
      <c r="B12" s="49">
        <v>935159</v>
      </c>
      <c r="C12" s="50">
        <v>1683151.5</v>
      </c>
      <c r="D12" s="50">
        <v>2150008.5</v>
      </c>
      <c r="E12" s="50">
        <v>1416595</v>
      </c>
      <c r="F12" s="50">
        <v>815356.99999999988</v>
      </c>
      <c r="G12" s="17">
        <f t="shared" si="0"/>
        <v>6065112</v>
      </c>
      <c r="H12" s="17">
        <f t="shared" si="1"/>
        <v>1090240.2434965933</v>
      </c>
      <c r="I12" s="17">
        <f t="shared" si="2"/>
        <v>4974871.7565034069</v>
      </c>
    </row>
    <row r="13" spans="1:9" ht="15.75" customHeight="1" x14ac:dyDescent="0.25">
      <c r="A13" s="5">
        <f t="shared" si="3"/>
        <v>2035</v>
      </c>
      <c r="B13" s="49">
        <v>950900</v>
      </c>
      <c r="C13" s="50">
        <v>1726445.5</v>
      </c>
      <c r="D13" s="50">
        <v>2222171</v>
      </c>
      <c r="E13" s="50">
        <v>1469917</v>
      </c>
      <c r="F13" s="50">
        <v>844913</v>
      </c>
      <c r="G13" s="17">
        <f t="shared" si="0"/>
        <v>6263446.5</v>
      </c>
      <c r="H13" s="17">
        <f t="shared" si="1"/>
        <v>1108591.6379363409</v>
      </c>
      <c r="I13" s="17">
        <f t="shared" si="2"/>
        <v>5154854.8620636594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3.6768002519763941E-2</v>
      </c>
    </row>
    <row r="4" spans="1:8" ht="15.75" customHeight="1" x14ac:dyDescent="0.25">
      <c r="B4" s="19" t="s">
        <v>69</v>
      </c>
      <c r="C4" s="101">
        <v>8.0138679066978954E-2</v>
      </c>
    </row>
    <row r="5" spans="1:8" ht="15.75" customHeight="1" x14ac:dyDescent="0.25">
      <c r="B5" s="19" t="s">
        <v>70</v>
      </c>
      <c r="C5" s="101">
        <v>0.1338084305034315</v>
      </c>
    </row>
    <row r="6" spans="1:8" ht="15.75" customHeight="1" x14ac:dyDescent="0.25">
      <c r="B6" s="19" t="s">
        <v>71</v>
      </c>
      <c r="C6" s="101">
        <v>0.25636246900447218</v>
      </c>
    </row>
    <row r="7" spans="1:8" ht="15.75" customHeight="1" x14ac:dyDescent="0.25">
      <c r="B7" s="19" t="s">
        <v>72</v>
      </c>
      <c r="C7" s="101">
        <v>0.32692926681212559</v>
      </c>
    </row>
    <row r="8" spans="1:8" ht="15.75" customHeight="1" x14ac:dyDescent="0.25">
      <c r="B8" s="19" t="s">
        <v>73</v>
      </c>
      <c r="C8" s="101">
        <v>2.187063857666155E-2</v>
      </c>
    </row>
    <row r="9" spans="1:8" ht="15.75" customHeight="1" x14ac:dyDescent="0.25">
      <c r="B9" s="19" t="s">
        <v>74</v>
      </c>
      <c r="C9" s="101">
        <v>3.8326145942798762E-2</v>
      </c>
    </row>
    <row r="10" spans="1:8" ht="15.75" customHeight="1" x14ac:dyDescent="0.25">
      <c r="B10" s="19" t="s">
        <v>75</v>
      </c>
      <c r="C10" s="101">
        <v>0.1057963675737677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82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83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84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85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86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87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88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89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8.8804052000000008E-2</v>
      </c>
    </row>
    <row r="27" spans="1:8" ht="15.75" customHeight="1" x14ac:dyDescent="0.25">
      <c r="B27" s="19" t="s">
        <v>92</v>
      </c>
      <c r="C27" s="101">
        <v>8.6505729999999999E-3</v>
      </c>
    </row>
    <row r="28" spans="1:8" ht="15.75" customHeight="1" x14ac:dyDescent="0.25">
      <c r="B28" s="19" t="s">
        <v>93</v>
      </c>
      <c r="C28" s="101">
        <v>0.15426393499999999</v>
      </c>
    </row>
    <row r="29" spans="1:8" ht="15.75" customHeight="1" x14ac:dyDescent="0.25">
      <c r="B29" s="19" t="s">
        <v>94</v>
      </c>
      <c r="C29" s="101">
        <v>0.16852035100000001</v>
      </c>
    </row>
    <row r="30" spans="1:8" ht="15.75" customHeight="1" x14ac:dyDescent="0.25">
      <c r="B30" s="19" t="s">
        <v>95</v>
      </c>
      <c r="C30" s="101">
        <v>0.106889969</v>
      </c>
    </row>
    <row r="31" spans="1:8" ht="15.75" customHeight="1" x14ac:dyDescent="0.25">
      <c r="B31" s="19" t="s">
        <v>96</v>
      </c>
      <c r="C31" s="101">
        <v>0.10946104600000001</v>
      </c>
    </row>
    <row r="32" spans="1:8" ht="15.75" customHeight="1" x14ac:dyDescent="0.25">
      <c r="B32" s="19" t="s">
        <v>97</v>
      </c>
      <c r="C32" s="101">
        <v>1.8636323E-2</v>
      </c>
    </row>
    <row r="33" spans="2:3" ht="15.75" customHeight="1" x14ac:dyDescent="0.25">
      <c r="B33" s="19" t="s">
        <v>98</v>
      </c>
      <c r="C33" s="101">
        <v>8.3221009999999998E-2</v>
      </c>
    </row>
    <row r="34" spans="2:3" ht="15.75" customHeight="1" x14ac:dyDescent="0.25">
      <c r="B34" s="19" t="s">
        <v>99</v>
      </c>
      <c r="C34" s="101">
        <v>0.26155274000000001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104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122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19.272603201046881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16.045049454604829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4.1559126023027169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0.15354973642230621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0.39842419812920288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0.1104295</v>
      </c>
      <c r="C10" s="98">
        <v>0.95</v>
      </c>
      <c r="D10" s="56">
        <v>15.0449415094118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15.0449415094118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15.0449415094118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15.0449415094118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0.1104295</v>
      </c>
      <c r="C14" s="98">
        <v>0.95</v>
      </c>
      <c r="D14" s="56">
        <v>15.0449415094118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15.0449415094118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0.5599459</v>
      </c>
      <c r="C16" s="98">
        <v>0.95</v>
      </c>
      <c r="D16" s="56">
        <v>2.943280879817789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0.19400000000000001</v>
      </c>
      <c r="C18" s="98">
        <v>0.95</v>
      </c>
      <c r="D18" s="56">
        <v>4.1559126023027169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0.16409360000000001</v>
      </c>
      <c r="C19" s="98">
        <v>0.95</v>
      </c>
      <c r="D19" s="56">
        <v>4.1559126023027169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4.4973331843615796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25.638805136545979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0.65777940000000001</v>
      </c>
      <c r="C23" s="98">
        <v>0.95</v>
      </c>
      <c r="D23" s="56">
        <v>4.9287239443093789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0.19459071543420001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0.1104295</v>
      </c>
      <c r="C26" s="98">
        <v>0.95</v>
      </c>
      <c r="D26" s="56">
        <v>2.4488096920084002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0.17447260000000001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0.23353189999999999</v>
      </c>
      <c r="C29" s="98">
        <v>0.95</v>
      </c>
      <c r="D29" s="56">
        <v>58.241642049834397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0.18290000000000001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0.91</v>
      </c>
      <c r="C32" s="98">
        <v>0.95</v>
      </c>
      <c r="D32" s="56">
        <v>0.24723559390469421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0.26200469999999998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0.13487759999999999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7.6780000000000001E-4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0.16786129999999999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5.0000000000000001E-3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205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0.10238546498794443</v>
      </c>
      <c r="G18" s="90">
        <f>MIN(MAX(1-0.89/(1-frac_sam_12_23months+(frac_sam_12_23months*0.89)),0),1)</f>
        <v>0.10366514354230172</v>
      </c>
      <c r="H18" s="90">
        <f>MIN(MAX(1-0.89/(1-frac_sam_24_59months+(frac_sam_24_59months*0.89)),0),1)</f>
        <v>0.10679062368129921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9.7242602590339677E-2</v>
      </c>
      <c r="G20" s="90">
        <f>MIN(MAX(1-0.89/(1-frac_mam_12_23months+(frac_mam_12_23months*0.89)),0),1)</f>
        <v>9.7451632678914324E-2</v>
      </c>
      <c r="H20" s="90">
        <f>MIN(MAX(1-0.89/(1-frac_mam_24_59months+(frac_mam_24_59months*0.89)),0),1)</f>
        <v>0.10203154919328206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9.2359336504359568E-3</v>
      </c>
      <c r="G73" s="90">
        <f>MIN(MAX(1-0.99/(1-frac_sam_12_23months+(frac_sam_12_23months*0.99)),0),1)</f>
        <v>9.3635150677946477E-3</v>
      </c>
      <c r="H73" s="90">
        <f>MIN(MAX(1-0.99/(1-frac_sam_24_59months+(frac_sam_24_59months*0.99)),0),1)</f>
        <v>9.6765167761457827E-3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8.7265208741017508E-3</v>
      </c>
      <c r="G75" s="90">
        <f>MIN(MAX(1-0.99/(1-frac_mam_12_23months+(frac_mam_12_23months*0.99)),0),1)</f>
        <v>8.7471227771331872E-3</v>
      </c>
      <c r="H75" s="90">
        <f>MIN(MAX(1-0.99/(1-frac_mam_24_59months+(frac_mam_24_59months*0.99)),0),1)</f>
        <v>9.2007073486287672E-3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0.18746768025740046</v>
      </c>
      <c r="G128" s="90">
        <f>MIN(MAX(1-0.8/(1-frac_sam_12_23months+(frac_sam_12_23months*0.8)),0),1)</f>
        <v>0.18958616602514644</v>
      </c>
      <c r="H128" s="90">
        <f>MIN(MAX(1-0.8/(1-frac_sam_24_59months+(frac_sam_24_59months*0.8)),0),1)</f>
        <v>0.19473932866545185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0.17890289520891889</v>
      </c>
      <c r="G130" s="90">
        <f>MIN(MAX(1-0.8/(1-frac_mam_12_23months+(frac_mam_12_23months*0.8)),0),1)</f>
        <v>0.1792526056729199</v>
      </c>
      <c r="H130" s="90">
        <f>MIN(MAX(1-0.8/(1-frac_mam_24_59months+(frac_mam_24_59months*0.8)),0),1)</f>
        <v>0.18688089238195815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2024-08-06T06:31:12Z</dcterms:modified>
</cp:coreProperties>
</file>