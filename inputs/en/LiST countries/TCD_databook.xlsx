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C2674A3-B698-4CA2-9F62-629013EB229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7" i="2"/>
  <c r="A36" i="2"/>
  <c r="A35" i="2"/>
  <c r="A32" i="2"/>
  <c r="A29" i="2"/>
  <c r="A28" i="2"/>
  <c r="A27" i="2"/>
  <c r="A24" i="2"/>
  <c r="A21" i="2"/>
  <c r="A20" i="2"/>
  <c r="A19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4" i="2" l="1"/>
  <c r="A14" i="2"/>
  <c r="A22" i="2"/>
  <c r="A30" i="2"/>
  <c r="A38" i="2"/>
  <c r="A40" i="2"/>
  <c r="A15" i="2"/>
  <c r="A23" i="2"/>
  <c r="A31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<sst xmlns="http://schemas.openxmlformats.org/spreadsheetml/2006/main" count="2092" uniqueCount="341">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</sst>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3482182.625</v>
      </c>
    </row>
    <row r="8" spans="1:3" ht="15" customHeight="1" x14ac:dyDescent="0.25">
      <c r="B8" s="5" t="s">
        <v>8</v>
      </c>
      <c r="C8" s="44">
        <v>0.38400000000000001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0.12396960258483899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9">
        <v>9.4746756690583189E-2</v>
      </c>
    </row>
    <row r="31" spans="1:3" ht="14.25" customHeight="1" x14ac:dyDescent="0.25">
      <c r="B31" s="25" t="s">
        <v>28</v>
      </c>
      <c r="C31" s="99">
        <v>0.160927169095259</v>
      </c>
    </row>
    <row r="32" spans="1:3" ht="14.25" customHeight="1" x14ac:dyDescent="0.25">
      <c r="B32" s="25" t="s">
        <v>29</v>
      </c>
      <c r="C32" s="99">
        <v>0.59138850990563396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714070.8396000003</v>
      </c>
      <c r="C2" s="49">
        <v>1022000</v>
      </c>
      <c r="D2" s="49">
        <v>1585000</v>
      </c>
      <c r="E2" s="49">
        <v>1028000</v>
      </c>
      <c r="F2" s="49">
        <v>631000</v>
      </c>
      <c r="G2" s="17">
        <f t="shared" ref="G2:G13" si="0">C2+D2+E2+F2</f>
        <v>4266000</v>
      </c>
      <c r="H2" s="17">
        <f t="shared" ref="H2:H13" si="1">(B2 + stillbirth*B2/(1000-stillbirth))/(1-abortion)</f>
        <v>832488.12879876175</v>
      </c>
      <c r="I2" s="17">
        <f t="shared" ref="I2:I13" si="2">G2-H2</f>
        <v>3433511.8712012381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724284.2</v>
      </c>
      <c r="C3" s="50">
        <v>1050000</v>
      </c>
      <c r="D3" s="50">
        <v>1638000</v>
      </c>
      <c r="E3" s="50">
        <v>1070000</v>
      </c>
      <c r="F3" s="50">
        <v>656000</v>
      </c>
      <c r="G3" s="17">
        <f t="shared" si="0"/>
        <v>4414000</v>
      </c>
      <c r="H3" s="17">
        <f t="shared" si="1"/>
        <v>844395.21254539106</v>
      </c>
      <c r="I3" s="17">
        <f t="shared" si="2"/>
        <v>3569604.7874546088</v>
      </c>
    </row>
    <row r="4" spans="1:9" ht="15.75" customHeight="1" x14ac:dyDescent="0.25">
      <c r="A4" s="5">
        <f t="shared" si="3"/>
        <v>2026</v>
      </c>
      <c r="B4" s="49">
        <v>734323.63639999996</v>
      </c>
      <c r="C4" s="50">
        <v>1078000</v>
      </c>
      <c r="D4" s="50">
        <v>1690000</v>
      </c>
      <c r="E4" s="50">
        <v>1112000</v>
      </c>
      <c r="F4" s="50">
        <v>683000</v>
      </c>
      <c r="G4" s="17">
        <f t="shared" si="0"/>
        <v>4563000</v>
      </c>
      <c r="H4" s="17">
        <f t="shared" si="1"/>
        <v>856099.52976343047</v>
      </c>
      <c r="I4" s="17">
        <f t="shared" si="2"/>
        <v>3706900.4702365696</v>
      </c>
    </row>
    <row r="5" spans="1:9" ht="15.75" customHeight="1" x14ac:dyDescent="0.25">
      <c r="A5" s="5">
        <f t="shared" si="3"/>
        <v>2027</v>
      </c>
      <c r="B5" s="49">
        <v>744079.55219999992</v>
      </c>
      <c r="C5" s="50">
        <v>1106000</v>
      </c>
      <c r="D5" s="50">
        <v>1743000</v>
      </c>
      <c r="E5" s="50">
        <v>1155000</v>
      </c>
      <c r="F5" s="50">
        <v>711000</v>
      </c>
      <c r="G5" s="17">
        <f t="shared" si="0"/>
        <v>4715000</v>
      </c>
      <c r="H5" s="17">
        <f t="shared" si="1"/>
        <v>867473.30900024914</v>
      </c>
      <c r="I5" s="17">
        <f t="shared" si="2"/>
        <v>3847526.690999751</v>
      </c>
    </row>
    <row r="6" spans="1:9" ht="15.75" customHeight="1" x14ac:dyDescent="0.25">
      <c r="A6" s="5">
        <f t="shared" si="3"/>
        <v>2028</v>
      </c>
      <c r="B6" s="49">
        <v>753577.96559999988</v>
      </c>
      <c r="C6" s="50">
        <v>1135000</v>
      </c>
      <c r="D6" s="50">
        <v>1796000</v>
      </c>
      <c r="E6" s="50">
        <v>1200000</v>
      </c>
      <c r="F6" s="50">
        <v>740000</v>
      </c>
      <c r="G6" s="17">
        <f t="shared" si="0"/>
        <v>4871000</v>
      </c>
      <c r="H6" s="17">
        <f t="shared" si="1"/>
        <v>878546.88316041592</v>
      </c>
      <c r="I6" s="17">
        <f t="shared" si="2"/>
        <v>3992453.116839584</v>
      </c>
    </row>
    <row r="7" spans="1:9" ht="15.75" customHeight="1" x14ac:dyDescent="0.25">
      <c r="A7" s="5">
        <f t="shared" si="3"/>
        <v>2029</v>
      </c>
      <c r="B7" s="49">
        <v>762806.31979999982</v>
      </c>
      <c r="C7" s="50">
        <v>1164000</v>
      </c>
      <c r="D7" s="50">
        <v>1851000</v>
      </c>
      <c r="E7" s="50">
        <v>1247000</v>
      </c>
      <c r="F7" s="50">
        <v>770000</v>
      </c>
      <c r="G7" s="17">
        <f t="shared" si="0"/>
        <v>5032000</v>
      </c>
      <c r="H7" s="17">
        <f t="shared" si="1"/>
        <v>889305.61309840588</v>
      </c>
      <c r="I7" s="17">
        <f t="shared" si="2"/>
        <v>4142694.3869015942</v>
      </c>
    </row>
    <row r="8" spans="1:9" ht="15.75" customHeight="1" x14ac:dyDescent="0.25">
      <c r="A8" s="5">
        <f t="shared" si="3"/>
        <v>2030</v>
      </c>
      <c r="B8" s="49">
        <v>771680.14000000013</v>
      </c>
      <c r="C8" s="50">
        <v>1193000</v>
      </c>
      <c r="D8" s="50">
        <v>1907000</v>
      </c>
      <c r="E8" s="50">
        <v>1294000</v>
      </c>
      <c r="F8" s="50">
        <v>802000</v>
      </c>
      <c r="G8" s="17">
        <f t="shared" si="0"/>
        <v>5196000</v>
      </c>
      <c r="H8" s="17">
        <f t="shared" si="1"/>
        <v>899651.01521247777</v>
      </c>
      <c r="I8" s="17">
        <f t="shared" si="2"/>
        <v>4296348.9847875219</v>
      </c>
    </row>
    <row r="9" spans="1:9" ht="15.75" customHeight="1" x14ac:dyDescent="0.25">
      <c r="A9" s="5">
        <f t="shared" si="3"/>
        <v>2031</v>
      </c>
      <c r="B9" s="49">
        <v>779910.04005714296</v>
      </c>
      <c r="C9" s="50">
        <v>1217428.5714285709</v>
      </c>
      <c r="D9" s="50">
        <v>1953000</v>
      </c>
      <c r="E9" s="50">
        <v>1332000</v>
      </c>
      <c r="F9" s="50">
        <v>826428.57142857148</v>
      </c>
      <c r="G9" s="17">
        <f t="shared" si="0"/>
        <v>5328857.1428571427</v>
      </c>
      <c r="H9" s="17">
        <f t="shared" si="1"/>
        <v>909245.71327157994</v>
      </c>
      <c r="I9" s="17">
        <f t="shared" si="2"/>
        <v>4419611.429585563</v>
      </c>
    </row>
    <row r="10" spans="1:9" ht="15.75" customHeight="1" x14ac:dyDescent="0.25">
      <c r="A10" s="5">
        <f t="shared" si="3"/>
        <v>2032</v>
      </c>
      <c r="B10" s="49">
        <v>787856.58863673487</v>
      </c>
      <c r="C10" s="50">
        <v>1241346.9387755101</v>
      </c>
      <c r="D10" s="50">
        <v>1998000</v>
      </c>
      <c r="E10" s="50">
        <v>1369428.5714285709</v>
      </c>
      <c r="F10" s="50">
        <v>850775.51020408166</v>
      </c>
      <c r="G10" s="17">
        <f t="shared" si="0"/>
        <v>5459551.0204081619</v>
      </c>
      <c r="H10" s="17">
        <f t="shared" si="1"/>
        <v>918510.0705181784</v>
      </c>
      <c r="I10" s="17">
        <f t="shared" si="2"/>
        <v>4541040.949889984</v>
      </c>
    </row>
    <row r="11" spans="1:9" ht="15.75" customHeight="1" x14ac:dyDescent="0.25">
      <c r="A11" s="5">
        <f t="shared" si="3"/>
        <v>2033</v>
      </c>
      <c r="B11" s="49">
        <v>795504.15324198268</v>
      </c>
      <c r="C11" s="50">
        <v>1264682.21574344</v>
      </c>
      <c r="D11" s="50">
        <v>2042000</v>
      </c>
      <c r="E11" s="50">
        <v>1406204.081632653</v>
      </c>
      <c r="F11" s="50">
        <v>874743.44023323618</v>
      </c>
      <c r="G11" s="17">
        <f t="shared" si="0"/>
        <v>5587629.7376093296</v>
      </c>
      <c r="H11" s="17">
        <f t="shared" si="1"/>
        <v>927425.86205457104</v>
      </c>
      <c r="I11" s="17">
        <f t="shared" si="2"/>
        <v>4660203.8755547591</v>
      </c>
    </row>
    <row r="12" spans="1:9" ht="15.75" customHeight="1" x14ac:dyDescent="0.25">
      <c r="A12" s="5">
        <f t="shared" si="3"/>
        <v>2034</v>
      </c>
      <c r="B12" s="49">
        <v>802850.52481940878</v>
      </c>
      <c r="C12" s="50">
        <v>1287351.103706789</v>
      </c>
      <c r="D12" s="50">
        <v>2084714.2857142859</v>
      </c>
      <c r="E12" s="50">
        <v>1442090.379008746</v>
      </c>
      <c r="F12" s="50">
        <v>898135.36026655568</v>
      </c>
      <c r="G12" s="17">
        <f t="shared" si="0"/>
        <v>5712291.1286963765</v>
      </c>
      <c r="H12" s="17">
        <f t="shared" si="1"/>
        <v>935990.51249090256</v>
      </c>
      <c r="I12" s="17">
        <f t="shared" si="2"/>
        <v>4776300.6162054744</v>
      </c>
    </row>
    <row r="13" spans="1:9" ht="15.75" customHeight="1" x14ac:dyDescent="0.25">
      <c r="A13" s="5">
        <f t="shared" si="3"/>
        <v>2035</v>
      </c>
      <c r="B13" s="49">
        <v>809889.46185075294</v>
      </c>
      <c r="C13" s="50">
        <v>1309115.5470934729</v>
      </c>
      <c r="D13" s="50">
        <v>2125959.1836734689</v>
      </c>
      <c r="E13" s="50">
        <v>1476674.718867138</v>
      </c>
      <c r="F13" s="50">
        <v>920726.1260189208</v>
      </c>
      <c r="G13" s="17">
        <f t="shared" si="0"/>
        <v>5832475.5756530007</v>
      </c>
      <c r="H13" s="17">
        <f t="shared" si="1"/>
        <v>944196.74525240075</v>
      </c>
      <c r="I13" s="17">
        <f t="shared" si="2"/>
        <v>4888278.8304006001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101">
        <v>8.0138679066978954E-2</v>
      </c>
    </row>
    <row r="5" spans="1:8" ht="15.75" customHeight="1" x14ac:dyDescent="0.25">
      <c r="B5" s="19" t="s">
        <v>70</v>
      </c>
      <c r="C5" s="101">
        <v>0.1338084305034315</v>
      </c>
    </row>
    <row r="6" spans="1:8" ht="15.75" customHeight="1" x14ac:dyDescent="0.25">
      <c r="B6" s="19" t="s">
        <v>71</v>
      </c>
      <c r="C6" s="101">
        <v>0.25636246900447218</v>
      </c>
    </row>
    <row r="7" spans="1:8" ht="15.75" customHeight="1" x14ac:dyDescent="0.25">
      <c r="B7" s="19" t="s">
        <v>72</v>
      </c>
      <c r="C7" s="101">
        <v>0.32692926681212559</v>
      </c>
    </row>
    <row r="8" spans="1:8" ht="15.75" customHeight="1" x14ac:dyDescent="0.25">
      <c r="B8" s="19" t="s">
        <v>73</v>
      </c>
      <c r="C8" s="101">
        <v>2.187063857666155E-2</v>
      </c>
    </row>
    <row r="9" spans="1:8" ht="15.75" customHeight="1" x14ac:dyDescent="0.25">
      <c r="B9" s="19" t="s">
        <v>74</v>
      </c>
      <c r="C9" s="101">
        <v>3.8326145942798762E-2</v>
      </c>
    </row>
    <row r="10" spans="1:8" ht="15.75" customHeight="1" x14ac:dyDescent="0.25">
      <c r="B10" s="19" t="s">
        <v>75</v>
      </c>
      <c r="C10" s="101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83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84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85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86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87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89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101">
        <v>8.6505729999999999E-3</v>
      </c>
    </row>
    <row r="28" spans="1:8" ht="15.75" customHeight="1" x14ac:dyDescent="0.25">
      <c r="B28" s="19" t="s">
        <v>93</v>
      </c>
      <c r="C28" s="101">
        <v>0.15426393499999999</v>
      </c>
    </row>
    <row r="29" spans="1:8" ht="15.75" customHeight="1" x14ac:dyDescent="0.25">
      <c r="B29" s="19" t="s">
        <v>94</v>
      </c>
      <c r="C29" s="101">
        <v>0.16852035100000001</v>
      </c>
    </row>
    <row r="30" spans="1:8" ht="15.75" customHeight="1" x14ac:dyDescent="0.25">
      <c r="B30" s="19" t="s">
        <v>95</v>
      </c>
      <c r="C30" s="101">
        <v>0.106889969</v>
      </c>
    </row>
    <row r="31" spans="1:8" ht="15.75" customHeight="1" x14ac:dyDescent="0.25">
      <c r="B31" s="19" t="s">
        <v>96</v>
      </c>
      <c r="C31" s="101">
        <v>0.10946104600000001</v>
      </c>
    </row>
    <row r="32" spans="1:8" ht="15.75" customHeight="1" x14ac:dyDescent="0.25">
      <c r="B32" s="19" t="s">
        <v>97</v>
      </c>
      <c r="C32" s="101">
        <v>1.8636323E-2</v>
      </c>
    </row>
    <row r="33" spans="2:3" ht="15.75" customHeight="1" x14ac:dyDescent="0.25">
      <c r="B33" s="19" t="s">
        <v>98</v>
      </c>
      <c r="C33" s="101">
        <v>8.3221009999999998E-2</v>
      </c>
    </row>
    <row r="34" spans="2:3" ht="15.75" customHeight="1" x14ac:dyDescent="0.25">
      <c r="B34" s="19" t="s">
        <v>99</v>
      </c>
      <c r="C34" s="101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5.8713206342200001E-2</v>
      </c>
      <c r="C2" s="98">
        <v>0.95</v>
      </c>
      <c r="D2" s="56">
        <v>35.834023182075242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47.385692178916713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66.429565189928027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0.144735353400232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15.0449415094118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15.0449415094118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15.0449415094118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15.0449415094118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15.0449415094118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15.0449415094118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0.136995590606</v>
      </c>
      <c r="C16" s="98">
        <v>0.95</v>
      </c>
      <c r="D16" s="56">
        <v>0.24753065261816909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1.6361723633111671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1.6361723633111671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0.13487759999999999</v>
      </c>
      <c r="C21" s="98">
        <v>0.95</v>
      </c>
      <c r="D21" s="56">
        <v>1.3660250985983859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7.6780000000000001E-4</v>
      </c>
      <c r="C23" s="98">
        <v>0.95</v>
      </c>
      <c r="D23" s="56">
        <v>4.9287239443093789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0.20364259377329999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7.5279369879200003E-2</v>
      </c>
      <c r="C27" s="98">
        <v>0.95</v>
      </c>
      <c r="D27" s="56">
        <v>21.80411146065811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0.17447260000000001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62.990389674195526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0.18290000000000001</v>
      </c>
      <c r="C31" s="98">
        <v>0.95</v>
      </c>
      <c r="D31" s="56">
        <v>2.9247513411599648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0.16409360000000001</v>
      </c>
      <c r="C32" s="98">
        <v>0.95</v>
      </c>
      <c r="D32" s="56">
        <v>0.46793811090654153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0.12922069999999999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0.2045622</v>
      </c>
      <c r="C38" s="98">
        <v>0.95</v>
      </c>
      <c r="D38" s="56">
        <v>8.1134342608599326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0.23353189999999999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205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0.85882685113291457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2024-03-28T03:03:50Z</dcterms:modified>
</cp:coreProperties>
</file>