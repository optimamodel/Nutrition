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2E933ED-65D9-4FE6-B9E4-46836179E1B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26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<sst xmlns="http://schemas.openxmlformats.org/spreadsheetml/2006/main" count="2159" uniqueCount="372">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</sst>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3688334</v>
      </c>
    </row>
    <row r="8" spans="1:3" ht="15" customHeight="1" x14ac:dyDescent="0.25">
      <c r="B8" s="5" t="s">
        <v>8</v>
      </c>
      <c r="C8" s="44">
        <v>0.67900000000000005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0.11976970000000001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.25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5.4080000000000004</v>
      </c>
      <c r="D51" s="12"/>
    </row>
    <row r="52" spans="1:4" ht="15" customHeight="1" x14ac:dyDescent="0.25">
      <c r="B52" s="11" t="s">
        <v>46</v>
      </c>
      <c r="C52" s="100">
        <v>5.4080000000000004</v>
      </c>
    </row>
    <row r="53" spans="1:4" ht="15.75" customHeight="1" x14ac:dyDescent="0.25">
      <c r="B53" s="11" t="s">
        <v>47</v>
      </c>
      <c r="C53" s="100">
        <v>9.23</v>
      </c>
    </row>
    <row r="54" spans="1:4" ht="15.75" customHeight="1" x14ac:dyDescent="0.25">
      <c r="B54" s="11" t="s">
        <v>48</v>
      </c>
      <c r="C54" s="100">
        <v>8.6839999999999993</v>
      </c>
    </row>
    <row r="55" spans="1:4" ht="15.75" customHeight="1" x14ac:dyDescent="0.25">
      <c r="B55" s="11" t="s">
        <v>49</v>
      </c>
      <c r="C55" s="100">
        <v>4.3766666666666669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716.80438113458399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0.42011999999999999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0.48591000000000001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2.125413157488756E-2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88505.869200000001</v>
      </c>
      <c r="C22" s="109">
        <v>87162.076719999997</v>
      </c>
      <c r="D22" s="109">
        <v>86236.432509999999</v>
      </c>
      <c r="E22" s="109">
        <v>85581.110960000005</v>
      </c>
      <c r="F22" s="109">
        <v>84708.148530000006</v>
      </c>
      <c r="G22" s="109">
        <v>83616.629799999995</v>
      </c>
      <c r="H22" s="109">
        <v>82211.269050000003</v>
      </c>
      <c r="I22" s="109">
        <v>80347.487500000003</v>
      </c>
      <c r="J22" s="109">
        <v>77800.511880000005</v>
      </c>
      <c r="K22" s="109">
        <v>74536.829140000002</v>
      </c>
      <c r="L22" s="109">
        <v>70063.977740000002</v>
      </c>
      <c r="M22" s="109">
        <v>64300.852700000003</v>
      </c>
      <c r="N22" s="109">
        <v>56534.872080000001</v>
      </c>
      <c r="O22" s="109">
        <v>47041.988980000002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4.1560552700311737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0.11773527677142136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0.5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0.1104295</v>
      </c>
      <c r="C10" s="98">
        <v>0.95</v>
      </c>
      <c r="D10" s="56">
        <v>15.0449415094118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15.0449415094118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15.0449415094118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15.0449415094118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0.1104295</v>
      </c>
      <c r="C14" s="98">
        <v>0.95</v>
      </c>
      <c r="D14" s="56">
        <v>15.0449415094118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15.0449415094118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0.5599459</v>
      </c>
      <c r="C16" s="98">
        <v>0.95</v>
      </c>
      <c r="D16" s="56">
        <v>3.414323026371219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0.19400000000000001</v>
      </c>
      <c r="C18" s="98">
        <v>0.95</v>
      </c>
      <c r="D18" s="56">
        <v>4.1560552700311737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0.16409360000000001</v>
      </c>
      <c r="C19" s="98">
        <v>0.95</v>
      </c>
      <c r="D19" s="56">
        <v>4.1559126023027169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4.4974875726682955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4.1560552700311737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0.65777940000000001</v>
      </c>
      <c r="C23" s="98">
        <v>0.95</v>
      </c>
      <c r="D23" s="56">
        <v>4.9287239443093789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0.19459071543420001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0.1104295</v>
      </c>
      <c r="C26" s="98">
        <v>0.95</v>
      </c>
      <c r="D26" s="56">
        <v>2.448893756845564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0.17447260000000001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0.23353189999999999</v>
      </c>
      <c r="C29" s="98">
        <v>0.95</v>
      </c>
      <c r="D29" s="56">
        <v>58.241642049834397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15.705885921307608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0.18290000000000001</v>
      </c>
      <c r="C31" s="98">
        <v>0.95</v>
      </c>
      <c r="D31" s="56">
        <v>153.821139101862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0.91</v>
      </c>
      <c r="C32" s="98">
        <v>0.95</v>
      </c>
      <c r="D32" s="56">
        <v>0.24724408121998481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0.26200469999999998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0.13487759999999999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7.6780000000000001E-4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0.16786129999999999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5.0000000000000001E-3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5.4080000000000004</v>
      </c>
      <c r="C2" s="21">
        <f>'Baseline year population inputs'!C52</f>
        <v>5.4080000000000004</v>
      </c>
      <c r="D2" s="21">
        <f>'Baseline year population inputs'!C53</f>
        <v>9.23</v>
      </c>
      <c r="E2" s="21">
        <f>'Baseline year population inputs'!C54</f>
        <v>8.6839999999999993</v>
      </c>
      <c r="F2" s="21">
        <f>'Baseline year population inputs'!C55</f>
        <v>4.3766666666666669</v>
      </c>
    </row>
    <row r="3" spans="1:6" ht="15.75" customHeight="1" x14ac:dyDescent="0.25">
      <c r="A3" s="3" t="s">
        <v>197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198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