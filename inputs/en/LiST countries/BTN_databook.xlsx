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E0E427EA-27A1-41F3-91BD-A0E8EDBBA260}" xr6:coauthVersionLast="47" xr6:coauthVersionMax="47" xr10:uidLastSave="{00000000-0000-0000-0000-000000000000}"/>
  <bookViews>
    <workbookView xWindow="0" yWindow="3670" windowWidth="19200" windowHeight="6530" tabRatio="961" firstSheet="6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<sst xmlns="http://schemas.openxmlformats.org/spreadsheetml/2006/main" count="2102" uniqueCount="341">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</sst>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47236.17578125</v>
      </c>
    </row>
    <row r="8" spans="1:3" ht="15" customHeight="1" x14ac:dyDescent="0.25">
      <c r="B8" s="5" t="s">
        <v>8</v>
      </c>
      <c r="C8" s="44">
        <v>1.4999999999999999E-2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0.70886222839355495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0.154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7.22E-2</v>
      </c>
    </row>
    <row r="24" spans="1:3" ht="15" customHeight="1" x14ac:dyDescent="0.25">
      <c r="B24" s="15" t="s">
        <v>22</v>
      </c>
      <c r="C24" s="45">
        <v>0.55390000000000006</v>
      </c>
    </row>
    <row r="25" spans="1:3" ht="15" customHeight="1" x14ac:dyDescent="0.25">
      <c r="B25" s="15" t="s">
        <v>23</v>
      </c>
      <c r="C25" s="45">
        <v>0.31580000000000003</v>
      </c>
    </row>
    <row r="26" spans="1:3" ht="15" customHeight="1" x14ac:dyDescent="0.25">
      <c r="B26" s="15" t="s">
        <v>24</v>
      </c>
      <c r="C26" s="45">
        <v>5.8100000000000013E-2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0.41227810089419697</v>
      </c>
    </row>
    <row r="30" spans="1:3" ht="14.25" customHeight="1" x14ac:dyDescent="0.25">
      <c r="B30" s="25" t="s">
        <v>27</v>
      </c>
      <c r="C30" s="99">
        <v>4.1696555750580601E-2</v>
      </c>
    </row>
    <row r="31" spans="1:3" ht="14.25" customHeight="1" x14ac:dyDescent="0.25">
      <c r="B31" s="25" t="s">
        <v>28</v>
      </c>
      <c r="C31" s="99">
        <v>7.5022305717839008E-2</v>
      </c>
    </row>
    <row r="32" spans="1:3" ht="14.25" customHeight="1" x14ac:dyDescent="0.25">
      <c r="B32" s="25" t="s">
        <v>29</v>
      </c>
      <c r="C32" s="99">
        <v>0.47100303763738299</v>
      </c>
    </row>
    <row r="33" spans="1:5" ht="13" customHeight="1" x14ac:dyDescent="0.25">
      <c r="B33" s="27" t="s">
        <v>30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14.832380000000001</v>
      </c>
    </row>
    <row r="38" spans="1:5" ht="15" customHeight="1" x14ac:dyDescent="0.25">
      <c r="B38" s="11" t="s">
        <v>34</v>
      </c>
      <c r="C38" s="43">
        <v>22.452369999999998</v>
      </c>
      <c r="D38" s="12"/>
      <c r="E38" s="13"/>
    </row>
    <row r="39" spans="1:5" ht="15" customHeight="1" x14ac:dyDescent="0.25">
      <c r="B39" s="11" t="s">
        <v>35</v>
      </c>
      <c r="C39" s="43">
        <v>26.68741</v>
      </c>
      <c r="D39" s="12"/>
      <c r="E39" s="12"/>
    </row>
    <row r="40" spans="1:5" ht="15" customHeight="1" x14ac:dyDescent="0.25">
      <c r="B40" s="11" t="s">
        <v>36</v>
      </c>
      <c r="C40" s="100">
        <v>0.6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9.01539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1.7845300000000001E-2</v>
      </c>
      <c r="D45" s="12"/>
    </row>
    <row r="46" spans="1:5" ht="15.75" customHeight="1" x14ac:dyDescent="0.25">
      <c r="B46" s="11" t="s">
        <v>41</v>
      </c>
      <c r="C46" s="45">
        <v>0.1060015</v>
      </c>
      <c r="D46" s="12"/>
    </row>
    <row r="47" spans="1:5" ht="15.75" customHeight="1" x14ac:dyDescent="0.25">
      <c r="B47" s="11" t="s">
        <v>42</v>
      </c>
      <c r="C47" s="45">
        <v>0.40820650000000003</v>
      </c>
      <c r="D47" s="12"/>
      <c r="E47" s="13"/>
    </row>
    <row r="48" spans="1:5" ht="15" customHeight="1" x14ac:dyDescent="0.25">
      <c r="B48" s="11" t="s">
        <v>43</v>
      </c>
      <c r="C48" s="46">
        <v>0.46794669999999999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2.4</v>
      </c>
      <c r="D51" s="12"/>
    </row>
    <row r="52" spans="1:4" ht="15" customHeight="1" x14ac:dyDescent="0.25">
      <c r="B52" s="11" t="s">
        <v>46</v>
      </c>
      <c r="C52" s="100">
        <v>2.4</v>
      </c>
    </row>
    <row r="53" spans="1:4" ht="15.75" customHeight="1" x14ac:dyDescent="0.25">
      <c r="B53" s="11" t="s">
        <v>47</v>
      </c>
      <c r="C53" s="100">
        <v>2.4</v>
      </c>
    </row>
    <row r="54" spans="1:4" ht="15.75" customHeight="1" x14ac:dyDescent="0.25">
      <c r="B54" s="11" t="s">
        <v>48</v>
      </c>
      <c r="C54" s="100">
        <v>2.4</v>
      </c>
    </row>
    <row r="55" spans="1:4" ht="15.75" customHeight="1" x14ac:dyDescent="0.25">
      <c r="B55" s="11" t="s">
        <v>49</v>
      </c>
      <c r="C55" s="100">
        <v>2.4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2.1666666666666671E-2</v>
      </c>
    </row>
    <row r="59" spans="1:4" ht="15.75" customHeight="1" x14ac:dyDescent="0.25">
      <c r="B59" s="11" t="s">
        <v>52</v>
      </c>
      <c r="C59" s="45">
        <v>0.48878400000000011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0.11662965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9627</v>
      </c>
      <c r="C2" s="49">
        <v>39163.5</v>
      </c>
      <c r="D2" s="49">
        <v>70023</v>
      </c>
      <c r="E2" s="49">
        <v>70512.5</v>
      </c>
      <c r="F2" s="49">
        <v>43830.5</v>
      </c>
      <c r="G2" s="17">
        <f t="shared" ref="G2:G13" si="0">C2+D2+E2+F2</f>
        <v>223529.5</v>
      </c>
      <c r="H2" s="17">
        <f t="shared" ref="H2:H13" si="1">(B2 + stillbirth*B2/(1000-stillbirth))/(1-abortion)</f>
        <v>11039.296288640373</v>
      </c>
      <c r="I2" s="17">
        <f t="shared" ref="I2:I13" si="2">G2-H2</f>
        <v>212490.20371135962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9648</v>
      </c>
      <c r="C3" s="50">
        <v>38404.5</v>
      </c>
      <c r="D3" s="50">
        <v>69977</v>
      </c>
      <c r="E3" s="50">
        <v>71410</v>
      </c>
      <c r="F3" s="50">
        <v>45765.5</v>
      </c>
      <c r="G3" s="17">
        <f t="shared" si="0"/>
        <v>225557</v>
      </c>
      <c r="H3" s="17">
        <f t="shared" si="1"/>
        <v>11063.377022208613</v>
      </c>
      <c r="I3" s="17">
        <f t="shared" si="2"/>
        <v>214493.62297779138</v>
      </c>
    </row>
    <row r="4" spans="1:9" ht="15.75" customHeight="1" x14ac:dyDescent="0.25">
      <c r="A4" s="5">
        <f t="shared" si="3"/>
        <v>2026</v>
      </c>
      <c r="B4" s="49">
        <v>9621</v>
      </c>
      <c r="C4" s="50">
        <v>37872.5</v>
      </c>
      <c r="D4" s="50">
        <v>69864</v>
      </c>
      <c r="E4" s="50">
        <v>71877</v>
      </c>
      <c r="F4" s="50">
        <v>47694.5</v>
      </c>
      <c r="G4" s="17">
        <f t="shared" si="0"/>
        <v>227308</v>
      </c>
      <c r="H4" s="17">
        <f t="shared" si="1"/>
        <v>11032.416079049446</v>
      </c>
      <c r="I4" s="17">
        <f t="shared" si="2"/>
        <v>216275.58392095056</v>
      </c>
    </row>
    <row r="5" spans="1:9" ht="15.75" customHeight="1" x14ac:dyDescent="0.25">
      <c r="A5" s="5">
        <f t="shared" si="3"/>
        <v>2027</v>
      </c>
      <c r="B5" s="49">
        <v>9638</v>
      </c>
      <c r="C5" s="50">
        <v>37530</v>
      </c>
      <c r="D5" s="50">
        <v>69606.5</v>
      </c>
      <c r="E5" s="50">
        <v>71946.5</v>
      </c>
      <c r="F5" s="50">
        <v>49607.499999999993</v>
      </c>
      <c r="G5" s="17">
        <f t="shared" si="0"/>
        <v>228690.5</v>
      </c>
      <c r="H5" s="17">
        <f t="shared" si="1"/>
        <v>11051.910006223736</v>
      </c>
      <c r="I5" s="17">
        <f t="shared" si="2"/>
        <v>217638.58999377626</v>
      </c>
    </row>
    <row r="6" spans="1:9" ht="15.75" customHeight="1" x14ac:dyDescent="0.25">
      <c r="A6" s="5">
        <f t="shared" si="3"/>
        <v>2028</v>
      </c>
      <c r="B6" s="49">
        <v>9611</v>
      </c>
      <c r="C6" s="50">
        <v>37177.499999999993</v>
      </c>
      <c r="D6" s="50">
        <v>69153.500000000015</v>
      </c>
      <c r="E6" s="50">
        <v>71689.5</v>
      </c>
      <c r="F6" s="50">
        <v>51489.5</v>
      </c>
      <c r="G6" s="17">
        <f t="shared" si="0"/>
        <v>229510</v>
      </c>
      <c r="H6" s="17">
        <f t="shared" si="1"/>
        <v>11020.949063064572</v>
      </c>
      <c r="I6" s="17">
        <f t="shared" si="2"/>
        <v>218489.05093693544</v>
      </c>
    </row>
    <row r="7" spans="1:9" ht="15.75" customHeight="1" x14ac:dyDescent="0.25">
      <c r="A7" s="5">
        <f t="shared" si="3"/>
        <v>2029</v>
      </c>
      <c r="B7" s="49">
        <v>9626</v>
      </c>
      <c r="C7" s="50">
        <v>36577.5</v>
      </c>
      <c r="D7" s="50">
        <v>68527</v>
      </c>
      <c r="E7" s="50">
        <v>71245</v>
      </c>
      <c r="F7" s="50">
        <v>53412.5</v>
      </c>
      <c r="G7" s="17">
        <f t="shared" si="0"/>
        <v>229762</v>
      </c>
      <c r="H7" s="17">
        <f t="shared" si="1"/>
        <v>11038.149587041884</v>
      </c>
      <c r="I7" s="17">
        <f t="shared" si="2"/>
        <v>218723.85041295813</v>
      </c>
    </row>
    <row r="8" spans="1:9" ht="15.75" customHeight="1" x14ac:dyDescent="0.25">
      <c r="A8" s="5">
        <f t="shared" si="3"/>
        <v>2030</v>
      </c>
      <c r="B8" s="49">
        <v>9591</v>
      </c>
      <c r="C8" s="50">
        <v>35763.5</v>
      </c>
      <c r="D8" s="50">
        <v>67781</v>
      </c>
      <c r="E8" s="50">
        <v>70768.5</v>
      </c>
      <c r="F8" s="50">
        <v>55407</v>
      </c>
      <c r="G8" s="17">
        <f t="shared" si="0"/>
        <v>229720</v>
      </c>
      <c r="H8" s="17">
        <f t="shared" si="1"/>
        <v>10998.015031094819</v>
      </c>
      <c r="I8" s="17">
        <f t="shared" si="2"/>
        <v>218721.98496890519</v>
      </c>
    </row>
    <row r="9" spans="1:9" ht="15.75" customHeight="1" x14ac:dyDescent="0.25">
      <c r="A9" s="5">
        <f t="shared" si="3"/>
        <v>2031</v>
      </c>
      <c r="B9" s="49">
        <v>9569</v>
      </c>
      <c r="C9" s="50">
        <v>34889.5</v>
      </c>
      <c r="D9" s="50">
        <v>66962.5</v>
      </c>
      <c r="E9" s="50">
        <v>70355</v>
      </c>
      <c r="F9" s="50">
        <v>57417</v>
      </c>
      <c r="G9" s="17">
        <f t="shared" si="0"/>
        <v>229624</v>
      </c>
      <c r="H9" s="17">
        <f t="shared" si="1"/>
        <v>10972.78759592809</v>
      </c>
      <c r="I9" s="17">
        <f t="shared" si="2"/>
        <v>218651.21240407191</v>
      </c>
    </row>
    <row r="10" spans="1:9" ht="15.75" customHeight="1" x14ac:dyDescent="0.25">
      <c r="A10" s="5">
        <f t="shared" si="3"/>
        <v>2032</v>
      </c>
      <c r="B10" s="49">
        <v>9524</v>
      </c>
      <c r="C10" s="50">
        <v>33809.5</v>
      </c>
      <c r="D10" s="50">
        <v>66094.5</v>
      </c>
      <c r="E10" s="50">
        <v>70064.5</v>
      </c>
      <c r="F10" s="50">
        <v>59344</v>
      </c>
      <c r="G10" s="17">
        <f t="shared" si="0"/>
        <v>229312.5</v>
      </c>
      <c r="H10" s="17">
        <f t="shared" si="1"/>
        <v>10921.186023996146</v>
      </c>
      <c r="I10" s="17">
        <f t="shared" si="2"/>
        <v>218391.31397600385</v>
      </c>
    </row>
    <row r="11" spans="1:9" ht="15.75" customHeight="1" x14ac:dyDescent="0.25">
      <c r="A11" s="5">
        <f t="shared" si="3"/>
        <v>2033</v>
      </c>
      <c r="B11" s="49">
        <v>9460</v>
      </c>
      <c r="C11" s="50">
        <v>32467</v>
      </c>
      <c r="D11" s="50">
        <v>65134.5</v>
      </c>
      <c r="E11" s="50">
        <v>69925</v>
      </c>
      <c r="F11" s="50">
        <v>61062.5</v>
      </c>
      <c r="G11" s="17">
        <f t="shared" si="0"/>
        <v>228589</v>
      </c>
      <c r="H11" s="17">
        <f t="shared" si="1"/>
        <v>10847.79712169294</v>
      </c>
      <c r="I11" s="17">
        <f t="shared" si="2"/>
        <v>217741.20287830706</v>
      </c>
    </row>
    <row r="12" spans="1:9" ht="15.75" customHeight="1" x14ac:dyDescent="0.25">
      <c r="A12" s="5">
        <f t="shared" si="3"/>
        <v>2034</v>
      </c>
      <c r="B12" s="49">
        <v>9367</v>
      </c>
      <c r="C12" s="50">
        <v>31163.5</v>
      </c>
      <c r="D12" s="50">
        <v>63999.5</v>
      </c>
      <c r="E12" s="50">
        <v>69883</v>
      </c>
      <c r="F12" s="50">
        <v>62473.5</v>
      </c>
      <c r="G12" s="17">
        <f t="shared" si="0"/>
        <v>227519.5</v>
      </c>
      <c r="H12" s="17">
        <f t="shared" si="1"/>
        <v>10741.153873033591</v>
      </c>
      <c r="I12" s="17">
        <f t="shared" si="2"/>
        <v>216778.34612696641</v>
      </c>
    </row>
    <row r="13" spans="1:9" ht="15.75" customHeight="1" x14ac:dyDescent="0.25">
      <c r="A13" s="5">
        <f t="shared" si="3"/>
        <v>2035</v>
      </c>
      <c r="B13" s="49">
        <v>9314</v>
      </c>
      <c r="C13" s="50">
        <v>30166</v>
      </c>
      <c r="D13" s="50">
        <v>62649</v>
      </c>
      <c r="E13" s="50">
        <v>69849.000000000015</v>
      </c>
      <c r="F13" s="50">
        <v>63505.000000000007</v>
      </c>
      <c r="G13" s="17">
        <f t="shared" si="0"/>
        <v>226169</v>
      </c>
      <c r="H13" s="17">
        <f t="shared" si="1"/>
        <v>10680.378688313745</v>
      </c>
      <c r="I13" s="17">
        <f t="shared" si="2"/>
        <v>215488.62131168626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8.1525008152500862E-3</v>
      </c>
    </row>
    <row r="4" spans="1:8" ht="15.75" customHeight="1" x14ac:dyDescent="0.25">
      <c r="B4" s="19" t="s">
        <v>69</v>
      </c>
      <c r="C4" s="101">
        <v>4.5061404506140379E-2</v>
      </c>
    </row>
    <row r="5" spans="1:8" ht="15.75" customHeight="1" x14ac:dyDescent="0.25">
      <c r="B5" s="19" t="s">
        <v>70</v>
      </c>
      <c r="C5" s="101">
        <v>4.9024504902450451E-2</v>
      </c>
    </row>
    <row r="6" spans="1:8" ht="15.75" customHeight="1" x14ac:dyDescent="0.25">
      <c r="B6" s="19" t="s">
        <v>71</v>
      </c>
      <c r="C6" s="101">
        <v>0.2038836203883623</v>
      </c>
    </row>
    <row r="7" spans="1:8" ht="15.75" customHeight="1" x14ac:dyDescent="0.25">
      <c r="B7" s="19" t="s">
        <v>72</v>
      </c>
      <c r="C7" s="101">
        <v>0.43088424308842432</v>
      </c>
    </row>
    <row r="8" spans="1:8" ht="15.75" customHeight="1" x14ac:dyDescent="0.25">
      <c r="B8" s="19" t="s">
        <v>73</v>
      </c>
      <c r="C8" s="101">
        <v>8.3170008317000766E-4</v>
      </c>
    </row>
    <row r="9" spans="1:8" ht="15.75" customHeight="1" x14ac:dyDescent="0.25">
      <c r="B9" s="19" t="s">
        <v>74</v>
      </c>
      <c r="C9" s="101">
        <v>0.14651341465134141</v>
      </c>
    </row>
    <row r="10" spans="1:8" ht="15.75" customHeight="1" x14ac:dyDescent="0.25">
      <c r="B10" s="19" t="s">
        <v>75</v>
      </c>
      <c r="C10" s="101">
        <v>0.1156486115648612</v>
      </c>
    </row>
    <row r="11" spans="1:8" ht="15.75" customHeight="1" x14ac:dyDescent="0.25">
      <c r="B11" s="27" t="s">
        <v>30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0.31382186343452262</v>
      </c>
      <c r="D14" s="55">
        <v>0.31382186343452262</v>
      </c>
      <c r="E14" s="55">
        <v>0.31382186343452262</v>
      </c>
      <c r="F14" s="55">
        <v>0.31382186343452262</v>
      </c>
    </row>
    <row r="15" spans="1:8" ht="15.75" customHeight="1" x14ac:dyDescent="0.25">
      <c r="B15" s="19" t="s">
        <v>82</v>
      </c>
      <c r="C15" s="101">
        <v>0.31591331032326309</v>
      </c>
      <c r="D15" s="101">
        <v>0.31591331032326309</v>
      </c>
      <c r="E15" s="101">
        <v>0.31591331032326309</v>
      </c>
      <c r="F15" s="101">
        <v>0.31591331032326309</v>
      </c>
    </row>
    <row r="16" spans="1:8" ht="15.75" customHeight="1" x14ac:dyDescent="0.25">
      <c r="B16" s="19" t="s">
        <v>83</v>
      </c>
      <c r="C16" s="101">
        <v>2.7449882388342828E-2</v>
      </c>
      <c r="D16" s="101">
        <v>2.7449882388342828E-2</v>
      </c>
      <c r="E16" s="101">
        <v>2.7449882388342828E-2</v>
      </c>
      <c r="F16" s="101">
        <v>2.7449882388342828E-2</v>
      </c>
    </row>
    <row r="17" spans="1:8" ht="15.75" customHeight="1" x14ac:dyDescent="0.25">
      <c r="B17" s="19" t="s">
        <v>84</v>
      </c>
      <c r="C17" s="101">
        <v>1.390932477875465E-2</v>
      </c>
      <c r="D17" s="101">
        <v>1.390932477875465E-2</v>
      </c>
      <c r="E17" s="101">
        <v>1.390932477875465E-2</v>
      </c>
      <c r="F17" s="101">
        <v>1.390932477875465E-2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1.1055711336886291E-2</v>
      </c>
      <c r="D19" s="101">
        <v>1.1055711336886291E-2</v>
      </c>
      <c r="E19" s="101">
        <v>1.1055711336886291E-2</v>
      </c>
      <c r="F19" s="101">
        <v>1.1055711336886291E-2</v>
      </c>
    </row>
    <row r="20" spans="1:8" ht="15.75" customHeight="1" x14ac:dyDescent="0.25">
      <c r="B20" s="19" t="s">
        <v>87</v>
      </c>
      <c r="C20" s="101">
        <v>2.0022801128055979E-2</v>
      </c>
      <c r="D20" s="101">
        <v>2.0022801128055979E-2</v>
      </c>
      <c r="E20" s="101">
        <v>2.0022801128055979E-2</v>
      </c>
      <c r="F20" s="101">
        <v>2.0022801128055979E-2</v>
      </c>
    </row>
    <row r="21" spans="1:8" ht="15.75" customHeight="1" x14ac:dyDescent="0.25">
      <c r="B21" s="19" t="s">
        <v>88</v>
      </c>
      <c r="C21" s="101">
        <v>0.1369566895751991</v>
      </c>
      <c r="D21" s="101">
        <v>0.1369566895751991</v>
      </c>
      <c r="E21" s="101">
        <v>0.1369566895751991</v>
      </c>
      <c r="F21" s="101">
        <v>0.1369566895751991</v>
      </c>
    </row>
    <row r="22" spans="1:8" ht="15.75" customHeight="1" x14ac:dyDescent="0.25">
      <c r="B22" s="19" t="s">
        <v>89</v>
      </c>
      <c r="C22" s="101">
        <v>0.16087041703497551</v>
      </c>
      <c r="D22" s="101">
        <v>0.16087041703497551</v>
      </c>
      <c r="E22" s="101">
        <v>0.16087041703497551</v>
      </c>
      <c r="F22" s="101">
        <v>0.16087041703497551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2.0391851999999999E-2</v>
      </c>
    </row>
    <row r="27" spans="1:8" ht="15.75" customHeight="1" x14ac:dyDescent="0.25">
      <c r="B27" s="19" t="s">
        <v>92</v>
      </c>
      <c r="C27" s="101">
        <v>1.2112826E-2</v>
      </c>
    </row>
    <row r="28" spans="1:8" ht="15.75" customHeight="1" x14ac:dyDescent="0.25">
      <c r="B28" s="19" t="s">
        <v>93</v>
      </c>
      <c r="C28" s="101">
        <v>0.20645870999999999</v>
      </c>
    </row>
    <row r="29" spans="1:8" ht="15.75" customHeight="1" x14ac:dyDescent="0.25">
      <c r="B29" s="19" t="s">
        <v>94</v>
      </c>
      <c r="C29" s="101">
        <v>0.14582909399999999</v>
      </c>
    </row>
    <row r="30" spans="1:8" ht="15.75" customHeight="1" x14ac:dyDescent="0.25">
      <c r="B30" s="19" t="s">
        <v>95</v>
      </c>
      <c r="C30" s="101">
        <v>4.8967666E-2</v>
      </c>
    </row>
    <row r="31" spans="1:8" ht="15.75" customHeight="1" x14ac:dyDescent="0.25">
      <c r="B31" s="19" t="s">
        <v>96</v>
      </c>
      <c r="C31" s="101">
        <v>9.2788695000000004E-2</v>
      </c>
    </row>
    <row r="32" spans="1:8" ht="15.75" customHeight="1" x14ac:dyDescent="0.25">
      <c r="B32" s="19" t="s">
        <v>97</v>
      </c>
      <c r="C32" s="101">
        <v>1.0910125E-2</v>
      </c>
    </row>
    <row r="33" spans="2:3" ht="15.75" customHeight="1" x14ac:dyDescent="0.25">
      <c r="B33" s="19" t="s">
        <v>98</v>
      </c>
      <c r="C33" s="101">
        <v>0.3714693</v>
      </c>
    </row>
    <row r="34" spans="2:3" ht="15.75" customHeight="1" x14ac:dyDescent="0.25">
      <c r="B34" s="19" t="s">
        <v>99</v>
      </c>
      <c r="C34" s="101">
        <v>9.1071732999999988E-2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0.42378197479032165</v>
      </c>
      <c r="D2" s="52">
        <f>IFERROR(1-_xlfn.NORM.DIST(_xlfn.NORM.INV(SUM(D4:D5), 0, 1) + 1, 0, 1, TRUE), "")</f>
        <v>0.42378197479032165</v>
      </c>
      <c r="E2" s="52">
        <f>IFERROR(1-_xlfn.NORM.DIST(_xlfn.NORM.INV(SUM(E4:E5), 0, 1) + 1, 0, 1, TRUE), "")</f>
        <v>0.48626648782681481</v>
      </c>
      <c r="F2" s="52">
        <f>IFERROR(1-_xlfn.NORM.DIST(_xlfn.NORM.INV(SUM(F4:F5), 0, 1) + 1, 0, 1, TRUE), "")</f>
        <v>0.26110617972600525</v>
      </c>
      <c r="G2" s="52">
        <f>IFERROR(1-_xlfn.NORM.DIST(_xlfn.NORM.INV(SUM(G4:G5), 0, 1) + 1, 0, 1, TRUE), "")</f>
        <v>0.24782416449959621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0.36660722520967837</v>
      </c>
      <c r="D3" s="52">
        <f>IFERROR(_xlfn.NORM.DIST(_xlfn.NORM.INV(SUM(D4:D5), 0, 1) + 1, 0, 1, TRUE) - SUM(D4:D5), "")</f>
        <v>0.36660722520967837</v>
      </c>
      <c r="E3" s="52">
        <f>IFERROR(_xlfn.NORM.DIST(_xlfn.NORM.INV(SUM(E4:E5), 0, 1) + 1, 0, 1, TRUE) - SUM(E4:E5), "")</f>
        <v>0.34660341217318519</v>
      </c>
      <c r="F3" s="52">
        <f>IFERROR(_xlfn.NORM.DIST(_xlfn.NORM.INV(SUM(F4:F5), 0, 1) + 1, 0, 1, TRUE) - SUM(F4:F5), "")</f>
        <v>0.37949312027399473</v>
      </c>
      <c r="G3" s="52">
        <f>IFERROR(_xlfn.NORM.DIST(_xlfn.NORM.INV(SUM(G4:G5), 0, 1) + 1, 0, 1, TRUE) - SUM(G4:G5), "")</f>
        <v>0.37717883550040376</v>
      </c>
    </row>
    <row r="4" spans="1:15" ht="15.75" customHeight="1" x14ac:dyDescent="0.25">
      <c r="B4" s="5" t="s">
        <v>104</v>
      </c>
      <c r="C4" s="45">
        <v>0.1148358</v>
      </c>
      <c r="D4" s="53">
        <v>0.1148358</v>
      </c>
      <c r="E4" s="53">
        <v>7.4602000000000002E-2</v>
      </c>
      <c r="F4" s="53">
        <v>0.21216470000000001</v>
      </c>
      <c r="G4" s="53">
        <v>0.23018359999999999</v>
      </c>
    </row>
    <row r="5" spans="1:15" ht="15.75" customHeight="1" x14ac:dyDescent="0.25">
      <c r="B5" s="5" t="s">
        <v>105</v>
      </c>
      <c r="C5" s="45">
        <v>9.4774999999999998E-2</v>
      </c>
      <c r="D5" s="53">
        <v>9.4774999999999998E-2</v>
      </c>
      <c r="E5" s="53">
        <v>9.2528100000000002E-2</v>
      </c>
      <c r="F5" s="53">
        <v>0.14723600000000001</v>
      </c>
      <c r="G5" s="53">
        <v>0.14481340000000001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0.51333220751428721</v>
      </c>
      <c r="D8" s="52">
        <f>IFERROR(1-_xlfn.NORM.DIST(_xlfn.NORM.INV(SUM(D10:D11), 0, 1) + 1, 0, 1, TRUE), "")</f>
        <v>0.51333220751428721</v>
      </c>
      <c r="E8" s="52">
        <f>IFERROR(1-_xlfn.NORM.DIST(_xlfn.NORM.INV(SUM(E10:E11), 0, 1) + 1, 0, 1, TRUE), "")</f>
        <v>0.61169227248812275</v>
      </c>
      <c r="F8" s="52">
        <f>IFERROR(1-_xlfn.NORM.DIST(_xlfn.NORM.INV(SUM(F10:F11), 0, 1) + 1, 0, 1, TRUE), "")</f>
        <v>0.70590028663116455</v>
      </c>
      <c r="G8" s="52">
        <f>IFERROR(1-_xlfn.NORM.DIST(_xlfn.NORM.INV(SUM(G10:G11), 0, 1) + 1, 0, 1, TRUE), "")</f>
        <v>0.77885184725139966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0.33596529248571272</v>
      </c>
      <c r="D9" s="52">
        <f>IFERROR(_xlfn.NORM.DIST(_xlfn.NORM.INV(SUM(D10:D11), 0, 1) + 1, 0, 1, TRUE) - SUM(D10:D11), "")</f>
        <v>0.33596529248571272</v>
      </c>
      <c r="E9" s="52">
        <f>IFERROR(_xlfn.NORM.DIST(_xlfn.NORM.INV(SUM(E10:E11), 0, 1) + 1, 0, 1, TRUE) - SUM(E10:E11), "")</f>
        <v>0.28868992751187728</v>
      </c>
      <c r="F9" s="52">
        <f>IFERROR(_xlfn.NORM.DIST(_xlfn.NORM.INV(SUM(F10:F11), 0, 1) + 1, 0, 1, TRUE) - SUM(F10:F11), "")</f>
        <v>0.23249571336883545</v>
      </c>
      <c r="G9" s="52">
        <f>IFERROR(_xlfn.NORM.DIST(_xlfn.NORM.INV(SUM(G10:G11), 0, 1) + 1, 0, 1, TRUE) - SUM(G10:G11), "")</f>
        <v>0.18264455274860028</v>
      </c>
    </row>
    <row r="10" spans="1:15" ht="15.75" customHeight="1" x14ac:dyDescent="0.25">
      <c r="B10" s="5" t="s">
        <v>109</v>
      </c>
      <c r="C10" s="45">
        <v>6.7005099999999998E-2</v>
      </c>
      <c r="D10" s="53">
        <v>6.7005099999999998E-2</v>
      </c>
      <c r="E10" s="53">
        <v>6.6708199999999995E-2</v>
      </c>
      <c r="F10" s="53">
        <v>4.1234899999999998E-2</v>
      </c>
      <c r="G10" s="53">
        <v>2.8616599999999999E-2</v>
      </c>
    </row>
    <row r="11" spans="1:15" ht="15.75" customHeight="1" x14ac:dyDescent="0.25">
      <c r="B11" s="5" t="s">
        <v>110</v>
      </c>
      <c r="C11" s="45">
        <v>8.3697400000000005E-2</v>
      </c>
      <c r="D11" s="53">
        <v>8.3697400000000005E-2</v>
      </c>
      <c r="E11" s="53">
        <v>3.2909599999999997E-2</v>
      </c>
      <c r="F11" s="53">
        <v>2.0369100000000001E-2</v>
      </c>
      <c r="G11" s="53">
        <v>9.887E-3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0.92247155925000002</v>
      </c>
      <c r="D14" s="54">
        <v>0.91737426694000002</v>
      </c>
      <c r="E14" s="54">
        <v>0.91737426694000002</v>
      </c>
      <c r="F14" s="54">
        <v>0.84381044781000003</v>
      </c>
      <c r="G14" s="54">
        <v>0.84381044781000003</v>
      </c>
      <c r="H14" s="45">
        <v>0.32800000000000001</v>
      </c>
      <c r="I14" s="55">
        <v>0.32800000000000001</v>
      </c>
      <c r="J14" s="55">
        <v>0.32800000000000001</v>
      </c>
      <c r="K14" s="55">
        <v>0.32800000000000001</v>
      </c>
      <c r="L14" s="45">
        <v>0.35699999999999998</v>
      </c>
      <c r="M14" s="55">
        <v>0.35699999999999998</v>
      </c>
      <c r="N14" s="55">
        <v>0.35699999999999998</v>
      </c>
      <c r="O14" s="55">
        <v>0.35699999999999998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0.45088933861645208</v>
      </c>
      <c r="D15" s="52">
        <f t="shared" si="0"/>
        <v>0.44839786369200108</v>
      </c>
      <c r="E15" s="52">
        <f t="shared" si="0"/>
        <v>0.44839786369200108</v>
      </c>
      <c r="F15" s="52">
        <f t="shared" si="0"/>
        <v>0.41244104592236314</v>
      </c>
      <c r="G15" s="52">
        <f t="shared" si="0"/>
        <v>0.41244104592236314</v>
      </c>
      <c r="H15" s="52">
        <f t="shared" si="0"/>
        <v>0.16032115200000005</v>
      </c>
      <c r="I15" s="52">
        <f t="shared" si="0"/>
        <v>0.16032115200000005</v>
      </c>
      <c r="J15" s="52">
        <f t="shared" si="0"/>
        <v>0.16032115200000005</v>
      </c>
      <c r="K15" s="52">
        <f t="shared" si="0"/>
        <v>0.16032115200000005</v>
      </c>
      <c r="L15" s="52">
        <f t="shared" si="0"/>
        <v>0.17449588800000004</v>
      </c>
      <c r="M15" s="52">
        <f t="shared" si="0"/>
        <v>0.17449588800000004</v>
      </c>
      <c r="N15" s="52">
        <f t="shared" si="0"/>
        <v>0.17449588800000004</v>
      </c>
      <c r="O15" s="52">
        <f t="shared" si="0"/>
        <v>0.17449588800000004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0.71490070000000006</v>
      </c>
      <c r="D2" s="53">
        <v>0.43867450000000002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0.15027860000000001</v>
      </c>
      <c r="D3" s="53">
        <v>0.1844066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0.1322034</v>
      </c>
      <c r="D4" s="53">
        <v>0.37343589999999999</v>
      </c>
      <c r="E4" s="53">
        <v>0.98593639999999994</v>
      </c>
      <c r="F4" s="53">
        <v>0.8040503</v>
      </c>
      <c r="G4" s="53">
        <v>0</v>
      </c>
    </row>
    <row r="5" spans="1:7" x14ac:dyDescent="0.25">
      <c r="B5" s="3" t="s">
        <v>122</v>
      </c>
      <c r="C5" s="52">
        <v>2.6172999999999999E-3</v>
      </c>
      <c r="D5" s="52">
        <v>3.4830999999999998E-3</v>
      </c>
      <c r="E5" s="52">
        <f>1-SUM(E2:E4)</f>
        <v>1.4063600000000065E-2</v>
      </c>
      <c r="F5" s="52">
        <f>1-SUM(F2:F4)</f>
        <v>0.1959497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49.287869290922437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0.24016136580473399</v>
      </c>
      <c r="C3" s="98">
        <v>0.95</v>
      </c>
      <c r="D3" s="56">
        <v>39.684198983342803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277.35471353022348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1.234217173806571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12.816498427138701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12.816498427138701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12.816498427138701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12.816498427138701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12.816498427138701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12.816498427138701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0.95</v>
      </c>
      <c r="C16" s="98">
        <v>0.95</v>
      </c>
      <c r="D16" s="56">
        <v>0.52326422703405329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9.0706270889999996E-2</v>
      </c>
      <c r="C18" s="98">
        <v>0.95</v>
      </c>
      <c r="D18" s="56">
        <v>6.4352685672608949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0.77940070000000006</v>
      </c>
      <c r="C19" s="98">
        <v>0.95</v>
      </c>
      <c r="D19" s="56">
        <v>6.4352685672608949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0.99</v>
      </c>
      <c r="C21" s="98">
        <v>0.95</v>
      </c>
      <c r="D21" s="56">
        <v>11.985155491425511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22.014584291522841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4.1570370268154289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0.60230982511560593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18.471268288136731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0.47234171413439402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93.696773026618672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0.45</v>
      </c>
      <c r="C31" s="98">
        <v>0.95</v>
      </c>
      <c r="D31" s="56">
        <v>1.5479984877076829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1.1034095765662739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0.45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0.88700000000000001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0.60908189999999995</v>
      </c>
      <c r="C38" s="98">
        <v>0.95</v>
      </c>
      <c r="D38" s="56">
        <v>2.4706285348208592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SwqShMKjZ/Tc3FrdHQz/MjdsWftRTk85s02s32k0tDk98bBhXaGhkqbuII/OivPUJtqXOhQ4ck/oX/RBAeMIgQ==" saltValue="RORLzDUZEp7fquGh4DZ5h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tabSelected="1"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 t="s">
        <v>191</v>
      </c>
      <c r="B6" s="58" t="s">
        <v>192</v>
      </c>
      <c r="C6" s="58"/>
    </row>
    <row r="7" spans="1:3" x14ac:dyDescent="0.25">
      <c r="A7" s="57" t="s">
        <v>188</v>
      </c>
      <c r="B7" s="58" t="s">
        <v>192</v>
      </c>
      <c r="C7" s="58"/>
    </row>
    <row r="8" spans="1:3" x14ac:dyDescent="0.25">
      <c r="A8" s="57" t="s">
        <v>200</v>
      </c>
      <c r="B8" s="58" t="s">
        <v>192</v>
      </c>
      <c r="C8" s="58"/>
    </row>
    <row r="9" spans="1:3" x14ac:dyDescent="0.25">
      <c r="A9" s="57" t="s">
        <v>193</v>
      </c>
      <c r="B9" s="58" t="s">
        <v>192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2.4</v>
      </c>
      <c r="C2" s="21">
        <f>'Baseline year population inputs'!C52</f>
        <v>2.4</v>
      </c>
      <c r="D2" s="21">
        <f>'Baseline year population inputs'!C53</f>
        <v>2.4</v>
      </c>
      <c r="E2" s="21">
        <f>'Baseline year population inputs'!C54</f>
        <v>2.4</v>
      </c>
      <c r="F2" s="21">
        <f>'Baseline year population inputs'!C55</f>
        <v>2.4</v>
      </c>
    </row>
    <row r="3" spans="1:6" ht="15.75" customHeight="1" x14ac:dyDescent="0.25">
      <c r="A3" s="3" t="s">
        <v>204</v>
      </c>
      <c r="B3" s="21">
        <f>frac_mam_1month * 2.6</f>
        <v>0.17421326000000001</v>
      </c>
      <c r="C3" s="21">
        <f>frac_mam_1_5months * 2.6</f>
        <v>0.17421326000000001</v>
      </c>
      <c r="D3" s="21">
        <f>frac_mam_6_11months * 2.6</f>
        <v>0.17344131999999998</v>
      </c>
      <c r="E3" s="21">
        <f>frac_mam_12_23months * 2.6</f>
        <v>0.10721074</v>
      </c>
      <c r="F3" s="21">
        <f>frac_mam_24_59months * 2.6</f>
        <v>7.4403159999999996E-2</v>
      </c>
    </row>
    <row r="4" spans="1:6" ht="15.75" customHeight="1" x14ac:dyDescent="0.25">
      <c r="A4" s="3" t="s">
        <v>205</v>
      </c>
      <c r="B4" s="21">
        <f>frac_sam_1month * 2.6</f>
        <v>0.21761324000000001</v>
      </c>
      <c r="C4" s="21">
        <f>frac_sam_1_5months * 2.6</f>
        <v>0.21761324000000001</v>
      </c>
      <c r="D4" s="21">
        <f>frac_sam_6_11months * 2.6</f>
        <v>8.5564959999999995E-2</v>
      </c>
      <c r="E4" s="21">
        <f>frac_sam_12_23months * 2.6</f>
        <v>5.2959660000000006E-2</v>
      </c>
      <c r="F4" s="21">
        <f>frac_sam_24_59months * 2.6</f>
        <v>2.5706200000000002E-2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1.4999999999999999E-2</v>
      </c>
      <c r="E2" s="60">
        <f>food_insecure</f>
        <v>1.4999999999999999E-2</v>
      </c>
      <c r="F2" s="60">
        <f>food_insecure</f>
        <v>1.4999999999999999E-2</v>
      </c>
      <c r="G2" s="60">
        <f>food_insecure</f>
        <v>1.4999999999999999E-2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1.4999999999999999E-2</v>
      </c>
      <c r="F5" s="60">
        <f>food_insecure</f>
        <v>1.4999999999999999E-2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5.2000000000000011E-2</v>
      </c>
      <c r="D7" s="60">
        <f>diarrhoea_1_5mo*frac_diarrhea_severe</f>
        <v>5.2000000000000011E-2</v>
      </c>
      <c r="E7" s="60">
        <f>diarrhoea_6_11mo*frac_diarrhea_severe</f>
        <v>5.2000000000000011E-2</v>
      </c>
      <c r="F7" s="60">
        <f>diarrhoea_12_23mo*frac_diarrhea_severe</f>
        <v>5.2000000000000011E-2</v>
      </c>
      <c r="G7" s="60">
        <f>diarrhoea_24_59mo*frac_diarrhea_severe</f>
        <v>5.2000000000000011E-2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1.4999999999999999E-2</v>
      </c>
      <c r="F8" s="60">
        <f>food_insecure</f>
        <v>1.4999999999999999E-2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1.4999999999999999E-2</v>
      </c>
      <c r="F9" s="60">
        <f>food_insecure</f>
        <v>1.4999999999999999E-2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5.2000000000000011E-2</v>
      </c>
      <c r="D12" s="60">
        <f>diarrhoea_1_5mo*frac_diarrhea_severe</f>
        <v>5.2000000000000011E-2</v>
      </c>
      <c r="E12" s="60">
        <f>diarrhoea_6_11mo*frac_diarrhea_severe</f>
        <v>5.2000000000000011E-2</v>
      </c>
      <c r="F12" s="60">
        <f>diarrhoea_12_23mo*frac_diarrhea_severe</f>
        <v>5.2000000000000011E-2</v>
      </c>
      <c r="G12" s="60">
        <f>diarrhoea_24_59mo*frac_diarrhea_severe</f>
        <v>5.2000000000000011E-2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1.4999999999999999E-2</v>
      </c>
      <c r="I15" s="60">
        <f>food_insecure</f>
        <v>1.4999999999999999E-2</v>
      </c>
      <c r="J15" s="60">
        <f>food_insecure</f>
        <v>1.4999999999999999E-2</v>
      </c>
      <c r="K15" s="60">
        <f>food_insecure</f>
        <v>1.4999999999999999E-2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0.154</v>
      </c>
      <c r="M24" s="60">
        <f>famplan_unmet_need</f>
        <v>0.154</v>
      </c>
      <c r="N24" s="60">
        <f>famplan_unmet_need</f>
        <v>0.154</v>
      </c>
      <c r="O24" s="60">
        <f>famplan_unmet_need</f>
        <v>0.154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0.14357459206771836</v>
      </c>
      <c r="M25" s="60">
        <f>(1-food_insecure)*(0.49)+food_insecure*(0.7)</f>
        <v>0.49314999999999998</v>
      </c>
      <c r="N25" s="60">
        <f>(1-food_insecure)*(0.49)+food_insecure*(0.7)</f>
        <v>0.49314999999999998</v>
      </c>
      <c r="O25" s="60">
        <f>(1-food_insecure)*(0.49)+food_insecure*(0.7)</f>
        <v>0.49314999999999998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6.1531968029022159E-2</v>
      </c>
      <c r="M26" s="60">
        <f>(1-food_insecure)*(0.21)+food_insecure*(0.3)</f>
        <v>0.21134999999999998</v>
      </c>
      <c r="N26" s="60">
        <f>(1-food_insecure)*(0.21)+food_insecure*(0.3)</f>
        <v>0.21134999999999998</v>
      </c>
      <c r="O26" s="60">
        <f>(1-food_insecure)*(0.21)+food_insecure*(0.3)</f>
        <v>0.21134999999999998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8.6031211509704511E-2</v>
      </c>
      <c r="M27" s="60">
        <f>(1-food_insecure)*(0.3)</f>
        <v>0.29549999999999998</v>
      </c>
      <c r="N27" s="60">
        <f>(1-food_insecure)*(0.3)</f>
        <v>0.29549999999999998</v>
      </c>
      <c r="O27" s="60">
        <f>(1-food_insecure)*(0.3)</f>
        <v>0.29549999999999998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0.70886222839355495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F28" sqref="F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F28" sqref="F2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gEiboypgN1VYdmLYuHEsviiXDH91vsC32xKqzOEbclcsh2pOXs0vX071vry3NRJsC+T2/BNfpXbXWW7dldjVQ==" saltValue="XZihSWmo245BlR0GYalyd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175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176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177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178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179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189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173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182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175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176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177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178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179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189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173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182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2024-05-09T01:45:54Z</dcterms:modified>
</cp:coreProperties>
</file>