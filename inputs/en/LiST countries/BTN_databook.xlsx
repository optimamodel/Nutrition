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A56E3891-1474-4587-86D1-B44AD183D130}" xr6:coauthVersionLast="47" xr6:coauthVersionMax="47" xr10:uidLastSave="{00000000-0000-0000-0000-000000000000}"/>
  <bookViews>
    <workbookView xWindow="0" yWindow="3670" windowWidth="19200" windowHeight="6530" tabRatio="961" firstSheet="4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state="hidden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H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E112" i="27"/>
  <c r="D112" i="27"/>
  <c r="H97" i="27"/>
  <c r="H152" i="27" s="1"/>
  <c r="G97" i="27"/>
  <c r="G152" i="27" s="1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H74" i="27"/>
  <c r="G74" i="27"/>
  <c r="G129" i="27" s="1"/>
  <c r="F74" i="27"/>
  <c r="F129" i="27" s="1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O67" i="25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9" i="25"/>
  <c r="N19" i="25"/>
  <c r="M19" i="25"/>
  <c r="L19" i="25"/>
  <c r="K19" i="25"/>
  <c r="J19" i="25"/>
  <c r="I19" i="25"/>
  <c r="H19" i="25"/>
  <c r="G19" i="25"/>
  <c r="F19" i="25"/>
  <c r="E19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I40" i="2"/>
  <c r="H40" i="2"/>
  <c r="G40" i="2"/>
  <c r="H39" i="2"/>
  <c r="G39" i="2"/>
  <c r="I39" i="2" s="1"/>
  <c r="A39" i="2"/>
  <c r="I38" i="2"/>
  <c r="H38" i="2"/>
  <c r="G38" i="2"/>
  <c r="A37" i="2"/>
  <c r="A35" i="2"/>
  <c r="A34" i="2"/>
  <c r="A33" i="2"/>
  <c r="A29" i="2"/>
  <c r="A27" i="2"/>
  <c r="A26" i="2"/>
  <c r="A25" i="2"/>
  <c r="A21" i="2"/>
  <c r="A19" i="2"/>
  <c r="A18" i="2"/>
  <c r="A17" i="2"/>
  <c r="H13" i="2"/>
  <c r="G13" i="2"/>
  <c r="I13" i="2" s="1"/>
  <c r="I12" i="2"/>
  <c r="H12" i="2"/>
  <c r="G12" i="2"/>
  <c r="H11" i="2"/>
  <c r="G11" i="2"/>
  <c r="I11" i="2" s="1"/>
  <c r="I10" i="2"/>
  <c r="H10" i="2"/>
  <c r="G10" i="2"/>
  <c r="H9" i="2"/>
  <c r="G9" i="2"/>
  <c r="I9" i="2" s="1"/>
  <c r="I8" i="2"/>
  <c r="H8" i="2"/>
  <c r="G8" i="2"/>
  <c r="H7" i="2"/>
  <c r="G7" i="2"/>
  <c r="I7" i="2" s="1"/>
  <c r="I6" i="2"/>
  <c r="H6" i="2"/>
  <c r="G6" i="2"/>
  <c r="H5" i="2"/>
  <c r="G5" i="2"/>
  <c r="I5" i="2" s="1"/>
  <c r="I4" i="2"/>
  <c r="H4" i="2"/>
  <c r="G4" i="2"/>
  <c r="H3" i="2"/>
  <c r="G3" i="2"/>
  <c r="I3" i="2" s="1"/>
  <c r="A3" i="2"/>
  <c r="I2" i="2"/>
  <c r="H2" i="2"/>
  <c r="G2" i="2"/>
  <c r="A2" i="2"/>
  <c r="A32" i="2" s="1"/>
  <c r="C33" i="1"/>
  <c r="C20" i="1"/>
  <c r="A20" i="2" l="1"/>
  <c r="A28" i="2"/>
  <c r="A36" i="2"/>
  <c r="A38" i="2"/>
  <c r="A4" i="2"/>
  <c r="A5" i="2" s="1"/>
  <c r="A6" i="2"/>
  <c r="A7" i="2" s="1"/>
  <c r="A8" i="2" s="1"/>
  <c r="A9" i="2" s="1"/>
  <c r="A10" i="2" s="1"/>
  <c r="A11" i="2" s="1"/>
  <c r="A12" i="2" s="1"/>
  <c r="A13" i="2" s="1"/>
  <c r="A14" i="2"/>
  <c r="A22" i="2"/>
  <c r="A30" i="2"/>
  <c r="A40" i="2"/>
  <c r="A15" i="2"/>
  <c r="A23" i="2"/>
  <c r="A31" i="2"/>
  <c r="A16" i="2"/>
  <c r="A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29" authorId="1" shapeId="0" xr:uid="{00000000-0006-0000-1600-00000E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29" authorId="1" shapeId="0" xr:uid="{00000000-0006-0000-1600-00000F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30" authorId="0" shapeId="0" xr:uid="{00000000-0006-0000-1600-000010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1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2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4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6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7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52" authorId="1" shapeId="0" xr:uid="{00000000-0006-0000-1600-000018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52" authorId="1" shapeId="0" xr:uid="{00000000-0006-0000-1600-000019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53" authorId="0" shapeId="0" xr:uid="{00000000-0006-0000-1600-00001A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B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C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Peña‐Rosas et al 2019, anemia RR 0.72 (0.54-0.97)
If no data for anaemia prev. the use RR otherwise convert RR to OR using prev.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Larson et al 2021, RR 0.80 (0.70-0.92)
If no data for anaemia prev. the use RR otherwise convert RR to OR using prev.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C49" authorId="0" shapeId="0" xr:uid="{00000000-0006-0000-1800-000052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50" authorId="0" shapeId="0" xr:uid="{00000000-0006-0000-1800-00005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6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<sst xmlns="http://schemas.openxmlformats.org/spreadsheetml/2006/main" count="2092" uniqueCount="341">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</sst>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47236.17578125</v>
      </c>
    </row>
    <row r="8" spans="1:3" ht="15" customHeight="1" x14ac:dyDescent="0.25">
      <c r="B8" s="5" t="s">
        <v>8</v>
      </c>
      <c r="C8" s="44">
        <v>1.4999999999999999E-2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0.70886222839355495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0.154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7.22E-2</v>
      </c>
    </row>
    <row r="24" spans="1:3" ht="15" customHeight="1" x14ac:dyDescent="0.25">
      <c r="B24" s="15" t="s">
        <v>22</v>
      </c>
      <c r="C24" s="45">
        <v>0.55390000000000006</v>
      </c>
    </row>
    <row r="25" spans="1:3" ht="15" customHeight="1" x14ac:dyDescent="0.25">
      <c r="B25" s="15" t="s">
        <v>23</v>
      </c>
      <c r="C25" s="45">
        <v>0.31580000000000003</v>
      </c>
    </row>
    <row r="26" spans="1:3" ht="15" customHeight="1" x14ac:dyDescent="0.25">
      <c r="B26" s="15" t="s">
        <v>24</v>
      </c>
      <c r="C26" s="45">
        <v>5.8100000000000013E-2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0.41227810089419697</v>
      </c>
    </row>
    <row r="30" spans="1:3" ht="14.25" customHeight="1" x14ac:dyDescent="0.25">
      <c r="B30" s="25" t="s">
        <v>27</v>
      </c>
      <c r="C30" s="99">
        <v>4.1696555750580601E-2</v>
      </c>
    </row>
    <row r="31" spans="1:3" ht="14.25" customHeight="1" x14ac:dyDescent="0.25">
      <c r="B31" s="25" t="s">
        <v>28</v>
      </c>
      <c r="C31" s="99">
        <v>7.5022305717839008E-2</v>
      </c>
    </row>
    <row r="32" spans="1:3" ht="14.25" customHeight="1" x14ac:dyDescent="0.25">
      <c r="B32" s="25" t="s">
        <v>29</v>
      </c>
      <c r="C32" s="99">
        <v>0.47100303763738299</v>
      </c>
    </row>
    <row r="33" spans="1:5" ht="13" customHeight="1" x14ac:dyDescent="0.25">
      <c r="B33" s="27" t="s">
        <v>30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14.832380000000001</v>
      </c>
    </row>
    <row r="38" spans="1:5" ht="15" customHeight="1" x14ac:dyDescent="0.25">
      <c r="B38" s="11" t="s">
        <v>34</v>
      </c>
      <c r="C38" s="43">
        <v>22.452369999999998</v>
      </c>
      <c r="D38" s="12"/>
      <c r="E38" s="13"/>
    </row>
    <row r="39" spans="1:5" ht="15" customHeight="1" x14ac:dyDescent="0.25">
      <c r="B39" s="11" t="s">
        <v>35</v>
      </c>
      <c r="C39" s="43">
        <v>26.68741</v>
      </c>
      <c r="D39" s="12"/>
      <c r="E39" s="12"/>
    </row>
    <row r="40" spans="1:5" ht="15" customHeight="1" x14ac:dyDescent="0.25">
      <c r="B40" s="11" t="s">
        <v>36</v>
      </c>
      <c r="C40" s="100">
        <v>0.6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9.01539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1.7845300000000001E-2</v>
      </c>
      <c r="D45" s="12"/>
    </row>
    <row r="46" spans="1:5" ht="15.75" customHeight="1" x14ac:dyDescent="0.25">
      <c r="B46" s="11" t="s">
        <v>41</v>
      </c>
      <c r="C46" s="45">
        <v>0.1060015</v>
      </c>
      <c r="D46" s="12"/>
    </row>
    <row r="47" spans="1:5" ht="15.75" customHeight="1" x14ac:dyDescent="0.25">
      <c r="B47" s="11" t="s">
        <v>42</v>
      </c>
      <c r="C47" s="45">
        <v>0.40820650000000003</v>
      </c>
      <c r="D47" s="12"/>
      <c r="E47" s="13"/>
    </row>
    <row r="48" spans="1:5" ht="15" customHeight="1" x14ac:dyDescent="0.25">
      <c r="B48" s="11" t="s">
        <v>43</v>
      </c>
      <c r="C48" s="46">
        <v>0.46794669999999999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2.4</v>
      </c>
      <c r="D51" s="12"/>
    </row>
    <row r="52" spans="1:4" ht="15" customHeight="1" x14ac:dyDescent="0.25">
      <c r="B52" s="11" t="s">
        <v>46</v>
      </c>
      <c r="C52" s="100">
        <v>2.4</v>
      </c>
    </row>
    <row r="53" spans="1:4" ht="15.75" customHeight="1" x14ac:dyDescent="0.25">
      <c r="B53" s="11" t="s">
        <v>47</v>
      </c>
      <c r="C53" s="100">
        <v>2.4</v>
      </c>
    </row>
    <row r="54" spans="1:4" ht="15.75" customHeight="1" x14ac:dyDescent="0.25">
      <c r="B54" s="11" t="s">
        <v>48</v>
      </c>
      <c r="C54" s="100">
        <v>2.4</v>
      </c>
    </row>
    <row r="55" spans="1:4" ht="15.75" customHeight="1" x14ac:dyDescent="0.25">
      <c r="B55" s="11" t="s">
        <v>49</v>
      </c>
      <c r="C55" s="100">
        <v>2.4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2.1666666666666671E-2</v>
      </c>
    </row>
    <row r="59" spans="1:4" ht="15.75" customHeight="1" x14ac:dyDescent="0.25">
      <c r="B59" s="11" t="s">
        <v>52</v>
      </c>
      <c r="C59" s="45">
        <v>0.48878400000000011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0.11662965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13479.084000000001</v>
      </c>
      <c r="C2" s="49">
        <v>36000</v>
      </c>
      <c r="D2" s="49">
        <v>72000</v>
      </c>
      <c r="E2" s="49">
        <v>76000</v>
      </c>
      <c r="F2" s="49">
        <v>53000</v>
      </c>
      <c r="G2" s="17">
        <f t="shared" ref="G2:G13" si="0">C2+D2+E2+F2</f>
        <v>237000</v>
      </c>
      <c r="H2" s="17">
        <f t="shared" ref="H2:H13" si="1">(B2 + stillbirth*B2/(1000-stillbirth))/(1-abortion)</f>
        <v>15456.487168948981</v>
      </c>
      <c r="I2" s="17">
        <f t="shared" ref="I2:I13" si="2">G2-H2</f>
        <v>221543.51283105102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13286.773999999999</v>
      </c>
      <c r="C3" s="50">
        <v>36000</v>
      </c>
      <c r="D3" s="50">
        <v>72000</v>
      </c>
      <c r="E3" s="50">
        <v>77000</v>
      </c>
      <c r="F3" s="50">
        <v>56000</v>
      </c>
      <c r="G3" s="17">
        <f t="shared" si="0"/>
        <v>241000</v>
      </c>
      <c r="H3" s="17">
        <f t="shared" si="1"/>
        <v>15235.964984543823</v>
      </c>
      <c r="I3" s="17">
        <f t="shared" si="2"/>
        <v>225764.03501545617</v>
      </c>
    </row>
    <row r="4" spans="1:9" ht="15.75" customHeight="1" x14ac:dyDescent="0.25">
      <c r="A4" s="5">
        <f t="shared" si="3"/>
        <v>2026</v>
      </c>
      <c r="B4" s="49">
        <v>13123.609200000001</v>
      </c>
      <c r="C4" s="50">
        <v>35000</v>
      </c>
      <c r="D4" s="50">
        <v>72000</v>
      </c>
      <c r="E4" s="50">
        <v>77000</v>
      </c>
      <c r="F4" s="50">
        <v>58000</v>
      </c>
      <c r="G4" s="17">
        <f t="shared" si="0"/>
        <v>242000</v>
      </c>
      <c r="H4" s="17">
        <f t="shared" si="1"/>
        <v>15048.863647566912</v>
      </c>
      <c r="I4" s="17">
        <f t="shared" si="2"/>
        <v>226951.1363524331</v>
      </c>
    </row>
    <row r="5" spans="1:9" ht="15.75" customHeight="1" x14ac:dyDescent="0.25">
      <c r="A5" s="5">
        <f t="shared" si="3"/>
        <v>2027</v>
      </c>
      <c r="B5" s="49">
        <v>12940.8202</v>
      </c>
      <c r="C5" s="50">
        <v>35000</v>
      </c>
      <c r="D5" s="50">
        <v>71000</v>
      </c>
      <c r="E5" s="50">
        <v>77000</v>
      </c>
      <c r="F5" s="50">
        <v>61000</v>
      </c>
      <c r="G5" s="17">
        <f t="shared" si="0"/>
        <v>244000</v>
      </c>
      <c r="H5" s="17">
        <f t="shared" si="1"/>
        <v>14839.259209080956</v>
      </c>
      <c r="I5" s="17">
        <f t="shared" si="2"/>
        <v>229160.74079091905</v>
      </c>
    </row>
    <row r="6" spans="1:9" ht="15.75" customHeight="1" x14ac:dyDescent="0.25">
      <c r="A6" s="5">
        <f t="shared" si="3"/>
        <v>2028</v>
      </c>
      <c r="B6" s="49">
        <v>12753.54</v>
      </c>
      <c r="C6" s="50">
        <v>35000</v>
      </c>
      <c r="D6" s="50">
        <v>71000</v>
      </c>
      <c r="E6" s="50">
        <v>77000</v>
      </c>
      <c r="F6" s="50">
        <v>63000</v>
      </c>
      <c r="G6" s="17">
        <f t="shared" si="0"/>
        <v>246000</v>
      </c>
      <c r="H6" s="17">
        <f t="shared" si="1"/>
        <v>14624.504704375875</v>
      </c>
      <c r="I6" s="17">
        <f t="shared" si="2"/>
        <v>231375.49529562413</v>
      </c>
    </row>
    <row r="7" spans="1:9" ht="15.75" customHeight="1" x14ac:dyDescent="0.25">
      <c r="A7" s="5">
        <f t="shared" si="3"/>
        <v>2029</v>
      </c>
      <c r="B7" s="49">
        <v>12561.768599999999</v>
      </c>
      <c r="C7" s="50">
        <v>34000</v>
      </c>
      <c r="D7" s="50">
        <v>70000</v>
      </c>
      <c r="E7" s="50">
        <v>75000</v>
      </c>
      <c r="F7" s="50">
        <v>65000</v>
      </c>
      <c r="G7" s="17">
        <f t="shared" si="0"/>
        <v>244000</v>
      </c>
      <c r="H7" s="17">
        <f t="shared" si="1"/>
        <v>14404.600133451662</v>
      </c>
      <c r="I7" s="17">
        <f t="shared" si="2"/>
        <v>229595.39986654834</v>
      </c>
    </row>
    <row r="8" spans="1:9" ht="15.75" customHeight="1" x14ac:dyDescent="0.25">
      <c r="A8" s="5">
        <f t="shared" si="3"/>
        <v>2030</v>
      </c>
      <c r="B8" s="49">
        <v>12365.505999999999</v>
      </c>
      <c r="C8" s="50">
        <v>34000</v>
      </c>
      <c r="D8" s="50">
        <v>70000</v>
      </c>
      <c r="E8" s="50">
        <v>75000</v>
      </c>
      <c r="F8" s="50">
        <v>67000</v>
      </c>
      <c r="G8" s="17">
        <f t="shared" si="0"/>
        <v>246000</v>
      </c>
      <c r="H8" s="17">
        <f t="shared" si="1"/>
        <v>14179.545496308327</v>
      </c>
      <c r="I8" s="17">
        <f t="shared" si="2"/>
        <v>231820.45450369167</v>
      </c>
    </row>
    <row r="9" spans="1:9" ht="15.75" customHeight="1" x14ac:dyDescent="0.25">
      <c r="A9" s="5">
        <f t="shared" si="3"/>
        <v>2031</v>
      </c>
      <c r="B9" s="49">
        <v>12206.42342857143</v>
      </c>
      <c r="C9" s="50">
        <v>33714.285714285717</v>
      </c>
      <c r="D9" s="50">
        <v>69714.28571428571</v>
      </c>
      <c r="E9" s="50">
        <v>74857.142857142855</v>
      </c>
      <c r="F9" s="50">
        <v>69000</v>
      </c>
      <c r="G9" s="17">
        <f t="shared" si="0"/>
        <v>247285.71428571426</v>
      </c>
      <c r="H9" s="17">
        <f t="shared" si="1"/>
        <v>13997.125257359663</v>
      </c>
      <c r="I9" s="17">
        <f t="shared" si="2"/>
        <v>233288.58902835459</v>
      </c>
    </row>
    <row r="10" spans="1:9" ht="15.75" customHeight="1" x14ac:dyDescent="0.25">
      <c r="A10" s="5">
        <f t="shared" si="3"/>
        <v>2032</v>
      </c>
      <c r="B10" s="49">
        <v>12052.08763265306</v>
      </c>
      <c r="C10" s="50">
        <v>33387.755102040821</v>
      </c>
      <c r="D10" s="50">
        <v>69387.755102040814</v>
      </c>
      <c r="E10" s="50">
        <v>74551.020408163269</v>
      </c>
      <c r="F10" s="50">
        <v>70857.142857142855</v>
      </c>
      <c r="G10" s="17">
        <f t="shared" si="0"/>
        <v>248183.67346938775</v>
      </c>
      <c r="H10" s="17">
        <f t="shared" si="1"/>
        <v>13820.148153476208</v>
      </c>
      <c r="I10" s="17">
        <f t="shared" si="2"/>
        <v>234363.52531591154</v>
      </c>
    </row>
    <row r="11" spans="1:9" ht="15.75" customHeight="1" x14ac:dyDescent="0.25">
      <c r="A11" s="5">
        <f t="shared" si="3"/>
        <v>2033</v>
      </c>
      <c r="B11" s="49">
        <v>11899.013123032069</v>
      </c>
      <c r="C11" s="50">
        <v>33157.434402332357</v>
      </c>
      <c r="D11" s="50">
        <v>69014.57725947522</v>
      </c>
      <c r="E11" s="50">
        <v>74201.166180758024</v>
      </c>
      <c r="F11" s="50">
        <v>72693.8775510204</v>
      </c>
      <c r="G11" s="17">
        <f t="shared" si="0"/>
        <v>249067.05539358599</v>
      </c>
      <c r="H11" s="17">
        <f t="shared" si="1"/>
        <v>13644.617368606108</v>
      </c>
      <c r="I11" s="17">
        <f t="shared" si="2"/>
        <v>235422.4380249799</v>
      </c>
    </row>
    <row r="12" spans="1:9" ht="15.75" customHeight="1" x14ac:dyDescent="0.25">
      <c r="A12" s="5">
        <f t="shared" si="3"/>
        <v>2034</v>
      </c>
      <c r="B12" s="49">
        <v>11750.183540608081</v>
      </c>
      <c r="C12" s="50">
        <v>32894.210745522701</v>
      </c>
      <c r="D12" s="50">
        <v>68730.945439400253</v>
      </c>
      <c r="E12" s="50">
        <v>73801.332778009164</v>
      </c>
      <c r="F12" s="50">
        <v>74364.43148688045</v>
      </c>
      <c r="G12" s="17">
        <f t="shared" si="0"/>
        <v>249790.92044981261</v>
      </c>
      <c r="H12" s="17">
        <f t="shared" si="1"/>
        <v>13473.954248538275</v>
      </c>
      <c r="I12" s="17">
        <f t="shared" si="2"/>
        <v>236316.96620127434</v>
      </c>
    </row>
    <row r="13" spans="1:9" ht="15.75" customHeight="1" x14ac:dyDescent="0.25">
      <c r="A13" s="5">
        <f t="shared" si="3"/>
        <v>2035</v>
      </c>
      <c r="B13" s="49">
        <v>11606.84690355209</v>
      </c>
      <c r="C13" s="50">
        <v>32593.3837091688</v>
      </c>
      <c r="D13" s="50">
        <v>68406.794787886</v>
      </c>
      <c r="E13" s="50">
        <v>73344.380317724761</v>
      </c>
      <c r="F13" s="50">
        <v>75987.921699291939</v>
      </c>
      <c r="G13" s="17">
        <f t="shared" si="0"/>
        <v>250332.4805140715</v>
      </c>
      <c r="H13" s="17">
        <f t="shared" si="1"/>
        <v>13309.589897704331</v>
      </c>
      <c r="I13" s="17">
        <f t="shared" si="2"/>
        <v>237022.89061636716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8.1525008152500862E-3</v>
      </c>
    </row>
    <row r="4" spans="1:8" ht="15.75" customHeight="1" x14ac:dyDescent="0.25">
      <c r="B4" s="19" t="s">
        <v>69</v>
      </c>
      <c r="C4" s="101">
        <v>4.5061404506140379E-2</v>
      </c>
    </row>
    <row r="5" spans="1:8" ht="15.75" customHeight="1" x14ac:dyDescent="0.25">
      <c r="B5" s="19" t="s">
        <v>70</v>
      </c>
      <c r="C5" s="101">
        <v>4.9024504902450451E-2</v>
      </c>
    </row>
    <row r="6" spans="1:8" ht="15.75" customHeight="1" x14ac:dyDescent="0.25">
      <c r="B6" s="19" t="s">
        <v>71</v>
      </c>
      <c r="C6" s="101">
        <v>0.2038836203883623</v>
      </c>
    </row>
    <row r="7" spans="1:8" ht="15.75" customHeight="1" x14ac:dyDescent="0.25">
      <c r="B7" s="19" t="s">
        <v>72</v>
      </c>
      <c r="C7" s="101">
        <v>0.43088424308842432</v>
      </c>
    </row>
    <row r="8" spans="1:8" ht="15.75" customHeight="1" x14ac:dyDescent="0.25">
      <c r="B8" s="19" t="s">
        <v>73</v>
      </c>
      <c r="C8" s="101">
        <v>8.3170008317000766E-4</v>
      </c>
    </row>
    <row r="9" spans="1:8" ht="15.75" customHeight="1" x14ac:dyDescent="0.25">
      <c r="B9" s="19" t="s">
        <v>74</v>
      </c>
      <c r="C9" s="101">
        <v>0.14651341465134141</v>
      </c>
    </row>
    <row r="10" spans="1:8" ht="15.75" customHeight="1" x14ac:dyDescent="0.25">
      <c r="B10" s="19" t="s">
        <v>75</v>
      </c>
      <c r="C10" s="101">
        <v>0.1156486115648612</v>
      </c>
    </row>
    <row r="11" spans="1:8" ht="15.75" customHeight="1" x14ac:dyDescent="0.25">
      <c r="B11" s="27" t="s">
        <v>30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0.31382186343452262</v>
      </c>
      <c r="D14" s="55">
        <v>0.31382186343452262</v>
      </c>
      <c r="E14" s="55">
        <v>0.31382186343452262</v>
      </c>
      <c r="F14" s="55">
        <v>0.31382186343452262</v>
      </c>
    </row>
    <row r="15" spans="1:8" ht="15.75" customHeight="1" x14ac:dyDescent="0.25">
      <c r="B15" s="19" t="s">
        <v>82</v>
      </c>
      <c r="C15" s="101">
        <v>0.31591331032326309</v>
      </c>
      <c r="D15" s="101">
        <v>0.31591331032326309</v>
      </c>
      <c r="E15" s="101">
        <v>0.31591331032326309</v>
      </c>
      <c r="F15" s="101">
        <v>0.31591331032326309</v>
      </c>
    </row>
    <row r="16" spans="1:8" ht="15.75" customHeight="1" x14ac:dyDescent="0.25">
      <c r="B16" s="19" t="s">
        <v>83</v>
      </c>
      <c r="C16" s="101">
        <v>2.7449882388342828E-2</v>
      </c>
      <c r="D16" s="101">
        <v>2.7449882388342828E-2</v>
      </c>
      <c r="E16" s="101">
        <v>2.7449882388342828E-2</v>
      </c>
      <c r="F16" s="101">
        <v>2.7449882388342828E-2</v>
      </c>
    </row>
    <row r="17" spans="1:8" ht="15.75" customHeight="1" x14ac:dyDescent="0.25">
      <c r="B17" s="19" t="s">
        <v>84</v>
      </c>
      <c r="C17" s="101">
        <v>1.390932477875465E-2</v>
      </c>
      <c r="D17" s="101">
        <v>1.390932477875465E-2</v>
      </c>
      <c r="E17" s="101">
        <v>1.390932477875465E-2</v>
      </c>
      <c r="F17" s="101">
        <v>1.390932477875465E-2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1.1055711336886291E-2</v>
      </c>
      <c r="D19" s="101">
        <v>1.1055711336886291E-2</v>
      </c>
      <c r="E19" s="101">
        <v>1.1055711336886291E-2</v>
      </c>
      <c r="F19" s="101">
        <v>1.1055711336886291E-2</v>
      </c>
    </row>
    <row r="20" spans="1:8" ht="15.75" customHeight="1" x14ac:dyDescent="0.25">
      <c r="B20" s="19" t="s">
        <v>87</v>
      </c>
      <c r="C20" s="101">
        <v>2.0022801128055979E-2</v>
      </c>
      <c r="D20" s="101">
        <v>2.0022801128055979E-2</v>
      </c>
      <c r="E20" s="101">
        <v>2.0022801128055979E-2</v>
      </c>
      <c r="F20" s="101">
        <v>2.0022801128055979E-2</v>
      </c>
    </row>
    <row r="21" spans="1:8" ht="15.75" customHeight="1" x14ac:dyDescent="0.25">
      <c r="B21" s="19" t="s">
        <v>88</v>
      </c>
      <c r="C21" s="101">
        <v>0.1369566895751991</v>
      </c>
      <c r="D21" s="101">
        <v>0.1369566895751991</v>
      </c>
      <c r="E21" s="101">
        <v>0.1369566895751991</v>
      </c>
      <c r="F21" s="101">
        <v>0.1369566895751991</v>
      </c>
    </row>
    <row r="22" spans="1:8" ht="15.75" customHeight="1" x14ac:dyDescent="0.25">
      <c r="B22" s="19" t="s">
        <v>89</v>
      </c>
      <c r="C22" s="101">
        <v>0.16087041703497551</v>
      </c>
      <c r="D22" s="101">
        <v>0.16087041703497551</v>
      </c>
      <c r="E22" s="101">
        <v>0.16087041703497551</v>
      </c>
      <c r="F22" s="101">
        <v>0.16087041703497551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2.0391851999999999E-2</v>
      </c>
    </row>
    <row r="27" spans="1:8" ht="15.75" customHeight="1" x14ac:dyDescent="0.25">
      <c r="B27" s="19" t="s">
        <v>92</v>
      </c>
      <c r="C27" s="101">
        <v>1.2112826E-2</v>
      </c>
    </row>
    <row r="28" spans="1:8" ht="15.75" customHeight="1" x14ac:dyDescent="0.25">
      <c r="B28" s="19" t="s">
        <v>93</v>
      </c>
      <c r="C28" s="101">
        <v>0.20645870999999999</v>
      </c>
    </row>
    <row r="29" spans="1:8" ht="15.75" customHeight="1" x14ac:dyDescent="0.25">
      <c r="B29" s="19" t="s">
        <v>94</v>
      </c>
      <c r="C29" s="101">
        <v>0.14582909399999999</v>
      </c>
    </row>
    <row r="30" spans="1:8" ht="15.75" customHeight="1" x14ac:dyDescent="0.25">
      <c r="B30" s="19" t="s">
        <v>95</v>
      </c>
      <c r="C30" s="101">
        <v>4.8967666E-2</v>
      </c>
    </row>
    <row r="31" spans="1:8" ht="15.75" customHeight="1" x14ac:dyDescent="0.25">
      <c r="B31" s="19" t="s">
        <v>96</v>
      </c>
      <c r="C31" s="101">
        <v>9.2788695000000004E-2</v>
      </c>
    </row>
    <row r="32" spans="1:8" ht="15.75" customHeight="1" x14ac:dyDescent="0.25">
      <c r="B32" s="19" t="s">
        <v>97</v>
      </c>
      <c r="C32" s="101">
        <v>1.0910125E-2</v>
      </c>
    </row>
    <row r="33" spans="2:3" ht="15.75" customHeight="1" x14ac:dyDescent="0.25">
      <c r="B33" s="19" t="s">
        <v>98</v>
      </c>
      <c r="C33" s="101">
        <v>0.3714693</v>
      </c>
    </row>
    <row r="34" spans="2:3" ht="15.75" customHeight="1" x14ac:dyDescent="0.25">
      <c r="B34" s="19" t="s">
        <v>99</v>
      </c>
      <c r="C34" s="101">
        <v>9.1071732999999988E-2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0.42378197479032165</v>
      </c>
      <c r="D2" s="52">
        <f>IFERROR(1-_xlfn.NORM.DIST(_xlfn.NORM.INV(SUM(D4:D5), 0, 1) + 1, 0, 1, TRUE), "")</f>
        <v>0.42378197479032165</v>
      </c>
      <c r="E2" s="52">
        <f>IFERROR(1-_xlfn.NORM.DIST(_xlfn.NORM.INV(SUM(E4:E5), 0, 1) + 1, 0, 1, TRUE), "")</f>
        <v>0.48626648782681481</v>
      </c>
      <c r="F2" s="52">
        <f>IFERROR(1-_xlfn.NORM.DIST(_xlfn.NORM.INV(SUM(F4:F5), 0, 1) + 1, 0, 1, TRUE), "")</f>
        <v>0.26110617972600525</v>
      </c>
      <c r="G2" s="52">
        <f>IFERROR(1-_xlfn.NORM.DIST(_xlfn.NORM.INV(SUM(G4:G5), 0, 1) + 1, 0, 1, TRUE), "")</f>
        <v>0.24782416449959621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0.36660722520967837</v>
      </c>
      <c r="D3" s="52">
        <f>IFERROR(_xlfn.NORM.DIST(_xlfn.NORM.INV(SUM(D4:D5), 0, 1) + 1, 0, 1, TRUE) - SUM(D4:D5), "")</f>
        <v>0.36660722520967837</v>
      </c>
      <c r="E3" s="52">
        <f>IFERROR(_xlfn.NORM.DIST(_xlfn.NORM.INV(SUM(E4:E5), 0, 1) + 1, 0, 1, TRUE) - SUM(E4:E5), "")</f>
        <v>0.34660341217318519</v>
      </c>
      <c r="F3" s="52">
        <f>IFERROR(_xlfn.NORM.DIST(_xlfn.NORM.INV(SUM(F4:F5), 0, 1) + 1, 0, 1, TRUE) - SUM(F4:F5), "")</f>
        <v>0.37949312027399473</v>
      </c>
      <c r="G3" s="52">
        <f>IFERROR(_xlfn.NORM.DIST(_xlfn.NORM.INV(SUM(G4:G5), 0, 1) + 1, 0, 1, TRUE) - SUM(G4:G5), "")</f>
        <v>0.37717883550040376</v>
      </c>
    </row>
    <row r="4" spans="1:15" ht="15.75" customHeight="1" x14ac:dyDescent="0.25">
      <c r="B4" s="5" t="s">
        <v>104</v>
      </c>
      <c r="C4" s="45">
        <v>0.1148358</v>
      </c>
      <c r="D4" s="53">
        <v>0.1148358</v>
      </c>
      <c r="E4" s="53">
        <v>7.4602000000000002E-2</v>
      </c>
      <c r="F4" s="53">
        <v>0.21216470000000001</v>
      </c>
      <c r="G4" s="53">
        <v>0.23018359999999999</v>
      </c>
    </row>
    <row r="5" spans="1:15" ht="15.75" customHeight="1" x14ac:dyDescent="0.25">
      <c r="B5" s="5" t="s">
        <v>105</v>
      </c>
      <c r="C5" s="45">
        <v>9.4774999999999998E-2</v>
      </c>
      <c r="D5" s="53">
        <v>9.4774999999999998E-2</v>
      </c>
      <c r="E5" s="53">
        <v>9.2528100000000002E-2</v>
      </c>
      <c r="F5" s="53">
        <v>0.14723600000000001</v>
      </c>
      <c r="G5" s="53">
        <v>0.14481340000000001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0.51333220751428721</v>
      </c>
      <c r="D8" s="52">
        <f>IFERROR(1-_xlfn.NORM.DIST(_xlfn.NORM.INV(SUM(D10:D11), 0, 1) + 1, 0, 1, TRUE), "")</f>
        <v>0.51333220751428721</v>
      </c>
      <c r="E8" s="52">
        <f>IFERROR(1-_xlfn.NORM.DIST(_xlfn.NORM.INV(SUM(E10:E11), 0, 1) + 1, 0, 1, TRUE), "")</f>
        <v>0.61169227248812275</v>
      </c>
      <c r="F8" s="52">
        <f>IFERROR(1-_xlfn.NORM.DIST(_xlfn.NORM.INV(SUM(F10:F11), 0, 1) + 1, 0, 1, TRUE), "")</f>
        <v>0.70590028663116455</v>
      </c>
      <c r="G8" s="52">
        <f>IFERROR(1-_xlfn.NORM.DIST(_xlfn.NORM.INV(SUM(G10:G11), 0, 1) + 1, 0, 1, TRUE), "")</f>
        <v>0.77885184725139966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0.33596529248571272</v>
      </c>
      <c r="D9" s="52">
        <f>IFERROR(_xlfn.NORM.DIST(_xlfn.NORM.INV(SUM(D10:D11), 0, 1) + 1, 0, 1, TRUE) - SUM(D10:D11), "")</f>
        <v>0.33596529248571272</v>
      </c>
      <c r="E9" s="52">
        <f>IFERROR(_xlfn.NORM.DIST(_xlfn.NORM.INV(SUM(E10:E11), 0, 1) + 1, 0, 1, TRUE) - SUM(E10:E11), "")</f>
        <v>0.28868992751187728</v>
      </c>
      <c r="F9" s="52">
        <f>IFERROR(_xlfn.NORM.DIST(_xlfn.NORM.INV(SUM(F10:F11), 0, 1) + 1, 0, 1, TRUE) - SUM(F10:F11), "")</f>
        <v>0.23249571336883545</v>
      </c>
      <c r="G9" s="52">
        <f>IFERROR(_xlfn.NORM.DIST(_xlfn.NORM.INV(SUM(G10:G11), 0, 1) + 1, 0, 1, TRUE) - SUM(G10:G11), "")</f>
        <v>0.18264455274860028</v>
      </c>
    </row>
    <row r="10" spans="1:15" ht="15.75" customHeight="1" x14ac:dyDescent="0.25">
      <c r="B10" s="5" t="s">
        <v>109</v>
      </c>
      <c r="C10" s="45">
        <v>6.7005099999999998E-2</v>
      </c>
      <c r="D10" s="53">
        <v>6.7005099999999998E-2</v>
      </c>
      <c r="E10" s="53">
        <v>6.6708199999999995E-2</v>
      </c>
      <c r="F10" s="53">
        <v>4.1234899999999998E-2</v>
      </c>
      <c r="G10" s="53">
        <v>2.8616599999999999E-2</v>
      </c>
    </row>
    <row r="11" spans="1:15" ht="15.75" customHeight="1" x14ac:dyDescent="0.25">
      <c r="B11" s="5" t="s">
        <v>110</v>
      </c>
      <c r="C11" s="45">
        <v>8.3697400000000005E-2</v>
      </c>
      <c r="D11" s="53">
        <v>8.3697400000000005E-2</v>
      </c>
      <c r="E11" s="53">
        <v>3.2909599999999997E-2</v>
      </c>
      <c r="F11" s="53">
        <v>2.0369100000000001E-2</v>
      </c>
      <c r="G11" s="53">
        <v>9.887E-3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0.92247155925000002</v>
      </c>
      <c r="D14" s="54">
        <v>0.91737426694000002</v>
      </c>
      <c r="E14" s="54">
        <v>0.91737426694000002</v>
      </c>
      <c r="F14" s="54">
        <v>0.84381044781000003</v>
      </c>
      <c r="G14" s="54">
        <v>0.84381044781000003</v>
      </c>
      <c r="H14" s="45">
        <v>0.32800000000000001</v>
      </c>
      <c r="I14" s="55">
        <v>0.32800000000000001</v>
      </c>
      <c r="J14" s="55">
        <v>0.32800000000000001</v>
      </c>
      <c r="K14" s="55">
        <v>0.32800000000000001</v>
      </c>
      <c r="L14" s="45">
        <v>0.35699999999999998</v>
      </c>
      <c r="M14" s="55">
        <v>0.35699999999999998</v>
      </c>
      <c r="N14" s="55">
        <v>0.35699999999999998</v>
      </c>
      <c r="O14" s="55">
        <v>0.35699999999999998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0.45088933861645208</v>
      </c>
      <c r="D15" s="52">
        <f t="shared" si="0"/>
        <v>0.44839786369200108</v>
      </c>
      <c r="E15" s="52">
        <f t="shared" si="0"/>
        <v>0.44839786369200108</v>
      </c>
      <c r="F15" s="52">
        <f t="shared" si="0"/>
        <v>0.41244104592236314</v>
      </c>
      <c r="G15" s="52">
        <f t="shared" si="0"/>
        <v>0.41244104592236314</v>
      </c>
      <c r="H15" s="52">
        <f t="shared" si="0"/>
        <v>0.16032115200000005</v>
      </c>
      <c r="I15" s="52">
        <f t="shared" si="0"/>
        <v>0.16032115200000005</v>
      </c>
      <c r="J15" s="52">
        <f t="shared" si="0"/>
        <v>0.16032115200000005</v>
      </c>
      <c r="K15" s="52">
        <f t="shared" si="0"/>
        <v>0.16032115200000005</v>
      </c>
      <c r="L15" s="52">
        <f t="shared" si="0"/>
        <v>0.17449588800000004</v>
      </c>
      <c r="M15" s="52">
        <f t="shared" si="0"/>
        <v>0.17449588800000004</v>
      </c>
      <c r="N15" s="52">
        <f t="shared" si="0"/>
        <v>0.17449588800000004</v>
      </c>
      <c r="O15" s="52">
        <f t="shared" si="0"/>
        <v>0.17449588800000004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0.71490070000000006</v>
      </c>
      <c r="D2" s="53">
        <v>0.43867450000000002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0.15027860000000001</v>
      </c>
      <c r="D3" s="53">
        <v>0.1844066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0.1322034</v>
      </c>
      <c r="D4" s="53">
        <v>0.37343589999999999</v>
      </c>
      <c r="E4" s="53">
        <v>0.98593639999999994</v>
      </c>
      <c r="F4" s="53">
        <v>0.8040503</v>
      </c>
      <c r="G4" s="53">
        <v>0</v>
      </c>
    </row>
    <row r="5" spans="1:7" x14ac:dyDescent="0.25">
      <c r="B5" s="3" t="s">
        <v>122</v>
      </c>
      <c r="C5" s="52">
        <v>2.6172999999999999E-3</v>
      </c>
      <c r="D5" s="52">
        <v>3.4830999999999998E-3</v>
      </c>
      <c r="E5" s="52">
        <f>1-SUM(E2:E4)</f>
        <v>1.4063600000000065E-2</v>
      </c>
      <c r="F5" s="52">
        <f>1-SUM(F2:F4)</f>
        <v>0.1959497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opLeftCell="A3" zoomScale="115" zoomScaleNormal="115" workbookViewId="0">
      <selection activeCell="D12" sqref="D12:D13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/>
      <c r="E5" s="38" t="str">
        <f>IF(E$7="","",E$7)</f>
        <v/>
      </c>
    </row>
    <row r="6" spans="1:5" x14ac:dyDescent="0.25">
      <c r="B6" s="32" t="s">
        <v>79</v>
      </c>
      <c r="C6" s="47"/>
      <c r="D6" s="47"/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0.14485257560000001</v>
      </c>
      <c r="C2" s="98">
        <v>0.95</v>
      </c>
      <c r="D2" s="56">
        <v>49.287869290922437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39.684198983342803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277.35471353022348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1.1633680590126969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12.816498427138701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12.816498427138701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12.816498427138701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12.816498427138701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12.816498427138701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12.816498427138701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0.24016136580473399</v>
      </c>
      <c r="C16" s="98">
        <v>0.95</v>
      </c>
      <c r="D16" s="56">
        <v>0.52326422703405329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0.95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6.4352685672608949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</v>
      </c>
      <c r="C19" s="98">
        <v>0.95</v>
      </c>
      <c r="D19" s="56">
        <v>6.4352685672608949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0.57459300000000002</v>
      </c>
      <c r="C21" s="98">
        <v>0.95</v>
      </c>
      <c r="D21" s="56">
        <v>11.985155491425511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22.014584291522841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0.2315497</v>
      </c>
      <c r="C23" s="98">
        <v>0.95</v>
      </c>
      <c r="D23" s="56">
        <v>4.1570370268154289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0.47234171413439402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0.18576395439999999</v>
      </c>
      <c r="C27" s="98">
        <v>0.95</v>
      </c>
      <c r="D27" s="56">
        <v>18.471268288136731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0.60908189999999995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93.696773026618672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1.5479984877076829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0.43867450000000002</v>
      </c>
      <c r="C32" s="98">
        <v>0.95</v>
      </c>
      <c r="D32" s="56">
        <v>1.1034095765662739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0.77940070000000006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0.45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8.1805999999999997E-3</v>
      </c>
      <c r="C38" s="98">
        <v>0.95</v>
      </c>
      <c r="D38" s="56">
        <v>2.4706285348208592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0.88700000000000001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C13" sqref="C13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2.4</v>
      </c>
      <c r="C2" s="21">
        <f>'Baseline year population inputs'!C52</f>
        <v>2.4</v>
      </c>
      <c r="D2" s="21">
        <f>'Baseline year population inputs'!C53</f>
        <v>2.4</v>
      </c>
      <c r="E2" s="21">
        <f>'Baseline year population inputs'!C54</f>
        <v>2.4</v>
      </c>
      <c r="F2" s="21">
        <f>'Baseline year population inputs'!C55</f>
        <v>2.4</v>
      </c>
    </row>
    <row r="3" spans="1:6" ht="15.75" customHeight="1" x14ac:dyDescent="0.25">
      <c r="A3" s="3" t="s">
        <v>204</v>
      </c>
      <c r="B3" s="21">
        <f>frac_mam_1month * 2.6</f>
        <v>0.17421326000000001</v>
      </c>
      <c r="C3" s="21">
        <f>frac_mam_1_5months * 2.6</f>
        <v>0.17421326000000001</v>
      </c>
      <c r="D3" s="21">
        <f>frac_mam_6_11months * 2.6</f>
        <v>0.17344131999999998</v>
      </c>
      <c r="E3" s="21">
        <f>frac_mam_12_23months * 2.6</f>
        <v>0.10721074</v>
      </c>
      <c r="F3" s="21">
        <f>frac_mam_24_59months * 2.6</f>
        <v>7.4403159999999996E-2</v>
      </c>
    </row>
    <row r="4" spans="1:6" ht="15.75" customHeight="1" x14ac:dyDescent="0.25">
      <c r="A4" s="3" t="s">
        <v>205</v>
      </c>
      <c r="B4" s="21">
        <f>frac_sam_1month * 2.6</f>
        <v>0.21761324000000001</v>
      </c>
      <c r="C4" s="21">
        <f>frac_sam_1_5months * 2.6</f>
        <v>0.21761324000000001</v>
      </c>
      <c r="D4" s="21">
        <f>frac_sam_6_11months * 2.6</f>
        <v>8.5564959999999995E-2</v>
      </c>
      <c r="E4" s="21">
        <f>frac_sam_12_23months * 2.6</f>
        <v>5.2959660000000006E-2</v>
      </c>
      <c r="F4" s="21">
        <f>frac_sam_24_59months * 2.6</f>
        <v>2.5706200000000002E-2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1.4999999999999999E-2</v>
      </c>
      <c r="E2" s="60">
        <f>food_insecure</f>
        <v>1.4999999999999999E-2</v>
      </c>
      <c r="F2" s="60">
        <f>food_insecure</f>
        <v>1.4999999999999999E-2</v>
      </c>
      <c r="G2" s="60">
        <f>food_insecure</f>
        <v>1.4999999999999999E-2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1.4999999999999999E-2</v>
      </c>
      <c r="F5" s="60">
        <f>food_insecure</f>
        <v>1.4999999999999999E-2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5.2000000000000011E-2</v>
      </c>
      <c r="D7" s="60">
        <f>diarrhoea_1_5mo*frac_diarrhea_severe</f>
        <v>5.2000000000000011E-2</v>
      </c>
      <c r="E7" s="60">
        <f>diarrhoea_6_11mo*frac_diarrhea_severe</f>
        <v>5.2000000000000011E-2</v>
      </c>
      <c r="F7" s="60">
        <f>diarrhoea_12_23mo*frac_diarrhea_severe</f>
        <v>5.2000000000000011E-2</v>
      </c>
      <c r="G7" s="60">
        <f>diarrhoea_24_59mo*frac_diarrhea_severe</f>
        <v>5.2000000000000011E-2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1.4999999999999999E-2</v>
      </c>
      <c r="F8" s="60">
        <f>food_insecure</f>
        <v>1.4999999999999999E-2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1.4999999999999999E-2</v>
      </c>
      <c r="F9" s="60">
        <f>food_insecure</f>
        <v>1.4999999999999999E-2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5.2000000000000011E-2</v>
      </c>
      <c r="D12" s="60">
        <f>diarrhoea_1_5mo*frac_diarrhea_severe</f>
        <v>5.2000000000000011E-2</v>
      </c>
      <c r="E12" s="60">
        <f>diarrhoea_6_11mo*frac_diarrhea_severe</f>
        <v>5.2000000000000011E-2</v>
      </c>
      <c r="F12" s="60">
        <f>diarrhoea_12_23mo*frac_diarrhea_severe</f>
        <v>5.2000000000000011E-2</v>
      </c>
      <c r="G12" s="60">
        <f>diarrhoea_24_59mo*frac_diarrhea_severe</f>
        <v>5.2000000000000011E-2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1.4999999999999999E-2</v>
      </c>
      <c r="I15" s="60">
        <f>food_insecure</f>
        <v>1.4999999999999999E-2</v>
      </c>
      <c r="J15" s="60">
        <f>food_insecure</f>
        <v>1.4999999999999999E-2</v>
      </c>
      <c r="K15" s="60">
        <f>food_insecure</f>
        <v>1.4999999999999999E-2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0.154</v>
      </c>
      <c r="M24" s="60">
        <f>famplan_unmet_need</f>
        <v>0.154</v>
      </c>
      <c r="N24" s="60">
        <f>famplan_unmet_need</f>
        <v>0.154</v>
      </c>
      <c r="O24" s="60">
        <f>famplan_unmet_need</f>
        <v>0.154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0.14357459206771836</v>
      </c>
      <c r="M25" s="60">
        <f>(1-food_insecure)*(0.49)+food_insecure*(0.7)</f>
        <v>0.49314999999999998</v>
      </c>
      <c r="N25" s="60">
        <f>(1-food_insecure)*(0.49)+food_insecure*(0.7)</f>
        <v>0.49314999999999998</v>
      </c>
      <c r="O25" s="60">
        <f>(1-food_insecure)*(0.49)+food_insecure*(0.7)</f>
        <v>0.49314999999999998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6.1531968029022159E-2</v>
      </c>
      <c r="M26" s="60">
        <f>(1-food_insecure)*(0.21)+food_insecure*(0.3)</f>
        <v>0.21134999999999998</v>
      </c>
      <c r="N26" s="60">
        <f>(1-food_insecure)*(0.21)+food_insecure*(0.3)</f>
        <v>0.21134999999999998</v>
      </c>
      <c r="O26" s="60">
        <f>(1-food_insecure)*(0.21)+food_insecure*(0.3)</f>
        <v>0.21134999999999998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8.6031211509704511E-2</v>
      </c>
      <c r="M27" s="60">
        <f>(1-food_insecure)*(0.3)</f>
        <v>0.29549999999999998</v>
      </c>
      <c r="N27" s="60">
        <f>(1-food_insecure)*(0.3)</f>
        <v>0.29549999999999998</v>
      </c>
      <c r="O27" s="60">
        <f>(1-food_insecure)*(0.3)</f>
        <v>0.29549999999999998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0.70886222839355495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1.56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1.56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1.56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1.56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1.37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1.37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1.37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1.37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1.77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1.77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1.77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1.77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riIqDHxQDNIc95k8WEEMlpv2yK5yRhEl3GZr9d21PG7QnhNwxgtjaWmZN+9widROwyhXiwQ4XZiTM/cZ2Cl95g==" saltValue="b1Xx0XPjIcbtdUQJGdoNkQ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31" zoomScale="85" zoomScaleNormal="85" workbookViewId="0">
      <selection activeCell="D5" sqref="D5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OEa5xq8Dht0iRzVx1fQ1EOJdDm09uSIzQRujIfp/VJ8GNGNECqE8Uut2U6j1omy5Y9ajcKxMUHwzsTWrCb+nAw==" saltValue="Poj67khbkyqhF7WVYd6Cs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topLeftCell="A54" zoomScaleNormal="100" workbookViewId="0">
      <selection activeCell="D5" sqref="D5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rzjjr+eUY+zLxtgvRuigrXBCYk8ZjZeKkvy/Wu7lqFGhk7GKsrVngS9i2Jt2gxX9Fn0pC2b9tyB7+BxRGGivEA==" saltValue="vsQDJsypwJz22iUc18xJ6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6"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0.64</v>
      </c>
      <c r="F6" s="90">
        <v>0.64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v>0.44</v>
      </c>
      <c r="F29" s="90">
        <v>0.44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v>0.92</v>
      </c>
      <c r="F52" s="90">
        <v>0.92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uxH3qxfpHv3MxEVFpMF959vuuHVMbjUY0YDJlIXIgHOAA25UaRTm/IIjRx7RzEUfWaTP3eP7cZpYIm+m6J8PbA==" saltValue="wm1A0TwV/0DyOIoqtNvf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10" zoomScale="70" zoomScaleNormal="70" workbookViewId="0">
      <selection activeCell="D5" sqref="D5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Evf/7Nn9p0s2t120JFgJzNA1BIMAO9h8EmTziKGX5ZA7K3Y+rQ77oXfzNqKwsdbYQwCY96ujjsdxuDmqt1luA==" saltValue="pZcegXbvW/wKpwHEQP8p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D5" sqref="D5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0.53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0.51</v>
      </c>
      <c r="M14" s="90">
        <v>0.51</v>
      </c>
      <c r="N14" s="90">
        <v>0.51</v>
      </c>
      <c r="O14" s="90"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f t="shared" ref="E19:O19" si="0">0.72</f>
        <v>0.72</v>
      </c>
      <c r="F19" s="90">
        <f t="shared" si="0"/>
        <v>0.72</v>
      </c>
      <c r="G19" s="90">
        <f t="shared" si="0"/>
        <v>0.72</v>
      </c>
      <c r="H19" s="90">
        <f t="shared" si="0"/>
        <v>0.72</v>
      </c>
      <c r="I19" s="90">
        <f t="shared" si="0"/>
        <v>0.72</v>
      </c>
      <c r="J19" s="90">
        <f t="shared" si="0"/>
        <v>0.72</v>
      </c>
      <c r="K19" s="90">
        <f t="shared" si="0"/>
        <v>0.72</v>
      </c>
      <c r="L19" s="90">
        <f t="shared" si="0"/>
        <v>0.72</v>
      </c>
      <c r="M19" s="90">
        <f t="shared" si="0"/>
        <v>0.72</v>
      </c>
      <c r="N19" s="90">
        <f t="shared" si="0"/>
        <v>0.72</v>
      </c>
      <c r="O19" s="90">
        <f t="shared" si="0"/>
        <v>0.72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0.8</v>
      </c>
      <c r="F21" s="90">
        <v>0.8</v>
      </c>
      <c r="G21" s="90">
        <v>0.8</v>
      </c>
      <c r="H21" s="90">
        <v>0.8</v>
      </c>
      <c r="I21" s="90">
        <v>0.8</v>
      </c>
      <c r="J21" s="90">
        <v>0.8</v>
      </c>
      <c r="K21" s="90">
        <v>0.8</v>
      </c>
      <c r="L21" s="90">
        <v>0.8</v>
      </c>
      <c r="M21" s="90">
        <v>0.8</v>
      </c>
      <c r="N21" s="90">
        <v>0.8</v>
      </c>
      <c r="O21" s="90">
        <v>0.8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0.4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f>L32</f>
        <v>0.38</v>
      </c>
      <c r="M37" s="90">
        <f>M32</f>
        <v>0.38</v>
      </c>
      <c r="N37" s="90">
        <f>N32</f>
        <v>0.38</v>
      </c>
      <c r="O37" s="90">
        <f>O32</f>
        <v>0.38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0.54</v>
      </c>
      <c r="F42" s="90">
        <v>0.54</v>
      </c>
      <c r="G42" s="90">
        <v>0.54</v>
      </c>
      <c r="H42" s="90">
        <v>0.54</v>
      </c>
      <c r="I42" s="90">
        <v>0.54</v>
      </c>
      <c r="J42" s="90">
        <v>0.54</v>
      </c>
      <c r="K42" s="90">
        <v>0.54</v>
      </c>
      <c r="L42" s="90">
        <v>0.54</v>
      </c>
      <c r="M42" s="90">
        <v>0.54</v>
      </c>
      <c r="N42" s="90">
        <v>0.54</v>
      </c>
      <c r="O42" s="90">
        <v>0.54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1</v>
      </c>
      <c r="F43" s="90">
        <f t="shared" si="11"/>
        <v>1</v>
      </c>
      <c r="G43" s="90">
        <f t="shared" si="11"/>
        <v>1</v>
      </c>
      <c r="H43" s="90">
        <f t="shared" si="11"/>
        <v>1</v>
      </c>
      <c r="I43" s="90">
        <f t="shared" si="11"/>
        <v>1</v>
      </c>
      <c r="J43" s="90">
        <f t="shared" si="11"/>
        <v>1</v>
      </c>
      <c r="K43" s="90">
        <f t="shared" si="11"/>
        <v>1</v>
      </c>
      <c r="L43" s="90">
        <f t="shared" si="11"/>
        <v>1</v>
      </c>
      <c r="M43" s="90">
        <f t="shared" si="11"/>
        <v>1</v>
      </c>
      <c r="N43" s="90">
        <f t="shared" si="11"/>
        <v>1</v>
      </c>
      <c r="O43" s="90">
        <f t="shared" si="11"/>
        <v>1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0.7</v>
      </c>
      <c r="F44" s="90">
        <v>0.7</v>
      </c>
      <c r="G44" s="90">
        <v>0.7</v>
      </c>
      <c r="H44" s="90">
        <v>0.7</v>
      </c>
      <c r="I44" s="90">
        <v>0.7</v>
      </c>
      <c r="J44" s="90">
        <v>0.7</v>
      </c>
      <c r="K44" s="90">
        <v>0.7</v>
      </c>
      <c r="L44" s="90">
        <v>0.7</v>
      </c>
      <c r="M44" s="90">
        <v>0.7</v>
      </c>
      <c r="N44" s="90">
        <v>0.7</v>
      </c>
      <c r="O44" s="90">
        <v>0.7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0.7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f>L54</f>
        <v>0.7</v>
      </c>
      <c r="M60" s="90">
        <f>M54</f>
        <v>0.7</v>
      </c>
      <c r="N60" s="90">
        <f>N54</f>
        <v>0.7</v>
      </c>
      <c r="O60" s="90">
        <f>O54</f>
        <v>0.7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</v>
      </c>
      <c r="F65" s="90">
        <v>0.97</v>
      </c>
      <c r="G65" s="90">
        <v>0.97</v>
      </c>
      <c r="H65" s="90">
        <v>0.97</v>
      </c>
      <c r="I65" s="90">
        <v>0.97</v>
      </c>
      <c r="J65" s="90">
        <v>0.97</v>
      </c>
      <c r="K65" s="90">
        <v>0.97</v>
      </c>
      <c r="L65" s="90">
        <v>0.97</v>
      </c>
      <c r="M65" s="90">
        <v>0.97</v>
      </c>
      <c r="N65" s="90">
        <v>0.97</v>
      </c>
      <c r="O65" s="90">
        <v>0.97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</v>
      </c>
      <c r="F66" s="90">
        <f t="shared" si="22"/>
        <v>1</v>
      </c>
      <c r="G66" s="90">
        <f t="shared" si="22"/>
        <v>1</v>
      </c>
      <c r="H66" s="90">
        <f t="shared" si="22"/>
        <v>1</v>
      </c>
      <c r="I66" s="90">
        <f t="shared" si="22"/>
        <v>1</v>
      </c>
      <c r="J66" s="90">
        <f t="shared" si="22"/>
        <v>1</v>
      </c>
      <c r="K66" s="90">
        <f t="shared" si="22"/>
        <v>1</v>
      </c>
      <c r="L66" s="90">
        <f t="shared" si="22"/>
        <v>1</v>
      </c>
      <c r="M66" s="90">
        <f t="shared" si="22"/>
        <v>1</v>
      </c>
      <c r="N66" s="90">
        <f t="shared" si="22"/>
        <v>1</v>
      </c>
      <c r="O66" s="90">
        <f t="shared" si="22"/>
        <v>1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0.92</v>
      </c>
      <c r="F67" s="90">
        <v>0.92</v>
      </c>
      <c r="G67" s="90">
        <v>0.92</v>
      </c>
      <c r="H67" s="90">
        <v>0.92</v>
      </c>
      <c r="I67" s="90">
        <v>0.92</v>
      </c>
      <c r="J67" s="90">
        <v>0.92</v>
      </c>
      <c r="K67" s="90">
        <v>0.92</v>
      </c>
      <c r="L67" s="90">
        <v>0.92</v>
      </c>
      <c r="M67" s="90">
        <v>0.92</v>
      </c>
      <c r="N67" s="90">
        <v>0.92</v>
      </c>
      <c r="O67" s="90">
        <f>IF(ISBLANK('Nutritional status distribution'!O$14),0.92,(0.92*'Nutritional status distribution'!O$14/(1-0.92*'Nutritional status distribution'!O$14))
/ ('Nutritional status distribution'!O$14/(1-'Nutritional status distribution'!O$14)))</f>
        <v>0.880874382035857</v>
      </c>
    </row>
  </sheetData>
  <sheetProtection algorithmName="SHA-512" hashValue="QTNrTNcX0LQnvnw9OcFIuF8iiKsb7nBsadUCrO1kCxqB4CvEkER3v8YCwNBmR8txM/1IAuOQ/zC/vA8HLWjOhA==" saltValue="f5+QlQPEjGE24L/HhPaCM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ZIjv20oIFeX8hEAP3JXu7+FjYQdIWvRgXIH4IkxRsMm14MAW5JMg2x9QOPJ7rc+IAMFEDvKO0XCydnz4Atw3VA==" saltValue="eIHIWivrA2mRyU/FI0KAAQ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53" zoomScale="80" zoomScaleNormal="80" workbookViewId="0">
      <selection activeCell="D5" sqref="D5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gIF3gzcRwMevsVP9JM+eFJliWIfkjL6RYnVy29HH1zFwKTB/eJc1NVFGROY84dwrfqcI+B8KpOZ1waT1qDgCXQ==" saltValue="0Itsi1W8Rg+oXl6coWpo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SSCu+FR+SN+siPEoAiap+3g3Z0SGqFtJklZqGSbEJvGKfBY2J7BHBpfevFvAYPx8Hf15tBeGKZdJ4ehQEpyLRg==" saltValue="A0PmMaoo+OfazXy7x4UxV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2024-03-28T03:03:43Z</dcterms:modified>
</cp:coreProperties>
</file>