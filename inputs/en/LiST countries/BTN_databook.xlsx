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D0D3B78-BD0C-4D02-A7C2-9A548A95DE4A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5" i="2"/>
  <c r="A34" i="2"/>
  <c r="A33" i="2"/>
  <c r="A32" i="2"/>
  <c r="A31" i="2"/>
  <c r="A29" i="2"/>
  <c r="A27" i="2"/>
  <c r="A26" i="2"/>
  <c r="A25" i="2"/>
  <c r="A24" i="2"/>
  <c r="A23" i="2"/>
  <c r="A21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<sst xmlns="http://schemas.openxmlformats.org/spreadsheetml/2006/main" count="2101" uniqueCount="341">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</sst>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47236.17578125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0.70886222839355495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7.22E-2</v>
      </c>
    </row>
    <row r="24" spans="1:3" ht="15" customHeight="1" x14ac:dyDescent="0.25">
      <c r="B24" s="15" t="s">
        <v>22</v>
      </c>
      <c r="C24" s="45">
        <v>0.55390000000000006</v>
      </c>
    </row>
    <row r="25" spans="1:3" ht="15" customHeight="1" x14ac:dyDescent="0.25">
      <c r="B25" s="15" t="s">
        <v>23</v>
      </c>
      <c r="C25" s="45">
        <v>0.31580000000000003</v>
      </c>
    </row>
    <row r="26" spans="1:3" ht="15" customHeight="1" x14ac:dyDescent="0.25">
      <c r="B26" s="15" t="s">
        <v>24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14.832380000000001</v>
      </c>
    </row>
    <row r="38" spans="1:5" ht="15" customHeight="1" x14ac:dyDescent="0.25">
      <c r="B38" s="11" t="s">
        <v>34</v>
      </c>
      <c r="C38" s="43">
        <v>22.452369999999998</v>
      </c>
      <c r="D38" s="12"/>
      <c r="E38" s="13"/>
    </row>
    <row r="39" spans="1:5" ht="15" customHeight="1" x14ac:dyDescent="0.25">
      <c r="B39" s="11" t="s">
        <v>35</v>
      </c>
      <c r="C39" s="43">
        <v>26.68741</v>
      </c>
      <c r="D39" s="12"/>
      <c r="E39" s="12"/>
    </row>
    <row r="40" spans="1:5" ht="15" customHeight="1" x14ac:dyDescent="0.25">
      <c r="B40" s="11" t="s">
        <v>36</v>
      </c>
      <c r="C40" s="100">
        <v>0.6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1.7845300000000001E-2</v>
      </c>
      <c r="D45" s="12"/>
    </row>
    <row r="46" spans="1:5" ht="15.75" customHeight="1" x14ac:dyDescent="0.25">
      <c r="B46" s="11" t="s">
        <v>41</v>
      </c>
      <c r="C46" s="45">
        <v>0.1060015</v>
      </c>
      <c r="D46" s="12"/>
    </row>
    <row r="47" spans="1:5" ht="15.75" customHeight="1" x14ac:dyDescent="0.25">
      <c r="B47" s="11" t="s">
        <v>42</v>
      </c>
      <c r="C47" s="45">
        <v>0.40820650000000003</v>
      </c>
      <c r="D47" s="12"/>
      <c r="E47" s="13"/>
    </row>
    <row r="48" spans="1:5" ht="15" customHeight="1" x14ac:dyDescent="0.25">
      <c r="B48" s="11" t="s">
        <v>43</v>
      </c>
      <c r="C48" s="46">
        <v>0.46794669999999999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0.48878400000000011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0.11662965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9627</v>
      </c>
      <c r="C2" s="49">
        <v>39163.5</v>
      </c>
      <c r="D2" s="49">
        <v>70023</v>
      </c>
      <c r="E2" s="49">
        <v>70512.5</v>
      </c>
      <c r="F2" s="49">
        <v>43830.5</v>
      </c>
      <c r="G2" s="17">
        <f t="shared" ref="G2:G13" si="0">C2+D2+E2+F2</f>
        <v>223529.5</v>
      </c>
      <c r="H2" s="17">
        <f t="shared" ref="H2:H13" si="1">(B2 + stillbirth*B2/(1000-stillbirth))/(1-abortion)</f>
        <v>11039.296288640373</v>
      </c>
      <c r="I2" s="17">
        <f t="shared" ref="I2:I13" si="2">G2-H2</f>
        <v>212490.20371135962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9648</v>
      </c>
      <c r="C3" s="50">
        <v>38404.5</v>
      </c>
      <c r="D3" s="50">
        <v>69977</v>
      </c>
      <c r="E3" s="50">
        <v>71410</v>
      </c>
      <c r="F3" s="50">
        <v>45765.5</v>
      </c>
      <c r="G3" s="17">
        <f t="shared" si="0"/>
        <v>225557</v>
      </c>
      <c r="H3" s="17">
        <f t="shared" si="1"/>
        <v>11063.377022208613</v>
      </c>
      <c r="I3" s="17">
        <f t="shared" si="2"/>
        <v>214493.62297779138</v>
      </c>
    </row>
    <row r="4" spans="1:9" ht="15.75" customHeight="1" x14ac:dyDescent="0.25">
      <c r="A4" s="5">
        <f t="shared" si="3"/>
        <v>2026</v>
      </c>
      <c r="B4" s="49">
        <v>9621</v>
      </c>
      <c r="C4" s="50">
        <v>37872.5</v>
      </c>
      <c r="D4" s="50">
        <v>69864</v>
      </c>
      <c r="E4" s="50">
        <v>71877</v>
      </c>
      <c r="F4" s="50">
        <v>47694.5</v>
      </c>
      <c r="G4" s="17">
        <f t="shared" si="0"/>
        <v>227308</v>
      </c>
      <c r="H4" s="17">
        <f t="shared" si="1"/>
        <v>11032.416079049446</v>
      </c>
      <c r="I4" s="17">
        <f t="shared" si="2"/>
        <v>216275.58392095056</v>
      </c>
    </row>
    <row r="5" spans="1:9" ht="15.75" customHeight="1" x14ac:dyDescent="0.25">
      <c r="A5" s="5">
        <f t="shared" si="3"/>
        <v>2027</v>
      </c>
      <c r="B5" s="49">
        <v>9638</v>
      </c>
      <c r="C5" s="50">
        <v>37530</v>
      </c>
      <c r="D5" s="50">
        <v>69606.5</v>
      </c>
      <c r="E5" s="50">
        <v>71946.5</v>
      </c>
      <c r="F5" s="50">
        <v>49607.499999999993</v>
      </c>
      <c r="G5" s="17">
        <f t="shared" si="0"/>
        <v>228690.5</v>
      </c>
      <c r="H5" s="17">
        <f t="shared" si="1"/>
        <v>11051.910006223736</v>
      </c>
      <c r="I5" s="17">
        <f t="shared" si="2"/>
        <v>217638.58999377626</v>
      </c>
    </row>
    <row r="6" spans="1:9" ht="15.75" customHeight="1" x14ac:dyDescent="0.25">
      <c r="A6" s="5">
        <f t="shared" si="3"/>
        <v>2028</v>
      </c>
      <c r="B6" s="49">
        <v>9611</v>
      </c>
      <c r="C6" s="50">
        <v>37177.499999999993</v>
      </c>
      <c r="D6" s="50">
        <v>69153.500000000015</v>
      </c>
      <c r="E6" s="50">
        <v>71689.5</v>
      </c>
      <c r="F6" s="50">
        <v>51489.5</v>
      </c>
      <c r="G6" s="17">
        <f t="shared" si="0"/>
        <v>229510</v>
      </c>
      <c r="H6" s="17">
        <f t="shared" si="1"/>
        <v>11020.949063064572</v>
      </c>
      <c r="I6" s="17">
        <f t="shared" si="2"/>
        <v>218489.05093693544</v>
      </c>
    </row>
    <row r="7" spans="1:9" ht="15.75" customHeight="1" x14ac:dyDescent="0.25">
      <c r="A7" s="5">
        <f t="shared" si="3"/>
        <v>2029</v>
      </c>
      <c r="B7" s="49">
        <v>9626</v>
      </c>
      <c r="C7" s="50">
        <v>36577.5</v>
      </c>
      <c r="D7" s="50">
        <v>68527</v>
      </c>
      <c r="E7" s="50">
        <v>71245</v>
      </c>
      <c r="F7" s="50">
        <v>53412.5</v>
      </c>
      <c r="G7" s="17">
        <f t="shared" si="0"/>
        <v>229762</v>
      </c>
      <c r="H7" s="17">
        <f t="shared" si="1"/>
        <v>11038.149587041884</v>
      </c>
      <c r="I7" s="17">
        <f t="shared" si="2"/>
        <v>218723.85041295813</v>
      </c>
    </row>
    <row r="8" spans="1:9" ht="15.75" customHeight="1" x14ac:dyDescent="0.25">
      <c r="A8" s="5">
        <f t="shared" si="3"/>
        <v>2030</v>
      </c>
      <c r="B8" s="49">
        <v>9591</v>
      </c>
      <c r="C8" s="50">
        <v>35763.5</v>
      </c>
      <c r="D8" s="50">
        <v>67781</v>
      </c>
      <c r="E8" s="50">
        <v>70768.5</v>
      </c>
      <c r="F8" s="50">
        <v>55407</v>
      </c>
      <c r="G8" s="17">
        <f t="shared" si="0"/>
        <v>229720</v>
      </c>
      <c r="H8" s="17">
        <f t="shared" si="1"/>
        <v>10998.015031094819</v>
      </c>
      <c r="I8" s="17">
        <f t="shared" si="2"/>
        <v>218721.98496890519</v>
      </c>
    </row>
    <row r="9" spans="1:9" ht="15.75" customHeight="1" x14ac:dyDescent="0.25">
      <c r="A9" s="5">
        <f t="shared" si="3"/>
        <v>2031</v>
      </c>
      <c r="B9" s="49">
        <v>9569</v>
      </c>
      <c r="C9" s="50">
        <v>34889.5</v>
      </c>
      <c r="D9" s="50">
        <v>66962.5</v>
      </c>
      <c r="E9" s="50">
        <v>70355</v>
      </c>
      <c r="F9" s="50">
        <v>57417</v>
      </c>
      <c r="G9" s="17">
        <f t="shared" si="0"/>
        <v>229624</v>
      </c>
      <c r="H9" s="17">
        <f t="shared" si="1"/>
        <v>10972.78759592809</v>
      </c>
      <c r="I9" s="17">
        <f t="shared" si="2"/>
        <v>218651.21240407191</v>
      </c>
    </row>
    <row r="10" spans="1:9" ht="15.75" customHeight="1" x14ac:dyDescent="0.25">
      <c r="A10" s="5">
        <f t="shared" si="3"/>
        <v>2032</v>
      </c>
      <c r="B10" s="49">
        <v>9524</v>
      </c>
      <c r="C10" s="50">
        <v>33809.5</v>
      </c>
      <c r="D10" s="50">
        <v>66094.5</v>
      </c>
      <c r="E10" s="50">
        <v>70064.5</v>
      </c>
      <c r="F10" s="50">
        <v>59344</v>
      </c>
      <c r="G10" s="17">
        <f t="shared" si="0"/>
        <v>229312.5</v>
      </c>
      <c r="H10" s="17">
        <f t="shared" si="1"/>
        <v>10921.186023996146</v>
      </c>
      <c r="I10" s="17">
        <f t="shared" si="2"/>
        <v>218391.31397600385</v>
      </c>
    </row>
    <row r="11" spans="1:9" ht="15.75" customHeight="1" x14ac:dyDescent="0.25">
      <c r="A11" s="5">
        <f t="shared" si="3"/>
        <v>2033</v>
      </c>
      <c r="B11" s="49">
        <v>9460</v>
      </c>
      <c r="C11" s="50">
        <v>32467</v>
      </c>
      <c r="D11" s="50">
        <v>65134.5</v>
      </c>
      <c r="E11" s="50">
        <v>69925</v>
      </c>
      <c r="F11" s="50">
        <v>61062.5</v>
      </c>
      <c r="G11" s="17">
        <f t="shared" si="0"/>
        <v>228589</v>
      </c>
      <c r="H11" s="17">
        <f t="shared" si="1"/>
        <v>10847.79712169294</v>
      </c>
      <c r="I11" s="17">
        <f t="shared" si="2"/>
        <v>217741.20287830706</v>
      </c>
    </row>
    <row r="12" spans="1:9" ht="15.75" customHeight="1" x14ac:dyDescent="0.25">
      <c r="A12" s="5">
        <f t="shared" si="3"/>
        <v>2034</v>
      </c>
      <c r="B12" s="49">
        <v>9367</v>
      </c>
      <c r="C12" s="50">
        <v>31163.5</v>
      </c>
      <c r="D12" s="50">
        <v>63999.5</v>
      </c>
      <c r="E12" s="50">
        <v>69883</v>
      </c>
      <c r="F12" s="50">
        <v>62473.5</v>
      </c>
      <c r="G12" s="17">
        <f t="shared" si="0"/>
        <v>227519.5</v>
      </c>
      <c r="H12" s="17">
        <f t="shared" si="1"/>
        <v>10741.153873033591</v>
      </c>
      <c r="I12" s="17">
        <f t="shared" si="2"/>
        <v>216778.34612696641</v>
      </c>
    </row>
    <row r="13" spans="1:9" ht="15.75" customHeight="1" x14ac:dyDescent="0.25">
      <c r="A13" s="5">
        <f t="shared" si="3"/>
        <v>2035</v>
      </c>
      <c r="B13" s="49">
        <v>9314</v>
      </c>
      <c r="C13" s="50">
        <v>30166</v>
      </c>
      <c r="D13" s="50">
        <v>62649</v>
      </c>
      <c r="E13" s="50">
        <v>69849.000000000015</v>
      </c>
      <c r="F13" s="50">
        <v>63505.000000000007</v>
      </c>
      <c r="G13" s="17">
        <f t="shared" si="0"/>
        <v>226169</v>
      </c>
      <c r="H13" s="17">
        <f t="shared" si="1"/>
        <v>10680.378688313745</v>
      </c>
      <c r="I13" s="17">
        <f t="shared" si="2"/>
        <v>215488.62131168626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8.1525008152500862E-3</v>
      </c>
    </row>
    <row r="4" spans="1:8" ht="15.75" customHeight="1" x14ac:dyDescent="0.25">
      <c r="B4" s="19" t="s">
        <v>69</v>
      </c>
      <c r="C4" s="101">
        <v>4.5061404506140379E-2</v>
      </c>
    </row>
    <row r="5" spans="1:8" ht="15.75" customHeight="1" x14ac:dyDescent="0.25">
      <c r="B5" s="19" t="s">
        <v>70</v>
      </c>
      <c r="C5" s="101">
        <v>4.9024504902450451E-2</v>
      </c>
    </row>
    <row r="6" spans="1:8" ht="15.75" customHeight="1" x14ac:dyDescent="0.25">
      <c r="B6" s="19" t="s">
        <v>71</v>
      </c>
      <c r="C6" s="101">
        <v>0.2038836203883623</v>
      </c>
    </row>
    <row r="7" spans="1:8" ht="15.75" customHeight="1" x14ac:dyDescent="0.25">
      <c r="B7" s="19" t="s">
        <v>72</v>
      </c>
      <c r="C7" s="101">
        <v>0.43088424308842432</v>
      </c>
    </row>
    <row r="8" spans="1:8" ht="15.75" customHeight="1" x14ac:dyDescent="0.25">
      <c r="B8" s="19" t="s">
        <v>73</v>
      </c>
      <c r="C8" s="101">
        <v>8.3170008317000766E-4</v>
      </c>
    </row>
    <row r="9" spans="1:8" ht="15.75" customHeight="1" x14ac:dyDescent="0.25">
      <c r="B9" s="19" t="s">
        <v>74</v>
      </c>
      <c r="C9" s="101">
        <v>0.14651341465134141</v>
      </c>
    </row>
    <row r="10" spans="1:8" ht="15.75" customHeight="1" x14ac:dyDescent="0.25">
      <c r="B10" s="19" t="s">
        <v>75</v>
      </c>
      <c r="C10" s="101">
        <v>0.1156486115648612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82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83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84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87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88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89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2.0391851999999999E-2</v>
      </c>
    </row>
    <row r="27" spans="1:8" ht="15.75" customHeight="1" x14ac:dyDescent="0.25">
      <c r="B27" s="19" t="s">
        <v>92</v>
      </c>
      <c r="C27" s="101">
        <v>1.2112826E-2</v>
      </c>
    </row>
    <row r="28" spans="1:8" ht="15.75" customHeight="1" x14ac:dyDescent="0.25">
      <c r="B28" s="19" t="s">
        <v>93</v>
      </c>
      <c r="C28" s="101">
        <v>0.20645870999999999</v>
      </c>
    </row>
    <row r="29" spans="1:8" ht="15.75" customHeight="1" x14ac:dyDescent="0.25">
      <c r="B29" s="19" t="s">
        <v>94</v>
      </c>
      <c r="C29" s="101">
        <v>0.14582909399999999</v>
      </c>
    </row>
    <row r="30" spans="1:8" ht="15.75" customHeight="1" x14ac:dyDescent="0.25">
      <c r="B30" s="19" t="s">
        <v>95</v>
      </c>
      <c r="C30" s="101">
        <v>4.8967666E-2</v>
      </c>
    </row>
    <row r="31" spans="1:8" ht="15.75" customHeight="1" x14ac:dyDescent="0.25">
      <c r="B31" s="19" t="s">
        <v>96</v>
      </c>
      <c r="C31" s="101">
        <v>9.2788695000000004E-2</v>
      </c>
    </row>
    <row r="32" spans="1:8" ht="15.75" customHeight="1" x14ac:dyDescent="0.25">
      <c r="B32" s="19" t="s">
        <v>97</v>
      </c>
      <c r="C32" s="101">
        <v>1.0910125E-2</v>
      </c>
    </row>
    <row r="33" spans="2:3" ht="15.75" customHeight="1" x14ac:dyDescent="0.25">
      <c r="B33" s="19" t="s">
        <v>98</v>
      </c>
      <c r="C33" s="101">
        <v>0.3714693</v>
      </c>
    </row>
    <row r="34" spans="2:3" ht="15.75" customHeight="1" x14ac:dyDescent="0.25">
      <c r="B34" s="19" t="s">
        <v>99</v>
      </c>
      <c r="C34" s="101">
        <v>9.1071732999999988E-2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104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105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109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110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122</v>
      </c>
      <c r="C5" s="52">
        <v>2.6172999999999999E-3</v>
      </c>
      <c r="D5" s="52">
        <v>3.4830999999999998E-3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49.287869290922437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39.684198983342803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277.35471353022348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1.234217173806571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12.816498427138701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12.816498427138701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12.816498427138701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12.816498427138701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12.816498427138701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12.816498427138701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0.52326422703405329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0.43867450000000002</v>
      </c>
      <c r="C18" s="98">
        <v>0.95</v>
      </c>
      <c r="D18" s="56">
        <v>6.4352685672608949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0.43867450000000002</v>
      </c>
      <c r="C19" s="98">
        <v>0.95</v>
      </c>
      <c r="D19" s="56">
        <v>6.4352685672608949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11.985155491425511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22.014584291522841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4.1570370268154289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0.45138522009439402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18.471268288136731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0.60908189999999995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0.88700000000000001</v>
      </c>
      <c r="C29" s="98">
        <v>0.95</v>
      </c>
      <c r="D29" s="56">
        <v>93.696773026618672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1.5479984877076829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0.45</v>
      </c>
      <c r="C32" s="98">
        <v>0.95</v>
      </c>
      <c r="D32" s="56">
        <v>1.1034095765662739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0.93204179999999992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0.57459300000000002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0.2315497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8.1805999999999997E-3</v>
      </c>
      <c r="C38" s="98">
        <v>0.95</v>
      </c>
      <c r="D38" s="56">
        <v>2.4706285348208592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205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0.10676644450803996</v>
      </c>
      <c r="G18" s="90">
        <f>MIN(MAX(1-0.89/(1-frac_sam_12_23months+(frac_sam_12_23months*0.89)),0),1)</f>
        <v>0.10800138701574891</v>
      </c>
      <c r="H18" s="90">
        <f>MIN(MAX(1-0.89/(1-frac_sam_24_59months+(frac_sam_24_59months*0.89)),0),1)</f>
        <v>0.10903100885429973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0.10342099109741576</v>
      </c>
      <c r="G20" s="90">
        <f>MIN(MAX(1-0.89/(1-frac_mam_12_23months+(frac_mam_12_23months*0.89)),0),1)</f>
        <v>0.10594470914357712</v>
      </c>
      <c r="H20" s="90">
        <f>MIN(MAX(1-0.89/(1-frac_mam_24_59months+(frac_mam_24_59months*0.89)),0),1)</f>
        <v>0.10718958817257895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9.6740877035669248E-3</v>
      </c>
      <c r="G73" s="90">
        <f>MIN(MAX(1-0.99/(1-frac_sam_12_23months+(frac_sam_12_23months*0.99)),0),1)</f>
        <v>9.7983048265083417E-3</v>
      </c>
      <c r="H73" s="90">
        <f>MIN(MAX(1-0.99/(1-frac_sam_24_59months+(frac_sam_24_59months*0.99)),0),1)</f>
        <v>9.9021090215190011E-3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9.3391479775111197E-3</v>
      </c>
      <c r="G75" s="90">
        <f>MIN(MAX(1-0.99/(1-frac_mam_12_23months+(frac_mam_12_23months*0.99)),0),1)</f>
        <v>9.5916060891793054E-3</v>
      </c>
      <c r="H75" s="90">
        <f>MIN(MAX(1-0.99/(1-frac_mam_24_59months+(frac_mam_24_59months*0.99)),0),1)</f>
        <v>9.7166145647236135E-3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0.19469957704011176</v>
      </c>
      <c r="G128" s="90">
        <f>MIN(MAX(1-0.8/(1-frac_sam_12_23months+(frac_sam_12_23months*0.8)),0),1)</f>
        <v>0.19672761288391871</v>
      </c>
      <c r="H128" s="90">
        <f>MIN(MAX(1-0.8/(1-frac_sam_24_59months+(frac_sam_24_59months*0.8)),0),1)</f>
        <v>0.19841494571365415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0.18918236298124502</v>
      </c>
      <c r="G130" s="90">
        <f>MIN(MAX(1-0.8/(1-frac_mam_12_23months+(frac_mam_12_23months*0.8)),0),1)</f>
        <v>0.19334755340598808</v>
      </c>
      <c r="H130" s="90">
        <f>MIN(MAX(1-0.8/(1-frac_mam_24_59months+(frac_mam_24_59months*0.8)),0),1)</f>
        <v>0.19539498804296607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2024-08-06T06:31:03Z</dcterms:modified>
</cp:coreProperties>
</file>