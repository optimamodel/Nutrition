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A423943B-5BC1-42B9-BDCB-37349F9CF101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24" i="2"/>
  <c r="A23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1" i="2"/>
  <c r="A34" i="2"/>
  <c r="A40" i="2"/>
  <c r="I2" i="2"/>
  <c r="I6" i="2"/>
  <c r="A19" i="2"/>
  <c r="A35" i="2"/>
  <c r="I3" i="2"/>
  <c r="I7" i="2"/>
  <c r="I11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<sst xmlns="http://schemas.openxmlformats.org/spreadsheetml/2006/main" count="2169" uniqueCount="373">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</sst>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48777.5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0.70886222839355495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7.22E-2</v>
      </c>
    </row>
    <row r="24" spans="1:3" ht="15" customHeight="1" x14ac:dyDescent="0.25">
      <c r="B24" s="15" t="s">
        <v>22</v>
      </c>
      <c r="C24" s="45">
        <v>0.55390000000000006</v>
      </c>
    </row>
    <row r="25" spans="1:3" ht="15" customHeight="1" x14ac:dyDescent="0.25">
      <c r="B25" s="15" t="s">
        <v>23</v>
      </c>
      <c r="C25" s="45">
        <v>0.31580000000000003</v>
      </c>
    </row>
    <row r="26" spans="1:3" ht="15" customHeight="1" x14ac:dyDescent="0.25">
      <c r="B26" s="15" t="s">
        <v>24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0.41227810089419697</v>
      </c>
    </row>
    <row r="30" spans="1:3" ht="14.25" customHeight="1" x14ac:dyDescent="0.25">
      <c r="B30" s="25" t="s">
        <v>27</v>
      </c>
      <c r="C30" s="97">
        <v>4.1696555750580601E-2</v>
      </c>
    </row>
    <row r="31" spans="1:3" ht="14.25" customHeight="1" x14ac:dyDescent="0.25">
      <c r="B31" s="25" t="s">
        <v>28</v>
      </c>
      <c r="C31" s="97">
        <v>7.5022305717839008E-2</v>
      </c>
    </row>
    <row r="32" spans="1:3" ht="14.25" customHeight="1" x14ac:dyDescent="0.25">
      <c r="B32" s="25" t="s">
        <v>29</v>
      </c>
      <c r="C32" s="97">
        <v>0.47100303763738299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14.832380000000001</v>
      </c>
    </row>
    <row r="38" spans="1:5" ht="15" customHeight="1" x14ac:dyDescent="0.25">
      <c r="B38" s="11" t="s">
        <v>34</v>
      </c>
      <c r="C38" s="43">
        <v>22.452369999999998</v>
      </c>
      <c r="D38" s="12"/>
      <c r="E38" s="13"/>
    </row>
    <row r="39" spans="1:5" ht="15" customHeight="1" x14ac:dyDescent="0.25">
      <c r="B39" s="11" t="s">
        <v>35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98">
        <v>0.6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1.7845300000000001E-2</v>
      </c>
      <c r="D45" s="12"/>
    </row>
    <row r="46" spans="1:5" ht="15.75" customHeight="1" x14ac:dyDescent="0.25">
      <c r="B46" s="11" t="s">
        <v>41</v>
      </c>
      <c r="C46" s="45">
        <v>0.1060015</v>
      </c>
      <c r="D46" s="12"/>
    </row>
    <row r="47" spans="1:5" ht="15.75" customHeight="1" x14ac:dyDescent="0.25">
      <c r="B47" s="11" t="s">
        <v>42</v>
      </c>
      <c r="C47" s="45">
        <v>0.40820650000000003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2.4</v>
      </c>
      <c r="D51" s="12"/>
    </row>
    <row r="52" spans="1:4" ht="15" customHeight="1" x14ac:dyDescent="0.25">
      <c r="B52" s="11" t="s">
        <v>46</v>
      </c>
      <c r="C52" s="98">
        <v>2.4</v>
      </c>
    </row>
    <row r="53" spans="1:4" ht="15.75" customHeight="1" x14ac:dyDescent="0.25">
      <c r="B53" s="11" t="s">
        <v>47</v>
      </c>
      <c r="C53" s="98">
        <v>2.4</v>
      </c>
    </row>
    <row r="54" spans="1:4" ht="15.75" customHeight="1" x14ac:dyDescent="0.25">
      <c r="B54" s="11" t="s">
        <v>48</v>
      </c>
      <c r="C54" s="98">
        <v>2.4</v>
      </c>
    </row>
    <row r="55" spans="1:4" ht="15.75" customHeight="1" x14ac:dyDescent="0.25">
      <c r="B55" s="11" t="s">
        <v>49</v>
      </c>
      <c r="C55" s="98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0.48878400000000011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0.11662965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9914</v>
      </c>
      <c r="C2" s="49">
        <v>32519.5</v>
      </c>
      <c r="D2" s="49">
        <v>68863</v>
      </c>
      <c r="E2" s="49">
        <v>69154</v>
      </c>
      <c r="F2" s="49">
        <v>49026.5</v>
      </c>
      <c r="G2" s="17">
        <f t="shared" ref="G2:G13" si="0">C2+D2+E2+F2</f>
        <v>219563</v>
      </c>
      <c r="H2" s="17">
        <f t="shared" ref="H2:H13" si="1">(B2 + stillbirth*B2/(1000-stillbirth))/(1-abortion)</f>
        <v>11368.399647406322</v>
      </c>
      <c r="I2" s="17">
        <f t="shared" ref="I2:I13" si="2">G2-H2</f>
        <v>208194.60035259367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9836</v>
      </c>
      <c r="C3" s="50">
        <v>31838</v>
      </c>
      <c r="D3" s="50">
        <v>69018.5</v>
      </c>
      <c r="E3" s="50">
        <v>69732</v>
      </c>
      <c r="F3" s="50">
        <v>51090.500000000007</v>
      </c>
      <c r="G3" s="17">
        <f t="shared" si="0"/>
        <v>221679</v>
      </c>
      <c r="H3" s="17">
        <f t="shared" si="1"/>
        <v>11278.956922724286</v>
      </c>
      <c r="I3" s="17">
        <f t="shared" si="2"/>
        <v>210400.04307727571</v>
      </c>
    </row>
    <row r="4" spans="1:9" ht="15.75" customHeight="1" x14ac:dyDescent="0.25">
      <c r="A4" s="5">
        <f t="shared" si="3"/>
        <v>2026</v>
      </c>
      <c r="B4" s="49">
        <v>9783</v>
      </c>
      <c r="C4" s="50">
        <v>31352</v>
      </c>
      <c r="D4" s="50">
        <v>69237</v>
      </c>
      <c r="E4" s="50">
        <v>69916</v>
      </c>
      <c r="F4" s="50">
        <v>53180.499999999993</v>
      </c>
      <c r="G4" s="17">
        <f t="shared" si="0"/>
        <v>223685.5</v>
      </c>
      <c r="H4" s="17">
        <f t="shared" si="1"/>
        <v>11218.181738004443</v>
      </c>
      <c r="I4" s="17">
        <f t="shared" si="2"/>
        <v>212467.31826199556</v>
      </c>
    </row>
    <row r="5" spans="1:9" ht="15.75" customHeight="1" x14ac:dyDescent="0.25">
      <c r="A5" s="5">
        <f t="shared" si="3"/>
        <v>2027</v>
      </c>
      <c r="B5" s="49">
        <v>9747</v>
      </c>
      <c r="C5" s="50">
        <v>31086.5</v>
      </c>
      <c r="D5" s="50">
        <v>69304</v>
      </c>
      <c r="E5" s="50">
        <v>69673</v>
      </c>
      <c r="F5" s="50">
        <v>55236.000000000007</v>
      </c>
      <c r="G5" s="17">
        <f t="shared" si="0"/>
        <v>225299.5</v>
      </c>
      <c r="H5" s="17">
        <f t="shared" si="1"/>
        <v>11176.900480458889</v>
      </c>
      <c r="I5" s="17">
        <f t="shared" si="2"/>
        <v>214122.59951954111</v>
      </c>
    </row>
    <row r="6" spans="1:9" ht="15.75" customHeight="1" x14ac:dyDescent="0.25">
      <c r="A6" s="5">
        <f t="shared" si="3"/>
        <v>2028</v>
      </c>
      <c r="B6" s="49">
        <v>9698</v>
      </c>
      <c r="C6" s="50">
        <v>30932.5</v>
      </c>
      <c r="D6" s="50">
        <v>69156.5</v>
      </c>
      <c r="E6" s="50">
        <v>69083.5</v>
      </c>
      <c r="F6" s="50">
        <v>57251.999999999993</v>
      </c>
      <c r="G6" s="17">
        <f t="shared" si="0"/>
        <v>226424.5</v>
      </c>
      <c r="H6" s="17">
        <f t="shared" si="1"/>
        <v>11120.712102132995</v>
      </c>
      <c r="I6" s="17">
        <f t="shared" si="2"/>
        <v>215303.78789786701</v>
      </c>
    </row>
    <row r="7" spans="1:9" ht="15.75" customHeight="1" x14ac:dyDescent="0.25">
      <c r="A7" s="5">
        <f t="shared" si="3"/>
        <v>2029</v>
      </c>
      <c r="B7" s="49">
        <v>9668</v>
      </c>
      <c r="C7" s="50">
        <v>30662.5</v>
      </c>
      <c r="D7" s="50">
        <v>68841.000000000015</v>
      </c>
      <c r="E7" s="50">
        <v>68323.5</v>
      </c>
      <c r="F7" s="50">
        <v>59227.500000000007</v>
      </c>
      <c r="G7" s="17">
        <f t="shared" si="0"/>
        <v>227054.5</v>
      </c>
      <c r="H7" s="17">
        <f t="shared" si="1"/>
        <v>11086.311054178366</v>
      </c>
      <c r="I7" s="17">
        <f t="shared" si="2"/>
        <v>215968.18894582163</v>
      </c>
    </row>
    <row r="8" spans="1:9" ht="15.75" customHeight="1" x14ac:dyDescent="0.25">
      <c r="A8" s="5">
        <f t="shared" si="3"/>
        <v>2030</v>
      </c>
      <c r="B8" s="49">
        <v>9625</v>
      </c>
      <c r="C8" s="50">
        <v>30070.5</v>
      </c>
      <c r="D8" s="50">
        <v>68412</v>
      </c>
      <c r="E8" s="50">
        <v>67573.000000000015</v>
      </c>
      <c r="F8" s="50">
        <v>61128.5</v>
      </c>
      <c r="G8" s="17">
        <f t="shared" si="0"/>
        <v>227184</v>
      </c>
      <c r="H8" s="17">
        <f t="shared" si="1"/>
        <v>11037.002885443399</v>
      </c>
      <c r="I8" s="17">
        <f t="shared" si="2"/>
        <v>216146.99711455661</v>
      </c>
    </row>
    <row r="9" spans="1:9" ht="15.75" customHeight="1" x14ac:dyDescent="0.25">
      <c r="A9" s="5">
        <f t="shared" si="3"/>
        <v>2031</v>
      </c>
      <c r="B9" s="49">
        <v>9598</v>
      </c>
      <c r="C9" s="50">
        <v>29250</v>
      </c>
      <c r="D9" s="50">
        <v>67947.499999999985</v>
      </c>
      <c r="E9" s="50">
        <v>66979.5</v>
      </c>
      <c r="F9" s="50">
        <v>62922.5</v>
      </c>
      <c r="G9" s="17">
        <f t="shared" si="0"/>
        <v>227099.5</v>
      </c>
      <c r="H9" s="17">
        <f t="shared" si="1"/>
        <v>11006.041942284231</v>
      </c>
      <c r="I9" s="17">
        <f t="shared" si="2"/>
        <v>216093.45805771576</v>
      </c>
    </row>
    <row r="10" spans="1:9" ht="15.75" customHeight="1" x14ac:dyDescent="0.25">
      <c r="A10" s="5">
        <f t="shared" si="3"/>
        <v>2032</v>
      </c>
      <c r="B10" s="49">
        <v>9573</v>
      </c>
      <c r="C10" s="50">
        <v>28212</v>
      </c>
      <c r="D10" s="50">
        <v>67413.5</v>
      </c>
      <c r="E10" s="50">
        <v>66604</v>
      </c>
      <c r="F10" s="50">
        <v>64524</v>
      </c>
      <c r="G10" s="17">
        <f t="shared" si="0"/>
        <v>226753.5</v>
      </c>
      <c r="H10" s="17">
        <f t="shared" si="1"/>
        <v>10977.374402322041</v>
      </c>
      <c r="I10" s="17">
        <f t="shared" si="2"/>
        <v>215776.12559767795</v>
      </c>
    </row>
    <row r="11" spans="1:9" ht="15.75" customHeight="1" x14ac:dyDescent="0.25">
      <c r="A11" s="5">
        <f t="shared" si="3"/>
        <v>2033</v>
      </c>
      <c r="B11" s="49">
        <v>9548</v>
      </c>
      <c r="C11" s="50">
        <v>26920</v>
      </c>
      <c r="D11" s="50">
        <v>66707.500000000015</v>
      </c>
      <c r="E11" s="50">
        <v>66465</v>
      </c>
      <c r="F11" s="50">
        <v>65844</v>
      </c>
      <c r="G11" s="17">
        <f t="shared" si="0"/>
        <v>225936.5</v>
      </c>
      <c r="H11" s="17">
        <f t="shared" si="1"/>
        <v>10948.70686235985</v>
      </c>
      <c r="I11" s="17">
        <f t="shared" si="2"/>
        <v>214987.79313764014</v>
      </c>
    </row>
    <row r="12" spans="1:9" ht="15.75" customHeight="1" x14ac:dyDescent="0.25">
      <c r="A12" s="5">
        <f t="shared" si="3"/>
        <v>2034</v>
      </c>
      <c r="B12" s="49">
        <v>9509</v>
      </c>
      <c r="C12" s="50">
        <v>25616</v>
      </c>
      <c r="D12" s="50">
        <v>65704.5</v>
      </c>
      <c r="E12" s="50">
        <v>66489</v>
      </c>
      <c r="F12" s="50">
        <v>66811</v>
      </c>
      <c r="G12" s="17">
        <f t="shared" si="0"/>
        <v>224620.5</v>
      </c>
      <c r="H12" s="17">
        <f t="shared" si="1"/>
        <v>10903.985500018835</v>
      </c>
      <c r="I12" s="17">
        <f t="shared" si="2"/>
        <v>213716.51449998116</v>
      </c>
    </row>
    <row r="13" spans="1:9" ht="15.75" customHeight="1" x14ac:dyDescent="0.25">
      <c r="A13" s="5">
        <f t="shared" si="3"/>
        <v>2035</v>
      </c>
      <c r="B13" s="49">
        <v>9449</v>
      </c>
      <c r="C13" s="50">
        <v>24696</v>
      </c>
      <c r="D13" s="50">
        <v>64461</v>
      </c>
      <c r="E13" s="50">
        <v>66633.5</v>
      </c>
      <c r="F13" s="50">
        <v>67383.5</v>
      </c>
      <c r="G13" s="17">
        <f t="shared" si="0"/>
        <v>223174</v>
      </c>
      <c r="H13" s="17">
        <f t="shared" si="1"/>
        <v>10835.183404109575</v>
      </c>
      <c r="I13" s="17">
        <f t="shared" si="2"/>
        <v>212338.81659589041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8.1525008152500862E-3</v>
      </c>
    </row>
    <row r="4" spans="1:8" ht="15.75" customHeight="1" x14ac:dyDescent="0.25">
      <c r="B4" s="19" t="s">
        <v>69</v>
      </c>
      <c r="C4" s="99">
        <v>4.5061404506140379E-2</v>
      </c>
    </row>
    <row r="5" spans="1:8" ht="15.75" customHeight="1" x14ac:dyDescent="0.25">
      <c r="B5" s="19" t="s">
        <v>70</v>
      </c>
      <c r="C5" s="99">
        <v>4.9024504902450451E-2</v>
      </c>
    </row>
    <row r="6" spans="1:8" ht="15.75" customHeight="1" x14ac:dyDescent="0.25">
      <c r="B6" s="19" t="s">
        <v>71</v>
      </c>
      <c r="C6" s="99">
        <v>0.2038836203883623</v>
      </c>
    </row>
    <row r="7" spans="1:8" ht="15.75" customHeight="1" x14ac:dyDescent="0.25">
      <c r="B7" s="19" t="s">
        <v>72</v>
      </c>
      <c r="C7" s="99">
        <v>0.43088424308842432</v>
      </c>
    </row>
    <row r="8" spans="1:8" ht="15.75" customHeight="1" x14ac:dyDescent="0.25">
      <c r="B8" s="19" t="s">
        <v>73</v>
      </c>
      <c r="C8" s="99">
        <v>8.3170008317000766E-4</v>
      </c>
    </row>
    <row r="9" spans="1:8" ht="15.75" customHeight="1" x14ac:dyDescent="0.25">
      <c r="B9" s="19" t="s">
        <v>74</v>
      </c>
      <c r="C9" s="99">
        <v>0.14651341465134141</v>
      </c>
    </row>
    <row r="10" spans="1:8" ht="15.75" customHeight="1" x14ac:dyDescent="0.25">
      <c r="B10" s="19" t="s">
        <v>75</v>
      </c>
      <c r="C10" s="99">
        <v>0.1156486115648612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82</v>
      </c>
      <c r="C15" s="99">
        <v>0.31591331032326309</v>
      </c>
      <c r="D15" s="99">
        <v>0.31591331032326309</v>
      </c>
      <c r="E15" s="99">
        <v>0.31591331032326309</v>
      </c>
      <c r="F15" s="99">
        <v>0.31591331032326309</v>
      </c>
    </row>
    <row r="16" spans="1:8" ht="15.75" customHeight="1" x14ac:dyDescent="0.25">
      <c r="B16" s="19" t="s">
        <v>83</v>
      </c>
      <c r="C16" s="99">
        <v>2.7449882388342828E-2</v>
      </c>
      <c r="D16" s="99">
        <v>2.7449882388342828E-2</v>
      </c>
      <c r="E16" s="99">
        <v>2.7449882388342828E-2</v>
      </c>
      <c r="F16" s="99">
        <v>2.7449882388342828E-2</v>
      </c>
    </row>
    <row r="17" spans="1:8" ht="15.75" customHeight="1" x14ac:dyDescent="0.25">
      <c r="B17" s="19" t="s">
        <v>84</v>
      </c>
      <c r="C17" s="99">
        <v>1.390932477875465E-2</v>
      </c>
      <c r="D17" s="99">
        <v>1.390932477875465E-2</v>
      </c>
      <c r="E17" s="99">
        <v>1.390932477875465E-2</v>
      </c>
      <c r="F17" s="99">
        <v>1.390932477875465E-2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1.1055711336886291E-2</v>
      </c>
      <c r="D19" s="99">
        <v>1.1055711336886291E-2</v>
      </c>
      <c r="E19" s="99">
        <v>1.1055711336886291E-2</v>
      </c>
      <c r="F19" s="99">
        <v>1.1055711336886291E-2</v>
      </c>
    </row>
    <row r="20" spans="1:8" ht="15.75" customHeight="1" x14ac:dyDescent="0.25">
      <c r="B20" s="19" t="s">
        <v>87</v>
      </c>
      <c r="C20" s="99">
        <v>2.0022801128055979E-2</v>
      </c>
      <c r="D20" s="99">
        <v>2.0022801128055979E-2</v>
      </c>
      <c r="E20" s="99">
        <v>2.0022801128055979E-2</v>
      </c>
      <c r="F20" s="99">
        <v>2.0022801128055979E-2</v>
      </c>
    </row>
    <row r="21" spans="1:8" ht="15.75" customHeight="1" x14ac:dyDescent="0.25">
      <c r="B21" s="19" t="s">
        <v>88</v>
      </c>
      <c r="C21" s="99">
        <v>0.1369566895751991</v>
      </c>
      <c r="D21" s="99">
        <v>0.1369566895751991</v>
      </c>
      <c r="E21" s="99">
        <v>0.1369566895751991</v>
      </c>
      <c r="F21" s="99">
        <v>0.1369566895751991</v>
      </c>
    </row>
    <row r="22" spans="1:8" ht="15.75" customHeight="1" x14ac:dyDescent="0.25">
      <c r="B22" s="19" t="s">
        <v>89</v>
      </c>
      <c r="C22" s="99">
        <v>0.16087041703497551</v>
      </c>
      <c r="D22" s="99">
        <v>0.16087041703497551</v>
      </c>
      <c r="E22" s="99">
        <v>0.16087041703497551</v>
      </c>
      <c r="F22" s="99">
        <v>0.16087041703497551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2.0391851999999999E-2</v>
      </c>
    </row>
    <row r="27" spans="1:8" ht="15.75" customHeight="1" x14ac:dyDescent="0.25">
      <c r="B27" s="19" t="s">
        <v>92</v>
      </c>
      <c r="C27" s="99">
        <v>1.2112826E-2</v>
      </c>
    </row>
    <row r="28" spans="1:8" ht="15.75" customHeight="1" x14ac:dyDescent="0.25">
      <c r="B28" s="19" t="s">
        <v>93</v>
      </c>
      <c r="C28" s="99">
        <v>0.20645870999999999</v>
      </c>
    </row>
    <row r="29" spans="1:8" ht="15.75" customHeight="1" x14ac:dyDescent="0.25">
      <c r="B29" s="19" t="s">
        <v>94</v>
      </c>
      <c r="C29" s="99">
        <v>0.14582909399999999</v>
      </c>
    </row>
    <row r="30" spans="1:8" ht="15.75" customHeight="1" x14ac:dyDescent="0.25">
      <c r="B30" s="19" t="s">
        <v>95</v>
      </c>
      <c r="C30" s="99">
        <v>4.8967666E-2</v>
      </c>
    </row>
    <row r="31" spans="1:8" ht="15.75" customHeight="1" x14ac:dyDescent="0.25">
      <c r="B31" s="19" t="s">
        <v>96</v>
      </c>
      <c r="C31" s="99">
        <v>9.2788695000000004E-2</v>
      </c>
    </row>
    <row r="32" spans="1:8" ht="15.75" customHeight="1" x14ac:dyDescent="0.25">
      <c r="B32" s="19" t="s">
        <v>97</v>
      </c>
      <c r="C32" s="99">
        <v>1.0910125E-2</v>
      </c>
    </row>
    <row r="33" spans="2:3" ht="15.75" customHeight="1" x14ac:dyDescent="0.25">
      <c r="B33" s="19" t="s">
        <v>98</v>
      </c>
      <c r="C33" s="99">
        <v>0.3714693</v>
      </c>
    </row>
    <row r="34" spans="2:3" ht="15.75" customHeight="1" x14ac:dyDescent="0.25">
      <c r="B34" s="19" t="s">
        <v>99</v>
      </c>
      <c r="C34" s="99">
        <v>9.1071732999999988E-2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104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105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109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110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2.6172999999999336E-3</v>
      </c>
      <c r="D5" s="52">
        <f t="shared" si="0"/>
        <v>3.4829999999999028E-3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3560.1977045768699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0.45343000000000006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0.67799999999999994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1.8544560394586553E-2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97245.943180000002</v>
      </c>
      <c r="C22" s="107">
        <v>97011.314069999993</v>
      </c>
      <c r="D22" s="107">
        <v>96564.284830000004</v>
      </c>
      <c r="E22" s="107">
        <v>96264.243969999996</v>
      </c>
      <c r="F22" s="107">
        <v>95881.619640000004</v>
      </c>
      <c r="G22" s="107">
        <v>95429.46789</v>
      </c>
      <c r="H22" s="107">
        <v>94873.503970000005</v>
      </c>
      <c r="I22" s="107">
        <v>94134.216979999997</v>
      </c>
      <c r="J22" s="107">
        <v>93061.869749999998</v>
      </c>
      <c r="K22" s="107">
        <v>91456.30502</v>
      </c>
      <c r="L22" s="107">
        <v>88958.027109999995</v>
      </c>
      <c r="M22" s="107">
        <v>85154.401190000004</v>
      </c>
      <c r="N22" s="107">
        <v>79288.489449999994</v>
      </c>
      <c r="O22" s="107">
        <v>70676.934229999999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17.026484135107474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17.026484135107474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8.0705350947424606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0.24171699078812695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12.816498427138701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12.816498427138701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12.816498427138701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12.816498427138701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12.816498427138701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12.816498427138701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9.7330203637492063E-2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0.43867450000000002</v>
      </c>
      <c r="C18" s="96">
        <v>0.95</v>
      </c>
      <c r="D18" s="56">
        <v>8.0705350947424606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0.43867450000000002</v>
      </c>
      <c r="C19" s="96">
        <v>0.95</v>
      </c>
      <c r="D19" s="56">
        <v>6.4352685672608949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8.0705350947424606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4.1570370268154289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0.45138522009439402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4.7229528222409431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0.60908189999999995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0.88700000000000001</v>
      </c>
      <c r="C29" s="96">
        <v>0.95</v>
      </c>
      <c r="D29" s="56">
        <v>93.696773026618672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4.0000000000000001E-3</v>
      </c>
      <c r="C31" s="96">
        <v>0.95</v>
      </c>
      <c r="D31" s="56">
        <v>175.48809161556471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0.45</v>
      </c>
      <c r="C32" s="96">
        <v>0.95</v>
      </c>
      <c r="D32" s="56">
        <v>0.45463218100922231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0.93204179999999992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0.57459300000000002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0.2315497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8.1805999999999997E-3</v>
      </c>
      <c r="C38" s="96">
        <v>0.95</v>
      </c>
      <c r="D38" s="56">
        <v>1.6798709086682517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198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1.4999999999999999E-2</v>
      </c>
      <c r="F2" s="60">
        <f>food_insecure</f>
        <v>1.4999999999999999E-2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1.4999999999999999E-2</v>
      </c>
      <c r="I15" s="60">
        <f t="shared" si="0"/>
        <v>1.4999999999999999E-2</v>
      </c>
      <c r="J15" s="60">
        <f t="shared" si="0"/>
        <v>1.4999999999999999E-2</v>
      </c>
      <c r="K15" s="60">
        <f t="shared" si="0"/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1.4999999999999999E-2</v>
      </c>
      <c r="I16" s="60">
        <f t="shared" si="0"/>
        <v>1.4999999999999999E-2</v>
      </c>
      <c r="J16" s="60">
        <f t="shared" si="0"/>
        <v>1.4999999999999999E-2</v>
      </c>
      <c r="K16" s="60">
        <f t="shared" si="0"/>
        <v>1.4999999999999999E-2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