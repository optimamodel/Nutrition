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C91775C-1F8A-46EA-BB6B-479CD907709E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<sst xmlns="http://schemas.openxmlformats.org/spreadsheetml/2006/main" count="2169" uniqueCount="373">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</sst>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8953366</v>
      </c>
    </row>
    <row r="8" spans="1:3" ht="15" customHeight="1" x14ac:dyDescent="0.25">
      <c r="B8" s="5" t="s">
        <v>8</v>
      </c>
      <c r="C8" s="44">
        <v>0.18099999999999999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0.71330099999999996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7">
        <v>5.7025809794546099E-2</v>
      </c>
    </row>
    <row r="31" spans="1:3" ht="14.25" customHeight="1" x14ac:dyDescent="0.25">
      <c r="B31" s="25" t="s">
        <v>28</v>
      </c>
      <c r="C31" s="97">
        <v>6.6859128479990607E-2</v>
      </c>
    </row>
    <row r="32" spans="1:3" ht="14.25" customHeight="1" x14ac:dyDescent="0.25">
      <c r="B32" s="25" t="s">
        <v>29</v>
      </c>
      <c r="C32" s="97">
        <v>0.56795647712306097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0.72799999999999998</v>
      </c>
      <c r="D51" s="12"/>
    </row>
    <row r="52" spans="1:4" ht="15" customHeight="1" x14ac:dyDescent="0.25">
      <c r="B52" s="11" t="s">
        <v>46</v>
      </c>
      <c r="C52" s="98">
        <v>0.72799999999999998</v>
      </c>
    </row>
    <row r="53" spans="1:4" ht="15.75" customHeight="1" x14ac:dyDescent="0.25">
      <c r="B53" s="11" t="s">
        <v>47</v>
      </c>
      <c r="C53" s="98">
        <v>2.1579999999999999</v>
      </c>
    </row>
    <row r="54" spans="1:4" ht="15.75" customHeight="1" x14ac:dyDescent="0.25">
      <c r="B54" s="11" t="s">
        <v>48</v>
      </c>
      <c r="C54" s="98">
        <v>2.73</v>
      </c>
    </row>
    <row r="55" spans="1:4" ht="15.75" customHeight="1" x14ac:dyDescent="0.25">
      <c r="B55" s="11" t="s">
        <v>49</v>
      </c>
      <c r="C55" s="98">
        <v>1.196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99">
        <v>7.516927467198109E-2</v>
      </c>
    </row>
    <row r="5" spans="1:8" ht="15.75" customHeight="1" x14ac:dyDescent="0.25">
      <c r="B5" s="19" t="s">
        <v>70</v>
      </c>
      <c r="C5" s="99">
        <v>4.8031625672868491E-2</v>
      </c>
    </row>
    <row r="6" spans="1:8" ht="15.75" customHeight="1" x14ac:dyDescent="0.25">
      <c r="B6" s="19" t="s">
        <v>71</v>
      </c>
      <c r="C6" s="99">
        <v>0.17511153307831301</v>
      </c>
    </row>
    <row r="7" spans="1:8" ht="15.75" customHeight="1" x14ac:dyDescent="0.25">
      <c r="B7" s="19" t="s">
        <v>72</v>
      </c>
      <c r="C7" s="99">
        <v>0.4235197891461801</v>
      </c>
    </row>
    <row r="8" spans="1:8" ht="15.75" customHeight="1" x14ac:dyDescent="0.25">
      <c r="B8" s="19" t="s">
        <v>73</v>
      </c>
      <c r="C8" s="99">
        <v>6.3281746576205505E-4</v>
      </c>
    </row>
    <row r="9" spans="1:8" ht="15.75" customHeight="1" x14ac:dyDescent="0.25">
      <c r="B9" s="19" t="s">
        <v>74</v>
      </c>
      <c r="C9" s="99">
        <v>0.14254113413530231</v>
      </c>
    </row>
    <row r="10" spans="1:8" ht="15.75" customHeight="1" x14ac:dyDescent="0.25">
      <c r="B10" s="19" t="s">
        <v>75</v>
      </c>
      <c r="C10" s="99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83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84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85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86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87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88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89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99">
        <v>4.8625891999999997E-2</v>
      </c>
    </row>
    <row r="28" spans="1:8" ht="15.75" customHeight="1" x14ac:dyDescent="0.25">
      <c r="B28" s="19" t="s">
        <v>93</v>
      </c>
      <c r="C28" s="99">
        <v>0.16463160299999999</v>
      </c>
    </row>
    <row r="29" spans="1:8" ht="15.75" customHeight="1" x14ac:dyDescent="0.25">
      <c r="B29" s="19" t="s">
        <v>94</v>
      </c>
      <c r="C29" s="99">
        <v>0.203694557</v>
      </c>
    </row>
    <row r="30" spans="1:8" ht="15.75" customHeight="1" x14ac:dyDescent="0.25">
      <c r="B30" s="19" t="s">
        <v>95</v>
      </c>
      <c r="C30" s="99">
        <v>4.3418417000000001E-2</v>
      </c>
    </row>
    <row r="31" spans="1:8" ht="15.75" customHeight="1" x14ac:dyDescent="0.25">
      <c r="B31" s="19" t="s">
        <v>96</v>
      </c>
      <c r="C31" s="99">
        <v>9.7613213000000004E-2</v>
      </c>
    </row>
    <row r="32" spans="1:8" ht="15.75" customHeight="1" x14ac:dyDescent="0.25">
      <c r="B32" s="19" t="s">
        <v>97</v>
      </c>
      <c r="C32" s="99">
        <v>4.3273035999999987E-2</v>
      </c>
    </row>
    <row r="33" spans="2:3" ht="15.75" customHeight="1" x14ac:dyDescent="0.25">
      <c r="B33" s="19" t="s">
        <v>98</v>
      </c>
      <c r="C33" s="99">
        <v>0.24136084799999999</v>
      </c>
    </row>
    <row r="34" spans="2:3" ht="15.75" customHeight="1" x14ac:dyDescent="0.25">
      <c r="B34" s="19" t="s">
        <v>99</v>
      </c>
      <c r="C34" s="99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0.41011202521756179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0.56078709999999998</v>
      </c>
      <c r="C10" s="96">
        <v>0.95</v>
      </c>
      <c r="D10" s="56">
        <v>12.8418784817298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12.8418784817298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12.8418784817298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12.8418784817298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0.56078709999999998</v>
      </c>
      <c r="C14" s="96">
        <v>0.95</v>
      </c>
      <c r="D14" s="56">
        <v>12.8418784817298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12.8418784817298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0.35023333333333301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0.59399999999999997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0.38307210000000003</v>
      </c>
      <c r="C19" s="96">
        <v>0.95</v>
      </c>
      <c r="D19" s="56">
        <v>6.8391836861488278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4.1728995609348631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0.63771593354712008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0.433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0.48636289999999999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0.47222769999999997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1E-3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0.79100000000000004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0.81750919999999994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0.10672520000000001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2.4571099999999998E-2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0.66452529999999999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0.72799999999999998</v>
      </c>
      <c r="C2" s="21">
        <f>'Baseline year population inputs'!C52</f>
        <v>0.72799999999999998</v>
      </c>
      <c r="D2" s="21">
        <f>'Baseline year population inputs'!C53</f>
        <v>2.1579999999999999</v>
      </c>
      <c r="E2" s="21">
        <f>'Baseline year population inputs'!C54</f>
        <v>2.73</v>
      </c>
      <c r="F2" s="21">
        <f>'Baseline year population inputs'!C55</f>
        <v>1.196</v>
      </c>
    </row>
    <row r="3" spans="1:6" ht="15.75" customHeight="1" x14ac:dyDescent="0.25">
      <c r="A3" s="3" t="s">
        <v>197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198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