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1F854DC-EAD1-441A-BF5A-6D5726C3AE8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29" i="2"/>
  <c r="A26" i="2"/>
  <c r="A25" i="2"/>
  <c r="A21" i="2"/>
  <c r="A18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35" i="2" l="1"/>
  <c r="A19" i="2"/>
  <c r="A27" i="2"/>
  <c r="A20" i="2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40" i="2"/>
  <c r="A14" i="2"/>
  <c r="A22" i="2"/>
  <c r="A38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<sst xmlns="http://schemas.openxmlformats.org/spreadsheetml/2006/main" count="2103" uniqueCount="341">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</sst>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12175198.5</v>
      </c>
    </row>
    <row r="8" spans="1:3" ht="15" customHeight="1" x14ac:dyDescent="0.25">
      <c r="B8" s="5" t="s">
        <v>8</v>
      </c>
      <c r="C8" s="44">
        <v>6.0999999999999999E-2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0.71803596496582001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9">
        <v>5.7025809794546099E-2</v>
      </c>
    </row>
    <row r="31" spans="1:3" ht="14.25" customHeight="1" x14ac:dyDescent="0.25">
      <c r="B31" s="25" t="s">
        <v>28</v>
      </c>
      <c r="C31" s="99">
        <v>6.6859128479990607E-2</v>
      </c>
    </row>
    <row r="32" spans="1:3" ht="14.25" customHeight="1" x14ac:dyDescent="0.25">
      <c r="B32" s="25" t="s">
        <v>29</v>
      </c>
      <c r="C32" s="99">
        <v>0.56795647712306097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101">
        <v>7.516927467198109E-2</v>
      </c>
    </row>
    <row r="5" spans="1:8" ht="15.75" customHeight="1" x14ac:dyDescent="0.25">
      <c r="B5" s="19" t="s">
        <v>70</v>
      </c>
      <c r="C5" s="101">
        <v>4.8031625672868491E-2</v>
      </c>
    </row>
    <row r="6" spans="1:8" ht="15.75" customHeight="1" x14ac:dyDescent="0.25">
      <c r="B6" s="19" t="s">
        <v>71</v>
      </c>
      <c r="C6" s="101">
        <v>0.17511153307831301</v>
      </c>
    </row>
    <row r="7" spans="1:8" ht="15.75" customHeight="1" x14ac:dyDescent="0.25">
      <c r="B7" s="19" t="s">
        <v>72</v>
      </c>
      <c r="C7" s="101">
        <v>0.4235197891461801</v>
      </c>
    </row>
    <row r="8" spans="1:8" ht="15.75" customHeight="1" x14ac:dyDescent="0.25">
      <c r="B8" s="19" t="s">
        <v>73</v>
      </c>
      <c r="C8" s="101">
        <v>6.3281746576205505E-4</v>
      </c>
    </row>
    <row r="9" spans="1:8" ht="15.75" customHeight="1" x14ac:dyDescent="0.25">
      <c r="B9" s="19" t="s">
        <v>74</v>
      </c>
      <c r="C9" s="101">
        <v>0.14254113413530231</v>
      </c>
    </row>
    <row r="10" spans="1:8" ht="15.75" customHeight="1" x14ac:dyDescent="0.25">
      <c r="B10" s="19" t="s">
        <v>75</v>
      </c>
      <c r="C10" s="101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83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84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85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86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87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89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101">
        <v>4.8625891999999997E-2</v>
      </c>
    </row>
    <row r="28" spans="1:8" ht="15.75" customHeight="1" x14ac:dyDescent="0.25">
      <c r="B28" s="19" t="s">
        <v>93</v>
      </c>
      <c r="C28" s="101">
        <v>0.16463160299999999</v>
      </c>
    </row>
    <row r="29" spans="1:8" ht="15.75" customHeight="1" x14ac:dyDescent="0.25">
      <c r="B29" s="19" t="s">
        <v>94</v>
      </c>
      <c r="C29" s="101">
        <v>0.203694557</v>
      </c>
    </row>
    <row r="30" spans="1:8" ht="15.75" customHeight="1" x14ac:dyDescent="0.25">
      <c r="B30" s="19" t="s">
        <v>95</v>
      </c>
      <c r="C30" s="101">
        <v>4.3418417000000001E-2</v>
      </c>
    </row>
    <row r="31" spans="1:8" ht="15.75" customHeight="1" x14ac:dyDescent="0.25">
      <c r="B31" s="19" t="s">
        <v>96</v>
      </c>
      <c r="C31" s="101">
        <v>9.7613213000000004E-2</v>
      </c>
    </row>
    <row r="32" spans="1:8" ht="15.75" customHeight="1" x14ac:dyDescent="0.25">
      <c r="B32" s="19" t="s">
        <v>97</v>
      </c>
      <c r="C32" s="101">
        <v>4.3273035999999987E-2</v>
      </c>
    </row>
    <row r="33" spans="2:3" ht="15.75" customHeight="1" x14ac:dyDescent="0.25">
      <c r="B33" s="19" t="s">
        <v>98</v>
      </c>
      <c r="C33" s="101">
        <v>0.24136084799999999</v>
      </c>
    </row>
    <row r="34" spans="2:3" ht="15.75" customHeight="1" x14ac:dyDescent="0.25">
      <c r="B34" s="19" t="s">
        <v>99</v>
      </c>
      <c r="C34" s="101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50.420209969169832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39.709579037933892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295.10719290294543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0.41011202521756179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0.56078709999999998</v>
      </c>
      <c r="C10" s="98">
        <v>0.95</v>
      </c>
      <c r="D10" s="56">
        <v>12.8418784817298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12.8418784817298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12.8418784817298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12.8418784817298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0.56078709999999998</v>
      </c>
      <c r="C14" s="98">
        <v>0.95</v>
      </c>
      <c r="D14" s="56">
        <v>12.8418784817298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12.8418784817298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0.54864428162514955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0.35023333333333301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0.38307210000000003</v>
      </c>
      <c r="C18" s="98">
        <v>0.95</v>
      </c>
      <c r="D18" s="56">
        <v>6.8391836861488278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0.38307210000000003</v>
      </c>
      <c r="C19" s="98">
        <v>0.95</v>
      </c>
      <c r="D19" s="56">
        <v>6.8391836861488278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3.9900848934620532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4.1728995609348631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0.63771593354712008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0.56078709999999998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18.40378878530877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0.48636289999999999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0.47222769999999997</v>
      </c>
      <c r="C29" s="98">
        <v>0.95</v>
      </c>
      <c r="D29" s="56">
        <v>96.281170578850436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1E-3</v>
      </c>
      <c r="C31" s="98">
        <v>0.95</v>
      </c>
      <c r="D31" s="56">
        <v>3.165382982361816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0.28999999999999998</v>
      </c>
      <c r="C32" s="98">
        <v>0.95</v>
      </c>
      <c r="D32" s="56">
        <v>1.1605072878943321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0.81750919999999994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0.10672520000000001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2.4571099999999998E-2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0.66452529999999999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0.2665691</v>
      </c>
      <c r="C38" s="98">
        <v>0.95</v>
      </c>
      <c r="D38" s="56">
        <v>2.5690343142936309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205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0.1064615878880365</v>
      </c>
      <c r="G18" s="90">
        <f>MIN(MAX(1-0.89/(1-frac_sam_12_23months+(frac_sam_12_23months*0.89)),0),1)</f>
        <v>0.10744729927592922</v>
      </c>
      <c r="H18" s="90">
        <f>MIN(MAX(1-0.89/(1-frac_sam_24_59months+(frac_sam_24_59months*0.89)),0),1)</f>
        <v>0.10892179537240054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0.10209846650524623</v>
      </c>
      <c r="G20" s="90">
        <f>MIN(MAX(1-0.89/(1-frac_mam_12_23months+(frac_mam_12_23months*0.89)),0),1)</f>
        <v>0.10329262886390189</v>
      </c>
      <c r="H20" s="90">
        <f>MIN(MAX(1-0.89/(1-frac_mam_24_59months+(frac_mam_24_59months*0.89)),0),1)</f>
        <v>0.10675752983329478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9.6434716497939554E-3</v>
      </c>
      <c r="G73" s="90">
        <f>MIN(MAX(1-0.99/(1-frac_sam_12_23months+(frac_sam_12_23months*0.99)),0),1)</f>
        <v>9.7425330585951819E-3</v>
      </c>
      <c r="H73" s="90">
        <f>MIN(MAX(1-0.99/(1-frac_sam_24_59months+(frac_sam_24_59months*0.99)),0),1)</f>
        <v>9.8910880196820816E-3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9.2073658927143143E-3</v>
      </c>
      <c r="G75" s="90">
        <f>MIN(MAX(1-0.99/(1-frac_mam_12_23months+(frac_mam_12_23months*0.99)),0),1)</f>
        <v>9.3263419125004798E-3</v>
      </c>
      <c r="H75" s="90">
        <f>MIN(MAX(1-0.99/(1-frac_mam_24_59months+(frac_mam_24_59months*0.99)),0),1)</f>
        <v>9.6731921534105592E-3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0.19419822723609992</v>
      </c>
      <c r="G128" s="90">
        <f>MIN(MAX(1-0.8/(1-frac_sam_12_23months+(frac_sam_12_23months*0.8)),0),1)</f>
        <v>0.19581825492561311</v>
      </c>
      <c r="H128" s="90">
        <f>MIN(MAX(1-0.8/(1-frac_sam_24_59months+(frac_sam_24_59months*0.8)),0),1)</f>
        <v>0.19823611946281816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0.18699186991869909</v>
      </c>
      <c r="G130" s="90">
        <f>MIN(MAX(1-0.8/(1-frac_mam_12_23months+(frac_mam_12_23months*0.8)),0),1)</f>
        <v>0.18896999188969987</v>
      </c>
      <c r="H130" s="90">
        <f>MIN(MAX(1-0.8/(1-frac_mam_24_59months+(frac_mam_24_59months*0.8)),0),1)</f>
        <v>0.19468492047513586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2024-06-18T06:56:49Z</dcterms:modified>
</cp:coreProperties>
</file>