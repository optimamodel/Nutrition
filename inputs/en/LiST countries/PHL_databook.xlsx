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1105F80-D7B6-4029-B752-9D29CA7806A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1" i="2"/>
  <c r="A26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<sst xmlns="http://schemas.openxmlformats.org/spreadsheetml/2006/main" count="2159" uniqueCount="372">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</sst>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8953366</v>
      </c>
    </row>
    <row r="8" spans="1:3" ht="15" customHeight="1" x14ac:dyDescent="0.25">
      <c r="B8" s="5" t="s">
        <v>8</v>
      </c>
      <c r="C8" s="44">
        <v>0.18099999999999999</v>
      </c>
    </row>
    <row r="9" spans="1:3" ht="15" customHeight="1" x14ac:dyDescent="0.25">
      <c r="B9" s="5" t="s">
        <v>9</v>
      </c>
      <c r="C9" s="45">
        <v>1.24E-2</v>
      </c>
    </row>
    <row r="10" spans="1:3" ht="15" customHeight="1" x14ac:dyDescent="0.25">
      <c r="B10" s="5" t="s">
        <v>10</v>
      </c>
      <c r="C10" s="45">
        <v>0.71330099999999996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0.11020000000000001</v>
      </c>
    </row>
    <row r="24" spans="1:3" ht="15" customHeight="1" x14ac:dyDescent="0.25">
      <c r="B24" s="15" t="s">
        <v>22</v>
      </c>
      <c r="C24" s="45">
        <v>0.46769999999999989</v>
      </c>
    </row>
    <row r="25" spans="1:3" ht="15" customHeight="1" x14ac:dyDescent="0.25">
      <c r="B25" s="15" t="s">
        <v>23</v>
      </c>
      <c r="C25" s="45">
        <v>0.34789999999999999</v>
      </c>
    </row>
    <row r="26" spans="1:3" ht="15" customHeight="1" x14ac:dyDescent="0.25">
      <c r="B26" s="15" t="s">
        <v>24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0.30815858460240297</v>
      </c>
    </row>
    <row r="30" spans="1:3" ht="14.25" customHeight="1" x14ac:dyDescent="0.25">
      <c r="B30" s="25" t="s">
        <v>27</v>
      </c>
      <c r="C30" s="99">
        <v>5.7025809794546099E-2</v>
      </c>
    </row>
    <row r="31" spans="1:3" ht="14.25" customHeight="1" x14ac:dyDescent="0.25">
      <c r="B31" s="25" t="s">
        <v>28</v>
      </c>
      <c r="C31" s="99">
        <v>6.6859128479990607E-2</v>
      </c>
    </row>
    <row r="32" spans="1:3" ht="14.25" customHeight="1" x14ac:dyDescent="0.25">
      <c r="B32" s="25" t="s">
        <v>29</v>
      </c>
      <c r="C32" s="99">
        <v>0.56795647712306097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12.276949999999999</v>
      </c>
    </row>
    <row r="38" spans="1:5" ht="15" customHeight="1" x14ac:dyDescent="0.25">
      <c r="B38" s="11" t="s">
        <v>34</v>
      </c>
      <c r="C38" s="43">
        <v>20.473140000000001</v>
      </c>
      <c r="D38" s="12"/>
      <c r="E38" s="13"/>
    </row>
    <row r="39" spans="1:5" ht="15" customHeight="1" x14ac:dyDescent="0.25">
      <c r="B39" s="11" t="s">
        <v>35</v>
      </c>
      <c r="C39" s="43">
        <v>25.739529999999998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6.5569000000000001E-3</v>
      </c>
      <c r="D45" s="12"/>
    </row>
    <row r="46" spans="1:5" ht="15.75" customHeight="1" x14ac:dyDescent="0.25">
      <c r="B46" s="11" t="s">
        <v>41</v>
      </c>
      <c r="C46" s="45">
        <v>7.0453000000000002E-2</v>
      </c>
      <c r="D46" s="12"/>
    </row>
    <row r="47" spans="1:5" ht="15.75" customHeight="1" x14ac:dyDescent="0.25">
      <c r="B47" s="11" t="s">
        <v>42</v>
      </c>
      <c r="C47" s="45">
        <v>7.476569999999999E-2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0.72799999999999998</v>
      </c>
      <c r="D51" s="12"/>
    </row>
    <row r="52" spans="1:4" ht="15" customHeight="1" x14ac:dyDescent="0.25">
      <c r="B52" s="11" t="s">
        <v>46</v>
      </c>
      <c r="C52" s="100">
        <v>0.72799999999999998</v>
      </c>
    </row>
    <row r="53" spans="1:4" ht="15.75" customHeight="1" x14ac:dyDescent="0.25">
      <c r="B53" s="11" t="s">
        <v>47</v>
      </c>
      <c r="C53" s="100">
        <v>2.1579999999999999</v>
      </c>
    </row>
    <row r="54" spans="1:4" ht="15.75" customHeight="1" x14ac:dyDescent="0.25">
      <c r="B54" s="11" t="s">
        <v>48</v>
      </c>
      <c r="C54" s="100">
        <v>2.73</v>
      </c>
    </row>
    <row r="55" spans="1:4" ht="15.75" customHeight="1" x14ac:dyDescent="0.25">
      <c r="B55" s="11" t="s">
        <v>49</v>
      </c>
      <c r="C55" s="100">
        <v>1.196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0.52888299999999999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2.2522621624356761E-3</v>
      </c>
    </row>
    <row r="4" spans="1:8" ht="15.75" customHeight="1" x14ac:dyDescent="0.25">
      <c r="B4" s="19" t="s">
        <v>69</v>
      </c>
      <c r="C4" s="101">
        <v>7.516927467198109E-2</v>
      </c>
    </row>
    <row r="5" spans="1:8" ht="15.75" customHeight="1" x14ac:dyDescent="0.25">
      <c r="B5" s="19" t="s">
        <v>70</v>
      </c>
      <c r="C5" s="101">
        <v>4.8031625672868491E-2</v>
      </c>
    </row>
    <row r="6" spans="1:8" ht="15.75" customHeight="1" x14ac:dyDescent="0.25">
      <c r="B6" s="19" t="s">
        <v>71</v>
      </c>
      <c r="C6" s="101">
        <v>0.17511153307831301</v>
      </c>
    </row>
    <row r="7" spans="1:8" ht="15.75" customHeight="1" x14ac:dyDescent="0.25">
      <c r="B7" s="19" t="s">
        <v>72</v>
      </c>
      <c r="C7" s="101">
        <v>0.4235197891461801</v>
      </c>
    </row>
    <row r="8" spans="1:8" ht="15.75" customHeight="1" x14ac:dyDescent="0.25">
      <c r="B8" s="19" t="s">
        <v>73</v>
      </c>
      <c r="C8" s="101">
        <v>6.3281746576205505E-4</v>
      </c>
    </row>
    <row r="9" spans="1:8" ht="15.75" customHeight="1" x14ac:dyDescent="0.25">
      <c r="B9" s="19" t="s">
        <v>74</v>
      </c>
      <c r="C9" s="101">
        <v>0.14254113413530231</v>
      </c>
    </row>
    <row r="10" spans="1:8" ht="15.75" customHeight="1" x14ac:dyDescent="0.25">
      <c r="B10" s="19" t="s">
        <v>75</v>
      </c>
      <c r="C10" s="101">
        <v>0.13274156366715731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82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83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84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85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86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87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88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89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4.4382244000000001E-2</v>
      </c>
    </row>
    <row r="27" spans="1:8" ht="15.75" customHeight="1" x14ac:dyDescent="0.25">
      <c r="B27" s="19" t="s">
        <v>92</v>
      </c>
      <c r="C27" s="101">
        <v>4.8625891999999997E-2</v>
      </c>
    </row>
    <row r="28" spans="1:8" ht="15.75" customHeight="1" x14ac:dyDescent="0.25">
      <c r="B28" s="19" t="s">
        <v>93</v>
      </c>
      <c r="C28" s="101">
        <v>0.16463160299999999</v>
      </c>
    </row>
    <row r="29" spans="1:8" ht="15.75" customHeight="1" x14ac:dyDescent="0.25">
      <c r="B29" s="19" t="s">
        <v>94</v>
      </c>
      <c r="C29" s="101">
        <v>0.203694557</v>
      </c>
    </row>
    <row r="30" spans="1:8" ht="15.75" customHeight="1" x14ac:dyDescent="0.25">
      <c r="B30" s="19" t="s">
        <v>95</v>
      </c>
      <c r="C30" s="101">
        <v>4.3418417000000001E-2</v>
      </c>
    </row>
    <row r="31" spans="1:8" ht="15.75" customHeight="1" x14ac:dyDescent="0.25">
      <c r="B31" s="19" t="s">
        <v>96</v>
      </c>
      <c r="C31" s="101">
        <v>9.7613213000000004E-2</v>
      </c>
    </row>
    <row r="32" spans="1:8" ht="15.75" customHeight="1" x14ac:dyDescent="0.25">
      <c r="B32" s="19" t="s">
        <v>97</v>
      </c>
      <c r="C32" s="101">
        <v>4.3273035999999987E-2</v>
      </c>
    </row>
    <row r="33" spans="2:3" ht="15.75" customHeight="1" x14ac:dyDescent="0.25">
      <c r="B33" s="19" t="s">
        <v>98</v>
      </c>
      <c r="C33" s="101">
        <v>0.24136084799999999</v>
      </c>
    </row>
    <row r="34" spans="2:3" ht="15.75" customHeight="1" x14ac:dyDescent="0.25">
      <c r="B34" s="19" t="s">
        <v>99</v>
      </c>
      <c r="C34" s="101">
        <v>0.11300019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104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105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109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110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3498.5098055874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0.41215000000000002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0.48421999999999998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1.5080177545706877E-2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97100.085890000002</v>
      </c>
      <c r="C22" s="109">
        <v>96901.344920000003</v>
      </c>
      <c r="D22" s="109">
        <v>96709.555869999997</v>
      </c>
      <c r="E22" s="109">
        <v>96369.279760000005</v>
      </c>
      <c r="F22" s="109">
        <v>95870.912200000006</v>
      </c>
      <c r="G22" s="109">
        <v>95225.168890000001</v>
      </c>
      <c r="H22" s="109">
        <v>94297.108859999993</v>
      </c>
      <c r="I22" s="109">
        <v>93192.031099999993</v>
      </c>
      <c r="J22" s="109">
        <v>91448.911810000005</v>
      </c>
      <c r="K22" s="109">
        <v>89084.444099999993</v>
      </c>
      <c r="L22" s="109">
        <v>85563.409249999997</v>
      </c>
      <c r="M22" s="109">
        <v>80866.729829999997</v>
      </c>
      <c r="N22" s="109">
        <v>73753.323820000005</v>
      </c>
      <c r="O22" s="109">
        <v>63295.22537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0.41011202521756179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1.812651550310735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0.56078709999999998</v>
      </c>
      <c r="C10" s="98">
        <v>0.95</v>
      </c>
      <c r="D10" s="56">
        <v>12.8418784817298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12.8418784817298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12.8418784817298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12.8418784817298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0.56078709999999998</v>
      </c>
      <c r="C14" s="98">
        <v>0.95</v>
      </c>
      <c r="D14" s="56">
        <v>12.8418784817298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12.8418784817298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0.35023333333333301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0.59399999999999997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0.38307210000000003</v>
      </c>
      <c r="C19" s="98">
        <v>0.95</v>
      </c>
      <c r="D19" s="56">
        <v>6.8391836861488278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4.1728995609348631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0.63771593354712008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0.433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0.48636289999999999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0.47222769999999997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53.05041964170676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1E-3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0.79100000000000004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0.81750919999999994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0.10672520000000001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2.4571099999999998E-2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0.66452529999999999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0.192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0.72799999999999998</v>
      </c>
      <c r="C2" s="21">
        <f>'Baseline year population inputs'!C52</f>
        <v>0.72799999999999998</v>
      </c>
      <c r="D2" s="21">
        <f>'Baseline year population inputs'!C53</f>
        <v>2.1579999999999999</v>
      </c>
      <c r="E2" s="21">
        <f>'Baseline year population inputs'!C54</f>
        <v>2.73</v>
      </c>
      <c r="F2" s="21">
        <f>'Baseline year population inputs'!C55</f>
        <v>1.196</v>
      </c>
    </row>
    <row r="3" spans="1:6" ht="15.75" customHeight="1" x14ac:dyDescent="0.25">
      <c r="A3" s="3" t="s">
        <v>197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198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