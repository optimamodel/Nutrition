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C32F899-FB3C-476D-8D9E-F407DC7E726E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4" i="2" l="1"/>
  <c r="I6" i="2"/>
  <c r="I12" i="2"/>
  <c r="A35" i="2"/>
  <c r="I39" i="2"/>
  <c r="A24" i="2"/>
  <c r="A40" i="2"/>
  <c r="I4" i="2"/>
  <c r="A25" i="2"/>
  <c r="A19" i="2"/>
  <c r="A22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<sst xmlns="http://schemas.openxmlformats.org/spreadsheetml/2006/main" count="2169" uniqueCount="373">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</sst>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1781459.5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7">
        <v>2.37391160515825E-2</v>
      </c>
    </row>
    <row r="31" spans="1:3" ht="14.25" customHeight="1" x14ac:dyDescent="0.25">
      <c r="B31" s="25" t="s">
        <v>28</v>
      </c>
      <c r="C31" s="97">
        <v>4.6299410961796898E-2</v>
      </c>
    </row>
    <row r="32" spans="1:3" ht="14.25" customHeight="1" x14ac:dyDescent="0.25">
      <c r="B32" s="25" t="s">
        <v>29</v>
      </c>
      <c r="C32" s="97">
        <v>0.57635206451775101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98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1.6120000000000001</v>
      </c>
      <c r="D51" s="12"/>
    </row>
    <row r="52" spans="1:4" ht="15" customHeight="1" x14ac:dyDescent="0.25">
      <c r="B52" s="11" t="s">
        <v>46</v>
      </c>
      <c r="C52" s="98">
        <v>1.6120000000000001</v>
      </c>
    </row>
    <row r="53" spans="1:4" ht="15.75" customHeight="1" x14ac:dyDescent="0.25">
      <c r="B53" s="11" t="s">
        <v>47</v>
      </c>
      <c r="C53" s="98">
        <v>3.1720000000000002</v>
      </c>
    </row>
    <row r="54" spans="1:4" ht="15.75" customHeight="1" x14ac:dyDescent="0.25">
      <c r="B54" s="11" t="s">
        <v>48</v>
      </c>
      <c r="C54" s="98">
        <v>2.34</v>
      </c>
    </row>
    <row r="55" spans="1:4" ht="15.75" customHeight="1" x14ac:dyDescent="0.25">
      <c r="B55" s="11" t="s">
        <v>49</v>
      </c>
      <c r="C55" s="98">
        <v>1.031333333333333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0.1144900477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99">
        <v>5.4811399999999962E-2</v>
      </c>
    </row>
    <row r="5" spans="1:8" ht="15.75" customHeight="1" x14ac:dyDescent="0.25">
      <c r="B5" s="19" t="s">
        <v>70</v>
      </c>
      <c r="C5" s="99">
        <v>5.0352800000000079E-2</v>
      </c>
    </row>
    <row r="6" spans="1:8" ht="15.75" customHeight="1" x14ac:dyDescent="0.25">
      <c r="B6" s="19" t="s">
        <v>71</v>
      </c>
      <c r="C6" s="99">
        <v>0.2002200999999994</v>
      </c>
    </row>
    <row r="7" spans="1:8" ht="15.75" customHeight="1" x14ac:dyDescent="0.25">
      <c r="B7" s="19" t="s">
        <v>72</v>
      </c>
      <c r="C7" s="99">
        <v>0.44372300000000048</v>
      </c>
    </row>
    <row r="8" spans="1:8" ht="15.75" customHeight="1" x14ac:dyDescent="0.25">
      <c r="B8" s="19" t="s">
        <v>73</v>
      </c>
      <c r="C8" s="99">
        <v>6.0170000000000048E-4</v>
      </c>
    </row>
    <row r="9" spans="1:8" ht="15.75" customHeight="1" x14ac:dyDescent="0.25">
      <c r="B9" s="19" t="s">
        <v>74</v>
      </c>
      <c r="C9" s="99">
        <v>0.15703459999999991</v>
      </c>
    </row>
    <row r="10" spans="1:8" ht="15.75" customHeight="1" x14ac:dyDescent="0.25">
      <c r="B10" s="19" t="s">
        <v>75</v>
      </c>
      <c r="C10" s="99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99">
        <v>0.27034716125610042</v>
      </c>
      <c r="D15" s="99">
        <v>0.27034716125610042</v>
      </c>
      <c r="E15" s="99">
        <v>0.27034716125610042</v>
      </c>
      <c r="F15" s="99">
        <v>0.27034716125610042</v>
      </c>
    </row>
    <row r="16" spans="1:8" ht="15.75" customHeight="1" x14ac:dyDescent="0.25">
      <c r="B16" s="19" t="s">
        <v>83</v>
      </c>
      <c r="C16" s="99">
        <v>8.5757967093804868E-3</v>
      </c>
      <c r="D16" s="99">
        <v>8.5757967093804868E-3</v>
      </c>
      <c r="E16" s="99">
        <v>8.5757967093804868E-3</v>
      </c>
      <c r="F16" s="99">
        <v>8.5757967093804868E-3</v>
      </c>
    </row>
    <row r="17" spans="1:8" ht="15.75" customHeight="1" x14ac:dyDescent="0.25">
      <c r="B17" s="19" t="s">
        <v>84</v>
      </c>
      <c r="C17" s="99">
        <v>1.267147177193201E-2</v>
      </c>
      <c r="D17" s="99">
        <v>1.267147177193201E-2</v>
      </c>
      <c r="E17" s="99">
        <v>1.267147177193201E-2</v>
      </c>
      <c r="F17" s="99">
        <v>1.267147177193201E-2</v>
      </c>
    </row>
    <row r="18" spans="1:8" ht="15.75" customHeight="1" x14ac:dyDescent="0.25">
      <c r="B18" s="19" t="s">
        <v>85</v>
      </c>
      <c r="C18" s="99">
        <v>6.3469102387174016E-3</v>
      </c>
      <c r="D18" s="99">
        <v>6.3469102387174016E-3</v>
      </c>
      <c r="E18" s="99">
        <v>6.3469102387174016E-3</v>
      </c>
      <c r="F18" s="99">
        <v>6.3469102387174016E-3</v>
      </c>
    </row>
    <row r="19" spans="1:8" ht="15.75" customHeight="1" x14ac:dyDescent="0.25">
      <c r="B19" s="19" t="s">
        <v>86</v>
      </c>
      <c r="C19" s="99">
        <v>5.9720748190468909E-2</v>
      </c>
      <c r="D19" s="99">
        <v>5.9720748190468909E-2</v>
      </c>
      <c r="E19" s="99">
        <v>5.9720748190468909E-2</v>
      </c>
      <c r="F19" s="99">
        <v>5.9720748190468909E-2</v>
      </c>
    </row>
    <row r="20" spans="1:8" ht="15.75" customHeight="1" x14ac:dyDescent="0.25">
      <c r="B20" s="19" t="s">
        <v>87</v>
      </c>
      <c r="C20" s="99">
        <v>1.390684585984274E-2</v>
      </c>
      <c r="D20" s="99">
        <v>1.390684585984274E-2</v>
      </c>
      <c r="E20" s="99">
        <v>1.390684585984274E-2</v>
      </c>
      <c r="F20" s="99">
        <v>1.390684585984274E-2</v>
      </c>
    </row>
    <row r="21" spans="1:8" ht="15.75" customHeight="1" x14ac:dyDescent="0.25">
      <c r="B21" s="19" t="s">
        <v>88</v>
      </c>
      <c r="C21" s="99">
        <v>0.12955471305520669</v>
      </c>
      <c r="D21" s="99">
        <v>0.12955471305520669</v>
      </c>
      <c r="E21" s="99">
        <v>0.12955471305520669</v>
      </c>
      <c r="F21" s="99">
        <v>0.12955471305520669</v>
      </c>
    </row>
    <row r="22" spans="1:8" ht="15.75" customHeight="1" x14ac:dyDescent="0.25">
      <c r="B22" s="19" t="s">
        <v>89</v>
      </c>
      <c r="C22" s="99">
        <v>0.13467830644681281</v>
      </c>
      <c r="D22" s="99">
        <v>0.13467830644681281</v>
      </c>
      <c r="E22" s="99">
        <v>0.13467830644681281</v>
      </c>
      <c r="F22" s="99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99">
        <v>1.8197206E-2</v>
      </c>
    </row>
    <row r="28" spans="1:8" ht="15.75" customHeight="1" x14ac:dyDescent="0.25">
      <c r="B28" s="19" t="s">
        <v>93</v>
      </c>
      <c r="C28" s="99">
        <v>0.22881369300000001</v>
      </c>
    </row>
    <row r="29" spans="1:8" ht="15.75" customHeight="1" x14ac:dyDescent="0.25">
      <c r="B29" s="19" t="s">
        <v>94</v>
      </c>
      <c r="C29" s="99">
        <v>0.13822648400000001</v>
      </c>
    </row>
    <row r="30" spans="1:8" ht="15.75" customHeight="1" x14ac:dyDescent="0.25">
      <c r="B30" s="19" t="s">
        <v>95</v>
      </c>
      <c r="C30" s="99">
        <v>5.0121434999999999E-2</v>
      </c>
    </row>
    <row r="31" spans="1:8" ht="15.75" customHeight="1" x14ac:dyDescent="0.25">
      <c r="B31" s="19" t="s">
        <v>96</v>
      </c>
      <c r="C31" s="99">
        <v>6.9180167000000001E-2</v>
      </c>
    </row>
    <row r="32" spans="1:8" ht="15.75" customHeight="1" x14ac:dyDescent="0.25">
      <c r="B32" s="19" t="s">
        <v>97</v>
      </c>
      <c r="C32" s="99">
        <v>0.14697111700000001</v>
      </c>
    </row>
    <row r="33" spans="2:3" ht="15.75" customHeight="1" x14ac:dyDescent="0.25">
      <c r="B33" s="19" t="s">
        <v>98</v>
      </c>
      <c r="C33" s="99">
        <v>0.122692382</v>
      </c>
    </row>
    <row r="34" spans="2:3" ht="15.75" customHeight="1" x14ac:dyDescent="0.25">
      <c r="B34" s="19" t="s">
        <v>99</v>
      </c>
      <c r="C34" s="99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1759.6080234604401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0.42314000000000002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0.73861999999999994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1.9184676845374407E-2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97269.828099999999</v>
      </c>
      <c r="C22" s="107">
        <v>96983.273650000003</v>
      </c>
      <c r="D22" s="107">
        <v>96811.436279999994</v>
      </c>
      <c r="E22" s="107">
        <v>96358.799939999997</v>
      </c>
      <c r="F22" s="107">
        <v>95741.665299999993</v>
      </c>
      <c r="G22" s="107">
        <v>95080.704729999998</v>
      </c>
      <c r="H22" s="107">
        <v>94271.259430000006</v>
      </c>
      <c r="I22" s="107">
        <v>93129.812300000005</v>
      </c>
      <c r="J22" s="107">
        <v>91427.028510000004</v>
      </c>
      <c r="K22" s="107">
        <v>88877.14301</v>
      </c>
      <c r="L22" s="107">
        <v>85063.655830000003</v>
      </c>
      <c r="M22" s="107">
        <v>79673.528420000002</v>
      </c>
      <c r="N22" s="107">
        <v>72185.250419999997</v>
      </c>
      <c r="O22" s="107">
        <v>61999.453289999998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0.63782823352220286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0.89073059999999993</v>
      </c>
      <c r="C10" s="96">
        <v>0.95</v>
      </c>
      <c r="D10" s="56">
        <v>13.57902668055927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13.57902668055927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13.57902668055927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13.57902668055927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0.89073059999999993</v>
      </c>
      <c r="C14" s="96">
        <v>0.95</v>
      </c>
      <c r="D14" s="56">
        <v>13.57902668055927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13.57902668055927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4.1250299999999997E-2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0.64700000000000002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0.48294340000000002</v>
      </c>
      <c r="C19" s="96">
        <v>0.95</v>
      </c>
      <c r="D19" s="56">
        <v>3.014096374602512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4.50575E-2</v>
      </c>
      <c r="C23" s="96">
        <v>0.95</v>
      </c>
      <c r="D23" s="56">
        <v>4.4856136591440912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0.69694892887370008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3.7000000000000012E-2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0.28605269999999999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0.48644500000000002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2.46E-2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0.39700000000000002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0.83350530000000012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0.30354370000000003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0.1965143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0.34371230000000003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9.5000000000000001E-2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1.6120000000000001</v>
      </c>
      <c r="C2" s="21">
        <f>'Baseline year population inputs'!C52</f>
        <v>1.6120000000000001</v>
      </c>
      <c r="D2" s="21">
        <f>'Baseline year population inputs'!C53</f>
        <v>3.1720000000000002</v>
      </c>
      <c r="E2" s="21">
        <f>'Baseline year population inputs'!C54</f>
        <v>2.34</v>
      </c>
      <c r="F2" s="21">
        <f>'Baseline year population inputs'!C55</f>
        <v>1.031333333333333</v>
      </c>
    </row>
    <row r="3" spans="1:6" ht="15.75" customHeight="1" x14ac:dyDescent="0.25">
      <c r="A3" s="3" t="s">
        <v>197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198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