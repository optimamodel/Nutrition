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67E3EDA-56F4-47E7-AC86-2E848487618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<sst xmlns="http://schemas.openxmlformats.org/spreadsheetml/2006/main" count="2159" uniqueCount="372">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</sst>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1781459.5</v>
      </c>
    </row>
    <row r="8" spans="1:3" ht="15" customHeight="1" x14ac:dyDescent="0.25">
      <c r="B8" s="5" t="s">
        <v>8</v>
      </c>
      <c r="C8" s="44">
        <v>0.14199999999999999</v>
      </c>
    </row>
    <row r="9" spans="1:3" ht="15" customHeight="1" x14ac:dyDescent="0.25">
      <c r="B9" s="5" t="s">
        <v>9</v>
      </c>
      <c r="C9" s="45">
        <v>0.17799999999999999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0.1135</v>
      </c>
    </row>
    <row r="24" spans="1:3" ht="15" customHeight="1" x14ac:dyDescent="0.25">
      <c r="B24" s="15" t="s">
        <v>22</v>
      </c>
      <c r="C24" s="45">
        <v>0.59699999999999998</v>
      </c>
    </row>
    <row r="25" spans="1:3" ht="15" customHeight="1" x14ac:dyDescent="0.25">
      <c r="B25" s="15" t="s">
        <v>23</v>
      </c>
      <c r="C25" s="45">
        <v>0.25979999999999998</v>
      </c>
    </row>
    <row r="26" spans="1:3" ht="15" customHeight="1" x14ac:dyDescent="0.25">
      <c r="B26" s="15" t="s">
        <v>24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0.35360940846886901</v>
      </c>
    </row>
    <row r="30" spans="1:3" ht="14.25" customHeight="1" x14ac:dyDescent="0.25">
      <c r="B30" s="25" t="s">
        <v>27</v>
      </c>
      <c r="C30" s="99">
        <v>2.37391160515825E-2</v>
      </c>
    </row>
    <row r="31" spans="1:3" ht="14.25" customHeight="1" x14ac:dyDescent="0.25">
      <c r="B31" s="25" t="s">
        <v>28</v>
      </c>
      <c r="C31" s="99">
        <v>4.6299410961796898E-2</v>
      </c>
    </row>
    <row r="32" spans="1:3" ht="14.25" customHeight="1" x14ac:dyDescent="0.25">
      <c r="B32" s="25" t="s">
        <v>29</v>
      </c>
      <c r="C32" s="99">
        <v>0.57635206451775101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12.831490000000001</v>
      </c>
    </row>
    <row r="38" spans="1:5" ht="15" customHeight="1" x14ac:dyDescent="0.25">
      <c r="B38" s="11" t="s">
        <v>34</v>
      </c>
      <c r="C38" s="43">
        <v>21.255769999999998</v>
      </c>
      <c r="D38" s="12"/>
      <c r="E38" s="13"/>
    </row>
    <row r="39" spans="1:5" ht="15" customHeight="1" x14ac:dyDescent="0.25">
      <c r="B39" s="11" t="s">
        <v>35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100">
        <v>2.1800000000000002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5.2859999999999999E-3</v>
      </c>
      <c r="D45" s="12"/>
    </row>
    <row r="46" spans="1:5" ht="15.75" customHeight="1" x14ac:dyDescent="0.25">
      <c r="B46" s="11" t="s">
        <v>41</v>
      </c>
      <c r="C46" s="45">
        <v>5.6797599999999997E-2</v>
      </c>
      <c r="D46" s="12"/>
    </row>
    <row r="47" spans="1:5" ht="15.75" customHeight="1" x14ac:dyDescent="0.25">
      <c r="B47" s="11" t="s">
        <v>42</v>
      </c>
      <c r="C47" s="45">
        <v>7.5974799999999995E-2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1.6120000000000001</v>
      </c>
      <c r="D51" s="12"/>
    </row>
    <row r="52" spans="1:4" ht="15" customHeight="1" x14ac:dyDescent="0.25">
      <c r="B52" s="11" t="s">
        <v>46</v>
      </c>
      <c r="C52" s="100">
        <v>1.6120000000000001</v>
      </c>
    </row>
    <row r="53" spans="1:4" ht="15.75" customHeight="1" x14ac:dyDescent="0.25">
      <c r="B53" s="11" t="s">
        <v>47</v>
      </c>
      <c r="C53" s="100">
        <v>3.1720000000000002</v>
      </c>
    </row>
    <row r="54" spans="1:4" ht="15.75" customHeight="1" x14ac:dyDescent="0.25">
      <c r="B54" s="11" t="s">
        <v>48</v>
      </c>
      <c r="C54" s="100">
        <v>2.34</v>
      </c>
    </row>
    <row r="55" spans="1:4" ht="15.75" customHeight="1" x14ac:dyDescent="0.25">
      <c r="B55" s="11" t="s">
        <v>49</v>
      </c>
      <c r="C55" s="100">
        <v>1.031333333333333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0.47050399999999998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0.1144900477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4.6268999999999928E-3</v>
      </c>
    </row>
    <row r="4" spans="1:8" ht="15.75" customHeight="1" x14ac:dyDescent="0.25">
      <c r="B4" s="19" t="s">
        <v>69</v>
      </c>
      <c r="C4" s="101">
        <v>5.4811399999999962E-2</v>
      </c>
    </row>
    <row r="5" spans="1:8" ht="15.75" customHeight="1" x14ac:dyDescent="0.25">
      <c r="B5" s="19" t="s">
        <v>70</v>
      </c>
      <c r="C5" s="101">
        <v>5.0352800000000079E-2</v>
      </c>
    </row>
    <row r="6" spans="1:8" ht="15.75" customHeight="1" x14ac:dyDescent="0.25">
      <c r="B6" s="19" t="s">
        <v>71</v>
      </c>
      <c r="C6" s="101">
        <v>0.2002200999999994</v>
      </c>
    </row>
    <row r="7" spans="1:8" ht="15.75" customHeight="1" x14ac:dyDescent="0.25">
      <c r="B7" s="19" t="s">
        <v>72</v>
      </c>
      <c r="C7" s="101">
        <v>0.44372300000000048</v>
      </c>
    </row>
    <row r="8" spans="1:8" ht="15.75" customHeight="1" x14ac:dyDescent="0.25">
      <c r="B8" s="19" t="s">
        <v>73</v>
      </c>
      <c r="C8" s="101">
        <v>6.0170000000000048E-4</v>
      </c>
    </row>
    <row r="9" spans="1:8" ht="15.75" customHeight="1" x14ac:dyDescent="0.25">
      <c r="B9" s="19" t="s">
        <v>74</v>
      </c>
      <c r="C9" s="101">
        <v>0.15703459999999991</v>
      </c>
    </row>
    <row r="10" spans="1:8" ht="15.75" customHeight="1" x14ac:dyDescent="0.25">
      <c r="B10" s="19" t="s">
        <v>75</v>
      </c>
      <c r="C10" s="101">
        <v>8.8629500000000097E-2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82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83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84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85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86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87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88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89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4.7776088999999987E-2</v>
      </c>
    </row>
    <row r="27" spans="1:8" ht="15.75" customHeight="1" x14ac:dyDescent="0.25">
      <c r="B27" s="19" t="s">
        <v>92</v>
      </c>
      <c r="C27" s="101">
        <v>1.8197206E-2</v>
      </c>
    </row>
    <row r="28" spans="1:8" ht="15.75" customHeight="1" x14ac:dyDescent="0.25">
      <c r="B28" s="19" t="s">
        <v>93</v>
      </c>
      <c r="C28" s="101">
        <v>0.22881369300000001</v>
      </c>
    </row>
    <row r="29" spans="1:8" ht="15.75" customHeight="1" x14ac:dyDescent="0.25">
      <c r="B29" s="19" t="s">
        <v>94</v>
      </c>
      <c r="C29" s="101">
        <v>0.13822648400000001</v>
      </c>
    </row>
    <row r="30" spans="1:8" ht="15.75" customHeight="1" x14ac:dyDescent="0.25">
      <c r="B30" s="19" t="s">
        <v>95</v>
      </c>
      <c r="C30" s="101">
        <v>5.0121434999999999E-2</v>
      </c>
    </row>
    <row r="31" spans="1:8" ht="15.75" customHeight="1" x14ac:dyDescent="0.25">
      <c r="B31" s="19" t="s">
        <v>96</v>
      </c>
      <c r="C31" s="101">
        <v>6.9180167000000001E-2</v>
      </c>
    </row>
    <row r="32" spans="1:8" ht="15.75" customHeight="1" x14ac:dyDescent="0.25">
      <c r="B32" s="19" t="s">
        <v>97</v>
      </c>
      <c r="C32" s="101">
        <v>0.14697111700000001</v>
      </c>
    </row>
    <row r="33" spans="2:3" ht="15.75" customHeight="1" x14ac:dyDescent="0.25">
      <c r="B33" s="19" t="s">
        <v>98</v>
      </c>
      <c r="C33" s="101">
        <v>0.122692382</v>
      </c>
    </row>
    <row r="34" spans="2:3" ht="15.75" customHeight="1" x14ac:dyDescent="0.25">
      <c r="B34" s="19" t="s">
        <v>99</v>
      </c>
      <c r="C34" s="101">
        <v>0.17802142600000001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104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1759.6080234604401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0.42314000000000002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0.73861999999999994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1.9184676845374407E-2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97269.828099999999</v>
      </c>
      <c r="C22" s="109">
        <v>96983.273650000003</v>
      </c>
      <c r="D22" s="109">
        <v>96811.436279999994</v>
      </c>
      <c r="E22" s="109">
        <v>96358.799939999997</v>
      </c>
      <c r="F22" s="109">
        <v>95741.665299999993</v>
      </c>
      <c r="G22" s="109">
        <v>95080.704729999998</v>
      </c>
      <c r="H22" s="109">
        <v>94271.259430000006</v>
      </c>
      <c r="I22" s="109">
        <v>93129.812300000005</v>
      </c>
      <c r="J22" s="109">
        <v>91427.028510000004</v>
      </c>
      <c r="K22" s="109">
        <v>88877.14301</v>
      </c>
      <c r="L22" s="109">
        <v>85063.655830000003</v>
      </c>
      <c r="M22" s="109">
        <v>79673.528420000002</v>
      </c>
      <c r="N22" s="109">
        <v>72185.250419999997</v>
      </c>
      <c r="O22" s="109">
        <v>61999.453289999998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0.63782823352220286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1.812651550310735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0.89073059999999993</v>
      </c>
      <c r="C10" s="98">
        <v>0.95</v>
      </c>
      <c r="D10" s="56">
        <v>13.57902668055927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13.57902668055927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13.57902668055927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13.57902668055927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0.89073059999999993</v>
      </c>
      <c r="C14" s="98">
        <v>0.95</v>
      </c>
      <c r="D14" s="56">
        <v>13.57902668055927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13.57902668055927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4.1250299999999997E-2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0.64700000000000002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0.48294340000000002</v>
      </c>
      <c r="C19" s="98">
        <v>0.95</v>
      </c>
      <c r="D19" s="56">
        <v>3.014096374602512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4.50575E-2</v>
      </c>
      <c r="C23" s="98">
        <v>0.95</v>
      </c>
      <c r="D23" s="56">
        <v>4.4856136591440912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0.69694892887370008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3.7000000000000012E-2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0.28605269999999999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0.48644500000000002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2.46E-2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0.39700000000000002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0.83350530000000012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0.30354370000000003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0.1965143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0.34371230000000003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9.5000000000000001E-2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1.6120000000000001</v>
      </c>
      <c r="C2" s="21">
        <f>'Baseline year population inputs'!C52</f>
        <v>1.6120000000000001</v>
      </c>
      <c r="D2" s="21">
        <f>'Baseline year population inputs'!C53</f>
        <v>3.1720000000000002</v>
      </c>
      <c r="E2" s="21">
        <f>'Baseline year population inputs'!C54</f>
        <v>2.34</v>
      </c>
      <c r="F2" s="21">
        <f>'Baseline year population inputs'!C55</f>
        <v>1.031333333333333</v>
      </c>
    </row>
    <row r="3" spans="1:6" ht="15.75" customHeight="1" x14ac:dyDescent="0.25">
      <c r="A3" s="3" t="s">
        <v>197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198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