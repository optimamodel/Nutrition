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5E72025-CC15-4F77-B858-AE1FAD5E59F3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5" i="2"/>
  <c r="A33" i="2"/>
  <c r="A29" i="2"/>
  <c r="A27" i="2"/>
  <c r="A25" i="2"/>
  <c r="A21" i="2"/>
  <c r="A19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I2" i="2"/>
  <c r="H2" i="2"/>
  <c r="G2" i="2"/>
  <c r="A2" i="2"/>
  <c r="A39" i="2" s="1"/>
  <c r="C33" i="1"/>
  <c r="C20" i="1"/>
  <c r="A20" i="2" l="1"/>
  <c r="A28" i="2"/>
  <c r="A36" i="2"/>
  <c r="A22" i="2"/>
  <c r="A30" i="2"/>
  <c r="A38" i="2"/>
  <c r="A40" i="2"/>
  <c r="A14" i="2"/>
  <c r="A15" i="2"/>
  <c r="A23" i="2"/>
  <c r="A31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<sst xmlns="http://schemas.openxmlformats.org/spreadsheetml/2006/main" count="2092" uniqueCount="341">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</sst>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1331818.34375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0.86682701110839799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8.8000000000000009E-2</v>
      </c>
    </row>
    <row r="24" spans="1:3" ht="15" customHeight="1" x14ac:dyDescent="0.25">
      <c r="B24" s="15" t="s">
        <v>22</v>
      </c>
      <c r="C24" s="45">
        <v>0.56720000000000004</v>
      </c>
    </row>
    <row r="25" spans="1:3" ht="15" customHeight="1" x14ac:dyDescent="0.25">
      <c r="B25" s="15" t="s">
        <v>23</v>
      </c>
      <c r="C25" s="45">
        <v>0.32450000000000001</v>
      </c>
    </row>
    <row r="26" spans="1:3" ht="15" customHeight="1" x14ac:dyDescent="0.25">
      <c r="B26" s="15" t="s">
        <v>24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4.8260399999999999</v>
      </c>
    </row>
    <row r="38" spans="1:5" ht="15" customHeight="1" x14ac:dyDescent="0.25">
      <c r="B38" s="11" t="s">
        <v>34</v>
      </c>
      <c r="C38" s="43">
        <v>7.0373799999999997</v>
      </c>
      <c r="D38" s="12"/>
      <c r="E38" s="13"/>
    </row>
    <row r="39" spans="1:5" ht="15" customHeight="1" x14ac:dyDescent="0.25">
      <c r="B39" s="11" t="s">
        <v>35</v>
      </c>
      <c r="C39" s="43">
        <v>8.2232299999999992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5.9396000000000006E-3</v>
      </c>
      <c r="D45" s="12"/>
    </row>
    <row r="46" spans="1:5" ht="15.75" customHeight="1" x14ac:dyDescent="0.25">
      <c r="B46" s="11" t="s">
        <v>41</v>
      </c>
      <c r="C46" s="45">
        <v>6.3820600000000005E-2</v>
      </c>
      <c r="D46" s="12"/>
    </row>
    <row r="47" spans="1:5" ht="15.75" customHeight="1" x14ac:dyDescent="0.25">
      <c r="B47" s="11" t="s">
        <v>42</v>
      </c>
      <c r="C47" s="45">
        <v>7.5353000000000003E-2</v>
      </c>
      <c r="D47" s="12"/>
      <c r="E47" s="13"/>
    </row>
    <row r="48" spans="1:5" ht="15" customHeight="1" x14ac:dyDescent="0.25">
      <c r="B48" s="11" t="s">
        <v>43</v>
      </c>
      <c r="C48" s="46">
        <v>0.85488680000000006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0.64658700000000002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413456.42440000002</v>
      </c>
      <c r="C2" s="49">
        <v>1122000</v>
      </c>
      <c r="D2" s="49">
        <v>2015000</v>
      </c>
      <c r="E2" s="49">
        <v>3039000</v>
      </c>
      <c r="F2" s="49">
        <v>2262000</v>
      </c>
      <c r="G2" s="17">
        <f t="shared" ref="G2:G13" si="0">C2+D2+E2+F2</f>
        <v>8438000</v>
      </c>
      <c r="H2" s="17">
        <f t="shared" ref="H2:H13" si="1">(B2 + stillbirth*B2/(1000-stillbirth))/(1-abortion)</f>
        <v>472170.54410160769</v>
      </c>
      <c r="I2" s="17">
        <f t="shared" ref="I2:I13" si="2">G2-H2</f>
        <v>7965829.455898392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404853.91800000001</v>
      </c>
      <c r="C3" s="50">
        <v>1157000</v>
      </c>
      <c r="D3" s="50">
        <v>1980000</v>
      </c>
      <c r="E3" s="50">
        <v>3051000</v>
      </c>
      <c r="F3" s="50">
        <v>2336000</v>
      </c>
      <c r="G3" s="17">
        <f t="shared" si="0"/>
        <v>8524000</v>
      </c>
      <c r="H3" s="17">
        <f t="shared" si="1"/>
        <v>462346.41297722125</v>
      </c>
      <c r="I3" s="17">
        <f t="shared" si="2"/>
        <v>8061653.5870227786</v>
      </c>
    </row>
    <row r="4" spans="1:9" ht="15.75" customHeight="1" x14ac:dyDescent="0.25">
      <c r="A4" s="5">
        <f t="shared" si="3"/>
        <v>2026</v>
      </c>
      <c r="B4" s="49">
        <v>398241.27620000002</v>
      </c>
      <c r="C4" s="50">
        <v>1179000</v>
      </c>
      <c r="D4" s="50">
        <v>1967000</v>
      </c>
      <c r="E4" s="50">
        <v>3047000</v>
      </c>
      <c r="F4" s="50">
        <v>2413000</v>
      </c>
      <c r="G4" s="17">
        <f t="shared" si="0"/>
        <v>8606000</v>
      </c>
      <c r="H4" s="17">
        <f t="shared" si="1"/>
        <v>454794.72314391891</v>
      </c>
      <c r="I4" s="17">
        <f t="shared" si="2"/>
        <v>8151205.2768560816</v>
      </c>
    </row>
    <row r="5" spans="1:9" ht="15.75" customHeight="1" x14ac:dyDescent="0.25">
      <c r="A5" s="5">
        <f t="shared" si="3"/>
        <v>2027</v>
      </c>
      <c r="B5" s="49">
        <v>391640.83519999997</v>
      </c>
      <c r="C5" s="50">
        <v>1188000</v>
      </c>
      <c r="D5" s="50">
        <v>1978000</v>
      </c>
      <c r="E5" s="50">
        <v>3023000</v>
      </c>
      <c r="F5" s="50">
        <v>2495000</v>
      </c>
      <c r="G5" s="17">
        <f t="shared" si="0"/>
        <v>8684000</v>
      </c>
      <c r="H5" s="17">
        <f t="shared" si="1"/>
        <v>447256.96672181651</v>
      </c>
      <c r="I5" s="17">
        <f t="shared" si="2"/>
        <v>8236743.0332781831</v>
      </c>
    </row>
    <row r="6" spans="1:9" ht="15.75" customHeight="1" x14ac:dyDescent="0.25">
      <c r="A6" s="5">
        <f t="shared" si="3"/>
        <v>2028</v>
      </c>
      <c r="B6" s="49">
        <v>385044.69400000008</v>
      </c>
      <c r="C6" s="50">
        <v>1187000</v>
      </c>
      <c r="D6" s="50">
        <v>2008000</v>
      </c>
      <c r="E6" s="50">
        <v>2984000</v>
      </c>
      <c r="F6" s="50">
        <v>2578000</v>
      </c>
      <c r="G6" s="17">
        <f t="shared" si="0"/>
        <v>8757000</v>
      </c>
      <c r="H6" s="17">
        <f t="shared" si="1"/>
        <v>439724.12070571049</v>
      </c>
      <c r="I6" s="17">
        <f t="shared" si="2"/>
        <v>8317275.8792942893</v>
      </c>
    </row>
    <row r="7" spans="1:9" ht="15.75" customHeight="1" x14ac:dyDescent="0.25">
      <c r="A7" s="5">
        <f t="shared" si="3"/>
        <v>2029</v>
      </c>
      <c r="B7" s="49">
        <v>378454.37359999999</v>
      </c>
      <c r="C7" s="50">
        <v>1181000</v>
      </c>
      <c r="D7" s="50">
        <v>2047000</v>
      </c>
      <c r="E7" s="50">
        <v>2931000</v>
      </c>
      <c r="F7" s="50">
        <v>2658000</v>
      </c>
      <c r="G7" s="17">
        <f t="shared" si="0"/>
        <v>8817000</v>
      </c>
      <c r="H7" s="17">
        <f t="shared" si="1"/>
        <v>432197.92208976764</v>
      </c>
      <c r="I7" s="17">
        <f t="shared" si="2"/>
        <v>8384802.0779102324</v>
      </c>
    </row>
    <row r="8" spans="1:9" ht="15.75" customHeight="1" x14ac:dyDescent="0.25">
      <c r="A8" s="5">
        <f t="shared" si="3"/>
        <v>2030</v>
      </c>
      <c r="B8" s="49">
        <v>371862.47999999992</v>
      </c>
      <c r="C8" s="50">
        <v>1175000</v>
      </c>
      <c r="D8" s="50">
        <v>2092000</v>
      </c>
      <c r="E8" s="50">
        <v>2868000</v>
      </c>
      <c r="F8" s="50">
        <v>2731000</v>
      </c>
      <c r="G8" s="17">
        <f t="shared" si="0"/>
        <v>8866000</v>
      </c>
      <c r="H8" s="17">
        <f t="shared" si="1"/>
        <v>424669.92686683999</v>
      </c>
      <c r="I8" s="17">
        <f t="shared" si="2"/>
        <v>8441330.0731331594</v>
      </c>
    </row>
    <row r="9" spans="1:9" ht="15.75" customHeight="1" x14ac:dyDescent="0.25">
      <c r="A9" s="5">
        <f t="shared" si="3"/>
        <v>2031</v>
      </c>
      <c r="B9" s="49">
        <v>365920.48794285703</v>
      </c>
      <c r="C9" s="50">
        <v>1182571.4285714291</v>
      </c>
      <c r="D9" s="50">
        <v>2103000</v>
      </c>
      <c r="E9" s="50">
        <v>2843571.4285714291</v>
      </c>
      <c r="F9" s="50">
        <v>2798000</v>
      </c>
      <c r="G9" s="17">
        <f t="shared" si="0"/>
        <v>8927142.8571428582</v>
      </c>
      <c r="H9" s="17">
        <f t="shared" si="1"/>
        <v>417884.12440473033</v>
      </c>
      <c r="I9" s="17">
        <f t="shared" si="2"/>
        <v>8509258.7327381279</v>
      </c>
    </row>
    <row r="10" spans="1:9" ht="15.75" customHeight="1" x14ac:dyDescent="0.25">
      <c r="A10" s="5">
        <f t="shared" si="3"/>
        <v>2032</v>
      </c>
      <c r="B10" s="49">
        <v>360358.56936326518</v>
      </c>
      <c r="C10" s="50">
        <v>1186224.4897959181</v>
      </c>
      <c r="D10" s="50">
        <v>2120571.4285714291</v>
      </c>
      <c r="E10" s="50">
        <v>2813938.775510204</v>
      </c>
      <c r="F10" s="50">
        <v>2864000</v>
      </c>
      <c r="G10" s="17">
        <f t="shared" si="0"/>
        <v>8984734.6938775517</v>
      </c>
      <c r="H10" s="17">
        <f t="shared" si="1"/>
        <v>411532.36889437446</v>
      </c>
      <c r="I10" s="17">
        <f t="shared" si="2"/>
        <v>8573202.3249831777</v>
      </c>
    </row>
    <row r="11" spans="1:9" ht="15.75" customHeight="1" x14ac:dyDescent="0.25">
      <c r="A11" s="5">
        <f t="shared" si="3"/>
        <v>2033</v>
      </c>
      <c r="B11" s="49">
        <v>354946.75410087447</v>
      </c>
      <c r="C11" s="50">
        <v>1187256.5597667641</v>
      </c>
      <c r="D11" s="50">
        <v>2142510.2040816331</v>
      </c>
      <c r="E11" s="50">
        <v>2780644.314868805</v>
      </c>
      <c r="F11" s="50">
        <v>2928428.5714285709</v>
      </c>
      <c r="G11" s="17">
        <f t="shared" si="0"/>
        <v>9038839.6501457728</v>
      </c>
      <c r="H11" s="17">
        <f t="shared" si="1"/>
        <v>405352.03257301095</v>
      </c>
      <c r="I11" s="17">
        <f t="shared" si="2"/>
        <v>8633487.6175727621</v>
      </c>
    </row>
    <row r="12" spans="1:9" ht="15.75" customHeight="1" x14ac:dyDescent="0.25">
      <c r="A12" s="5">
        <f t="shared" si="3"/>
        <v>2034</v>
      </c>
      <c r="B12" s="49">
        <v>349704.74251528509</v>
      </c>
      <c r="C12" s="50">
        <v>1187150.354019159</v>
      </c>
      <c r="D12" s="50">
        <v>2166011.6618075799</v>
      </c>
      <c r="E12" s="50">
        <v>2746022.0741357771</v>
      </c>
      <c r="F12" s="50">
        <v>2990346.9387755101</v>
      </c>
      <c r="G12" s="17">
        <f t="shared" si="0"/>
        <v>9089531.0287380256</v>
      </c>
      <c r="H12" s="17">
        <f t="shared" si="1"/>
        <v>399365.61340889585</v>
      </c>
      <c r="I12" s="17">
        <f t="shared" si="2"/>
        <v>8690165.4153291304</v>
      </c>
    </row>
    <row r="13" spans="1:9" ht="15.75" customHeight="1" x14ac:dyDescent="0.25">
      <c r="A13" s="5">
        <f t="shared" si="3"/>
        <v>2035</v>
      </c>
      <c r="B13" s="49">
        <v>344656.17801746872</v>
      </c>
      <c r="C13" s="50">
        <v>1187171.8331647529</v>
      </c>
      <c r="D13" s="50">
        <v>2188584.7563515198</v>
      </c>
      <c r="E13" s="50">
        <v>2712025.227583745</v>
      </c>
      <c r="F13" s="50">
        <v>3049253.6443148688</v>
      </c>
      <c r="G13" s="17">
        <f t="shared" si="0"/>
        <v>9137035.4614148866</v>
      </c>
      <c r="H13" s="17">
        <f t="shared" si="1"/>
        <v>393600.11236649385</v>
      </c>
      <c r="I13" s="17">
        <f t="shared" si="2"/>
        <v>8743435.3490483928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5.505921618550734E-2</v>
      </c>
    </row>
    <row r="5" spans="1:8" ht="15.75" customHeight="1" x14ac:dyDescent="0.25">
      <c r="B5" s="19" t="s">
        <v>70</v>
      </c>
      <c r="C5" s="101">
        <v>3.1744383940946891E-2</v>
      </c>
    </row>
    <row r="6" spans="1:8" ht="15.75" customHeight="1" x14ac:dyDescent="0.25">
      <c r="B6" s="19" t="s">
        <v>71</v>
      </c>
      <c r="C6" s="101">
        <v>0.1737396152025559</v>
      </c>
    </row>
    <row r="7" spans="1:8" ht="15.75" customHeight="1" x14ac:dyDescent="0.25">
      <c r="B7" s="19" t="s">
        <v>72</v>
      </c>
      <c r="C7" s="101">
        <v>0.38069658064395451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0.2666497047516671</v>
      </c>
    </row>
    <row r="10" spans="1:8" ht="15.75" customHeight="1" x14ac:dyDescent="0.25">
      <c r="B10" s="19" t="s">
        <v>75</v>
      </c>
      <c r="C10" s="101">
        <v>9.2110499275368213E-2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82</v>
      </c>
      <c r="C15" s="101">
        <v>0.16312824572178389</v>
      </c>
      <c r="D15" s="101">
        <v>0.16312824572178389</v>
      </c>
      <c r="E15" s="101">
        <v>0.16312824572178389</v>
      </c>
      <c r="F15" s="101">
        <v>0.16312824572178389</v>
      </c>
    </row>
    <row r="16" spans="1:8" ht="15.75" customHeight="1" x14ac:dyDescent="0.25">
      <c r="B16" s="19" t="s">
        <v>83</v>
      </c>
      <c r="C16" s="101">
        <v>1.043185977361526E-2</v>
      </c>
      <c r="D16" s="101">
        <v>1.043185977361526E-2</v>
      </c>
      <c r="E16" s="101">
        <v>1.043185977361526E-2</v>
      </c>
      <c r="F16" s="101">
        <v>1.043185977361526E-2</v>
      </c>
    </row>
    <row r="17" spans="1:8" ht="15.75" customHeight="1" x14ac:dyDescent="0.25">
      <c r="B17" s="19" t="s">
        <v>84</v>
      </c>
      <c r="C17" s="101">
        <v>5.610694382909396E-2</v>
      </c>
      <c r="D17" s="101">
        <v>5.610694382909396E-2</v>
      </c>
      <c r="E17" s="101">
        <v>5.610694382909396E-2</v>
      </c>
      <c r="F17" s="101">
        <v>5.610694382909396E-2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7.3411218117903063E-2</v>
      </c>
      <c r="D19" s="101">
        <v>7.3411218117903063E-2</v>
      </c>
      <c r="E19" s="101">
        <v>7.3411218117903063E-2</v>
      </c>
      <c r="F19" s="101">
        <v>7.3411218117903063E-2</v>
      </c>
    </row>
    <row r="20" spans="1:8" ht="15.75" customHeight="1" x14ac:dyDescent="0.25">
      <c r="B20" s="19" t="s">
        <v>87</v>
      </c>
      <c r="C20" s="101">
        <v>0.2483207157957853</v>
      </c>
      <c r="D20" s="101">
        <v>0.2483207157957853</v>
      </c>
      <c r="E20" s="101">
        <v>0.2483207157957853</v>
      </c>
      <c r="F20" s="101">
        <v>0.2483207157957853</v>
      </c>
    </row>
    <row r="21" spans="1:8" ht="15.75" customHeight="1" x14ac:dyDescent="0.25">
      <c r="B21" s="19" t="s">
        <v>88</v>
      </c>
      <c r="C21" s="101">
        <v>0.2568545372870949</v>
      </c>
      <c r="D21" s="101">
        <v>0.2568545372870949</v>
      </c>
      <c r="E21" s="101">
        <v>0.2568545372870949</v>
      </c>
      <c r="F21" s="101">
        <v>0.2568545372870949</v>
      </c>
    </row>
    <row r="22" spans="1:8" ht="15.75" customHeight="1" x14ac:dyDescent="0.25">
      <c r="B22" s="19" t="s">
        <v>89</v>
      </c>
      <c r="C22" s="101">
        <v>0.1831764614981759</v>
      </c>
      <c r="D22" s="101">
        <v>0.1831764614981759</v>
      </c>
      <c r="E22" s="101">
        <v>0.1831764614981759</v>
      </c>
      <c r="F22" s="101">
        <v>0.1831764614981759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4.9599230000000001E-2</v>
      </c>
    </row>
    <row r="27" spans="1:8" ht="15.75" customHeight="1" x14ac:dyDescent="0.25">
      <c r="B27" s="19" t="s">
        <v>92</v>
      </c>
      <c r="C27" s="101">
        <v>5.3032503999999987E-2</v>
      </c>
    </row>
    <row r="28" spans="1:8" ht="15.75" customHeight="1" x14ac:dyDescent="0.25">
      <c r="B28" s="19" t="s">
        <v>93</v>
      </c>
      <c r="C28" s="101">
        <v>0.110220151</v>
      </c>
    </row>
    <row r="29" spans="1:8" ht="15.75" customHeight="1" x14ac:dyDescent="0.25">
      <c r="B29" s="19" t="s">
        <v>94</v>
      </c>
      <c r="C29" s="101">
        <v>0.122891953</v>
      </c>
    </row>
    <row r="30" spans="1:8" ht="15.75" customHeight="1" x14ac:dyDescent="0.25">
      <c r="B30" s="19" t="s">
        <v>95</v>
      </c>
      <c r="C30" s="101">
        <v>7.3900320000000005E-2</v>
      </c>
    </row>
    <row r="31" spans="1:8" ht="15.75" customHeight="1" x14ac:dyDescent="0.25">
      <c r="B31" s="19" t="s">
        <v>96</v>
      </c>
      <c r="C31" s="101">
        <v>5.9789176999999999E-2</v>
      </c>
    </row>
    <row r="32" spans="1:8" ht="15.75" customHeight="1" x14ac:dyDescent="0.25">
      <c r="B32" s="19" t="s">
        <v>97</v>
      </c>
      <c r="C32" s="101">
        <v>0.12020602599999999</v>
      </c>
    </row>
    <row r="33" spans="2:3" ht="15.75" customHeight="1" x14ac:dyDescent="0.25">
      <c r="B33" s="19" t="s">
        <v>98</v>
      </c>
      <c r="C33" s="101">
        <v>0.11539405899999999</v>
      </c>
    </row>
    <row r="34" spans="2:3" ht="15.75" customHeight="1" x14ac:dyDescent="0.25">
      <c r="B34" s="19" t="s">
        <v>99</v>
      </c>
      <c r="C34" s="101">
        <v>0.29496657999999998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122</v>
      </c>
      <c r="C5" s="52">
        <v>9.2592900000000006E-2</v>
      </c>
      <c r="D5" s="52">
        <v>0.12327009999999999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0.16343911359551999</v>
      </c>
      <c r="C2" s="98">
        <v>0.95</v>
      </c>
      <c r="D2" s="56">
        <v>45.538469166818018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42.692246247747647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218.572803066435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8.9825738217550022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13.70995814776825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13.70995814776825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13.70995814776825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13.70995814776825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13.70995814776825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13.70995814776825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0.24387949941879999</v>
      </c>
      <c r="C16" s="98">
        <v>0.95</v>
      </c>
      <c r="D16" s="56">
        <v>0.44919677959070559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5.0978270834575747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5.0978270834575747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93.973155012451954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23.487909719040388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0.27220169999999999</v>
      </c>
      <c r="C23" s="98">
        <v>0.95</v>
      </c>
      <c r="D23" s="56">
        <v>4.5674458261497017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0.7399211048616201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0.20955410633471999</v>
      </c>
      <c r="C27" s="98">
        <v>0.95</v>
      </c>
      <c r="D27" s="56">
        <v>19.711165685025641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0.59233060000000004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85.139330298277699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3.1374405621372272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0.18352399999999999</v>
      </c>
      <c r="C32" s="98">
        <v>0.95</v>
      </c>
      <c r="D32" s="56">
        <v>0.93094042298659452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0.97745300000000002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1.380272503608452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0.58499999999999996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6.5254764556884975E-2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2.7966327667236422E-2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3.9951896667480599E-2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0.89793314621076803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2024-03-28T03:04:51Z</dcterms:modified>
</cp:coreProperties>
</file>