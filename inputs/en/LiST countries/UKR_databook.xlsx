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1E9DEC0-5EC4-41F2-9546-1753225AF00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27" i="2"/>
  <c r="A26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0" i="2" l="1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<sst xmlns="http://schemas.openxmlformats.org/spreadsheetml/2006/main" count="2094" uniqueCount="341">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</sst>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1331818.34375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0.86682701110839799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8.8000000000000009E-2</v>
      </c>
    </row>
    <row r="24" spans="1:3" ht="15" customHeight="1" x14ac:dyDescent="0.25">
      <c r="B24" s="15" t="s">
        <v>22</v>
      </c>
      <c r="C24" s="45">
        <v>0.56720000000000004</v>
      </c>
    </row>
    <row r="25" spans="1:3" ht="15" customHeight="1" x14ac:dyDescent="0.25">
      <c r="B25" s="15" t="s">
        <v>23</v>
      </c>
      <c r="C25" s="45">
        <v>0.32450000000000001</v>
      </c>
    </row>
    <row r="26" spans="1:3" ht="15" customHeight="1" x14ac:dyDescent="0.25">
      <c r="B26" s="15" t="s">
        <v>24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4.8260399999999999</v>
      </c>
    </row>
    <row r="38" spans="1:5" ht="15" customHeight="1" x14ac:dyDescent="0.25">
      <c r="B38" s="11" t="s">
        <v>34</v>
      </c>
      <c r="C38" s="43">
        <v>7.0373799999999997</v>
      </c>
      <c r="D38" s="12"/>
      <c r="E38" s="13"/>
    </row>
    <row r="39" spans="1:5" ht="15" customHeight="1" x14ac:dyDescent="0.25">
      <c r="B39" s="11" t="s">
        <v>35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5.9396000000000006E-3</v>
      </c>
      <c r="D45" s="12"/>
    </row>
    <row r="46" spans="1:5" ht="15.75" customHeight="1" x14ac:dyDescent="0.25">
      <c r="B46" s="11" t="s">
        <v>41</v>
      </c>
      <c r="C46" s="45">
        <v>6.3820600000000005E-2</v>
      </c>
      <c r="D46" s="12"/>
    </row>
    <row r="47" spans="1:5" ht="15.75" customHeight="1" x14ac:dyDescent="0.25">
      <c r="B47" s="11" t="s">
        <v>42</v>
      </c>
      <c r="C47" s="45">
        <v>7.5353000000000003E-2</v>
      </c>
      <c r="D47" s="12"/>
      <c r="E47" s="13"/>
    </row>
    <row r="48" spans="1:5" ht="15" customHeight="1" x14ac:dyDescent="0.25">
      <c r="B48" s="11" t="s">
        <v>43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0.64658700000000002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214410</v>
      </c>
      <c r="C2" s="49">
        <v>1217649.5</v>
      </c>
      <c r="D2" s="49">
        <v>1246723.5</v>
      </c>
      <c r="E2" s="49">
        <v>2693524.5</v>
      </c>
      <c r="F2" s="49">
        <v>2826256</v>
      </c>
      <c r="G2" s="17">
        <f t="shared" ref="G2:G13" si="0">C2+D2+E2+F2</f>
        <v>7984153.5</v>
      </c>
      <c r="H2" s="17">
        <f t="shared" ref="H2:H13" si="1">(B2 + stillbirth*B2/(1000-stillbirth))/(1-abortion)</f>
        <v>244857.9351687193</v>
      </c>
      <c r="I2" s="17">
        <f t="shared" ref="I2:I13" si="2">G2-H2</f>
        <v>7739295.5648312811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237722</v>
      </c>
      <c r="C3" s="50">
        <v>1362299.5</v>
      </c>
      <c r="D3" s="50">
        <v>1457424</v>
      </c>
      <c r="E3" s="50">
        <v>2642679.5</v>
      </c>
      <c r="F3" s="50">
        <v>2903412.5</v>
      </c>
      <c r="G3" s="17">
        <f t="shared" si="0"/>
        <v>8365815.5</v>
      </c>
      <c r="H3" s="17">
        <f t="shared" si="1"/>
        <v>271480.42565262021</v>
      </c>
      <c r="I3" s="17">
        <f t="shared" si="2"/>
        <v>8094335.0743473796</v>
      </c>
    </row>
    <row r="4" spans="1:9" ht="15.75" customHeight="1" x14ac:dyDescent="0.25">
      <c r="A4" s="5">
        <f t="shared" si="3"/>
        <v>2026</v>
      </c>
      <c r="B4" s="49">
        <v>254121</v>
      </c>
      <c r="C4" s="50">
        <v>1446733</v>
      </c>
      <c r="D4" s="50">
        <v>1602840</v>
      </c>
      <c r="E4" s="50">
        <v>2535339</v>
      </c>
      <c r="F4" s="50">
        <v>2949903</v>
      </c>
      <c r="G4" s="17">
        <f t="shared" si="0"/>
        <v>8534815</v>
      </c>
      <c r="H4" s="17">
        <f t="shared" si="1"/>
        <v>290208.21483610896</v>
      </c>
      <c r="I4" s="17">
        <f t="shared" si="2"/>
        <v>8244606.7851638906</v>
      </c>
    </row>
    <row r="5" spans="1:9" ht="15.75" customHeight="1" x14ac:dyDescent="0.25">
      <c r="A5" s="5">
        <f t="shared" si="3"/>
        <v>2027</v>
      </c>
      <c r="B5" s="49">
        <v>261123</v>
      </c>
      <c r="C5" s="50">
        <v>1478044.5</v>
      </c>
      <c r="D5" s="50">
        <v>1706463</v>
      </c>
      <c r="E5" s="50">
        <v>2384197.5</v>
      </c>
      <c r="F5" s="50">
        <v>2989180</v>
      </c>
      <c r="G5" s="17">
        <f t="shared" si="0"/>
        <v>8557885</v>
      </c>
      <c r="H5" s="17">
        <f t="shared" si="1"/>
        <v>298204.55484847486</v>
      </c>
      <c r="I5" s="17">
        <f t="shared" si="2"/>
        <v>8259680.4451515255</v>
      </c>
    </row>
    <row r="6" spans="1:9" ht="15.75" customHeight="1" x14ac:dyDescent="0.25">
      <c r="A6" s="5">
        <f t="shared" si="3"/>
        <v>2028</v>
      </c>
      <c r="B6" s="49">
        <v>264431</v>
      </c>
      <c r="C6" s="50">
        <v>1471822</v>
      </c>
      <c r="D6" s="50">
        <v>1805841.5</v>
      </c>
      <c r="E6" s="50">
        <v>2223611</v>
      </c>
      <c r="F6" s="50">
        <v>3019077.5</v>
      </c>
      <c r="G6" s="17">
        <f t="shared" si="0"/>
        <v>8520352</v>
      </c>
      <c r="H6" s="17">
        <f t="shared" si="1"/>
        <v>301982.31731075799</v>
      </c>
      <c r="I6" s="17">
        <f t="shared" si="2"/>
        <v>8218369.6826892421</v>
      </c>
    </row>
    <row r="7" spans="1:9" ht="15.75" customHeight="1" x14ac:dyDescent="0.25">
      <c r="A7" s="5">
        <f t="shared" si="3"/>
        <v>2029</v>
      </c>
      <c r="B7" s="49">
        <v>266854</v>
      </c>
      <c r="C7" s="50">
        <v>1432587.5</v>
      </c>
      <c r="D7" s="50">
        <v>1913673.5</v>
      </c>
      <c r="E7" s="50">
        <v>2066883</v>
      </c>
      <c r="F7" s="50">
        <v>3023946</v>
      </c>
      <c r="G7" s="17">
        <f t="shared" si="0"/>
        <v>8437090</v>
      </c>
      <c r="H7" s="17">
        <f t="shared" si="1"/>
        <v>304749.40269350039</v>
      </c>
      <c r="I7" s="17">
        <f t="shared" si="2"/>
        <v>8132340.5973064993</v>
      </c>
    </row>
    <row r="8" spans="1:9" ht="15.75" customHeight="1" x14ac:dyDescent="0.25">
      <c r="A8" s="5">
        <f t="shared" si="3"/>
        <v>2030</v>
      </c>
      <c r="B8" s="49">
        <v>269312</v>
      </c>
      <c r="C8" s="50">
        <v>1378091</v>
      </c>
      <c r="D8" s="50">
        <v>2021948.5</v>
      </c>
      <c r="E8" s="50">
        <v>1925464.5</v>
      </c>
      <c r="F8" s="50">
        <v>3002286</v>
      </c>
      <c r="G8" s="17">
        <f t="shared" si="0"/>
        <v>8327790</v>
      </c>
      <c r="H8" s="17">
        <f t="shared" si="1"/>
        <v>307556.4583562247</v>
      </c>
      <c r="I8" s="17">
        <f t="shared" si="2"/>
        <v>8020233.5416437751</v>
      </c>
    </row>
    <row r="9" spans="1:9" ht="15.75" customHeight="1" x14ac:dyDescent="0.25">
      <c r="A9" s="5">
        <f t="shared" si="3"/>
        <v>2031</v>
      </c>
      <c r="B9" s="49">
        <v>272672</v>
      </c>
      <c r="C9" s="50">
        <v>1315415</v>
      </c>
      <c r="D9" s="50">
        <v>2124610</v>
      </c>
      <c r="E9" s="50">
        <v>1801472.5</v>
      </c>
      <c r="F9" s="50">
        <v>2956105.5</v>
      </c>
      <c r="G9" s="17">
        <f t="shared" si="0"/>
        <v>8197603</v>
      </c>
      <c r="H9" s="17">
        <f t="shared" si="1"/>
        <v>311393.60523448081</v>
      </c>
      <c r="I9" s="17">
        <f t="shared" si="2"/>
        <v>7886209.3947655195</v>
      </c>
    </row>
    <row r="10" spans="1:9" ht="15.75" customHeight="1" x14ac:dyDescent="0.25">
      <c r="A10" s="5">
        <f t="shared" si="3"/>
        <v>2032</v>
      </c>
      <c r="B10" s="49">
        <v>275427</v>
      </c>
      <c r="C10" s="50">
        <v>1233812</v>
      </c>
      <c r="D10" s="50">
        <v>2221921.5</v>
      </c>
      <c r="E10" s="50">
        <v>1703576.5</v>
      </c>
      <c r="F10" s="50">
        <v>2894109</v>
      </c>
      <c r="G10" s="17">
        <f t="shared" si="0"/>
        <v>8053419</v>
      </c>
      <c r="H10" s="17">
        <f t="shared" si="1"/>
        <v>314539.83727305091</v>
      </c>
      <c r="I10" s="17">
        <f t="shared" si="2"/>
        <v>7738879.162726949</v>
      </c>
    </row>
    <row r="11" spans="1:9" ht="15.75" customHeight="1" x14ac:dyDescent="0.25">
      <c r="A11" s="5">
        <f t="shared" si="3"/>
        <v>2033</v>
      </c>
      <c r="B11" s="49">
        <v>279081</v>
      </c>
      <c r="C11" s="50">
        <v>1145618.5</v>
      </c>
      <c r="D11" s="50">
        <v>2299995.5</v>
      </c>
      <c r="E11" s="50">
        <v>1642955</v>
      </c>
      <c r="F11" s="50">
        <v>2793500</v>
      </c>
      <c r="G11" s="17">
        <f t="shared" si="0"/>
        <v>7882069</v>
      </c>
      <c r="H11" s="17">
        <f t="shared" si="1"/>
        <v>318712.73450315447</v>
      </c>
      <c r="I11" s="17">
        <f t="shared" si="2"/>
        <v>7563356.2654968454</v>
      </c>
    </row>
    <row r="12" spans="1:9" ht="15.75" customHeight="1" x14ac:dyDescent="0.25">
      <c r="A12" s="5">
        <f t="shared" si="3"/>
        <v>2034</v>
      </c>
      <c r="B12" s="49">
        <v>282726</v>
      </c>
      <c r="C12" s="50">
        <v>1060136</v>
      </c>
      <c r="D12" s="50">
        <v>2350997</v>
      </c>
      <c r="E12" s="50">
        <v>1619498.5</v>
      </c>
      <c r="F12" s="50">
        <v>2658849.5</v>
      </c>
      <c r="G12" s="17">
        <f t="shared" si="0"/>
        <v>7689481</v>
      </c>
      <c r="H12" s="17">
        <f t="shared" si="1"/>
        <v>322875.35366126266</v>
      </c>
      <c r="I12" s="17">
        <f t="shared" si="2"/>
        <v>7366605.6463387376</v>
      </c>
    </row>
    <row r="13" spans="1:9" ht="15.75" customHeight="1" x14ac:dyDescent="0.25">
      <c r="A13" s="5">
        <f t="shared" si="3"/>
        <v>2035</v>
      </c>
      <c r="B13" s="49">
        <v>287795</v>
      </c>
      <c r="C13" s="50">
        <v>985884.49999999988</v>
      </c>
      <c r="D13" s="50">
        <v>2370537.5</v>
      </c>
      <c r="E13" s="50">
        <v>1622593</v>
      </c>
      <c r="F13" s="50">
        <v>2514085.5</v>
      </c>
      <c r="G13" s="17">
        <f t="shared" si="0"/>
        <v>7493100.5</v>
      </c>
      <c r="H13" s="17">
        <f t="shared" si="1"/>
        <v>328664.19221063185</v>
      </c>
      <c r="I13" s="17">
        <f t="shared" si="2"/>
        <v>7164436.3077893686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5.505921618550734E-2</v>
      </c>
    </row>
    <row r="5" spans="1:8" ht="15.75" customHeight="1" x14ac:dyDescent="0.25">
      <c r="B5" s="19" t="s">
        <v>70</v>
      </c>
      <c r="C5" s="101">
        <v>3.1744383940946891E-2</v>
      </c>
    </row>
    <row r="6" spans="1:8" ht="15.75" customHeight="1" x14ac:dyDescent="0.25">
      <c r="B6" s="19" t="s">
        <v>71</v>
      </c>
      <c r="C6" s="101">
        <v>0.1737396152025559</v>
      </c>
    </row>
    <row r="7" spans="1:8" ht="15.75" customHeight="1" x14ac:dyDescent="0.25">
      <c r="B7" s="19" t="s">
        <v>72</v>
      </c>
      <c r="C7" s="101">
        <v>0.38069658064395451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0.2666497047516671</v>
      </c>
    </row>
    <row r="10" spans="1:8" ht="15.75" customHeight="1" x14ac:dyDescent="0.25">
      <c r="B10" s="19" t="s">
        <v>75</v>
      </c>
      <c r="C10" s="101">
        <v>9.2110499275368213E-2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82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83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84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87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88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89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4.9599230000000001E-2</v>
      </c>
    </row>
    <row r="27" spans="1:8" ht="15.75" customHeight="1" x14ac:dyDescent="0.25">
      <c r="B27" s="19" t="s">
        <v>92</v>
      </c>
      <c r="C27" s="101">
        <v>5.3032503999999987E-2</v>
      </c>
    </row>
    <row r="28" spans="1:8" ht="15.75" customHeight="1" x14ac:dyDescent="0.25">
      <c r="B28" s="19" t="s">
        <v>93</v>
      </c>
      <c r="C28" s="101">
        <v>0.110220151</v>
      </c>
    </row>
    <row r="29" spans="1:8" ht="15.75" customHeight="1" x14ac:dyDescent="0.25">
      <c r="B29" s="19" t="s">
        <v>94</v>
      </c>
      <c r="C29" s="101">
        <v>0.122891953</v>
      </c>
    </row>
    <row r="30" spans="1:8" ht="15.75" customHeight="1" x14ac:dyDescent="0.25">
      <c r="B30" s="19" t="s">
        <v>95</v>
      </c>
      <c r="C30" s="101">
        <v>7.3900320000000005E-2</v>
      </c>
    </row>
    <row r="31" spans="1:8" ht="15.75" customHeight="1" x14ac:dyDescent="0.25">
      <c r="B31" s="19" t="s">
        <v>96</v>
      </c>
      <c r="C31" s="101">
        <v>5.9789176999999999E-2</v>
      </c>
    </row>
    <row r="32" spans="1:8" ht="15.75" customHeight="1" x14ac:dyDescent="0.25">
      <c r="B32" s="19" t="s">
        <v>97</v>
      </c>
      <c r="C32" s="101">
        <v>0.12020602599999999</v>
      </c>
    </row>
    <row r="33" spans="2:3" ht="15.75" customHeight="1" x14ac:dyDescent="0.25">
      <c r="B33" s="19" t="s">
        <v>98</v>
      </c>
      <c r="C33" s="101">
        <v>0.11539405899999999</v>
      </c>
    </row>
    <row r="34" spans="2:3" ht="15.75" customHeight="1" x14ac:dyDescent="0.25">
      <c r="B34" s="19" t="s">
        <v>99</v>
      </c>
      <c r="C34" s="101">
        <v>0.29496657999999998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122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45.538469166818018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0.24387949941879999</v>
      </c>
      <c r="C3" s="98">
        <v>0.95</v>
      </c>
      <c r="D3" s="56">
        <v>42.692246247747647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218.572803066435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9.5296125674998819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3.4021799999999998E-2</v>
      </c>
      <c r="C10" s="98">
        <v>0.95</v>
      </c>
      <c r="D10" s="56">
        <v>13.70995814776825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3.4021799999999998E-2</v>
      </c>
      <c r="C11" s="98">
        <v>0.95</v>
      </c>
      <c r="D11" s="56">
        <v>13.70995814776825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3.4021799999999998E-2</v>
      </c>
      <c r="C12" s="98">
        <v>0.95</v>
      </c>
      <c r="D12" s="56">
        <v>13.70995814776825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3.4021799999999998E-2</v>
      </c>
      <c r="C13" s="98">
        <v>0.95</v>
      </c>
      <c r="D13" s="56">
        <v>13.70995814776825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3.4021799999999998E-2</v>
      </c>
      <c r="C14" s="98">
        <v>0.95</v>
      </c>
      <c r="D14" s="56">
        <v>13.70995814776825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3.4021799999999998E-2</v>
      </c>
      <c r="C15" s="98">
        <v>0.95</v>
      </c>
      <c r="D15" s="56">
        <v>13.70995814776825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0.44919677959070559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0.12451569696742</v>
      </c>
      <c r="C18" s="98">
        <v>0.95</v>
      </c>
      <c r="D18" s="56">
        <v>5.0978270834575747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0.97745300000000002</v>
      </c>
      <c r="C19" s="98">
        <v>0.95</v>
      </c>
      <c r="D19" s="56">
        <v>5.0978270834575747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0.62716769999999999</v>
      </c>
      <c r="C21" s="98">
        <v>0.95</v>
      </c>
      <c r="D21" s="56">
        <v>93.973155012451954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23.487909719040388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4.5674458261497017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0.9435388978290401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3.4021799999999998E-2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19.711165685025641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0.7399211048616201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85.139330298277699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3.1374405621372272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0.93094042298659452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0.58499999999999996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0.59233060000000004</v>
      </c>
      <c r="C38" s="98">
        <v>0.95</v>
      </c>
      <c r="D38" s="56">
        <v>1.380272503608452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A3B032-71A8-4B62-A298-EE5C8663F70B}"/>
</file>

<file path=customXml/itemProps2.xml><?xml version="1.0" encoding="utf-8"?>
<ds:datastoreItem xmlns:ds="http://schemas.openxmlformats.org/officeDocument/2006/customXml" ds:itemID="{E3E7D922-A904-43C1-993E-64F3D4EF69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2024-04-11T00:42:21Z</dcterms:modified>
</cp:coreProperties>
</file>