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5AF24C8A-E3E1-4583-B466-0253AE9F5978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1" i="2"/>
  <c r="A40" i="2"/>
  <c r="A34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<sst xmlns="http://schemas.openxmlformats.org/spreadsheetml/2006/main" count="2159" uniqueCount="372">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</sst>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454169.5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0.64993591308593812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3.5799999999999998E-2</v>
      </c>
    </row>
    <row r="24" spans="1:3" ht="15" customHeight="1" x14ac:dyDescent="0.25">
      <c r="B24" s="15" t="s">
        <v>22</v>
      </c>
      <c r="C24" s="45">
        <v>0.50009999999999999</v>
      </c>
    </row>
    <row r="25" spans="1:3" ht="15" customHeight="1" x14ac:dyDescent="0.25">
      <c r="B25" s="15" t="s">
        <v>23</v>
      </c>
      <c r="C25" s="45">
        <v>0.41830000000000001</v>
      </c>
    </row>
    <row r="26" spans="1:3" ht="15" customHeight="1" x14ac:dyDescent="0.25">
      <c r="B26" s="15" t="s">
        <v>24</v>
      </c>
      <c r="C26" s="45">
        <v>4.58E-2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9">
        <v>4.9975046177627103E-2</v>
      </c>
    </row>
    <row r="31" spans="1:3" ht="14.25" customHeight="1" x14ac:dyDescent="0.25">
      <c r="B31" s="25" t="s">
        <v>28</v>
      </c>
      <c r="C31" s="99">
        <v>6.4980512501330898E-2</v>
      </c>
    </row>
    <row r="32" spans="1:3" ht="14.25" customHeight="1" x14ac:dyDescent="0.25">
      <c r="B32" s="25" t="s">
        <v>29</v>
      </c>
      <c r="C32" s="99">
        <v>0.540504550814219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4.7846799999999998</v>
      </c>
    </row>
    <row r="38" spans="1:5" ht="15" customHeight="1" x14ac:dyDescent="0.25">
      <c r="B38" s="11" t="s">
        <v>34</v>
      </c>
      <c r="C38" s="43">
        <v>7.0508600000000001</v>
      </c>
      <c r="D38" s="12"/>
      <c r="E38" s="13"/>
    </row>
    <row r="39" spans="1:5" ht="15" customHeight="1" x14ac:dyDescent="0.25">
      <c r="B39" s="11" t="s">
        <v>35</v>
      </c>
      <c r="C39" s="43">
        <v>8.2388399999999997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5.9434800000000001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7.4982E-3</v>
      </c>
      <c r="D45" s="12"/>
    </row>
    <row r="46" spans="1:5" ht="15.75" customHeight="1" x14ac:dyDescent="0.25">
      <c r="B46" s="11" t="s">
        <v>41</v>
      </c>
      <c r="C46" s="45">
        <v>7.9942600000000003E-2</v>
      </c>
      <c r="D46" s="12"/>
    </row>
    <row r="47" spans="1:5" ht="15.75" customHeight="1" x14ac:dyDescent="0.25">
      <c r="B47" s="11" t="s">
        <v>42</v>
      </c>
      <c r="C47" s="45">
        <v>5.4437800000000001E-2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0.60774699999999993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9.2394466000000008E-2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92653</v>
      </c>
      <c r="C2" s="49">
        <v>251772</v>
      </c>
      <c r="D2" s="49">
        <v>435135</v>
      </c>
      <c r="E2" s="49">
        <v>384785.49999999994</v>
      </c>
      <c r="F2" s="49">
        <v>360382.5</v>
      </c>
      <c r="G2" s="17">
        <f t="shared" ref="G2:G13" si="0">C2+D2+E2+F2</f>
        <v>1432075</v>
      </c>
      <c r="H2" s="17">
        <f t="shared" ref="H2:H13" si="1">(B2 + stillbirth*B2/(1000-stillbirth))/(1-abortion)</f>
        <v>105917.01566426021</v>
      </c>
      <c r="I2" s="17">
        <f t="shared" ref="I2:I13" si="2">G2-H2</f>
        <v>1326157.9843357399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92538</v>
      </c>
      <c r="C3" s="50">
        <v>257649.99999999997</v>
      </c>
      <c r="D3" s="50">
        <v>439494</v>
      </c>
      <c r="E3" s="50">
        <v>386786</v>
      </c>
      <c r="F3" s="50">
        <v>363163</v>
      </c>
      <c r="G3" s="17">
        <f t="shared" si="0"/>
        <v>1447093</v>
      </c>
      <c r="H3" s="17">
        <f t="shared" si="1"/>
        <v>105785.55249737528</v>
      </c>
      <c r="I3" s="17">
        <f t="shared" si="2"/>
        <v>1341307.4475026247</v>
      </c>
    </row>
    <row r="4" spans="1:9" ht="15.75" customHeight="1" x14ac:dyDescent="0.25">
      <c r="A4" s="5">
        <f t="shared" si="3"/>
        <v>2026</v>
      </c>
      <c r="B4" s="49">
        <v>92671</v>
      </c>
      <c r="C4" s="50">
        <v>263767.5</v>
      </c>
      <c r="D4" s="50">
        <v>445381.49999999994</v>
      </c>
      <c r="E4" s="50">
        <v>389937</v>
      </c>
      <c r="F4" s="50">
        <v>365568.5</v>
      </c>
      <c r="G4" s="17">
        <f t="shared" si="0"/>
        <v>1464654.5</v>
      </c>
      <c r="H4" s="17">
        <f t="shared" si="1"/>
        <v>105937.59250777264</v>
      </c>
      <c r="I4" s="17">
        <f t="shared" si="2"/>
        <v>1358716.9074922274</v>
      </c>
    </row>
    <row r="5" spans="1:9" ht="15.75" customHeight="1" x14ac:dyDescent="0.25">
      <c r="A5" s="5">
        <f t="shared" si="3"/>
        <v>2027</v>
      </c>
      <c r="B5" s="49">
        <v>93054</v>
      </c>
      <c r="C5" s="50">
        <v>269367</v>
      </c>
      <c r="D5" s="50">
        <v>452350.5</v>
      </c>
      <c r="E5" s="50">
        <v>393847.99999999994</v>
      </c>
      <c r="F5" s="50">
        <v>367454.5</v>
      </c>
      <c r="G5" s="17">
        <f t="shared" si="0"/>
        <v>1483020</v>
      </c>
      <c r="H5" s="17">
        <f t="shared" si="1"/>
        <v>106375.42201139813</v>
      </c>
      <c r="I5" s="17">
        <f t="shared" si="2"/>
        <v>1376644.5779886018</v>
      </c>
    </row>
    <row r="6" spans="1:9" ht="15.75" customHeight="1" x14ac:dyDescent="0.25">
      <c r="A6" s="5">
        <f t="shared" si="3"/>
        <v>2028</v>
      </c>
      <c r="B6" s="49">
        <v>93476</v>
      </c>
      <c r="C6" s="50">
        <v>273691.5</v>
      </c>
      <c r="D6" s="50">
        <v>460368</v>
      </c>
      <c r="E6" s="50">
        <v>398256.5</v>
      </c>
      <c r="F6" s="50">
        <v>368990</v>
      </c>
      <c r="G6" s="17">
        <f t="shared" si="0"/>
        <v>1501306</v>
      </c>
      <c r="H6" s="17">
        <f t="shared" si="1"/>
        <v>106857.83467596718</v>
      </c>
      <c r="I6" s="17">
        <f t="shared" si="2"/>
        <v>1394448.1653240328</v>
      </c>
    </row>
    <row r="7" spans="1:9" ht="15.75" customHeight="1" x14ac:dyDescent="0.25">
      <c r="A7" s="5">
        <f t="shared" si="3"/>
        <v>2029</v>
      </c>
      <c r="B7" s="49">
        <v>94046</v>
      </c>
      <c r="C7" s="50">
        <v>276032.5</v>
      </c>
      <c r="D7" s="50">
        <v>469549</v>
      </c>
      <c r="E7" s="50">
        <v>403005.5</v>
      </c>
      <c r="F7" s="50">
        <v>370445.50000000006</v>
      </c>
      <c r="G7" s="17">
        <f t="shared" si="0"/>
        <v>1519032.5</v>
      </c>
      <c r="H7" s="17">
        <f t="shared" si="1"/>
        <v>107509.43472052729</v>
      </c>
      <c r="I7" s="17">
        <f t="shared" si="2"/>
        <v>1411523.0652794726</v>
      </c>
    </row>
    <row r="8" spans="1:9" ht="15.75" customHeight="1" x14ac:dyDescent="0.25">
      <c r="A8" s="5">
        <f t="shared" si="3"/>
        <v>2030</v>
      </c>
      <c r="B8" s="49">
        <v>94877</v>
      </c>
      <c r="C8" s="50">
        <v>275676</v>
      </c>
      <c r="D8" s="50">
        <v>479762</v>
      </c>
      <c r="E8" s="50">
        <v>407863.5</v>
      </c>
      <c r="F8" s="50">
        <v>371924.49999999994</v>
      </c>
      <c r="G8" s="17">
        <f t="shared" si="0"/>
        <v>1535226</v>
      </c>
      <c r="H8" s="17">
        <f t="shared" si="1"/>
        <v>108459.39899601758</v>
      </c>
      <c r="I8" s="17">
        <f t="shared" si="2"/>
        <v>1426766.6010039824</v>
      </c>
    </row>
    <row r="9" spans="1:9" ht="15.75" customHeight="1" x14ac:dyDescent="0.25">
      <c r="A9" s="5">
        <f t="shared" si="3"/>
        <v>2031</v>
      </c>
      <c r="B9" s="49">
        <v>95913</v>
      </c>
      <c r="C9" s="50">
        <v>271980</v>
      </c>
      <c r="D9" s="50">
        <v>490737.5</v>
      </c>
      <c r="E9" s="50">
        <v>412788</v>
      </c>
      <c r="F9" s="50">
        <v>373498</v>
      </c>
      <c r="G9" s="17">
        <f t="shared" si="0"/>
        <v>1549003.5</v>
      </c>
      <c r="H9" s="17">
        <f t="shared" si="1"/>
        <v>109643.71065595491</v>
      </c>
      <c r="I9" s="17">
        <f t="shared" si="2"/>
        <v>1439359.7893440451</v>
      </c>
    </row>
    <row r="10" spans="1:9" ht="15.75" customHeight="1" x14ac:dyDescent="0.25">
      <c r="A10" s="5">
        <f t="shared" si="3"/>
        <v>2032</v>
      </c>
      <c r="B10" s="49">
        <v>96874</v>
      </c>
      <c r="C10" s="50">
        <v>264659</v>
      </c>
      <c r="D10" s="50">
        <v>501490</v>
      </c>
      <c r="E10" s="50">
        <v>417655.99999999994</v>
      </c>
      <c r="F10" s="50">
        <v>375186.5</v>
      </c>
      <c r="G10" s="17">
        <f t="shared" si="0"/>
        <v>1558991.5</v>
      </c>
      <c r="H10" s="17">
        <f t="shared" si="1"/>
        <v>110742.28546792379</v>
      </c>
      <c r="I10" s="17">
        <f t="shared" si="2"/>
        <v>1448249.2145320761</v>
      </c>
    </row>
    <row r="11" spans="1:9" ht="15.75" customHeight="1" x14ac:dyDescent="0.25">
      <c r="A11" s="5">
        <f t="shared" si="3"/>
        <v>2033</v>
      </c>
      <c r="B11" s="49">
        <v>97646</v>
      </c>
      <c r="C11" s="50">
        <v>253850</v>
      </c>
      <c r="D11" s="50">
        <v>510861</v>
      </c>
      <c r="E11" s="50">
        <v>422400.49999999994</v>
      </c>
      <c r="F11" s="50">
        <v>377005.5</v>
      </c>
      <c r="G11" s="17">
        <f t="shared" si="0"/>
        <v>1564117</v>
      </c>
      <c r="H11" s="17">
        <f t="shared" si="1"/>
        <v>111624.80342301223</v>
      </c>
      <c r="I11" s="17">
        <f t="shared" si="2"/>
        <v>1452492.1965769879</v>
      </c>
    </row>
    <row r="12" spans="1:9" ht="15.75" customHeight="1" x14ac:dyDescent="0.25">
      <c r="A12" s="5">
        <f t="shared" si="3"/>
        <v>2034</v>
      </c>
      <c r="B12" s="49">
        <v>98210</v>
      </c>
      <c r="C12" s="50">
        <v>239935</v>
      </c>
      <c r="D12" s="50">
        <v>518679</v>
      </c>
      <c r="E12" s="50">
        <v>427576.5</v>
      </c>
      <c r="F12" s="50">
        <v>379244.5</v>
      </c>
      <c r="G12" s="17">
        <f t="shared" si="0"/>
        <v>1565435</v>
      </c>
      <c r="H12" s="17">
        <f t="shared" si="1"/>
        <v>112269.54451973487</v>
      </c>
      <c r="I12" s="17">
        <f t="shared" si="2"/>
        <v>1453165.4554802652</v>
      </c>
    </row>
    <row r="13" spans="1:9" ht="15.75" customHeight="1" x14ac:dyDescent="0.25">
      <c r="A13" s="5">
        <f t="shared" si="3"/>
        <v>2035</v>
      </c>
      <c r="B13" s="49">
        <v>98780</v>
      </c>
      <c r="C13" s="50">
        <v>228145.5</v>
      </c>
      <c r="D13" s="50">
        <v>524135</v>
      </c>
      <c r="E13" s="50">
        <v>433310</v>
      </c>
      <c r="F13" s="50">
        <v>382060.5</v>
      </c>
      <c r="G13" s="17">
        <f t="shared" si="0"/>
        <v>1567651</v>
      </c>
      <c r="H13" s="17">
        <f t="shared" si="1"/>
        <v>112921.14456429498</v>
      </c>
      <c r="I13" s="17">
        <f t="shared" si="2"/>
        <v>1454729.855435705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5.6525200000000053E-2</v>
      </c>
    </row>
    <row r="5" spans="1:8" ht="15.75" customHeight="1" x14ac:dyDescent="0.25">
      <c r="B5" s="19" t="s">
        <v>70</v>
      </c>
      <c r="C5" s="101">
        <v>2.0757499999999939E-2</v>
      </c>
    </row>
    <row r="6" spans="1:8" ht="15.75" customHeight="1" x14ac:dyDescent="0.25">
      <c r="B6" s="19" t="s">
        <v>71</v>
      </c>
      <c r="C6" s="101">
        <v>0.1493135000000001</v>
      </c>
    </row>
    <row r="7" spans="1:8" ht="15.75" customHeight="1" x14ac:dyDescent="0.25">
      <c r="B7" s="19" t="s">
        <v>72</v>
      </c>
      <c r="C7" s="101">
        <v>0.40648640000000003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0.28011749999999969</v>
      </c>
    </row>
    <row r="10" spans="1:8" ht="15.75" customHeight="1" x14ac:dyDescent="0.25">
      <c r="B10" s="19" t="s">
        <v>75</v>
      </c>
      <c r="C10" s="101">
        <v>8.6799900000000124E-2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8.9097416942887971E-3</v>
      </c>
      <c r="D14" s="55">
        <v>8.9097416942887971E-3</v>
      </c>
      <c r="E14" s="55">
        <v>8.9097416942887971E-3</v>
      </c>
      <c r="F14" s="55">
        <v>8.9097416942887971E-3</v>
      </c>
    </row>
    <row r="15" spans="1:8" ht="15.75" customHeight="1" x14ac:dyDescent="0.25">
      <c r="B15" s="19" t="s">
        <v>82</v>
      </c>
      <c r="C15" s="101">
        <v>0.25881244885449461</v>
      </c>
      <c r="D15" s="101">
        <v>0.25881244885449461</v>
      </c>
      <c r="E15" s="101">
        <v>0.25881244885449461</v>
      </c>
      <c r="F15" s="101">
        <v>0.25881244885449461</v>
      </c>
    </row>
    <row r="16" spans="1:8" ht="15.75" customHeight="1" x14ac:dyDescent="0.25">
      <c r="B16" s="19" t="s">
        <v>83</v>
      </c>
      <c r="C16" s="101">
        <v>1.4258279955122469E-2</v>
      </c>
      <c r="D16" s="101">
        <v>1.4258279955122469E-2</v>
      </c>
      <c r="E16" s="101">
        <v>1.4258279955122469E-2</v>
      </c>
      <c r="F16" s="101">
        <v>1.4258279955122469E-2</v>
      </c>
    </row>
    <row r="17" spans="1:8" ht="15.75" customHeight="1" x14ac:dyDescent="0.25">
      <c r="B17" s="19" t="s">
        <v>84</v>
      </c>
      <c r="C17" s="101">
        <v>0.40664903343666348</v>
      </c>
      <c r="D17" s="101">
        <v>0.40664903343666348</v>
      </c>
      <c r="E17" s="101">
        <v>0.40664903343666348</v>
      </c>
      <c r="F17" s="101">
        <v>0.40664903343666348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2.8834362732976088E-2</v>
      </c>
      <c r="D19" s="101">
        <v>2.8834362732976088E-2</v>
      </c>
      <c r="E19" s="101">
        <v>2.8834362732976088E-2</v>
      </c>
      <c r="F19" s="101">
        <v>2.8834362732976088E-2</v>
      </c>
    </row>
    <row r="20" spans="1:8" ht="15.75" customHeight="1" x14ac:dyDescent="0.25">
      <c r="B20" s="19" t="s">
        <v>87</v>
      </c>
      <c r="C20" s="101">
        <v>1.2534723612182681E-2</v>
      </c>
      <c r="D20" s="101">
        <v>1.2534723612182681E-2</v>
      </c>
      <c r="E20" s="101">
        <v>1.2534723612182681E-2</v>
      </c>
      <c r="F20" s="101">
        <v>1.2534723612182681E-2</v>
      </c>
    </row>
    <row r="21" spans="1:8" ht="15.75" customHeight="1" x14ac:dyDescent="0.25">
      <c r="B21" s="19" t="s">
        <v>88</v>
      </c>
      <c r="C21" s="101">
        <v>0.23122407885254981</v>
      </c>
      <c r="D21" s="101">
        <v>0.23122407885254981</v>
      </c>
      <c r="E21" s="101">
        <v>0.23122407885254981</v>
      </c>
      <c r="F21" s="101">
        <v>0.23122407885254981</v>
      </c>
    </row>
    <row r="22" spans="1:8" ht="15.75" customHeight="1" x14ac:dyDescent="0.25">
      <c r="B22" s="19" t="s">
        <v>89</v>
      </c>
      <c r="C22" s="101">
        <v>3.8777330861722123E-2</v>
      </c>
      <c r="D22" s="101">
        <v>3.8777330861722123E-2</v>
      </c>
      <c r="E22" s="101">
        <v>3.8777330861722123E-2</v>
      </c>
      <c r="F22" s="101">
        <v>3.8777330861722123E-2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4.5249643999999999E-2</v>
      </c>
    </row>
    <row r="27" spans="1:8" ht="15.75" customHeight="1" x14ac:dyDescent="0.25">
      <c r="B27" s="19" t="s">
        <v>92</v>
      </c>
      <c r="C27" s="101">
        <v>5.4447637999999993E-2</v>
      </c>
    </row>
    <row r="28" spans="1:8" ht="15.75" customHeight="1" x14ac:dyDescent="0.25">
      <c r="B28" s="19" t="s">
        <v>93</v>
      </c>
      <c r="C28" s="101">
        <v>9.8457505000000001E-2</v>
      </c>
    </row>
    <row r="29" spans="1:8" ht="15.75" customHeight="1" x14ac:dyDescent="0.25">
      <c r="B29" s="19" t="s">
        <v>94</v>
      </c>
      <c r="C29" s="101">
        <v>0.11500012900000001</v>
      </c>
    </row>
    <row r="30" spans="1:8" ht="15.75" customHeight="1" x14ac:dyDescent="0.25">
      <c r="B30" s="19" t="s">
        <v>95</v>
      </c>
      <c r="C30" s="101">
        <v>5.0745075000000001E-2</v>
      </c>
    </row>
    <row r="31" spans="1:8" ht="15.75" customHeight="1" x14ac:dyDescent="0.25">
      <c r="B31" s="19" t="s">
        <v>96</v>
      </c>
      <c r="C31" s="101">
        <v>3.6627643000000001E-2</v>
      </c>
    </row>
    <row r="32" spans="1:8" ht="15.75" customHeight="1" x14ac:dyDescent="0.25">
      <c r="B32" s="19" t="s">
        <v>97</v>
      </c>
      <c r="C32" s="101">
        <v>0.18180017400000001</v>
      </c>
    </row>
    <row r="33" spans="2:3" ht="15.75" customHeight="1" x14ac:dyDescent="0.25">
      <c r="B33" s="19" t="s">
        <v>98</v>
      </c>
      <c r="C33" s="101">
        <v>0.15539587599999999</v>
      </c>
    </row>
    <row r="34" spans="2:3" ht="15.75" customHeight="1" x14ac:dyDescent="0.25">
      <c r="B34" s="19" t="s">
        <v>99</v>
      </c>
      <c r="C34" s="101">
        <v>0.26227631499999998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0.52348004516135949</v>
      </c>
      <c r="D2" s="52">
        <f>IFERROR(1-_xlfn.NORM.DIST(_xlfn.NORM.INV(SUM(D4:D5), 0, 1) + 1, 0, 1, TRUE), "")</f>
        <v>0.52348004516135949</v>
      </c>
      <c r="E2" s="52">
        <f>IFERROR(1-_xlfn.NORM.DIST(_xlfn.NORM.INV(SUM(E4:E5), 0, 1) + 1, 0, 1, TRUE), "")</f>
        <v>0.54262584524980317</v>
      </c>
      <c r="F2" s="52">
        <f>IFERROR(1-_xlfn.NORM.DIST(_xlfn.NORM.INV(SUM(F4:F5), 0, 1) + 1, 0, 1, TRUE), "")</f>
        <v>0.43500875746349121</v>
      </c>
      <c r="G2" s="52">
        <f>IFERROR(1-_xlfn.NORM.DIST(_xlfn.NORM.INV(SUM(G4:G5), 0, 1) + 1, 0, 1, TRUE), "")</f>
        <v>0.43747390115367946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0.33169496198149778</v>
      </c>
      <c r="D3" s="52">
        <f>IFERROR(_xlfn.NORM.DIST(_xlfn.NORM.INV(SUM(D4:D5), 0, 1) + 1, 0, 1, TRUE) - SUM(D4:D5), "")</f>
        <v>0.33169496198149778</v>
      </c>
      <c r="E3" s="52">
        <f>IFERROR(_xlfn.NORM.DIST(_xlfn.NORM.INV(SUM(E4:E5), 0, 1) + 1, 0, 1, TRUE) - SUM(E4:E5), "")</f>
        <v>0.32323827260733978</v>
      </c>
      <c r="F3" s="52">
        <f>IFERROR(_xlfn.NORM.DIST(_xlfn.NORM.INV(SUM(F4:F5), 0, 1) + 1, 0, 1, TRUE) - SUM(F4:F5), "")</f>
        <v>0.36351609610793739</v>
      </c>
      <c r="G3" s="52">
        <f>IFERROR(_xlfn.NORM.DIST(_xlfn.NORM.INV(SUM(G4:G5), 0, 1) + 1, 0, 1, TRUE) - SUM(G4:G5), "")</f>
        <v>0.36280645956060614</v>
      </c>
    </row>
    <row r="4" spans="1:15" ht="15.75" customHeight="1" x14ac:dyDescent="0.25">
      <c r="B4" s="5" t="s">
        <v>104</v>
      </c>
      <c r="C4" s="45">
        <v>7.8018074999999992E-2</v>
      </c>
      <c r="D4" s="53">
        <v>7.8018074999999992E-2</v>
      </c>
      <c r="E4" s="53">
        <v>7.6574760714285692E-2</v>
      </c>
      <c r="F4" s="53">
        <v>0.113136875</v>
      </c>
      <c r="G4" s="53">
        <v>0.117410317857143</v>
      </c>
    </row>
    <row r="5" spans="1:15" ht="15.75" customHeight="1" x14ac:dyDescent="0.25">
      <c r="B5" s="5" t="s">
        <v>105</v>
      </c>
      <c r="C5" s="45">
        <v>6.6806917857142795E-2</v>
      </c>
      <c r="D5" s="53">
        <v>6.6806917857142795E-2</v>
      </c>
      <c r="E5" s="53">
        <v>5.75611214285714E-2</v>
      </c>
      <c r="F5" s="53">
        <v>8.833827142857141E-2</v>
      </c>
      <c r="G5" s="53">
        <v>8.2309321428571405E-2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0.60412081188896594</v>
      </c>
      <c r="D8" s="52">
        <f>IFERROR(1-_xlfn.NORM.DIST(_xlfn.NORM.INV(SUM(D10:D11), 0, 1) + 1, 0, 1, TRUE), "")</f>
        <v>0.60412081188896594</v>
      </c>
      <c r="E8" s="52">
        <f>IFERROR(1-_xlfn.NORM.DIST(_xlfn.NORM.INV(SUM(E10:E11), 0, 1) + 1, 0, 1, TRUE), "")</f>
        <v>0.65634661995348842</v>
      </c>
      <c r="F8" s="52">
        <f>IFERROR(1-_xlfn.NORM.DIST(_xlfn.NORM.INV(SUM(F10:F11), 0, 1) + 1, 0, 1, TRUE), "")</f>
        <v>0.70726524983458217</v>
      </c>
      <c r="G8" s="52">
        <f>IFERROR(1-_xlfn.NORM.DIST(_xlfn.NORM.INV(SUM(G10:G11), 0, 1) + 1, 0, 1, TRUE), "")</f>
        <v>0.73948997109811798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0.29276919181473776</v>
      </c>
      <c r="D9" s="52">
        <f>IFERROR(_xlfn.NORM.DIST(_xlfn.NORM.INV(SUM(D10:D11), 0, 1) + 1, 0, 1, TRUE) - SUM(D10:D11), "")</f>
        <v>0.29276919181473776</v>
      </c>
      <c r="E9" s="52">
        <f>IFERROR(_xlfn.NORM.DIST(_xlfn.NORM.INV(SUM(E10:E11), 0, 1) + 1, 0, 1, TRUE) - SUM(E10:E11), "")</f>
        <v>0.26327227634280792</v>
      </c>
      <c r="F9" s="52">
        <f>IFERROR(_xlfn.NORM.DIST(_xlfn.NORM.INV(SUM(F10:F11), 0, 1) + 1, 0, 1, TRUE) - SUM(F10:F11), "")</f>
        <v>0.23161155144746914</v>
      </c>
      <c r="G9" s="52">
        <f>IFERROR(_xlfn.NORM.DIST(_xlfn.NORM.INV(SUM(G10:G11), 0, 1) + 1, 0, 1, TRUE) - SUM(G10:G11), "")</f>
        <v>0.21019158445743746</v>
      </c>
    </row>
    <row r="10" spans="1:15" ht="15.75" customHeight="1" x14ac:dyDescent="0.25">
      <c r="B10" s="5" t="s">
        <v>109</v>
      </c>
      <c r="C10" s="45">
        <v>5.5754911111111097E-2</v>
      </c>
      <c r="D10" s="53">
        <v>5.5754911111111097E-2</v>
      </c>
      <c r="E10" s="53">
        <v>4.8520040740740712E-2</v>
      </c>
      <c r="F10" s="53">
        <v>3.7735233333333298E-2</v>
      </c>
      <c r="G10" s="53">
        <v>3.2035677777777799E-2</v>
      </c>
    </row>
    <row r="11" spans="1:15" ht="15.75" customHeight="1" x14ac:dyDescent="0.25">
      <c r="B11" s="5" t="s">
        <v>110</v>
      </c>
      <c r="C11" s="45">
        <v>4.7355085185185199E-2</v>
      </c>
      <c r="D11" s="53">
        <v>4.7355085185185199E-2</v>
      </c>
      <c r="E11" s="53">
        <v>3.1861062962962997E-2</v>
      </c>
      <c r="F11" s="53">
        <v>2.3387965384615399E-2</v>
      </c>
      <c r="G11" s="53">
        <v>1.82827666666667E-2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0.27132991649999999</v>
      </c>
      <c r="D14" s="54">
        <v>0.26430615274399999</v>
      </c>
      <c r="E14" s="54">
        <v>0.26430615274399999</v>
      </c>
      <c r="F14" s="54">
        <v>0.223280819125</v>
      </c>
      <c r="G14" s="54">
        <v>0.223280819125</v>
      </c>
      <c r="H14" s="45">
        <v>0.35199999999999998</v>
      </c>
      <c r="I14" s="55">
        <v>0.35199999999999998</v>
      </c>
      <c r="J14" s="55">
        <v>0.35199999999999998</v>
      </c>
      <c r="K14" s="55">
        <v>0.35199999999999998</v>
      </c>
      <c r="L14" s="45">
        <v>0.311</v>
      </c>
      <c r="M14" s="55">
        <v>0.311</v>
      </c>
      <c r="N14" s="55">
        <v>0.311</v>
      </c>
      <c r="O14" s="55">
        <v>0.311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0.16489994276312547</v>
      </c>
      <c r="D15" s="52">
        <f t="shared" si="0"/>
        <v>0.16063127141170774</v>
      </c>
      <c r="E15" s="52">
        <f t="shared" si="0"/>
        <v>0.16063127141170774</v>
      </c>
      <c r="F15" s="52">
        <f t="shared" si="0"/>
        <v>0.13569824798076136</v>
      </c>
      <c r="G15" s="52">
        <f t="shared" si="0"/>
        <v>0.13569824798076136</v>
      </c>
      <c r="H15" s="52">
        <f t="shared" si="0"/>
        <v>0.21392694399999995</v>
      </c>
      <c r="I15" s="52">
        <f t="shared" si="0"/>
        <v>0.21392694399999995</v>
      </c>
      <c r="J15" s="52">
        <f t="shared" si="0"/>
        <v>0.21392694399999995</v>
      </c>
      <c r="K15" s="52">
        <f t="shared" si="0"/>
        <v>0.21392694399999995</v>
      </c>
      <c r="L15" s="52">
        <f t="shared" si="0"/>
        <v>0.18900931699999998</v>
      </c>
      <c r="M15" s="52">
        <f t="shared" si="0"/>
        <v>0.18900931699999998</v>
      </c>
      <c r="N15" s="52">
        <f t="shared" si="0"/>
        <v>0.18900931699999998</v>
      </c>
      <c r="O15" s="52">
        <f t="shared" si="0"/>
        <v>0.18900931699999998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0.486382325</v>
      </c>
      <c r="D2" s="53">
        <v>0.26502471875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0.22718172187499999</v>
      </c>
      <c r="D3" s="53">
        <v>0.23974491249999999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0.2311166375</v>
      </c>
      <c r="D4" s="53">
        <v>0.38933495624999997</v>
      </c>
      <c r="E4" s="53">
        <v>0.75684774375000008</v>
      </c>
      <c r="F4" s="53">
        <v>0.44418370624999998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5.5319315625000032E-2</v>
      </c>
      <c r="D5" s="52">
        <f t="shared" si="0"/>
        <v>0.10589541250000001</v>
      </c>
      <c r="E5" s="52">
        <f>1-SUM(E2:E4)</f>
        <v>0.24315225624999992</v>
      </c>
      <c r="F5" s="52">
        <f>1-SUM(F2:F4)</f>
        <v>0.55581629374999997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4136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0.43676999999999999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0.31269999999999998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1.3525069731570312E-2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99255.509529999996</v>
      </c>
      <c r="C22" s="109">
        <v>99166.540599999993</v>
      </c>
      <c r="D22" s="109">
        <v>99070.554749999996</v>
      </c>
      <c r="E22" s="109">
        <v>98797.755000000005</v>
      </c>
      <c r="F22" s="109">
        <v>98430.130239999999</v>
      </c>
      <c r="G22" s="109">
        <v>98054.465500000006</v>
      </c>
      <c r="H22" s="109">
        <v>97621.17482</v>
      </c>
      <c r="I22" s="109">
        <v>97035.077579999997</v>
      </c>
      <c r="J22" s="109">
        <v>96146.403990000006</v>
      </c>
      <c r="K22" s="109">
        <v>94717.728489999994</v>
      </c>
      <c r="L22" s="109">
        <v>92388.470140000005</v>
      </c>
      <c r="M22" s="109">
        <v>88674.684370000003</v>
      </c>
      <c r="N22" s="109">
        <v>83066.922630000001</v>
      </c>
      <c r="O22" s="109">
        <v>75063.25576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7.4289688625382997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0.4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13.600489225152121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13.600489225152121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13.600489225152121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13.600489225152121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13.600489225152121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13.600489225152121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7.992352075384429E-2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</v>
      </c>
      <c r="C18" s="98">
        <v>0.95</v>
      </c>
      <c r="D18" s="56">
        <v>7.4289688625382997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</v>
      </c>
      <c r="C19" s="98">
        <v>0.95</v>
      </c>
      <c r="D19" s="56">
        <v>18.912221099022862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7.4289688625382997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4.6470312755738146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2.9567118730808599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17.846880984952122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0.44400000000000001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</v>
      </c>
      <c r="C29" s="98">
        <v>0.95</v>
      </c>
      <c r="D29" s="56">
        <v>173.52890625098581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173.50469037871034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0.53033228587019021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0.9017522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2.6612563971340846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0.14496276888888884</v>
      </c>
      <c r="C3" s="21">
        <f>frac_mam_1_5months * 2.6</f>
        <v>0.14496276888888884</v>
      </c>
      <c r="D3" s="21">
        <f>frac_mam_6_11months * 2.6</f>
        <v>0.12615210592592585</v>
      </c>
      <c r="E3" s="21">
        <f>frac_mam_12_23months * 2.6</f>
        <v>9.8111606666666573E-2</v>
      </c>
      <c r="F3" s="21">
        <f>frac_mam_24_59months * 2.6</f>
        <v>8.3292762222222275E-2</v>
      </c>
    </row>
    <row r="4" spans="1:6" ht="15.75" customHeight="1" x14ac:dyDescent="0.25">
      <c r="A4" s="3" t="s">
        <v>198</v>
      </c>
      <c r="B4" s="21">
        <f>frac_sam_1month * 2.6</f>
        <v>0.12312322148148153</v>
      </c>
      <c r="C4" s="21">
        <f>frac_sam_1_5months * 2.6</f>
        <v>0.12312322148148153</v>
      </c>
      <c r="D4" s="21">
        <f>frac_sam_6_11months * 2.6</f>
        <v>8.2838763703703799E-2</v>
      </c>
      <c r="E4" s="21">
        <f>frac_sam_12_23months * 2.6</f>
        <v>6.0808710000000037E-2</v>
      </c>
      <c r="F4" s="21">
        <f>frac_sam_24_59months * 2.6</f>
        <v>4.753519333333342E-2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0.1726341044616696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7.3986044769286968E-2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0.10344393768310528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0.64993591308593812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