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1F765B3-83B7-4606-8588-6433C7720B8B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<sst xmlns="http://schemas.openxmlformats.org/spreadsheetml/2006/main" count="2102" uniqueCount="341">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</sst>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370044.08984375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0.64993591308593812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3.5799999999999998E-2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0.41830000000000001</v>
      </c>
    </row>
    <row r="26" spans="1:3" ht="15" customHeight="1" x14ac:dyDescent="0.25">
      <c r="B26" s="15" t="s">
        <v>24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4.7846799999999998</v>
      </c>
    </row>
    <row r="38" spans="1:5" ht="15" customHeight="1" x14ac:dyDescent="0.25">
      <c r="B38" s="11" t="s">
        <v>34</v>
      </c>
      <c r="C38" s="43">
        <v>7.0508600000000001</v>
      </c>
      <c r="D38" s="12"/>
      <c r="E38" s="13"/>
    </row>
    <row r="39" spans="1:5" ht="15" customHeight="1" x14ac:dyDescent="0.25">
      <c r="B39" s="11" t="s">
        <v>35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7.4982E-3</v>
      </c>
      <c r="D45" s="12"/>
    </row>
    <row r="46" spans="1:5" ht="15.75" customHeight="1" x14ac:dyDescent="0.25">
      <c r="B46" s="11" t="s">
        <v>41</v>
      </c>
      <c r="C46" s="45">
        <v>7.9942600000000003E-2</v>
      </c>
      <c r="D46" s="12"/>
    </row>
    <row r="47" spans="1:5" ht="15.75" customHeight="1" x14ac:dyDescent="0.25">
      <c r="B47" s="11" t="s">
        <v>42</v>
      </c>
      <c r="C47" s="45">
        <v>5.4437800000000001E-2</v>
      </c>
      <c r="D47" s="12"/>
      <c r="E47" s="13"/>
    </row>
    <row r="48" spans="1:5" ht="15" customHeight="1" x14ac:dyDescent="0.25">
      <c r="B48" s="11" t="s">
        <v>43</v>
      </c>
      <c r="C48" s="46">
        <v>0.85812140000000003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0.60774699999999993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70456</v>
      </c>
      <c r="C2" s="49">
        <v>282210</v>
      </c>
      <c r="D2" s="49">
        <v>338719.5</v>
      </c>
      <c r="E2" s="49">
        <v>320445.5</v>
      </c>
      <c r="F2" s="49">
        <v>299199.5</v>
      </c>
      <c r="G2" s="17">
        <f t="shared" ref="G2:G13" si="0">C2+D2+E2+F2</f>
        <v>1240574.5</v>
      </c>
      <c r="H2" s="17">
        <f t="shared" ref="H2:H13" si="1">(B2 + stillbirth*B2/(1000-stillbirth))/(1-abortion)</f>
        <v>80542.338139521846</v>
      </c>
      <c r="I2" s="17">
        <f t="shared" ref="I2:I13" si="2">G2-H2</f>
        <v>1160032.1618604781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65661</v>
      </c>
      <c r="C3" s="50">
        <v>285232</v>
      </c>
      <c r="D3" s="50">
        <v>316999.5</v>
      </c>
      <c r="E3" s="50">
        <v>300684.5</v>
      </c>
      <c r="F3" s="50">
        <v>294000</v>
      </c>
      <c r="G3" s="17">
        <f t="shared" si="0"/>
        <v>1196916</v>
      </c>
      <c r="H3" s="17">
        <f t="shared" si="1"/>
        <v>75060.895659406495</v>
      </c>
      <c r="I3" s="17">
        <f t="shared" si="2"/>
        <v>1121855.1043405936</v>
      </c>
    </row>
    <row r="4" spans="1:9" ht="15.75" customHeight="1" x14ac:dyDescent="0.25">
      <c r="A4" s="5">
        <f t="shared" si="3"/>
        <v>2026</v>
      </c>
      <c r="B4" s="49">
        <v>61647</v>
      </c>
      <c r="C4" s="50">
        <v>289738.5</v>
      </c>
      <c r="D4" s="50">
        <v>301010</v>
      </c>
      <c r="E4" s="50">
        <v>282039</v>
      </c>
      <c r="F4" s="50">
        <v>288163.5</v>
      </c>
      <c r="G4" s="17">
        <f t="shared" si="0"/>
        <v>1160951</v>
      </c>
      <c r="H4" s="17">
        <f t="shared" si="1"/>
        <v>70472.259556135788</v>
      </c>
      <c r="I4" s="17">
        <f t="shared" si="2"/>
        <v>1090478.7404438641</v>
      </c>
    </row>
    <row r="5" spans="1:9" ht="15.75" customHeight="1" x14ac:dyDescent="0.25">
      <c r="A5" s="5">
        <f t="shared" si="3"/>
        <v>2027</v>
      </c>
      <c r="B5" s="49">
        <v>58319</v>
      </c>
      <c r="C5" s="50">
        <v>294804.99999999988</v>
      </c>
      <c r="D5" s="50">
        <v>292462</v>
      </c>
      <c r="E5" s="50">
        <v>265322.5</v>
      </c>
      <c r="F5" s="50">
        <v>281739</v>
      </c>
      <c r="G5" s="17">
        <f t="shared" si="0"/>
        <v>1134328.5</v>
      </c>
      <c r="H5" s="17">
        <f t="shared" si="1"/>
        <v>66667.829822283049</v>
      </c>
      <c r="I5" s="17">
        <f t="shared" si="2"/>
        <v>1067660.670177717</v>
      </c>
    </row>
    <row r="6" spans="1:9" ht="15.75" customHeight="1" x14ac:dyDescent="0.25">
      <c r="A6" s="5">
        <f t="shared" si="3"/>
        <v>2028</v>
      </c>
      <c r="B6" s="49">
        <v>56139</v>
      </c>
      <c r="C6" s="50">
        <v>299002</v>
      </c>
      <c r="D6" s="50">
        <v>291184</v>
      </c>
      <c r="E6" s="50">
        <v>250329</v>
      </c>
      <c r="F6" s="50">
        <v>274759.5</v>
      </c>
      <c r="G6" s="17">
        <f t="shared" si="0"/>
        <v>1115274.5</v>
      </c>
      <c r="H6" s="17">
        <f t="shared" si="1"/>
        <v>64175.745441333842</v>
      </c>
      <c r="I6" s="17">
        <f t="shared" si="2"/>
        <v>1051098.7545586661</v>
      </c>
    </row>
    <row r="7" spans="1:9" ht="15.75" customHeight="1" x14ac:dyDescent="0.25">
      <c r="A7" s="5">
        <f t="shared" si="3"/>
        <v>2029</v>
      </c>
      <c r="B7" s="49">
        <v>54688</v>
      </c>
      <c r="C7" s="50">
        <v>300760</v>
      </c>
      <c r="D7" s="50">
        <v>295872.5</v>
      </c>
      <c r="E7" s="50">
        <v>236395.5</v>
      </c>
      <c r="F7" s="50">
        <v>267203.5</v>
      </c>
      <c r="G7" s="17">
        <f t="shared" si="0"/>
        <v>1100231.5</v>
      </c>
      <c r="H7" s="17">
        <f t="shared" si="1"/>
        <v>62517.023222637828</v>
      </c>
      <c r="I7" s="17">
        <f t="shared" si="2"/>
        <v>1037714.4767773622</v>
      </c>
    </row>
    <row r="8" spans="1:9" ht="15.75" customHeight="1" x14ac:dyDescent="0.25">
      <c r="A8" s="5">
        <f t="shared" si="3"/>
        <v>2030</v>
      </c>
      <c r="B8" s="49">
        <v>54038</v>
      </c>
      <c r="C8" s="50">
        <v>299066.5</v>
      </c>
      <c r="D8" s="50">
        <v>306469</v>
      </c>
      <c r="E8" s="50">
        <v>223838</v>
      </c>
      <c r="F8" s="50">
        <v>259326.99999999991</v>
      </c>
      <c r="G8" s="17">
        <f t="shared" si="0"/>
        <v>1088700.5</v>
      </c>
      <c r="H8" s="17">
        <f t="shared" si="1"/>
        <v>61773.970540244714</v>
      </c>
      <c r="I8" s="17">
        <f t="shared" si="2"/>
        <v>1026926.5294597553</v>
      </c>
    </row>
    <row r="9" spans="1:9" ht="15.75" customHeight="1" x14ac:dyDescent="0.25">
      <c r="A9" s="5">
        <f t="shared" si="3"/>
        <v>2031</v>
      </c>
      <c r="B9" s="49">
        <v>54251</v>
      </c>
      <c r="C9" s="50">
        <v>293204.00000000012</v>
      </c>
      <c r="D9" s="50">
        <v>322344.5</v>
      </c>
      <c r="E9" s="50">
        <v>213103</v>
      </c>
      <c r="F9" s="50">
        <v>251300.5</v>
      </c>
      <c r="G9" s="17">
        <f t="shared" si="0"/>
        <v>1079952</v>
      </c>
      <c r="H9" s="17">
        <f t="shared" si="1"/>
        <v>62017.463188475078</v>
      </c>
      <c r="I9" s="17">
        <f t="shared" si="2"/>
        <v>1017934.5368115249</v>
      </c>
    </row>
    <row r="10" spans="1:9" ht="15.75" customHeight="1" x14ac:dyDescent="0.25">
      <c r="A10" s="5">
        <f t="shared" si="3"/>
        <v>2032</v>
      </c>
      <c r="B10" s="49">
        <v>54916</v>
      </c>
      <c r="C10" s="50">
        <v>282983.5</v>
      </c>
      <c r="D10" s="50">
        <v>342069.5</v>
      </c>
      <c r="E10" s="50">
        <v>204670</v>
      </c>
      <c r="F10" s="50">
        <v>243235.5</v>
      </c>
      <c r="G10" s="17">
        <f t="shared" si="0"/>
        <v>1072958.5</v>
      </c>
      <c r="H10" s="17">
        <f t="shared" si="1"/>
        <v>62777.663240461872</v>
      </c>
      <c r="I10" s="17">
        <f t="shared" si="2"/>
        <v>1010180.8367595382</v>
      </c>
    </row>
    <row r="11" spans="1:9" ht="15.75" customHeight="1" x14ac:dyDescent="0.25">
      <c r="A11" s="5">
        <f t="shared" si="3"/>
        <v>2033</v>
      </c>
      <c r="B11" s="49">
        <v>56091</v>
      </c>
      <c r="C11" s="50">
        <v>268404</v>
      </c>
      <c r="D11" s="50">
        <v>363723.5</v>
      </c>
      <c r="E11" s="50">
        <v>198991</v>
      </c>
      <c r="F11" s="50">
        <v>235201</v>
      </c>
      <c r="G11" s="17">
        <f t="shared" si="0"/>
        <v>1066319.5</v>
      </c>
      <c r="H11" s="17">
        <f t="shared" si="1"/>
        <v>64120.873858634041</v>
      </c>
      <c r="I11" s="17">
        <f t="shared" si="2"/>
        <v>1002198.626141366</v>
      </c>
    </row>
    <row r="12" spans="1:9" ht="15.75" customHeight="1" x14ac:dyDescent="0.25">
      <c r="A12" s="5">
        <f t="shared" si="3"/>
        <v>2034</v>
      </c>
      <c r="B12" s="49">
        <v>57599</v>
      </c>
      <c r="C12" s="50">
        <v>252906</v>
      </c>
      <c r="D12" s="50">
        <v>385509</v>
      </c>
      <c r="E12" s="50">
        <v>196599.5</v>
      </c>
      <c r="F12" s="50">
        <v>227298.5</v>
      </c>
      <c r="G12" s="17">
        <f t="shared" si="0"/>
        <v>1062313</v>
      </c>
      <c r="H12" s="17">
        <f t="shared" si="1"/>
        <v>65844.756081786065</v>
      </c>
      <c r="I12" s="17">
        <f t="shared" si="2"/>
        <v>996468.24391821399</v>
      </c>
    </row>
    <row r="13" spans="1:9" ht="15.75" customHeight="1" x14ac:dyDescent="0.25">
      <c r="A13" s="5">
        <f t="shared" si="3"/>
        <v>2035</v>
      </c>
      <c r="B13" s="49">
        <v>59616</v>
      </c>
      <c r="C13" s="50">
        <v>238810.5</v>
      </c>
      <c r="D13" s="50">
        <v>405859.5</v>
      </c>
      <c r="E13" s="50">
        <v>198086</v>
      </c>
      <c r="F13" s="50">
        <v>219727</v>
      </c>
      <c r="G13" s="17">
        <f t="shared" si="0"/>
        <v>1062483</v>
      </c>
      <c r="H13" s="17">
        <f t="shared" si="1"/>
        <v>68150.505713150531</v>
      </c>
      <c r="I13" s="17">
        <f t="shared" si="2"/>
        <v>994332.49428684951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5.6525200000000053E-2</v>
      </c>
    </row>
    <row r="5" spans="1:8" ht="15.75" customHeight="1" x14ac:dyDescent="0.25">
      <c r="B5" s="19" t="s">
        <v>70</v>
      </c>
      <c r="C5" s="101">
        <v>2.0757499999999939E-2</v>
      </c>
    </row>
    <row r="6" spans="1:8" ht="15.75" customHeight="1" x14ac:dyDescent="0.25">
      <c r="B6" s="19" t="s">
        <v>71</v>
      </c>
      <c r="C6" s="101">
        <v>0.1493135000000001</v>
      </c>
    </row>
    <row r="7" spans="1:8" ht="15.75" customHeight="1" x14ac:dyDescent="0.25">
      <c r="B7" s="19" t="s">
        <v>72</v>
      </c>
      <c r="C7" s="101">
        <v>0.40648640000000003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0.28011749999999969</v>
      </c>
    </row>
    <row r="10" spans="1:8" ht="15.75" customHeight="1" x14ac:dyDescent="0.25">
      <c r="B10" s="19" t="s">
        <v>75</v>
      </c>
      <c r="C10" s="101">
        <v>8.6799900000000124E-2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82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83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84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87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88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89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4.5249643999999999E-2</v>
      </c>
    </row>
    <row r="27" spans="1:8" ht="15.75" customHeight="1" x14ac:dyDescent="0.25">
      <c r="B27" s="19" t="s">
        <v>92</v>
      </c>
      <c r="C27" s="101">
        <v>5.4447637999999993E-2</v>
      </c>
    </row>
    <row r="28" spans="1:8" ht="15.75" customHeight="1" x14ac:dyDescent="0.25">
      <c r="B28" s="19" t="s">
        <v>93</v>
      </c>
      <c r="C28" s="101">
        <v>9.8457505000000001E-2</v>
      </c>
    </row>
    <row r="29" spans="1:8" ht="15.75" customHeight="1" x14ac:dyDescent="0.25">
      <c r="B29" s="19" t="s">
        <v>94</v>
      </c>
      <c r="C29" s="101">
        <v>0.11500012900000001</v>
      </c>
    </row>
    <row r="30" spans="1:8" ht="15.75" customHeight="1" x14ac:dyDescent="0.25">
      <c r="B30" s="19" t="s">
        <v>95</v>
      </c>
      <c r="C30" s="101">
        <v>5.0745075000000001E-2</v>
      </c>
    </row>
    <row r="31" spans="1:8" ht="15.75" customHeight="1" x14ac:dyDescent="0.25">
      <c r="B31" s="19" t="s">
        <v>96</v>
      </c>
      <c r="C31" s="101">
        <v>3.6627643000000001E-2</v>
      </c>
    </row>
    <row r="32" spans="1:8" ht="15.75" customHeight="1" x14ac:dyDescent="0.25">
      <c r="B32" s="19" t="s">
        <v>97</v>
      </c>
      <c r="C32" s="101">
        <v>0.18180017400000001</v>
      </c>
    </row>
    <row r="33" spans="2:3" ht="15.75" customHeight="1" x14ac:dyDescent="0.25">
      <c r="B33" s="19" t="s">
        <v>98</v>
      </c>
      <c r="C33" s="101">
        <v>0.15539587599999999</v>
      </c>
    </row>
    <row r="34" spans="2:3" ht="15.75" customHeight="1" x14ac:dyDescent="0.25">
      <c r="B34" s="19" t="s">
        <v>99</v>
      </c>
      <c r="C34" s="101">
        <v>0.26227631499999998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104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109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110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122</v>
      </c>
      <c r="C5" s="52">
        <v>5.5319325000000003E-2</v>
      </c>
      <c r="D5" s="52">
        <v>0.10589541875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84.265913517575598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40.468189781356223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825.72943905266402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3.0877576700030751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13.600489225152121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13.600489225152121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13.600489225152121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13.600489225152121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13.600489225152121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13.600489225152121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1.307255025047471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18.912221099022862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18.912221099022862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0.9017522</v>
      </c>
      <c r="C21" s="98">
        <v>0.95</v>
      </c>
      <c r="D21" s="56">
        <v>36.461053003308884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23.778563587053029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4.6470312755738146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19.16115761564345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173.52890625098581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2.636409199155751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2.8673817503679651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0.44400000000000001</v>
      </c>
      <c r="C38" s="98">
        <v>0.95</v>
      </c>
      <c r="D38" s="56">
        <v>4.8852293917660123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205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2024-05-09T01:46:28Z</dcterms:modified>
</cp:coreProperties>
</file>