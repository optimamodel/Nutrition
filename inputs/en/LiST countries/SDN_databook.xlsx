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198D96F-AF09-4BEC-A75A-592D3D55479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<sst xmlns="http://schemas.openxmlformats.org/spreadsheetml/2006/main" count="2169" uniqueCount="373">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</sst>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7373054.5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7">
        <v>0.1032511</v>
      </c>
    </row>
    <row r="31" spans="1:3" ht="14.25" customHeight="1" x14ac:dyDescent="0.25">
      <c r="B31" s="25" t="s">
        <v>28</v>
      </c>
      <c r="C31" s="97">
        <v>0.13079470000000001</v>
      </c>
    </row>
    <row r="32" spans="1:3" ht="14.25" customHeight="1" x14ac:dyDescent="0.25">
      <c r="B32" s="25" t="s">
        <v>29</v>
      </c>
      <c r="C32" s="97">
        <v>0.58458759999999999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98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1664612</v>
      </c>
      <c r="C2" s="49">
        <v>2695345</v>
      </c>
      <c r="D2" s="49">
        <v>4475205</v>
      </c>
      <c r="E2" s="49">
        <v>3182025</v>
      </c>
      <c r="F2" s="49">
        <v>2171777</v>
      </c>
      <c r="G2" s="17">
        <f t="shared" ref="G2:G13" si="0">C2+D2+E2+F2</f>
        <v>12524352</v>
      </c>
      <c r="H2" s="17">
        <f t="shared" ref="H2:H13" si="1">(B2 + stillbirth*B2/(1000-stillbirth))/(1-abortion)</f>
        <v>1934137.1102111596</v>
      </c>
      <c r="I2" s="17">
        <f t="shared" ref="I2:I13" si="2">G2-H2</f>
        <v>10590214.88978884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1656421</v>
      </c>
      <c r="C3" s="50">
        <v>2742180</v>
      </c>
      <c r="D3" s="50">
        <v>4553865</v>
      </c>
      <c r="E3" s="50">
        <v>3305404.5</v>
      </c>
      <c r="F3" s="50">
        <v>2248363.5</v>
      </c>
      <c r="G3" s="17">
        <f t="shared" si="0"/>
        <v>12849813</v>
      </c>
      <c r="H3" s="17">
        <f t="shared" si="1"/>
        <v>1924619.8671120233</v>
      </c>
      <c r="I3" s="17">
        <f t="shared" si="2"/>
        <v>10925193.132887976</v>
      </c>
    </row>
    <row r="4" spans="1:9" ht="15.75" customHeight="1" x14ac:dyDescent="0.25">
      <c r="A4" s="5">
        <f t="shared" si="3"/>
        <v>2026</v>
      </c>
      <c r="B4" s="49">
        <v>1694024</v>
      </c>
      <c r="C4" s="50">
        <v>2804231.5</v>
      </c>
      <c r="D4" s="50">
        <v>4689747.4999999991</v>
      </c>
      <c r="E4" s="50">
        <v>3471061</v>
      </c>
      <c r="F4" s="50">
        <v>2347397</v>
      </c>
      <c r="G4" s="17">
        <f t="shared" si="0"/>
        <v>13312437</v>
      </c>
      <c r="H4" s="17">
        <f t="shared" si="1"/>
        <v>1968311.3446186555</v>
      </c>
      <c r="I4" s="17">
        <f t="shared" si="2"/>
        <v>11344125.655381344</v>
      </c>
    </row>
    <row r="5" spans="1:9" ht="15.75" customHeight="1" x14ac:dyDescent="0.25">
      <c r="A5" s="5">
        <f t="shared" si="3"/>
        <v>2027</v>
      </c>
      <c r="B5" s="49">
        <v>1724552</v>
      </c>
      <c r="C5" s="50">
        <v>2854180.5</v>
      </c>
      <c r="D5" s="50">
        <v>4787850</v>
      </c>
      <c r="E5" s="50">
        <v>3620423</v>
      </c>
      <c r="F5" s="50">
        <v>2441147</v>
      </c>
      <c r="G5" s="17">
        <f t="shared" si="0"/>
        <v>13703600.5</v>
      </c>
      <c r="H5" s="17">
        <f t="shared" si="1"/>
        <v>2003782.2758029352</v>
      </c>
      <c r="I5" s="17">
        <f t="shared" si="2"/>
        <v>11699818.224197065</v>
      </c>
    </row>
    <row r="6" spans="1:9" ht="15.75" customHeight="1" x14ac:dyDescent="0.25">
      <c r="A6" s="5">
        <f t="shared" si="3"/>
        <v>2028</v>
      </c>
      <c r="B6" s="49">
        <v>1736764</v>
      </c>
      <c r="C6" s="50">
        <v>2894906.5</v>
      </c>
      <c r="D6" s="50">
        <v>4853130</v>
      </c>
      <c r="E6" s="50">
        <v>3753353.5</v>
      </c>
      <c r="F6" s="50">
        <v>2529502</v>
      </c>
      <c r="G6" s="17">
        <f t="shared" si="0"/>
        <v>14030892</v>
      </c>
      <c r="H6" s="17">
        <f t="shared" si="1"/>
        <v>2017971.5778083869</v>
      </c>
      <c r="I6" s="17">
        <f t="shared" si="2"/>
        <v>12012920.422191612</v>
      </c>
    </row>
    <row r="7" spans="1:9" ht="15.75" customHeight="1" x14ac:dyDescent="0.25">
      <c r="A7" s="5">
        <f t="shared" si="3"/>
        <v>2029</v>
      </c>
      <c r="B7" s="49">
        <v>1749542</v>
      </c>
      <c r="C7" s="50">
        <v>2934944.5</v>
      </c>
      <c r="D7" s="50">
        <v>4917271.5</v>
      </c>
      <c r="E7" s="50">
        <v>3886923.5</v>
      </c>
      <c r="F7" s="50">
        <v>2620463.5</v>
      </c>
      <c r="G7" s="17">
        <f t="shared" si="0"/>
        <v>14359603</v>
      </c>
      <c r="H7" s="17">
        <f t="shared" si="1"/>
        <v>2032818.5235196264</v>
      </c>
      <c r="I7" s="17">
        <f t="shared" si="2"/>
        <v>12326784.476480374</v>
      </c>
    </row>
    <row r="8" spans="1:9" ht="15.75" customHeight="1" x14ac:dyDescent="0.25">
      <c r="A8" s="5">
        <f t="shared" si="3"/>
        <v>2030</v>
      </c>
      <c r="B8" s="49">
        <v>1756395</v>
      </c>
      <c r="C8" s="50">
        <v>2979851</v>
      </c>
      <c r="D8" s="50">
        <v>4984100</v>
      </c>
      <c r="E8" s="50">
        <v>4020388.5</v>
      </c>
      <c r="F8" s="50">
        <v>2714078</v>
      </c>
      <c r="G8" s="17">
        <f t="shared" si="0"/>
        <v>14698417.5</v>
      </c>
      <c r="H8" s="17">
        <f t="shared" si="1"/>
        <v>2040781.1247842317</v>
      </c>
      <c r="I8" s="17">
        <f t="shared" si="2"/>
        <v>12657636.375215769</v>
      </c>
    </row>
    <row r="9" spans="1:9" ht="15.75" customHeight="1" x14ac:dyDescent="0.25">
      <c r="A9" s="5">
        <f t="shared" si="3"/>
        <v>2031</v>
      </c>
      <c r="B9" s="49">
        <v>1761601</v>
      </c>
      <c r="C9" s="50">
        <v>3035593</v>
      </c>
      <c r="D9" s="50">
        <v>5050871.5</v>
      </c>
      <c r="E9" s="50">
        <v>4148968.5</v>
      </c>
      <c r="F9" s="50">
        <v>2812759</v>
      </c>
      <c r="G9" s="17">
        <f t="shared" si="0"/>
        <v>15048192</v>
      </c>
      <c r="H9" s="17">
        <f t="shared" si="1"/>
        <v>2046830.0525798737</v>
      </c>
      <c r="I9" s="17">
        <f t="shared" si="2"/>
        <v>13001361.947420126</v>
      </c>
    </row>
    <row r="10" spans="1:9" ht="15.75" customHeight="1" x14ac:dyDescent="0.25">
      <c r="A10" s="5">
        <f t="shared" si="3"/>
        <v>2032</v>
      </c>
      <c r="B10" s="49">
        <v>1772840</v>
      </c>
      <c r="C10" s="50">
        <v>3102759.5</v>
      </c>
      <c r="D10" s="50">
        <v>5115271.0000000009</v>
      </c>
      <c r="E10" s="50">
        <v>4267712</v>
      </c>
      <c r="F10" s="50">
        <v>2922108</v>
      </c>
      <c r="G10" s="17">
        <f t="shared" si="0"/>
        <v>15407850.5</v>
      </c>
      <c r="H10" s="17">
        <f t="shared" si="1"/>
        <v>2059888.8116070004</v>
      </c>
      <c r="I10" s="17">
        <f t="shared" si="2"/>
        <v>13347961.688393001</v>
      </c>
    </row>
    <row r="11" spans="1:9" ht="15.75" customHeight="1" x14ac:dyDescent="0.25">
      <c r="A11" s="5">
        <f t="shared" si="3"/>
        <v>2033</v>
      </c>
      <c r="B11" s="49">
        <v>1777543</v>
      </c>
      <c r="C11" s="50">
        <v>3183593.5</v>
      </c>
      <c r="D11" s="50">
        <v>5182938</v>
      </c>
      <c r="E11" s="50">
        <v>4375026.5</v>
      </c>
      <c r="F11" s="50">
        <v>3043719.5</v>
      </c>
      <c r="G11" s="17">
        <f t="shared" si="0"/>
        <v>15785277.5</v>
      </c>
      <c r="H11" s="17">
        <f t="shared" si="1"/>
        <v>2065353.2963213499</v>
      </c>
      <c r="I11" s="17">
        <f t="shared" si="2"/>
        <v>13719924.203678651</v>
      </c>
    </row>
    <row r="12" spans="1:9" ht="15.75" customHeight="1" x14ac:dyDescent="0.25">
      <c r="A12" s="5">
        <f t="shared" si="3"/>
        <v>2034</v>
      </c>
      <c r="B12" s="49">
        <v>1792919</v>
      </c>
      <c r="C12" s="50">
        <v>3275140.5</v>
      </c>
      <c r="D12" s="50">
        <v>5256943</v>
      </c>
      <c r="E12" s="50">
        <v>4471682.0000000009</v>
      </c>
      <c r="F12" s="50">
        <v>3172314.5</v>
      </c>
      <c r="G12" s="17">
        <f t="shared" si="0"/>
        <v>16176080</v>
      </c>
      <c r="H12" s="17">
        <f t="shared" si="1"/>
        <v>2083218.8963570381</v>
      </c>
      <c r="I12" s="17">
        <f t="shared" si="2"/>
        <v>14092861.103642963</v>
      </c>
    </row>
    <row r="13" spans="1:9" ht="15.75" customHeight="1" x14ac:dyDescent="0.25">
      <c r="A13" s="5">
        <f t="shared" si="3"/>
        <v>2035</v>
      </c>
      <c r="B13" s="49">
        <v>1797020</v>
      </c>
      <c r="C13" s="50">
        <v>3363398</v>
      </c>
      <c r="D13" s="50">
        <v>5342887.5000000009</v>
      </c>
      <c r="E13" s="50">
        <v>4559808.4999999991</v>
      </c>
      <c r="F13" s="50">
        <v>3303554.5</v>
      </c>
      <c r="G13" s="17">
        <f t="shared" si="0"/>
        <v>16569648.5</v>
      </c>
      <c r="H13" s="17">
        <f t="shared" si="1"/>
        <v>2087983.9084373163</v>
      </c>
      <c r="I13" s="17">
        <f t="shared" si="2"/>
        <v>14481664.591562685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99">
        <v>5.3770801095202957E-2</v>
      </c>
    </row>
    <row r="5" spans="1:8" ht="15.75" customHeight="1" x14ac:dyDescent="0.25">
      <c r="B5" s="19" t="s">
        <v>70</v>
      </c>
      <c r="C5" s="99">
        <v>7.0625709105514814E-2</v>
      </c>
    </row>
    <row r="6" spans="1:8" ht="15.75" customHeight="1" x14ac:dyDescent="0.25">
      <c r="B6" s="19" t="s">
        <v>71</v>
      </c>
      <c r="C6" s="99">
        <v>0.23263621626898029</v>
      </c>
    </row>
    <row r="7" spans="1:8" ht="15.75" customHeight="1" x14ac:dyDescent="0.25">
      <c r="B7" s="19" t="s">
        <v>72</v>
      </c>
      <c r="C7" s="99">
        <v>0.4193640013634034</v>
      </c>
    </row>
    <row r="8" spans="1:8" ht="15.75" customHeight="1" x14ac:dyDescent="0.25">
      <c r="B8" s="19" t="s">
        <v>73</v>
      </c>
      <c r="C8" s="99">
        <v>1.7560613019217261E-3</v>
      </c>
    </row>
    <row r="9" spans="1:8" ht="15.75" customHeight="1" x14ac:dyDescent="0.25">
      <c r="B9" s="19" t="s">
        <v>74</v>
      </c>
      <c r="C9" s="99">
        <v>9.6119102522455382E-2</v>
      </c>
    </row>
    <row r="10" spans="1:8" ht="15.75" customHeight="1" x14ac:dyDescent="0.25">
      <c r="B10" s="19" t="s">
        <v>75</v>
      </c>
      <c r="C10" s="99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83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84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85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86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87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88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89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99">
        <v>2.7708330999999999E-2</v>
      </c>
    </row>
    <row r="28" spans="1:8" ht="15.75" customHeight="1" x14ac:dyDescent="0.25">
      <c r="B28" s="19" t="s">
        <v>93</v>
      </c>
      <c r="C28" s="99">
        <v>0.192682248</v>
      </c>
    </row>
    <row r="29" spans="1:8" ht="15.75" customHeight="1" x14ac:dyDescent="0.25">
      <c r="B29" s="19" t="s">
        <v>94</v>
      </c>
      <c r="C29" s="99">
        <v>0.15047112300000001</v>
      </c>
    </row>
    <row r="30" spans="1:8" ht="15.75" customHeight="1" x14ac:dyDescent="0.25">
      <c r="B30" s="19" t="s">
        <v>95</v>
      </c>
      <c r="C30" s="99">
        <v>4.9998465000000013E-2</v>
      </c>
    </row>
    <row r="31" spans="1:8" ht="15.75" customHeight="1" x14ac:dyDescent="0.25">
      <c r="B31" s="19" t="s">
        <v>96</v>
      </c>
      <c r="C31" s="99">
        <v>3.0442113E-2</v>
      </c>
    </row>
    <row r="32" spans="1:8" ht="15.75" customHeight="1" x14ac:dyDescent="0.25">
      <c r="B32" s="19" t="s">
        <v>97</v>
      </c>
      <c r="C32" s="99">
        <v>8.5598303000000001E-2</v>
      </c>
    </row>
    <row r="33" spans="2:3" ht="15.75" customHeight="1" x14ac:dyDescent="0.25">
      <c r="B33" s="19" t="s">
        <v>98</v>
      </c>
      <c r="C33" s="99">
        <v>0.16741062000000001</v>
      </c>
    </row>
    <row r="34" spans="2:3" ht="15.75" customHeight="1" x14ac:dyDescent="0.25">
      <c r="B34" s="19" t="s">
        <v>99</v>
      </c>
      <c r="C34" s="99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12.76524374254179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12.76524374254179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12.76524374254179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12.76524374254179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12.76524374254179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3.6484599999999999E-2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4.938E-2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0.53045450000000005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0.53045450000000005</v>
      </c>
      <c r="C19" s="96">
        <v>0.95</v>
      </c>
      <c r="D19" s="56">
        <v>5.6195673264216497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0.2500193</v>
      </c>
      <c r="C23" s="96">
        <v>0.95</v>
      </c>
      <c r="D23" s="56">
        <v>4.1250028489423594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0.19827547772213999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0.19644320000000001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0.23971219999999999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0.39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0.10762579999999999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0.53042900000000004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7.5948000000000014E-3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0.59316859999999993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0.15218699999999999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198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