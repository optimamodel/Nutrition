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9CD26E3-DD24-4046-8F1D-478D362C6F0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29" i="2"/>
  <c r="A21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39" i="2" s="1"/>
  <c r="C33" i="1"/>
  <c r="C20" i="1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34" i="2"/>
  <c r="A19" i="2"/>
  <c r="A27" i="2"/>
  <c r="A35" i="2"/>
  <c r="A26" i="2"/>
  <c r="A20" i="2"/>
  <c r="A28" i="2"/>
  <c r="A36" i="2"/>
  <c r="A22" i="2"/>
  <c r="A38" i="2"/>
  <c r="A15" i="2"/>
  <c r="A31" i="2"/>
  <c r="A14" i="2"/>
  <c r="A30" i="2"/>
  <c r="A40" i="2"/>
  <c r="A23" i="2"/>
  <c r="A16" i="2"/>
  <c r="A24" i="2"/>
  <c r="A32" i="2"/>
  <c r="A25" i="2"/>
  <c r="A17" i="2"/>
  <c r="A33" i="2"/>
  <c r="A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<sst xmlns="http://schemas.openxmlformats.org/spreadsheetml/2006/main" count="2092" uniqueCount="341">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</sst>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7399744.875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9">
        <v>0.1032511</v>
      </c>
    </row>
    <row r="31" spans="1:3" ht="14.25" customHeight="1" x14ac:dyDescent="0.25">
      <c r="B31" s="25" t="s">
        <v>28</v>
      </c>
      <c r="C31" s="99">
        <v>0.13079470000000001</v>
      </c>
    </row>
    <row r="32" spans="1:3" ht="14.25" customHeight="1" x14ac:dyDescent="0.25">
      <c r="B32" s="25" t="s">
        <v>29</v>
      </c>
      <c r="C32" s="99">
        <v>0.58458759999999999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100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1455624.7552</v>
      </c>
      <c r="C2" s="49">
        <v>2540000</v>
      </c>
      <c r="D2" s="49">
        <v>4239000</v>
      </c>
      <c r="E2" s="49">
        <v>42000</v>
      </c>
      <c r="F2" s="49">
        <v>36000</v>
      </c>
      <c r="G2" s="17">
        <f t="shared" ref="G2:G13" si="0">C2+D2+E2+F2</f>
        <v>6857000</v>
      </c>
      <c r="H2" s="17">
        <f t="shared" ref="H2:H13" si="1">(B2 + stillbirth*B2/(1000-stillbirth))/(1-abortion)</f>
        <v>1691311.7636868861</v>
      </c>
      <c r="I2" s="17">
        <f t="shared" ref="I2:I13" si="2">G2-H2</f>
        <v>5165688.2363131139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1475978</v>
      </c>
      <c r="C3" s="50">
        <v>2583000</v>
      </c>
      <c r="D3" s="50">
        <v>4354000</v>
      </c>
      <c r="E3" s="50">
        <v>42000</v>
      </c>
      <c r="F3" s="50">
        <v>37000</v>
      </c>
      <c r="G3" s="17">
        <f t="shared" si="0"/>
        <v>7016000</v>
      </c>
      <c r="H3" s="17">
        <f t="shared" si="1"/>
        <v>1714960.4974944592</v>
      </c>
      <c r="I3" s="17">
        <f t="shared" si="2"/>
        <v>5301039.5025055408</v>
      </c>
    </row>
    <row r="4" spans="1:9" ht="15.75" customHeight="1" x14ac:dyDescent="0.25">
      <c r="A4" s="5">
        <f t="shared" si="3"/>
        <v>2026</v>
      </c>
      <c r="B4" s="49">
        <v>1496387.9476000001</v>
      </c>
      <c r="C4" s="50">
        <v>2623000</v>
      </c>
      <c r="D4" s="50">
        <v>4464000</v>
      </c>
      <c r="E4" s="50">
        <v>44000</v>
      </c>
      <c r="F4" s="50">
        <v>37000</v>
      </c>
      <c r="G4" s="17">
        <f t="shared" si="0"/>
        <v>7168000</v>
      </c>
      <c r="H4" s="17">
        <f t="shared" si="1"/>
        <v>1738675.1151174402</v>
      </c>
      <c r="I4" s="17">
        <f t="shared" si="2"/>
        <v>5429324.88488256</v>
      </c>
    </row>
    <row r="5" spans="1:9" ht="15.75" customHeight="1" x14ac:dyDescent="0.25">
      <c r="A5" s="5">
        <f t="shared" si="3"/>
        <v>2027</v>
      </c>
      <c r="B5" s="49">
        <v>1516576.4992</v>
      </c>
      <c r="C5" s="50">
        <v>2662000</v>
      </c>
      <c r="D5" s="50">
        <v>4570000</v>
      </c>
      <c r="E5" s="50">
        <v>44000</v>
      </c>
      <c r="F5" s="50">
        <v>38000</v>
      </c>
      <c r="G5" s="17">
        <f t="shared" si="0"/>
        <v>7314000</v>
      </c>
      <c r="H5" s="17">
        <f t="shared" si="1"/>
        <v>1762132.4894791369</v>
      </c>
      <c r="I5" s="17">
        <f t="shared" si="2"/>
        <v>5551867.5105208633</v>
      </c>
    </row>
    <row r="6" spans="1:9" ht="15.75" customHeight="1" x14ac:dyDescent="0.25">
      <c r="A6" s="5">
        <f t="shared" si="3"/>
        <v>2028</v>
      </c>
      <c r="B6" s="49">
        <v>1536502.6751999999</v>
      </c>
      <c r="C6" s="50">
        <v>2701000</v>
      </c>
      <c r="D6" s="50">
        <v>4674000</v>
      </c>
      <c r="E6" s="50">
        <v>44000</v>
      </c>
      <c r="F6" s="50">
        <v>38000</v>
      </c>
      <c r="G6" s="17">
        <f t="shared" si="0"/>
        <v>7457000</v>
      </c>
      <c r="H6" s="17">
        <f t="shared" si="1"/>
        <v>1785285.005780953</v>
      </c>
      <c r="I6" s="17">
        <f t="shared" si="2"/>
        <v>5671714.994219047</v>
      </c>
    </row>
    <row r="7" spans="1:9" ht="15.75" customHeight="1" x14ac:dyDescent="0.25">
      <c r="A7" s="5">
        <f t="shared" si="3"/>
        <v>2029</v>
      </c>
      <c r="B7" s="49">
        <v>1556213.6348000001</v>
      </c>
      <c r="C7" s="50">
        <v>2741000</v>
      </c>
      <c r="D7" s="50">
        <v>4772000</v>
      </c>
      <c r="E7" s="50">
        <v>44000</v>
      </c>
      <c r="F7" s="50">
        <v>39000</v>
      </c>
      <c r="G7" s="17">
        <f t="shared" si="0"/>
        <v>7596000</v>
      </c>
      <c r="H7" s="17">
        <f t="shared" si="1"/>
        <v>1808187.4589894083</v>
      </c>
      <c r="I7" s="17">
        <f t="shared" si="2"/>
        <v>5787812.5410105921</v>
      </c>
    </row>
    <row r="8" spans="1:9" ht="15.75" customHeight="1" x14ac:dyDescent="0.25">
      <c r="A8" s="5">
        <f t="shared" si="3"/>
        <v>2030</v>
      </c>
      <c r="B8" s="49">
        <v>1575610.66</v>
      </c>
      <c r="C8" s="50">
        <v>2781000</v>
      </c>
      <c r="D8" s="50">
        <v>4866000</v>
      </c>
      <c r="E8" s="50">
        <v>44000</v>
      </c>
      <c r="F8" s="50">
        <v>39000</v>
      </c>
      <c r="G8" s="17">
        <f t="shared" si="0"/>
        <v>7730000</v>
      </c>
      <c r="H8" s="17">
        <f t="shared" si="1"/>
        <v>1830725.1472116611</v>
      </c>
      <c r="I8" s="17">
        <f t="shared" si="2"/>
        <v>5899274.8527883384</v>
      </c>
    </row>
    <row r="9" spans="1:9" ht="15.75" customHeight="1" x14ac:dyDescent="0.25">
      <c r="A9" s="5">
        <f t="shared" si="3"/>
        <v>2031</v>
      </c>
      <c r="B9" s="49">
        <v>1592751.503542857</v>
      </c>
      <c r="C9" s="50">
        <v>2815428.5714285709</v>
      </c>
      <c r="D9" s="50">
        <v>4955571.4285714282</v>
      </c>
      <c r="E9" s="50">
        <v>44285.714285714283</v>
      </c>
      <c r="F9" s="50">
        <v>39428.571428571428</v>
      </c>
      <c r="G9" s="17">
        <f t="shared" si="0"/>
        <v>7854714.2857142854</v>
      </c>
      <c r="H9" s="17">
        <f t="shared" si="1"/>
        <v>1850641.3448580576</v>
      </c>
      <c r="I9" s="17">
        <f t="shared" si="2"/>
        <v>6004072.9408562277</v>
      </c>
    </row>
    <row r="10" spans="1:9" ht="15.75" customHeight="1" x14ac:dyDescent="0.25">
      <c r="A10" s="5">
        <f t="shared" si="3"/>
        <v>2032</v>
      </c>
      <c r="B10" s="49">
        <v>1609433.432620408</v>
      </c>
      <c r="C10" s="50">
        <v>2848632.6530612251</v>
      </c>
      <c r="D10" s="50">
        <v>5041510.2040816322</v>
      </c>
      <c r="E10" s="50">
        <v>44612.244897959179</v>
      </c>
      <c r="F10" s="50">
        <v>39775.510204081627</v>
      </c>
      <c r="G10" s="17">
        <f t="shared" si="0"/>
        <v>7974530.6122448975</v>
      </c>
      <c r="H10" s="17">
        <f t="shared" si="1"/>
        <v>1870024.3230528573</v>
      </c>
      <c r="I10" s="17">
        <f t="shared" si="2"/>
        <v>6104506.2891920405</v>
      </c>
    </row>
    <row r="11" spans="1:9" ht="15.75" customHeight="1" x14ac:dyDescent="0.25">
      <c r="A11" s="5">
        <f t="shared" si="3"/>
        <v>2033</v>
      </c>
      <c r="B11" s="49">
        <v>1625582.787623324</v>
      </c>
      <c r="C11" s="50">
        <v>2880865.8892128281</v>
      </c>
      <c r="D11" s="50">
        <v>5124011.6618075799</v>
      </c>
      <c r="E11" s="50">
        <v>44699.70845481049</v>
      </c>
      <c r="F11" s="50">
        <v>40172.011661807577</v>
      </c>
      <c r="G11" s="17">
        <f t="shared" si="0"/>
        <v>8089749.2711370261</v>
      </c>
      <c r="H11" s="17">
        <f t="shared" si="1"/>
        <v>1888788.4956150604</v>
      </c>
      <c r="I11" s="17">
        <f t="shared" si="2"/>
        <v>6200960.7755219657</v>
      </c>
    </row>
    <row r="12" spans="1:9" ht="15.75" customHeight="1" x14ac:dyDescent="0.25">
      <c r="A12" s="5">
        <f t="shared" si="3"/>
        <v>2034</v>
      </c>
      <c r="B12" s="49">
        <v>1641155.1145409411</v>
      </c>
      <c r="C12" s="50">
        <v>2912132.4448146611</v>
      </c>
      <c r="D12" s="50">
        <v>5203156.1849229475</v>
      </c>
      <c r="E12" s="50">
        <v>44799.666805497713</v>
      </c>
      <c r="F12" s="50">
        <v>40482.29904206581</v>
      </c>
      <c r="G12" s="17">
        <f t="shared" si="0"/>
        <v>8200570.5955851711</v>
      </c>
      <c r="H12" s="17">
        <f t="shared" si="1"/>
        <v>1906882.2107773346</v>
      </c>
      <c r="I12" s="17">
        <f t="shared" si="2"/>
        <v>6293688.3848078363</v>
      </c>
    </row>
    <row r="13" spans="1:9" ht="15.75" customHeight="1" x14ac:dyDescent="0.25">
      <c r="A13" s="5">
        <f t="shared" si="3"/>
        <v>2035</v>
      </c>
      <c r="B13" s="49">
        <v>1656105.463018219</v>
      </c>
      <c r="C13" s="50">
        <v>2942294.222645327</v>
      </c>
      <c r="D13" s="50">
        <v>5278749.9256262267</v>
      </c>
      <c r="E13" s="50">
        <v>44913.904920568813</v>
      </c>
      <c r="F13" s="50">
        <v>40836.913190932362</v>
      </c>
      <c r="G13" s="17">
        <f t="shared" si="0"/>
        <v>8306794.9663830539</v>
      </c>
      <c r="H13" s="17">
        <f t="shared" si="1"/>
        <v>1924253.2400625327</v>
      </c>
      <c r="I13" s="17">
        <f t="shared" si="2"/>
        <v>6382541.726320521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101">
        <v>5.3770801095202957E-2</v>
      </c>
    </row>
    <row r="5" spans="1:8" ht="15.75" customHeight="1" x14ac:dyDescent="0.25">
      <c r="B5" s="19" t="s">
        <v>70</v>
      </c>
      <c r="C5" s="101">
        <v>7.0625709105514814E-2</v>
      </c>
    </row>
    <row r="6" spans="1:8" ht="15.75" customHeight="1" x14ac:dyDescent="0.25">
      <c r="B6" s="19" t="s">
        <v>71</v>
      </c>
      <c r="C6" s="101">
        <v>0.23263621626898029</v>
      </c>
    </row>
    <row r="7" spans="1:8" ht="15.75" customHeight="1" x14ac:dyDescent="0.25">
      <c r="B7" s="19" t="s">
        <v>72</v>
      </c>
      <c r="C7" s="101">
        <v>0.4193640013634034</v>
      </c>
    </row>
    <row r="8" spans="1:8" ht="15.75" customHeight="1" x14ac:dyDescent="0.25">
      <c r="B8" s="19" t="s">
        <v>73</v>
      </c>
      <c r="C8" s="101">
        <v>1.7560613019217261E-3</v>
      </c>
    </row>
    <row r="9" spans="1:8" ht="15.75" customHeight="1" x14ac:dyDescent="0.25">
      <c r="B9" s="19" t="s">
        <v>74</v>
      </c>
      <c r="C9" s="101">
        <v>9.6119102522455382E-2</v>
      </c>
    </row>
    <row r="10" spans="1:8" ht="15.75" customHeight="1" x14ac:dyDescent="0.25">
      <c r="B10" s="19" t="s">
        <v>75</v>
      </c>
      <c r="C10" s="101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83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84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85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86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87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88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89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9.5043588184499997E-2</v>
      </c>
      <c r="C2" s="98">
        <v>0.95</v>
      </c>
      <c r="D2" s="56">
        <v>47.001122266344161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39.632944298745883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241.50381621256199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0.63572318409505146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12.76524374254179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12.76524374254179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12.76524374254179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12.76524374254179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12.76524374254179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12.76524374254179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0.19553655653980001</v>
      </c>
      <c r="C16" s="98">
        <v>0.95</v>
      </c>
      <c r="D16" s="56">
        <v>0.4719828027126588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5.6195673264216497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5.6195673264216497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0.53042900000000004</v>
      </c>
      <c r="C21" s="98">
        <v>0.95</v>
      </c>
      <c r="D21" s="56">
        <v>5.7756331563778938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21.899261251179791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7.5948000000000014E-3</v>
      </c>
      <c r="C23" s="98">
        <v>0.95</v>
      </c>
      <c r="D23" s="56">
        <v>4.1250028489423594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0.20749876208060999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0.12186051274199999</v>
      </c>
      <c r="C27" s="98">
        <v>0.95</v>
      </c>
      <c r="D27" s="56">
        <v>18.34498420736286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0.19644320000000001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88.477616348400218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4.0508635694147443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0.53045450000000005</v>
      </c>
      <c r="C32" s="98">
        <v>0.95</v>
      </c>
      <c r="D32" s="56">
        <v>0.98807896403043338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0.36892079999999999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0.15218699999999999</v>
      </c>
      <c r="C38" s="98">
        <v>0.95</v>
      </c>
      <c r="D38" s="56">
        <v>7.6479873549004456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0.23971219999999999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205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0.88893824966681456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2024-03-28T03:04:43Z</dcterms:modified>
</cp:coreProperties>
</file>