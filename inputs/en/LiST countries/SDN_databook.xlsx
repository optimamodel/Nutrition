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6297F57C-AAAC-40BB-AFAE-675D353B04EB}" xr6:coauthVersionLast="47" xr6:coauthVersionMax="47" xr10:uidLastSave="{00000000-0000-0000-0000-000000000000}"/>
  <bookViews>
    <workbookView xWindow="20" yWindow="20" windowWidth="19180" windowHeight="10180" tabRatio="961" firstSheet="6" activeTab="9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F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I39" i="2"/>
  <c r="H39" i="2"/>
  <c r="G39" i="2"/>
  <c r="A39" i="2"/>
  <c r="H38" i="2"/>
  <c r="G38" i="2"/>
  <c r="I38" i="2" s="1"/>
  <c r="A37" i="2"/>
  <c r="A36" i="2"/>
  <c r="A34" i="2"/>
  <c r="A33" i="2"/>
  <c r="A32" i="2"/>
  <c r="A31" i="2"/>
  <c r="A29" i="2"/>
  <c r="A28" i="2"/>
  <c r="A26" i="2"/>
  <c r="A25" i="2"/>
  <c r="A24" i="2"/>
  <c r="A23" i="2"/>
  <c r="A21" i="2"/>
  <c r="A20" i="2"/>
  <c r="A18" i="2"/>
  <c r="A17" i="2"/>
  <c r="A16" i="2"/>
  <c r="A15" i="2"/>
  <c r="I13" i="2"/>
  <c r="H13" i="2"/>
  <c r="G13" i="2"/>
  <c r="H12" i="2"/>
  <c r="G12" i="2"/>
  <c r="I12" i="2" s="1"/>
  <c r="I11" i="2"/>
  <c r="H11" i="2"/>
  <c r="G11" i="2"/>
  <c r="H10" i="2"/>
  <c r="G10" i="2"/>
  <c r="I10" i="2" s="1"/>
  <c r="I9" i="2"/>
  <c r="H9" i="2"/>
  <c r="G9" i="2"/>
  <c r="H8" i="2"/>
  <c r="G8" i="2"/>
  <c r="I8" i="2" s="1"/>
  <c r="I7" i="2"/>
  <c r="H7" i="2"/>
  <c r="G7" i="2"/>
  <c r="H6" i="2"/>
  <c r="G6" i="2"/>
  <c r="I6" i="2" s="1"/>
  <c r="I5" i="2"/>
  <c r="H5" i="2"/>
  <c r="G5" i="2"/>
  <c r="H4" i="2"/>
  <c r="G4" i="2"/>
  <c r="I4" i="2" s="1"/>
  <c r="I3" i="2"/>
  <c r="H3" i="2"/>
  <c r="G3" i="2"/>
  <c r="A3" i="2"/>
  <c r="H2" i="2"/>
  <c r="G2" i="2"/>
  <c r="I2" i="2" s="1"/>
  <c r="A2" i="2"/>
  <c r="A40" i="2" s="1"/>
  <c r="C33" i="1"/>
  <c r="C20" i="1"/>
  <c r="A19" i="2" l="1"/>
  <c r="A27" i="2"/>
  <c r="A35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<sst xmlns="http://schemas.openxmlformats.org/spreadsheetml/2006/main" count="2101" uniqueCount="341">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</sst>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7399744.875</v>
      </c>
    </row>
    <row r="8" spans="1:3" ht="15" customHeight="1" x14ac:dyDescent="0.25">
      <c r="B8" s="5" t="s">
        <v>8</v>
      </c>
      <c r="C8" s="44">
        <v>0.127</v>
      </c>
    </row>
    <row r="9" spans="1:3" ht="15" customHeight="1" x14ac:dyDescent="0.25">
      <c r="B9" s="5" t="s">
        <v>9</v>
      </c>
      <c r="C9" s="45">
        <v>0.1</v>
      </c>
    </row>
    <row r="10" spans="1:3" ht="15" customHeight="1" x14ac:dyDescent="0.25">
      <c r="B10" s="5" t="s">
        <v>10</v>
      </c>
      <c r="C10" s="45">
        <v>0.30839620590209998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0.69799999999999995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7.4299999999999991E-2</v>
      </c>
    </row>
    <row r="24" spans="1:3" ht="15" customHeight="1" x14ac:dyDescent="0.25">
      <c r="B24" s="15" t="s">
        <v>22</v>
      </c>
      <c r="C24" s="45">
        <v>0.44829999999999998</v>
      </c>
    </row>
    <row r="25" spans="1:3" ht="15" customHeight="1" x14ac:dyDescent="0.25">
      <c r="B25" s="15" t="s">
        <v>23</v>
      </c>
      <c r="C25" s="45">
        <v>0.39019999999999999</v>
      </c>
    </row>
    <row r="26" spans="1:3" ht="15" customHeight="1" x14ac:dyDescent="0.25">
      <c r="B26" s="15" t="s">
        <v>24</v>
      </c>
      <c r="C26" s="45">
        <v>8.72E-2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0.18136659999999999</v>
      </c>
    </row>
    <row r="30" spans="1:3" ht="14.25" customHeight="1" x14ac:dyDescent="0.25">
      <c r="B30" s="25" t="s">
        <v>27</v>
      </c>
      <c r="C30" s="99">
        <v>0.1032511</v>
      </c>
    </row>
    <row r="31" spans="1:3" ht="14.25" customHeight="1" x14ac:dyDescent="0.25">
      <c r="B31" s="25" t="s">
        <v>28</v>
      </c>
      <c r="C31" s="99">
        <v>0.13079470000000001</v>
      </c>
    </row>
    <row r="32" spans="1:3" ht="14.25" customHeight="1" x14ac:dyDescent="0.25">
      <c r="B32" s="25" t="s">
        <v>29</v>
      </c>
      <c r="C32" s="99">
        <v>0.58458759999999999</v>
      </c>
    </row>
    <row r="33" spans="1:5" ht="13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26.66048</v>
      </c>
    </row>
    <row r="38" spans="1:5" ht="15" customHeight="1" x14ac:dyDescent="0.25">
      <c r="B38" s="11" t="s">
        <v>34</v>
      </c>
      <c r="C38" s="43">
        <v>38.948050000000002</v>
      </c>
      <c r="D38" s="12"/>
      <c r="E38" s="13"/>
    </row>
    <row r="39" spans="1:5" ht="15" customHeight="1" x14ac:dyDescent="0.25">
      <c r="B39" s="11" t="s">
        <v>35</v>
      </c>
      <c r="C39" s="43">
        <v>54.895539999999997</v>
      </c>
      <c r="D39" s="12"/>
      <c r="E39" s="12"/>
    </row>
    <row r="40" spans="1:5" ht="15" customHeight="1" x14ac:dyDescent="0.25">
      <c r="B40" s="11" t="s">
        <v>36</v>
      </c>
      <c r="C40" s="100">
        <v>2.7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21.990459999999999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7.4790999999999998E-3</v>
      </c>
      <c r="D45" s="12"/>
    </row>
    <row r="46" spans="1:5" ht="15.75" customHeight="1" x14ac:dyDescent="0.25">
      <c r="B46" s="11" t="s">
        <v>41</v>
      </c>
      <c r="C46" s="45">
        <v>8.0361700000000008E-2</v>
      </c>
      <c r="D46" s="12"/>
    </row>
    <row r="47" spans="1:5" ht="15.75" customHeight="1" x14ac:dyDescent="0.25">
      <c r="B47" s="11" t="s">
        <v>42</v>
      </c>
      <c r="C47" s="45">
        <v>7.3888400000000007E-2</v>
      </c>
      <c r="D47" s="12"/>
      <c r="E47" s="13"/>
    </row>
    <row r="48" spans="1:5" ht="15" customHeight="1" x14ac:dyDescent="0.25">
      <c r="B48" s="11" t="s">
        <v>43</v>
      </c>
      <c r="C48" s="46">
        <v>0.83827079999999998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2.9</v>
      </c>
      <c r="D51" s="12"/>
    </row>
    <row r="52" spans="1:4" ht="15" customHeight="1" x14ac:dyDescent="0.25">
      <c r="B52" s="11" t="s">
        <v>46</v>
      </c>
      <c r="C52" s="100">
        <v>2.9</v>
      </c>
    </row>
    <row r="53" spans="1:4" ht="15.75" customHeight="1" x14ac:dyDescent="0.25">
      <c r="B53" s="11" t="s">
        <v>47</v>
      </c>
      <c r="C53" s="100">
        <v>2.9</v>
      </c>
    </row>
    <row r="54" spans="1:4" ht="15.75" customHeight="1" x14ac:dyDescent="0.25">
      <c r="B54" s="11" t="s">
        <v>48</v>
      </c>
      <c r="C54" s="100">
        <v>2.9</v>
      </c>
    </row>
    <row r="55" spans="1:4" ht="15.75" customHeight="1" x14ac:dyDescent="0.25">
      <c r="B55" s="11" t="s">
        <v>49</v>
      </c>
      <c r="C55" s="100">
        <v>2.9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2.0689655172413789E-2</v>
      </c>
    </row>
    <row r="59" spans="1:4" ht="15.75" customHeight="1" x14ac:dyDescent="0.25">
      <c r="B59" s="11" t="s">
        <v>52</v>
      </c>
      <c r="C59" s="45">
        <v>0.52577700000000005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1580356</v>
      </c>
      <c r="C2" s="49">
        <v>3057406.5</v>
      </c>
      <c r="D2" s="49">
        <v>4134287</v>
      </c>
      <c r="E2" s="49">
        <v>3219003.5</v>
      </c>
      <c r="F2" s="49">
        <v>1855815</v>
      </c>
      <c r="G2" s="17">
        <f t="shared" ref="G2:G13" si="0">C2+D2+E2+F2</f>
        <v>12266512</v>
      </c>
      <c r="H2" s="17">
        <f t="shared" ref="H2:H13" si="1">(B2 + stillbirth*B2/(1000-stillbirth))/(1-abortion)</f>
        <v>1836238.8273933309</v>
      </c>
      <c r="I2" s="17">
        <f t="shared" ref="I2:I13" si="2">G2-H2</f>
        <v>10430273.172606669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1592895</v>
      </c>
      <c r="C3" s="50">
        <v>3165637</v>
      </c>
      <c r="D3" s="50">
        <v>4211534.5</v>
      </c>
      <c r="E3" s="50">
        <v>3301093</v>
      </c>
      <c r="F3" s="50">
        <v>1953485.5</v>
      </c>
      <c r="G3" s="17">
        <f t="shared" si="0"/>
        <v>12631750</v>
      </c>
      <c r="H3" s="17">
        <f t="shared" si="1"/>
        <v>1850808.075497356</v>
      </c>
      <c r="I3" s="17">
        <f t="shared" si="2"/>
        <v>10780941.924502645</v>
      </c>
    </row>
    <row r="4" spans="1:9" ht="15.75" customHeight="1" x14ac:dyDescent="0.25">
      <c r="A4" s="5">
        <f t="shared" si="3"/>
        <v>2026</v>
      </c>
      <c r="B4" s="49">
        <v>1612084</v>
      </c>
      <c r="C4" s="50">
        <v>3264108.5</v>
      </c>
      <c r="D4" s="50">
        <v>4296494</v>
      </c>
      <c r="E4" s="50">
        <v>3380473</v>
      </c>
      <c r="F4" s="50">
        <v>2054304</v>
      </c>
      <c r="G4" s="17">
        <f t="shared" si="0"/>
        <v>12995379.5</v>
      </c>
      <c r="H4" s="17">
        <f t="shared" si="1"/>
        <v>1873104.0561870555</v>
      </c>
      <c r="I4" s="17">
        <f t="shared" si="2"/>
        <v>11122275.443812944</v>
      </c>
    </row>
    <row r="5" spans="1:9" ht="15.75" customHeight="1" x14ac:dyDescent="0.25">
      <c r="A5" s="5">
        <f t="shared" si="3"/>
        <v>2027</v>
      </c>
      <c r="B5" s="49">
        <v>1623535</v>
      </c>
      <c r="C5" s="50">
        <v>3350559</v>
      </c>
      <c r="D5" s="50">
        <v>4397245.5</v>
      </c>
      <c r="E5" s="50">
        <v>3460813.5</v>
      </c>
      <c r="F5" s="50">
        <v>2155285</v>
      </c>
      <c r="G5" s="17">
        <f t="shared" si="0"/>
        <v>13363903</v>
      </c>
      <c r="H5" s="17">
        <f t="shared" si="1"/>
        <v>1886409.1411251843</v>
      </c>
      <c r="I5" s="17">
        <f t="shared" si="2"/>
        <v>11477493.858874816</v>
      </c>
    </row>
    <row r="6" spans="1:9" ht="15.75" customHeight="1" x14ac:dyDescent="0.25">
      <c r="A6" s="5">
        <f t="shared" si="3"/>
        <v>2028</v>
      </c>
      <c r="B6" s="49">
        <v>1638430</v>
      </c>
      <c r="C6" s="50">
        <v>3431743.5</v>
      </c>
      <c r="D6" s="50">
        <v>4512484.5</v>
      </c>
      <c r="E6" s="50">
        <v>3541136.5</v>
      </c>
      <c r="F6" s="50">
        <v>2251501</v>
      </c>
      <c r="G6" s="17">
        <f t="shared" si="0"/>
        <v>13736865.5</v>
      </c>
      <c r="H6" s="17">
        <f t="shared" si="1"/>
        <v>1903715.8602024196</v>
      </c>
      <c r="I6" s="17">
        <f t="shared" si="2"/>
        <v>11833149.639797579</v>
      </c>
    </row>
    <row r="7" spans="1:9" ht="15.75" customHeight="1" x14ac:dyDescent="0.25">
      <c r="A7" s="5">
        <f t="shared" si="3"/>
        <v>2029</v>
      </c>
      <c r="B7" s="49">
        <v>1649813</v>
      </c>
      <c r="C7" s="50">
        <v>3513377.5</v>
      </c>
      <c r="D7" s="50">
        <v>4636295</v>
      </c>
      <c r="E7" s="50">
        <v>3621229.5</v>
      </c>
      <c r="F7" s="50">
        <v>2343743.5</v>
      </c>
      <c r="G7" s="17">
        <f t="shared" si="0"/>
        <v>14114645.5</v>
      </c>
      <c r="H7" s="17">
        <f t="shared" si="1"/>
        <v>1916941.9349426795</v>
      </c>
      <c r="I7" s="17">
        <f t="shared" si="2"/>
        <v>12197703.565057321</v>
      </c>
    </row>
    <row r="8" spans="1:9" ht="15.75" customHeight="1" x14ac:dyDescent="0.25">
      <c r="A8" s="5">
        <f t="shared" si="3"/>
        <v>2030</v>
      </c>
      <c r="B8" s="49">
        <v>1667763</v>
      </c>
      <c r="C8" s="50">
        <v>3596256</v>
      </c>
      <c r="D8" s="50">
        <v>4766182</v>
      </c>
      <c r="E8" s="50">
        <v>3703649</v>
      </c>
      <c r="F8" s="50">
        <v>2434549</v>
      </c>
      <c r="G8" s="17">
        <f t="shared" si="0"/>
        <v>14500636</v>
      </c>
      <c r="H8" s="17">
        <f t="shared" si="1"/>
        <v>1937798.3033506272</v>
      </c>
      <c r="I8" s="17">
        <f t="shared" si="2"/>
        <v>12562837.696649373</v>
      </c>
    </row>
    <row r="9" spans="1:9" ht="15.75" customHeight="1" x14ac:dyDescent="0.25">
      <c r="A9" s="5">
        <f t="shared" si="3"/>
        <v>2031</v>
      </c>
      <c r="B9" s="49">
        <v>1681962</v>
      </c>
      <c r="C9" s="50">
        <v>3682768.5</v>
      </c>
      <c r="D9" s="50">
        <v>4897532</v>
      </c>
      <c r="E9" s="50">
        <v>3788822</v>
      </c>
      <c r="F9" s="50">
        <v>2520972.5</v>
      </c>
      <c r="G9" s="17">
        <f t="shared" si="0"/>
        <v>14890095</v>
      </c>
      <c r="H9" s="17">
        <f t="shared" si="1"/>
        <v>1954296.3298143845</v>
      </c>
      <c r="I9" s="17">
        <f t="shared" si="2"/>
        <v>12935798.670185616</v>
      </c>
    </row>
    <row r="10" spans="1:9" ht="15.75" customHeight="1" x14ac:dyDescent="0.25">
      <c r="A10" s="5">
        <f t="shared" si="3"/>
        <v>2032</v>
      </c>
      <c r="B10" s="49">
        <v>1701102</v>
      </c>
      <c r="C10" s="50">
        <v>3777969</v>
      </c>
      <c r="D10" s="50">
        <v>5027046.5</v>
      </c>
      <c r="E10" s="50">
        <v>3873232.5</v>
      </c>
      <c r="F10" s="50">
        <v>2602588.5</v>
      </c>
      <c r="G10" s="17">
        <f t="shared" si="0"/>
        <v>15280836.5</v>
      </c>
      <c r="H10" s="17">
        <f t="shared" si="1"/>
        <v>1976535.3766850317</v>
      </c>
      <c r="I10" s="17">
        <f t="shared" si="2"/>
        <v>13304301.123314969</v>
      </c>
    </row>
    <row r="11" spans="1:9" ht="15.75" customHeight="1" x14ac:dyDescent="0.25">
      <c r="A11" s="5">
        <f t="shared" si="3"/>
        <v>2033</v>
      </c>
      <c r="B11" s="49">
        <v>1722592</v>
      </c>
      <c r="C11" s="50">
        <v>3875426.5</v>
      </c>
      <c r="D11" s="50">
        <v>5162519</v>
      </c>
      <c r="E11" s="50">
        <v>3954112.5</v>
      </c>
      <c r="F11" s="50">
        <v>2681971</v>
      </c>
      <c r="G11" s="17">
        <f t="shared" si="0"/>
        <v>15674029</v>
      </c>
      <c r="H11" s="17">
        <f t="shared" si="1"/>
        <v>2001504.9230408417</v>
      </c>
      <c r="I11" s="17">
        <f t="shared" si="2"/>
        <v>13672524.076959159</v>
      </c>
    </row>
    <row r="12" spans="1:9" ht="15.75" customHeight="1" x14ac:dyDescent="0.25">
      <c r="A12" s="5">
        <f t="shared" si="3"/>
        <v>2034</v>
      </c>
      <c r="B12" s="49">
        <v>1742502</v>
      </c>
      <c r="C12" s="50">
        <v>3965951</v>
      </c>
      <c r="D12" s="50">
        <v>5310480</v>
      </c>
      <c r="E12" s="50">
        <v>4031729</v>
      </c>
      <c r="F12" s="50">
        <v>2758993</v>
      </c>
      <c r="G12" s="17">
        <f t="shared" si="0"/>
        <v>16067153</v>
      </c>
      <c r="H12" s="17">
        <f t="shared" si="1"/>
        <v>2024638.644210883</v>
      </c>
      <c r="I12" s="17">
        <f t="shared" si="2"/>
        <v>14042514.355789118</v>
      </c>
    </row>
    <row r="13" spans="1:9" ht="15.75" customHeight="1" x14ac:dyDescent="0.25">
      <c r="A13" s="5">
        <f t="shared" si="3"/>
        <v>2035</v>
      </c>
      <c r="B13" s="49">
        <v>1758923</v>
      </c>
      <c r="C13" s="50">
        <v>4044051</v>
      </c>
      <c r="D13" s="50">
        <v>5471865</v>
      </c>
      <c r="E13" s="50">
        <v>4108499.5</v>
      </c>
      <c r="F13" s="50">
        <v>2832375.5</v>
      </c>
      <c r="G13" s="17">
        <f t="shared" si="0"/>
        <v>16456791</v>
      </c>
      <c r="H13" s="17">
        <f t="shared" si="1"/>
        <v>2043718.4450814624</v>
      </c>
      <c r="I13" s="17">
        <f t="shared" si="2"/>
        <v>14413072.554918537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1.2673685844453639E-2</v>
      </c>
    </row>
    <row r="4" spans="1:8" ht="15.75" customHeight="1" x14ac:dyDescent="0.25">
      <c r="B4" s="19" t="s">
        <v>69</v>
      </c>
      <c r="C4" s="101">
        <v>5.3770801095202957E-2</v>
      </c>
    </row>
    <row r="5" spans="1:8" ht="15.75" customHeight="1" x14ac:dyDescent="0.25">
      <c r="B5" s="19" t="s">
        <v>70</v>
      </c>
      <c r="C5" s="101">
        <v>7.0625709105514814E-2</v>
      </c>
    </row>
    <row r="6" spans="1:8" ht="15.75" customHeight="1" x14ac:dyDescent="0.25">
      <c r="B6" s="19" t="s">
        <v>71</v>
      </c>
      <c r="C6" s="101">
        <v>0.23263621626898029</v>
      </c>
    </row>
    <row r="7" spans="1:8" ht="15.75" customHeight="1" x14ac:dyDescent="0.25">
      <c r="B7" s="19" t="s">
        <v>72</v>
      </c>
      <c r="C7" s="101">
        <v>0.4193640013634034</v>
      </c>
    </row>
    <row r="8" spans="1:8" ht="15.75" customHeight="1" x14ac:dyDescent="0.25">
      <c r="B8" s="19" t="s">
        <v>73</v>
      </c>
      <c r="C8" s="101">
        <v>1.7560613019217261E-3</v>
      </c>
    </row>
    <row r="9" spans="1:8" ht="15.75" customHeight="1" x14ac:dyDescent="0.25">
      <c r="B9" s="19" t="s">
        <v>74</v>
      </c>
      <c r="C9" s="101">
        <v>9.6119102522455382E-2</v>
      </c>
    </row>
    <row r="10" spans="1:8" ht="15.75" customHeight="1" x14ac:dyDescent="0.25">
      <c r="B10" s="19" t="s">
        <v>75</v>
      </c>
      <c r="C10" s="101">
        <v>0.1130544224980677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0.17452488325062651</v>
      </c>
      <c r="D14" s="55">
        <v>0.17452488325062651</v>
      </c>
      <c r="E14" s="55">
        <v>0.17452488325062651</v>
      </c>
      <c r="F14" s="55">
        <v>0.17452488325062651</v>
      </c>
    </row>
    <row r="15" spans="1:8" ht="15.75" customHeight="1" x14ac:dyDescent="0.25">
      <c r="B15" s="19" t="s">
        <v>82</v>
      </c>
      <c r="C15" s="101">
        <v>0.237643577182027</v>
      </c>
      <c r="D15" s="101">
        <v>0.237643577182027</v>
      </c>
      <c r="E15" s="101">
        <v>0.237643577182027</v>
      </c>
      <c r="F15" s="101">
        <v>0.237643577182027</v>
      </c>
    </row>
    <row r="16" spans="1:8" ht="15.75" customHeight="1" x14ac:dyDescent="0.25">
      <c r="B16" s="19" t="s">
        <v>83</v>
      </c>
      <c r="C16" s="101">
        <v>2.112581045049176E-2</v>
      </c>
      <c r="D16" s="101">
        <v>2.112581045049176E-2</v>
      </c>
      <c r="E16" s="101">
        <v>2.112581045049176E-2</v>
      </c>
      <c r="F16" s="101">
        <v>2.112581045049176E-2</v>
      </c>
    </row>
    <row r="17" spans="1:8" ht="15.75" customHeight="1" x14ac:dyDescent="0.25">
      <c r="B17" s="19" t="s">
        <v>84</v>
      </c>
      <c r="C17" s="101">
        <v>0.17447843039335451</v>
      </c>
      <c r="D17" s="101">
        <v>0.17447843039335451</v>
      </c>
      <c r="E17" s="101">
        <v>0.17447843039335451</v>
      </c>
      <c r="F17" s="101">
        <v>0.17447843039335451</v>
      </c>
    </row>
    <row r="18" spans="1:8" ht="15.75" customHeight="1" x14ac:dyDescent="0.25">
      <c r="B18" s="19" t="s">
        <v>85</v>
      </c>
      <c r="C18" s="101">
        <v>4.9477412798970923E-2</v>
      </c>
      <c r="D18" s="101">
        <v>4.9477412798970923E-2</v>
      </c>
      <c r="E18" s="101">
        <v>4.9477412798970923E-2</v>
      </c>
      <c r="F18" s="101">
        <v>4.9477412798970923E-2</v>
      </c>
    </row>
    <row r="19" spans="1:8" ht="15.75" customHeight="1" x14ac:dyDescent="0.25">
      <c r="B19" s="19" t="s">
        <v>86</v>
      </c>
      <c r="C19" s="101">
        <v>2.5739877859644749E-2</v>
      </c>
      <c r="D19" s="101">
        <v>2.5739877859644749E-2</v>
      </c>
      <c r="E19" s="101">
        <v>2.5739877859644749E-2</v>
      </c>
      <c r="F19" s="101">
        <v>2.5739877859644749E-2</v>
      </c>
    </row>
    <row r="20" spans="1:8" ht="15.75" customHeight="1" x14ac:dyDescent="0.25">
      <c r="B20" s="19" t="s">
        <v>87</v>
      </c>
      <c r="C20" s="101">
        <v>1.3433343141782111E-2</v>
      </c>
      <c r="D20" s="101">
        <v>1.3433343141782111E-2</v>
      </c>
      <c r="E20" s="101">
        <v>1.3433343141782111E-2</v>
      </c>
      <c r="F20" s="101">
        <v>1.3433343141782111E-2</v>
      </c>
    </row>
    <row r="21" spans="1:8" ht="15.75" customHeight="1" x14ac:dyDescent="0.25">
      <c r="B21" s="19" t="s">
        <v>88</v>
      </c>
      <c r="C21" s="101">
        <v>0.1269383015398666</v>
      </c>
      <c r="D21" s="101">
        <v>0.1269383015398666</v>
      </c>
      <c r="E21" s="101">
        <v>0.1269383015398666</v>
      </c>
      <c r="F21" s="101">
        <v>0.1269383015398666</v>
      </c>
    </row>
    <row r="22" spans="1:8" ht="15.75" customHeight="1" x14ac:dyDescent="0.25">
      <c r="B22" s="19" t="s">
        <v>89</v>
      </c>
      <c r="C22" s="101">
        <v>0.17663836338323571</v>
      </c>
      <c r="D22" s="101">
        <v>0.17663836338323571</v>
      </c>
      <c r="E22" s="101">
        <v>0.17663836338323571</v>
      </c>
      <c r="F22" s="101">
        <v>0.17663836338323571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4.6824316999999997E-2</v>
      </c>
    </row>
    <row r="27" spans="1:8" ht="15.75" customHeight="1" x14ac:dyDescent="0.25">
      <c r="B27" s="19" t="s">
        <v>92</v>
      </c>
      <c r="C27" s="101">
        <v>2.7708330999999999E-2</v>
      </c>
    </row>
    <row r="28" spans="1:8" ht="15.75" customHeight="1" x14ac:dyDescent="0.25">
      <c r="B28" s="19" t="s">
        <v>93</v>
      </c>
      <c r="C28" s="101">
        <v>0.192682248</v>
      </c>
    </row>
    <row r="29" spans="1:8" ht="15.75" customHeight="1" x14ac:dyDescent="0.25">
      <c r="B29" s="19" t="s">
        <v>94</v>
      </c>
      <c r="C29" s="101">
        <v>0.15047112300000001</v>
      </c>
    </row>
    <row r="30" spans="1:8" ht="15.75" customHeight="1" x14ac:dyDescent="0.25">
      <c r="B30" s="19" t="s">
        <v>95</v>
      </c>
      <c r="C30" s="101">
        <v>4.9998465000000013E-2</v>
      </c>
    </row>
    <row r="31" spans="1:8" ht="15.75" customHeight="1" x14ac:dyDescent="0.25">
      <c r="B31" s="19" t="s">
        <v>96</v>
      </c>
      <c r="C31" s="101">
        <v>3.0442113E-2</v>
      </c>
    </row>
    <row r="32" spans="1:8" ht="15.75" customHeight="1" x14ac:dyDescent="0.25">
      <c r="B32" s="19" t="s">
        <v>97</v>
      </c>
      <c r="C32" s="101">
        <v>8.5598303000000001E-2</v>
      </c>
    </row>
    <row r="33" spans="2:3" ht="15.75" customHeight="1" x14ac:dyDescent="0.25">
      <c r="B33" s="19" t="s">
        <v>98</v>
      </c>
      <c r="C33" s="101">
        <v>0.16741062000000001</v>
      </c>
    </row>
    <row r="34" spans="2:3" ht="15.75" customHeight="1" x14ac:dyDescent="0.25">
      <c r="B34" s="19" t="s">
        <v>99</v>
      </c>
      <c r="C34" s="101">
        <v>0.24886448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0.55915255852645362</v>
      </c>
      <c r="D2" s="52">
        <f>IFERROR(1-_xlfn.NORM.DIST(_xlfn.NORM.INV(SUM(D4:D5), 0, 1) + 1, 0, 1, TRUE), "")</f>
        <v>0.55915255852645362</v>
      </c>
      <c r="E2" s="52">
        <f>IFERROR(1-_xlfn.NORM.DIST(_xlfn.NORM.INV(SUM(E4:E5), 0, 1) + 1, 0, 1, TRUE), "")</f>
        <v>0.44621302685484876</v>
      </c>
      <c r="F2" s="52">
        <f>IFERROR(1-_xlfn.NORM.DIST(_xlfn.NORM.INV(SUM(F4:F5), 0, 1) + 1, 0, 1, TRUE), "")</f>
        <v>0.2222411794478788</v>
      </c>
      <c r="G2" s="52">
        <f>IFERROR(1-_xlfn.NORM.DIST(_xlfn.NORM.INV(SUM(G4:G5), 0, 1) + 1, 0, 1, TRUE), "")</f>
        <v>0.18165386916106796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0.31553254147354631</v>
      </c>
      <c r="D3" s="52">
        <f>IFERROR(_xlfn.NORM.DIST(_xlfn.NORM.INV(SUM(D4:D5), 0, 1) + 1, 0, 1, TRUE) - SUM(D4:D5), "")</f>
        <v>0.31553254147354631</v>
      </c>
      <c r="E3" s="52">
        <f>IFERROR(_xlfn.NORM.DIST(_xlfn.NORM.INV(SUM(E4:E5), 0, 1) + 1, 0, 1, TRUE) - SUM(E4:E5), "")</f>
        <v>0.36020307314515121</v>
      </c>
      <c r="F3" s="52">
        <f>IFERROR(_xlfn.NORM.DIST(_xlfn.NORM.INV(SUM(F4:F5), 0, 1) + 1, 0, 1, TRUE) - SUM(F4:F5), "")</f>
        <v>0.37079182055212123</v>
      </c>
      <c r="G3" s="52">
        <f>IFERROR(_xlfn.NORM.DIST(_xlfn.NORM.INV(SUM(G4:G5), 0, 1) + 1, 0, 1, TRUE) - SUM(G4:G5), "")</f>
        <v>0.35456793083893201</v>
      </c>
    </row>
    <row r="4" spans="1:15" ht="15.75" customHeight="1" x14ac:dyDescent="0.25">
      <c r="B4" s="5" t="s">
        <v>104</v>
      </c>
      <c r="C4" s="45">
        <v>6.6612999999999992E-2</v>
      </c>
      <c r="D4" s="53">
        <v>6.6612999999999992E-2</v>
      </c>
      <c r="E4" s="53">
        <v>0.12343270000000001</v>
      </c>
      <c r="F4" s="53">
        <v>0.2137937</v>
      </c>
      <c r="G4" s="53">
        <v>0.22974459999999999</v>
      </c>
    </row>
    <row r="5" spans="1:15" ht="15.75" customHeight="1" x14ac:dyDescent="0.25">
      <c r="B5" s="5" t="s">
        <v>105</v>
      </c>
      <c r="C5" s="45">
        <v>5.8701900000000001E-2</v>
      </c>
      <c r="D5" s="53">
        <v>5.8701900000000001E-2</v>
      </c>
      <c r="E5" s="53">
        <v>7.0151199999999997E-2</v>
      </c>
      <c r="F5" s="53">
        <v>0.19317329999999999</v>
      </c>
      <c r="G5" s="53">
        <v>0.23403360000000001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0.56607127859384077</v>
      </c>
      <c r="D8" s="52">
        <f>IFERROR(1-_xlfn.NORM.DIST(_xlfn.NORM.INV(SUM(D10:D11), 0, 1) + 1, 0, 1, TRUE), "")</f>
        <v>0.56607127859384077</v>
      </c>
      <c r="E8" s="52">
        <f>IFERROR(1-_xlfn.NORM.DIST(_xlfn.NORM.INV(SUM(E10:E11), 0, 1) + 1, 0, 1, TRUE), "")</f>
        <v>0.4624566273923908</v>
      </c>
      <c r="F8" s="52">
        <f>IFERROR(1-_xlfn.NORM.DIST(_xlfn.NORM.INV(SUM(F10:F11), 0, 1) + 1, 0, 1, TRUE), "")</f>
        <v>0.41987329142113172</v>
      </c>
      <c r="G8" s="52">
        <f>IFERROR(1-_xlfn.NORM.DIST(_xlfn.NORM.INV(SUM(G10:G11), 0, 1) + 1, 0, 1, TRUE), "")</f>
        <v>0.51423145958061589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0.31219842140615922</v>
      </c>
      <c r="D9" s="52">
        <f>IFERROR(_xlfn.NORM.DIST(_xlfn.NORM.INV(SUM(D10:D11), 0, 1) + 1, 0, 1, TRUE) - SUM(D10:D11), "")</f>
        <v>0.31219842140615922</v>
      </c>
      <c r="E9" s="52">
        <f>IFERROR(_xlfn.NORM.DIST(_xlfn.NORM.INV(SUM(E10:E11), 0, 1) + 1, 0, 1, TRUE) - SUM(E10:E11), "")</f>
        <v>0.3550101726076092</v>
      </c>
      <c r="F9" s="52">
        <f>IFERROR(_xlfn.NORM.DIST(_xlfn.NORM.INV(SUM(F10:F11), 0, 1) + 1, 0, 1, TRUE) - SUM(F10:F11), "")</f>
        <v>0.3676283085788683</v>
      </c>
      <c r="G9" s="52">
        <f>IFERROR(_xlfn.NORM.DIST(_xlfn.NORM.INV(SUM(G10:G11), 0, 1) + 1, 0, 1, TRUE) - SUM(G10:G11), "")</f>
        <v>0.33559294041938409</v>
      </c>
    </row>
    <row r="10" spans="1:15" ht="15.75" customHeight="1" x14ac:dyDescent="0.25">
      <c r="B10" s="5" t="s">
        <v>109</v>
      </c>
      <c r="C10" s="45">
        <v>8.03088E-2</v>
      </c>
      <c r="D10" s="53">
        <v>8.03088E-2</v>
      </c>
      <c r="E10" s="53">
        <v>0.12146990000000001</v>
      </c>
      <c r="F10" s="53">
        <v>0.1527878</v>
      </c>
      <c r="G10" s="53">
        <v>0.1125285</v>
      </c>
    </row>
    <row r="11" spans="1:15" ht="15.75" customHeight="1" x14ac:dyDescent="0.25">
      <c r="B11" s="5" t="s">
        <v>110</v>
      </c>
      <c r="C11" s="45">
        <v>4.14215E-2</v>
      </c>
      <c r="D11" s="53">
        <v>4.14215E-2</v>
      </c>
      <c r="E11" s="53">
        <v>6.1063300000000001E-2</v>
      </c>
      <c r="F11" s="53">
        <v>5.9710600000000003E-2</v>
      </c>
      <c r="G11" s="53">
        <v>3.7647100000000003E-2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0.58450609649999996</v>
      </c>
      <c r="D14" s="54">
        <v>0.57874480719300003</v>
      </c>
      <c r="E14" s="54">
        <v>0.57874480719300003</v>
      </c>
      <c r="F14" s="54">
        <v>0.56689632875700002</v>
      </c>
      <c r="G14" s="54">
        <v>0.56689632875700002</v>
      </c>
      <c r="H14" s="45">
        <v>0.34100000000000003</v>
      </c>
      <c r="I14" s="55">
        <v>0.34100000000000003</v>
      </c>
      <c r="J14" s="55">
        <v>0.34100000000000003</v>
      </c>
      <c r="K14" s="55">
        <v>0.34100000000000003</v>
      </c>
      <c r="L14" s="45">
        <v>0.30399999999999999</v>
      </c>
      <c r="M14" s="55">
        <v>0.30399999999999999</v>
      </c>
      <c r="N14" s="55">
        <v>0.30399999999999999</v>
      </c>
      <c r="O14" s="55">
        <v>0.30399999999999999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0.30731986189948052</v>
      </c>
      <c r="D15" s="52">
        <f t="shared" si="0"/>
        <v>0.30429070849151402</v>
      </c>
      <c r="E15" s="52">
        <f t="shared" si="0"/>
        <v>0.30429070849151402</v>
      </c>
      <c r="F15" s="52">
        <f t="shared" si="0"/>
        <v>0.29806105104486924</v>
      </c>
      <c r="G15" s="52">
        <f t="shared" si="0"/>
        <v>0.29806105104486924</v>
      </c>
      <c r="H15" s="52">
        <f t="shared" si="0"/>
        <v>0.17928995700000003</v>
      </c>
      <c r="I15" s="52">
        <f t="shared" si="0"/>
        <v>0.17928995700000003</v>
      </c>
      <c r="J15" s="52">
        <f t="shared" si="0"/>
        <v>0.17928995700000003</v>
      </c>
      <c r="K15" s="52">
        <f t="shared" si="0"/>
        <v>0.17928995700000003</v>
      </c>
      <c r="L15" s="52">
        <f t="shared" si="0"/>
        <v>0.15983620800000001</v>
      </c>
      <c r="M15" s="52">
        <f t="shared" si="0"/>
        <v>0.15983620800000001</v>
      </c>
      <c r="N15" s="52">
        <f t="shared" si="0"/>
        <v>0.15983620800000001</v>
      </c>
      <c r="O15" s="52">
        <f t="shared" si="0"/>
        <v>0.15983620800000001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0.76390500000000006</v>
      </c>
      <c r="D2" s="53">
        <v>0.53045450000000005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0.12635540000000001</v>
      </c>
      <c r="D3" s="53">
        <v>0.26860529999999999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8.7546100000000002E-2</v>
      </c>
      <c r="D4" s="53">
        <v>0.18029980000000001</v>
      </c>
      <c r="E4" s="53">
        <v>0.95787929999999999</v>
      </c>
      <c r="F4" s="53">
        <v>0.72524289999999991</v>
      </c>
      <c r="G4" s="53">
        <v>0</v>
      </c>
    </row>
    <row r="5" spans="1:7" x14ac:dyDescent="0.25">
      <c r="B5" s="3" t="s">
        <v>122</v>
      </c>
      <c r="C5" s="52">
        <v>2.2193600000000001E-2</v>
      </c>
      <c r="D5" s="52">
        <v>2.06404E-2</v>
      </c>
      <c r="E5" s="52">
        <f>1-SUM(E2:E4)</f>
        <v>4.2120700000000011E-2</v>
      </c>
      <c r="F5" s="52">
        <f>1-SUM(F2:F4)</f>
        <v>0.27475710000000009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ht="13.25" customHeight="1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ht="13.25" customHeight="1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abSelected="1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65.60734264525216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19.75203299904819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7.2861200073283072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0.67443872600644006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0.19283527130965261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0.78848199824391296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0.25</v>
      </c>
      <c r="C9" s="98">
        <v>0.95</v>
      </c>
      <c r="D9" s="56">
        <v>0.41709554979569308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12.76524374254179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12.76524374254179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12.76524374254179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12.76524374254179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12.76524374254179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12.76524374254179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3.6484599999999999E-2</v>
      </c>
      <c r="C16" s="98">
        <v>0.95</v>
      </c>
      <c r="D16" s="56">
        <v>2.503642449664842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4.938E-2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0.53045450000000005</v>
      </c>
      <c r="C18" s="98">
        <v>0.95</v>
      </c>
      <c r="D18" s="56">
        <v>7.2861200073283072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0.53045450000000005</v>
      </c>
      <c r="C19" s="98">
        <v>0.95</v>
      </c>
      <c r="D19" s="56">
        <v>7.2861200073283072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7.4846345450640612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21.899261251179791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0.2500193</v>
      </c>
      <c r="C23" s="98">
        <v>0.95</v>
      </c>
      <c r="D23" s="56">
        <v>4.1250028489423594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0.19827547772213999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3.4665816434934871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13.803307962555669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0.19644320000000001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0.23971219999999999</v>
      </c>
      <c r="C29" s="98">
        <v>0.95</v>
      </c>
      <c r="D29" s="56">
        <v>88.005851455993124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180.94215297303569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0.39</v>
      </c>
      <c r="C32" s="98">
        <v>0.95</v>
      </c>
      <c r="D32" s="56">
        <v>0.65266805708153031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0.10762579999999999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0.53042900000000004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7.5948000000000014E-3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0.59316859999999993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0.15218699999999999</v>
      </c>
      <c r="C38" s="98">
        <v>0.95</v>
      </c>
      <c r="D38" s="56">
        <v>2.4488574538288082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3.4277904548683669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2.9</v>
      </c>
      <c r="C2" s="21">
        <f>'Baseline year population inputs'!C52</f>
        <v>2.9</v>
      </c>
      <c r="D2" s="21">
        <f>'Baseline year population inputs'!C53</f>
        <v>2.9</v>
      </c>
      <c r="E2" s="21">
        <f>'Baseline year population inputs'!C54</f>
        <v>2.9</v>
      </c>
      <c r="F2" s="21">
        <f>'Baseline year population inputs'!C55</f>
        <v>2.9</v>
      </c>
    </row>
    <row r="3" spans="1:6" ht="15.75" customHeight="1" x14ac:dyDescent="0.25">
      <c r="A3" s="3" t="s">
        <v>204</v>
      </c>
      <c r="B3" s="21">
        <f>frac_mam_1month * 2.6</f>
        <v>0.20880288</v>
      </c>
      <c r="C3" s="21">
        <f>frac_mam_1_5months * 2.6</f>
        <v>0.20880288</v>
      </c>
      <c r="D3" s="21">
        <f>frac_mam_6_11months * 2.6</f>
        <v>0.31582174000000002</v>
      </c>
      <c r="E3" s="21">
        <f>frac_mam_12_23months * 2.6</f>
        <v>0.39724828000000001</v>
      </c>
      <c r="F3" s="21">
        <f>frac_mam_24_59months * 2.6</f>
        <v>0.2925741</v>
      </c>
    </row>
    <row r="4" spans="1:6" ht="15.75" customHeight="1" x14ac:dyDescent="0.25">
      <c r="A4" s="3" t="s">
        <v>205</v>
      </c>
      <c r="B4" s="21">
        <f>frac_sam_1month * 2.6</f>
        <v>0.1076959</v>
      </c>
      <c r="C4" s="21">
        <f>frac_sam_1_5months * 2.6</f>
        <v>0.1076959</v>
      </c>
      <c r="D4" s="21">
        <f>frac_sam_6_11months * 2.6</f>
        <v>0.15876458000000002</v>
      </c>
      <c r="E4" s="21">
        <f>frac_sam_12_23months * 2.6</f>
        <v>0.15524756000000001</v>
      </c>
      <c r="F4" s="21">
        <f>frac_sam_24_59months * 2.6</f>
        <v>9.7882460000000004E-2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0.127</v>
      </c>
      <c r="E2" s="60">
        <f>food_insecure</f>
        <v>0.127</v>
      </c>
      <c r="F2" s="60">
        <f>food_insecure</f>
        <v>0.127</v>
      </c>
      <c r="G2" s="60">
        <f>food_insecure</f>
        <v>0.127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0.127</v>
      </c>
      <c r="F5" s="60">
        <f>food_insecure</f>
        <v>0.127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0.127</v>
      </c>
      <c r="F8" s="60">
        <f>food_insecure</f>
        <v>0.127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0.127</v>
      </c>
      <c r="F9" s="60">
        <f>food_insecure</f>
        <v>0.127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0.127</v>
      </c>
      <c r="I15" s="60">
        <f>food_insecure</f>
        <v>0.127</v>
      </c>
      <c r="J15" s="60">
        <f>food_insecure</f>
        <v>0.127</v>
      </c>
      <c r="K15" s="60">
        <f>food_insecure</f>
        <v>0.127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</v>
      </c>
      <c r="I19" s="60">
        <f>frac_malaria_risk</f>
        <v>0.1</v>
      </c>
      <c r="J19" s="60">
        <f>frac_malaria_risk</f>
        <v>0.1</v>
      </c>
      <c r="K19" s="60">
        <f>frac_malaria_risk</f>
        <v>0.1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0.69799999999999995</v>
      </c>
      <c r="M24" s="60">
        <f>famplan_unmet_need</f>
        <v>0.69799999999999995</v>
      </c>
      <c r="N24" s="60">
        <f>famplan_unmet_need</f>
        <v>0.69799999999999995</v>
      </c>
      <c r="O24" s="60">
        <f>famplan_unmet_need</f>
        <v>0.69799999999999995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0.35733093229656199</v>
      </c>
      <c r="M25" s="60">
        <f>(1-food_insecure)*(0.49)+food_insecure*(0.7)</f>
        <v>0.51666999999999996</v>
      </c>
      <c r="N25" s="60">
        <f>(1-food_insecure)*(0.49)+food_insecure*(0.7)</f>
        <v>0.51666999999999996</v>
      </c>
      <c r="O25" s="60">
        <f>(1-food_insecure)*(0.49)+food_insecure*(0.7)</f>
        <v>0.51666999999999996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0.15314182812709801</v>
      </c>
      <c r="M26" s="60">
        <f>(1-food_insecure)*(0.21)+food_insecure*(0.3)</f>
        <v>0.22142999999999999</v>
      </c>
      <c r="N26" s="60">
        <f>(1-food_insecure)*(0.21)+food_insecure*(0.3)</f>
        <v>0.22142999999999999</v>
      </c>
      <c r="O26" s="60">
        <f>(1-food_insecure)*(0.21)+food_insecure*(0.3)</f>
        <v>0.22142999999999999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0.18113103367423999</v>
      </c>
      <c r="M27" s="60">
        <f>(1-food_insecure)*(0.3)</f>
        <v>0.26189999999999997</v>
      </c>
      <c r="N27" s="60">
        <f>(1-food_insecure)*(0.3)</f>
        <v>0.26189999999999997</v>
      </c>
      <c r="O27" s="60">
        <f>(1-food_insecure)*(0.3)</f>
        <v>0.26189999999999997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0.30839620590209993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0.1</v>
      </c>
      <c r="D34" s="60">
        <f t="shared" si="3"/>
        <v>0.1</v>
      </c>
      <c r="E34" s="60">
        <f t="shared" si="3"/>
        <v>0.1</v>
      </c>
      <c r="F34" s="60">
        <f t="shared" si="3"/>
        <v>0.1</v>
      </c>
      <c r="G34" s="60">
        <f t="shared" si="3"/>
        <v>0.1</v>
      </c>
      <c r="H34" s="60">
        <f t="shared" si="3"/>
        <v>0.1</v>
      </c>
      <c r="I34" s="60">
        <f t="shared" si="3"/>
        <v>0.1</v>
      </c>
      <c r="J34" s="60">
        <f t="shared" si="3"/>
        <v>0.1</v>
      </c>
      <c r="K34" s="60">
        <f t="shared" si="3"/>
        <v>0.1</v>
      </c>
      <c r="L34" s="60">
        <f t="shared" si="3"/>
        <v>0.1</v>
      </c>
      <c r="M34" s="60">
        <f t="shared" si="3"/>
        <v>0.1</v>
      </c>
      <c r="N34" s="60">
        <f t="shared" si="3"/>
        <v>0.1</v>
      </c>
      <c r="O34" s="60">
        <f t="shared" si="3"/>
        <v>0.1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ht="13.25" customHeight="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A8" sqref="A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67</v>
      </c>
      <c r="C58" s="8" t="s">
        <v>145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146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77</v>
      </c>
      <c r="C61" s="8" t="s">
        <v>145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146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67</v>
      </c>
      <c r="C111" s="8" t="s">
        <v>145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146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147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77</v>
      </c>
      <c r="C114" s="8" t="s">
        <v>145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146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147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78</v>
      </c>
      <c r="C117" s="8" t="s">
        <v>145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146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147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79</v>
      </c>
      <c r="C120" s="8" t="s">
        <v>145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146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147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146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147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67</v>
      </c>
      <c r="C128" s="8" t="s">
        <v>145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146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147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77</v>
      </c>
      <c r="C131" s="8" t="s">
        <v>145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146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147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78</v>
      </c>
      <c r="C134" s="8" t="s">
        <v>145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146</v>
      </c>
      <c r="D135" s="88">
        <f t="shared" ref="D135:H144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147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79</v>
      </c>
      <c r="C137" s="8" t="s">
        <v>145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146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147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146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147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67</v>
      </c>
      <c r="C145" s="8" t="s">
        <v>145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146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147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77</v>
      </c>
      <c r="C148" s="8" t="s">
        <v>145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146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147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78</v>
      </c>
      <c r="C151" s="8" t="s">
        <v>145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146</v>
      </c>
      <c r="D152" s="88">
        <f t="shared" ref="D152:H161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147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79</v>
      </c>
      <c r="C154" s="8" t="s">
        <v>145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146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147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A8" sqref="A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A8" sqref="A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A8" sqref="A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A8" sqref="A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A8" sqref="A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A8" sqref="A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0.10398147673189351</v>
      </c>
      <c r="G18" s="90">
        <f>MIN(MAX(1-0.89/(1-frac_sam_12_23months+(frac_sam_12_23months*0.89)),0),1)</f>
        <v>0.10411568308973673</v>
      </c>
      <c r="H18" s="90">
        <f>MIN(MAX(1-0.89/(1-frac_sam_24_59months+(frac_sam_24_59months*0.89)),0),1)</f>
        <v>0.10629902249226353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9.7947049007303333E-2</v>
      </c>
      <c r="G20" s="90">
        <f>MIN(MAX(1-0.89/(1-frac_mam_12_23months+(frac_mam_12_23months*0.89)),0),1)</f>
        <v>9.4786384344738517E-2</v>
      </c>
      <c r="H20" s="90">
        <f>MIN(MAX(1-0.89/(1-frac_mam_24_59months+(frac_mam_24_59months*0.89)),0),1)</f>
        <v>9.8845386538703228E-2</v>
      </c>
    </row>
    <row r="21" spans="1:8" ht="13.25" customHeight="1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9.395103960516682E-3</v>
      </c>
      <c r="G73" s="90">
        <f>MIN(MAX(1-0.99/(1-frac_sam_12_23months+(frac_sam_12_23months*0.99)),0),1)</f>
        <v>9.4085118788939104E-3</v>
      </c>
      <c r="H73" s="90">
        <f>MIN(MAX(1-0.99/(1-frac_sam_24_59months+(frac_sam_24_59months*0.99)),0),1)</f>
        <v>9.6271533440465129E-3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8.7959854747601263E-3</v>
      </c>
      <c r="G75" s="90">
        <f>MIN(MAX(1-0.99/(1-frac_mam_12_23months+(frac_mam_12_23months*0.99)),0),1)</f>
        <v>8.4850861764971253E-3</v>
      </c>
      <c r="H75" s="90">
        <f>MIN(MAX(1-0.99/(1-frac_mam_24_59months+(frac_mam_24_59months*0.99)),0),1)</f>
        <v>8.8847128340814319E-3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0.19010907752674766</v>
      </c>
      <c r="G128" s="90">
        <f>MIN(MAX(1-0.8/(1-frac_sam_12_23months+(frac_sam_12_23months*0.8)),0),1)</f>
        <v>0.19033083365521042</v>
      </c>
      <c r="H128" s="90">
        <f>MIN(MAX(1-0.8/(1-frac_sam_24_59months+(frac_sam_24_59months*0.8)),0),1)</f>
        <v>0.19393076618956295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0.18008090182737613</v>
      </c>
      <c r="G130" s="90">
        <f>MIN(MAX(1-0.8/(1-frac_mam_12_23months+(frac_mam_12_23months*0.8)),0),1)</f>
        <v>0.17478339405070809</v>
      </c>
      <c r="H130" s="90">
        <f>MIN(MAX(1-0.8/(1-frac_mam_24_59months+(frac_mam_24_59months*0.8)),0),1)</f>
        <v>0.18158090538226157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A8" sqref="A8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ht="13.25" customHeight="1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2024-08-06T06:32:22Z</dcterms:modified>
</cp:coreProperties>
</file>