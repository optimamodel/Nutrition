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18FAD2E-AB58-4F45-A376-A7C179CC5B7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1" i="2"/>
  <c r="A23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3" i="2"/>
  <c r="A39" i="2"/>
  <c r="A26" i="2"/>
  <c r="A19" i="2"/>
  <c r="A27" i="2"/>
  <c r="A35" i="2"/>
  <c r="A17" i="2"/>
  <c r="A33" i="2"/>
  <c r="A20" i="2"/>
  <c r="A28" i="2"/>
  <c r="A36" i="2"/>
  <c r="A25" i="2"/>
  <c r="A18" i="2"/>
  <c r="A34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<sst xmlns="http://schemas.openxmlformats.org/spreadsheetml/2006/main" count="2101" uniqueCount="341">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</sst>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4397300.34375</v>
      </c>
    </row>
    <row r="8" spans="1:3" ht="15" customHeight="1" x14ac:dyDescent="0.25">
      <c r="B8" s="5" t="s">
        <v>8</v>
      </c>
      <c r="C8" s="44">
        <v>0.13300000000000001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0.56591400146484405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9">
        <v>3.0900048109988299E-2</v>
      </c>
    </row>
    <row r="31" spans="1:3" ht="14.25" customHeight="1" x14ac:dyDescent="0.25">
      <c r="B31" s="25" t="s">
        <v>28</v>
      </c>
      <c r="C31" s="99">
        <v>6.9419093990287797E-2</v>
      </c>
    </row>
    <row r="32" spans="1:3" ht="14.25" customHeight="1" x14ac:dyDescent="0.25">
      <c r="B32" s="25" t="s">
        <v>29</v>
      </c>
      <c r="C32" s="99">
        <v>0.62821645064032094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101">
        <v>6.0587099999999838E-2</v>
      </c>
    </row>
    <row r="5" spans="1:8" ht="15.75" customHeight="1" x14ac:dyDescent="0.25">
      <c r="B5" s="19" t="s">
        <v>70</v>
      </c>
      <c r="C5" s="101">
        <v>8.0444099999999921E-2</v>
      </c>
    </row>
    <row r="6" spans="1:8" ht="15.75" customHeight="1" x14ac:dyDescent="0.25">
      <c r="B6" s="19" t="s">
        <v>71</v>
      </c>
      <c r="C6" s="101">
        <v>0.24506110000000039</v>
      </c>
    </row>
    <row r="7" spans="1:8" ht="15.75" customHeight="1" x14ac:dyDescent="0.25">
      <c r="B7" s="19" t="s">
        <v>72</v>
      </c>
      <c r="C7" s="101">
        <v>0.41408430000000013</v>
      </c>
    </row>
    <row r="8" spans="1:8" ht="15.75" customHeight="1" x14ac:dyDescent="0.25">
      <c r="B8" s="19" t="s">
        <v>73</v>
      </c>
      <c r="C8" s="101">
        <v>1.210499999999998E-3</v>
      </c>
    </row>
    <row r="9" spans="1:8" ht="15.75" customHeight="1" x14ac:dyDescent="0.25">
      <c r="B9" s="19" t="s">
        <v>74</v>
      </c>
      <c r="C9" s="101">
        <v>7.320219999999994E-2</v>
      </c>
    </row>
    <row r="10" spans="1:8" ht="15.75" customHeight="1" x14ac:dyDescent="0.25">
      <c r="B10" s="19" t="s">
        <v>75</v>
      </c>
      <c r="C10" s="101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83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84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85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86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87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89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101">
        <v>4.9825570000000003E-3</v>
      </c>
    </row>
    <row r="28" spans="1:8" ht="15.75" customHeight="1" x14ac:dyDescent="0.25">
      <c r="B28" s="19" t="s">
        <v>93</v>
      </c>
      <c r="C28" s="101">
        <v>0.12458364500000001</v>
      </c>
    </row>
    <row r="29" spans="1:8" ht="15.75" customHeight="1" x14ac:dyDescent="0.25">
      <c r="B29" s="19" t="s">
        <v>94</v>
      </c>
      <c r="C29" s="101">
        <v>0.123203627</v>
      </c>
    </row>
    <row r="30" spans="1:8" ht="15.75" customHeight="1" x14ac:dyDescent="0.25">
      <c r="B30" s="19" t="s">
        <v>95</v>
      </c>
      <c r="C30" s="101">
        <v>8.5390918999999996E-2</v>
      </c>
    </row>
    <row r="31" spans="1:8" ht="15.75" customHeight="1" x14ac:dyDescent="0.25">
      <c r="B31" s="19" t="s">
        <v>96</v>
      </c>
      <c r="C31" s="101">
        <v>0.13704649199999999</v>
      </c>
    </row>
    <row r="32" spans="1:8" ht="15.75" customHeight="1" x14ac:dyDescent="0.25">
      <c r="B32" s="19" t="s">
        <v>97</v>
      </c>
      <c r="C32" s="101">
        <v>1.3877614E-2</v>
      </c>
    </row>
    <row r="33" spans="2:3" ht="15.75" customHeight="1" x14ac:dyDescent="0.25">
      <c r="B33" s="19" t="s">
        <v>98</v>
      </c>
      <c r="C33" s="101">
        <v>0.162878947</v>
      </c>
    </row>
    <row r="34" spans="2:3" ht="15.75" customHeight="1" x14ac:dyDescent="0.25">
      <c r="B34" s="19" t="s">
        <v>99</v>
      </c>
      <c r="C34" s="101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32.139211884942107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0.5249617017576077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0.16283867355037329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0.5936245</v>
      </c>
      <c r="C10" s="98">
        <v>0.95</v>
      </c>
      <c r="D10" s="56">
        <v>13.61384665422082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13.61384665422082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13.61384665422082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13.61384665422082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0.5936245</v>
      </c>
      <c r="C14" s="98">
        <v>0.95</v>
      </c>
      <c r="D14" s="56">
        <v>13.61384665422082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13.61384665422082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0.79167399999999999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0.28066999999999998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0.56399999999999995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0.38182569999999999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0.7480929999999999</v>
      </c>
      <c r="C23" s="98">
        <v>0.95</v>
      </c>
      <c r="D23" s="56">
        <v>4.5073761426825563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0.58759262855713601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0.5936245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0.47842659999999998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0.25902579999999997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0.41689389999999998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0.23128789999999999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3.4973999999999999E-3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0.5667259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0.24299999999999999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205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0.10737709006275309</v>
      </c>
      <c r="G18" s="90">
        <f>MIN(MAX(1-0.89/(1-frac_sam_12_23months+(frac_sam_12_23months*0.89)),0),1)</f>
        <v>0.10823370435944735</v>
      </c>
      <c r="H18" s="90">
        <f>MIN(MAX(1-0.89/(1-frac_sam_24_59months+(frac_sam_24_59months*0.89)),0),1)</f>
        <v>0.10979462694982123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9.7859182842976455E-2</v>
      </c>
      <c r="G20" s="90">
        <f>MIN(MAX(1-0.89/(1-frac_mam_12_23months+(frac_mam_12_23months*0.89)),0),1)</f>
        <v>0.10169662346766428</v>
      </c>
      <c r="H20" s="90">
        <f>MIN(MAX(1-0.89/(1-frac_mam_24_59months+(frac_mam_24_59months*0.89)),0),1)</f>
        <v>0.10675790456878054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9.7354706362711152E-3</v>
      </c>
      <c r="G73" s="90">
        <f>MIN(MAX(1-0.99/(1-frac_sam_12_23months+(frac_sam_12_23months*0.99)),0),1)</f>
        <v>9.8217075064753745E-3</v>
      </c>
      <c r="H73" s="90">
        <f>MIN(MAX(1-0.99/(1-frac_sam_24_59months+(frac_sam_24_59months*0.99)),0),1)</f>
        <v>9.9792362945229085E-3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8.7873157095952337E-3</v>
      </c>
      <c r="G75" s="90">
        <f>MIN(MAX(1-0.99/(1-frac_mam_12_23months+(frac_mam_12_23months*0.99)),0),1)</f>
        <v>9.1673944440578969E-3</v>
      </c>
      <c r="H75" s="90">
        <f>MIN(MAX(1-0.99/(1-frac_mam_24_59months+(frac_mam_24_59months*0.99)),0),1)</f>
        <v>9.6732297982506932E-3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0.19570296264824449</v>
      </c>
      <c r="G128" s="90">
        <f>MIN(MAX(1-0.8/(1-frac_sam_12_23months+(frac_sam_12_23months*0.8)),0),1)</f>
        <v>0.19710861147381165</v>
      </c>
      <c r="H128" s="90">
        <f>MIN(MAX(1-0.8/(1-frac_sam_24_59months+(frac_sam_24_59months*0.8)),0),1)</f>
        <v>0.19966429118357987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0.1799340523466546</v>
      </c>
      <c r="G130" s="90">
        <f>MIN(MAX(1-0.8/(1-frac_mam_12_23months+(frac_mam_12_23months*0.8)),0),1)</f>
        <v>0.18632523544543833</v>
      </c>
      <c r="H130" s="90">
        <f>MIN(MAX(1-0.8/(1-frac_mam_24_59months+(frac_mam_24_59months*0.8)),0),1)</f>
        <v>0.19468553658042298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2024-08-06T06:31:30Z</dcterms:modified>
</cp:coreProperties>
</file>