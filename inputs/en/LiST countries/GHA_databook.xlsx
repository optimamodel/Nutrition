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08DEC57-EBF7-404B-A891-236B7D8222C3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<sst xmlns="http://schemas.openxmlformats.org/spreadsheetml/2006/main" count="2092" uniqueCount="341">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</sst>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4397300.34375</v>
      </c>
    </row>
    <row r="8" spans="1:3" ht="15" customHeight="1" x14ac:dyDescent="0.25">
      <c r="B8" s="5" t="s">
        <v>8</v>
      </c>
      <c r="C8" s="44">
        <v>0.13300000000000001</v>
      </c>
    </row>
    <row r="9" spans="1:3" ht="15" customHeight="1" x14ac:dyDescent="0.25">
      <c r="B9" s="5" t="s">
        <v>9</v>
      </c>
      <c r="C9" s="45">
        <v>0.98</v>
      </c>
    </row>
    <row r="10" spans="1:3" ht="15" customHeight="1" x14ac:dyDescent="0.25">
      <c r="B10" s="5" t="s">
        <v>10</v>
      </c>
      <c r="C10" s="45">
        <v>0.56591400146484405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0.53799999999999992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8.5699999999999998E-2</v>
      </c>
    </row>
    <row r="24" spans="1:3" ht="15" customHeight="1" x14ac:dyDescent="0.25">
      <c r="B24" s="15" t="s">
        <v>22</v>
      </c>
      <c r="C24" s="45">
        <v>0.43590000000000001</v>
      </c>
    </row>
    <row r="25" spans="1:3" ht="15" customHeight="1" x14ac:dyDescent="0.25">
      <c r="B25" s="15" t="s">
        <v>23</v>
      </c>
      <c r="C25" s="45">
        <v>0.3957</v>
      </c>
    </row>
    <row r="26" spans="1:3" ht="15" customHeight="1" x14ac:dyDescent="0.25">
      <c r="B26" s="15" t="s">
        <v>24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0.27146440725940302</v>
      </c>
    </row>
    <row r="30" spans="1:3" ht="14.25" customHeight="1" x14ac:dyDescent="0.25">
      <c r="B30" s="25" t="s">
        <v>27</v>
      </c>
      <c r="C30" s="99">
        <v>3.0900048109988299E-2</v>
      </c>
    </row>
    <row r="31" spans="1:3" ht="14.25" customHeight="1" x14ac:dyDescent="0.25">
      <c r="B31" s="25" t="s">
        <v>28</v>
      </c>
      <c r="C31" s="99">
        <v>6.9419093990287797E-2</v>
      </c>
    </row>
    <row r="32" spans="1:3" ht="14.25" customHeight="1" x14ac:dyDescent="0.25">
      <c r="B32" s="25" t="s">
        <v>29</v>
      </c>
      <c r="C32" s="99">
        <v>0.62821645064032094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22.823730000000001</v>
      </c>
    </row>
    <row r="38" spans="1:5" ht="15" customHeight="1" x14ac:dyDescent="0.25">
      <c r="B38" s="11" t="s">
        <v>34</v>
      </c>
      <c r="C38" s="43">
        <v>32.582920000000001</v>
      </c>
      <c r="D38" s="12"/>
      <c r="E38" s="13"/>
    </row>
    <row r="39" spans="1:5" ht="15" customHeight="1" x14ac:dyDescent="0.25">
      <c r="B39" s="11" t="s">
        <v>35</v>
      </c>
      <c r="C39" s="43">
        <v>43.974519999999998</v>
      </c>
      <c r="D39" s="12"/>
      <c r="E39" s="12"/>
    </row>
    <row r="40" spans="1:5" ht="15" customHeight="1" x14ac:dyDescent="0.25">
      <c r="B40" s="11" t="s">
        <v>36</v>
      </c>
      <c r="C40" s="100">
        <v>2.63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6.8689999999999992E-3</v>
      </c>
      <c r="D45" s="12"/>
    </row>
    <row r="46" spans="1:5" ht="15.75" customHeight="1" x14ac:dyDescent="0.25">
      <c r="B46" s="11" t="s">
        <v>41</v>
      </c>
      <c r="C46" s="45">
        <v>7.3128600000000002E-2</v>
      </c>
      <c r="D46" s="12"/>
    </row>
    <row r="47" spans="1:5" ht="15.75" customHeight="1" x14ac:dyDescent="0.25">
      <c r="B47" s="11" t="s">
        <v>42</v>
      </c>
      <c r="C47" s="45">
        <v>0.2015941</v>
      </c>
      <c r="D47" s="12"/>
      <c r="E47" s="13"/>
    </row>
    <row r="48" spans="1:5" ht="15" customHeight="1" x14ac:dyDescent="0.25">
      <c r="B48" s="11" t="s">
        <v>43</v>
      </c>
      <c r="C48" s="46">
        <v>0.7184083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0.39087600000000011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912665.16720000003</v>
      </c>
      <c r="C2" s="49">
        <v>1658000</v>
      </c>
      <c r="D2" s="49">
        <v>2797000</v>
      </c>
      <c r="E2" s="49">
        <v>2251000</v>
      </c>
      <c r="F2" s="49">
        <v>1758000</v>
      </c>
      <c r="G2" s="17">
        <f t="shared" ref="G2:G13" si="0">C2+D2+E2+F2</f>
        <v>8464000</v>
      </c>
      <c r="H2" s="17">
        <f t="shared" ref="H2:H13" si="1">(B2 + stillbirth*B2/(1000-stillbirth))/(1-abortion)</f>
        <v>1059803.0342188117</v>
      </c>
      <c r="I2" s="17">
        <f t="shared" ref="I2:I13" si="2">G2-H2</f>
        <v>7404196.9657811886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916850.3</v>
      </c>
      <c r="C3" s="50">
        <v>1700000</v>
      </c>
      <c r="D3" s="50">
        <v>2847000</v>
      </c>
      <c r="E3" s="50">
        <v>2289000</v>
      </c>
      <c r="F3" s="50">
        <v>1807000</v>
      </c>
      <c r="G3" s="17">
        <f t="shared" si="0"/>
        <v>8643000</v>
      </c>
      <c r="H3" s="17">
        <f t="shared" si="1"/>
        <v>1064662.8849060645</v>
      </c>
      <c r="I3" s="17">
        <f t="shared" si="2"/>
        <v>7578337.1150939353</v>
      </c>
    </row>
    <row r="4" spans="1:9" ht="15.75" customHeight="1" x14ac:dyDescent="0.25">
      <c r="A4" s="5">
        <f t="shared" si="3"/>
        <v>2026</v>
      </c>
      <c r="B4" s="49">
        <v>924333.13800000004</v>
      </c>
      <c r="C4" s="50">
        <v>1742000</v>
      </c>
      <c r="D4" s="50">
        <v>2900000</v>
      </c>
      <c r="E4" s="50">
        <v>2330000</v>
      </c>
      <c r="F4" s="50">
        <v>1854000</v>
      </c>
      <c r="G4" s="17">
        <f t="shared" si="0"/>
        <v>8826000</v>
      </c>
      <c r="H4" s="17">
        <f t="shared" si="1"/>
        <v>1073352.0895585194</v>
      </c>
      <c r="I4" s="17">
        <f t="shared" si="2"/>
        <v>7752647.9104414806</v>
      </c>
    </row>
    <row r="5" spans="1:9" ht="15.75" customHeight="1" x14ac:dyDescent="0.25">
      <c r="A5" s="5">
        <f t="shared" si="3"/>
        <v>2027</v>
      </c>
      <c r="B5" s="49">
        <v>931532.62399999995</v>
      </c>
      <c r="C5" s="50">
        <v>1785000</v>
      </c>
      <c r="D5" s="50">
        <v>2955000</v>
      </c>
      <c r="E5" s="50">
        <v>2374000</v>
      </c>
      <c r="F5" s="50">
        <v>1898000</v>
      </c>
      <c r="G5" s="17">
        <f t="shared" si="0"/>
        <v>9012000</v>
      </c>
      <c r="H5" s="17">
        <f t="shared" si="1"/>
        <v>1081712.260825956</v>
      </c>
      <c r="I5" s="17">
        <f t="shared" si="2"/>
        <v>7930287.7391740438</v>
      </c>
    </row>
    <row r="6" spans="1:9" ht="15.75" customHeight="1" x14ac:dyDescent="0.25">
      <c r="A6" s="5">
        <f t="shared" si="3"/>
        <v>2028</v>
      </c>
      <c r="B6" s="49">
        <v>938419.10400000005</v>
      </c>
      <c r="C6" s="50">
        <v>1829000</v>
      </c>
      <c r="D6" s="50">
        <v>3012000</v>
      </c>
      <c r="E6" s="50">
        <v>2421000</v>
      </c>
      <c r="F6" s="50">
        <v>1940000</v>
      </c>
      <c r="G6" s="17">
        <f t="shared" si="0"/>
        <v>9202000</v>
      </c>
      <c r="H6" s="17">
        <f t="shared" si="1"/>
        <v>1089708.9639558434</v>
      </c>
      <c r="I6" s="17">
        <f t="shared" si="2"/>
        <v>8112291.0360441562</v>
      </c>
    </row>
    <row r="7" spans="1:9" ht="15.75" customHeight="1" x14ac:dyDescent="0.25">
      <c r="A7" s="5">
        <f t="shared" si="3"/>
        <v>2029</v>
      </c>
      <c r="B7" s="49">
        <v>945041.52599999995</v>
      </c>
      <c r="C7" s="50">
        <v>1868000</v>
      </c>
      <c r="D7" s="50">
        <v>3075000</v>
      </c>
      <c r="E7" s="50">
        <v>2469000</v>
      </c>
      <c r="F7" s="50">
        <v>1979000</v>
      </c>
      <c r="G7" s="17">
        <f t="shared" si="0"/>
        <v>9391000</v>
      </c>
      <c r="H7" s="17">
        <f t="shared" si="1"/>
        <v>1097399.0382368739</v>
      </c>
      <c r="I7" s="17">
        <f t="shared" si="2"/>
        <v>8293600.9617631258</v>
      </c>
    </row>
    <row r="8" spans="1:9" ht="15.75" customHeight="1" x14ac:dyDescent="0.25">
      <c r="A8" s="5">
        <f t="shared" si="3"/>
        <v>2030</v>
      </c>
      <c r="B8" s="49">
        <v>951369.94</v>
      </c>
      <c r="C8" s="50">
        <v>1901000</v>
      </c>
      <c r="D8" s="50">
        <v>3144000</v>
      </c>
      <c r="E8" s="50">
        <v>2514000</v>
      </c>
      <c r="F8" s="50">
        <v>2017000</v>
      </c>
      <c r="G8" s="17">
        <f t="shared" si="0"/>
        <v>9576000</v>
      </c>
      <c r="H8" s="17">
        <f t="shared" si="1"/>
        <v>1104747.7051960493</v>
      </c>
      <c r="I8" s="17">
        <f t="shared" si="2"/>
        <v>8471252.2948039509</v>
      </c>
    </row>
    <row r="9" spans="1:9" ht="15.75" customHeight="1" x14ac:dyDescent="0.25">
      <c r="A9" s="5">
        <f t="shared" si="3"/>
        <v>2031</v>
      </c>
      <c r="B9" s="49">
        <v>956899.19325714279</v>
      </c>
      <c r="C9" s="50">
        <v>1935714.2857142859</v>
      </c>
      <c r="D9" s="50">
        <v>3193571.4285714291</v>
      </c>
      <c r="E9" s="50">
        <v>2551571.4285714291</v>
      </c>
      <c r="F9" s="50">
        <v>2054000</v>
      </c>
      <c r="G9" s="17">
        <f t="shared" si="0"/>
        <v>9734857.1428571437</v>
      </c>
      <c r="H9" s="17">
        <f t="shared" si="1"/>
        <v>1111168.3724785119</v>
      </c>
      <c r="I9" s="17">
        <f t="shared" si="2"/>
        <v>8623688.7703786325</v>
      </c>
    </row>
    <row r="10" spans="1:9" ht="15.75" customHeight="1" x14ac:dyDescent="0.25">
      <c r="A10" s="5">
        <f t="shared" si="3"/>
        <v>2032</v>
      </c>
      <c r="B10" s="49">
        <v>962620.46372244891</v>
      </c>
      <c r="C10" s="50">
        <v>1969387.7551020409</v>
      </c>
      <c r="D10" s="50">
        <v>3243081.6326530608</v>
      </c>
      <c r="E10" s="50">
        <v>2589081.6326530608</v>
      </c>
      <c r="F10" s="50">
        <v>2089285.7142857141</v>
      </c>
      <c r="G10" s="17">
        <f t="shared" si="0"/>
        <v>9890836.7346938774</v>
      </c>
      <c r="H10" s="17">
        <f t="shared" si="1"/>
        <v>1117812.01356029</v>
      </c>
      <c r="I10" s="17">
        <f t="shared" si="2"/>
        <v>8773024.7211335879</v>
      </c>
    </row>
    <row r="11" spans="1:9" ht="15.75" customHeight="1" x14ac:dyDescent="0.25">
      <c r="A11" s="5">
        <f t="shared" si="3"/>
        <v>2033</v>
      </c>
      <c r="B11" s="49">
        <v>968090.0816827988</v>
      </c>
      <c r="C11" s="50">
        <v>2001871.7201166181</v>
      </c>
      <c r="D11" s="50">
        <v>3292093.2944606422</v>
      </c>
      <c r="E11" s="50">
        <v>2626093.2944606422</v>
      </c>
      <c r="F11" s="50">
        <v>2122897.9591836729</v>
      </c>
      <c r="G11" s="17">
        <f t="shared" si="0"/>
        <v>10042956.268221576</v>
      </c>
      <c r="H11" s="17">
        <f t="shared" si="1"/>
        <v>1124163.4312748287</v>
      </c>
      <c r="I11" s="17">
        <f t="shared" si="2"/>
        <v>8918792.8369467463</v>
      </c>
    </row>
    <row r="12" spans="1:9" ht="15.75" customHeight="1" x14ac:dyDescent="0.25">
      <c r="A12" s="5">
        <f t="shared" si="3"/>
        <v>2034</v>
      </c>
      <c r="B12" s="49">
        <v>973312.57563748432</v>
      </c>
      <c r="C12" s="50">
        <v>2032853.3944189921</v>
      </c>
      <c r="D12" s="50">
        <v>3340249.4793835911</v>
      </c>
      <c r="E12" s="50">
        <v>2662106.6222407329</v>
      </c>
      <c r="F12" s="50">
        <v>2155026.2390670548</v>
      </c>
      <c r="G12" s="17">
        <f t="shared" si="0"/>
        <v>10190235.735110372</v>
      </c>
      <c r="H12" s="17">
        <f t="shared" si="1"/>
        <v>1130227.8841960961</v>
      </c>
      <c r="I12" s="17">
        <f t="shared" si="2"/>
        <v>9060007.8509142771</v>
      </c>
    </row>
    <row r="13" spans="1:9" ht="15.75" customHeight="1" x14ac:dyDescent="0.25">
      <c r="A13" s="5">
        <f t="shared" si="3"/>
        <v>2035</v>
      </c>
      <c r="B13" s="49">
        <v>978297.3572999821</v>
      </c>
      <c r="C13" s="50">
        <v>2061975.307907419</v>
      </c>
      <c r="D13" s="50">
        <v>3387142.2621526751</v>
      </c>
      <c r="E13" s="50">
        <v>2696550.4254179811</v>
      </c>
      <c r="F13" s="50">
        <v>2185744.2732194918</v>
      </c>
      <c r="G13" s="17">
        <f t="shared" si="0"/>
        <v>10331412.268697567</v>
      </c>
      <c r="H13" s="17">
        <f t="shared" si="1"/>
        <v>1136016.3013732752</v>
      </c>
      <c r="I13" s="17">
        <f t="shared" si="2"/>
        <v>9195395.9673242923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9.4482999999999841E-3</v>
      </c>
    </row>
    <row r="4" spans="1:8" ht="15.75" customHeight="1" x14ac:dyDescent="0.25">
      <c r="B4" s="19" t="s">
        <v>69</v>
      </c>
      <c r="C4" s="101">
        <v>6.0587099999999838E-2</v>
      </c>
    </row>
    <row r="5" spans="1:8" ht="15.75" customHeight="1" x14ac:dyDescent="0.25">
      <c r="B5" s="19" t="s">
        <v>70</v>
      </c>
      <c r="C5" s="101">
        <v>8.0444099999999921E-2</v>
      </c>
    </row>
    <row r="6" spans="1:8" ht="15.75" customHeight="1" x14ac:dyDescent="0.25">
      <c r="B6" s="19" t="s">
        <v>71</v>
      </c>
      <c r="C6" s="101">
        <v>0.24506110000000039</v>
      </c>
    </row>
    <row r="7" spans="1:8" ht="15.75" customHeight="1" x14ac:dyDescent="0.25">
      <c r="B7" s="19" t="s">
        <v>72</v>
      </c>
      <c r="C7" s="101">
        <v>0.41408430000000013</v>
      </c>
    </row>
    <row r="8" spans="1:8" ht="15.75" customHeight="1" x14ac:dyDescent="0.25">
      <c r="B8" s="19" t="s">
        <v>73</v>
      </c>
      <c r="C8" s="101">
        <v>1.210499999999998E-3</v>
      </c>
    </row>
    <row r="9" spans="1:8" ht="15.75" customHeight="1" x14ac:dyDescent="0.25">
      <c r="B9" s="19" t="s">
        <v>74</v>
      </c>
      <c r="C9" s="101">
        <v>7.320219999999994E-2</v>
      </c>
    </row>
    <row r="10" spans="1:8" ht="15.75" customHeight="1" x14ac:dyDescent="0.25">
      <c r="B10" s="19" t="s">
        <v>75</v>
      </c>
      <c r="C10" s="101">
        <v>0.1159623999999998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82</v>
      </c>
      <c r="C15" s="101">
        <v>0.1525436960829033</v>
      </c>
      <c r="D15" s="101">
        <v>0.1525436960829033</v>
      </c>
      <c r="E15" s="101">
        <v>0.1525436960829033</v>
      </c>
      <c r="F15" s="101">
        <v>0.1525436960829033</v>
      </c>
    </row>
    <row r="16" spans="1:8" ht="15.75" customHeight="1" x14ac:dyDescent="0.25">
      <c r="B16" s="19" t="s">
        <v>83</v>
      </c>
      <c r="C16" s="101">
        <v>1.9379345713266979E-2</v>
      </c>
      <c r="D16" s="101">
        <v>1.9379345713266979E-2</v>
      </c>
      <c r="E16" s="101">
        <v>1.9379345713266979E-2</v>
      </c>
      <c r="F16" s="101">
        <v>1.9379345713266979E-2</v>
      </c>
    </row>
    <row r="17" spans="1:8" ht="15.75" customHeight="1" x14ac:dyDescent="0.25">
      <c r="B17" s="19" t="s">
        <v>84</v>
      </c>
      <c r="C17" s="101">
        <v>7.0679873364541653E-3</v>
      </c>
      <c r="D17" s="101">
        <v>7.0679873364541653E-3</v>
      </c>
      <c r="E17" s="101">
        <v>7.0679873364541653E-3</v>
      </c>
      <c r="F17" s="101">
        <v>7.0679873364541653E-3</v>
      </c>
    </row>
    <row r="18" spans="1:8" ht="15.75" customHeight="1" x14ac:dyDescent="0.25">
      <c r="B18" s="19" t="s">
        <v>85</v>
      </c>
      <c r="C18" s="101">
        <v>0.22238897098278571</v>
      </c>
      <c r="D18" s="101">
        <v>0.22238897098278571</v>
      </c>
      <c r="E18" s="101">
        <v>0.22238897098278571</v>
      </c>
      <c r="F18" s="101">
        <v>0.22238897098278571</v>
      </c>
    </row>
    <row r="19" spans="1:8" ht="15.75" customHeight="1" x14ac:dyDescent="0.25">
      <c r="B19" s="19" t="s">
        <v>86</v>
      </c>
      <c r="C19" s="101">
        <v>3.3325376474692817E-2</v>
      </c>
      <c r="D19" s="101">
        <v>3.3325376474692817E-2</v>
      </c>
      <c r="E19" s="101">
        <v>3.3325376474692817E-2</v>
      </c>
      <c r="F19" s="101">
        <v>3.3325376474692817E-2</v>
      </c>
    </row>
    <row r="20" spans="1:8" ht="15.75" customHeight="1" x14ac:dyDescent="0.25">
      <c r="B20" s="19" t="s">
        <v>87</v>
      </c>
      <c r="C20" s="101">
        <v>0.1144476671113132</v>
      </c>
      <c r="D20" s="101">
        <v>0.1144476671113132</v>
      </c>
      <c r="E20" s="101">
        <v>0.1144476671113132</v>
      </c>
      <c r="F20" s="101">
        <v>0.1144476671113132</v>
      </c>
    </row>
    <row r="21" spans="1:8" ht="15.75" customHeight="1" x14ac:dyDescent="0.25">
      <c r="B21" s="19" t="s">
        <v>88</v>
      </c>
      <c r="C21" s="101">
        <v>0.13423673221728019</v>
      </c>
      <c r="D21" s="101">
        <v>0.13423673221728019</v>
      </c>
      <c r="E21" s="101">
        <v>0.13423673221728019</v>
      </c>
      <c r="F21" s="101">
        <v>0.13423673221728019</v>
      </c>
    </row>
    <row r="22" spans="1:8" ht="15.75" customHeight="1" x14ac:dyDescent="0.25">
      <c r="B22" s="19" t="s">
        <v>89</v>
      </c>
      <c r="C22" s="101">
        <v>0.1947906626679525</v>
      </c>
      <c r="D22" s="101">
        <v>0.1947906626679525</v>
      </c>
      <c r="E22" s="101">
        <v>0.1947906626679525</v>
      </c>
      <c r="F22" s="101">
        <v>0.1947906626679525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6.6578172000000005E-2</v>
      </c>
    </row>
    <row r="27" spans="1:8" ht="15.75" customHeight="1" x14ac:dyDescent="0.25">
      <c r="B27" s="19" t="s">
        <v>92</v>
      </c>
      <c r="C27" s="101">
        <v>4.9825570000000003E-3</v>
      </c>
    </row>
    <row r="28" spans="1:8" ht="15.75" customHeight="1" x14ac:dyDescent="0.25">
      <c r="B28" s="19" t="s">
        <v>93</v>
      </c>
      <c r="C28" s="101">
        <v>0.12458364500000001</v>
      </c>
    </row>
    <row r="29" spans="1:8" ht="15.75" customHeight="1" x14ac:dyDescent="0.25">
      <c r="B29" s="19" t="s">
        <v>94</v>
      </c>
      <c r="C29" s="101">
        <v>0.123203627</v>
      </c>
    </row>
    <row r="30" spans="1:8" ht="15.75" customHeight="1" x14ac:dyDescent="0.25">
      <c r="B30" s="19" t="s">
        <v>95</v>
      </c>
      <c r="C30" s="101">
        <v>8.5390918999999996E-2</v>
      </c>
    </row>
    <row r="31" spans="1:8" ht="15.75" customHeight="1" x14ac:dyDescent="0.25">
      <c r="B31" s="19" t="s">
        <v>96</v>
      </c>
      <c r="C31" s="101">
        <v>0.13704649199999999</v>
      </c>
    </row>
    <row r="32" spans="1:8" ht="15.75" customHeight="1" x14ac:dyDescent="0.25">
      <c r="B32" s="19" t="s">
        <v>97</v>
      </c>
      <c r="C32" s="101">
        <v>1.3877614E-2</v>
      </c>
    </row>
    <row r="33" spans="2:3" ht="15.75" customHeight="1" x14ac:dyDescent="0.25">
      <c r="B33" s="19" t="s">
        <v>98</v>
      </c>
      <c r="C33" s="101">
        <v>0.162878947</v>
      </c>
    </row>
    <row r="34" spans="2:3" ht="15.75" customHeight="1" x14ac:dyDescent="0.25">
      <c r="B34" s="19" t="s">
        <v>99</v>
      </c>
      <c r="C34" s="101">
        <v>0.281458027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104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105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109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110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122</v>
      </c>
      <c r="C5" s="52">
        <v>3.4435300000000002E-2</v>
      </c>
      <c r="D5" s="52">
        <v>1.8305600000000002E-2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0.217145636302293</v>
      </c>
      <c r="C2" s="98">
        <v>0.95</v>
      </c>
      <c r="D2" s="56">
        <v>41.250418745167217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42.596134754200222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151.34610343274491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0.49482675252861508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13.61384665422082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13.61384665422082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13.61384665422082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13.61384665422082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13.61384665422082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13.61384665422082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0.30123291736885999</v>
      </c>
      <c r="C16" s="98">
        <v>0.95</v>
      </c>
      <c r="D16" s="56">
        <v>0.35308348420754659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3.568244662609394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3.568244662609394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0.23128789999999999</v>
      </c>
      <c r="C21" s="98">
        <v>0.95</v>
      </c>
      <c r="D21" s="56">
        <v>4.104467765934162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23.27165885855867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3.4973999999999999E-3</v>
      </c>
      <c r="C23" s="98">
        <v>0.95</v>
      </c>
      <c r="D23" s="56">
        <v>4.5073761426825563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0.60988794753856601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0.258351811323345</v>
      </c>
      <c r="C27" s="98">
        <v>0.95</v>
      </c>
      <c r="D27" s="56">
        <v>19.61216024211193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0.47842659999999998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75.352499155981278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0.46828928738985037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0.38182569999999999</v>
      </c>
      <c r="C32" s="98">
        <v>0.95</v>
      </c>
      <c r="D32" s="56">
        <v>0.71468953462406237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0.28583890000000001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0.37087789999999998</v>
      </c>
      <c r="C38" s="98">
        <v>0.95</v>
      </c>
      <c r="D38" s="56">
        <v>4.1522441481000731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0.25902579999999997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205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0.13300000000000001</v>
      </c>
      <c r="E2" s="60">
        <f>food_insecure</f>
        <v>0.13300000000000001</v>
      </c>
      <c r="F2" s="60">
        <f>food_insecure</f>
        <v>0.13300000000000001</v>
      </c>
      <c r="G2" s="60">
        <f>food_insecure</f>
        <v>0.13300000000000001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0.13300000000000001</v>
      </c>
      <c r="F5" s="60">
        <f>food_insecure</f>
        <v>0.13300000000000001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0.13300000000000001</v>
      </c>
      <c r="F8" s="60">
        <f>food_insecure</f>
        <v>0.13300000000000001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0.13300000000000001</v>
      </c>
      <c r="F9" s="60">
        <f>food_insecure</f>
        <v>0.13300000000000001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0.13300000000000001</v>
      </c>
      <c r="I15" s="60">
        <f>food_insecure</f>
        <v>0.13300000000000001</v>
      </c>
      <c r="J15" s="60">
        <f>food_insecure</f>
        <v>0.13300000000000001</v>
      </c>
      <c r="K15" s="60">
        <f>food_insecure</f>
        <v>0.13300000000000001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0.53799999999999992</v>
      </c>
      <c r="M24" s="60">
        <f>famplan_unmet_need</f>
        <v>0.53799999999999992</v>
      </c>
      <c r="N24" s="60">
        <f>famplan_unmet_need</f>
        <v>0.53799999999999992</v>
      </c>
      <c r="O24" s="60">
        <f>famplan_unmet_need</f>
        <v>0.53799999999999992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0.2248261612213133</v>
      </c>
      <c r="M25" s="60">
        <f>(1-food_insecure)*(0.49)+food_insecure*(0.7)</f>
        <v>0.51793</v>
      </c>
      <c r="N25" s="60">
        <f>(1-food_insecure)*(0.49)+food_insecure*(0.7)</f>
        <v>0.51793</v>
      </c>
      <c r="O25" s="60">
        <f>(1-food_insecure)*(0.49)+food_insecure*(0.7)</f>
        <v>0.51793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9.6354069094848546E-2</v>
      </c>
      <c r="M26" s="60">
        <f>(1-food_insecure)*(0.21)+food_insecure*(0.3)</f>
        <v>0.22196999999999997</v>
      </c>
      <c r="N26" s="60">
        <f>(1-food_insecure)*(0.21)+food_insecure*(0.3)</f>
        <v>0.22196999999999997</v>
      </c>
      <c r="O26" s="60">
        <f>(1-food_insecure)*(0.21)+food_insecure*(0.3)</f>
        <v>0.22196999999999997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0.11290576821899406</v>
      </c>
      <c r="M27" s="60">
        <f>(1-food_insecure)*(0.3)</f>
        <v>0.2601</v>
      </c>
      <c r="N27" s="60">
        <f>(1-food_insecure)*(0.3)</f>
        <v>0.2601</v>
      </c>
      <c r="O27" s="60">
        <f>(1-food_insecure)*(0.3)</f>
        <v>0.2601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0.56591400146484405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0.98</v>
      </c>
      <c r="D34" s="60">
        <f t="shared" si="3"/>
        <v>0.98</v>
      </c>
      <c r="E34" s="60">
        <f t="shared" si="3"/>
        <v>0.98</v>
      </c>
      <c r="F34" s="60">
        <f t="shared" si="3"/>
        <v>0.98</v>
      </c>
      <c r="G34" s="60">
        <f t="shared" si="3"/>
        <v>0.98</v>
      </c>
      <c r="H34" s="60">
        <f t="shared" si="3"/>
        <v>0.98</v>
      </c>
      <c r="I34" s="60">
        <f t="shared" si="3"/>
        <v>0.98</v>
      </c>
      <c r="J34" s="60">
        <f t="shared" si="3"/>
        <v>0.98</v>
      </c>
      <c r="K34" s="60">
        <f t="shared" si="3"/>
        <v>0.98</v>
      </c>
      <c r="L34" s="60">
        <f t="shared" si="3"/>
        <v>0.98</v>
      </c>
      <c r="M34" s="60">
        <f t="shared" si="3"/>
        <v>0.98</v>
      </c>
      <c r="N34" s="60">
        <f t="shared" si="3"/>
        <v>0.98</v>
      </c>
      <c r="O34" s="60">
        <f t="shared" si="3"/>
        <v>0.98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0.86196424874042377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2024-03-28T03:04:04Z</dcterms:modified>
</cp:coreProperties>
</file>