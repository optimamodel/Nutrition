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12.xml" ContentType="application/vnd.openxmlformats-officedocument.spreadsheetml.comments+xml"/>
  <Override PartName="/xl/comments8.xml" ContentType="application/vnd.openxmlformats-officedocument.spreadsheetml.comments+xml"/>
  <Override PartName="/xl/comments13.xml" ContentType="application/vnd.openxmlformats-officedocument.spreadsheetml.comments+xml"/>
  <Override PartName="/xl/comments10.xml" ContentType="application/vnd.openxmlformats-officedocument.spreadsheetml.comments+xml"/>
  <Override PartName="/xl/comments14.xml" ContentType="application/vnd.openxmlformats-officedocument.spreadsheetml.comments+xml"/>
  <Override PartName="/xl/comments7.xml" ContentType="application/vnd.openxmlformats-officedocument.spreadsheetml.comments+xml"/>
  <Override PartName="/xl/comments1.xml" ContentType="application/vnd.openxmlformats-officedocument.spreadsheetml.comments+xml"/>
  <Override PartName="/xl/comments15.xml" ContentType="application/vnd.openxmlformats-officedocument.spreadsheetml.comments+xml"/>
  <Override PartName="/xl/comments11.xml" ContentType="application/vnd.openxmlformats-officedocument.spreadsheetml.comments+xml"/>
  <Override PartName="/xl/comments16.xml" ContentType="application/vnd.openxmlformats-officedocument.spreadsheetml.comments+xml"/>
  <Override PartName="/xl/comments9.xml" ContentType="application/vnd.openxmlformats-officedocument.spreadsheetml.comments+xml"/>
  <Override PartName="/xl/comments17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071617B6-1F69-40BD-8253-85EFDD02B22C}" xr6:coauthVersionLast="47" xr6:coauthVersionMax="47" xr10:uidLastSave="{00000000-0000-0000-0000-000000000000}"/>
  <bookViews>
    <workbookView xWindow="0" yWindow="3670" windowWidth="19200" windowHeight="6530" tabRatio="961" firstSheet="6" activeTab="7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G152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H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G74" i="27"/>
  <c r="G129" i="27" s="1"/>
  <c r="F74" i="27"/>
  <c r="F129" i="27" s="1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A40" i="2"/>
  <c r="H39" i="2"/>
  <c r="G39" i="2"/>
  <c r="I39" i="2" s="1"/>
  <c r="A39" i="2"/>
  <c r="H38" i="2"/>
  <c r="G38" i="2"/>
  <c r="I38" i="2" s="1"/>
  <c r="A37" i="2"/>
  <c r="A36" i="2"/>
  <c r="A35" i="2"/>
  <c r="A34" i="2"/>
  <c r="A29" i="2"/>
  <c r="A28" i="2"/>
  <c r="A27" i="2"/>
  <c r="A26" i="2"/>
  <c r="A21" i="2"/>
  <c r="A20" i="2"/>
  <c r="A19" i="2"/>
  <c r="A18" i="2"/>
  <c r="H13" i="2"/>
  <c r="G13" i="2"/>
  <c r="I13" i="2" s="1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I5" i="2" s="1"/>
  <c r="H4" i="2"/>
  <c r="G4" i="2"/>
  <c r="I4" i="2" s="1"/>
  <c r="H3" i="2"/>
  <c r="G3" i="2"/>
  <c r="I3" i="2" s="1"/>
  <c r="A3" i="2"/>
  <c r="H2" i="2"/>
  <c r="G2" i="2"/>
  <c r="I2" i="2" s="1"/>
  <c r="A2" i="2"/>
  <c r="A33" i="2" s="1"/>
  <c r="C33" i="1"/>
  <c r="C20" i="1"/>
  <c r="A22" i="2" l="1"/>
  <c r="A15" i="2"/>
  <c r="A23" i="2"/>
  <c r="A31" i="2"/>
  <c r="A30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38" i="2"/>
  <c r="A16" i="2"/>
  <c r="A24" i="2"/>
  <c r="A32" i="2"/>
  <c r="A17" i="2"/>
  <c r="A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<sst xmlns="http://schemas.openxmlformats.org/spreadsheetml/2006/main" count="2094" uniqueCount="341">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</sst>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2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4397300.34375</v>
      </c>
    </row>
    <row r="8" spans="1:3" ht="15" customHeight="1" x14ac:dyDescent="0.25">
      <c r="B8" s="5" t="s">
        <v>8</v>
      </c>
      <c r="C8" s="44">
        <v>0.13300000000000001</v>
      </c>
    </row>
    <row r="9" spans="1:3" ht="15" customHeight="1" x14ac:dyDescent="0.25">
      <c r="B9" s="5" t="s">
        <v>9</v>
      </c>
      <c r="C9" s="45">
        <v>0.98</v>
      </c>
    </row>
    <row r="10" spans="1:3" ht="15" customHeight="1" x14ac:dyDescent="0.25">
      <c r="B10" s="5" t="s">
        <v>10</v>
      </c>
      <c r="C10" s="45">
        <v>0.56591400146484405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0.53799999999999992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8.5699999999999998E-2</v>
      </c>
    </row>
    <row r="24" spans="1:3" ht="15" customHeight="1" x14ac:dyDescent="0.25">
      <c r="B24" s="15" t="s">
        <v>22</v>
      </c>
      <c r="C24" s="45">
        <v>0.43590000000000001</v>
      </c>
    </row>
    <row r="25" spans="1:3" ht="15" customHeight="1" x14ac:dyDescent="0.25">
      <c r="B25" s="15" t="s">
        <v>23</v>
      </c>
      <c r="C25" s="45">
        <v>0.3957</v>
      </c>
    </row>
    <row r="26" spans="1:3" ht="15" customHeight="1" x14ac:dyDescent="0.25">
      <c r="B26" s="15" t="s">
        <v>24</v>
      </c>
      <c r="C26" s="45">
        <v>8.2699999999999996E-2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0.27146440725940302</v>
      </c>
    </row>
    <row r="30" spans="1:3" ht="14.25" customHeight="1" x14ac:dyDescent="0.25">
      <c r="B30" s="25" t="s">
        <v>27</v>
      </c>
      <c r="C30" s="99">
        <v>3.0900048109988299E-2</v>
      </c>
    </row>
    <row r="31" spans="1:3" ht="14.25" customHeight="1" x14ac:dyDescent="0.25">
      <c r="B31" s="25" t="s">
        <v>28</v>
      </c>
      <c r="C31" s="99">
        <v>6.9419093990287797E-2</v>
      </c>
    </row>
    <row r="32" spans="1:3" ht="14.25" customHeight="1" x14ac:dyDescent="0.25">
      <c r="B32" s="25" t="s">
        <v>29</v>
      </c>
      <c r="C32" s="99">
        <v>0.62821645064032094</v>
      </c>
    </row>
    <row r="33" spans="1:5" ht="13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22.823730000000001</v>
      </c>
    </row>
    <row r="38" spans="1:5" ht="15" customHeight="1" x14ac:dyDescent="0.25">
      <c r="B38" s="11" t="s">
        <v>34</v>
      </c>
      <c r="C38" s="43">
        <v>32.582920000000001</v>
      </c>
      <c r="D38" s="12"/>
      <c r="E38" s="13"/>
    </row>
    <row r="39" spans="1:5" ht="15" customHeight="1" x14ac:dyDescent="0.25">
      <c r="B39" s="11" t="s">
        <v>35</v>
      </c>
      <c r="C39" s="43">
        <v>43.974519999999998</v>
      </c>
      <c r="D39" s="12"/>
      <c r="E39" s="12"/>
    </row>
    <row r="40" spans="1:5" ht="15" customHeight="1" x14ac:dyDescent="0.25">
      <c r="B40" s="11" t="s">
        <v>36</v>
      </c>
      <c r="C40" s="100">
        <v>2.63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21.40353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6.8689999999999992E-3</v>
      </c>
      <c r="D45" s="12"/>
    </row>
    <row r="46" spans="1:5" ht="15.75" customHeight="1" x14ac:dyDescent="0.25">
      <c r="B46" s="11" t="s">
        <v>41</v>
      </c>
      <c r="C46" s="45">
        <v>7.3128600000000002E-2</v>
      </c>
      <c r="D46" s="12"/>
    </row>
    <row r="47" spans="1:5" ht="15.75" customHeight="1" x14ac:dyDescent="0.25">
      <c r="B47" s="11" t="s">
        <v>42</v>
      </c>
      <c r="C47" s="45">
        <v>0.2015941</v>
      </c>
      <c r="D47" s="12"/>
      <c r="E47" s="13"/>
    </row>
    <row r="48" spans="1:5" ht="15" customHeight="1" x14ac:dyDescent="0.25">
      <c r="B48" s="11" t="s">
        <v>43</v>
      </c>
      <c r="C48" s="46">
        <v>0.7184083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0.39087600000000011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0.14158809999999999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911299</v>
      </c>
      <c r="C2" s="49">
        <v>2136384.5</v>
      </c>
      <c r="D2" s="49">
        <v>2878811</v>
      </c>
      <c r="E2" s="49">
        <v>2401241</v>
      </c>
      <c r="F2" s="49">
        <v>1642162</v>
      </c>
      <c r="G2" s="17">
        <f t="shared" ref="G2:G13" si="0">C2+D2+E2+F2</f>
        <v>9058598.5</v>
      </c>
      <c r="H2" s="17">
        <f t="shared" ref="H2:H13" si="1">(B2 + stillbirth*B2/(1000-stillbirth))/(1-abortion)</f>
        <v>1058216.6165534456</v>
      </c>
      <c r="I2" s="17">
        <f t="shared" ref="I2:I13" si="2">G2-H2</f>
        <v>8000381.8834465547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916924</v>
      </c>
      <c r="C3" s="50">
        <v>2181356</v>
      </c>
      <c r="D3" s="50">
        <v>2953162</v>
      </c>
      <c r="E3" s="50">
        <v>2422665</v>
      </c>
      <c r="F3" s="50">
        <v>1709817</v>
      </c>
      <c r="G3" s="17">
        <f t="shared" si="0"/>
        <v>9267000</v>
      </c>
      <c r="H3" s="17">
        <f t="shared" si="1"/>
        <v>1064748.4666576518</v>
      </c>
      <c r="I3" s="17">
        <f t="shared" si="2"/>
        <v>8202251.5333423484</v>
      </c>
    </row>
    <row r="4" spans="1:9" ht="15.75" customHeight="1" x14ac:dyDescent="0.25">
      <c r="A4" s="5">
        <f t="shared" si="3"/>
        <v>2026</v>
      </c>
      <c r="B4" s="49">
        <v>921313</v>
      </c>
      <c r="C4" s="50">
        <v>2228279</v>
      </c>
      <c r="D4" s="50">
        <v>3033727.5</v>
      </c>
      <c r="E4" s="50">
        <v>2442481.5</v>
      </c>
      <c r="F4" s="50">
        <v>1771485</v>
      </c>
      <c r="G4" s="17">
        <f t="shared" si="0"/>
        <v>9475973</v>
      </c>
      <c r="H4" s="17">
        <f t="shared" si="1"/>
        <v>1069845.0515656273</v>
      </c>
      <c r="I4" s="17">
        <f t="shared" si="2"/>
        <v>8406127.9484343734</v>
      </c>
    </row>
    <row r="5" spans="1:9" ht="15.75" customHeight="1" x14ac:dyDescent="0.25">
      <c r="A5" s="5">
        <f t="shared" si="3"/>
        <v>2027</v>
      </c>
      <c r="B5" s="49">
        <v>929498</v>
      </c>
      <c r="C5" s="50">
        <v>2280136.5</v>
      </c>
      <c r="D5" s="50">
        <v>3113993.5</v>
      </c>
      <c r="E5" s="50">
        <v>2462845</v>
      </c>
      <c r="F5" s="50">
        <v>1826705</v>
      </c>
      <c r="G5" s="17">
        <f t="shared" si="0"/>
        <v>9683680</v>
      </c>
      <c r="H5" s="17">
        <f t="shared" si="1"/>
        <v>1079349.6192283703</v>
      </c>
      <c r="I5" s="17">
        <f t="shared" si="2"/>
        <v>8604330.3807716295</v>
      </c>
    </row>
    <row r="6" spans="1:9" ht="15.75" customHeight="1" x14ac:dyDescent="0.25">
      <c r="A6" s="5">
        <f t="shared" si="3"/>
        <v>2028</v>
      </c>
      <c r="B6" s="49">
        <v>936474</v>
      </c>
      <c r="C6" s="50">
        <v>2330821.5</v>
      </c>
      <c r="D6" s="50">
        <v>3192680.5</v>
      </c>
      <c r="E6" s="50">
        <v>2488129.5</v>
      </c>
      <c r="F6" s="50">
        <v>1874190</v>
      </c>
      <c r="G6" s="17">
        <f t="shared" si="0"/>
        <v>9885821.5</v>
      </c>
      <c r="H6" s="17">
        <f t="shared" si="1"/>
        <v>1087450.2745753825</v>
      </c>
      <c r="I6" s="17">
        <f t="shared" si="2"/>
        <v>8798371.2254246175</v>
      </c>
    </row>
    <row r="7" spans="1:9" ht="15.75" customHeight="1" x14ac:dyDescent="0.25">
      <c r="A7" s="5">
        <f t="shared" si="3"/>
        <v>2029</v>
      </c>
      <c r="B7" s="49">
        <v>943623</v>
      </c>
      <c r="C7" s="50">
        <v>2379929.5</v>
      </c>
      <c r="D7" s="50">
        <v>3269707</v>
      </c>
      <c r="E7" s="50">
        <v>2520760</v>
      </c>
      <c r="F7" s="50">
        <v>1916471</v>
      </c>
      <c r="G7" s="17">
        <f t="shared" si="0"/>
        <v>10086867.5</v>
      </c>
      <c r="H7" s="17">
        <f t="shared" si="1"/>
        <v>1095751.8206011551</v>
      </c>
      <c r="I7" s="17">
        <f t="shared" si="2"/>
        <v>8991115.6793988459</v>
      </c>
    </row>
    <row r="8" spans="1:9" ht="15.75" customHeight="1" x14ac:dyDescent="0.25">
      <c r="A8" s="5">
        <f t="shared" si="3"/>
        <v>2030</v>
      </c>
      <c r="B8" s="49">
        <v>949657</v>
      </c>
      <c r="C8" s="50">
        <v>2421611</v>
      </c>
      <c r="D8" s="50">
        <v>3344956</v>
      </c>
      <c r="E8" s="50">
        <v>2562187.5</v>
      </c>
      <c r="F8" s="50">
        <v>1953223</v>
      </c>
      <c r="G8" s="17">
        <f t="shared" si="0"/>
        <v>10281977.5</v>
      </c>
      <c r="H8" s="17">
        <f t="shared" si="1"/>
        <v>1102758.6087840495</v>
      </c>
      <c r="I8" s="17">
        <f t="shared" si="2"/>
        <v>9179218.8912159503</v>
      </c>
    </row>
    <row r="9" spans="1:9" ht="15.75" customHeight="1" x14ac:dyDescent="0.25">
      <c r="A9" s="5">
        <f t="shared" si="3"/>
        <v>2031</v>
      </c>
      <c r="B9" s="49">
        <v>956126</v>
      </c>
      <c r="C9" s="50">
        <v>2444374.5</v>
      </c>
      <c r="D9" s="50">
        <v>3420694.5</v>
      </c>
      <c r="E9" s="50">
        <v>2610773</v>
      </c>
      <c r="F9" s="50">
        <v>1986527</v>
      </c>
      <c r="G9" s="17">
        <f t="shared" si="0"/>
        <v>10462369</v>
      </c>
      <c r="H9" s="17">
        <f t="shared" si="1"/>
        <v>1110270.5267083358</v>
      </c>
      <c r="I9" s="17">
        <f t="shared" si="2"/>
        <v>9352098.4732916635</v>
      </c>
    </row>
    <row r="10" spans="1:9" ht="15.75" customHeight="1" x14ac:dyDescent="0.25">
      <c r="A10" s="5">
        <f t="shared" si="3"/>
        <v>2032</v>
      </c>
      <c r="B10" s="49">
        <v>964543</v>
      </c>
      <c r="C10" s="50">
        <v>2456472</v>
      </c>
      <c r="D10" s="50">
        <v>3499264.5</v>
      </c>
      <c r="E10" s="50">
        <v>2664595.5</v>
      </c>
      <c r="F10" s="50">
        <v>2015973</v>
      </c>
      <c r="G10" s="17">
        <f t="shared" si="0"/>
        <v>10636305</v>
      </c>
      <c r="H10" s="17">
        <f t="shared" si="1"/>
        <v>1120044.4968998211</v>
      </c>
      <c r="I10" s="17">
        <f t="shared" si="2"/>
        <v>9516260.5031001791</v>
      </c>
    </row>
    <row r="11" spans="1:9" ht="15.75" customHeight="1" x14ac:dyDescent="0.25">
      <c r="A11" s="5">
        <f t="shared" si="3"/>
        <v>2033</v>
      </c>
      <c r="B11" s="49">
        <v>972737</v>
      </c>
      <c r="C11" s="50">
        <v>2466755</v>
      </c>
      <c r="D11" s="50">
        <v>3579544</v>
      </c>
      <c r="E11" s="50">
        <v>2723661</v>
      </c>
      <c r="F11" s="50">
        <v>2038455</v>
      </c>
      <c r="G11" s="17">
        <f t="shared" si="0"/>
        <v>10808415</v>
      </c>
      <c r="H11" s="17">
        <f t="shared" si="1"/>
        <v>1129559.5155227308</v>
      </c>
      <c r="I11" s="17">
        <f t="shared" si="2"/>
        <v>9678855.4844772685</v>
      </c>
    </row>
    <row r="12" spans="1:9" ht="15.75" customHeight="1" x14ac:dyDescent="0.25">
      <c r="A12" s="5">
        <f t="shared" si="3"/>
        <v>2034</v>
      </c>
      <c r="B12" s="49">
        <v>980395</v>
      </c>
      <c r="C12" s="50">
        <v>2474711</v>
      </c>
      <c r="D12" s="50">
        <v>3658040.5</v>
      </c>
      <c r="E12" s="50">
        <v>2788621</v>
      </c>
      <c r="F12" s="50">
        <v>2059295</v>
      </c>
      <c r="G12" s="17">
        <f t="shared" si="0"/>
        <v>10980667.5</v>
      </c>
      <c r="H12" s="17">
        <f t="shared" si="1"/>
        <v>1138452.1214068218</v>
      </c>
      <c r="I12" s="17">
        <f t="shared" si="2"/>
        <v>9842215.3785931785</v>
      </c>
    </row>
    <row r="13" spans="1:9" ht="15.75" customHeight="1" x14ac:dyDescent="0.25">
      <c r="A13" s="5">
        <f t="shared" si="3"/>
        <v>2035</v>
      </c>
      <c r="B13" s="49">
        <v>992864</v>
      </c>
      <c r="C13" s="50">
        <v>2478336</v>
      </c>
      <c r="D13" s="50">
        <v>3732345</v>
      </c>
      <c r="E13" s="50">
        <v>2862627.5</v>
      </c>
      <c r="F13" s="50">
        <v>2080346</v>
      </c>
      <c r="G13" s="17">
        <f t="shared" si="0"/>
        <v>11153654.5</v>
      </c>
      <c r="H13" s="17">
        <f t="shared" si="1"/>
        <v>1152931.3461089283</v>
      </c>
      <c r="I13" s="17">
        <f t="shared" si="2"/>
        <v>10000723.153891072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9.4482999999999841E-3</v>
      </c>
    </row>
    <row r="4" spans="1:8" ht="15.75" customHeight="1" x14ac:dyDescent="0.25">
      <c r="B4" s="19" t="s">
        <v>69</v>
      </c>
      <c r="C4" s="101">
        <v>6.0587099999999838E-2</v>
      </c>
    </row>
    <row r="5" spans="1:8" ht="15.75" customHeight="1" x14ac:dyDescent="0.25">
      <c r="B5" s="19" t="s">
        <v>70</v>
      </c>
      <c r="C5" s="101">
        <v>8.0444099999999921E-2</v>
      </c>
    </row>
    <row r="6" spans="1:8" ht="15.75" customHeight="1" x14ac:dyDescent="0.25">
      <c r="B6" s="19" t="s">
        <v>71</v>
      </c>
      <c r="C6" s="101">
        <v>0.24506110000000039</v>
      </c>
    </row>
    <row r="7" spans="1:8" ht="15.75" customHeight="1" x14ac:dyDescent="0.25">
      <c r="B7" s="19" t="s">
        <v>72</v>
      </c>
      <c r="C7" s="101">
        <v>0.41408430000000013</v>
      </c>
    </row>
    <row r="8" spans="1:8" ht="15.75" customHeight="1" x14ac:dyDescent="0.25">
      <c r="B8" s="19" t="s">
        <v>73</v>
      </c>
      <c r="C8" s="101">
        <v>1.210499999999998E-3</v>
      </c>
    </row>
    <row r="9" spans="1:8" ht="15.75" customHeight="1" x14ac:dyDescent="0.25">
      <c r="B9" s="19" t="s">
        <v>74</v>
      </c>
      <c r="C9" s="101">
        <v>7.320219999999994E-2</v>
      </c>
    </row>
    <row r="10" spans="1:8" ht="15.75" customHeight="1" x14ac:dyDescent="0.25">
      <c r="B10" s="19" t="s">
        <v>75</v>
      </c>
      <c r="C10" s="101">
        <v>0.1159623999999998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0.12181956141335119</v>
      </c>
      <c r="D14" s="55">
        <v>0.12181956141335119</v>
      </c>
      <c r="E14" s="55">
        <v>0.12181956141335119</v>
      </c>
      <c r="F14" s="55">
        <v>0.12181956141335119</v>
      </c>
    </row>
    <row r="15" spans="1:8" ht="15.75" customHeight="1" x14ac:dyDescent="0.25">
      <c r="B15" s="19" t="s">
        <v>82</v>
      </c>
      <c r="C15" s="101">
        <v>0.1525436960829033</v>
      </c>
      <c r="D15" s="101">
        <v>0.1525436960829033</v>
      </c>
      <c r="E15" s="101">
        <v>0.1525436960829033</v>
      </c>
      <c r="F15" s="101">
        <v>0.1525436960829033</v>
      </c>
    </row>
    <row r="16" spans="1:8" ht="15.75" customHeight="1" x14ac:dyDescent="0.25">
      <c r="B16" s="19" t="s">
        <v>83</v>
      </c>
      <c r="C16" s="101">
        <v>1.9379345713266979E-2</v>
      </c>
      <c r="D16" s="101">
        <v>1.9379345713266979E-2</v>
      </c>
      <c r="E16" s="101">
        <v>1.9379345713266979E-2</v>
      </c>
      <c r="F16" s="101">
        <v>1.9379345713266979E-2</v>
      </c>
    </row>
    <row r="17" spans="1:8" ht="15.75" customHeight="1" x14ac:dyDescent="0.25">
      <c r="B17" s="19" t="s">
        <v>84</v>
      </c>
      <c r="C17" s="101">
        <v>7.0679873364541653E-3</v>
      </c>
      <c r="D17" s="101">
        <v>7.0679873364541653E-3</v>
      </c>
      <c r="E17" s="101">
        <v>7.0679873364541653E-3</v>
      </c>
      <c r="F17" s="101">
        <v>7.0679873364541653E-3</v>
      </c>
    </row>
    <row r="18" spans="1:8" ht="15.75" customHeight="1" x14ac:dyDescent="0.25">
      <c r="B18" s="19" t="s">
        <v>85</v>
      </c>
      <c r="C18" s="101">
        <v>0.22238897098278571</v>
      </c>
      <c r="D18" s="101">
        <v>0.22238897098278571</v>
      </c>
      <c r="E18" s="101">
        <v>0.22238897098278571</v>
      </c>
      <c r="F18" s="101">
        <v>0.22238897098278571</v>
      </c>
    </row>
    <row r="19" spans="1:8" ht="15.75" customHeight="1" x14ac:dyDescent="0.25">
      <c r="B19" s="19" t="s">
        <v>86</v>
      </c>
      <c r="C19" s="101">
        <v>3.3325376474692817E-2</v>
      </c>
      <c r="D19" s="101">
        <v>3.3325376474692817E-2</v>
      </c>
      <c r="E19" s="101">
        <v>3.3325376474692817E-2</v>
      </c>
      <c r="F19" s="101">
        <v>3.3325376474692817E-2</v>
      </c>
    </row>
    <row r="20" spans="1:8" ht="15.75" customHeight="1" x14ac:dyDescent="0.25">
      <c r="B20" s="19" t="s">
        <v>87</v>
      </c>
      <c r="C20" s="101">
        <v>0.1144476671113132</v>
      </c>
      <c r="D20" s="101">
        <v>0.1144476671113132</v>
      </c>
      <c r="E20" s="101">
        <v>0.1144476671113132</v>
      </c>
      <c r="F20" s="101">
        <v>0.1144476671113132</v>
      </c>
    </row>
    <row r="21" spans="1:8" ht="15.75" customHeight="1" x14ac:dyDescent="0.25">
      <c r="B21" s="19" t="s">
        <v>88</v>
      </c>
      <c r="C21" s="101">
        <v>0.13423673221728019</v>
      </c>
      <c r="D21" s="101">
        <v>0.13423673221728019</v>
      </c>
      <c r="E21" s="101">
        <v>0.13423673221728019</v>
      </c>
      <c r="F21" s="101">
        <v>0.13423673221728019</v>
      </c>
    </row>
    <row r="22" spans="1:8" ht="15.75" customHeight="1" x14ac:dyDescent="0.25">
      <c r="B22" s="19" t="s">
        <v>89</v>
      </c>
      <c r="C22" s="101">
        <v>0.1947906626679525</v>
      </c>
      <c r="D22" s="101">
        <v>0.1947906626679525</v>
      </c>
      <c r="E22" s="101">
        <v>0.1947906626679525</v>
      </c>
      <c r="F22" s="101">
        <v>0.1947906626679525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6.6578172000000005E-2</v>
      </c>
    </row>
    <row r="27" spans="1:8" ht="15.75" customHeight="1" x14ac:dyDescent="0.25">
      <c r="B27" s="19" t="s">
        <v>92</v>
      </c>
      <c r="C27" s="101">
        <v>4.9825570000000003E-3</v>
      </c>
    </row>
    <row r="28" spans="1:8" ht="15.75" customHeight="1" x14ac:dyDescent="0.25">
      <c r="B28" s="19" t="s">
        <v>93</v>
      </c>
      <c r="C28" s="101">
        <v>0.12458364500000001</v>
      </c>
    </row>
    <row r="29" spans="1:8" ht="15.75" customHeight="1" x14ac:dyDescent="0.25">
      <c r="B29" s="19" t="s">
        <v>94</v>
      </c>
      <c r="C29" s="101">
        <v>0.123203627</v>
      </c>
    </row>
    <row r="30" spans="1:8" ht="15.75" customHeight="1" x14ac:dyDescent="0.25">
      <c r="B30" s="19" t="s">
        <v>95</v>
      </c>
      <c r="C30" s="101">
        <v>8.5390918999999996E-2</v>
      </c>
    </row>
    <row r="31" spans="1:8" ht="15.75" customHeight="1" x14ac:dyDescent="0.25">
      <c r="B31" s="19" t="s">
        <v>96</v>
      </c>
      <c r="C31" s="101">
        <v>0.13704649199999999</v>
      </c>
    </row>
    <row r="32" spans="1:8" ht="15.75" customHeight="1" x14ac:dyDescent="0.25">
      <c r="B32" s="19" t="s">
        <v>97</v>
      </c>
      <c r="C32" s="101">
        <v>1.3877614E-2</v>
      </c>
    </row>
    <row r="33" spans="2:3" ht="15.75" customHeight="1" x14ac:dyDescent="0.25">
      <c r="B33" s="19" t="s">
        <v>98</v>
      </c>
      <c r="C33" s="101">
        <v>0.162878947</v>
      </c>
    </row>
    <row r="34" spans="2:3" ht="15.75" customHeight="1" x14ac:dyDescent="0.25">
      <c r="B34" s="19" t="s">
        <v>99</v>
      </c>
      <c r="C34" s="101">
        <v>0.281458027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0.66907221117541471</v>
      </c>
      <c r="D2" s="52">
        <f>IFERROR(1-_xlfn.NORM.DIST(_xlfn.NORM.INV(SUM(D4:D5), 0, 1) + 1, 0, 1, TRUE), "")</f>
        <v>0.66907221117541471</v>
      </c>
      <c r="E2" s="52">
        <f>IFERROR(1-_xlfn.NORM.DIST(_xlfn.NORM.INV(SUM(E4:E5), 0, 1) + 1, 0, 1, TRUE), "")</f>
        <v>0.61858610074099551</v>
      </c>
      <c r="F2" s="52">
        <f>IFERROR(1-_xlfn.NORM.DIST(_xlfn.NORM.INV(SUM(F4:F5), 0, 1) + 1, 0, 1, TRUE), "")</f>
        <v>0.45590429923977593</v>
      </c>
      <c r="G2" s="52">
        <f>IFERROR(1-_xlfn.NORM.DIST(_xlfn.NORM.INV(SUM(G4:G5), 0, 1) + 1, 0, 1, TRUE), "")</f>
        <v>0.43778270998959623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0.25561888882458528</v>
      </c>
      <c r="D3" s="52">
        <f>IFERROR(_xlfn.NORM.DIST(_xlfn.NORM.INV(SUM(D4:D5), 0, 1) + 1, 0, 1, TRUE) - SUM(D4:D5), "")</f>
        <v>0.25561888882458528</v>
      </c>
      <c r="E3" s="52">
        <f>IFERROR(_xlfn.NORM.DIST(_xlfn.NORM.INV(SUM(E4:E5), 0, 1) + 1, 0, 1, TRUE) - SUM(E4:E5), "")</f>
        <v>0.28491629925900447</v>
      </c>
      <c r="F3" s="52">
        <f>IFERROR(_xlfn.NORM.DIST(_xlfn.NORM.INV(SUM(F4:F5), 0, 1) + 1, 0, 1, TRUE) - SUM(F4:F5), "")</f>
        <v>0.35715930076022406</v>
      </c>
      <c r="G3" s="52">
        <f>IFERROR(_xlfn.NORM.DIST(_xlfn.NORM.INV(SUM(G4:G5), 0, 1) + 1, 0, 1, TRUE) - SUM(G4:G5), "")</f>
        <v>0.36271679001040374</v>
      </c>
    </row>
    <row r="4" spans="1:15" ht="15.75" customHeight="1" x14ac:dyDescent="0.25">
      <c r="B4" s="5" t="s">
        <v>104</v>
      </c>
      <c r="C4" s="45">
        <v>4.8323999999999999E-2</v>
      </c>
      <c r="D4" s="53">
        <v>4.8323999999999999E-2</v>
      </c>
      <c r="E4" s="53">
        <v>7.00075E-2</v>
      </c>
      <c r="F4" s="53">
        <v>0.13699249999999999</v>
      </c>
      <c r="G4" s="53">
        <v>0.14552480000000001</v>
      </c>
    </row>
    <row r="5" spans="1:15" ht="15.75" customHeight="1" x14ac:dyDescent="0.25">
      <c r="B5" s="5" t="s">
        <v>105</v>
      </c>
      <c r="C5" s="45">
        <v>2.6984899999999999E-2</v>
      </c>
      <c r="D5" s="53">
        <v>2.6984899999999999E-2</v>
      </c>
      <c r="E5" s="53">
        <v>2.6490099999999999E-2</v>
      </c>
      <c r="F5" s="53">
        <v>4.9943899999999999E-2</v>
      </c>
      <c r="G5" s="53">
        <v>5.3975700000000001E-2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0.54336582884235329</v>
      </c>
      <c r="D8" s="52">
        <f>IFERROR(1-_xlfn.NORM.DIST(_xlfn.NORM.INV(SUM(D10:D11), 0, 1) + 1, 0, 1, TRUE), "")</f>
        <v>0.54336582884235329</v>
      </c>
      <c r="E8" s="52">
        <f>IFERROR(1-_xlfn.NORM.DIST(_xlfn.NORM.INV(SUM(E10:E11), 0, 1) + 1, 0, 1, TRUE), "")</f>
        <v>0.51614816595486235</v>
      </c>
      <c r="F8" s="52">
        <f>IFERROR(1-_xlfn.NORM.DIST(_xlfn.NORM.INV(SUM(F10:F11), 0, 1) + 1, 0, 1, TRUE), "")</f>
        <v>0.60643135268855997</v>
      </c>
      <c r="G8" s="52">
        <f>IFERROR(1-_xlfn.NORM.DIST(_xlfn.NORM.INV(SUM(G10:G11), 0, 1) + 1, 0, 1, TRUE), "")</f>
        <v>0.79123157495557583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0.32290117115764672</v>
      </c>
      <c r="D9" s="52">
        <f>IFERROR(_xlfn.NORM.DIST(_xlfn.NORM.INV(SUM(D10:D11), 0, 1) + 1, 0, 1, TRUE) - SUM(D10:D11), "")</f>
        <v>0.32290117115764672</v>
      </c>
      <c r="E9" s="52">
        <f>IFERROR(_xlfn.NORM.DIST(_xlfn.NORM.INV(SUM(E10:E11), 0, 1) + 1, 0, 1, TRUE) - SUM(E10:E11), "")</f>
        <v>0.33479533404513762</v>
      </c>
      <c r="F9" s="52">
        <f>IFERROR(_xlfn.NORM.DIST(_xlfn.NORM.INV(SUM(F10:F11), 0, 1) + 1, 0, 1, TRUE) - SUM(F10:F11), "")</f>
        <v>0.29153164731144005</v>
      </c>
      <c r="G9" s="52">
        <f>IFERROR(_xlfn.NORM.DIST(_xlfn.NORM.INV(SUM(G10:G11), 0, 1) + 1, 0, 1, TRUE) - SUM(G10:G11), "")</f>
        <v>0.17367492504442417</v>
      </c>
    </row>
    <row r="10" spans="1:15" ht="15.75" customHeight="1" x14ac:dyDescent="0.25">
      <c r="B10" s="5" t="s">
        <v>109</v>
      </c>
      <c r="C10" s="45">
        <v>8.9863300000000007E-2</v>
      </c>
      <c r="D10" s="53">
        <v>8.9863300000000007E-2</v>
      </c>
      <c r="E10" s="53">
        <v>0.12234349999999999</v>
      </c>
      <c r="F10" s="53">
        <v>8.4030900000000006E-2</v>
      </c>
      <c r="G10" s="53">
        <v>3.2996200000000003E-2</v>
      </c>
    </row>
    <row r="11" spans="1:15" ht="15.75" customHeight="1" x14ac:dyDescent="0.25">
      <c r="B11" s="5" t="s">
        <v>110</v>
      </c>
      <c r="C11" s="45">
        <v>4.3869699999999998E-2</v>
      </c>
      <c r="D11" s="53">
        <v>4.3869699999999998E-2</v>
      </c>
      <c r="E11" s="53">
        <v>2.6713000000000001E-2</v>
      </c>
      <c r="F11" s="53">
        <v>1.8006100000000001E-2</v>
      </c>
      <c r="G11" s="53">
        <v>2.0972999999999999E-3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0.76397983049999996</v>
      </c>
      <c r="D14" s="54">
        <v>0.75075595181599997</v>
      </c>
      <c r="E14" s="54">
        <v>0.75075595181599997</v>
      </c>
      <c r="F14" s="54">
        <v>0.65965136567799998</v>
      </c>
      <c r="G14" s="54">
        <v>0.65965136567799998</v>
      </c>
      <c r="H14" s="45">
        <v>0.54299999999999993</v>
      </c>
      <c r="I14" s="55">
        <v>0.54299999999999993</v>
      </c>
      <c r="J14" s="55">
        <v>0.54299999999999993</v>
      </c>
      <c r="K14" s="55">
        <v>0.54299999999999993</v>
      </c>
      <c r="L14" s="45">
        <v>0.45700000000000002</v>
      </c>
      <c r="M14" s="55">
        <v>0.45700000000000002</v>
      </c>
      <c r="N14" s="55">
        <v>0.45700000000000002</v>
      </c>
      <c r="O14" s="55">
        <v>0.45700000000000002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0.29862138022651807</v>
      </c>
      <c r="D15" s="52">
        <f t="shared" si="0"/>
        <v>0.2934524834220309</v>
      </c>
      <c r="E15" s="52">
        <f t="shared" si="0"/>
        <v>0.2934524834220309</v>
      </c>
      <c r="F15" s="52">
        <f t="shared" si="0"/>
        <v>0.25784188721075402</v>
      </c>
      <c r="G15" s="52">
        <f t="shared" si="0"/>
        <v>0.25784188721075402</v>
      </c>
      <c r="H15" s="52">
        <f t="shared" si="0"/>
        <v>0.21224566800000003</v>
      </c>
      <c r="I15" s="52">
        <f t="shared" si="0"/>
        <v>0.21224566800000003</v>
      </c>
      <c r="J15" s="52">
        <f t="shared" si="0"/>
        <v>0.21224566800000003</v>
      </c>
      <c r="K15" s="52">
        <f t="shared" si="0"/>
        <v>0.21224566800000003</v>
      </c>
      <c r="L15" s="52">
        <f t="shared" si="0"/>
        <v>0.17863033200000006</v>
      </c>
      <c r="M15" s="52">
        <f t="shared" si="0"/>
        <v>0.17863033200000006</v>
      </c>
      <c r="N15" s="52">
        <f t="shared" si="0"/>
        <v>0.17863033200000006</v>
      </c>
      <c r="O15" s="52">
        <f t="shared" si="0"/>
        <v>0.17863033200000006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0.63748349999999998</v>
      </c>
      <c r="D2" s="53">
        <v>0.38182569999999999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0.210618</v>
      </c>
      <c r="D3" s="53">
        <v>0.211954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0.1174632</v>
      </c>
      <c r="D4" s="53">
        <v>0.38791469999999989</v>
      </c>
      <c r="E4" s="53">
        <v>0.98155690000000007</v>
      </c>
      <c r="F4" s="53">
        <v>0.66134090000000001</v>
      </c>
      <c r="G4" s="53">
        <v>0</v>
      </c>
    </row>
    <row r="5" spans="1:7" x14ac:dyDescent="0.25">
      <c r="B5" s="3" t="s">
        <v>122</v>
      </c>
      <c r="C5" s="52">
        <v>3.4435300000000002E-2</v>
      </c>
      <c r="D5" s="52">
        <v>1.8305600000000002E-2</v>
      </c>
      <c r="E5" s="52">
        <f>1-SUM(E2:E4)</f>
        <v>1.8443099999999935E-2</v>
      </c>
      <c r="F5" s="52">
        <f>1-SUM(F2:F4)</f>
        <v>0.33865909999999999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abSelected="1"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41.250418745167217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0.30123291736885999</v>
      </c>
      <c r="C3" s="98">
        <v>0.95</v>
      </c>
      <c r="D3" s="56">
        <v>42.596134754200222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151.34610343274491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0.5249617017576077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0.5936245</v>
      </c>
      <c r="C10" s="98">
        <v>0.95</v>
      </c>
      <c r="D10" s="56">
        <v>13.61384665422082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0.5936245</v>
      </c>
      <c r="C11" s="98">
        <v>0.95</v>
      </c>
      <c r="D11" s="56">
        <v>13.61384665422082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0.5936245</v>
      </c>
      <c r="C12" s="98">
        <v>0.95</v>
      </c>
      <c r="D12" s="56">
        <v>13.61384665422082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0.5936245</v>
      </c>
      <c r="C13" s="98">
        <v>0.95</v>
      </c>
      <c r="D13" s="56">
        <v>13.61384665422082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0.5936245</v>
      </c>
      <c r="C14" s="98">
        <v>0.95</v>
      </c>
      <c r="D14" s="56">
        <v>13.61384665422082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0.5936245</v>
      </c>
      <c r="C15" s="98">
        <v>0.95</v>
      </c>
      <c r="D15" s="56">
        <v>13.61384665422082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0.9</v>
      </c>
      <c r="C16" s="98">
        <v>0.95</v>
      </c>
      <c r="D16" s="56">
        <v>0.35308348420754659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0.28066999999999998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0.203871372174739</v>
      </c>
      <c r="C18" s="98">
        <v>0.95</v>
      </c>
      <c r="D18" s="56">
        <v>3.568244662609394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0.28583890000000001</v>
      </c>
      <c r="C19" s="98">
        <v>0.95</v>
      </c>
      <c r="D19" s="56">
        <v>3.568244662609394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0.5667259</v>
      </c>
      <c r="C21" s="98">
        <v>0.95</v>
      </c>
      <c r="D21" s="56">
        <v>4.104467765934162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23.27165885855867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4.5073761426825563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0.748159191106751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0.5936245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19.61216024211193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0.60988794753856601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75.352499155981278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0.35</v>
      </c>
      <c r="C31" s="98">
        <v>0.95</v>
      </c>
      <c r="D31" s="56">
        <v>0.46828928738985037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0.71468953462406237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0.35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0.25902579999999997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0.47842659999999998</v>
      </c>
      <c r="C38" s="98">
        <v>0.95</v>
      </c>
      <c r="D38" s="56">
        <v>4.1522441481000731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204</v>
      </c>
      <c r="B3" s="21">
        <f>frac_mam_1month * 2.6</f>
        <v>0.23364458000000002</v>
      </c>
      <c r="C3" s="21">
        <f>frac_mam_1_5months * 2.6</f>
        <v>0.23364458000000002</v>
      </c>
      <c r="D3" s="21">
        <f>frac_mam_6_11months * 2.6</f>
        <v>0.31809310000000002</v>
      </c>
      <c r="E3" s="21">
        <f>frac_mam_12_23months * 2.6</f>
        <v>0.21848034000000002</v>
      </c>
      <c r="F3" s="21">
        <f>frac_mam_24_59months * 2.6</f>
        <v>8.5790120000000011E-2</v>
      </c>
    </row>
    <row r="4" spans="1:6" ht="15.75" customHeight="1" x14ac:dyDescent="0.25">
      <c r="A4" s="3" t="s">
        <v>205</v>
      </c>
      <c r="B4" s="21">
        <f>frac_sam_1month * 2.6</f>
        <v>0.11406121999999999</v>
      </c>
      <c r="C4" s="21">
        <f>frac_sam_1_5months * 2.6</f>
        <v>0.11406121999999999</v>
      </c>
      <c r="D4" s="21">
        <f>frac_sam_6_11months * 2.6</f>
        <v>6.945380000000001E-2</v>
      </c>
      <c r="E4" s="21">
        <f>frac_sam_12_23months * 2.6</f>
        <v>4.6815860000000001E-2</v>
      </c>
      <c r="F4" s="21">
        <f>frac_sam_24_59months * 2.6</f>
        <v>5.4529799999999996E-3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0.13300000000000001</v>
      </c>
      <c r="E2" s="60">
        <f>food_insecure</f>
        <v>0.13300000000000001</v>
      </c>
      <c r="F2" s="60">
        <f>food_insecure</f>
        <v>0.13300000000000001</v>
      </c>
      <c r="G2" s="60">
        <f>food_insecure</f>
        <v>0.13300000000000001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0.13300000000000001</v>
      </c>
      <c r="F5" s="60">
        <f>food_insecure</f>
        <v>0.13300000000000001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0.13300000000000001</v>
      </c>
      <c r="F8" s="60">
        <f>food_insecure</f>
        <v>0.13300000000000001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0.13300000000000001</v>
      </c>
      <c r="F9" s="60">
        <f>food_insecure</f>
        <v>0.13300000000000001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0.13300000000000001</v>
      </c>
      <c r="I15" s="60">
        <f>food_insecure</f>
        <v>0.13300000000000001</v>
      </c>
      <c r="J15" s="60">
        <f>food_insecure</f>
        <v>0.13300000000000001</v>
      </c>
      <c r="K15" s="60">
        <f>food_insecure</f>
        <v>0.13300000000000001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0.98</v>
      </c>
      <c r="I19" s="60">
        <f>frac_malaria_risk</f>
        <v>0.98</v>
      </c>
      <c r="J19" s="60">
        <f>frac_malaria_risk</f>
        <v>0.98</v>
      </c>
      <c r="K19" s="60">
        <f>frac_malaria_risk</f>
        <v>0.98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0.53799999999999992</v>
      </c>
      <c r="M24" s="60">
        <f>famplan_unmet_need</f>
        <v>0.53799999999999992</v>
      </c>
      <c r="N24" s="60">
        <f>famplan_unmet_need</f>
        <v>0.53799999999999992</v>
      </c>
      <c r="O24" s="60">
        <f>famplan_unmet_need</f>
        <v>0.53799999999999992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0.2248261612213133</v>
      </c>
      <c r="M25" s="60">
        <f>(1-food_insecure)*(0.49)+food_insecure*(0.7)</f>
        <v>0.51793</v>
      </c>
      <c r="N25" s="60">
        <f>(1-food_insecure)*(0.49)+food_insecure*(0.7)</f>
        <v>0.51793</v>
      </c>
      <c r="O25" s="60">
        <f>(1-food_insecure)*(0.49)+food_insecure*(0.7)</f>
        <v>0.51793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9.6354069094848546E-2</v>
      </c>
      <c r="M26" s="60">
        <f>(1-food_insecure)*(0.21)+food_insecure*(0.3)</f>
        <v>0.22196999999999997</v>
      </c>
      <c r="N26" s="60">
        <f>(1-food_insecure)*(0.21)+food_insecure*(0.3)</f>
        <v>0.22196999999999997</v>
      </c>
      <c r="O26" s="60">
        <f>(1-food_insecure)*(0.21)+food_insecure*(0.3)</f>
        <v>0.22196999999999997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0.11290576821899406</v>
      </c>
      <c r="M27" s="60">
        <f>(1-food_insecure)*(0.3)</f>
        <v>0.2601</v>
      </c>
      <c r="N27" s="60">
        <f>(1-food_insecure)*(0.3)</f>
        <v>0.2601</v>
      </c>
      <c r="O27" s="60">
        <f>(1-food_insecure)*(0.3)</f>
        <v>0.2601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0.56591400146484405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0.98</v>
      </c>
      <c r="D34" s="60">
        <f t="shared" si="3"/>
        <v>0.98</v>
      </c>
      <c r="E34" s="60">
        <f t="shared" si="3"/>
        <v>0.98</v>
      </c>
      <c r="F34" s="60">
        <f t="shared" si="3"/>
        <v>0.98</v>
      </c>
      <c r="G34" s="60">
        <f t="shared" si="3"/>
        <v>0.98</v>
      </c>
      <c r="H34" s="60">
        <f t="shared" si="3"/>
        <v>0.98</v>
      </c>
      <c r="I34" s="60">
        <f t="shared" si="3"/>
        <v>0.98</v>
      </c>
      <c r="J34" s="60">
        <f t="shared" si="3"/>
        <v>0.98</v>
      </c>
      <c r="K34" s="60">
        <f t="shared" si="3"/>
        <v>0.98</v>
      </c>
      <c r="L34" s="60">
        <f t="shared" si="3"/>
        <v>0.98</v>
      </c>
      <c r="M34" s="60">
        <f t="shared" si="3"/>
        <v>0.98</v>
      </c>
      <c r="N34" s="60">
        <f t="shared" si="3"/>
        <v>0.98</v>
      </c>
      <c r="O34" s="60">
        <f t="shared" si="3"/>
        <v>0.98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28" zoomScale="70" zoomScaleNormal="70" workbookViewId="0">
      <selection activeCell="C27" sqref="C27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F51" sqref="F5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1</v>
      </c>
      <c r="M14" s="90">
        <v>1</v>
      </c>
      <c r="N14" s="90">
        <v>1</v>
      </c>
      <c r="O14" s="90">
        <v>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8">IF(C18=1,1,C18*0.9)</f>
        <v>1</v>
      </c>
      <c r="D41" s="90">
        <f t="shared" si="8"/>
        <v>1</v>
      </c>
      <c r="E41" s="90">
        <f t="shared" si="8"/>
        <v>1</v>
      </c>
      <c r="F41" s="90">
        <f t="shared" si="8"/>
        <v>1</v>
      </c>
      <c r="G41" s="90">
        <f t="shared" si="8"/>
        <v>1</v>
      </c>
      <c r="H41" s="90">
        <f t="shared" si="8"/>
        <v>1</v>
      </c>
      <c r="I41" s="90">
        <f t="shared" si="8"/>
        <v>1</v>
      </c>
      <c r="J41" s="90">
        <f t="shared" si="8"/>
        <v>1</v>
      </c>
      <c r="K41" s="90">
        <f t="shared" si="8"/>
        <v>1</v>
      </c>
      <c r="L41" s="90">
        <f t="shared" si="8"/>
        <v>1</v>
      </c>
      <c r="M41" s="90">
        <f t="shared" si="8"/>
        <v>1</v>
      </c>
      <c r="N41" s="90">
        <f t="shared" si="8"/>
        <v>1</v>
      </c>
      <c r="O41" s="90">
        <f t="shared" si="8"/>
        <v>1</v>
      </c>
    </row>
    <row r="42" spans="1:15" x14ac:dyDescent="0.25">
      <c r="B42" s="5" t="s">
        <v>173</v>
      </c>
      <c r="C42" s="90">
        <f t="shared" ref="C42:D44" si="9">IF(C19=1,1,C19*0.9)</f>
        <v>1</v>
      </c>
      <c r="D42" s="90">
        <f t="shared" si="9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9"/>
        <v>1</v>
      </c>
      <c r="D43" s="90">
        <f t="shared" si="9"/>
        <v>1</v>
      </c>
      <c r="E43" s="90">
        <f t="shared" ref="E43:O43" si="10">IF(E20=1,1,E20*0.9)</f>
        <v>1</v>
      </c>
      <c r="F43" s="90">
        <f t="shared" si="10"/>
        <v>1</v>
      </c>
      <c r="G43" s="90">
        <f t="shared" si="10"/>
        <v>1</v>
      </c>
      <c r="H43" s="90">
        <f t="shared" si="10"/>
        <v>1</v>
      </c>
      <c r="I43" s="90">
        <f t="shared" si="10"/>
        <v>1</v>
      </c>
      <c r="J43" s="90">
        <f t="shared" si="10"/>
        <v>1</v>
      </c>
      <c r="K43" s="90">
        <f t="shared" si="10"/>
        <v>1</v>
      </c>
      <c r="L43" s="90">
        <f t="shared" si="10"/>
        <v>1</v>
      </c>
      <c r="M43" s="90">
        <f t="shared" si="10"/>
        <v>1</v>
      </c>
      <c r="N43" s="90">
        <f t="shared" si="10"/>
        <v>1</v>
      </c>
      <c r="O43" s="90">
        <f t="shared" si="10"/>
        <v>1</v>
      </c>
    </row>
    <row r="44" spans="1:15" x14ac:dyDescent="0.25">
      <c r="B44" s="5" t="s">
        <v>182</v>
      </c>
      <c r="C44" s="90">
        <f t="shared" si="9"/>
        <v>1</v>
      </c>
      <c r="D44" s="90">
        <f t="shared" si="9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1">IF(E3=1,1,E3*1.05)</f>
        <v>1</v>
      </c>
      <c r="F49" s="90">
        <f t="shared" si="11"/>
        <v>1</v>
      </c>
      <c r="G49" s="90">
        <f t="shared" si="11"/>
        <v>1</v>
      </c>
      <c r="H49" s="90">
        <f t="shared" si="11"/>
        <v>1</v>
      </c>
      <c r="I49" s="90">
        <f t="shared" si="11"/>
        <v>1</v>
      </c>
      <c r="J49" s="90">
        <f t="shared" si="11"/>
        <v>1</v>
      </c>
      <c r="K49" s="90">
        <f t="shared" si="11"/>
        <v>1</v>
      </c>
      <c r="L49" s="90">
        <f t="shared" si="11"/>
        <v>1</v>
      </c>
      <c r="M49" s="90">
        <f t="shared" si="11"/>
        <v>1</v>
      </c>
      <c r="N49" s="90">
        <f t="shared" si="11"/>
        <v>1</v>
      </c>
      <c r="O49" s="90">
        <f t="shared" si="11"/>
        <v>1</v>
      </c>
    </row>
    <row r="50" spans="1:15" x14ac:dyDescent="0.25">
      <c r="B50" s="11" t="s">
        <v>175</v>
      </c>
      <c r="C50" s="90">
        <f t="shared" ref="C50:G56" si="12">IF(C4=1,1,C4*1.05)</f>
        <v>1</v>
      </c>
      <c r="D50" s="90">
        <f t="shared" si="12"/>
        <v>1</v>
      </c>
      <c r="E50" s="90">
        <f t="shared" si="12"/>
        <v>1</v>
      </c>
      <c r="F50" s="90">
        <f t="shared" si="12"/>
        <v>1</v>
      </c>
      <c r="G50" s="90">
        <f t="shared" si="12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3">IF(L4=1,1,L4*1.05)</f>
        <v>1</v>
      </c>
      <c r="M50" s="90">
        <f t="shared" si="13"/>
        <v>1</v>
      </c>
      <c r="N50" s="90">
        <f t="shared" si="13"/>
        <v>1</v>
      </c>
      <c r="O50" s="90">
        <f t="shared" si="13"/>
        <v>1</v>
      </c>
    </row>
    <row r="51" spans="1:15" x14ac:dyDescent="0.25">
      <c r="B51" s="11" t="s">
        <v>176</v>
      </c>
      <c r="C51" s="90">
        <f t="shared" si="12"/>
        <v>1</v>
      </c>
      <c r="D51" s="90">
        <f t="shared" si="12"/>
        <v>1</v>
      </c>
      <c r="E51" s="90">
        <f t="shared" si="12"/>
        <v>1</v>
      </c>
      <c r="F51" s="90">
        <f t="shared" si="12"/>
        <v>1</v>
      </c>
      <c r="G51" s="90">
        <f t="shared" si="12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3"/>
        <v>1</v>
      </c>
      <c r="M51" s="90">
        <f t="shared" si="13"/>
        <v>1</v>
      </c>
      <c r="N51" s="90">
        <f t="shared" si="13"/>
        <v>1</v>
      </c>
      <c r="O51" s="90">
        <f t="shared" si="13"/>
        <v>1</v>
      </c>
    </row>
    <row r="52" spans="1:15" x14ac:dyDescent="0.25">
      <c r="B52" s="11" t="s">
        <v>177</v>
      </c>
      <c r="C52" s="90">
        <f t="shared" si="12"/>
        <v>1</v>
      </c>
      <c r="D52" s="90">
        <f t="shared" si="12"/>
        <v>1</v>
      </c>
      <c r="E52" s="90">
        <f t="shared" si="12"/>
        <v>1</v>
      </c>
      <c r="F52" s="90">
        <f t="shared" si="12"/>
        <v>1</v>
      </c>
      <c r="G52" s="90">
        <f t="shared" si="12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3"/>
        <v>1</v>
      </c>
      <c r="M52" s="90">
        <f t="shared" si="13"/>
        <v>1</v>
      </c>
      <c r="N52" s="90">
        <f t="shared" si="13"/>
        <v>1</v>
      </c>
      <c r="O52" s="90">
        <f t="shared" si="13"/>
        <v>1</v>
      </c>
    </row>
    <row r="53" spans="1:15" x14ac:dyDescent="0.25">
      <c r="B53" s="11" t="s">
        <v>178</v>
      </c>
      <c r="C53" s="90">
        <f t="shared" si="12"/>
        <v>1</v>
      </c>
      <c r="D53" s="90">
        <f t="shared" si="12"/>
        <v>1</v>
      </c>
      <c r="E53" s="90">
        <f t="shared" si="12"/>
        <v>1</v>
      </c>
      <c r="F53" s="90">
        <f t="shared" si="12"/>
        <v>1</v>
      </c>
      <c r="G53" s="90">
        <f t="shared" si="12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3"/>
        <v>1</v>
      </c>
      <c r="M53" s="90">
        <f t="shared" si="13"/>
        <v>1</v>
      </c>
      <c r="N53" s="90">
        <f t="shared" si="13"/>
        <v>1</v>
      </c>
      <c r="O53" s="90">
        <f t="shared" si="13"/>
        <v>1</v>
      </c>
    </row>
    <row r="54" spans="1:15" x14ac:dyDescent="0.25">
      <c r="B54" s="5" t="s">
        <v>179</v>
      </c>
      <c r="C54" s="90">
        <f t="shared" si="12"/>
        <v>1</v>
      </c>
      <c r="D54" s="90">
        <f t="shared" si="12"/>
        <v>1</v>
      </c>
      <c r="E54" s="90">
        <f t="shared" si="12"/>
        <v>1</v>
      </c>
      <c r="F54" s="90">
        <f t="shared" si="12"/>
        <v>1</v>
      </c>
      <c r="G54" s="90">
        <f t="shared" si="12"/>
        <v>1</v>
      </c>
      <c r="H54" s="90">
        <f t="shared" ref="H54:K57" si="14">IF(H8=1,1,H8*1.05)</f>
        <v>1</v>
      </c>
      <c r="I54" s="90">
        <f t="shared" si="14"/>
        <v>1</v>
      </c>
      <c r="J54" s="90">
        <f t="shared" si="14"/>
        <v>1</v>
      </c>
      <c r="K54" s="90">
        <f t="shared" si="14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2"/>
        <v>1</v>
      </c>
      <c r="D55" s="90">
        <f t="shared" si="12"/>
        <v>1</v>
      </c>
      <c r="E55" s="90">
        <f t="shared" si="12"/>
        <v>1</v>
      </c>
      <c r="F55" s="90">
        <f t="shared" si="12"/>
        <v>1</v>
      </c>
      <c r="G55" s="90">
        <f t="shared" si="12"/>
        <v>1</v>
      </c>
      <c r="H55" s="90">
        <f t="shared" si="14"/>
        <v>1</v>
      </c>
      <c r="I55" s="90">
        <f t="shared" si="14"/>
        <v>1</v>
      </c>
      <c r="J55" s="90">
        <f t="shared" si="14"/>
        <v>1</v>
      </c>
      <c r="K55" s="90">
        <f t="shared" si="14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2"/>
        <v>1</v>
      </c>
      <c r="D56" s="90">
        <f t="shared" si="12"/>
        <v>1</v>
      </c>
      <c r="E56" s="90">
        <f t="shared" si="12"/>
        <v>1</v>
      </c>
      <c r="F56" s="90">
        <f t="shared" si="12"/>
        <v>1</v>
      </c>
      <c r="G56" s="90">
        <f t="shared" si="12"/>
        <v>1</v>
      </c>
      <c r="H56" s="90">
        <f t="shared" si="14"/>
        <v>1</v>
      </c>
      <c r="I56" s="90">
        <f t="shared" si="14"/>
        <v>1</v>
      </c>
      <c r="J56" s="90">
        <f t="shared" si="14"/>
        <v>1</v>
      </c>
      <c r="K56" s="90">
        <f t="shared" si="14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4"/>
        <v>1</v>
      </c>
      <c r="I57" s="90">
        <f t="shared" si="14"/>
        <v>1</v>
      </c>
      <c r="J57" s="90">
        <f t="shared" si="14"/>
        <v>1</v>
      </c>
      <c r="K57" s="90">
        <f t="shared" si="14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5">IF(C13=1,1,C13*1.05)</f>
        <v>1</v>
      </c>
      <c r="D59" s="90">
        <f t="shared" si="15"/>
        <v>1</v>
      </c>
      <c r="E59" s="90">
        <v>0.77</v>
      </c>
      <c r="F59" s="90">
        <v>0.77</v>
      </c>
      <c r="G59" s="90">
        <v>0.77</v>
      </c>
      <c r="H59" s="90">
        <f t="shared" ref="H59:O59" si="16">IF(H13=1,1,H13*1.05)</f>
        <v>1</v>
      </c>
      <c r="I59" s="90">
        <f t="shared" si="16"/>
        <v>1</v>
      </c>
      <c r="J59" s="90">
        <f t="shared" si="16"/>
        <v>1</v>
      </c>
      <c r="K59" s="90">
        <f t="shared" si="16"/>
        <v>1</v>
      </c>
      <c r="L59" s="90">
        <f t="shared" si="16"/>
        <v>1</v>
      </c>
      <c r="M59" s="90">
        <f t="shared" si="16"/>
        <v>1</v>
      </c>
      <c r="N59" s="90">
        <f t="shared" si="16"/>
        <v>1</v>
      </c>
      <c r="O59" s="90">
        <f t="shared" si="16"/>
        <v>1</v>
      </c>
    </row>
    <row r="60" spans="1:15" x14ac:dyDescent="0.25">
      <c r="B60" s="11" t="s">
        <v>189</v>
      </c>
      <c r="C60" s="90">
        <f t="shared" si="15"/>
        <v>1</v>
      </c>
      <c r="D60" s="90">
        <f t="shared" si="15"/>
        <v>1</v>
      </c>
      <c r="E60" s="90">
        <f t="shared" ref="E60:K60" si="17">IF(E14=1,1,E14*1.05)</f>
        <v>1</v>
      </c>
      <c r="F60" s="90">
        <f t="shared" si="17"/>
        <v>1</v>
      </c>
      <c r="G60" s="90">
        <f t="shared" si="17"/>
        <v>1</v>
      </c>
      <c r="H60" s="90">
        <f t="shared" si="17"/>
        <v>1</v>
      </c>
      <c r="I60" s="90">
        <f t="shared" si="17"/>
        <v>1</v>
      </c>
      <c r="J60" s="90">
        <f t="shared" si="17"/>
        <v>1</v>
      </c>
      <c r="K60" s="90">
        <f t="shared" si="17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5"/>
        <v>1</v>
      </c>
      <c r="D61" s="90">
        <f t="shared" si="15"/>
        <v>1</v>
      </c>
      <c r="E61" s="90">
        <v>0.44</v>
      </c>
      <c r="F61" s="90">
        <v>0.44</v>
      </c>
      <c r="G61" s="90">
        <f t="shared" ref="G61:O61" si="18">IF(G15=1,1,G15*1.05)</f>
        <v>1</v>
      </c>
      <c r="H61" s="90">
        <f t="shared" si="18"/>
        <v>1</v>
      </c>
      <c r="I61" s="90">
        <f t="shared" si="18"/>
        <v>1</v>
      </c>
      <c r="J61" s="90">
        <f t="shared" si="18"/>
        <v>1</v>
      </c>
      <c r="K61" s="90">
        <f t="shared" si="18"/>
        <v>1</v>
      </c>
      <c r="L61" s="90">
        <f t="shared" si="18"/>
        <v>1</v>
      </c>
      <c r="M61" s="90">
        <f t="shared" si="18"/>
        <v>1</v>
      </c>
      <c r="N61" s="90">
        <f t="shared" si="18"/>
        <v>1</v>
      </c>
      <c r="O61" s="90">
        <f t="shared" si="18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19">IF(C18=1,1,C18*1.05)</f>
        <v>1</v>
      </c>
      <c r="D64" s="90">
        <f t="shared" si="19"/>
        <v>1</v>
      </c>
      <c r="E64" s="90">
        <f t="shared" si="19"/>
        <v>1</v>
      </c>
      <c r="F64" s="90">
        <f t="shared" si="19"/>
        <v>1</v>
      </c>
      <c r="G64" s="90">
        <f t="shared" si="19"/>
        <v>1</v>
      </c>
      <c r="H64" s="90">
        <f t="shared" si="19"/>
        <v>1</v>
      </c>
      <c r="I64" s="90">
        <f t="shared" si="19"/>
        <v>1</v>
      </c>
      <c r="J64" s="90">
        <f t="shared" si="19"/>
        <v>1</v>
      </c>
      <c r="K64" s="90">
        <f t="shared" si="19"/>
        <v>1</v>
      </c>
      <c r="L64" s="90">
        <f t="shared" si="19"/>
        <v>1</v>
      </c>
      <c r="M64" s="90">
        <f t="shared" si="19"/>
        <v>1</v>
      </c>
      <c r="N64" s="90">
        <f t="shared" si="19"/>
        <v>1</v>
      </c>
      <c r="O64" s="90">
        <f t="shared" si="19"/>
        <v>1</v>
      </c>
    </row>
    <row r="65" spans="2:15" x14ac:dyDescent="0.25">
      <c r="B65" s="5" t="s">
        <v>173</v>
      </c>
      <c r="C65" s="90">
        <f t="shared" ref="C65:D67" si="20">IF(C19=1,1,C19*1.05)</f>
        <v>1</v>
      </c>
      <c r="D65" s="90">
        <f t="shared" si="20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0"/>
        <v>1</v>
      </c>
      <c r="D66" s="90">
        <f t="shared" si="20"/>
        <v>1</v>
      </c>
      <c r="E66" s="90">
        <f t="shared" ref="E66:O66" si="21">IF(E20=1,1,E20*1.05)</f>
        <v>1</v>
      </c>
      <c r="F66" s="90">
        <f t="shared" si="21"/>
        <v>1</v>
      </c>
      <c r="G66" s="90">
        <f t="shared" si="21"/>
        <v>1</v>
      </c>
      <c r="H66" s="90">
        <f t="shared" si="21"/>
        <v>1</v>
      </c>
      <c r="I66" s="90">
        <f t="shared" si="21"/>
        <v>1</v>
      </c>
      <c r="J66" s="90">
        <f t="shared" si="21"/>
        <v>1</v>
      </c>
      <c r="K66" s="90">
        <f t="shared" si="21"/>
        <v>1</v>
      </c>
      <c r="L66" s="90">
        <f t="shared" si="21"/>
        <v>1</v>
      </c>
      <c r="M66" s="90">
        <f t="shared" si="21"/>
        <v>1</v>
      </c>
      <c r="N66" s="90">
        <f t="shared" si="21"/>
        <v>1</v>
      </c>
      <c r="O66" s="90">
        <f t="shared" si="21"/>
        <v>1</v>
      </c>
    </row>
    <row r="67" spans="2:15" x14ac:dyDescent="0.25">
      <c r="B67" s="5" t="s">
        <v>182</v>
      </c>
      <c r="C67" s="90">
        <f t="shared" si="20"/>
        <v>1</v>
      </c>
      <c r="D67" s="90">
        <f t="shared" si="20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6" ma:contentTypeDescription="Create a new document." ma:contentTypeScope="" ma:versionID="107b52809c0cc4b5077f1ac81d3c69cc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82b7e1b740270cfb0676be859a78f3d0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80F35E-9680-4455-9404-11723C50AF70}"/>
</file>

<file path=customXml/itemProps2.xml><?xml version="1.0" encoding="utf-8"?>
<ds:datastoreItem xmlns:ds="http://schemas.openxmlformats.org/officeDocument/2006/customXml" ds:itemID="{3A6DAEFF-FE41-4494-AE48-54B9DF2BBE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2024-04-11T00:40:37Z</dcterms:modified>
</cp:coreProperties>
</file>