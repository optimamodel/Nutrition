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E03E190-E575-4B45-B6E2-A28A8B386557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<sst xmlns="http://schemas.openxmlformats.org/spreadsheetml/2006/main" count="2159" uniqueCount="372">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</sst>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4249501</v>
      </c>
    </row>
    <row r="8" spans="1:3" ht="15" customHeight="1" x14ac:dyDescent="0.25">
      <c r="B8" s="5" t="s">
        <v>8</v>
      </c>
      <c r="C8" s="44">
        <v>0.38300000000000001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0.51394300000000004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9">
        <v>3.0900048109988299E-2</v>
      </c>
    </row>
    <row r="31" spans="1:3" ht="14.25" customHeight="1" x14ac:dyDescent="0.25">
      <c r="B31" s="25" t="s">
        <v>28</v>
      </c>
      <c r="C31" s="99">
        <v>6.9419093990287797E-2</v>
      </c>
    </row>
    <row r="32" spans="1:3" ht="14.25" customHeight="1" x14ac:dyDescent="0.25">
      <c r="B32" s="25" t="s">
        <v>29</v>
      </c>
      <c r="C32" s="99">
        <v>0.62821645064032094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2.4180000000000001</v>
      </c>
      <c r="D51" s="12"/>
    </row>
    <row r="52" spans="1:4" ht="15" customHeight="1" x14ac:dyDescent="0.25">
      <c r="B52" s="11" t="s">
        <v>46</v>
      </c>
      <c r="C52" s="100">
        <v>2.4180000000000001</v>
      </c>
    </row>
    <row r="53" spans="1:4" ht="15.75" customHeight="1" x14ac:dyDescent="0.25">
      <c r="B53" s="11" t="s">
        <v>47</v>
      </c>
      <c r="C53" s="100">
        <v>4.3680000000000003</v>
      </c>
    </row>
    <row r="54" spans="1:4" ht="15.75" customHeight="1" x14ac:dyDescent="0.25">
      <c r="B54" s="11" t="s">
        <v>48</v>
      </c>
      <c r="C54" s="100">
        <v>4.992</v>
      </c>
    </row>
    <row r="55" spans="1:4" ht="15.75" customHeight="1" x14ac:dyDescent="0.25">
      <c r="B55" s="11" t="s">
        <v>49</v>
      </c>
      <c r="C55" s="100">
        <v>2.6173333333333328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101">
        <v>6.0587099999999838E-2</v>
      </c>
    </row>
    <row r="5" spans="1:8" ht="15.75" customHeight="1" x14ac:dyDescent="0.25">
      <c r="B5" s="19" t="s">
        <v>70</v>
      </c>
      <c r="C5" s="101">
        <v>8.0444099999999921E-2</v>
      </c>
    </row>
    <row r="6" spans="1:8" ht="15.75" customHeight="1" x14ac:dyDescent="0.25">
      <c r="B6" s="19" t="s">
        <v>71</v>
      </c>
      <c r="C6" s="101">
        <v>0.24506110000000039</v>
      </c>
    </row>
    <row r="7" spans="1:8" ht="15.75" customHeight="1" x14ac:dyDescent="0.25">
      <c r="B7" s="19" t="s">
        <v>72</v>
      </c>
      <c r="C7" s="101">
        <v>0.41408430000000013</v>
      </c>
    </row>
    <row r="8" spans="1:8" ht="15.75" customHeight="1" x14ac:dyDescent="0.25">
      <c r="B8" s="19" t="s">
        <v>73</v>
      </c>
      <c r="C8" s="101">
        <v>1.210499999999998E-3</v>
      </c>
    </row>
    <row r="9" spans="1:8" ht="15.75" customHeight="1" x14ac:dyDescent="0.25">
      <c r="B9" s="19" t="s">
        <v>74</v>
      </c>
      <c r="C9" s="101">
        <v>7.320219999999994E-2</v>
      </c>
    </row>
    <row r="10" spans="1:8" ht="15.75" customHeight="1" x14ac:dyDescent="0.25">
      <c r="B10" s="19" t="s">
        <v>75</v>
      </c>
      <c r="C10" s="101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83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84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85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86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87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89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101">
        <v>4.9825570000000003E-3</v>
      </c>
    </row>
    <row r="28" spans="1:8" ht="15.75" customHeight="1" x14ac:dyDescent="0.25">
      <c r="B28" s="19" t="s">
        <v>93</v>
      </c>
      <c r="C28" s="101">
        <v>0.12458364500000001</v>
      </c>
    </row>
    <row r="29" spans="1:8" ht="15.75" customHeight="1" x14ac:dyDescent="0.25">
      <c r="B29" s="19" t="s">
        <v>94</v>
      </c>
      <c r="C29" s="101">
        <v>0.123203627</v>
      </c>
    </row>
    <row r="30" spans="1:8" ht="15.75" customHeight="1" x14ac:dyDescent="0.25">
      <c r="B30" s="19" t="s">
        <v>95</v>
      </c>
      <c r="C30" s="101">
        <v>8.5390918999999996E-2</v>
      </c>
    </row>
    <row r="31" spans="1:8" ht="15.75" customHeight="1" x14ac:dyDescent="0.25">
      <c r="B31" s="19" t="s">
        <v>96</v>
      </c>
      <c r="C31" s="101">
        <v>0.13704649199999999</v>
      </c>
    </row>
    <row r="32" spans="1:8" ht="15.75" customHeight="1" x14ac:dyDescent="0.25">
      <c r="B32" s="19" t="s">
        <v>97</v>
      </c>
      <c r="C32" s="101">
        <v>1.3877614E-2</v>
      </c>
    </row>
    <row r="33" spans="2:3" ht="15.75" customHeight="1" x14ac:dyDescent="0.25">
      <c r="B33" s="19" t="s">
        <v>98</v>
      </c>
      <c r="C33" s="101">
        <v>0.162878947</v>
      </c>
    </row>
    <row r="34" spans="2:3" ht="15.75" customHeight="1" x14ac:dyDescent="0.25">
      <c r="B34" s="19" t="s">
        <v>99</v>
      </c>
      <c r="C34" s="101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2203.5589351830299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0.43444000000000005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0.67138000000000009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1.8898219911506978E-2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95359.817079999993</v>
      </c>
      <c r="C22" s="109">
        <v>94789.126390000005</v>
      </c>
      <c r="D22" s="109">
        <v>94341.435490000003</v>
      </c>
      <c r="E22" s="109">
        <v>93747.501260000005</v>
      </c>
      <c r="F22" s="109">
        <v>92936.389540000004</v>
      </c>
      <c r="G22" s="109">
        <v>91950.157709999999</v>
      </c>
      <c r="H22" s="109">
        <v>90634.840890000007</v>
      </c>
      <c r="I22" s="109">
        <v>88818.978730000003</v>
      </c>
      <c r="J22" s="109">
        <v>86286.058080000003</v>
      </c>
      <c r="K22" s="109">
        <v>82950.622090000004</v>
      </c>
      <c r="L22" s="109">
        <v>78448.747640000001</v>
      </c>
      <c r="M22" s="109">
        <v>72602.058780000007</v>
      </c>
      <c r="N22" s="109">
        <v>64679.092329999999</v>
      </c>
      <c r="O22" s="109">
        <v>54745.002439999997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7.7133394664213428E-2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0.5936245</v>
      </c>
      <c r="C10" s="98">
        <v>0.95</v>
      </c>
      <c r="D10" s="56">
        <v>13.61384665422082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13.61384665422082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13.61384665422082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13.61384665422082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0.5936245</v>
      </c>
      <c r="C14" s="98">
        <v>0.95</v>
      </c>
      <c r="D14" s="56">
        <v>13.61384665422082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13.61384665422082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0.79167399999999999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0.28066999999999998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0.38182569999999999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0.7480929999999999</v>
      </c>
      <c r="C23" s="98">
        <v>0.95</v>
      </c>
      <c r="D23" s="56">
        <v>4.5073761426825563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0.58759262855713601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0.5936245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0.47842659999999998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0.25902579999999997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0.41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0.41689387992765697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0.23128789999999999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3.4973999999999999E-3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0.5667259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0.24299999999999999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2.4180000000000001</v>
      </c>
      <c r="C2" s="21">
        <f>'Baseline year population inputs'!C52</f>
        <v>2.4180000000000001</v>
      </c>
      <c r="D2" s="21">
        <f>'Baseline year population inputs'!C53</f>
        <v>4.3680000000000003</v>
      </c>
      <c r="E2" s="21">
        <f>'Baseline year population inputs'!C54</f>
        <v>4.992</v>
      </c>
      <c r="F2" s="21">
        <f>'Baseline year population inputs'!C55</f>
        <v>2.6173333333333328</v>
      </c>
    </row>
    <row r="3" spans="1:6" ht="15.75" customHeight="1" x14ac:dyDescent="0.25">
      <c r="A3" s="3" t="s">
        <v>197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198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