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535D3A0-A5A7-4902-ADC0-CE88802C8966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3" i="2"/>
  <c r="A32" i="2"/>
  <c r="A31" i="2"/>
  <c r="A28" i="2"/>
  <c r="A27" i="2"/>
  <c r="A26" i="2"/>
  <c r="A25" i="2"/>
  <c r="A24" i="2"/>
  <c r="A23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<sst xmlns="http://schemas.openxmlformats.org/spreadsheetml/2006/main" count="2101" uniqueCount="341">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</sst>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239831.673828125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6.1434500000000017E-2</v>
      </c>
    </row>
    <row r="5" spans="1:8" ht="15.75" customHeight="1" x14ac:dyDescent="0.25">
      <c r="B5" s="19" t="s">
        <v>70</v>
      </c>
      <c r="C5" s="101">
        <v>3.080959999999993E-2</v>
      </c>
    </row>
    <row r="6" spans="1:8" ht="15.75" customHeight="1" x14ac:dyDescent="0.25">
      <c r="B6" s="19" t="s">
        <v>71</v>
      </c>
      <c r="C6" s="101">
        <v>0.15788579999999999</v>
      </c>
    </row>
    <row r="7" spans="1:8" ht="15.75" customHeight="1" x14ac:dyDescent="0.25">
      <c r="B7" s="19" t="s">
        <v>72</v>
      </c>
      <c r="C7" s="101">
        <v>0.42719720000000078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0.24526179999999931</v>
      </c>
    </row>
    <row r="10" spans="1:8" ht="15.75" customHeight="1" x14ac:dyDescent="0.25">
      <c r="B10" s="19" t="s">
        <v>75</v>
      </c>
      <c r="C10" s="101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83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87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89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101">
        <v>3.0268353000000001E-2</v>
      </c>
    </row>
    <row r="28" spans="1:8" ht="15.75" customHeight="1" x14ac:dyDescent="0.25">
      <c r="B28" s="19" t="s">
        <v>93</v>
      </c>
      <c r="C28" s="101">
        <v>4.2532465999999998E-2</v>
      </c>
    </row>
    <row r="29" spans="1:8" ht="15.75" customHeight="1" x14ac:dyDescent="0.25">
      <c r="B29" s="19" t="s">
        <v>94</v>
      </c>
      <c r="C29" s="101">
        <v>0.11442039499999999</v>
      </c>
    </row>
    <row r="30" spans="1:8" ht="15.75" customHeight="1" x14ac:dyDescent="0.25">
      <c r="B30" s="19" t="s">
        <v>95</v>
      </c>
      <c r="C30" s="101">
        <v>6.6051589999999993E-2</v>
      </c>
    </row>
    <row r="31" spans="1:8" ht="15.75" customHeight="1" x14ac:dyDescent="0.25">
      <c r="B31" s="19" t="s">
        <v>96</v>
      </c>
      <c r="C31" s="101">
        <v>4.992891800000001E-2</v>
      </c>
    </row>
    <row r="32" spans="1:8" ht="15.75" customHeight="1" x14ac:dyDescent="0.25">
      <c r="B32" s="19" t="s">
        <v>97</v>
      </c>
      <c r="C32" s="101">
        <v>0.10155209799999999</v>
      </c>
    </row>
    <row r="33" spans="2:3" ht="15.75" customHeight="1" x14ac:dyDescent="0.25">
      <c r="B33" s="19" t="s">
        <v>98</v>
      </c>
      <c r="C33" s="101">
        <v>0.24299047300000001</v>
      </c>
    </row>
    <row r="34" spans="2:3" ht="15.75" customHeight="1" x14ac:dyDescent="0.25">
      <c r="B34" s="19" t="s">
        <v>99</v>
      </c>
      <c r="C34" s="101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56.254705436031671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39.840352237471023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386.57856933182762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4.1173102961713033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12.97265168126693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12.97265168126693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12.97265168126693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12.97265168126693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12.97265168126693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12.97265168126693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0.67941748116227962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0.182699</v>
      </c>
      <c r="C18" s="98">
        <v>0.95</v>
      </c>
      <c r="D18" s="56">
        <v>8.9203956176994357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0.182699</v>
      </c>
      <c r="C19" s="98">
        <v>0.95</v>
      </c>
      <c r="D19" s="56">
        <v>8.9203956176994357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44.23052776081574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22.365929113311349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4.2546328106455702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0.71086051360217994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18.548511011776839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0.42392999999999997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0.49874190000000002</v>
      </c>
      <c r="C29" s="98">
        <v>0.95</v>
      </c>
      <c r="D29" s="56">
        <v>109.5975303040908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0.66646007760184001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1.454747276626283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0.91757350000000004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0.28326289999999998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3.0968200000000001E-2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0.84712010000000004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0.10861270000000001</v>
      </c>
      <c r="C38" s="98">
        <v>0.95</v>
      </c>
      <c r="D38" s="56">
        <v>1.036071241780949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0.10991327172937071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0.10951023062684473</v>
      </c>
      <c r="G20" s="90">
        <f>MIN(MAX(1-0.89/(1-frac_mam_12_23months+(frac_mam_12_23months*0.89)),0),1)</f>
        <v>0.10974475046612986</v>
      </c>
      <c r="H20" s="90">
        <f>MIN(MAX(1-0.89/(1-frac_mam_24_59months+(frac_mam_24_59months*0.89)),0),1)</f>
        <v>0.10994763020861376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9.991230502319759E-3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9.9504975248763117E-3</v>
      </c>
      <c r="G75" s="90">
        <f>MIN(MAX(1-0.99/(1-frac_mam_12_23months+(frac_mam_12_23months*0.99)),0),1)</f>
        <v>9.974194977392159E-3</v>
      </c>
      <c r="H75" s="90">
        <f>MIN(MAX(1-0.99/(1-frac_mam_24_59months+(frac_mam_24_59months*0.99)),0),1)</f>
        <v>9.9947044616741643E-3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0.19985824688701848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0.19919919919919915</v>
      </c>
      <c r="G130" s="90">
        <f>MIN(MAX(1-0.8/(1-frac_mam_12_23months+(frac_mam_12_23months*0.8)),0),1)</f>
        <v>0.19958274248365671</v>
      </c>
      <c r="H130" s="90">
        <f>MIN(MAX(1-0.8/(1-frac_mam_24_59months+(frac_mam_24_59months*0.8)),0),1)</f>
        <v>0.19991440684324402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2024-08-06T06:31:29Z</dcterms:modified>
</cp:coreProperties>
</file>