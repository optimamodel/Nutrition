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84B15C5-694A-4F7A-A097-C4C64099D53B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40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<sst xmlns="http://schemas.openxmlformats.org/spreadsheetml/2006/main" count="2092" uniqueCount="341">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</sst>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239831.673828125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0.98864250183105495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0.1278</v>
      </c>
    </row>
    <row r="24" spans="1:3" ht="15" customHeight="1" x14ac:dyDescent="0.25">
      <c r="B24" s="15" t="s">
        <v>22</v>
      </c>
      <c r="C24" s="45">
        <v>0.60719999999999996</v>
      </c>
    </row>
    <row r="25" spans="1:3" ht="15" customHeight="1" x14ac:dyDescent="0.25">
      <c r="B25" s="15" t="s">
        <v>23</v>
      </c>
      <c r="C25" s="45">
        <v>0.2432</v>
      </c>
    </row>
    <row r="26" spans="1:3" ht="15" customHeight="1" x14ac:dyDescent="0.25">
      <c r="B26" s="15" t="s">
        <v>24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5.4023899999999996</v>
      </c>
    </row>
    <row r="38" spans="1:5" ht="15" customHeight="1" x14ac:dyDescent="0.25">
      <c r="B38" s="11" t="s">
        <v>34</v>
      </c>
      <c r="C38" s="43">
        <v>8.4329999999999998</v>
      </c>
      <c r="D38" s="12"/>
      <c r="E38" s="13"/>
    </row>
    <row r="39" spans="1:5" ht="15" customHeight="1" x14ac:dyDescent="0.25">
      <c r="B39" s="11" t="s">
        <v>35</v>
      </c>
      <c r="C39" s="43">
        <v>9.4797799999999999</v>
      </c>
      <c r="D39" s="12"/>
      <c r="E39" s="12"/>
    </row>
    <row r="40" spans="1:5" ht="15" customHeight="1" x14ac:dyDescent="0.25">
      <c r="B40" s="11" t="s">
        <v>36</v>
      </c>
      <c r="C40" s="100">
        <v>0.28000000000000003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6.6381999999999986E-3</v>
      </c>
      <c r="D45" s="12"/>
    </row>
    <row r="46" spans="1:5" ht="15.75" customHeight="1" x14ac:dyDescent="0.25">
      <c r="B46" s="11" t="s">
        <v>41</v>
      </c>
      <c r="C46" s="45">
        <v>7.1327000000000002E-2</v>
      </c>
      <c r="D46" s="12"/>
    </row>
    <row r="47" spans="1:5" ht="15.75" customHeight="1" x14ac:dyDescent="0.25">
      <c r="B47" s="11" t="s">
        <v>42</v>
      </c>
      <c r="C47" s="45">
        <v>7.4688299999999999E-2</v>
      </c>
      <c r="D47" s="12"/>
      <c r="E47" s="13"/>
    </row>
    <row r="48" spans="1:5" ht="15" customHeight="1" x14ac:dyDescent="0.25">
      <c r="B48" s="11" t="s">
        <v>43</v>
      </c>
      <c r="C48" s="46">
        <v>0.8473465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0.61720999999999993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41852.434000000008</v>
      </c>
      <c r="C2" s="49">
        <v>106000</v>
      </c>
      <c r="D2" s="49">
        <v>193000</v>
      </c>
      <c r="E2" s="49">
        <v>253000</v>
      </c>
      <c r="F2" s="49">
        <v>253000</v>
      </c>
      <c r="G2" s="17">
        <f t="shared" ref="G2:G13" si="0">C2+D2+E2+F2</f>
        <v>805000</v>
      </c>
      <c r="H2" s="17">
        <f t="shared" ref="H2:H13" si="1">(B2 + stillbirth*B2/(1000-stillbirth))/(1-abortion)</f>
        <v>47830.963104585215</v>
      </c>
      <c r="I2" s="17">
        <f t="shared" ref="I2:I13" si="2">G2-H2</f>
        <v>757169.03689541481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40943.156000000003</v>
      </c>
      <c r="C3" s="50">
        <v>110000</v>
      </c>
      <c r="D3" s="50">
        <v>188000</v>
      </c>
      <c r="E3" s="50">
        <v>250000</v>
      </c>
      <c r="F3" s="50">
        <v>252000</v>
      </c>
      <c r="G3" s="17">
        <f t="shared" si="0"/>
        <v>800000</v>
      </c>
      <c r="H3" s="17">
        <f t="shared" si="1"/>
        <v>46791.796721339473</v>
      </c>
      <c r="I3" s="17">
        <f t="shared" si="2"/>
        <v>753208.20327866054</v>
      </c>
    </row>
    <row r="4" spans="1:9" ht="15.75" customHeight="1" x14ac:dyDescent="0.25">
      <c r="A4" s="5">
        <f t="shared" si="3"/>
        <v>2026</v>
      </c>
      <c r="B4" s="49">
        <v>40478.227200000001</v>
      </c>
      <c r="C4" s="50">
        <v>113000</v>
      </c>
      <c r="D4" s="50">
        <v>184000</v>
      </c>
      <c r="E4" s="50">
        <v>244000</v>
      </c>
      <c r="F4" s="50">
        <v>251000</v>
      </c>
      <c r="G4" s="17">
        <f t="shared" si="0"/>
        <v>792000</v>
      </c>
      <c r="H4" s="17">
        <f t="shared" si="1"/>
        <v>46260.453854182466</v>
      </c>
      <c r="I4" s="17">
        <f t="shared" si="2"/>
        <v>745739.5461458175</v>
      </c>
    </row>
    <row r="5" spans="1:9" ht="15.75" customHeight="1" x14ac:dyDescent="0.25">
      <c r="A5" s="5">
        <f t="shared" si="3"/>
        <v>2027</v>
      </c>
      <c r="B5" s="49">
        <v>40015.752399999998</v>
      </c>
      <c r="C5" s="50">
        <v>117000</v>
      </c>
      <c r="D5" s="50">
        <v>184000</v>
      </c>
      <c r="E5" s="50">
        <v>237000</v>
      </c>
      <c r="F5" s="50">
        <v>250000</v>
      </c>
      <c r="G5" s="17">
        <f t="shared" si="0"/>
        <v>788000</v>
      </c>
      <c r="H5" s="17">
        <f t="shared" si="1"/>
        <v>45731.91553558431</v>
      </c>
      <c r="I5" s="17">
        <f t="shared" si="2"/>
        <v>742268.08446441568</v>
      </c>
    </row>
    <row r="6" spans="1:9" ht="15.75" customHeight="1" x14ac:dyDescent="0.25">
      <c r="A6" s="5">
        <f t="shared" si="3"/>
        <v>2028</v>
      </c>
      <c r="B6" s="49">
        <v>39544.701000000008</v>
      </c>
      <c r="C6" s="50">
        <v>119000</v>
      </c>
      <c r="D6" s="50">
        <v>185000</v>
      </c>
      <c r="E6" s="50">
        <v>230000</v>
      </c>
      <c r="F6" s="50">
        <v>250000</v>
      </c>
      <c r="G6" s="17">
        <f t="shared" si="0"/>
        <v>784000</v>
      </c>
      <c r="H6" s="17">
        <f t="shared" si="1"/>
        <v>45193.575468343224</v>
      </c>
      <c r="I6" s="17">
        <f t="shared" si="2"/>
        <v>738806.42453165678</v>
      </c>
    </row>
    <row r="7" spans="1:9" ht="15.75" customHeight="1" x14ac:dyDescent="0.25">
      <c r="A7" s="5">
        <f t="shared" si="3"/>
        <v>2029</v>
      </c>
      <c r="B7" s="49">
        <v>39076.267200000009</v>
      </c>
      <c r="C7" s="50">
        <v>121000</v>
      </c>
      <c r="D7" s="50">
        <v>187000</v>
      </c>
      <c r="E7" s="50">
        <v>221000</v>
      </c>
      <c r="F7" s="50">
        <v>250000</v>
      </c>
      <c r="G7" s="17">
        <f t="shared" si="0"/>
        <v>779000</v>
      </c>
      <c r="H7" s="17">
        <f t="shared" si="1"/>
        <v>44658.226919564906</v>
      </c>
      <c r="I7" s="17">
        <f t="shared" si="2"/>
        <v>734341.77308043512</v>
      </c>
    </row>
    <row r="8" spans="1:9" ht="15.75" customHeight="1" x14ac:dyDescent="0.25">
      <c r="A8" s="5">
        <f t="shared" si="3"/>
        <v>2030</v>
      </c>
      <c r="B8" s="49">
        <v>38599.584000000003</v>
      </c>
      <c r="C8" s="50">
        <v>122000</v>
      </c>
      <c r="D8" s="50">
        <v>192000</v>
      </c>
      <c r="E8" s="50">
        <v>213000</v>
      </c>
      <c r="F8" s="50">
        <v>249000</v>
      </c>
      <c r="G8" s="17">
        <f t="shared" si="0"/>
        <v>776000</v>
      </c>
      <c r="H8" s="17">
        <f t="shared" si="1"/>
        <v>44113.450561951489</v>
      </c>
      <c r="I8" s="17">
        <f t="shared" si="2"/>
        <v>731886.5494380485</v>
      </c>
    </row>
    <row r="9" spans="1:9" ht="15.75" customHeight="1" x14ac:dyDescent="0.25">
      <c r="A9" s="5">
        <f t="shared" si="3"/>
        <v>2031</v>
      </c>
      <c r="B9" s="49">
        <v>38134.891142857137</v>
      </c>
      <c r="C9" s="50">
        <v>124285.7142857143</v>
      </c>
      <c r="D9" s="50">
        <v>191857.1428571429</v>
      </c>
      <c r="E9" s="50">
        <v>207285.71428571429</v>
      </c>
      <c r="F9" s="50">
        <v>248428.57142857139</v>
      </c>
      <c r="G9" s="17">
        <f t="shared" si="0"/>
        <v>771857.14285714284</v>
      </c>
      <c r="H9" s="17">
        <f t="shared" si="1"/>
        <v>43582.377341575237</v>
      </c>
      <c r="I9" s="17">
        <f t="shared" si="2"/>
        <v>728274.76551556762</v>
      </c>
    </row>
    <row r="10" spans="1:9" ht="15.75" customHeight="1" x14ac:dyDescent="0.25">
      <c r="A10" s="5">
        <f t="shared" si="3"/>
        <v>2032</v>
      </c>
      <c r="B10" s="49">
        <v>37733.710448979597</v>
      </c>
      <c r="C10" s="50">
        <v>126326.5306122449</v>
      </c>
      <c r="D10" s="50">
        <v>192408.1632653061</v>
      </c>
      <c r="E10" s="50">
        <v>201183.67346938781</v>
      </c>
      <c r="F10" s="50">
        <v>247918.36734693879</v>
      </c>
      <c r="G10" s="17">
        <f t="shared" si="0"/>
        <v>767836.73469387763</v>
      </c>
      <c r="H10" s="17">
        <f t="shared" si="1"/>
        <v>43123.888858751779</v>
      </c>
      <c r="I10" s="17">
        <f t="shared" si="2"/>
        <v>724712.84583512589</v>
      </c>
    </row>
    <row r="11" spans="1:9" ht="15.75" customHeight="1" x14ac:dyDescent="0.25">
      <c r="A11" s="5">
        <f t="shared" si="3"/>
        <v>2033</v>
      </c>
      <c r="B11" s="49">
        <v>37341.636627405263</v>
      </c>
      <c r="C11" s="50">
        <v>128230.32069970841</v>
      </c>
      <c r="D11" s="50">
        <v>193609.3294460641</v>
      </c>
      <c r="E11" s="50">
        <v>195067.05539358599</v>
      </c>
      <c r="F11" s="50">
        <v>247478.13411078721</v>
      </c>
      <c r="G11" s="17">
        <f t="shared" si="0"/>
        <v>764384.83965014573</v>
      </c>
      <c r="H11" s="17">
        <f t="shared" si="1"/>
        <v>42675.808145118841</v>
      </c>
      <c r="I11" s="17">
        <f t="shared" si="2"/>
        <v>721709.03150502685</v>
      </c>
    </row>
    <row r="12" spans="1:9" ht="15.75" customHeight="1" x14ac:dyDescent="0.25">
      <c r="A12" s="5">
        <f t="shared" si="3"/>
        <v>2034</v>
      </c>
      <c r="B12" s="49">
        <v>36959.620088463147</v>
      </c>
      <c r="C12" s="50">
        <v>129834.65222823821</v>
      </c>
      <c r="D12" s="50">
        <v>194982.09079550189</v>
      </c>
      <c r="E12" s="50">
        <v>189076.63473552681</v>
      </c>
      <c r="F12" s="50">
        <v>247117.86755518531</v>
      </c>
      <c r="G12" s="17">
        <f t="shared" si="0"/>
        <v>761011.24531445222</v>
      </c>
      <c r="H12" s="17">
        <f t="shared" si="1"/>
        <v>42239.22137505233</v>
      </c>
      <c r="I12" s="17">
        <f t="shared" si="2"/>
        <v>718772.02393939986</v>
      </c>
    </row>
    <row r="13" spans="1:9" ht="15.75" customHeight="1" x14ac:dyDescent="0.25">
      <c r="A13" s="5">
        <f t="shared" si="3"/>
        <v>2035</v>
      </c>
      <c r="B13" s="49">
        <v>36590.322815386447</v>
      </c>
      <c r="C13" s="50">
        <v>131382.45968941509</v>
      </c>
      <c r="D13" s="50">
        <v>196408.10376628791</v>
      </c>
      <c r="E13" s="50">
        <v>183230.43969774499</v>
      </c>
      <c r="F13" s="50">
        <v>246706.13434878321</v>
      </c>
      <c r="G13" s="17">
        <f t="shared" si="0"/>
        <v>757727.13750223117</v>
      </c>
      <c r="H13" s="17">
        <f t="shared" si="1"/>
        <v>41817.170790296484</v>
      </c>
      <c r="I13" s="17">
        <f t="shared" si="2"/>
        <v>715909.96671193466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6.1434500000000017E-2</v>
      </c>
    </row>
    <row r="5" spans="1:8" ht="15.75" customHeight="1" x14ac:dyDescent="0.25">
      <c r="B5" s="19" t="s">
        <v>70</v>
      </c>
      <c r="C5" s="101">
        <v>3.080959999999993E-2</v>
      </c>
    </row>
    <row r="6" spans="1:8" ht="15.75" customHeight="1" x14ac:dyDescent="0.25">
      <c r="B6" s="19" t="s">
        <v>71</v>
      </c>
      <c r="C6" s="101">
        <v>0.15788579999999999</v>
      </c>
    </row>
    <row r="7" spans="1:8" ht="15.75" customHeight="1" x14ac:dyDescent="0.25">
      <c r="B7" s="19" t="s">
        <v>72</v>
      </c>
      <c r="C7" s="101">
        <v>0.42719720000000078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0.24526179999999931</v>
      </c>
    </row>
    <row r="10" spans="1:8" ht="15.75" customHeight="1" x14ac:dyDescent="0.25">
      <c r="B10" s="19" t="s">
        <v>75</v>
      </c>
      <c r="C10" s="101">
        <v>7.7411100000000052E-2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82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83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87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88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89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3.5118521999999999E-2</v>
      </c>
    </row>
    <row r="27" spans="1:8" ht="15.75" customHeight="1" x14ac:dyDescent="0.25">
      <c r="B27" s="19" t="s">
        <v>92</v>
      </c>
      <c r="C27" s="101">
        <v>3.0268353000000001E-2</v>
      </c>
    </row>
    <row r="28" spans="1:8" ht="15.75" customHeight="1" x14ac:dyDescent="0.25">
      <c r="B28" s="19" t="s">
        <v>93</v>
      </c>
      <c r="C28" s="101">
        <v>4.2532465999999998E-2</v>
      </c>
    </row>
    <row r="29" spans="1:8" ht="15.75" customHeight="1" x14ac:dyDescent="0.25">
      <c r="B29" s="19" t="s">
        <v>94</v>
      </c>
      <c r="C29" s="101">
        <v>0.11442039499999999</v>
      </c>
    </row>
    <row r="30" spans="1:8" ht="15.75" customHeight="1" x14ac:dyDescent="0.25">
      <c r="B30" s="19" t="s">
        <v>95</v>
      </c>
      <c r="C30" s="101">
        <v>6.6051589999999993E-2</v>
      </c>
    </row>
    <row r="31" spans="1:8" ht="15.75" customHeight="1" x14ac:dyDescent="0.25">
      <c r="B31" s="19" t="s">
        <v>96</v>
      </c>
      <c r="C31" s="101">
        <v>4.992891800000001E-2</v>
      </c>
    </row>
    <row r="32" spans="1:8" ht="15.75" customHeight="1" x14ac:dyDescent="0.25">
      <c r="B32" s="19" t="s">
        <v>97</v>
      </c>
      <c r="C32" s="101">
        <v>0.10155209799999999</v>
      </c>
    </row>
    <row r="33" spans="2:3" ht="15.75" customHeight="1" x14ac:dyDescent="0.25">
      <c r="B33" s="19" t="s">
        <v>98</v>
      </c>
      <c r="C33" s="101">
        <v>0.24299047300000001</v>
      </c>
    </row>
    <row r="34" spans="2:3" ht="15.75" customHeight="1" x14ac:dyDescent="0.25">
      <c r="B34" s="19" t="s">
        <v>99</v>
      </c>
      <c r="C34" s="101">
        <v>0.31713718499999999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104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105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109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122</v>
      </c>
      <c r="C5" s="52">
        <v>0.1283841</v>
      </c>
      <c r="D5" s="52">
        <v>0.29044900000000001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0.15774558459999999</v>
      </c>
      <c r="C2" s="98">
        <v>0.95</v>
      </c>
      <c r="D2" s="56">
        <v>56.254705436031671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39.840352237471023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386.57856933182762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3.8809598418053568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12.97265168126693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12.97265168126693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12.97265168126693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12.97265168126693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12.97265168126693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12.97265168126693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0.208164292</v>
      </c>
      <c r="C16" s="98">
        <v>0.95</v>
      </c>
      <c r="D16" s="56">
        <v>0.67941748116227962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8.9203956176994357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8.9203956176994357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0.28326289999999998</v>
      </c>
      <c r="C21" s="98">
        <v>0.95</v>
      </c>
      <c r="D21" s="56">
        <v>44.23052776081574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22.365929113311349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3.0968200000000001E-2</v>
      </c>
      <c r="C23" s="98">
        <v>0.95</v>
      </c>
      <c r="D23" s="56">
        <v>4.2546328106455702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0.74392798483707001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0.2022541256</v>
      </c>
      <c r="C27" s="98">
        <v>0.95</v>
      </c>
      <c r="D27" s="56">
        <v>18.548511011776839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0.42392999999999997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109.5975303040908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0.66646007760184001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0.182699</v>
      </c>
      <c r="C32" s="98">
        <v>0.95</v>
      </c>
      <c r="D32" s="56">
        <v>1.454747276626283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0.86258020000000002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0.10861270000000001</v>
      </c>
      <c r="C38" s="98">
        <v>0.95</v>
      </c>
      <c r="D38" s="56">
        <v>1.036071241780949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0.49874190000000002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0.89303668841587347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2024-03-28T03:04:03Z</dcterms:modified>
</cp:coreProperties>
</file>