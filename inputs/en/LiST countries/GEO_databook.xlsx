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F10CAA3-9045-46C1-86E7-62E82802C23A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5" i="2"/>
  <c r="A26" i="2"/>
  <c r="A24" i="2"/>
  <c r="A19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4" i="2" l="1"/>
  <c r="I8" i="2"/>
  <c r="I12" i="2"/>
  <c r="A25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<sst xmlns="http://schemas.openxmlformats.org/spreadsheetml/2006/main" count="2159" uniqueCount="372">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</sst>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224805.5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0.98864250183105495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0.1278</v>
      </c>
    </row>
    <row r="24" spans="1:3" ht="15" customHeight="1" x14ac:dyDescent="0.25">
      <c r="B24" s="15" t="s">
        <v>22</v>
      </c>
      <c r="C24" s="45">
        <v>0.60719999999999996</v>
      </c>
    </row>
    <row r="25" spans="1:3" ht="15" customHeight="1" x14ac:dyDescent="0.25">
      <c r="B25" s="15" t="s">
        <v>23</v>
      </c>
      <c r="C25" s="45">
        <v>0.2432</v>
      </c>
    </row>
    <row r="26" spans="1:3" ht="15" customHeight="1" x14ac:dyDescent="0.25">
      <c r="B26" s="15" t="s">
        <v>24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5.4023899999999996</v>
      </c>
    </row>
    <row r="38" spans="1:5" ht="15" customHeight="1" x14ac:dyDescent="0.25">
      <c r="B38" s="11" t="s">
        <v>34</v>
      </c>
      <c r="C38" s="43">
        <v>8.4329999999999998</v>
      </c>
      <c r="D38" s="12"/>
      <c r="E38" s="13"/>
    </row>
    <row r="39" spans="1:5" ht="15" customHeight="1" x14ac:dyDescent="0.25">
      <c r="B39" s="11" t="s">
        <v>35</v>
      </c>
      <c r="C39" s="43">
        <v>9.4797799999999999</v>
      </c>
      <c r="D39" s="12"/>
      <c r="E39" s="12"/>
    </row>
    <row r="40" spans="1:5" ht="15" customHeight="1" x14ac:dyDescent="0.25">
      <c r="B40" s="11" t="s">
        <v>36</v>
      </c>
      <c r="C40" s="100">
        <v>0.28000000000000003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6.6381999999999986E-3</v>
      </c>
      <c r="D45" s="12"/>
    </row>
    <row r="46" spans="1:5" ht="15.75" customHeight="1" x14ac:dyDescent="0.25">
      <c r="B46" s="11" t="s">
        <v>41</v>
      </c>
      <c r="C46" s="45">
        <v>7.1327000000000002E-2</v>
      </c>
      <c r="D46" s="12"/>
    </row>
    <row r="47" spans="1:5" ht="15.75" customHeight="1" x14ac:dyDescent="0.25">
      <c r="B47" s="11" t="s">
        <v>42</v>
      </c>
      <c r="C47" s="45">
        <v>7.4688299999999999E-2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0.61720999999999993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42983</v>
      </c>
      <c r="C2" s="49">
        <v>113208</v>
      </c>
      <c r="D2" s="49">
        <v>212789</v>
      </c>
      <c r="E2" s="49">
        <v>282776.5</v>
      </c>
      <c r="F2" s="49">
        <v>264322.5</v>
      </c>
      <c r="G2" s="17">
        <f t="shared" ref="G2:G13" si="0">C2+D2+E2+F2</f>
        <v>873096</v>
      </c>
      <c r="H2" s="17">
        <f t="shared" ref="H2:H13" si="1">(B2 + stillbirth*B2/(1000-stillbirth))/(1-abortion)</f>
        <v>49123.027996995013</v>
      </c>
      <c r="I2" s="17">
        <f t="shared" ref="I2:I13" si="2">G2-H2</f>
        <v>823972.97200300498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42089</v>
      </c>
      <c r="C3" s="50">
        <v>119119</v>
      </c>
      <c r="D3" s="50">
        <v>210594</v>
      </c>
      <c r="E3" s="50">
        <v>276753.50000000006</v>
      </c>
      <c r="F3" s="50">
        <v>267644</v>
      </c>
      <c r="G3" s="17">
        <f t="shared" si="0"/>
        <v>874110.5</v>
      </c>
      <c r="H3" s="17">
        <f t="shared" si="1"/>
        <v>48101.322042796528</v>
      </c>
      <c r="I3" s="17">
        <f t="shared" si="2"/>
        <v>826009.17795720347</v>
      </c>
    </row>
    <row r="4" spans="1:9" ht="15.75" customHeight="1" x14ac:dyDescent="0.25">
      <c r="A4" s="5">
        <f t="shared" si="3"/>
        <v>2026</v>
      </c>
      <c r="B4" s="49">
        <v>41353</v>
      </c>
      <c r="C4" s="50">
        <v>124241</v>
      </c>
      <c r="D4" s="50">
        <v>209269</v>
      </c>
      <c r="E4" s="50">
        <v>269953.5</v>
      </c>
      <c r="F4" s="50">
        <v>271255.5</v>
      </c>
      <c r="G4" s="17">
        <f t="shared" si="0"/>
        <v>874719</v>
      </c>
      <c r="H4" s="17">
        <f t="shared" si="1"/>
        <v>47260.186044709182</v>
      </c>
      <c r="I4" s="17">
        <f t="shared" si="2"/>
        <v>827458.81395529083</v>
      </c>
    </row>
    <row r="5" spans="1:9" ht="15.75" customHeight="1" x14ac:dyDescent="0.25">
      <c r="A5" s="5">
        <f t="shared" si="3"/>
        <v>2027</v>
      </c>
      <c r="B5" s="49">
        <v>40720</v>
      </c>
      <c r="C5" s="50">
        <v>128139.5</v>
      </c>
      <c r="D5" s="50">
        <v>208880.49999999997</v>
      </c>
      <c r="E5" s="50">
        <v>263079.5</v>
      </c>
      <c r="F5" s="50">
        <v>274786.5</v>
      </c>
      <c r="G5" s="17">
        <f t="shared" si="0"/>
        <v>874886</v>
      </c>
      <c r="H5" s="17">
        <f t="shared" si="1"/>
        <v>46536.763372441128</v>
      </c>
      <c r="I5" s="17">
        <f t="shared" si="2"/>
        <v>828349.23662755883</v>
      </c>
    </row>
    <row r="6" spans="1:9" ht="15.75" customHeight="1" x14ac:dyDescent="0.25">
      <c r="A6" s="5">
        <f t="shared" si="3"/>
        <v>2028</v>
      </c>
      <c r="B6" s="49">
        <v>40247</v>
      </c>
      <c r="C6" s="50">
        <v>131056.00000000001</v>
      </c>
      <c r="D6" s="50">
        <v>210404</v>
      </c>
      <c r="E6" s="50">
        <v>256279</v>
      </c>
      <c r="F6" s="50">
        <v>277856</v>
      </c>
      <c r="G6" s="17">
        <f t="shared" si="0"/>
        <v>875595</v>
      </c>
      <c r="H6" s="17">
        <f t="shared" si="1"/>
        <v>45996.19635193119</v>
      </c>
      <c r="I6" s="17">
        <f t="shared" si="2"/>
        <v>829598.8036480688</v>
      </c>
    </row>
    <row r="7" spans="1:9" ht="15.75" customHeight="1" x14ac:dyDescent="0.25">
      <c r="A7" s="5">
        <f t="shared" si="3"/>
        <v>2029</v>
      </c>
      <c r="B7" s="49">
        <v>39936</v>
      </c>
      <c r="C7" s="50">
        <v>133397</v>
      </c>
      <c r="D7" s="50">
        <v>214596.99999999997</v>
      </c>
      <c r="E7" s="50">
        <v>248585</v>
      </c>
      <c r="F7" s="50">
        <v>280887</v>
      </c>
      <c r="G7" s="17">
        <f t="shared" si="0"/>
        <v>877466</v>
      </c>
      <c r="H7" s="17">
        <f t="shared" si="1"/>
        <v>45640.770678826346</v>
      </c>
      <c r="I7" s="17">
        <f t="shared" si="2"/>
        <v>831825.22932117363</v>
      </c>
    </row>
    <row r="8" spans="1:9" ht="15.75" customHeight="1" x14ac:dyDescent="0.25">
      <c r="A8" s="5">
        <f t="shared" si="3"/>
        <v>2030</v>
      </c>
      <c r="B8" s="49">
        <v>39699</v>
      </c>
      <c r="C8" s="50">
        <v>135500</v>
      </c>
      <c r="D8" s="50">
        <v>220284</v>
      </c>
      <c r="E8" s="50">
        <v>239788.5</v>
      </c>
      <c r="F8" s="50">
        <v>284128.50000000006</v>
      </c>
      <c r="G8" s="17">
        <f t="shared" si="0"/>
        <v>879701</v>
      </c>
      <c r="H8" s="17">
        <f t="shared" si="1"/>
        <v>45369.915744659629</v>
      </c>
      <c r="I8" s="17">
        <f t="shared" si="2"/>
        <v>834331.08425534039</v>
      </c>
    </row>
    <row r="9" spans="1:9" ht="15.75" customHeight="1" x14ac:dyDescent="0.25">
      <c r="A9" s="5">
        <f t="shared" si="3"/>
        <v>2031</v>
      </c>
      <c r="B9" s="49">
        <v>39600</v>
      </c>
      <c r="C9" s="50">
        <v>137764</v>
      </c>
      <c r="D9" s="50">
        <v>225742.5</v>
      </c>
      <c r="E9" s="50">
        <v>231132</v>
      </c>
      <c r="F9" s="50">
        <v>286688.99999999994</v>
      </c>
      <c r="G9" s="17">
        <f t="shared" si="0"/>
        <v>881327.5</v>
      </c>
      <c r="H9" s="17">
        <f t="shared" si="1"/>
        <v>45256.773810134298</v>
      </c>
      <c r="I9" s="17">
        <f t="shared" si="2"/>
        <v>836070.72618986573</v>
      </c>
    </row>
    <row r="10" spans="1:9" ht="15.75" customHeight="1" x14ac:dyDescent="0.25">
      <c r="A10" s="5">
        <f t="shared" si="3"/>
        <v>2032</v>
      </c>
      <c r="B10" s="49">
        <v>39624</v>
      </c>
      <c r="C10" s="50">
        <v>139514</v>
      </c>
      <c r="D10" s="50">
        <v>230943.5</v>
      </c>
      <c r="E10" s="50">
        <v>223725.00000000003</v>
      </c>
      <c r="F10" s="50">
        <v>287456</v>
      </c>
      <c r="G10" s="17">
        <f t="shared" si="0"/>
        <v>881638.5</v>
      </c>
      <c r="H10" s="17">
        <f t="shared" si="1"/>
        <v>45284.202157898013</v>
      </c>
      <c r="I10" s="17">
        <f t="shared" si="2"/>
        <v>836354.29784210201</v>
      </c>
    </row>
    <row r="11" spans="1:9" ht="15.75" customHeight="1" x14ac:dyDescent="0.25">
      <c r="A11" s="5">
        <f t="shared" si="3"/>
        <v>2033</v>
      </c>
      <c r="B11" s="49">
        <v>39714</v>
      </c>
      <c r="C11" s="50">
        <v>139495.5</v>
      </c>
      <c r="D11" s="50">
        <v>236887</v>
      </c>
      <c r="E11" s="50">
        <v>218152</v>
      </c>
      <c r="F11" s="50">
        <v>285721</v>
      </c>
      <c r="G11" s="17">
        <f t="shared" si="0"/>
        <v>880255.5</v>
      </c>
      <c r="H11" s="17">
        <f t="shared" si="1"/>
        <v>45387.058462011963</v>
      </c>
      <c r="I11" s="17">
        <f t="shared" si="2"/>
        <v>834868.44153798802</v>
      </c>
    </row>
    <row r="12" spans="1:9" ht="15.75" customHeight="1" x14ac:dyDescent="0.25">
      <c r="A12" s="5">
        <f t="shared" si="3"/>
        <v>2034</v>
      </c>
      <c r="B12" s="49">
        <v>39861</v>
      </c>
      <c r="C12" s="50">
        <v>136965</v>
      </c>
      <c r="D12" s="50">
        <v>244152.5</v>
      </c>
      <c r="E12" s="50">
        <v>214329.5</v>
      </c>
      <c r="F12" s="50">
        <v>281455</v>
      </c>
      <c r="G12" s="17">
        <f t="shared" si="0"/>
        <v>876902</v>
      </c>
      <c r="H12" s="17">
        <f t="shared" si="1"/>
        <v>45555.057092064722</v>
      </c>
      <c r="I12" s="17">
        <f t="shared" si="2"/>
        <v>831346.94290793524</v>
      </c>
    </row>
    <row r="13" spans="1:9" ht="15.75" customHeight="1" x14ac:dyDescent="0.25">
      <c r="A13" s="5">
        <f t="shared" si="3"/>
        <v>2035</v>
      </c>
      <c r="B13" s="49">
        <v>40131</v>
      </c>
      <c r="C13" s="50">
        <v>132498.5</v>
      </c>
      <c r="D13" s="50">
        <v>251928.99999999997</v>
      </c>
      <c r="E13" s="50">
        <v>211877</v>
      </c>
      <c r="F13" s="50">
        <v>275381.49999999994</v>
      </c>
      <c r="G13" s="17">
        <f t="shared" si="0"/>
        <v>871686</v>
      </c>
      <c r="H13" s="17">
        <f t="shared" si="1"/>
        <v>45863.626004406549</v>
      </c>
      <c r="I13" s="17">
        <f t="shared" si="2"/>
        <v>825822.3739955934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6.1434500000000017E-2</v>
      </c>
    </row>
    <row r="5" spans="1:8" ht="15.75" customHeight="1" x14ac:dyDescent="0.25">
      <c r="B5" s="19" t="s">
        <v>70</v>
      </c>
      <c r="C5" s="101">
        <v>3.080959999999993E-2</v>
      </c>
    </row>
    <row r="6" spans="1:8" ht="15.75" customHeight="1" x14ac:dyDescent="0.25">
      <c r="B6" s="19" t="s">
        <v>71</v>
      </c>
      <c r="C6" s="101">
        <v>0.15788579999999999</v>
      </c>
    </row>
    <row r="7" spans="1:8" ht="15.75" customHeight="1" x14ac:dyDescent="0.25">
      <c r="B7" s="19" t="s">
        <v>72</v>
      </c>
      <c r="C7" s="101">
        <v>0.42719720000000078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0.24526179999999931</v>
      </c>
    </row>
    <row r="10" spans="1:8" ht="15.75" customHeight="1" x14ac:dyDescent="0.25">
      <c r="B10" s="19" t="s">
        <v>75</v>
      </c>
      <c r="C10" s="101">
        <v>7.7411100000000052E-2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82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83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87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88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89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3.5118521999999999E-2</v>
      </c>
    </row>
    <row r="27" spans="1:8" ht="15.75" customHeight="1" x14ac:dyDescent="0.25">
      <c r="B27" s="19" t="s">
        <v>92</v>
      </c>
      <c r="C27" s="101">
        <v>3.0268353000000001E-2</v>
      </c>
    </row>
    <row r="28" spans="1:8" ht="15.75" customHeight="1" x14ac:dyDescent="0.25">
      <c r="B28" s="19" t="s">
        <v>93</v>
      </c>
      <c r="C28" s="101">
        <v>4.2532465999999998E-2</v>
      </c>
    </row>
    <row r="29" spans="1:8" ht="15.75" customHeight="1" x14ac:dyDescent="0.25">
      <c r="B29" s="19" t="s">
        <v>94</v>
      </c>
      <c r="C29" s="101">
        <v>0.11442039499999999</v>
      </c>
    </row>
    <row r="30" spans="1:8" ht="15.75" customHeight="1" x14ac:dyDescent="0.25">
      <c r="B30" s="19" t="s">
        <v>95</v>
      </c>
      <c r="C30" s="101">
        <v>6.6051589999999993E-2</v>
      </c>
    </row>
    <row r="31" spans="1:8" ht="15.75" customHeight="1" x14ac:dyDescent="0.25">
      <c r="B31" s="19" t="s">
        <v>96</v>
      </c>
      <c r="C31" s="101">
        <v>4.992891800000001E-2</v>
      </c>
    </row>
    <row r="32" spans="1:8" ht="15.75" customHeight="1" x14ac:dyDescent="0.25">
      <c r="B32" s="19" t="s">
        <v>97</v>
      </c>
      <c r="C32" s="101">
        <v>0.10155209799999999</v>
      </c>
    </row>
    <row r="33" spans="2:3" ht="15.75" customHeight="1" x14ac:dyDescent="0.25">
      <c r="B33" s="19" t="s">
        <v>98</v>
      </c>
      <c r="C33" s="101">
        <v>0.24299047300000001</v>
      </c>
    </row>
    <row r="34" spans="2:3" ht="15.75" customHeight="1" x14ac:dyDescent="0.25">
      <c r="B34" s="19" t="s">
        <v>99</v>
      </c>
      <c r="C34" s="101">
        <v>0.31713718499999999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104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105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109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0.12838419999999995</v>
      </c>
      <c r="D5" s="52">
        <f t="shared" si="0"/>
        <v>0.29044899999999996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6674.95695994589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0.50976999999999995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0.60799999999999998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1.484360453225831E-2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99002.072239999994</v>
      </c>
      <c r="C22" s="109">
        <v>98889.24424</v>
      </c>
      <c r="D22" s="109">
        <v>98763.162160000007</v>
      </c>
      <c r="E22" s="109">
        <v>98472.669899999994</v>
      </c>
      <c r="F22" s="109">
        <v>98088.782749999998</v>
      </c>
      <c r="G22" s="109">
        <v>97640.277740000005</v>
      </c>
      <c r="H22" s="109">
        <v>97053.135550000006</v>
      </c>
      <c r="I22" s="109">
        <v>96092.015090000001</v>
      </c>
      <c r="J22" s="109">
        <v>94650.674230000004</v>
      </c>
      <c r="K22" s="109">
        <v>92308.330870000005</v>
      </c>
      <c r="L22" s="109">
        <v>88873.305170000007</v>
      </c>
      <c r="M22" s="109">
        <v>83765.926439999996</v>
      </c>
      <c r="N22" s="109">
        <v>76750.407260000007</v>
      </c>
      <c r="O22" s="109">
        <v>67770.985329999996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12.97265168126693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12.97265168126693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12.97265168126693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12.97265168126693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12.97265168126693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12.97265168126693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0.182699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0.182699</v>
      </c>
      <c r="C19" s="98">
        <v>0.95</v>
      </c>
      <c r="D19" s="56">
        <v>8.9203956176994357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4.2546328106455702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0.71086051360217994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0.42392999999999997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0.49874190000000002</v>
      </c>
      <c r="C29" s="98">
        <v>0.95</v>
      </c>
      <c r="D29" s="56">
        <v>109.5975303040908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0.91757350000000004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0.28326289999999998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3.0968200000000001E-2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0.84712010000000004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0.10861270000000001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