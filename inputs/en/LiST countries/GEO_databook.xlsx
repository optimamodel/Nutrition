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LiST Optima bridge\App\en\"/>
    </mc:Choice>
  </mc:AlternateContent>
  <xr:revisionPtr revIDLastSave="0" documentId="8_{B5082F36-EC77-49AE-AFD0-10455E3A041D}" xr6:coauthVersionLast="47" xr6:coauthVersionMax="47" xr10:uidLastSave="{00000000-0000-0000-0000-000000000000}"/>
  <bookViews>
    <workbookView xWindow="0" yWindow="3670" windowWidth="19200" windowHeight="6530" tabRatio="961" firstSheet="6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los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Birth outcome risks" sheetId="21" state="hidden" r:id="rId21"/>
    <sheet name="Relative risks" sheetId="22" state="hidden" r:id="rId22"/>
    <sheet name="Odds ratios" sheetId="23" state="hidden" r:id="rId23"/>
    <sheet name="Programs birth outcomes" sheetId="24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8" l="1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97" i="27"/>
  <c r="H152" i="27"/>
  <c r="G97" i="27"/>
  <c r="G152" i="27"/>
  <c r="F97" i="27"/>
  <c r="F152" i="27"/>
  <c r="E97" i="27"/>
  <c r="E152" i="27"/>
  <c r="D97" i="27"/>
  <c r="D152" i="27"/>
  <c r="H136" i="27"/>
  <c r="G136" i="27"/>
  <c r="F136" i="27"/>
  <c r="E136" i="27"/>
  <c r="H135" i="27"/>
  <c r="G135" i="27"/>
  <c r="F135" i="27"/>
  <c r="E135" i="27"/>
  <c r="D80" i="27"/>
  <c r="D135" i="27"/>
  <c r="H134" i="27"/>
  <c r="G134" i="27"/>
  <c r="F134" i="27"/>
  <c r="E134" i="27"/>
  <c r="H133" i="27"/>
  <c r="G133" i="27"/>
  <c r="F133" i="27"/>
  <c r="E133" i="27"/>
  <c r="D78" i="27"/>
  <c r="D133" i="27"/>
  <c r="H132" i="27"/>
  <c r="G132" i="27"/>
  <c r="F132" i="27"/>
  <c r="E132" i="27"/>
  <c r="H131" i="27"/>
  <c r="G131" i="27"/>
  <c r="F131" i="27"/>
  <c r="E131" i="27"/>
  <c r="D76" i="27"/>
  <c r="D131" i="27"/>
  <c r="E130" i="27"/>
  <c r="D130" i="27"/>
  <c r="H74" i="27"/>
  <c r="H129" i="27"/>
  <c r="G74" i="27"/>
  <c r="G129" i="27"/>
  <c r="F74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57" i="27"/>
  <c r="H112" i="27"/>
  <c r="G57" i="27"/>
  <c r="G112" i="27"/>
  <c r="F57" i="27"/>
  <c r="F112" i="27"/>
  <c r="E112" i="27"/>
  <c r="D112" i="27"/>
  <c r="H81" i="27"/>
  <c r="G81" i="27"/>
  <c r="F81" i="27"/>
  <c r="E81" i="27"/>
  <c r="H80" i="27"/>
  <c r="G80" i="27"/>
  <c r="F80" i="27"/>
  <c r="E80" i="27"/>
  <c r="H79" i="27"/>
  <c r="G79" i="27"/>
  <c r="F79" i="27"/>
  <c r="E79" i="27"/>
  <c r="H78" i="27"/>
  <c r="G78" i="27"/>
  <c r="F78" i="27"/>
  <c r="E78" i="27"/>
  <c r="H77" i="27"/>
  <c r="G77" i="27"/>
  <c r="F77" i="27"/>
  <c r="E77" i="27"/>
  <c r="H76" i="27"/>
  <c r="G76" i="27"/>
  <c r="F76" i="27"/>
  <c r="E76" i="27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20" i="25"/>
  <c r="O66" i="25"/>
  <c r="N20" i="25"/>
  <c r="N66" i="25"/>
  <c r="M20" i="25"/>
  <c r="M66" i="25"/>
  <c r="L20" i="25"/>
  <c r="L66" i="25"/>
  <c r="K20" i="25"/>
  <c r="K66" i="25"/>
  <c r="J20" i="25"/>
  <c r="J66" i="25"/>
  <c r="I20" i="25"/>
  <c r="I66" i="25"/>
  <c r="H20" i="25"/>
  <c r="H66" i="25"/>
  <c r="G20" i="25"/>
  <c r="G66" i="25"/>
  <c r="F20" i="25"/>
  <c r="F66" i="25"/>
  <c r="E20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G40" i="2"/>
  <c r="H40" i="2"/>
  <c r="I40" i="2"/>
  <c r="A2" i="2"/>
  <c r="A40" i="2"/>
  <c r="G39" i="2"/>
  <c r="H39" i="2"/>
  <c r="I39" i="2"/>
  <c r="A39" i="2"/>
  <c r="G38" i="2"/>
  <c r="H38" i="2"/>
  <c r="I38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G13" i="2"/>
  <c r="H13" i="2"/>
  <c r="I13" i="2"/>
  <c r="A3" i="2"/>
  <c r="A4" i="2"/>
  <c r="A5" i="2"/>
  <c r="A6" i="2"/>
  <c r="A7" i="2"/>
  <c r="A8" i="2"/>
  <c r="A9" i="2"/>
  <c r="A10" i="2"/>
  <c r="A11" i="2"/>
  <c r="A12" i="2"/>
  <c r="A13" i="2"/>
  <c r="G12" i="2"/>
  <c r="H12" i="2"/>
  <c r="I12" i="2"/>
  <c r="G11" i="2"/>
  <c r="H11" i="2"/>
  <c r="I11" i="2"/>
  <c r="G10" i="2"/>
  <c r="H10" i="2"/>
  <c r="I10" i="2"/>
  <c r="G9" i="2"/>
  <c r="H9" i="2"/>
  <c r="I9" i="2"/>
  <c r="G8" i="2"/>
  <c r="H8" i="2"/>
  <c r="I8" i="2"/>
  <c r="G7" i="2"/>
  <c r="H7" i="2"/>
  <c r="I7" i="2"/>
  <c r="G6" i="2"/>
  <c r="H6" i="2"/>
  <c r="I6" i="2"/>
  <c r="G5" i="2"/>
  <c r="H5" i="2"/>
  <c r="I5" i="2"/>
  <c r="G4" i="2"/>
  <c r="H4" i="2"/>
  <c r="I4" i="2"/>
  <c r="G3" i="2"/>
  <c r="H3" i="2"/>
  <c r="I3" i="2"/>
  <c r="G2" i="2"/>
  <c r="H2" i="2"/>
  <c r="I2" i="2"/>
  <c r="C33" i="1"/>
  <c r="C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
Thereofre, set effect of rice = effect of wheat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<sst xmlns="http://schemas.openxmlformats.org/spreadsheetml/2006/main" count="2102" uniqueCount="341">
  <si>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</si>
  <si>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</si>
  <si>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</si>
  <si>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</si>
  <si>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</si>
  <si>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</si>
  <si>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</si>
  <si>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</si>
  <si>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</si>
  <si>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</si>
  <si>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</si>
  <si>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</si>
  <si>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</si>
  <si>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</si>
  <si>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</si>
  <si>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</si>
  <si>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</si>
  <si>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</si>
  <si>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</si>
  <si>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</si>
  <si>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</si>
  <si>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</si>
  <si>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</si>
  <si>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</si>
  <si>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</si>
  <si>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</si>
  <si>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</si>
  <si>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</si>
  <si>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</si>
  <si>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</si>
  <si>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</si>
  <si>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</si>
  <si>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</si>
  <si>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</si>
  <si>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</si>
  <si>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</si>
  <si>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</si>
  <si>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</si>
  <si>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</si>
  <si>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</si>
  <si>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</si>
  <si>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</si>
  <si>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</si>
  <si>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</si>
  <si>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</si>
  <si>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</si>
  <si>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</si>
  <si>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</si>
  <si>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</si>
  <si>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</si>
  <si>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</si>
  <si>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</si>
  <si>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</si>
  <si>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</si>
  <si>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</si>
  <si>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</si>
  <si>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</si>
  <si>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</si>
  <si>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</si>
  <si>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</si>
  <si>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</si>
  <si>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</si>
  <si>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</si>
  <si>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</si>
  <si>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</si>
  <si>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</si>
  <si>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</si>
  <si>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</si>
  <si>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</si>
  <si>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</si>
  <si>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</si>
  <si>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</si>
  <si>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</si>
  <si>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</si>
  <si>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</si>
  <si>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</si>
  <si>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</si>
  <si>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</si>
  <si>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</si>
  <si>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</si>
  <si>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</si>
  <si>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</si>
  <si>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</si>
  <si>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</si>
  <si>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</si>
  <si>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</si>
  <si>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</si>
  <si>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</si>
  <si>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</si>
  <si>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</si>
  <si>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</si>
  <si>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</si>
  <si>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</si>
  <si>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</si>
  <si>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</si>
  <si>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</si>
  <si>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</si>
  <si>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</si>
  <si>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</si>
  <si>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</si>
  <si>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</si>
  <si>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</si>
  <si>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</si>
  <si>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</si>
  <si>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</si>
  <si>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</si>
  <si>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</si>
  <si>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</si>
  <si>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</si>
  <si>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</si>
  <si>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</si>
  <si>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</si>
  <si>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</si>
  <si>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</si>
  <si>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</si>
  <si>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</si>
  <si>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</si>
  <si>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</si>
  <si>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</si>
  <si>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</si>
  <si>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</si>
  <si>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</si>
  <si>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</si>
  <si>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</si>
  <si>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</si>
  <si>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</si>
  <si>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</si>
  <si>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</si>
  <si>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</si>
  <si>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</si>
  <si>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</si>
  <si>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</si>
  <si>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</si>
  <si>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</si>
  <si>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</si>
  <si>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Type</t>
  </si>
  <si>
    <t>Cost</t>
  </si>
  <si>
    <t>Child wasting episode</t>
  </si>
  <si>
    <t>Child turning age 5 stunted (over lifetime)</t>
  </si>
  <si>
    <t>Child death</t>
  </si>
  <si>
    <t>Maternal death</t>
  </si>
  <si>
    <t>Anaemic child (per year)</t>
  </si>
  <si>
    <t>Anaemic pregnant woman (per pregnancy)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</si>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</sst>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opLeftCell="A38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239831.673828125</v>
      </c>
    </row>
    <row r="8" spans="1:3" ht="15" customHeight="1" x14ac:dyDescent="0.25">
      <c r="B8" s="5" t="s">
        <v>8</v>
      </c>
      <c r="C8" s="44">
        <v>4.4999999999999998E-2</v>
      </c>
    </row>
    <row r="9" spans="1:3" ht="15" customHeight="1" x14ac:dyDescent="0.25">
      <c r="B9" s="5" t="s">
        <v>9</v>
      </c>
      <c r="C9" s="45">
        <v>0.01</v>
      </c>
    </row>
    <row r="10" spans="1:3" ht="15" customHeight="1" x14ac:dyDescent="0.25">
      <c r="B10" s="5" t="s">
        <v>10</v>
      </c>
      <c r="C10" s="45">
        <v>0.98864250183105495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0.249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0.1278</v>
      </c>
    </row>
    <row r="24" spans="1:3" ht="15" customHeight="1" x14ac:dyDescent="0.25">
      <c r="B24" s="15" t="s">
        <v>22</v>
      </c>
      <c r="C24" s="45">
        <v>0.60719999999999996</v>
      </c>
    </row>
    <row r="25" spans="1:3" ht="15" customHeight="1" x14ac:dyDescent="0.25">
      <c r="B25" s="15" t="s">
        <v>23</v>
      </c>
      <c r="C25" s="45">
        <v>0.2432</v>
      </c>
    </row>
    <row r="26" spans="1:3" ht="15" customHeight="1" x14ac:dyDescent="0.25">
      <c r="B26" s="15" t="s">
        <v>24</v>
      </c>
      <c r="C26" s="45">
        <v>2.18E-2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0.443381353500297</v>
      </c>
    </row>
    <row r="30" spans="1:3" ht="14.25" customHeight="1" x14ac:dyDescent="0.25">
      <c r="B30" s="25" t="s">
        <v>27</v>
      </c>
      <c r="C30" s="99">
        <v>5.9529082105141198E-2</v>
      </c>
    </row>
    <row r="31" spans="1:3" ht="14.25" customHeight="1" x14ac:dyDescent="0.25">
      <c r="B31" s="25" t="s">
        <v>28</v>
      </c>
      <c r="C31" s="99">
        <v>6.7946136004371396E-2</v>
      </c>
    </row>
    <row r="32" spans="1:3" ht="14.25" customHeight="1" x14ac:dyDescent="0.25">
      <c r="B32" s="25" t="s">
        <v>29</v>
      </c>
      <c r="C32" s="99">
        <v>0.42914342839018998</v>
      </c>
    </row>
    <row r="33" spans="1:5" ht="13" customHeight="1" x14ac:dyDescent="0.25">
      <c r="B33" s="27" t="s">
        <v>30</v>
      </c>
      <c r="C33" s="48">
        <f>SUM(C29:C32)</f>
        <v>0.99999999999999956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5.4023899999999996</v>
      </c>
    </row>
    <row r="38" spans="1:5" ht="15" customHeight="1" x14ac:dyDescent="0.25">
      <c r="B38" s="11" t="s">
        <v>34</v>
      </c>
      <c r="C38" s="43">
        <v>8.4329999999999998</v>
      </c>
      <c r="D38" s="12"/>
      <c r="E38" s="13"/>
    </row>
    <row r="39" spans="1:5" ht="15" customHeight="1" x14ac:dyDescent="0.25">
      <c r="B39" s="11" t="s">
        <v>35</v>
      </c>
      <c r="C39" s="43">
        <v>9.4797799999999999</v>
      </c>
      <c r="D39" s="12"/>
      <c r="E39" s="12"/>
    </row>
    <row r="40" spans="1:5" ht="15" customHeight="1" x14ac:dyDescent="0.25">
      <c r="B40" s="11" t="s">
        <v>36</v>
      </c>
      <c r="C40" s="100">
        <v>0.28000000000000003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5.6737099999999998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6.6381999999999986E-3</v>
      </c>
      <c r="D45" s="12"/>
    </row>
    <row r="46" spans="1:5" ht="15.75" customHeight="1" x14ac:dyDescent="0.25">
      <c r="B46" s="11" t="s">
        <v>41</v>
      </c>
      <c r="C46" s="45">
        <v>7.1327000000000002E-2</v>
      </c>
      <c r="D46" s="12"/>
    </row>
    <row r="47" spans="1:5" ht="15.75" customHeight="1" x14ac:dyDescent="0.25">
      <c r="B47" s="11" t="s">
        <v>42</v>
      </c>
      <c r="C47" s="45">
        <v>7.4688299999999999E-2</v>
      </c>
      <c r="D47" s="12"/>
      <c r="E47" s="13"/>
    </row>
    <row r="48" spans="1:5" ht="15" customHeight="1" x14ac:dyDescent="0.25">
      <c r="B48" s="11" t="s">
        <v>43</v>
      </c>
      <c r="C48" s="46">
        <v>0.8473465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2.8</v>
      </c>
      <c r="D51" s="12"/>
    </row>
    <row r="52" spans="1:4" ht="15" customHeight="1" x14ac:dyDescent="0.25">
      <c r="B52" s="11" t="s">
        <v>46</v>
      </c>
      <c r="C52" s="100">
        <v>2.8</v>
      </c>
    </row>
    <row r="53" spans="1:4" ht="15.75" customHeight="1" x14ac:dyDescent="0.25">
      <c r="B53" s="11" t="s">
        <v>47</v>
      </c>
      <c r="C53" s="100">
        <v>2.8</v>
      </c>
    </row>
    <row r="54" spans="1:4" ht="15.75" customHeight="1" x14ac:dyDescent="0.25">
      <c r="B54" s="11" t="s">
        <v>48</v>
      </c>
      <c r="C54" s="100">
        <v>2.8</v>
      </c>
    </row>
    <row r="55" spans="1:4" ht="15.75" customHeight="1" x14ac:dyDescent="0.25">
      <c r="B55" s="11" t="s">
        <v>49</v>
      </c>
      <c r="C55" s="100">
        <v>2.8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1.6428571428571431E-2</v>
      </c>
    </row>
    <row r="59" spans="1:4" ht="15.75" customHeight="1" x14ac:dyDescent="0.25">
      <c r="B59" s="11" t="s">
        <v>52</v>
      </c>
      <c r="C59" s="45">
        <v>0.61720999999999993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6.11720129999999E-2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46526</v>
      </c>
      <c r="C2" s="49">
        <v>135776.5</v>
      </c>
      <c r="D2" s="49">
        <v>201418.5</v>
      </c>
      <c r="E2" s="49">
        <v>272509</v>
      </c>
      <c r="F2" s="49">
        <v>229807.5</v>
      </c>
      <c r="G2" s="17">
        <f t="shared" ref="G2:G13" si="0">C2+D2+E2+F2</f>
        <v>839511.5</v>
      </c>
      <c r="H2" s="17">
        <f t="shared" ref="H2:H13" si="1">(B2 + stillbirth*B2/(1000-stillbirth))/(1-abortion)</f>
        <v>53172.137835613845</v>
      </c>
      <c r="I2" s="17">
        <f t="shared" ref="I2:I13" si="2">G2-H2</f>
        <v>786339.3621643862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45328</v>
      </c>
      <c r="C3" s="50">
        <v>141242</v>
      </c>
      <c r="D3" s="50">
        <v>197405</v>
      </c>
      <c r="E3" s="50">
        <v>264984</v>
      </c>
      <c r="F3" s="50">
        <v>231605</v>
      </c>
      <c r="G3" s="17">
        <f t="shared" si="0"/>
        <v>835236</v>
      </c>
      <c r="H3" s="17">
        <f t="shared" si="1"/>
        <v>51803.006143074934</v>
      </c>
      <c r="I3" s="17">
        <f t="shared" si="2"/>
        <v>783432.99385692505</v>
      </c>
    </row>
    <row r="4" spans="1:9" ht="15.75" customHeight="1" x14ac:dyDescent="0.25">
      <c r="A4" s="5">
        <f t="shared" si="3"/>
        <v>2026</v>
      </c>
      <c r="B4" s="49">
        <v>44305</v>
      </c>
      <c r="C4" s="50">
        <v>145874.5</v>
      </c>
      <c r="D4" s="50">
        <v>194549</v>
      </c>
      <c r="E4" s="50">
        <v>256613.5</v>
      </c>
      <c r="F4" s="50">
        <v>233892.5</v>
      </c>
      <c r="G4" s="17">
        <f t="shared" si="0"/>
        <v>830929.5</v>
      </c>
      <c r="H4" s="17">
        <f t="shared" si="1"/>
        <v>50633.872819646465</v>
      </c>
      <c r="I4" s="17">
        <f t="shared" si="2"/>
        <v>780295.62718035351</v>
      </c>
    </row>
    <row r="5" spans="1:9" ht="15.75" customHeight="1" x14ac:dyDescent="0.25">
      <c r="A5" s="5">
        <f t="shared" si="3"/>
        <v>2027</v>
      </c>
      <c r="B5" s="49">
        <v>43484</v>
      </c>
      <c r="C5" s="50">
        <v>150049</v>
      </c>
      <c r="D5" s="50">
        <v>192887.5</v>
      </c>
      <c r="E5" s="50">
        <v>248059.5</v>
      </c>
      <c r="F5" s="50">
        <v>236400.5</v>
      </c>
      <c r="G5" s="17">
        <f t="shared" si="0"/>
        <v>827396.5</v>
      </c>
      <c r="H5" s="17">
        <f t="shared" si="1"/>
        <v>49695.594756562619</v>
      </c>
      <c r="I5" s="17">
        <f t="shared" si="2"/>
        <v>777700.90524343739</v>
      </c>
    </row>
    <row r="6" spans="1:9" ht="15.75" customHeight="1" x14ac:dyDescent="0.25">
      <c r="A6" s="5">
        <f t="shared" si="3"/>
        <v>2028</v>
      </c>
      <c r="B6" s="49">
        <v>42705</v>
      </c>
      <c r="C6" s="50">
        <v>153676</v>
      </c>
      <c r="D6" s="50">
        <v>193356</v>
      </c>
      <c r="E6" s="50">
        <v>239158.5</v>
      </c>
      <c r="F6" s="50">
        <v>238732</v>
      </c>
      <c r="G6" s="17">
        <f t="shared" si="0"/>
        <v>824922.5</v>
      </c>
      <c r="H6" s="17">
        <f t="shared" si="1"/>
        <v>48805.316302065279</v>
      </c>
      <c r="I6" s="17">
        <f t="shared" si="2"/>
        <v>776117.18369793473</v>
      </c>
    </row>
    <row r="7" spans="1:9" ht="15.75" customHeight="1" x14ac:dyDescent="0.25">
      <c r="A7" s="5">
        <f t="shared" si="3"/>
        <v>2029</v>
      </c>
      <c r="B7" s="49">
        <v>41964</v>
      </c>
      <c r="C7" s="50">
        <v>156328.5</v>
      </c>
      <c r="D7" s="50">
        <v>196657.5</v>
      </c>
      <c r="E7" s="50">
        <v>229304</v>
      </c>
      <c r="F7" s="50">
        <v>240667.5</v>
      </c>
      <c r="G7" s="17">
        <f t="shared" si="0"/>
        <v>822957.5</v>
      </c>
      <c r="H7" s="17">
        <f t="shared" si="1"/>
        <v>47958.466064860491</v>
      </c>
      <c r="I7" s="17">
        <f t="shared" si="2"/>
        <v>774999.03393513954</v>
      </c>
    </row>
    <row r="8" spans="1:9" ht="15.75" customHeight="1" x14ac:dyDescent="0.25">
      <c r="A8" s="5">
        <f t="shared" si="3"/>
        <v>2030</v>
      </c>
      <c r="B8" s="49">
        <v>41674</v>
      </c>
      <c r="C8" s="50">
        <v>158001</v>
      </c>
      <c r="D8" s="50">
        <v>201730.5</v>
      </c>
      <c r="E8" s="50">
        <v>218575</v>
      </c>
      <c r="F8" s="50">
        <v>242379.5</v>
      </c>
      <c r="G8" s="17">
        <f t="shared" si="0"/>
        <v>820686</v>
      </c>
      <c r="H8" s="17">
        <f t="shared" si="1"/>
        <v>47627.040196048911</v>
      </c>
      <c r="I8" s="17">
        <f t="shared" si="2"/>
        <v>773058.95980395109</v>
      </c>
    </row>
    <row r="9" spans="1:9" ht="15.75" customHeight="1" x14ac:dyDescent="0.25">
      <c r="A9" s="5">
        <f t="shared" si="3"/>
        <v>2031</v>
      </c>
      <c r="B9" s="49">
        <v>41205</v>
      </c>
      <c r="C9" s="50">
        <v>159035.5</v>
      </c>
      <c r="D9" s="50">
        <v>206945</v>
      </c>
      <c r="E9" s="50">
        <v>207908.5</v>
      </c>
      <c r="F9" s="50">
        <v>244042.5</v>
      </c>
      <c r="G9" s="17">
        <f t="shared" si="0"/>
        <v>817931.5</v>
      </c>
      <c r="H9" s="17">
        <f t="shared" si="1"/>
        <v>47091.044566832919</v>
      </c>
      <c r="I9" s="17">
        <f t="shared" si="2"/>
        <v>770840.45543316705</v>
      </c>
    </row>
    <row r="10" spans="1:9" ht="15.75" customHeight="1" x14ac:dyDescent="0.25">
      <c r="A10" s="5">
        <f t="shared" si="3"/>
        <v>2032</v>
      </c>
      <c r="B10" s="49">
        <v>40988</v>
      </c>
      <c r="C10" s="50">
        <v>159466.5</v>
      </c>
      <c r="D10" s="50">
        <v>212065</v>
      </c>
      <c r="E10" s="50">
        <v>198402.5</v>
      </c>
      <c r="F10" s="50">
        <v>245053</v>
      </c>
      <c r="G10" s="17">
        <f t="shared" si="0"/>
        <v>814987</v>
      </c>
      <c r="H10" s="17">
        <f t="shared" si="1"/>
        <v>46843.046589135971</v>
      </c>
      <c r="I10" s="17">
        <f t="shared" si="2"/>
        <v>768143.95341086399</v>
      </c>
    </row>
    <row r="11" spans="1:9" ht="15.75" customHeight="1" x14ac:dyDescent="0.25">
      <c r="A11" s="5">
        <f t="shared" si="3"/>
        <v>2033</v>
      </c>
      <c r="B11" s="49">
        <v>40783</v>
      </c>
      <c r="C11" s="50">
        <v>158289.5</v>
      </c>
      <c r="D11" s="50">
        <v>217764.5</v>
      </c>
      <c r="E11" s="50">
        <v>190725.5</v>
      </c>
      <c r="F11" s="50">
        <v>244183</v>
      </c>
      <c r="G11" s="17">
        <f t="shared" si="0"/>
        <v>810962.5</v>
      </c>
      <c r="H11" s="17">
        <f t="shared" si="1"/>
        <v>46608.762785320883</v>
      </c>
      <c r="I11" s="17">
        <f t="shared" si="2"/>
        <v>764353.73721467913</v>
      </c>
    </row>
    <row r="12" spans="1:9" ht="15.75" customHeight="1" x14ac:dyDescent="0.25">
      <c r="A12" s="5">
        <f t="shared" si="3"/>
        <v>2034</v>
      </c>
      <c r="B12" s="49">
        <v>40786</v>
      </c>
      <c r="C12" s="50">
        <v>154908</v>
      </c>
      <c r="D12" s="50">
        <v>224378.5</v>
      </c>
      <c r="E12" s="50">
        <v>185037.5</v>
      </c>
      <c r="F12" s="50">
        <v>240657</v>
      </c>
      <c r="G12" s="17">
        <f t="shared" si="0"/>
        <v>804981</v>
      </c>
      <c r="H12" s="17">
        <f t="shared" si="1"/>
        <v>46612.191328791348</v>
      </c>
      <c r="I12" s="17">
        <f t="shared" si="2"/>
        <v>758368.80867120868</v>
      </c>
    </row>
    <row r="13" spans="1:9" ht="15.75" customHeight="1" x14ac:dyDescent="0.25">
      <c r="A13" s="5">
        <f t="shared" si="3"/>
        <v>2035</v>
      </c>
      <c r="B13" s="49">
        <v>40747</v>
      </c>
      <c r="C13" s="50">
        <v>150580</v>
      </c>
      <c r="D13" s="50">
        <v>231558</v>
      </c>
      <c r="E13" s="50">
        <v>181056.5</v>
      </c>
      <c r="F13" s="50">
        <v>234636</v>
      </c>
      <c r="G13" s="17">
        <f t="shared" si="0"/>
        <v>797830.5</v>
      </c>
      <c r="H13" s="17">
        <f t="shared" si="1"/>
        <v>46567.620263675308</v>
      </c>
      <c r="I13" s="17">
        <f t="shared" si="2"/>
        <v>751262.87973632466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0</v>
      </c>
    </row>
    <row r="4" spans="1:8" ht="15.75" customHeight="1" x14ac:dyDescent="0.25">
      <c r="B4" s="19" t="s">
        <v>69</v>
      </c>
      <c r="C4" s="101">
        <v>6.1434500000000017E-2</v>
      </c>
    </row>
    <row r="5" spans="1:8" ht="15.75" customHeight="1" x14ac:dyDescent="0.25">
      <c r="B5" s="19" t="s">
        <v>70</v>
      </c>
      <c r="C5" s="101">
        <v>3.080959999999993E-2</v>
      </c>
    </row>
    <row r="6" spans="1:8" ht="15.75" customHeight="1" x14ac:dyDescent="0.25">
      <c r="B6" s="19" t="s">
        <v>71</v>
      </c>
      <c r="C6" s="101">
        <v>0.15788579999999999</v>
      </c>
    </row>
    <row r="7" spans="1:8" ht="15.75" customHeight="1" x14ac:dyDescent="0.25">
      <c r="B7" s="19" t="s">
        <v>72</v>
      </c>
      <c r="C7" s="101">
        <v>0.42719720000000078</v>
      </c>
    </row>
    <row r="8" spans="1:8" ht="15.75" customHeight="1" x14ac:dyDescent="0.25">
      <c r="B8" s="19" t="s">
        <v>73</v>
      </c>
      <c r="C8" s="101">
        <v>0</v>
      </c>
    </row>
    <row r="9" spans="1:8" ht="15.75" customHeight="1" x14ac:dyDescent="0.25">
      <c r="B9" s="19" t="s">
        <v>74</v>
      </c>
      <c r="C9" s="101">
        <v>0.24526179999999931</v>
      </c>
    </row>
    <row r="10" spans="1:8" ht="15.75" customHeight="1" x14ac:dyDescent="0.25">
      <c r="B10" s="19" t="s">
        <v>75</v>
      </c>
      <c r="C10" s="101">
        <v>7.7411100000000052E-2</v>
      </c>
    </row>
    <row r="11" spans="1:8" ht="15.75" customHeight="1" x14ac:dyDescent="0.25">
      <c r="B11" s="27" t="s">
        <v>30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2.7543722512431212E-2</v>
      </c>
      <c r="D14" s="55">
        <v>2.7543722512431212E-2</v>
      </c>
      <c r="E14" s="55">
        <v>2.7543722512431212E-2</v>
      </c>
      <c r="F14" s="55">
        <v>2.7543722512431212E-2</v>
      </c>
    </row>
    <row r="15" spans="1:8" ht="15.75" customHeight="1" x14ac:dyDescent="0.25">
      <c r="B15" s="19" t="s">
        <v>82</v>
      </c>
      <c r="C15" s="101">
        <v>0.19736594576080069</v>
      </c>
      <c r="D15" s="101">
        <v>0.19736594576080069</v>
      </c>
      <c r="E15" s="101">
        <v>0.19736594576080069</v>
      </c>
      <c r="F15" s="101">
        <v>0.19736594576080069</v>
      </c>
    </row>
    <row r="16" spans="1:8" ht="15.75" customHeight="1" x14ac:dyDescent="0.25">
      <c r="B16" s="19" t="s">
        <v>83</v>
      </c>
      <c r="C16" s="101">
        <v>5.4692018848222272E-2</v>
      </c>
      <c r="D16" s="101">
        <v>5.4692018848222272E-2</v>
      </c>
      <c r="E16" s="101">
        <v>5.4692018848222272E-2</v>
      </c>
      <c r="F16" s="101">
        <v>5.4692018848222272E-2</v>
      </c>
    </row>
    <row r="17" spans="1:8" ht="15.75" customHeight="1" x14ac:dyDescent="0.25">
      <c r="B17" s="19" t="s">
        <v>84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85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86</v>
      </c>
      <c r="C19" s="101">
        <v>5.4498051902628193E-2</v>
      </c>
      <c r="D19" s="101">
        <v>5.4498051902628193E-2</v>
      </c>
      <c r="E19" s="101">
        <v>5.4498051902628193E-2</v>
      </c>
      <c r="F19" s="101">
        <v>5.4498051902628193E-2</v>
      </c>
    </row>
    <row r="20" spans="1:8" ht="15.75" customHeight="1" x14ac:dyDescent="0.25">
      <c r="B20" s="19" t="s">
        <v>87</v>
      </c>
      <c r="C20" s="101">
        <v>0.13982589993096289</v>
      </c>
      <c r="D20" s="101">
        <v>0.13982589993096289</v>
      </c>
      <c r="E20" s="101">
        <v>0.13982589993096289</v>
      </c>
      <c r="F20" s="101">
        <v>0.13982589993096289</v>
      </c>
    </row>
    <row r="21" spans="1:8" ht="15.75" customHeight="1" x14ac:dyDescent="0.25">
      <c r="B21" s="19" t="s">
        <v>88</v>
      </c>
      <c r="C21" s="101">
        <v>0.36947144300070628</v>
      </c>
      <c r="D21" s="101">
        <v>0.36947144300070628</v>
      </c>
      <c r="E21" s="101">
        <v>0.36947144300070628</v>
      </c>
      <c r="F21" s="101">
        <v>0.36947144300070628</v>
      </c>
    </row>
    <row r="22" spans="1:8" ht="15.75" customHeight="1" x14ac:dyDescent="0.25">
      <c r="B22" s="19" t="s">
        <v>89</v>
      </c>
      <c r="C22" s="101">
        <v>0.1566029180442485</v>
      </c>
      <c r="D22" s="101">
        <v>0.1566029180442485</v>
      </c>
      <c r="E22" s="101">
        <v>0.1566029180442485</v>
      </c>
      <c r="F22" s="101">
        <v>0.1566029180442485</v>
      </c>
    </row>
    <row r="23" spans="1:8" ht="15.75" customHeight="1" x14ac:dyDescent="0.25">
      <c r="B23" s="27" t="s">
        <v>30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3.5118521999999999E-2</v>
      </c>
    </row>
    <row r="27" spans="1:8" ht="15.75" customHeight="1" x14ac:dyDescent="0.25">
      <c r="B27" s="19" t="s">
        <v>92</v>
      </c>
      <c r="C27" s="101">
        <v>3.0268353000000001E-2</v>
      </c>
    </row>
    <row r="28" spans="1:8" ht="15.75" customHeight="1" x14ac:dyDescent="0.25">
      <c r="B28" s="19" t="s">
        <v>93</v>
      </c>
      <c r="C28" s="101">
        <v>4.2532465999999998E-2</v>
      </c>
    </row>
    <row r="29" spans="1:8" ht="15.75" customHeight="1" x14ac:dyDescent="0.25">
      <c r="B29" s="19" t="s">
        <v>94</v>
      </c>
      <c r="C29" s="101">
        <v>0.11442039499999999</v>
      </c>
    </row>
    <row r="30" spans="1:8" ht="15.75" customHeight="1" x14ac:dyDescent="0.25">
      <c r="B30" s="19" t="s">
        <v>95</v>
      </c>
      <c r="C30" s="101">
        <v>6.6051589999999993E-2</v>
      </c>
    </row>
    <row r="31" spans="1:8" ht="15.75" customHeight="1" x14ac:dyDescent="0.25">
      <c r="B31" s="19" t="s">
        <v>96</v>
      </c>
      <c r="C31" s="101">
        <v>4.992891800000001E-2</v>
      </c>
    </row>
    <row r="32" spans="1:8" ht="15.75" customHeight="1" x14ac:dyDescent="0.25">
      <c r="B32" s="19" t="s">
        <v>97</v>
      </c>
      <c r="C32" s="101">
        <v>0.10155209799999999</v>
      </c>
    </row>
    <row r="33" spans="2:3" ht="15.75" customHeight="1" x14ac:dyDescent="0.25">
      <c r="B33" s="19" t="s">
        <v>98</v>
      </c>
      <c r="C33" s="101">
        <v>0.24299047300000001</v>
      </c>
    </row>
    <row r="34" spans="2:3" ht="15.75" customHeight="1" x14ac:dyDescent="0.25">
      <c r="B34" s="19" t="s">
        <v>99</v>
      </c>
      <c r="C34" s="101">
        <v>0.31713718499999999</v>
      </c>
    </row>
    <row r="35" spans="2:3" ht="15.75" customHeight="1" x14ac:dyDescent="0.25">
      <c r="B35" s="27" t="s">
        <v>30</v>
      </c>
      <c r="C35" s="48">
        <f>SUM(C26:C34)</f>
        <v>1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0.83710119140353823</v>
      </c>
      <c r="D2" s="52">
        <f>IFERROR(1-_xlfn.NORM.DIST(_xlfn.NORM.INV(SUM(D4:D5), 0, 1) + 1, 0, 1, TRUE), "")</f>
        <v>0.83710119140353823</v>
      </c>
      <c r="E2" s="52">
        <f>IFERROR(1-_xlfn.NORM.DIST(_xlfn.NORM.INV(SUM(E4:E5), 0, 1) + 1, 0, 1, TRUE), "")</f>
        <v>0.86637734241792741</v>
      </c>
      <c r="F2" s="52">
        <f>IFERROR(1-_xlfn.NORM.DIST(_xlfn.NORM.INV(SUM(F4:F5), 0, 1) + 1, 0, 1, TRUE), "")</f>
        <v>0.73699789900702506</v>
      </c>
      <c r="G2" s="52">
        <f>IFERROR(1-_xlfn.NORM.DIST(_xlfn.NORM.INV(SUM(G4:G5), 0, 1) + 1, 0, 1, TRUE), "")</f>
        <v>0.68230989620481175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0.13919350859646185</v>
      </c>
      <c r="D3" s="52">
        <f>IFERROR(_xlfn.NORM.DIST(_xlfn.NORM.INV(SUM(D4:D5), 0, 1) + 1, 0, 1, TRUE) - SUM(D4:D5), "")</f>
        <v>0.13919350859646185</v>
      </c>
      <c r="E3" s="52">
        <f>IFERROR(_xlfn.NORM.DIST(_xlfn.NORM.INV(SUM(E4:E5), 0, 1) + 1, 0, 1, TRUE) - SUM(E4:E5), "")</f>
        <v>0.11616885758207256</v>
      </c>
      <c r="F3" s="52">
        <f>IFERROR(_xlfn.NORM.DIST(_xlfn.NORM.INV(SUM(F4:F5), 0, 1) + 1, 0, 1, TRUE) - SUM(F4:F5), "")</f>
        <v>0.21188500099297494</v>
      </c>
      <c r="G3" s="52">
        <f>IFERROR(_xlfn.NORM.DIST(_xlfn.NORM.INV(SUM(G4:G5), 0, 1) + 1, 0, 1, TRUE) - SUM(G4:G5), "")</f>
        <v>0.2474719037951883</v>
      </c>
    </row>
    <row r="4" spans="1:15" ht="15.75" customHeight="1" x14ac:dyDescent="0.25">
      <c r="B4" s="5" t="s">
        <v>104</v>
      </c>
      <c r="C4" s="45">
        <v>1.5584300000000001E-2</v>
      </c>
      <c r="D4" s="53">
        <v>1.5584300000000001E-2</v>
      </c>
      <c r="E4" s="53">
        <v>9.9590000000000008E-3</v>
      </c>
      <c r="F4" s="53">
        <v>3.1561400000000003E-2</v>
      </c>
      <c r="G4" s="53">
        <v>5.6891999999999998E-2</v>
      </c>
    </row>
    <row r="5" spans="1:15" ht="15.75" customHeight="1" x14ac:dyDescent="0.25">
      <c r="B5" s="5" t="s">
        <v>105</v>
      </c>
      <c r="C5" s="45">
        <v>8.1209999999999997E-3</v>
      </c>
      <c r="D5" s="53">
        <v>8.1209999999999997E-3</v>
      </c>
      <c r="E5" s="53">
        <v>7.4948000000000002E-3</v>
      </c>
      <c r="F5" s="53">
        <v>1.9555699999999999E-2</v>
      </c>
      <c r="G5" s="53">
        <v>1.33262E-2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0.74858039018781819</v>
      </c>
      <c r="D8" s="52">
        <f>IFERROR(1-_xlfn.NORM.DIST(_xlfn.NORM.INV(SUM(D10:D11), 0, 1) + 1, 0, 1, TRUE), "")</f>
        <v>0.74858039018781819</v>
      </c>
      <c r="E8" s="52">
        <f>IFERROR(1-_xlfn.NORM.DIST(_xlfn.NORM.INV(SUM(E10:E11), 0, 1) + 1, 0, 1, TRUE), "")</f>
        <v>0.9424674264231786</v>
      </c>
      <c r="F8" s="52">
        <f>IFERROR(1-_xlfn.NORM.DIST(_xlfn.NORM.INV(SUM(F10:F11), 0, 1) + 1, 0, 1, TRUE), "")</f>
        <v>0.96355895950318393</v>
      </c>
      <c r="G8" s="52">
        <f>IFERROR(1-_xlfn.NORM.DIST(_xlfn.NORM.INV(SUM(G10:G11), 0, 1) + 1, 0, 1, TRUE), "")</f>
        <v>0.9763940707354769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0.20396280981218182</v>
      </c>
      <c r="D9" s="52">
        <f>IFERROR(_xlfn.NORM.DIST(_xlfn.NORM.INV(SUM(D10:D11), 0, 1) + 1, 0, 1, TRUE) - SUM(D10:D11), "")</f>
        <v>0.20396280981218182</v>
      </c>
      <c r="E9" s="52">
        <f>IFERROR(_xlfn.NORM.DIST(_xlfn.NORM.INV(SUM(E10:E11), 0, 1) + 1, 0, 1, TRUE) - SUM(E10:E11), "")</f>
        <v>5.253257357682143E-2</v>
      </c>
      <c r="F9" s="52">
        <f>IFERROR(_xlfn.NORM.DIST(_xlfn.NORM.INV(SUM(F10:F11), 0, 1) + 1, 0, 1, TRUE) - SUM(F10:F11), "")</f>
        <v>3.3834540496816098E-2</v>
      </c>
      <c r="G9" s="52">
        <f>IFERROR(_xlfn.NORM.DIST(_xlfn.NORM.INV(SUM(G10:G11), 0, 1) + 1, 0, 1, TRUE) - SUM(G10:G11), "")</f>
        <v>2.2185229264523147E-2</v>
      </c>
    </row>
    <row r="10" spans="1:15" ht="15.75" customHeight="1" x14ac:dyDescent="0.25">
      <c r="B10" s="5" t="s">
        <v>109</v>
      </c>
      <c r="C10" s="45">
        <v>4.74568E-2</v>
      </c>
      <c r="D10" s="53">
        <v>4.74568E-2</v>
      </c>
      <c r="E10" s="53">
        <v>5.0000000000000001E-3</v>
      </c>
      <c r="F10" s="53">
        <v>2.6064999999999999E-3</v>
      </c>
      <c r="G10" s="53">
        <v>5.3490000000000005E-4</v>
      </c>
    </row>
    <row r="11" spans="1:15" ht="15.75" customHeight="1" x14ac:dyDescent="0.25">
      <c r="B11" s="5" t="s">
        <v>110</v>
      </c>
      <c r="C11" s="45">
        <v>0</v>
      </c>
      <c r="D11" s="53">
        <v>0</v>
      </c>
      <c r="E11" s="53">
        <v>0</v>
      </c>
      <c r="F11" s="53">
        <v>0</v>
      </c>
      <c r="G11" s="53">
        <v>8.8580000000000006E-4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0.11741428550000001</v>
      </c>
      <c r="D14" s="54">
        <v>0.104521495984</v>
      </c>
      <c r="E14" s="54">
        <v>0.104521495984</v>
      </c>
      <c r="F14" s="54">
        <v>7.1872665149799994E-2</v>
      </c>
      <c r="G14" s="54">
        <v>7.1872665149799994E-2</v>
      </c>
      <c r="H14" s="45">
        <v>0.30099999999999999</v>
      </c>
      <c r="I14" s="55">
        <v>0.30099999999999999</v>
      </c>
      <c r="J14" s="55">
        <v>0.30099999999999999</v>
      </c>
      <c r="K14" s="55">
        <v>0.30099999999999999</v>
      </c>
      <c r="L14" s="45">
        <v>0.27400000000000002</v>
      </c>
      <c r="M14" s="55">
        <v>0.27400000000000002</v>
      </c>
      <c r="N14" s="55">
        <v>0.27400000000000002</v>
      </c>
      <c r="O14" s="55">
        <v>0.27400000000000002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7.2469271153455E-2</v>
      </c>
      <c r="D15" s="52">
        <f t="shared" si="0"/>
        <v>6.4511712536284627E-2</v>
      </c>
      <c r="E15" s="52">
        <f t="shared" si="0"/>
        <v>6.4511712536284627E-2</v>
      </c>
      <c r="F15" s="52">
        <f t="shared" si="0"/>
        <v>4.4360527657108052E-2</v>
      </c>
      <c r="G15" s="52">
        <f t="shared" si="0"/>
        <v>4.4360527657108052E-2</v>
      </c>
      <c r="H15" s="52">
        <f t="shared" si="0"/>
        <v>0.18578020999999997</v>
      </c>
      <c r="I15" s="52">
        <f t="shared" si="0"/>
        <v>0.18578020999999997</v>
      </c>
      <c r="J15" s="52">
        <f t="shared" si="0"/>
        <v>0.18578020999999997</v>
      </c>
      <c r="K15" s="52">
        <f t="shared" si="0"/>
        <v>0.18578020999999997</v>
      </c>
      <c r="L15" s="52">
        <f t="shared" si="0"/>
        <v>0.16911553999999998</v>
      </c>
      <c r="M15" s="52">
        <f t="shared" si="0"/>
        <v>0.16911553999999998</v>
      </c>
      <c r="N15" s="52">
        <f t="shared" si="0"/>
        <v>0.16911553999999998</v>
      </c>
      <c r="O15" s="52">
        <f t="shared" si="0"/>
        <v>0.16911553999999998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0.26981300000000003</v>
      </c>
      <c r="D2" s="53">
        <v>0.182699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0.23890230000000001</v>
      </c>
      <c r="D3" s="53">
        <v>0.15771360000000001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0.36290050000000001</v>
      </c>
      <c r="D4" s="53">
        <v>0.36913839999999998</v>
      </c>
      <c r="E4" s="53">
        <v>0.57016309999999992</v>
      </c>
      <c r="F4" s="53">
        <v>0.2526948</v>
      </c>
      <c r="G4" s="53">
        <v>0</v>
      </c>
    </row>
    <row r="5" spans="1:7" x14ac:dyDescent="0.25">
      <c r="B5" s="3" t="s">
        <v>122</v>
      </c>
      <c r="C5" s="52">
        <v>0.1283841</v>
      </c>
      <c r="D5" s="52">
        <v>0.29044900000000001</v>
      </c>
      <c r="E5" s="52">
        <f>1-SUM(E2:E4)</f>
        <v>0.42983690000000008</v>
      </c>
      <c r="F5" s="52">
        <f>1-SUM(F2:F4)</f>
        <v>0.7473052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135</v>
      </c>
      <c r="B1" s="4" t="s">
        <v>136</v>
      </c>
    </row>
    <row r="2" spans="1:2" x14ac:dyDescent="0.25">
      <c r="A2" s="8" t="s">
        <v>137</v>
      </c>
      <c r="B2" s="41">
        <v>10</v>
      </c>
    </row>
    <row r="3" spans="1:2" x14ac:dyDescent="0.25">
      <c r="A3" s="8" t="s">
        <v>138</v>
      </c>
      <c r="B3" s="41">
        <v>10</v>
      </c>
    </row>
    <row r="4" spans="1:2" x14ac:dyDescent="0.25">
      <c r="A4" s="8" t="s">
        <v>139</v>
      </c>
      <c r="B4" s="41">
        <v>10</v>
      </c>
    </row>
    <row r="5" spans="1:2" x14ac:dyDescent="0.25">
      <c r="A5" s="8" t="s">
        <v>140</v>
      </c>
      <c r="B5" s="41">
        <v>10</v>
      </c>
    </row>
    <row r="6" spans="1:2" x14ac:dyDescent="0.25">
      <c r="A6" s="8" t="s">
        <v>141</v>
      </c>
      <c r="B6" s="41">
        <v>10</v>
      </c>
    </row>
    <row r="7" spans="1:2" x14ac:dyDescent="0.25">
      <c r="A7" s="8" t="s">
        <v>142</v>
      </c>
      <c r="B7" s="41">
        <v>10</v>
      </c>
    </row>
  </sheetData>
  <sheetProtection algorithmName="SHA-512" hashValue="YTrXHsnirT/bsP+7+uMgpWAhdccKC9Qo1FzXrh2XswY271EWOG0bFZHop7LfSCGKI/uyxD63LS8xZgES2J7SsQ==" saltValue="F9kdn6b4UaX+yMB6vvKJXg==" spinCount="100000" sheet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143</v>
      </c>
      <c r="B1" s="36" t="s">
        <v>144</v>
      </c>
      <c r="C1" s="36" t="s">
        <v>145</v>
      </c>
      <c r="D1" s="36" t="s">
        <v>146</v>
      </c>
      <c r="E1" s="36" t="s">
        <v>147</v>
      </c>
    </row>
    <row r="2" spans="1:5" ht="13" customHeight="1" x14ac:dyDescent="0.3">
      <c r="A2" s="34" t="s">
        <v>148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149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149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149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149</v>
      </c>
      <c r="E6" s="38" t="str">
        <f>IF(E$7="","",E$7)</f>
        <v/>
      </c>
    </row>
    <row r="7" spans="1:5" x14ac:dyDescent="0.25">
      <c r="B7" s="32" t="s">
        <v>150</v>
      </c>
      <c r="C7" s="31"/>
      <c r="D7" s="30"/>
      <c r="E7" s="47"/>
    </row>
    <row r="9" spans="1:5" ht="13" customHeight="1" x14ac:dyDescent="0.3">
      <c r="A9" s="34" t="s">
        <v>151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149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149</v>
      </c>
      <c r="E13" s="38" t="str">
        <f>IF(E$7="","",E$7)</f>
        <v/>
      </c>
    </row>
    <row r="14" spans="1:5" x14ac:dyDescent="0.25">
      <c r="B14" s="32" t="s">
        <v>150</v>
      </c>
      <c r="C14" s="31"/>
      <c r="D14" s="30"/>
      <c r="E14" s="47"/>
    </row>
    <row r="16" spans="1:5" ht="13" customHeight="1" x14ac:dyDescent="0.3">
      <c r="A16" s="34" t="s">
        <v>152</v>
      </c>
      <c r="B16" s="32" t="s">
        <v>90</v>
      </c>
      <c r="C16" s="47"/>
      <c r="D16" s="47" t="s">
        <v>149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149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149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149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149</v>
      </c>
      <c r="E20" s="38" t="str">
        <f>IF(E$7="","",E$7)</f>
        <v/>
      </c>
    </row>
    <row r="21" spans="2:5" x14ac:dyDescent="0.25">
      <c r="B21" s="32" t="s">
        <v>150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1</v>
      </c>
      <c r="B1" s="36" t="s">
        <v>153</v>
      </c>
      <c r="C1" s="40" t="s">
        <v>154</v>
      </c>
      <c r="D1" s="40" t="s">
        <v>155</v>
      </c>
    </row>
    <row r="2" spans="1:4" ht="13" customHeight="1" x14ac:dyDescent="0.3">
      <c r="A2" s="40" t="s">
        <v>156</v>
      </c>
      <c r="B2" s="32" t="s">
        <v>157</v>
      </c>
      <c r="C2" s="32" t="s">
        <v>158</v>
      </c>
      <c r="D2" s="47"/>
    </row>
    <row r="3" spans="1:4" ht="13" customHeight="1" x14ac:dyDescent="0.3">
      <c r="A3" s="40" t="s">
        <v>159</v>
      </c>
      <c r="B3" s="32" t="s">
        <v>145</v>
      </c>
      <c r="C3" s="32" t="s">
        <v>160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opLeftCell="A24" zoomScale="70" zoomScaleNormal="70" workbookViewId="0">
      <selection activeCell="B30" sqref="B30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156</v>
      </c>
      <c r="B1" s="22" t="str">
        <f>"Baseline ("&amp;start_year&amp;") coverage"</f>
        <v>Baseline (2024) coverage</v>
      </c>
      <c r="C1" s="22" t="s">
        <v>161</v>
      </c>
      <c r="D1" s="22" t="s">
        <v>162</v>
      </c>
      <c r="E1" s="22" t="s">
        <v>163</v>
      </c>
      <c r="F1" s="22" t="s">
        <v>164</v>
      </c>
      <c r="G1" s="22" t="s">
        <v>165</v>
      </c>
    </row>
    <row r="2" spans="1:7" ht="15.75" customHeight="1" x14ac:dyDescent="0.25">
      <c r="A2" s="5" t="s">
        <v>166</v>
      </c>
      <c r="B2" s="45">
        <v>0</v>
      </c>
      <c r="C2" s="98">
        <v>0.95</v>
      </c>
      <c r="D2" s="56">
        <v>56.254705436031671</v>
      </c>
      <c r="E2" s="56" t="s">
        <v>167</v>
      </c>
      <c r="F2" s="98">
        <v>1</v>
      </c>
      <c r="G2" s="98">
        <v>1</v>
      </c>
    </row>
    <row r="3" spans="1:7" ht="15.75" customHeight="1" x14ac:dyDescent="0.25">
      <c r="A3" s="5" t="s">
        <v>168</v>
      </c>
      <c r="B3" s="45">
        <v>0.208164292</v>
      </c>
      <c r="C3" s="98">
        <v>0.95</v>
      </c>
      <c r="D3" s="56">
        <v>39.840352237471023</v>
      </c>
      <c r="E3" s="56" t="s">
        <v>167</v>
      </c>
      <c r="F3" s="98">
        <v>1</v>
      </c>
      <c r="G3" s="98">
        <v>1</v>
      </c>
    </row>
    <row r="4" spans="1:7" ht="15.75" customHeight="1" x14ac:dyDescent="0.25">
      <c r="A4" s="5" t="s">
        <v>169</v>
      </c>
      <c r="B4" s="98">
        <v>0</v>
      </c>
      <c r="C4" s="98">
        <v>0.95</v>
      </c>
      <c r="D4" s="56">
        <v>386.57856933182762</v>
      </c>
      <c r="E4" s="56" t="s">
        <v>167</v>
      </c>
      <c r="F4" s="98">
        <v>1</v>
      </c>
      <c r="G4" s="98">
        <v>1</v>
      </c>
    </row>
    <row r="5" spans="1:7" ht="15.75" customHeight="1" x14ac:dyDescent="0.25">
      <c r="A5" s="5" t="s">
        <v>170</v>
      </c>
      <c r="B5" s="98">
        <v>0</v>
      </c>
      <c r="C5" s="98">
        <v>0.95</v>
      </c>
      <c r="D5" s="56">
        <v>4.1173102961713033</v>
      </c>
      <c r="E5" s="56" t="s">
        <v>167</v>
      </c>
      <c r="F5" s="98">
        <v>1</v>
      </c>
      <c r="G5" s="98">
        <v>1</v>
      </c>
    </row>
    <row r="6" spans="1:7" ht="15.75" customHeight="1" x14ac:dyDescent="0.25">
      <c r="A6" s="5" t="s">
        <v>171</v>
      </c>
      <c r="B6" s="98">
        <v>0</v>
      </c>
      <c r="C6" s="98">
        <v>0.95</v>
      </c>
      <c r="D6" s="56">
        <v>99.99</v>
      </c>
      <c r="E6" s="56" t="s">
        <v>167</v>
      </c>
      <c r="F6" s="98">
        <v>1</v>
      </c>
      <c r="G6" s="98">
        <v>1</v>
      </c>
    </row>
    <row r="7" spans="1:7" ht="15.75" customHeight="1" x14ac:dyDescent="0.25">
      <c r="A7" s="5" t="s">
        <v>172</v>
      </c>
      <c r="B7" s="98">
        <v>0</v>
      </c>
      <c r="C7" s="98">
        <v>0.95</v>
      </c>
      <c r="D7" s="56">
        <v>99.99</v>
      </c>
      <c r="E7" s="56" t="s">
        <v>167</v>
      </c>
      <c r="F7" s="98">
        <v>1</v>
      </c>
      <c r="G7" s="98">
        <v>1</v>
      </c>
    </row>
    <row r="8" spans="1:7" ht="15.75" customHeight="1" x14ac:dyDescent="0.25">
      <c r="A8" s="5" t="s">
        <v>173</v>
      </c>
      <c r="B8" s="98">
        <v>0</v>
      </c>
      <c r="C8" s="98">
        <v>0.95</v>
      </c>
      <c r="D8" s="56">
        <v>99.99</v>
      </c>
      <c r="E8" s="56" t="s">
        <v>167</v>
      </c>
      <c r="F8" s="98">
        <v>1</v>
      </c>
      <c r="G8" s="98">
        <v>1</v>
      </c>
    </row>
    <row r="9" spans="1:7" ht="15.75" customHeight="1" x14ac:dyDescent="0.25">
      <c r="A9" s="5" t="s">
        <v>174</v>
      </c>
      <c r="B9" s="98">
        <v>0</v>
      </c>
      <c r="C9" s="98">
        <v>0.95</v>
      </c>
      <c r="D9" s="56">
        <v>99.99</v>
      </c>
      <c r="E9" s="56" t="s">
        <v>167</v>
      </c>
      <c r="F9" s="98">
        <v>1</v>
      </c>
      <c r="G9" s="98">
        <v>1</v>
      </c>
    </row>
    <row r="10" spans="1:7" ht="15.75" customHeight="1" x14ac:dyDescent="0.25">
      <c r="A10" s="11" t="s">
        <v>175</v>
      </c>
      <c r="B10" s="45">
        <v>0</v>
      </c>
      <c r="C10" s="98">
        <v>0.95</v>
      </c>
      <c r="D10" s="56">
        <v>12.97265168126693</v>
      </c>
      <c r="E10" s="56" t="s">
        <v>167</v>
      </c>
      <c r="F10" s="98">
        <v>1</v>
      </c>
      <c r="G10" s="98">
        <v>1</v>
      </c>
    </row>
    <row r="11" spans="1:7" ht="15.75" customHeight="1" x14ac:dyDescent="0.25">
      <c r="A11" s="11" t="s">
        <v>176</v>
      </c>
      <c r="B11" s="98">
        <v>0</v>
      </c>
      <c r="C11" s="98">
        <v>0.95</v>
      </c>
      <c r="D11" s="56">
        <v>12.97265168126693</v>
      </c>
      <c r="E11" s="56" t="s">
        <v>167</v>
      </c>
      <c r="F11" s="98">
        <v>1</v>
      </c>
      <c r="G11" s="98">
        <v>1</v>
      </c>
    </row>
    <row r="12" spans="1:7" ht="15.75" customHeight="1" x14ac:dyDescent="0.25">
      <c r="A12" s="11" t="s">
        <v>177</v>
      </c>
      <c r="B12" s="98">
        <v>0</v>
      </c>
      <c r="C12" s="98">
        <v>0.95</v>
      </c>
      <c r="D12" s="56">
        <v>12.97265168126693</v>
      </c>
      <c r="E12" s="56" t="s">
        <v>167</v>
      </c>
      <c r="F12" s="98">
        <v>1</v>
      </c>
      <c r="G12" s="98">
        <v>1</v>
      </c>
    </row>
    <row r="13" spans="1:7" ht="15.75" customHeight="1" x14ac:dyDescent="0.25">
      <c r="A13" s="11" t="s">
        <v>178</v>
      </c>
      <c r="B13" s="98">
        <v>0</v>
      </c>
      <c r="C13" s="98">
        <v>0.95</v>
      </c>
      <c r="D13" s="56">
        <v>12.97265168126693</v>
      </c>
      <c r="E13" s="56" t="s">
        <v>167</v>
      </c>
      <c r="F13" s="98">
        <v>1</v>
      </c>
      <c r="G13" s="98">
        <v>1</v>
      </c>
    </row>
    <row r="14" spans="1:7" ht="15.75" customHeight="1" x14ac:dyDescent="0.25">
      <c r="A14" s="5" t="s">
        <v>179</v>
      </c>
      <c r="B14" s="45">
        <v>0</v>
      </c>
      <c r="C14" s="98">
        <v>0.95</v>
      </c>
      <c r="D14" s="56">
        <v>12.97265168126693</v>
      </c>
      <c r="E14" s="56" t="s">
        <v>167</v>
      </c>
      <c r="F14" s="98">
        <v>1</v>
      </c>
      <c r="G14" s="98">
        <v>1</v>
      </c>
    </row>
    <row r="15" spans="1:7" ht="15.75" customHeight="1" x14ac:dyDescent="0.25">
      <c r="A15" s="5" t="s">
        <v>180</v>
      </c>
      <c r="B15" s="98">
        <v>0</v>
      </c>
      <c r="C15" s="98">
        <v>0.95</v>
      </c>
      <c r="D15" s="56">
        <v>12.97265168126693</v>
      </c>
      <c r="E15" s="56" t="s">
        <v>167</v>
      </c>
      <c r="F15" s="98">
        <v>1</v>
      </c>
      <c r="G15" s="98">
        <v>1</v>
      </c>
    </row>
    <row r="16" spans="1:7" ht="15.75" customHeight="1" x14ac:dyDescent="0.25">
      <c r="A16" s="5" t="s">
        <v>181</v>
      </c>
      <c r="B16" s="45">
        <v>0</v>
      </c>
      <c r="C16" s="98">
        <v>0.95</v>
      </c>
      <c r="D16" s="56">
        <v>0.67941748116227962</v>
      </c>
      <c r="E16" s="56" t="s">
        <v>167</v>
      </c>
      <c r="F16" s="98">
        <v>1</v>
      </c>
      <c r="G16" s="98">
        <v>1</v>
      </c>
    </row>
    <row r="17" spans="1:7" ht="15.75" customHeight="1" x14ac:dyDescent="0.25">
      <c r="A17" s="5" t="s">
        <v>182</v>
      </c>
      <c r="B17" s="98">
        <v>0</v>
      </c>
      <c r="C17" s="98">
        <v>0.95</v>
      </c>
      <c r="D17" s="56">
        <v>0.1369044839662158</v>
      </c>
      <c r="E17" s="56" t="s">
        <v>167</v>
      </c>
      <c r="F17" s="98">
        <v>1</v>
      </c>
      <c r="G17" s="98">
        <v>1</v>
      </c>
    </row>
    <row r="18" spans="1:7" ht="15.9" customHeight="1" x14ac:dyDescent="0.25">
      <c r="A18" s="5" t="s">
        <v>148</v>
      </c>
      <c r="B18" s="98">
        <v>0.12518998433337</v>
      </c>
      <c r="C18" s="98">
        <v>0.95</v>
      </c>
      <c r="D18" s="56">
        <v>8.9203956176994357</v>
      </c>
      <c r="E18" s="56" t="s">
        <v>167</v>
      </c>
      <c r="F18" s="98">
        <v>1</v>
      </c>
      <c r="G18" s="98">
        <v>1</v>
      </c>
    </row>
    <row r="19" spans="1:7" ht="15.75" customHeight="1" x14ac:dyDescent="0.25">
      <c r="A19" s="5" t="s">
        <v>151</v>
      </c>
      <c r="B19" s="98">
        <v>0.86258020000000002</v>
      </c>
      <c r="C19" s="98">
        <v>0.95</v>
      </c>
      <c r="D19" s="56">
        <v>8.9203956176994357</v>
      </c>
      <c r="E19" s="56" t="s">
        <v>167</v>
      </c>
      <c r="F19" s="98">
        <v>1</v>
      </c>
      <c r="G19" s="98">
        <v>1</v>
      </c>
    </row>
    <row r="20" spans="1:7" ht="15.75" customHeight="1" x14ac:dyDescent="0.25">
      <c r="A20" s="5" t="s">
        <v>152</v>
      </c>
      <c r="B20" s="98">
        <v>0</v>
      </c>
      <c r="C20" s="98">
        <v>0.95</v>
      </c>
      <c r="D20" s="56">
        <v>99.99</v>
      </c>
      <c r="E20" s="56" t="s">
        <v>167</v>
      </c>
      <c r="F20" s="98">
        <v>1</v>
      </c>
      <c r="G20" s="98">
        <v>1</v>
      </c>
    </row>
    <row r="21" spans="1:7" ht="15.75" customHeight="1" x14ac:dyDescent="0.25">
      <c r="A21" s="5" t="s">
        <v>183</v>
      </c>
      <c r="B21" s="45">
        <v>0.84712010000000004</v>
      </c>
      <c r="C21" s="98">
        <v>0.95</v>
      </c>
      <c r="D21" s="56">
        <v>44.23052776081574</v>
      </c>
      <c r="E21" s="56" t="s">
        <v>167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22.365929113311349</v>
      </c>
      <c r="E22" s="56" t="s">
        <v>167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4.2546328106455702</v>
      </c>
      <c r="E23" s="56" t="s">
        <v>167</v>
      </c>
      <c r="F23" s="98">
        <v>1</v>
      </c>
      <c r="G23" s="98">
        <v>1</v>
      </c>
    </row>
    <row r="24" spans="1:7" ht="15.75" customHeight="1" x14ac:dyDescent="0.25">
      <c r="A24" s="5" t="s">
        <v>186</v>
      </c>
      <c r="B24" s="45">
        <v>0.94864842517044001</v>
      </c>
      <c r="C24" s="98">
        <v>0.95</v>
      </c>
      <c r="D24" s="56">
        <v>99.99</v>
      </c>
      <c r="E24" s="56" t="s">
        <v>167</v>
      </c>
      <c r="F24" s="98">
        <v>1</v>
      </c>
      <c r="G24" s="98">
        <v>1</v>
      </c>
    </row>
    <row r="25" spans="1:7" ht="15.75" customHeight="1" x14ac:dyDescent="0.25">
      <c r="A25" s="5" t="s">
        <v>187</v>
      </c>
      <c r="B25" s="98">
        <v>0</v>
      </c>
      <c r="C25" s="98">
        <v>0.95</v>
      </c>
      <c r="D25" s="56">
        <v>99.99</v>
      </c>
      <c r="E25" s="56" t="s">
        <v>167</v>
      </c>
      <c r="F25" s="98">
        <v>1</v>
      </c>
      <c r="G25" s="98">
        <v>1</v>
      </c>
    </row>
    <row r="26" spans="1:7" ht="15.75" customHeight="1" x14ac:dyDescent="0.25">
      <c r="A26" s="5" t="s">
        <v>188</v>
      </c>
      <c r="B26" s="45">
        <v>0</v>
      </c>
      <c r="C26" s="98">
        <v>0.95</v>
      </c>
      <c r="D26" s="56">
        <v>99.99</v>
      </c>
      <c r="E26" s="56" t="s">
        <v>167</v>
      </c>
      <c r="F26" s="98">
        <v>1</v>
      </c>
      <c r="G26" s="98">
        <v>1</v>
      </c>
    </row>
    <row r="27" spans="1:7" ht="15.75" customHeight="1" x14ac:dyDescent="0.25">
      <c r="A27" s="5" t="s">
        <v>189</v>
      </c>
      <c r="B27" s="45">
        <v>0</v>
      </c>
      <c r="C27" s="98">
        <v>0.95</v>
      </c>
      <c r="D27" s="56">
        <v>18.548511011776839</v>
      </c>
      <c r="E27" s="56" t="s">
        <v>167</v>
      </c>
      <c r="F27" s="98">
        <v>1</v>
      </c>
      <c r="G27" s="98">
        <v>1</v>
      </c>
    </row>
    <row r="28" spans="1:7" ht="15.75" customHeight="1" x14ac:dyDescent="0.25">
      <c r="A28" s="5" t="s">
        <v>190</v>
      </c>
      <c r="B28" s="45">
        <v>0.74392798483707001</v>
      </c>
      <c r="C28" s="98">
        <v>0.95</v>
      </c>
      <c r="D28" s="56">
        <v>99.99</v>
      </c>
      <c r="E28" s="56" t="s">
        <v>167</v>
      </c>
      <c r="F28" s="98">
        <v>1</v>
      </c>
      <c r="G28" s="98">
        <v>1</v>
      </c>
    </row>
    <row r="29" spans="1:7" ht="15.75" customHeight="1" x14ac:dyDescent="0.25">
      <c r="A29" s="5" t="s">
        <v>191</v>
      </c>
      <c r="B29" s="45">
        <v>0</v>
      </c>
      <c r="C29" s="98">
        <v>0.95</v>
      </c>
      <c r="D29" s="56">
        <v>109.5975303040908</v>
      </c>
      <c r="E29" s="56" t="s">
        <v>167</v>
      </c>
      <c r="F29" s="98">
        <v>1</v>
      </c>
      <c r="G29" s="98">
        <v>1</v>
      </c>
    </row>
    <row r="30" spans="1:7" ht="15.75" customHeight="1" x14ac:dyDescent="0.25">
      <c r="A30" s="5" t="s">
        <v>192</v>
      </c>
      <c r="B30" s="98">
        <v>0</v>
      </c>
      <c r="C30" s="98">
        <v>0.95</v>
      </c>
      <c r="D30" s="56">
        <v>99</v>
      </c>
      <c r="E30" s="56" t="s">
        <v>167</v>
      </c>
      <c r="F30" s="98">
        <v>1</v>
      </c>
      <c r="G30" s="98">
        <v>1</v>
      </c>
    </row>
    <row r="31" spans="1:7" ht="15.75" customHeight="1" x14ac:dyDescent="0.25">
      <c r="A31" s="5" t="s">
        <v>157</v>
      </c>
      <c r="B31" s="45">
        <v>0</v>
      </c>
      <c r="C31" s="98">
        <v>0.95</v>
      </c>
      <c r="D31" s="56">
        <v>0.66646007760184001</v>
      </c>
      <c r="E31" s="56" t="s">
        <v>167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1.454747276626283</v>
      </c>
      <c r="E32" s="56" t="s">
        <v>167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167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</v>
      </c>
      <c r="C34" s="98">
        <v>0.95</v>
      </c>
      <c r="D34" s="56">
        <v>99.99</v>
      </c>
      <c r="E34" s="56" t="s">
        <v>167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167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0.49874190000000002</v>
      </c>
      <c r="C36" s="98">
        <v>0.95</v>
      </c>
      <c r="D36" s="56">
        <v>99.99</v>
      </c>
      <c r="E36" s="56" t="s">
        <v>167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</v>
      </c>
      <c r="C37" s="98">
        <v>0.95</v>
      </c>
      <c r="D37" s="56">
        <v>99.99</v>
      </c>
      <c r="E37" s="56" t="s">
        <v>167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0.42392999999999997</v>
      </c>
      <c r="C38" s="98">
        <v>0.95</v>
      </c>
      <c r="D38" s="56">
        <v>1.036071241780949</v>
      </c>
      <c r="E38" s="56" t="s">
        <v>167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167</v>
      </c>
      <c r="F39" s="98">
        <v>1</v>
      </c>
      <c r="G39" s="98">
        <v>1</v>
      </c>
    </row>
  </sheetData>
  <sheetProtection algorithmName="SHA-512" hashValue="SwqShMKjZ/Tc3FrdHQz/MjdsWftRTk85s02s32k0tDk98bBhXaGhkqbuII/OivPUJtqXOhQ4ck/oX/RBAeMIgQ==" saltValue="RORLzDUZEp7fquGh4DZ5h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tabSelected="1" workbookViewId="0">
      <selection activeCell="B12" sqref="B12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156</v>
      </c>
      <c r="B1" s="4" t="s">
        <v>201</v>
      </c>
      <c r="C1" s="4" t="s">
        <v>202</v>
      </c>
    </row>
    <row r="2" spans="1:3" x14ac:dyDescent="0.25">
      <c r="A2" s="57" t="s">
        <v>179</v>
      </c>
      <c r="B2" s="47" t="s">
        <v>189</v>
      </c>
      <c r="C2" s="47"/>
    </row>
    <row r="3" spans="1:3" x14ac:dyDescent="0.25">
      <c r="A3" s="57" t="s">
        <v>180</v>
      </c>
      <c r="B3" s="47" t="s">
        <v>189</v>
      </c>
      <c r="C3" s="47"/>
    </row>
    <row r="4" spans="1:3" x14ac:dyDescent="0.25">
      <c r="A4" s="57" t="s">
        <v>191</v>
      </c>
      <c r="B4" s="47" t="s">
        <v>184</v>
      </c>
      <c r="C4" s="47"/>
    </row>
    <row r="5" spans="1:3" x14ac:dyDescent="0.25">
      <c r="A5" s="57" t="s">
        <v>188</v>
      </c>
      <c r="B5" s="47" t="s">
        <v>184</v>
      </c>
      <c r="C5" s="47"/>
    </row>
    <row r="6" spans="1:3" x14ac:dyDescent="0.25">
      <c r="A6" s="57" t="s">
        <v>191</v>
      </c>
      <c r="B6" s="58" t="s">
        <v>192</v>
      </c>
      <c r="C6" s="58"/>
    </row>
    <row r="7" spans="1:3" x14ac:dyDescent="0.25">
      <c r="A7" s="57" t="s">
        <v>188</v>
      </c>
      <c r="B7" s="58" t="s">
        <v>192</v>
      </c>
      <c r="C7" s="58"/>
    </row>
    <row r="8" spans="1:3" x14ac:dyDescent="0.25">
      <c r="A8" s="57" t="s">
        <v>200</v>
      </c>
      <c r="B8" s="58" t="s">
        <v>192</v>
      </c>
      <c r="C8" s="58"/>
    </row>
    <row r="9" spans="1:3" x14ac:dyDescent="0.25">
      <c r="A9" s="57" t="s">
        <v>193</v>
      </c>
      <c r="B9" s="58" t="s">
        <v>192</v>
      </c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156</v>
      </c>
    </row>
    <row r="2" spans="1:1" x14ac:dyDescent="0.25">
      <c r="A2" s="33" t="s">
        <v>171</v>
      </c>
    </row>
    <row r="3" spans="1:1" x14ac:dyDescent="0.25">
      <c r="A3" s="33" t="s">
        <v>181</v>
      </c>
    </row>
    <row r="4" spans="1:1" x14ac:dyDescent="0.25">
      <c r="A4" s="33" t="s">
        <v>185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203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2.8</v>
      </c>
      <c r="C2" s="21">
        <f>'Baseline year population inputs'!C52</f>
        <v>2.8</v>
      </c>
      <c r="D2" s="21">
        <f>'Baseline year population inputs'!C53</f>
        <v>2.8</v>
      </c>
      <c r="E2" s="21">
        <f>'Baseline year population inputs'!C54</f>
        <v>2.8</v>
      </c>
      <c r="F2" s="21">
        <f>'Baseline year population inputs'!C55</f>
        <v>2.8</v>
      </c>
    </row>
    <row r="3" spans="1:6" ht="15.75" customHeight="1" x14ac:dyDescent="0.25">
      <c r="A3" s="3" t="s">
        <v>204</v>
      </c>
      <c r="B3" s="21">
        <f>frac_mam_1month * 2.6</f>
        <v>0.12338768</v>
      </c>
      <c r="C3" s="21">
        <f>frac_mam_1_5months * 2.6</f>
        <v>0.12338768</v>
      </c>
      <c r="D3" s="21">
        <f>frac_mam_6_11months * 2.6</f>
        <v>1.3000000000000001E-2</v>
      </c>
      <c r="E3" s="21">
        <f>frac_mam_12_23months * 2.6</f>
        <v>6.7768999999999998E-3</v>
      </c>
      <c r="F3" s="21">
        <f>frac_mam_24_59months * 2.6</f>
        <v>1.3907400000000001E-3</v>
      </c>
    </row>
    <row r="4" spans="1:6" ht="15.75" customHeight="1" x14ac:dyDescent="0.25">
      <c r="A4" s="3" t="s">
        <v>205</v>
      </c>
      <c r="B4" s="21">
        <f>frac_sam_1month * 2.6</f>
        <v>0</v>
      </c>
      <c r="C4" s="21">
        <f>frac_sam_1_5months * 2.6</f>
        <v>0</v>
      </c>
      <c r="D4" s="21">
        <f>frac_sam_6_11months * 2.6</f>
        <v>0</v>
      </c>
      <c r="E4" s="21">
        <f>frac_sam_12_23months * 2.6</f>
        <v>0</v>
      </c>
      <c r="F4" s="21">
        <f>frac_sam_24_59months * 2.6</f>
        <v>2.3030800000000003E-3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169</v>
      </c>
      <c r="C2" s="60">
        <v>0</v>
      </c>
      <c r="D2" s="60">
        <f>food_insecure</f>
        <v>4.4999999999999998E-2</v>
      </c>
      <c r="E2" s="60">
        <f>food_insecure</f>
        <v>4.4999999999999998E-2</v>
      </c>
      <c r="F2" s="60">
        <f>food_insecure</f>
        <v>4.4999999999999998E-2</v>
      </c>
      <c r="G2" s="60">
        <f>food_insecure</f>
        <v>4.4999999999999998E-2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4.4999999999999998E-2</v>
      </c>
      <c r="F5" s="60">
        <f>food_insecure</f>
        <v>4.4999999999999998E-2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190</v>
      </c>
      <c r="C7" s="60">
        <f>diarrhoea_1mo*frac_diarrhea_severe</f>
        <v>4.6000000000000006E-2</v>
      </c>
      <c r="D7" s="60">
        <f>diarrhoea_1_5mo*frac_diarrhea_severe</f>
        <v>4.6000000000000006E-2</v>
      </c>
      <c r="E7" s="60">
        <f>diarrhoea_6_11mo*frac_diarrhea_severe</f>
        <v>4.6000000000000006E-2</v>
      </c>
      <c r="F7" s="60">
        <f>diarrhoea_12_23mo*frac_diarrhea_severe</f>
        <v>4.6000000000000006E-2</v>
      </c>
      <c r="G7" s="60">
        <f>diarrhoea_24_59mo*frac_diarrhea_severe</f>
        <v>4.6000000000000006E-2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191</v>
      </c>
      <c r="C8" s="60">
        <v>0</v>
      </c>
      <c r="D8" s="60">
        <v>0</v>
      </c>
      <c r="E8" s="60">
        <f>food_insecure</f>
        <v>4.4999999999999998E-2</v>
      </c>
      <c r="F8" s="60">
        <f>food_insecure</f>
        <v>4.4999999999999998E-2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192</v>
      </c>
      <c r="C9" s="60">
        <v>0</v>
      </c>
      <c r="D9" s="60">
        <v>0</v>
      </c>
      <c r="E9" s="60">
        <f>food_insecure</f>
        <v>4.4999999999999998E-2</v>
      </c>
      <c r="F9" s="60">
        <f>food_insecure</f>
        <v>4.4999999999999998E-2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157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4.6000000000000006E-2</v>
      </c>
      <c r="D12" s="60">
        <f>diarrhoea_1_5mo*frac_diarrhea_severe</f>
        <v>4.6000000000000006E-2</v>
      </c>
      <c r="E12" s="60">
        <f>diarrhoea_6_11mo*frac_diarrhea_severe</f>
        <v>4.6000000000000006E-2</v>
      </c>
      <c r="F12" s="60">
        <f>diarrhoea_12_23mo*frac_diarrhea_severe</f>
        <v>4.6000000000000006E-2</v>
      </c>
      <c r="G12" s="60">
        <f>diarrhoea_24_59mo*frac_diarrhea_severe</f>
        <v>4.6000000000000006E-2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166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4.4999999999999998E-2</v>
      </c>
      <c r="I15" s="60">
        <f>food_insecure</f>
        <v>4.4999999999999998E-2</v>
      </c>
      <c r="J15" s="60">
        <f>food_insecure</f>
        <v>4.4999999999999998E-2</v>
      </c>
      <c r="K15" s="60">
        <f>food_insecure</f>
        <v>4.4999999999999998E-2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207</v>
      </c>
      <c r="B24" s="11" t="s">
        <v>171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0.249</v>
      </c>
      <c r="M24" s="60">
        <f>famplan_unmet_need</f>
        <v>0.249</v>
      </c>
      <c r="N24" s="60">
        <f>famplan_unmet_need</f>
        <v>0.249</v>
      </c>
      <c r="O24" s="60">
        <f>famplan_unmet_need</f>
        <v>0.249</v>
      </c>
    </row>
    <row r="25" spans="1:15" ht="15.75" customHeight="1" x14ac:dyDescent="0.25">
      <c r="B25" s="11" t="s">
        <v>175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5.6725024604796026E-3</v>
      </c>
      <c r="M25" s="60">
        <f>(1-food_insecure)*(0.49)+food_insecure*(0.7)</f>
        <v>0.49944999999999995</v>
      </c>
      <c r="N25" s="60">
        <f>(1-food_insecure)*(0.49)+food_insecure*(0.7)</f>
        <v>0.49944999999999995</v>
      </c>
      <c r="O25" s="60">
        <f>(1-food_insecure)*(0.49)+food_insecure*(0.7)</f>
        <v>0.49944999999999995</v>
      </c>
    </row>
    <row r="26" spans="1:15" ht="15.75" customHeight="1" x14ac:dyDescent="0.25">
      <c r="B26" s="11" t="s">
        <v>176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2.4310724830626869E-3</v>
      </c>
      <c r="M26" s="60">
        <f>(1-food_insecure)*(0.21)+food_insecure*(0.3)</f>
        <v>0.21404999999999999</v>
      </c>
      <c r="N26" s="60">
        <f>(1-food_insecure)*(0.21)+food_insecure*(0.3)</f>
        <v>0.21404999999999999</v>
      </c>
      <c r="O26" s="60">
        <f>(1-food_insecure)*(0.21)+food_insecure*(0.3)</f>
        <v>0.21404999999999999</v>
      </c>
    </row>
    <row r="27" spans="1:15" ht="15.75" customHeight="1" x14ac:dyDescent="0.25">
      <c r="B27" s="11" t="s">
        <v>177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3.2539232254027556E-3</v>
      </c>
      <c r="M27" s="60">
        <f>(1-food_insecure)*(0.3)</f>
        <v>0.28649999999999998</v>
      </c>
      <c r="N27" s="60">
        <f>(1-food_insecure)*(0.3)</f>
        <v>0.28649999999999998</v>
      </c>
      <c r="O27" s="60">
        <f>(1-food_insecure)*(0.3)</f>
        <v>0.28649999999999998</v>
      </c>
    </row>
    <row r="28" spans="1:15" ht="15.75" customHeight="1" x14ac:dyDescent="0.25">
      <c r="B28" s="11" t="s">
        <v>178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0.98864250183105495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208</v>
      </c>
      <c r="B30" s="5" t="s">
        <v>172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173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174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/rGyVZgGkhUAqOYeQhEdKJohJnZwMlPtVcOZvPWAG/LEg5Gne9k7nZtnui0huHfripADE6dYtqDmtQbZr0eCA==" saltValue="B8YmPLaFBUBxrPCcmxl/Fg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167</v>
      </c>
    </row>
    <row r="2" spans="1:1" x14ac:dyDescent="0.25">
      <c r="A2" s="8" t="s">
        <v>209</v>
      </c>
    </row>
    <row r="3" spans="1:1" x14ac:dyDescent="0.25">
      <c r="A3" s="8" t="s">
        <v>210</v>
      </c>
    </row>
    <row r="4" spans="1:1" x14ac:dyDescent="0.25">
      <c r="A4" s="8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212</v>
      </c>
      <c r="B1" s="4" t="s">
        <v>213</v>
      </c>
      <c r="C1" s="4" t="s">
        <v>214</v>
      </c>
      <c r="D1" s="4" t="s">
        <v>136</v>
      </c>
      <c r="E1" s="4" t="s">
        <v>215</v>
      </c>
    </row>
    <row r="2" spans="1:5" ht="14" customHeight="1" x14ac:dyDescent="0.3">
      <c r="A2" s="28" t="s">
        <v>216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A12" sqref="A12:XFD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169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148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192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157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166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207</v>
      </c>
      <c r="B27" s="5" t="s">
        <v>171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208</v>
      </c>
      <c r="B33" s="5" t="s">
        <v>172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156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5" t="s">
        <v>166</v>
      </c>
      <c r="B2" s="87"/>
      <c r="C2" s="87"/>
      <c r="D2" s="87"/>
      <c r="E2" s="87"/>
      <c r="F2" s="87"/>
      <c r="G2" s="87"/>
      <c r="H2" s="87"/>
      <c r="I2" s="87" t="s">
        <v>149</v>
      </c>
      <c r="J2" s="87"/>
      <c r="K2" s="87"/>
    </row>
    <row r="3" spans="1:11" x14ac:dyDescent="0.25">
      <c r="A3" s="5" t="s">
        <v>168</v>
      </c>
      <c r="B3" s="87"/>
      <c r="C3" s="87"/>
      <c r="D3" s="87"/>
      <c r="E3" s="87"/>
      <c r="F3" s="87"/>
      <c r="G3" s="87"/>
      <c r="H3" s="87" t="s">
        <v>149</v>
      </c>
      <c r="I3" s="87"/>
      <c r="J3" s="87"/>
      <c r="K3" s="87"/>
    </row>
    <row r="4" spans="1:11" x14ac:dyDescent="0.25">
      <c r="A4" s="5" t="s">
        <v>169</v>
      </c>
      <c r="B4" s="87"/>
      <c r="C4" s="87"/>
      <c r="D4" s="87" t="s">
        <v>149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170</v>
      </c>
      <c r="B5" s="87"/>
      <c r="C5" s="87" t="s">
        <v>149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171</v>
      </c>
      <c r="B6" s="87"/>
      <c r="C6" s="87"/>
      <c r="D6" s="87"/>
      <c r="E6" s="87"/>
      <c r="F6" s="87"/>
      <c r="G6" s="87"/>
      <c r="H6" s="87"/>
      <c r="I6" s="87"/>
      <c r="J6" s="87" t="s">
        <v>149</v>
      </c>
      <c r="K6" s="87" t="s">
        <v>149</v>
      </c>
    </row>
    <row r="7" spans="1:11" x14ac:dyDescent="0.25">
      <c r="A7" s="5" t="s">
        <v>172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/>
      <c r="J7" s="87"/>
      <c r="K7" s="87"/>
    </row>
    <row r="8" spans="1:11" x14ac:dyDescent="0.25">
      <c r="A8" s="5" t="s">
        <v>173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/>
      <c r="J8" s="87"/>
      <c r="K8" s="87"/>
    </row>
    <row r="9" spans="1:11" x14ac:dyDescent="0.25">
      <c r="A9" s="5" t="s">
        <v>174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/>
      <c r="J9" s="87"/>
      <c r="K9" s="87"/>
    </row>
    <row r="10" spans="1:11" x14ac:dyDescent="0.25">
      <c r="A10" s="11" t="s">
        <v>175</v>
      </c>
      <c r="B10" s="87"/>
      <c r="C10" s="87" t="s">
        <v>149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176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177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178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179</v>
      </c>
      <c r="B14" s="87"/>
      <c r="C14" s="87" t="s">
        <v>149</v>
      </c>
      <c r="D14" s="87"/>
      <c r="E14" s="87"/>
      <c r="F14" s="87"/>
      <c r="G14" s="87"/>
      <c r="H14" s="87"/>
      <c r="I14" s="87" t="s">
        <v>149</v>
      </c>
      <c r="J14" s="87"/>
      <c r="K14" s="87"/>
    </row>
    <row r="15" spans="1:11" x14ac:dyDescent="0.25">
      <c r="A15" s="5" t="s">
        <v>180</v>
      </c>
      <c r="B15" s="87"/>
      <c r="C15" s="87" t="s">
        <v>149</v>
      </c>
      <c r="D15" s="87"/>
      <c r="E15" s="87"/>
      <c r="F15" s="87"/>
      <c r="G15" s="87"/>
      <c r="H15" s="87"/>
      <c r="I15" s="87" t="s">
        <v>149</v>
      </c>
      <c r="J15" s="87"/>
      <c r="K15" s="87"/>
    </row>
    <row r="16" spans="1:11" x14ac:dyDescent="0.25">
      <c r="A16" s="5" t="s">
        <v>181</v>
      </c>
      <c r="B16" s="87"/>
      <c r="C16" s="87" t="s">
        <v>149</v>
      </c>
      <c r="D16" s="87"/>
      <c r="E16" s="87"/>
      <c r="F16" s="87"/>
      <c r="G16" s="87"/>
      <c r="H16" s="87" t="s">
        <v>149</v>
      </c>
      <c r="I16" s="87" t="s">
        <v>149</v>
      </c>
      <c r="J16" s="87"/>
      <c r="K16" s="87"/>
    </row>
    <row r="17" spans="1:11" x14ac:dyDescent="0.25">
      <c r="A17" s="5" t="s">
        <v>182</v>
      </c>
      <c r="B17" s="87"/>
      <c r="C17" s="87" t="s">
        <v>149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148</v>
      </c>
      <c r="B18" s="87" t="s">
        <v>149</v>
      </c>
      <c r="C18" s="87"/>
      <c r="D18" s="87"/>
      <c r="E18" s="87"/>
      <c r="F18" s="87" t="s">
        <v>149</v>
      </c>
      <c r="G18" s="87"/>
      <c r="H18" s="87"/>
      <c r="I18" s="87"/>
      <c r="J18" s="87"/>
      <c r="K18" s="87"/>
    </row>
    <row r="19" spans="1:11" x14ac:dyDescent="0.25">
      <c r="A19" s="5" t="s">
        <v>151</v>
      </c>
      <c r="B19" s="87" t="s">
        <v>149</v>
      </c>
      <c r="C19" s="87"/>
      <c r="D19" s="87"/>
      <c r="E19" s="87"/>
      <c r="F19" s="87" t="s">
        <v>149</v>
      </c>
      <c r="G19" s="87"/>
      <c r="H19" s="87"/>
      <c r="I19" s="87"/>
      <c r="J19" s="87"/>
      <c r="K19" s="87"/>
    </row>
    <row r="20" spans="1:11" x14ac:dyDescent="0.25">
      <c r="A20" s="5" t="s">
        <v>152</v>
      </c>
      <c r="B20" s="87" t="s">
        <v>149</v>
      </c>
      <c r="C20" s="87"/>
      <c r="D20" s="87"/>
      <c r="E20" s="87"/>
      <c r="F20" s="87" t="s">
        <v>149</v>
      </c>
      <c r="G20" s="87"/>
      <c r="H20" s="87"/>
      <c r="I20" s="87"/>
      <c r="J20" s="87"/>
      <c r="K20" s="87"/>
    </row>
    <row r="21" spans="1:11" x14ac:dyDescent="0.25">
      <c r="A21" s="5" t="s">
        <v>183</v>
      </c>
      <c r="B21" s="87"/>
      <c r="C21" s="87"/>
      <c r="D21" s="87"/>
      <c r="E21" s="87"/>
      <c r="F21" s="87"/>
      <c r="G21" s="87"/>
      <c r="H21" s="87" t="s">
        <v>149</v>
      </c>
      <c r="I21" s="87" t="s">
        <v>149</v>
      </c>
      <c r="J21" s="87"/>
      <c r="K21" s="87"/>
    </row>
    <row r="22" spans="1:11" x14ac:dyDescent="0.25">
      <c r="A22" s="5" t="s">
        <v>184</v>
      </c>
      <c r="B22" s="87" t="s">
        <v>149</v>
      </c>
      <c r="C22" s="87" t="s">
        <v>149</v>
      </c>
      <c r="D22" s="87" t="s">
        <v>149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149</v>
      </c>
      <c r="D23" s="87"/>
      <c r="E23" s="87"/>
      <c r="F23" s="87"/>
      <c r="G23" s="87"/>
      <c r="H23" s="87"/>
      <c r="I23" s="87" t="s">
        <v>149</v>
      </c>
      <c r="J23" s="87"/>
      <c r="K23" s="87"/>
    </row>
    <row r="24" spans="1:11" x14ac:dyDescent="0.25">
      <c r="A24" s="5" t="s">
        <v>186</v>
      </c>
      <c r="B24" s="87"/>
      <c r="C24" s="87"/>
      <c r="D24" s="87"/>
      <c r="E24" s="87"/>
      <c r="F24" s="87"/>
      <c r="G24" s="87"/>
      <c r="H24" s="87" t="s">
        <v>149</v>
      </c>
      <c r="I24" s="87"/>
      <c r="J24" s="87"/>
      <c r="K24" s="87"/>
    </row>
    <row r="25" spans="1:11" x14ac:dyDescent="0.25">
      <c r="A25" s="5" t="s">
        <v>187</v>
      </c>
      <c r="B25" s="87"/>
      <c r="C25" s="87"/>
      <c r="D25" s="87"/>
      <c r="E25" s="87"/>
      <c r="F25" s="87"/>
      <c r="G25" s="87"/>
      <c r="H25" s="87" t="s">
        <v>149</v>
      </c>
      <c r="I25" s="87"/>
      <c r="J25" s="87"/>
      <c r="K25" s="87"/>
    </row>
    <row r="26" spans="1:11" x14ac:dyDescent="0.25">
      <c r="A26" s="5" t="s">
        <v>188</v>
      </c>
      <c r="B26" s="87"/>
      <c r="C26" s="87" t="s">
        <v>149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189</v>
      </c>
      <c r="B27" s="87"/>
      <c r="C27" s="87" t="s">
        <v>149</v>
      </c>
      <c r="D27" s="87"/>
      <c r="E27" s="87"/>
      <c r="F27" s="87"/>
      <c r="G27" s="87"/>
      <c r="H27" s="87"/>
      <c r="I27" s="87" t="s">
        <v>149</v>
      </c>
      <c r="J27" s="87"/>
      <c r="K27" s="87"/>
    </row>
    <row r="28" spans="1:11" x14ac:dyDescent="0.25">
      <c r="A28" s="5" t="s">
        <v>190</v>
      </c>
      <c r="B28" s="87"/>
      <c r="C28" s="87"/>
      <c r="D28" s="87"/>
      <c r="E28" s="87"/>
      <c r="F28" s="87"/>
      <c r="G28" s="87"/>
      <c r="H28" s="87" t="s">
        <v>149</v>
      </c>
      <c r="I28" s="87"/>
      <c r="J28" s="87"/>
      <c r="K28" s="87"/>
    </row>
    <row r="29" spans="1:11" x14ac:dyDescent="0.25">
      <c r="A29" s="5" t="s">
        <v>191</v>
      </c>
      <c r="B29" s="87" t="s">
        <v>149</v>
      </c>
      <c r="C29" s="87"/>
      <c r="D29" s="87" t="s">
        <v>149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192</v>
      </c>
      <c r="B30" s="87" t="s">
        <v>149</v>
      </c>
      <c r="C30" s="87" t="s">
        <v>149</v>
      </c>
      <c r="D30" s="87" t="s">
        <v>149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157</v>
      </c>
      <c r="B31" s="87"/>
      <c r="C31" s="87"/>
      <c r="D31" s="87"/>
      <c r="E31" s="87" t="s">
        <v>149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149</v>
      </c>
      <c r="H32" s="87" t="s">
        <v>149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149</v>
      </c>
      <c r="H33" s="87" t="s">
        <v>149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149</v>
      </c>
      <c r="H34" s="87" t="s">
        <v>149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149</v>
      </c>
      <c r="H35" s="87" t="s">
        <v>149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149</v>
      </c>
      <c r="H36" s="87" t="s">
        <v>149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149</v>
      </c>
      <c r="H37" s="87" t="s">
        <v>149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149</v>
      </c>
      <c r="I38" s="87"/>
      <c r="J38" s="87"/>
      <c r="K38" s="87"/>
    </row>
    <row r="39" spans="1:11" x14ac:dyDescent="0.25">
      <c r="A39" s="5" t="s">
        <v>200</v>
      </c>
      <c r="B39" s="87" t="s">
        <v>149</v>
      </c>
      <c r="C39" s="87"/>
      <c r="D39" s="87"/>
      <c r="E39" s="87"/>
      <c r="F39" s="87"/>
      <c r="G39" s="87" t="s">
        <v>149</v>
      </c>
      <c r="H39" s="87" t="s">
        <v>149</v>
      </c>
      <c r="I39" s="87"/>
      <c r="J39" s="87"/>
      <c r="K39" s="87"/>
    </row>
  </sheetData>
  <sheetProtection algorithmName="SHA-512" hashValue="IvQDIxW99fzq1Zy0EhkbKUzL+Oo6JppYFJRusT7f1RK58axANCQbQrXBA4I5Zda1hiQSlfJ6FnKfxlkgJRWRpg==" saltValue="tOfPnYqP3Wy6+yrctBxWk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8" t="s">
        <v>67</v>
      </c>
      <c r="B2" s="87" t="s">
        <v>149</v>
      </c>
      <c r="C2" s="87" t="s">
        <v>149</v>
      </c>
      <c r="D2" s="87" t="s">
        <v>149</v>
      </c>
      <c r="E2" s="87" t="s">
        <v>149</v>
      </c>
      <c r="F2" s="87" t="s">
        <v>149</v>
      </c>
      <c r="G2" s="87" t="s">
        <v>149</v>
      </c>
      <c r="H2" s="87" t="s">
        <v>149</v>
      </c>
      <c r="I2" s="87"/>
      <c r="J2" s="87"/>
      <c r="K2" s="87"/>
    </row>
    <row r="3" spans="1:11" x14ac:dyDescent="0.25">
      <c r="A3" s="8" t="s">
        <v>77</v>
      </c>
      <c r="B3" s="87" t="s">
        <v>149</v>
      </c>
      <c r="C3" s="87" t="s">
        <v>149</v>
      </c>
      <c r="D3" s="87" t="s">
        <v>149</v>
      </c>
      <c r="E3" s="87" t="s">
        <v>149</v>
      </c>
      <c r="F3" s="87" t="s">
        <v>149</v>
      </c>
      <c r="G3" s="87" t="s">
        <v>149</v>
      </c>
      <c r="H3" s="87" t="s">
        <v>149</v>
      </c>
      <c r="I3" s="87"/>
      <c r="J3" s="87"/>
      <c r="K3" s="87"/>
    </row>
    <row r="4" spans="1:11" x14ac:dyDescent="0.25">
      <c r="A4" s="8" t="s">
        <v>78</v>
      </c>
      <c r="B4" s="87" t="s">
        <v>149</v>
      </c>
      <c r="C4" s="87" t="s">
        <v>149</v>
      </c>
      <c r="D4" s="87" t="s">
        <v>149</v>
      </c>
      <c r="E4" s="87" t="s">
        <v>149</v>
      </c>
      <c r="F4" s="87" t="s">
        <v>149</v>
      </c>
      <c r="G4" s="87" t="s">
        <v>149</v>
      </c>
      <c r="H4" s="87" t="s">
        <v>149</v>
      </c>
      <c r="I4" s="87"/>
      <c r="J4" s="87"/>
      <c r="K4" s="87"/>
    </row>
    <row r="5" spans="1:11" x14ac:dyDescent="0.25">
      <c r="A5" s="8" t="s">
        <v>79</v>
      </c>
      <c r="B5" s="87" t="s">
        <v>149</v>
      </c>
      <c r="C5" s="87" t="s">
        <v>149</v>
      </c>
      <c r="D5" s="87" t="s">
        <v>149</v>
      </c>
      <c r="E5" s="87" t="s">
        <v>149</v>
      </c>
      <c r="F5" s="87" t="s">
        <v>149</v>
      </c>
      <c r="G5" s="87" t="s">
        <v>149</v>
      </c>
      <c r="H5" s="87" t="s">
        <v>149</v>
      </c>
      <c r="I5" s="87"/>
      <c r="J5" s="87"/>
      <c r="K5" s="87"/>
    </row>
    <row r="6" spans="1:11" x14ac:dyDescent="0.25">
      <c r="A6" s="8" t="s">
        <v>80</v>
      </c>
      <c r="B6" s="87" t="s">
        <v>149</v>
      </c>
      <c r="C6" s="87" t="s">
        <v>149</v>
      </c>
      <c r="D6" s="87" t="s">
        <v>149</v>
      </c>
      <c r="E6" s="87" t="s">
        <v>149</v>
      </c>
      <c r="F6" s="87" t="s">
        <v>149</v>
      </c>
      <c r="G6" s="87" t="s">
        <v>149</v>
      </c>
      <c r="H6" s="87" t="s">
        <v>149</v>
      </c>
      <c r="I6" s="87"/>
      <c r="J6" s="87"/>
      <c r="K6" s="87"/>
    </row>
    <row r="7" spans="1:11" x14ac:dyDescent="0.25">
      <c r="A7" s="8" t="s">
        <v>112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 t="s">
        <v>149</v>
      </c>
      <c r="J7" s="87"/>
      <c r="K7" s="87"/>
    </row>
    <row r="8" spans="1:11" x14ac:dyDescent="0.25">
      <c r="A8" s="8" t="s">
        <v>113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 t="s">
        <v>149</v>
      </c>
      <c r="J8" s="87"/>
      <c r="K8" s="87"/>
    </row>
    <row r="9" spans="1:11" x14ac:dyDescent="0.25">
      <c r="A9" s="8" t="s">
        <v>114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 t="s">
        <v>149</v>
      </c>
      <c r="J9" s="87"/>
      <c r="K9" s="87"/>
    </row>
    <row r="10" spans="1:11" x14ac:dyDescent="0.25">
      <c r="A10" s="8" t="s">
        <v>115</v>
      </c>
      <c r="B10" s="87"/>
      <c r="C10" s="87" t="s">
        <v>149</v>
      </c>
      <c r="D10" s="87"/>
      <c r="E10" s="87"/>
      <c r="F10" s="87"/>
      <c r="G10" s="87"/>
      <c r="H10" s="87" t="s">
        <v>149</v>
      </c>
      <c r="I10" s="87" t="s">
        <v>149</v>
      </c>
      <c r="J10" s="87"/>
      <c r="K10" s="87"/>
    </row>
    <row r="11" spans="1:11" x14ac:dyDescent="0.25">
      <c r="A11" s="8" t="s">
        <v>58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 t="s">
        <v>149</v>
      </c>
      <c r="K11" s="87" t="s">
        <v>149</v>
      </c>
    </row>
    <row r="12" spans="1:11" x14ac:dyDescent="0.25">
      <c r="A12" s="8" t="s">
        <v>59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 t="s">
        <v>149</v>
      </c>
    </row>
    <row r="13" spans="1:11" x14ac:dyDescent="0.25">
      <c r="A13" s="8" t="s">
        <v>60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 t="s">
        <v>149</v>
      </c>
    </row>
    <row r="14" spans="1:11" x14ac:dyDescent="0.25">
      <c r="A14" s="8" t="s">
        <v>61</v>
      </c>
      <c r="B14" s="87"/>
      <c r="C14" s="87" t="s">
        <v>149</v>
      </c>
      <c r="D14" s="87"/>
      <c r="E14" s="87"/>
      <c r="F14" s="87"/>
      <c r="G14" s="87"/>
      <c r="H14" s="87"/>
      <c r="I14" s="87"/>
      <c r="J14" s="87"/>
      <c r="K14" s="87" t="s">
        <v>149</v>
      </c>
    </row>
  </sheetData>
  <sheetProtection algorithmName="SHA-512" hashValue="9wIG9Gim71KVsT3md4UjHKWLN/dmVTAHDAhRa4jGvwy4VGKHj7mGyWZMKQgGvDCmZmlmSsHFRHQVC+GKpvnATg==" saltValue="lgc1Xvk31gXE9M1YSAdFWQ==" spinCount="100000" sheet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144</v>
      </c>
      <c r="C1" s="4" t="s">
        <v>159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customHeight="1" x14ac:dyDescent="0.3">
      <c r="A2" s="4" t="s">
        <v>232</v>
      </c>
      <c r="B2" s="103" t="s">
        <v>90</v>
      </c>
      <c r="C2" s="8" t="s">
        <v>145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146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147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67</v>
      </c>
      <c r="C5" s="8" t="s">
        <v>145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146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147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77</v>
      </c>
      <c r="C8" s="8" t="s">
        <v>145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146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147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78</v>
      </c>
      <c r="C11" s="8" t="s">
        <v>145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146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147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79</v>
      </c>
      <c r="C14" s="8" t="s">
        <v>145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146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147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150</v>
      </c>
      <c r="C17" s="8" t="s">
        <v>147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90</v>
      </c>
      <c r="C19" s="8" t="s">
        <v>145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146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147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67</v>
      </c>
      <c r="C22" s="8" t="s">
        <v>145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146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147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77</v>
      </c>
      <c r="C25" s="8" t="s">
        <v>145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146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147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78</v>
      </c>
      <c r="C28" s="8" t="s">
        <v>145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146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147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79</v>
      </c>
      <c r="C31" s="8" t="s">
        <v>145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146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147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150</v>
      </c>
      <c r="C34" s="8" t="s">
        <v>147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90</v>
      </c>
      <c r="C36" s="8" t="s">
        <v>145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146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147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67</v>
      </c>
      <c r="C39" s="8" t="s">
        <v>145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146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147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77</v>
      </c>
      <c r="C42" s="8" t="s">
        <v>145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146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147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78</v>
      </c>
      <c r="C45" s="8" t="s">
        <v>145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146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147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79</v>
      </c>
      <c r="C48" s="8" t="s">
        <v>145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146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147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150</v>
      </c>
      <c r="C51" s="8" t="s">
        <v>147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144</v>
      </c>
      <c r="C54" s="4" t="s">
        <v>159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customHeight="1" x14ac:dyDescent="0.3">
      <c r="A55" s="4" t="s">
        <v>236</v>
      </c>
      <c r="B55" s="103" t="s">
        <v>90</v>
      </c>
      <c r="C55" s="8" t="s">
        <v>145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146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147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67</v>
      </c>
      <c r="C58" s="8" t="s">
        <v>145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146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147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77</v>
      </c>
      <c r="C61" s="8" t="s">
        <v>145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146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147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78</v>
      </c>
      <c r="C64" s="8" t="s">
        <v>145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146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147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79</v>
      </c>
      <c r="C67" s="8" t="s">
        <v>145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146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147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150</v>
      </c>
      <c r="C70" s="8" t="s">
        <v>147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90</v>
      </c>
      <c r="C72" s="8" t="s">
        <v>145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146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147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67</v>
      </c>
      <c r="C75" s="8" t="s">
        <v>145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146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147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77</v>
      </c>
      <c r="C78" s="8" t="s">
        <v>145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146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147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78</v>
      </c>
      <c r="C81" s="8" t="s">
        <v>145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146</v>
      </c>
      <c r="D82" s="88">
        <f t="shared" ref="D82:H91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147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79</v>
      </c>
      <c r="C84" s="8" t="s">
        <v>145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146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147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150</v>
      </c>
      <c r="C87" s="8" t="s">
        <v>147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90</v>
      </c>
      <c r="C89" s="8" t="s">
        <v>145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146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147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67</v>
      </c>
      <c r="C92" s="8" t="s">
        <v>145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146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147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77</v>
      </c>
      <c r="C95" s="8" t="s">
        <v>145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146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147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78</v>
      </c>
      <c r="C98" s="8" t="s">
        <v>145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146</v>
      </c>
      <c r="D99" s="88">
        <f t="shared" ref="D99:H108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147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79</v>
      </c>
      <c r="C101" s="8" t="s">
        <v>145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146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147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150</v>
      </c>
      <c r="C104" s="8" t="s">
        <v>147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144</v>
      </c>
      <c r="C107" s="4" t="s">
        <v>159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customHeight="1" x14ac:dyDescent="0.3">
      <c r="A108" s="4" t="s">
        <v>240</v>
      </c>
      <c r="B108" s="103" t="s">
        <v>90</v>
      </c>
      <c r="C108" s="8" t="s">
        <v>145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146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147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67</v>
      </c>
      <c r="C111" s="8" t="s">
        <v>145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146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147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77</v>
      </c>
      <c r="C114" s="8" t="s">
        <v>145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146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147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78</v>
      </c>
      <c r="C117" s="8" t="s">
        <v>145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146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147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79</v>
      </c>
      <c r="C120" s="8" t="s">
        <v>145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146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147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150</v>
      </c>
      <c r="C123" s="8" t="s">
        <v>147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90</v>
      </c>
      <c r="C125" s="8" t="s">
        <v>145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146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147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67</v>
      </c>
      <c r="C128" s="8" t="s">
        <v>145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146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147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77</v>
      </c>
      <c r="C131" s="8" t="s">
        <v>145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146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147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78</v>
      </c>
      <c r="C134" s="8" t="s">
        <v>145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146</v>
      </c>
      <c r="D135" s="88">
        <f t="shared" ref="D135:H144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147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79</v>
      </c>
      <c r="C137" s="8" t="s">
        <v>145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146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147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150</v>
      </c>
      <c r="C140" s="8" t="s">
        <v>147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90</v>
      </c>
      <c r="C142" s="8" t="s">
        <v>145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146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147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67</v>
      </c>
      <c r="C145" s="8" t="s">
        <v>145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146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147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77</v>
      </c>
      <c r="C148" s="8" t="s">
        <v>145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146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147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78</v>
      </c>
      <c r="C151" s="8" t="s">
        <v>145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146</v>
      </c>
      <c r="D152" s="88">
        <f t="shared" ref="D152:H161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147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79</v>
      </c>
      <c r="C154" s="8" t="s">
        <v>145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146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147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150</v>
      </c>
      <c r="C157" s="8" t="s">
        <v>147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19:B21"/>
    <mergeCell ref="B2:B4"/>
    <mergeCell ref="B5:B7"/>
    <mergeCell ref="B8:B10"/>
    <mergeCell ref="B11:B13"/>
    <mergeCell ref="B14:B16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55:B57"/>
    <mergeCell ref="B58:B60"/>
    <mergeCell ref="B61:B63"/>
    <mergeCell ref="B64:B66"/>
    <mergeCell ref="B67:B69"/>
    <mergeCell ref="B72:B74"/>
    <mergeCell ref="B75:B77"/>
    <mergeCell ref="B78:B80"/>
    <mergeCell ref="B81:B83"/>
    <mergeCell ref="B84:B86"/>
    <mergeCell ref="B108:B110"/>
    <mergeCell ref="B89:B91"/>
    <mergeCell ref="B92:B94"/>
    <mergeCell ref="B95:B97"/>
    <mergeCell ref="B98:B100"/>
    <mergeCell ref="B101:B103"/>
    <mergeCell ref="B111:B113"/>
    <mergeCell ref="B114:B116"/>
    <mergeCell ref="B117:B119"/>
    <mergeCell ref="B120:B122"/>
    <mergeCell ref="B125:B127"/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F28" sqref="F28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245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246</v>
      </c>
      <c r="C11" s="74"/>
      <c r="D11" s="75"/>
      <c r="E11" s="75"/>
      <c r="F11" s="75"/>
    </row>
    <row r="12" spans="1:6" ht="15.75" customHeight="1" x14ac:dyDescent="0.3">
      <c r="A12" s="4" t="s">
        <v>247</v>
      </c>
      <c r="C12" s="73"/>
      <c r="D12" s="64"/>
      <c r="E12" s="64"/>
      <c r="F12" s="64"/>
    </row>
    <row r="13" spans="1:6" ht="15.75" customHeight="1" x14ac:dyDescent="0.25">
      <c r="B13" s="11" t="s">
        <v>248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249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251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246</v>
      </c>
      <c r="B38" s="68"/>
      <c r="C38" s="74"/>
      <c r="D38" s="75"/>
      <c r="E38" s="75"/>
      <c r="F38" s="75"/>
    </row>
    <row r="39" spans="1:6" ht="15.75" customHeight="1" x14ac:dyDescent="0.3">
      <c r="A39" s="4" t="s">
        <v>252</v>
      </c>
      <c r="C39" s="73"/>
      <c r="D39" s="64"/>
      <c r="E39" s="64"/>
      <c r="F39" s="64"/>
    </row>
    <row r="40" spans="1:6" ht="15.75" customHeight="1" x14ac:dyDescent="0.25">
      <c r="B40" s="11" t="s">
        <v>253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254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255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256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258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246</v>
      </c>
      <c r="B65" s="68"/>
      <c r="C65" s="74"/>
      <c r="D65" s="75"/>
      <c r="E65" s="75"/>
      <c r="F65" s="75"/>
    </row>
    <row r="66" spans="1:6" ht="15.75" customHeight="1" x14ac:dyDescent="0.3">
      <c r="A66" s="4" t="s">
        <v>259</v>
      </c>
      <c r="C66" s="73"/>
      <c r="D66" s="64"/>
      <c r="E66" s="64"/>
      <c r="F66" s="64"/>
    </row>
    <row r="67" spans="1:6" ht="15.75" customHeight="1" x14ac:dyDescent="0.25">
      <c r="B67" s="11" t="s">
        <v>260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263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F28" sqref="F2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225</v>
      </c>
      <c r="B2" s="1" t="s">
        <v>265</v>
      </c>
      <c r="C2" s="1" t="s">
        <v>266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81</v>
      </c>
      <c r="C3" s="3" t="s">
        <v>267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271</v>
      </c>
    </row>
    <row r="29" spans="1:16" ht="13" customHeight="1" x14ac:dyDescent="0.3">
      <c r="A29" s="39" t="s">
        <v>272</v>
      </c>
      <c r="B29" s="4" t="s">
        <v>265</v>
      </c>
      <c r="C29" s="4" t="s">
        <v>273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81</v>
      </c>
      <c r="C30" s="3" t="s">
        <v>267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204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205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204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205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204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205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204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205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204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205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204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205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274</v>
      </c>
    </row>
    <row r="56" spans="1:16" ht="26" customHeight="1" x14ac:dyDescent="0.3">
      <c r="A56" s="39" t="s">
        <v>111</v>
      </c>
      <c r="B56" s="4" t="s">
        <v>265</v>
      </c>
      <c r="C56" s="69" t="s">
        <v>275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91</v>
      </c>
      <c r="C57" s="3" t="s">
        <v>276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277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276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277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276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277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278</v>
      </c>
    </row>
    <row r="65" spans="1:16" ht="26" customHeight="1" x14ac:dyDescent="0.3">
      <c r="A65" s="39" t="s">
        <v>118</v>
      </c>
      <c r="B65" s="4" t="s">
        <v>265</v>
      </c>
      <c r="C65" s="69" t="s">
        <v>279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68</v>
      </c>
      <c r="C66" s="3" t="s">
        <v>119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81</v>
      </c>
      <c r="B104" s="82" t="s">
        <v>122</v>
      </c>
      <c r="C104" s="69" t="s">
        <v>279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225</v>
      </c>
      <c r="B112" s="1" t="s">
        <v>265</v>
      </c>
      <c r="C112" s="1" t="s">
        <v>266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customHeight="1" x14ac:dyDescent="0.3">
      <c r="A113" s="4"/>
      <c r="B113" s="8" t="s">
        <v>81</v>
      </c>
      <c r="C113" s="3" t="s">
        <v>267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267</v>
      </c>
      <c r="D133" s="91">
        <f t="shared" ref="D133:H142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271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272</v>
      </c>
      <c r="B139" s="4" t="s">
        <v>265</v>
      </c>
      <c r="C139" s="4" t="s">
        <v>273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customHeight="1" x14ac:dyDescent="0.3">
      <c r="A140" s="4"/>
      <c r="B140" s="8" t="s">
        <v>81</v>
      </c>
      <c r="C140" s="3" t="s">
        <v>267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204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205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204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205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204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205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204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205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204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205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267</v>
      </c>
      <c r="D160" s="91">
        <f t="shared" ref="D160:H169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204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205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274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111</v>
      </c>
      <c r="B166" s="4" t="s">
        <v>265</v>
      </c>
      <c r="C166" s="69" t="s">
        <v>275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customHeight="1" x14ac:dyDescent="0.3">
      <c r="A167" s="4"/>
      <c r="B167" s="8" t="s">
        <v>91</v>
      </c>
      <c r="C167" s="3" t="s">
        <v>276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277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276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277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276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277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278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118</v>
      </c>
      <c r="B175" s="4" t="s">
        <v>265</v>
      </c>
      <c r="C175" s="69" t="s">
        <v>279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customHeight="1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5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81</v>
      </c>
      <c r="B214" s="82" t="s">
        <v>122</v>
      </c>
      <c r="C214" s="69" t="s">
        <v>279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customHeight="1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225</v>
      </c>
      <c r="B222" s="1" t="s">
        <v>265</v>
      </c>
      <c r="C222" s="1" t="s">
        <v>266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customHeight="1" x14ac:dyDescent="0.3">
      <c r="A223" s="4"/>
      <c r="B223" s="8" t="s">
        <v>81</v>
      </c>
      <c r="C223" s="3" t="s">
        <v>267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267</v>
      </c>
      <c r="D243" s="91">
        <f t="shared" ref="D243:H252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272</v>
      </c>
      <c r="B249" s="4" t="s">
        <v>265</v>
      </c>
      <c r="C249" s="4" t="s">
        <v>273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customHeight="1" x14ac:dyDescent="0.3">
      <c r="A250" s="4"/>
      <c r="B250" s="8" t="s">
        <v>81</v>
      </c>
      <c r="C250" s="3" t="s">
        <v>267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204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205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204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205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204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205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204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205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204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205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267</v>
      </c>
      <c r="D270" s="91">
        <f t="shared" ref="D270:H279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204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205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274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111</v>
      </c>
      <c r="B276" s="4" t="s">
        <v>265</v>
      </c>
      <c r="C276" s="69" t="s">
        <v>275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customHeight="1" x14ac:dyDescent="0.3">
      <c r="A277" s="4"/>
      <c r="B277" s="8" t="s">
        <v>91</v>
      </c>
      <c r="C277" s="3" t="s">
        <v>276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277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276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277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276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277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278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118</v>
      </c>
      <c r="B285" s="4" t="s">
        <v>265</v>
      </c>
      <c r="C285" s="69" t="s">
        <v>279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customHeight="1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5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81</v>
      </c>
      <c r="B324" s="82" t="s">
        <v>122</v>
      </c>
      <c r="C324" s="69" t="s">
        <v>279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customHeight="1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1gEiboypgN1VYdmLYuHEsviiXDH91vsC32xKqzOEbclcsh2pOXs0vX071vry3NRJsC+T2/BNfpXbXWW7dldjVQ==" saltValue="XZihSWmo245BlR0GYalyd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281</v>
      </c>
    </row>
    <row r="2" spans="1:7" ht="14.25" customHeight="1" x14ac:dyDescent="0.3">
      <c r="A2" s="82" t="s">
        <v>203</v>
      </c>
      <c r="B2" s="1"/>
      <c r="C2" s="4" t="s">
        <v>67</v>
      </c>
      <c r="D2" s="4" t="s">
        <v>77</v>
      </c>
      <c r="E2" s="4" t="s">
        <v>78</v>
      </c>
      <c r="F2" s="4" t="s">
        <v>79</v>
      </c>
      <c r="G2" s="4" t="s">
        <v>80</v>
      </c>
    </row>
    <row r="3" spans="1:7" ht="14.25" customHeight="1" x14ac:dyDescent="0.25">
      <c r="B3" s="11" t="s">
        <v>282</v>
      </c>
      <c r="C3" s="90" t="s">
        <v>283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284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285</v>
      </c>
    </row>
    <row r="6" spans="1:7" ht="14.25" customHeight="1" x14ac:dyDescent="0.25">
      <c r="B6" s="5" t="s">
        <v>191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192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183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287</v>
      </c>
    </row>
    <row r="15" spans="1:7" ht="14.25" customHeight="1" x14ac:dyDescent="0.3">
      <c r="A15" s="82" t="s">
        <v>272</v>
      </c>
      <c r="B15" s="5" t="s">
        <v>288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289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111</v>
      </c>
      <c r="B17" s="11" t="s">
        <v>290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291</v>
      </c>
    </row>
    <row r="20" spans="1:7" s="14" customFormat="1" ht="14.25" customHeight="1" x14ac:dyDescent="0.3">
      <c r="C20" s="4" t="s">
        <v>58</v>
      </c>
      <c r="D20" s="4" t="s">
        <v>59</v>
      </c>
      <c r="E20" s="4" t="s">
        <v>60</v>
      </c>
      <c r="F20" s="4" t="s">
        <v>61</v>
      </c>
    </row>
    <row r="21" spans="1:7" x14ac:dyDescent="0.25">
      <c r="B21" s="11" t="s">
        <v>171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281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203</v>
      </c>
      <c r="B25" s="1"/>
      <c r="C25" s="4" t="s">
        <v>67</v>
      </c>
      <c r="D25" s="4" t="s">
        <v>77</v>
      </c>
      <c r="E25" s="4" t="s">
        <v>78</v>
      </c>
      <c r="F25" s="4" t="s">
        <v>79</v>
      </c>
      <c r="G25" s="4" t="s">
        <v>80</v>
      </c>
    </row>
    <row r="26" spans="1:7" x14ac:dyDescent="0.25">
      <c r="B26" s="11" t="s">
        <v>292</v>
      </c>
      <c r="C26" s="90" t="s">
        <v>283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293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294</v>
      </c>
    </row>
    <row r="29" spans="1:7" x14ac:dyDescent="0.25">
      <c r="B29" s="5" t="s">
        <v>295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296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297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298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299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300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287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272</v>
      </c>
      <c r="B38" s="5" t="s">
        <v>301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302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111</v>
      </c>
      <c r="B40" s="11" t="s">
        <v>303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304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58</v>
      </c>
      <c r="D43" s="4" t="s">
        <v>59</v>
      </c>
      <c r="E43" s="4" t="s">
        <v>60</v>
      </c>
      <c r="F43" s="4" t="s">
        <v>61</v>
      </c>
      <c r="G43" s="14"/>
    </row>
    <row r="44" spans="1:7" x14ac:dyDescent="0.25">
      <c r="B44" s="11" t="s">
        <v>305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281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203</v>
      </c>
      <c r="B48" s="1"/>
      <c r="C48" s="4" t="s">
        <v>67</v>
      </c>
      <c r="D48" s="4" t="s">
        <v>77</v>
      </c>
      <c r="E48" s="4" t="s">
        <v>78</v>
      </c>
      <c r="F48" s="4" t="s">
        <v>79</v>
      </c>
      <c r="G48" s="4" t="s">
        <v>80</v>
      </c>
    </row>
    <row r="49" spans="1:7" x14ac:dyDescent="0.25">
      <c r="B49" s="11" t="s">
        <v>306</v>
      </c>
      <c r="C49" s="90" t="s">
        <v>283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307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308</v>
      </c>
    </row>
    <row r="52" spans="1:7" x14ac:dyDescent="0.25">
      <c r="B52" s="5" t="s">
        <v>309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310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311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312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313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314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287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272</v>
      </c>
      <c r="B61" s="5" t="s">
        <v>315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316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111</v>
      </c>
      <c r="B63" s="11" t="s">
        <v>317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318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58</v>
      </c>
      <c r="D66" s="4" t="s">
        <v>59</v>
      </c>
      <c r="E66" s="4" t="s">
        <v>60</v>
      </c>
      <c r="F66" s="4" t="s">
        <v>61</v>
      </c>
      <c r="G66" s="14"/>
    </row>
    <row r="67" spans="1:7" x14ac:dyDescent="0.25">
      <c r="B67" s="11" t="s">
        <v>319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Z5W0iLQonUXgebQ0oBIAJiknKvZHIMnPuF1vh21+BfR+VnJC7YVzBoFQiTm+hEbHNMOFIRa563Ft7+Jm2vvcKg==" saltValue="MgosxU+mdCbdebb7wBaTK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12" sqref="C12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156</v>
      </c>
      <c r="B1" s="4"/>
      <c r="C1" s="4" t="s">
        <v>40</v>
      </c>
      <c r="D1" s="4" t="s">
        <v>42</v>
      </c>
      <c r="E1" s="4" t="s">
        <v>41</v>
      </c>
      <c r="F1" s="1" t="s">
        <v>43</v>
      </c>
    </row>
    <row r="2" spans="1:6" ht="15.75" customHeight="1" x14ac:dyDescent="0.25">
      <c r="A2" s="5" t="s">
        <v>166</v>
      </c>
      <c r="B2" s="5" t="s">
        <v>320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179</v>
      </c>
      <c r="B4" s="5" t="s">
        <v>320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180</v>
      </c>
      <c r="B6" s="5" t="s">
        <v>320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181</v>
      </c>
      <c r="B8" s="5" t="s">
        <v>320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320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189</v>
      </c>
      <c r="B12" s="5" t="s">
        <v>320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156</v>
      </c>
      <c r="B16" s="4"/>
      <c r="C16" s="4" t="s">
        <v>40</v>
      </c>
      <c r="D16" s="4" t="s">
        <v>42</v>
      </c>
      <c r="E16" s="4" t="s">
        <v>41</v>
      </c>
      <c r="F16" s="1" t="s">
        <v>43</v>
      </c>
    </row>
    <row r="17" spans="1:6" ht="15.75" customHeight="1" x14ac:dyDescent="0.25">
      <c r="A17" s="5" t="s">
        <v>166</v>
      </c>
      <c r="B17" s="5" t="s">
        <v>320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179</v>
      </c>
      <c r="B19" s="5" t="s">
        <v>320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180</v>
      </c>
      <c r="B21" s="5" t="s">
        <v>320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181</v>
      </c>
      <c r="B23" s="5" t="s">
        <v>320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320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189</v>
      </c>
      <c r="B27" s="5" t="s">
        <v>320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156</v>
      </c>
      <c r="B31" s="4"/>
      <c r="C31" s="4" t="s">
        <v>40</v>
      </c>
      <c r="D31" s="4" t="s">
        <v>42</v>
      </c>
      <c r="E31" s="4" t="s">
        <v>41</v>
      </c>
      <c r="F31" s="1" t="s">
        <v>43</v>
      </c>
    </row>
    <row r="32" spans="1:6" ht="15.75" customHeight="1" x14ac:dyDescent="0.25">
      <c r="A32" s="5" t="s">
        <v>166</v>
      </c>
      <c r="B32" s="5" t="s">
        <v>320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179</v>
      </c>
      <c r="B34" s="5" t="s">
        <v>320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180</v>
      </c>
      <c r="B36" s="5" t="s">
        <v>320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181</v>
      </c>
      <c r="B38" s="5" t="s">
        <v>320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320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189</v>
      </c>
      <c r="B42" s="5" t="s">
        <v>320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njPs+tiryCjGlxIcCoc9VYZVK7anRAVHCvKud83EfjtgKW0vUQr2FSI3nvdju1neMs4gxoXRQGAXnwHTy0eGQ==" saltValue="uusuOaSrLiI1eiqZNmtU+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topLeftCell="A2" zoomScale="70" zoomScaleNormal="70" workbookViewId="0">
      <selection activeCell="H14" sqref="H14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customHeight="1" x14ac:dyDescent="0.3">
      <c r="A2" s="4" t="s">
        <v>322</v>
      </c>
    </row>
    <row r="3" spans="1:15" x14ac:dyDescent="0.25">
      <c r="B3" s="11" t="s">
        <v>170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192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172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174</v>
      </c>
      <c r="C20" s="90">
        <v>1</v>
      </c>
      <c r="D20" s="90">
        <v>1</v>
      </c>
      <c r="E20" s="90">
        <f t="shared" ref="E20:O20" si="0">E19</f>
        <v>0.97599999999999998</v>
      </c>
      <c r="F20" s="90">
        <f t="shared" si="0"/>
        <v>0.97599999999999998</v>
      </c>
      <c r="G20" s="90">
        <f t="shared" si="0"/>
        <v>0.97599999999999998</v>
      </c>
      <c r="H20" s="90">
        <f t="shared" si="0"/>
        <v>0.97599999999999998</v>
      </c>
      <c r="I20" s="90">
        <f t="shared" si="0"/>
        <v>0.97599999999999998</v>
      </c>
      <c r="J20" s="90">
        <f t="shared" si="0"/>
        <v>0.97599999999999998</v>
      </c>
      <c r="K20" s="90">
        <f t="shared" si="0"/>
        <v>0.97599999999999998</v>
      </c>
      <c r="L20" s="90">
        <f t="shared" si="0"/>
        <v>0.97599999999999998</v>
      </c>
      <c r="M20" s="90">
        <f t="shared" si="0"/>
        <v>0.97599999999999998</v>
      </c>
      <c r="N20" s="90">
        <f t="shared" si="0"/>
        <v>0.97599999999999998</v>
      </c>
      <c r="O20" s="90">
        <f t="shared" si="0"/>
        <v>0.97599999999999998</v>
      </c>
    </row>
    <row r="21" spans="1:15" x14ac:dyDescent="0.25">
      <c r="B21" s="5" t="s">
        <v>182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customHeight="1" x14ac:dyDescent="0.3">
      <c r="A25" s="4" t="s">
        <v>324</v>
      </c>
    </row>
    <row r="26" spans="1:15" x14ac:dyDescent="0.25">
      <c r="B26" s="11" t="s">
        <v>170</v>
      </c>
      <c r="C26" s="90">
        <v>0.87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175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176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177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178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179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180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181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188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189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192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325</v>
      </c>
      <c r="B40" s="11"/>
    </row>
    <row r="41" spans="1:15" x14ac:dyDescent="0.25">
      <c r="B41" s="5" t="s">
        <v>172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173</v>
      </c>
      <c r="C42" s="90">
        <f t="shared" ref="C42:D44" si="10">IF(C19=1,1,C19*0.9)</f>
        <v>1</v>
      </c>
      <c r="D42" s="90">
        <f t="shared" si="10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174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0.87839999999999996</v>
      </c>
      <c r="F43" s="90">
        <f t="shared" si="11"/>
        <v>0.87839999999999996</v>
      </c>
      <c r="G43" s="90">
        <f t="shared" si="11"/>
        <v>0.87839999999999996</v>
      </c>
      <c r="H43" s="90">
        <f t="shared" si="11"/>
        <v>0.87839999999999996</v>
      </c>
      <c r="I43" s="90">
        <f t="shared" si="11"/>
        <v>0.87839999999999996</v>
      </c>
      <c r="J43" s="90">
        <f t="shared" si="11"/>
        <v>0.87839999999999996</v>
      </c>
      <c r="K43" s="90">
        <f t="shared" si="11"/>
        <v>0.87839999999999996</v>
      </c>
      <c r="L43" s="90">
        <f t="shared" si="11"/>
        <v>0.87839999999999996</v>
      </c>
      <c r="M43" s="90">
        <f t="shared" si="11"/>
        <v>0.87839999999999996</v>
      </c>
      <c r="N43" s="90">
        <f t="shared" si="11"/>
        <v>0.87839999999999996</v>
      </c>
      <c r="O43" s="90">
        <f t="shared" si="11"/>
        <v>0.87839999999999996</v>
      </c>
    </row>
    <row r="44" spans="1:15" x14ac:dyDescent="0.25">
      <c r="B44" s="5" t="s">
        <v>182</v>
      </c>
      <c r="C44" s="90">
        <f t="shared" si="10"/>
        <v>1</v>
      </c>
      <c r="D44" s="90">
        <f t="shared" si="10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customHeight="1" x14ac:dyDescent="0.3">
      <c r="A48" s="4" t="s">
        <v>326</v>
      </c>
    </row>
    <row r="49" spans="1:15" x14ac:dyDescent="0.25">
      <c r="B49" s="11" t="s">
        <v>170</v>
      </c>
      <c r="C49" s="90">
        <v>0.99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175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176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177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178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179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180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181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188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189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192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327</v>
      </c>
      <c r="B63" s="11"/>
    </row>
    <row r="64" spans="1:15" x14ac:dyDescent="0.25">
      <c r="B64" s="5" t="s">
        <v>172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173</v>
      </c>
      <c r="C65" s="90">
        <f t="shared" ref="C65:D67" si="21">IF(C19=1,1,C19*1.05)</f>
        <v>1</v>
      </c>
      <c r="D65" s="90">
        <f t="shared" si="21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174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1.0247999999999999</v>
      </c>
      <c r="F66" s="90">
        <f t="shared" si="22"/>
        <v>1.0247999999999999</v>
      </c>
      <c r="G66" s="90">
        <f t="shared" si="22"/>
        <v>1.0247999999999999</v>
      </c>
      <c r="H66" s="90">
        <f t="shared" si="22"/>
        <v>1.0247999999999999</v>
      </c>
      <c r="I66" s="90">
        <f t="shared" si="22"/>
        <v>1.0247999999999999</v>
      </c>
      <c r="J66" s="90">
        <f t="shared" si="22"/>
        <v>1.0247999999999999</v>
      </c>
      <c r="K66" s="90">
        <f t="shared" si="22"/>
        <v>1.0247999999999999</v>
      </c>
      <c r="L66" s="90">
        <f t="shared" si="22"/>
        <v>1.0247999999999999</v>
      </c>
      <c r="M66" s="90">
        <f t="shared" si="22"/>
        <v>1.0247999999999999</v>
      </c>
      <c r="N66" s="90">
        <f t="shared" si="22"/>
        <v>1.0247999999999999</v>
      </c>
      <c r="O66" s="90">
        <f t="shared" si="22"/>
        <v>1.0247999999999999</v>
      </c>
    </row>
    <row r="67" spans="2:15" x14ac:dyDescent="0.25">
      <c r="B67" s="5" t="s">
        <v>182</v>
      </c>
      <c r="C67" s="90">
        <f t="shared" si="21"/>
        <v>1</v>
      </c>
      <c r="D67" s="90">
        <f t="shared" si="21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Z+I5w7Zv8b/t9kdTHtfTBlYoSm79UCEUpz3ShmnqEGsFIWvoyqli8qZ/O3UtxFRtNUOisgC6wk7M7CD5q+6g2w==" saltValue="qncMJDCOHin5ZX0oUaABD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customHeight="1" x14ac:dyDescent="0.3">
      <c r="A2" s="4" t="s">
        <v>328</v>
      </c>
    </row>
    <row r="3" spans="1:7" x14ac:dyDescent="0.25">
      <c r="B3" s="11" t="s">
        <v>157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329</v>
      </c>
      <c r="B4" s="11"/>
      <c r="C4" s="83"/>
      <c r="D4" s="83"/>
      <c r="E4" s="83"/>
      <c r="F4" s="83"/>
      <c r="G4" s="83"/>
    </row>
    <row r="5" spans="1:7" x14ac:dyDescent="0.25">
      <c r="B5" s="5" t="s">
        <v>158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330</v>
      </c>
    </row>
    <row r="8" spans="1:7" ht="13" customHeight="1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customHeight="1" x14ac:dyDescent="0.3">
      <c r="A9" s="4" t="s">
        <v>331</v>
      </c>
    </row>
    <row r="10" spans="1:7" x14ac:dyDescent="0.25">
      <c r="B10" s="11" t="s">
        <v>157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332</v>
      </c>
      <c r="B11" s="11"/>
      <c r="C11" s="83"/>
      <c r="D11" s="83"/>
      <c r="E11" s="83"/>
      <c r="F11" s="83"/>
      <c r="G11" s="83"/>
    </row>
    <row r="12" spans="1:7" x14ac:dyDescent="0.25">
      <c r="B12" s="5" t="s">
        <v>158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333</v>
      </c>
    </row>
    <row r="15" spans="1:7" ht="13" customHeight="1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customHeight="1" x14ac:dyDescent="0.3">
      <c r="A16" s="4" t="s">
        <v>334</v>
      </c>
    </row>
    <row r="17" spans="1:7" x14ac:dyDescent="0.25">
      <c r="B17" s="11" t="s">
        <v>157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335</v>
      </c>
      <c r="B18" s="11"/>
      <c r="C18" s="83"/>
      <c r="D18" s="83"/>
      <c r="E18" s="83"/>
      <c r="F18" s="83"/>
      <c r="G18" s="83"/>
    </row>
    <row r="19" spans="1:7" x14ac:dyDescent="0.25">
      <c r="B19" s="5" t="s">
        <v>158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TSrwgMfue31l5YKH5YC63gNl/EJnr5ZJbUkDIAIpA9VCbqMkKC4yV7Qlzd02MRVNDQ406JZzgd4mO0azU8HKbQ==" saltValue="P3gP/2fV5vANzIL7NniDMg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156</v>
      </c>
      <c r="B1" s="4" t="s">
        <v>336</v>
      </c>
      <c r="C1" s="82" t="s">
        <v>337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5" t="s">
        <v>193</v>
      </c>
      <c r="B2" s="5" t="s">
        <v>81</v>
      </c>
      <c r="C2" s="5" t="s">
        <v>338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340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191</v>
      </c>
      <c r="B5" s="5" t="s">
        <v>205</v>
      </c>
      <c r="C5" s="5" t="s">
        <v>338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340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204</v>
      </c>
      <c r="C7" s="5" t="s">
        <v>338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340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184</v>
      </c>
      <c r="B9" s="5" t="s">
        <v>205</v>
      </c>
      <c r="C9" s="5" t="s">
        <v>338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340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204</v>
      </c>
      <c r="C11" s="5" t="s">
        <v>338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340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192</v>
      </c>
      <c r="B13" s="5" t="s">
        <v>205</v>
      </c>
      <c r="C13" s="5" t="s">
        <v>338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340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204</v>
      </c>
      <c r="C15" s="5" t="s">
        <v>338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340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169</v>
      </c>
      <c r="B17" s="5" t="s">
        <v>205</v>
      </c>
      <c r="C17" s="5" t="s">
        <v>338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340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204</v>
      </c>
      <c r="C19" s="5" t="s">
        <v>338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340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174</v>
      </c>
      <c r="B21" s="5" t="s">
        <v>74</v>
      </c>
      <c r="C21" s="5" t="s">
        <v>338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172</v>
      </c>
      <c r="B23" s="5" t="s">
        <v>74</v>
      </c>
      <c r="C23" s="5" t="s">
        <v>338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173</v>
      </c>
      <c r="B25" s="5" t="s">
        <v>74</v>
      </c>
      <c r="C25" s="5" t="s">
        <v>338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81</v>
      </c>
      <c r="C27" s="5" t="s">
        <v>338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340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81</v>
      </c>
      <c r="C30" s="5" t="s">
        <v>338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340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81</v>
      </c>
      <c r="C33" s="5" t="s">
        <v>338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340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81</v>
      </c>
      <c r="C36" s="5" t="s">
        <v>338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340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81</v>
      </c>
      <c r="C39" s="5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340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81</v>
      </c>
      <c r="C42" s="5" t="s">
        <v>338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340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340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190</v>
      </c>
      <c r="B48" s="5" t="s">
        <v>81</v>
      </c>
      <c r="C48" s="5" t="s">
        <v>338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81</v>
      </c>
      <c r="C50" s="5" t="s">
        <v>338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183</v>
      </c>
      <c r="B52" s="5" t="s">
        <v>72</v>
      </c>
      <c r="C52" s="5" t="s">
        <v>338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330</v>
      </c>
      <c r="B55" s="97"/>
      <c r="C55" s="97"/>
    </row>
    <row r="56" spans="1:8" ht="13" customHeight="1" x14ac:dyDescent="0.3">
      <c r="A56" s="4" t="s">
        <v>156</v>
      </c>
      <c r="B56" s="4" t="s">
        <v>336</v>
      </c>
      <c r="C56" s="82" t="s">
        <v>337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193</v>
      </c>
      <c r="B57" s="5" t="s">
        <v>81</v>
      </c>
      <c r="C57" s="5" t="s">
        <v>338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340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191</v>
      </c>
      <c r="B60" s="5" t="s">
        <v>205</v>
      </c>
      <c r="C60" s="5" t="s">
        <v>338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340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204</v>
      </c>
      <c r="C62" s="5" t="s">
        <v>338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340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205</v>
      </c>
      <c r="C64" s="5" t="s">
        <v>338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340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204</v>
      </c>
      <c r="C66" s="5" t="s">
        <v>338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340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192</v>
      </c>
      <c r="B68" s="5" t="s">
        <v>205</v>
      </c>
      <c r="C68" s="5" t="s">
        <v>338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340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204</v>
      </c>
      <c r="C70" s="5" t="s">
        <v>338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340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169</v>
      </c>
      <c r="B72" s="5" t="s">
        <v>205</v>
      </c>
      <c r="C72" s="5" t="s">
        <v>338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340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204</v>
      </c>
      <c r="C74" s="5" t="s">
        <v>338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340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174</v>
      </c>
      <c r="B76" s="5" t="s">
        <v>74</v>
      </c>
      <c r="C76" s="5" t="s">
        <v>338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172</v>
      </c>
      <c r="B78" s="5" t="s">
        <v>74</v>
      </c>
      <c r="C78" s="5" t="s">
        <v>338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173</v>
      </c>
      <c r="B80" s="5" t="s">
        <v>74</v>
      </c>
      <c r="C80" s="5" t="s">
        <v>338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81</v>
      </c>
      <c r="C82" s="5" t="s">
        <v>338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340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81</v>
      </c>
      <c r="C85" s="5" t="s">
        <v>338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340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81</v>
      </c>
      <c r="C88" s="5" t="s">
        <v>338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340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81</v>
      </c>
      <c r="C91" s="5" t="s">
        <v>338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340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81</v>
      </c>
      <c r="C94" s="5" t="s">
        <v>338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340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81</v>
      </c>
      <c r="C97" s="5" t="s">
        <v>338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340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340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190</v>
      </c>
      <c r="B103" s="5" t="s">
        <v>81</v>
      </c>
      <c r="C103" s="5" t="s">
        <v>338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81</v>
      </c>
      <c r="C105" s="5" t="s">
        <v>338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183</v>
      </c>
      <c r="B107" s="5" t="s">
        <v>72</v>
      </c>
      <c r="C107" s="5" t="s">
        <v>338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333</v>
      </c>
      <c r="B110" s="97"/>
      <c r="C110" s="97"/>
    </row>
    <row r="111" spans="1:8" ht="13" customHeight="1" x14ac:dyDescent="0.3">
      <c r="A111" s="4" t="s">
        <v>156</v>
      </c>
      <c r="B111" s="4" t="s">
        <v>336</v>
      </c>
      <c r="C111" s="82" t="s">
        <v>337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193</v>
      </c>
      <c r="B112" s="5" t="s">
        <v>81</v>
      </c>
      <c r="C112" s="5" t="s">
        <v>338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340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191</v>
      </c>
      <c r="B115" s="5" t="s">
        <v>205</v>
      </c>
      <c r="C115" s="5" t="s">
        <v>338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340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204</v>
      </c>
      <c r="C117" s="5" t="s">
        <v>338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340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205</v>
      </c>
      <c r="C119" s="5" t="s">
        <v>338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340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204</v>
      </c>
      <c r="C121" s="5" t="s">
        <v>338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340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192</v>
      </c>
      <c r="B123" s="5" t="s">
        <v>205</v>
      </c>
      <c r="C123" s="5" t="s">
        <v>338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340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204</v>
      </c>
      <c r="C125" s="5" t="s">
        <v>338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340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169</v>
      </c>
      <c r="B127" s="5" t="s">
        <v>205</v>
      </c>
      <c r="C127" s="5" t="s">
        <v>338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340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204</v>
      </c>
      <c r="C129" s="5" t="s">
        <v>338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340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174</v>
      </c>
      <c r="B131" s="5" t="s">
        <v>74</v>
      </c>
      <c r="C131" s="5" t="s">
        <v>338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172</v>
      </c>
      <c r="B133" s="5" t="s">
        <v>74</v>
      </c>
      <c r="C133" s="5" t="s">
        <v>338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173</v>
      </c>
      <c r="B135" s="5" t="s">
        <v>74</v>
      </c>
      <c r="C135" s="5" t="s">
        <v>338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81</v>
      </c>
      <c r="C137" s="5" t="s">
        <v>338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340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81</v>
      </c>
      <c r="C140" s="5" t="s">
        <v>338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340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81</v>
      </c>
      <c r="C143" s="5" t="s">
        <v>338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340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81</v>
      </c>
      <c r="C146" s="5" t="s">
        <v>338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340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81</v>
      </c>
      <c r="C149" s="5" t="s">
        <v>338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340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81</v>
      </c>
      <c r="C152" s="5" t="s">
        <v>338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340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340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190</v>
      </c>
      <c r="B158" s="5" t="s">
        <v>81</v>
      </c>
      <c r="C158" s="5" t="s">
        <v>338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81</v>
      </c>
      <c r="C160" s="5" t="s">
        <v>338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183</v>
      </c>
      <c r="B162" s="5" t="s">
        <v>72</v>
      </c>
      <c r="C162" s="5" t="s">
        <v>338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ogxQtq/9g6OeNkiNBs6ghJq8+LdVqsoK1CbSDtbSeFSK0ebg4cqAnXfIn86tuaNowgHjhLbE7woQSAqVYa5K1w==" saltValue="QFHNUEWTAfsZg09RvHfUX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156</v>
      </c>
      <c r="B1" s="1" t="s">
        <v>336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168</v>
      </c>
      <c r="B2" s="8" t="s">
        <v>94</v>
      </c>
      <c r="C2" s="3" t="s">
        <v>338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339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187</v>
      </c>
      <c r="B4" s="8" t="s">
        <v>94</v>
      </c>
      <c r="C4" s="3" t="s">
        <v>338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186</v>
      </c>
      <c r="B6" s="8" t="s">
        <v>94</v>
      </c>
      <c r="C6" s="3" t="s">
        <v>338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330</v>
      </c>
    </row>
    <row r="10" spans="1:8" ht="13" customHeight="1" x14ac:dyDescent="0.3">
      <c r="A10" s="1" t="s">
        <v>156</v>
      </c>
      <c r="B10" s="1" t="s">
        <v>336</v>
      </c>
      <c r="C10" s="1"/>
      <c r="D10" s="4" t="s">
        <v>112</v>
      </c>
      <c r="E10" s="4" t="s">
        <v>113</v>
      </c>
      <c r="F10" s="4" t="s">
        <v>114</v>
      </c>
      <c r="G10" s="4" t="s">
        <v>115</v>
      </c>
    </row>
    <row r="11" spans="1:8" x14ac:dyDescent="0.25">
      <c r="A11" s="3" t="s">
        <v>168</v>
      </c>
      <c r="B11" s="8" t="s">
        <v>94</v>
      </c>
      <c r="C11" s="3" t="s">
        <v>338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187</v>
      </c>
      <c r="B13" s="8" t="s">
        <v>94</v>
      </c>
      <c r="C13" s="3" t="s">
        <v>338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186</v>
      </c>
      <c r="B15" s="8" t="s">
        <v>94</v>
      </c>
      <c r="C15" s="3" t="s">
        <v>338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333</v>
      </c>
    </row>
    <row r="19" spans="1:7" ht="13" customHeight="1" x14ac:dyDescent="0.3">
      <c r="A19" s="1" t="s">
        <v>156</v>
      </c>
      <c r="B19" s="1" t="s">
        <v>336</v>
      </c>
      <c r="C19" s="1"/>
      <c r="D19" s="4" t="s">
        <v>112</v>
      </c>
      <c r="E19" s="4" t="s">
        <v>113</v>
      </c>
      <c r="F19" s="4" t="s">
        <v>114</v>
      </c>
      <c r="G19" s="4" t="s">
        <v>115</v>
      </c>
    </row>
    <row r="20" spans="1:7" x14ac:dyDescent="0.25">
      <c r="A20" s="3" t="s">
        <v>168</v>
      </c>
      <c r="B20" s="8" t="s">
        <v>94</v>
      </c>
      <c r="C20" s="3" t="s">
        <v>338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187</v>
      </c>
      <c r="B22" s="8" t="s">
        <v>94</v>
      </c>
      <c r="C22" s="3" t="s">
        <v>338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186</v>
      </c>
      <c r="B24" s="8" t="s">
        <v>94</v>
      </c>
      <c r="C24" s="3" t="s">
        <v>338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bFi4UO/MYSy1ocOot5y7JdpTLSj3VYrhdtuVEmlekdzp7NtFBQZX4yNIi9A9S9nFic+mLseFiB4QMgSz7PmPmQ==" saltValue="0Yi1KsKDfpD+pl5y1FWoHw==" spinCount="100000" sheet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loss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lastModifiedBy>Tharindu Wickramaarachchi</cp:lastModifiedBy>
  <dcterms:created xsi:type="dcterms:W3CDTF">2017-08-01T10:42:13Z</dcterms:created>
  <dcterms:modified xsi:type="dcterms:W3CDTF">2024-05-09T01:46:16Z</dcterms:modified>
</cp:coreProperties>
</file>