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F5BEBD3-B056-447E-A0D8-596B8B97C079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38" i="2"/>
  <c r="A15" i="2"/>
  <c r="A14" i="2"/>
  <c r="A22" i="2"/>
  <c r="A30" i="2"/>
  <c r="A40" i="2"/>
  <c r="A23" i="2"/>
  <c r="A31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<sst xmlns="http://schemas.openxmlformats.org/spreadsheetml/2006/main" count="2094" uniqueCount="341">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</sst>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2134003.421875</v>
      </c>
    </row>
    <row r="8" spans="1:3" ht="15" customHeight="1" x14ac:dyDescent="0.25">
      <c r="B8" s="5" t="s">
        <v>8</v>
      </c>
      <c r="C8" s="44">
        <v>0.71799999999999997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0.31669290542602502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0.60699999999999998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3.6499999999999998E-2</v>
      </c>
    </row>
    <row r="24" spans="1:3" ht="15" customHeight="1" x14ac:dyDescent="0.25">
      <c r="B24" s="15" t="s">
        <v>22</v>
      </c>
      <c r="C24" s="45">
        <v>0.49450000000000011</v>
      </c>
    </row>
    <row r="25" spans="1:3" ht="15" customHeight="1" x14ac:dyDescent="0.25">
      <c r="B25" s="15" t="s">
        <v>23</v>
      </c>
      <c r="C25" s="45">
        <v>0.37509999999999999</v>
      </c>
    </row>
    <row r="26" spans="1:3" ht="15" customHeight="1" x14ac:dyDescent="0.25">
      <c r="B26" s="15" t="s">
        <v>24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0.19090989580981799</v>
      </c>
    </row>
    <row r="30" spans="1:3" ht="14.25" customHeight="1" x14ac:dyDescent="0.25">
      <c r="B30" s="25" t="s">
        <v>27</v>
      </c>
      <c r="C30" s="99">
        <v>4.81342613461836E-2</v>
      </c>
    </row>
    <row r="31" spans="1:3" ht="14.25" customHeight="1" x14ac:dyDescent="0.25">
      <c r="B31" s="25" t="s">
        <v>28</v>
      </c>
      <c r="C31" s="99">
        <v>9.7345412653664407E-2</v>
      </c>
    </row>
    <row r="32" spans="1:3" ht="14.25" customHeight="1" x14ac:dyDescent="0.25">
      <c r="B32" s="25" t="s">
        <v>29</v>
      </c>
      <c r="C32" s="99">
        <v>0.66361043019033406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20.44547</v>
      </c>
    </row>
    <row r="38" spans="1:5" ht="15" customHeight="1" x14ac:dyDescent="0.25">
      <c r="B38" s="11" t="s">
        <v>34</v>
      </c>
      <c r="C38" s="43">
        <v>37.628990000000002</v>
      </c>
      <c r="D38" s="12"/>
      <c r="E38" s="13"/>
    </row>
    <row r="39" spans="1:5" ht="15" customHeight="1" x14ac:dyDescent="0.25">
      <c r="B39" s="11" t="s">
        <v>35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100">
        <v>4.9400000000000004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7.9351999999999999E-3</v>
      </c>
      <c r="D45" s="12"/>
    </row>
    <row r="46" spans="1:5" ht="15.75" customHeight="1" x14ac:dyDescent="0.25">
      <c r="B46" s="11" t="s">
        <v>41</v>
      </c>
      <c r="C46" s="45">
        <v>8.5262499999999991E-2</v>
      </c>
      <c r="D46" s="12"/>
    </row>
    <row r="47" spans="1:5" ht="15.75" customHeight="1" x14ac:dyDescent="0.25">
      <c r="B47" s="11" t="s">
        <v>42</v>
      </c>
      <c r="C47" s="45">
        <v>7.3454400000000003E-2</v>
      </c>
      <c r="D47" s="12"/>
      <c r="E47" s="13"/>
    </row>
    <row r="48" spans="1:5" ht="15" customHeight="1" x14ac:dyDescent="0.25">
      <c r="B48" s="11" t="s">
        <v>43</v>
      </c>
      <c r="C48" s="46">
        <v>0.83334790000000003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0.53929500000000008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0.15131361999999901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447212</v>
      </c>
      <c r="C2" s="49">
        <v>964894.5</v>
      </c>
      <c r="D2" s="49">
        <v>1032594</v>
      </c>
      <c r="E2" s="49">
        <v>840886</v>
      </c>
      <c r="F2" s="49">
        <v>518006.5</v>
      </c>
      <c r="G2" s="17">
        <f t="shared" ref="G2:G13" si="0">C2+D2+E2+F2</f>
        <v>3356381</v>
      </c>
      <c r="H2" s="17">
        <f t="shared" ref="H2:H13" si="1">(B2 + stillbirth*B2/(1000-stillbirth))/(1-abortion)</f>
        <v>517637.4726286853</v>
      </c>
      <c r="I2" s="17">
        <f t="shared" ref="I2:I13" si="2">G2-H2</f>
        <v>2838743.5273713148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450531</v>
      </c>
      <c r="C3" s="50">
        <v>1013151.5</v>
      </c>
      <c r="D3" s="50">
        <v>1086891</v>
      </c>
      <c r="E3" s="50">
        <v>841254.5</v>
      </c>
      <c r="F3" s="50">
        <v>550476.5</v>
      </c>
      <c r="G3" s="17">
        <f t="shared" si="0"/>
        <v>3491773.5</v>
      </c>
      <c r="H3" s="17">
        <f t="shared" si="1"/>
        <v>521479.13781578816</v>
      </c>
      <c r="I3" s="17">
        <f t="shared" si="2"/>
        <v>2970294.3621842116</v>
      </c>
    </row>
    <row r="4" spans="1:9" ht="15.75" customHeight="1" x14ac:dyDescent="0.25">
      <c r="A4" s="5">
        <f t="shared" si="3"/>
        <v>2026</v>
      </c>
      <c r="B4" s="49">
        <v>457042</v>
      </c>
      <c r="C4" s="50">
        <v>1055770.5</v>
      </c>
      <c r="D4" s="50">
        <v>1139722</v>
      </c>
      <c r="E4" s="50">
        <v>850215</v>
      </c>
      <c r="F4" s="50">
        <v>581153.5</v>
      </c>
      <c r="G4" s="17">
        <f t="shared" si="0"/>
        <v>3626861</v>
      </c>
      <c r="H4" s="17">
        <f t="shared" si="1"/>
        <v>529015.4686483359</v>
      </c>
      <c r="I4" s="17">
        <f t="shared" si="2"/>
        <v>3097845.5313516641</v>
      </c>
    </row>
    <row r="5" spans="1:9" ht="15.75" customHeight="1" x14ac:dyDescent="0.25">
      <c r="A5" s="5">
        <f t="shared" si="3"/>
        <v>2027</v>
      </c>
      <c r="B5" s="49">
        <v>465221</v>
      </c>
      <c r="C5" s="50">
        <v>1093440</v>
      </c>
      <c r="D5" s="50">
        <v>1201088.5</v>
      </c>
      <c r="E5" s="50">
        <v>857419</v>
      </c>
      <c r="F5" s="50">
        <v>609749</v>
      </c>
      <c r="G5" s="17">
        <f t="shared" si="0"/>
        <v>3761696.5</v>
      </c>
      <c r="H5" s="17">
        <f t="shared" si="1"/>
        <v>538482.47062643582</v>
      </c>
      <c r="I5" s="17">
        <f t="shared" si="2"/>
        <v>3223214.0293735643</v>
      </c>
    </row>
    <row r="6" spans="1:9" ht="15.75" customHeight="1" x14ac:dyDescent="0.25">
      <c r="A6" s="5">
        <f t="shared" si="3"/>
        <v>2028</v>
      </c>
      <c r="B6" s="49">
        <v>471800</v>
      </c>
      <c r="C6" s="50">
        <v>1126277</v>
      </c>
      <c r="D6" s="50">
        <v>1270362</v>
      </c>
      <c r="E6" s="50">
        <v>863022.5</v>
      </c>
      <c r="F6" s="50">
        <v>635459.49999999988</v>
      </c>
      <c r="G6" s="17">
        <f t="shared" si="0"/>
        <v>3895121</v>
      </c>
      <c r="H6" s="17">
        <f t="shared" si="1"/>
        <v>546097.5098749894</v>
      </c>
      <c r="I6" s="17">
        <f t="shared" si="2"/>
        <v>3349023.4901250107</v>
      </c>
    </row>
    <row r="7" spans="1:9" ht="15.75" customHeight="1" x14ac:dyDescent="0.25">
      <c r="A7" s="5">
        <f t="shared" si="3"/>
        <v>2029</v>
      </c>
      <c r="B7" s="49">
        <v>479339</v>
      </c>
      <c r="C7" s="50">
        <v>1152998.5</v>
      </c>
      <c r="D7" s="50">
        <v>1343762.5</v>
      </c>
      <c r="E7" s="50">
        <v>871572.5</v>
      </c>
      <c r="F7" s="50">
        <v>658153.5</v>
      </c>
      <c r="G7" s="17">
        <f t="shared" si="0"/>
        <v>4026487</v>
      </c>
      <c r="H7" s="17">
        <f t="shared" si="1"/>
        <v>554823.72676127066</v>
      </c>
      <c r="I7" s="17">
        <f t="shared" si="2"/>
        <v>3471663.2732387292</v>
      </c>
    </row>
    <row r="8" spans="1:9" ht="15.75" customHeight="1" x14ac:dyDescent="0.25">
      <c r="A8" s="5">
        <f t="shared" si="3"/>
        <v>2030</v>
      </c>
      <c r="B8" s="49">
        <v>487080</v>
      </c>
      <c r="C8" s="50">
        <v>1168782.5</v>
      </c>
      <c r="D8" s="50">
        <v>1420824</v>
      </c>
      <c r="E8" s="50">
        <v>885159</v>
      </c>
      <c r="F8" s="50">
        <v>678109.5</v>
      </c>
      <c r="G8" s="17">
        <f t="shared" si="0"/>
        <v>4152875</v>
      </c>
      <c r="H8" s="17">
        <f t="shared" si="1"/>
        <v>563783.75394215726</v>
      </c>
      <c r="I8" s="17">
        <f t="shared" si="2"/>
        <v>3589091.2460578429</v>
      </c>
    </row>
    <row r="9" spans="1:9" ht="15.75" customHeight="1" x14ac:dyDescent="0.25">
      <c r="A9" s="5">
        <f t="shared" si="3"/>
        <v>2031</v>
      </c>
      <c r="B9" s="49">
        <v>494852</v>
      </c>
      <c r="C9" s="50">
        <v>1174794</v>
      </c>
      <c r="D9" s="50">
        <v>1498991</v>
      </c>
      <c r="E9" s="50">
        <v>903639.5</v>
      </c>
      <c r="F9" s="50">
        <v>693637.5</v>
      </c>
      <c r="G9" s="17">
        <f t="shared" si="0"/>
        <v>4271062</v>
      </c>
      <c r="H9" s="17">
        <f t="shared" si="1"/>
        <v>572779.66290092887</v>
      </c>
      <c r="I9" s="17">
        <f t="shared" si="2"/>
        <v>3698282.3370990711</v>
      </c>
    </row>
    <row r="10" spans="1:9" ht="15.75" customHeight="1" x14ac:dyDescent="0.25">
      <c r="A10" s="5">
        <f t="shared" si="3"/>
        <v>2032</v>
      </c>
      <c r="B10" s="49">
        <v>503018</v>
      </c>
      <c r="C10" s="50">
        <v>1177369.5</v>
      </c>
      <c r="D10" s="50">
        <v>1573289.5</v>
      </c>
      <c r="E10" s="50">
        <v>928132.5</v>
      </c>
      <c r="F10" s="50">
        <v>705335.5</v>
      </c>
      <c r="G10" s="17">
        <f t="shared" si="0"/>
        <v>4384127</v>
      </c>
      <c r="H10" s="17">
        <f t="shared" si="1"/>
        <v>582231.61768185114</v>
      </c>
      <c r="I10" s="17">
        <f t="shared" si="2"/>
        <v>3801895.3823181489</v>
      </c>
    </row>
    <row r="11" spans="1:9" ht="15.75" customHeight="1" x14ac:dyDescent="0.25">
      <c r="A11" s="5">
        <f t="shared" si="3"/>
        <v>2033</v>
      </c>
      <c r="B11" s="49">
        <v>513568.99999999988</v>
      </c>
      <c r="C11" s="50">
        <v>1178802.5</v>
      </c>
      <c r="D11" s="50">
        <v>1642928.5</v>
      </c>
      <c r="E11" s="50">
        <v>958049.5</v>
      </c>
      <c r="F11" s="50">
        <v>715210.5</v>
      </c>
      <c r="G11" s="17">
        <f t="shared" si="0"/>
        <v>4494991</v>
      </c>
      <c r="H11" s="17">
        <f t="shared" si="1"/>
        <v>594444.15440650354</v>
      </c>
      <c r="I11" s="17">
        <f t="shared" si="2"/>
        <v>3900546.8455934962</v>
      </c>
    </row>
    <row r="12" spans="1:9" ht="15.75" customHeight="1" x14ac:dyDescent="0.25">
      <c r="A12" s="5">
        <f t="shared" si="3"/>
        <v>2034</v>
      </c>
      <c r="B12" s="49">
        <v>521688.99999999988</v>
      </c>
      <c r="C12" s="50">
        <v>1180129</v>
      </c>
      <c r="D12" s="50">
        <v>1707555.5</v>
      </c>
      <c r="E12" s="50">
        <v>1002872</v>
      </c>
      <c r="F12" s="50">
        <v>724744.5</v>
      </c>
      <c r="G12" s="17">
        <f t="shared" si="0"/>
        <v>4615301</v>
      </c>
      <c r="H12" s="17">
        <f t="shared" si="1"/>
        <v>603842.86525895132</v>
      </c>
      <c r="I12" s="17">
        <f t="shared" si="2"/>
        <v>4011458.1347410488</v>
      </c>
    </row>
    <row r="13" spans="1:9" ht="15.75" customHeight="1" x14ac:dyDescent="0.25">
      <c r="A13" s="5">
        <f t="shared" si="3"/>
        <v>2035</v>
      </c>
      <c r="B13" s="49">
        <v>531655</v>
      </c>
      <c r="C13" s="50">
        <v>1181057.5</v>
      </c>
      <c r="D13" s="50">
        <v>1765712</v>
      </c>
      <c r="E13" s="50">
        <v>1056099</v>
      </c>
      <c r="F13" s="50">
        <v>725493.5</v>
      </c>
      <c r="G13" s="17">
        <f t="shared" si="0"/>
        <v>4728362</v>
      </c>
      <c r="H13" s="17">
        <f t="shared" si="1"/>
        <v>615378.27811061358</v>
      </c>
      <c r="I13" s="17">
        <f t="shared" si="2"/>
        <v>4112983.7218893864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1.14185011418501E-2</v>
      </c>
    </row>
    <row r="4" spans="1:8" ht="15.75" customHeight="1" x14ac:dyDescent="0.25">
      <c r="B4" s="19" t="s">
        <v>69</v>
      </c>
      <c r="C4" s="101">
        <v>5.5858105585810461E-2</v>
      </c>
    </row>
    <row r="5" spans="1:8" ht="15.75" customHeight="1" x14ac:dyDescent="0.25">
      <c r="B5" s="19" t="s">
        <v>70</v>
      </c>
      <c r="C5" s="101">
        <v>7.1107207110720647E-2</v>
      </c>
    </row>
    <row r="6" spans="1:8" ht="15.75" customHeight="1" x14ac:dyDescent="0.25">
      <c r="B6" s="19" t="s">
        <v>71</v>
      </c>
      <c r="C6" s="101">
        <v>0.24179002417900219</v>
      </c>
    </row>
    <row r="7" spans="1:8" ht="15.75" customHeight="1" x14ac:dyDescent="0.25">
      <c r="B7" s="19" t="s">
        <v>72</v>
      </c>
      <c r="C7" s="101">
        <v>0.42007884200788481</v>
      </c>
    </row>
    <row r="8" spans="1:8" ht="15.75" customHeight="1" x14ac:dyDescent="0.25">
      <c r="B8" s="19" t="s">
        <v>73</v>
      </c>
      <c r="C8" s="101">
        <v>1.6044001604400141E-3</v>
      </c>
    </row>
    <row r="9" spans="1:8" ht="15.75" customHeight="1" x14ac:dyDescent="0.25">
      <c r="B9" s="19" t="s">
        <v>74</v>
      </c>
      <c r="C9" s="101">
        <v>8.5042508504250727E-2</v>
      </c>
    </row>
    <row r="10" spans="1:8" ht="15.75" customHeight="1" x14ac:dyDescent="0.25">
      <c r="B10" s="19" t="s">
        <v>75</v>
      </c>
      <c r="C10" s="101">
        <v>0.113100411310041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82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83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84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85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86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87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88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89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8.6116069000000003E-2</v>
      </c>
    </row>
    <row r="27" spans="1:8" ht="15.75" customHeight="1" x14ac:dyDescent="0.25">
      <c r="B27" s="19" t="s">
        <v>92</v>
      </c>
      <c r="C27" s="101">
        <v>8.4963420000000005E-3</v>
      </c>
    </row>
    <row r="28" spans="1:8" ht="15.75" customHeight="1" x14ac:dyDescent="0.25">
      <c r="B28" s="19" t="s">
        <v>93</v>
      </c>
      <c r="C28" s="101">
        <v>0.155313541</v>
      </c>
    </row>
    <row r="29" spans="1:8" ht="15.75" customHeight="1" x14ac:dyDescent="0.25">
      <c r="B29" s="19" t="s">
        <v>94</v>
      </c>
      <c r="C29" s="101">
        <v>0.16740253699999999</v>
      </c>
    </row>
    <row r="30" spans="1:8" ht="15.75" customHeight="1" x14ac:dyDescent="0.25">
      <c r="B30" s="19" t="s">
        <v>95</v>
      </c>
      <c r="C30" s="101">
        <v>0.104102105</v>
      </c>
    </row>
    <row r="31" spans="1:8" ht="15.75" customHeight="1" x14ac:dyDescent="0.25">
      <c r="B31" s="19" t="s">
        <v>96</v>
      </c>
      <c r="C31" s="101">
        <v>0.108491529</v>
      </c>
    </row>
    <row r="32" spans="1:8" ht="15.75" customHeight="1" x14ac:dyDescent="0.25">
      <c r="B32" s="19" t="s">
        <v>97</v>
      </c>
      <c r="C32" s="101">
        <v>1.8703009999999999E-2</v>
      </c>
    </row>
    <row r="33" spans="2:3" ht="15.75" customHeight="1" x14ac:dyDescent="0.25">
      <c r="B33" s="19" t="s">
        <v>98</v>
      </c>
      <c r="C33" s="101">
        <v>8.4263411999999996E-2</v>
      </c>
    </row>
    <row r="34" spans="2:3" ht="15.75" customHeight="1" x14ac:dyDescent="0.25">
      <c r="B34" s="19" t="s">
        <v>99</v>
      </c>
      <c r="C34" s="101">
        <v>0.267111455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104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109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110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122</v>
      </c>
      <c r="C5" s="52">
        <v>3.4746399999999997E-2</v>
      </c>
      <c r="D5" s="52">
        <v>2.2493200000000001E-2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33.419328454162319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0.59005040706397904</v>
      </c>
      <c r="C3" s="98">
        <v>0.95</v>
      </c>
      <c r="D3" s="56">
        <v>44.603258912802382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28.572744206474489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7.9370542524598214E-2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1.44447E-2</v>
      </c>
      <c r="C10" s="98">
        <v>0.95</v>
      </c>
      <c r="D10" s="56">
        <v>14.128320781922749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1.44447E-2</v>
      </c>
      <c r="C11" s="98">
        <v>0.95</v>
      </c>
      <c r="D11" s="56">
        <v>14.128320781922749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1.44447E-2</v>
      </c>
      <c r="C12" s="98">
        <v>0.95</v>
      </c>
      <c r="D12" s="56">
        <v>14.128320781922749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1.44447E-2</v>
      </c>
      <c r="C13" s="98">
        <v>0.95</v>
      </c>
      <c r="D13" s="56">
        <v>14.128320781922749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1.44447E-2</v>
      </c>
      <c r="C14" s="98">
        <v>0.95</v>
      </c>
      <c r="D14" s="56">
        <v>14.128320781922749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1.44447E-2</v>
      </c>
      <c r="C15" s="98">
        <v>0.95</v>
      </c>
      <c r="D15" s="56">
        <v>14.128320781922749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0.87</v>
      </c>
      <c r="C16" s="98">
        <v>0.95</v>
      </c>
      <c r="D16" s="56">
        <v>0.184606911982414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0.40889042949652699</v>
      </c>
      <c r="C18" s="98">
        <v>0.95</v>
      </c>
      <c r="D18" s="56">
        <v>0.77483113726549069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0.45690689999999989</v>
      </c>
      <c r="C19" s="98">
        <v>0.95</v>
      </c>
      <c r="D19" s="56">
        <v>0.77483113726549069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0.38674399999999998</v>
      </c>
      <c r="C21" s="98">
        <v>0.95</v>
      </c>
      <c r="D21" s="56">
        <v>0.73944140975850148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24.050195803135828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4.6205668864219671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0.78301978471355793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1.44447E-2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20.437528574582711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0.61549484716603098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57.479211577278647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0.81</v>
      </c>
      <c r="C31" s="98">
        <v>0.95</v>
      </c>
      <c r="D31" s="56">
        <v>0.64873348086651084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0.33149430053697698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0.18486040000000001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0.35550359999999998</v>
      </c>
      <c r="C38" s="98">
        <v>0.95</v>
      </c>
      <c r="D38" s="56">
        <v>4.0178537055808334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205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0.71799999999999997</v>
      </c>
      <c r="E2" s="60">
        <f>food_insecure</f>
        <v>0.71799999999999997</v>
      </c>
      <c r="F2" s="60">
        <f>food_insecure</f>
        <v>0.71799999999999997</v>
      </c>
      <c r="G2" s="60">
        <f>food_insecure</f>
        <v>0.71799999999999997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0.71799999999999997</v>
      </c>
      <c r="I15" s="60">
        <f>food_insecure</f>
        <v>0.71799999999999997</v>
      </c>
      <c r="J15" s="60">
        <f>food_insecure</f>
        <v>0.71799999999999997</v>
      </c>
      <c r="K15" s="60">
        <f>food_insecure</f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0.60699999999999998</v>
      </c>
      <c r="M24" s="60">
        <f>famplan_unmet_need</f>
        <v>0.60699999999999998</v>
      </c>
      <c r="N24" s="60">
        <f>famplan_unmet_need</f>
        <v>0.60699999999999998</v>
      </c>
      <c r="O24" s="60">
        <f>famplan_unmet_need</f>
        <v>0.60699999999999998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0.43784952006111166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0.18764979431190498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5.7807780200958288E-2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0.31669290542602502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B56E87-3497-48E1-A333-253C88899051}"/>
</file>

<file path=customXml/itemProps2.xml><?xml version="1.0" encoding="utf-8"?>
<ds:datastoreItem xmlns:ds="http://schemas.openxmlformats.org/officeDocument/2006/customXml" ds:itemID="{A1C94D27-CD37-4C87-B894-78DBA78155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2024-04-11T00:39:59Z</dcterms:modified>
</cp:coreProperties>
</file>