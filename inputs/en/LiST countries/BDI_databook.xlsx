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8CB2F82-6CA6-412C-9B0A-413D229703C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29" i="2"/>
  <c r="A27" i="2"/>
  <c r="A26" i="2"/>
  <c r="A25" i="2"/>
  <c r="A21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<sst xmlns="http://schemas.openxmlformats.org/spreadsheetml/2006/main" count="2103" uniqueCount="341">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</sst>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2134003.421875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0.31669290542602502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9">
        <v>4.81342613461836E-2</v>
      </c>
    </row>
    <row r="31" spans="1:3" ht="14.25" customHeight="1" x14ac:dyDescent="0.25">
      <c r="B31" s="25" t="s">
        <v>28</v>
      </c>
      <c r="C31" s="99">
        <v>9.7345412653664407E-2</v>
      </c>
    </row>
    <row r="32" spans="1:3" ht="14.25" customHeight="1" x14ac:dyDescent="0.25">
      <c r="B32" s="25" t="s">
        <v>29</v>
      </c>
      <c r="C32" s="99">
        <v>0.66361043019033406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101">
        <v>5.5858105585810461E-2</v>
      </c>
    </row>
    <row r="5" spans="1:8" ht="15.75" customHeight="1" x14ac:dyDescent="0.25">
      <c r="B5" s="19" t="s">
        <v>70</v>
      </c>
      <c r="C5" s="101">
        <v>7.1107207110720647E-2</v>
      </c>
    </row>
    <row r="6" spans="1:8" ht="15.75" customHeight="1" x14ac:dyDescent="0.25">
      <c r="B6" s="19" t="s">
        <v>71</v>
      </c>
      <c r="C6" s="101">
        <v>0.24179002417900219</v>
      </c>
    </row>
    <row r="7" spans="1:8" ht="15.75" customHeight="1" x14ac:dyDescent="0.25">
      <c r="B7" s="19" t="s">
        <v>72</v>
      </c>
      <c r="C7" s="101">
        <v>0.42007884200788481</v>
      </c>
    </row>
    <row r="8" spans="1:8" ht="15.75" customHeight="1" x14ac:dyDescent="0.25">
      <c r="B8" s="19" t="s">
        <v>73</v>
      </c>
      <c r="C8" s="101">
        <v>1.6044001604400141E-3</v>
      </c>
    </row>
    <row r="9" spans="1:8" ht="15.75" customHeight="1" x14ac:dyDescent="0.25">
      <c r="B9" s="19" t="s">
        <v>74</v>
      </c>
      <c r="C9" s="101">
        <v>8.5042508504250727E-2</v>
      </c>
    </row>
    <row r="10" spans="1:8" ht="15.75" customHeight="1" x14ac:dyDescent="0.25">
      <c r="B10" s="19" t="s">
        <v>75</v>
      </c>
      <c r="C10" s="101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83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84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85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86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87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89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101">
        <v>8.4963420000000005E-3</v>
      </c>
    </row>
    <row r="28" spans="1:8" ht="15.75" customHeight="1" x14ac:dyDescent="0.25">
      <c r="B28" s="19" t="s">
        <v>93</v>
      </c>
      <c r="C28" s="101">
        <v>0.155313541</v>
      </c>
    </row>
    <row r="29" spans="1:8" ht="15.75" customHeight="1" x14ac:dyDescent="0.25">
      <c r="B29" s="19" t="s">
        <v>94</v>
      </c>
      <c r="C29" s="101">
        <v>0.16740253699999999</v>
      </c>
    </row>
    <row r="30" spans="1:8" ht="15.75" customHeight="1" x14ac:dyDescent="0.25">
      <c r="B30" s="19" t="s">
        <v>95</v>
      </c>
      <c r="C30" s="101">
        <v>0.104102105</v>
      </c>
    </row>
    <row r="31" spans="1:8" ht="15.75" customHeight="1" x14ac:dyDescent="0.25">
      <c r="B31" s="19" t="s">
        <v>96</v>
      </c>
      <c r="C31" s="101">
        <v>0.108491529</v>
      </c>
    </row>
    <row r="32" spans="1:8" ht="15.75" customHeight="1" x14ac:dyDescent="0.25">
      <c r="B32" s="19" t="s">
        <v>97</v>
      </c>
      <c r="C32" s="101">
        <v>1.8703009999999999E-2</v>
      </c>
    </row>
    <row r="33" spans="2:3" ht="15.75" customHeight="1" x14ac:dyDescent="0.25">
      <c r="B33" s="19" t="s">
        <v>98</v>
      </c>
      <c r="C33" s="101">
        <v>8.4263411999999996E-2</v>
      </c>
    </row>
    <row r="34" spans="2:3" ht="15.75" customHeight="1" x14ac:dyDescent="0.25">
      <c r="B34" s="19" t="s">
        <v>99</v>
      </c>
      <c r="C34" s="101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33.419328454162319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44.603258912802382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28.572744206474489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7.9370542524598214E-2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1.44447E-2</v>
      </c>
      <c r="C10" s="98">
        <v>0.95</v>
      </c>
      <c r="D10" s="56">
        <v>14.128320781922749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14.128320781922749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14.128320781922749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14.128320781922749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1.44447E-2</v>
      </c>
      <c r="C14" s="98">
        <v>0.95</v>
      </c>
      <c r="D14" s="56">
        <v>14.128320781922749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14.128320781922749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0.43771369999999998</v>
      </c>
      <c r="C16" s="98">
        <v>0.95</v>
      </c>
      <c r="D16" s="56">
        <v>0.184606911982414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0.80849019999999994</v>
      </c>
      <c r="C18" s="98">
        <v>0.95</v>
      </c>
      <c r="D18" s="56">
        <v>0.77483113726549069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0.80849019999999994</v>
      </c>
      <c r="C19" s="98">
        <v>0.95</v>
      </c>
      <c r="D19" s="56">
        <v>0.77483113726549069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0.73944140975850148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0.46131729999999999</v>
      </c>
      <c r="C23" s="98">
        <v>0.95</v>
      </c>
      <c r="D23" s="56">
        <v>4.6205668864219671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0.62554248831658099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1.44447E-2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20.437528574582711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0.35550359999999998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0.18486040000000001</v>
      </c>
      <c r="C29" s="98">
        <v>0.95</v>
      </c>
      <c r="D29" s="56">
        <v>57.479211577278647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6.9099999999999995E-2</v>
      </c>
      <c r="C31" s="98">
        <v>0.95</v>
      </c>
      <c r="D31" s="56">
        <v>0.64873348086651084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0.81</v>
      </c>
      <c r="C32" s="98">
        <v>0.95</v>
      </c>
      <c r="D32" s="56">
        <v>0.33149430053697698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6.3035899999999992E-2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0.73656490000000008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1.6022E-3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0.38674399999999998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0.1502725</v>
      </c>
      <c r="C38" s="98">
        <v>0.95</v>
      </c>
      <c r="D38" s="56">
        <v>4.0178537055808334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205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0.10802066127621901</v>
      </c>
      <c r="G18" s="90">
        <f>MIN(MAX(1-0.89/(1-frac_sam_12_23months+(frac_sam_12_23months*0.89)),0),1)</f>
        <v>0.1091652272411604</v>
      </c>
      <c r="H18" s="90">
        <f>MIN(MAX(1-0.89/(1-frac_sam_24_59months+(frac_sam_24_59months*0.89)),0),1)</f>
        <v>0.10927592059788926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0.10208591092688191</v>
      </c>
      <c r="G20" s="90">
        <f>MIN(MAX(1-0.89/(1-frac_mam_12_23months+(frac_mam_12_23months*0.89)),0),1)</f>
        <v>0.10290782881824667</v>
      </c>
      <c r="H20" s="90">
        <f>MIN(MAX(1-0.89/(1-frac_mam_24_59months+(frac_mam_24_59months*0.89)),0),1)</f>
        <v>0.1074354934780708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9.8002460134284375E-3</v>
      </c>
      <c r="G73" s="90">
        <f>MIN(MAX(1-0.99/(1-frac_sam_12_23months+(frac_sam_12_23months*0.99)),0),1)</f>
        <v>9.9156566949625269E-3</v>
      </c>
      <c r="H73" s="90">
        <f>MIN(MAX(1-0.99/(1-frac_sam_24_59months+(frac_sam_24_59months*0.99)),0),1)</f>
        <v>9.9268326028562059E-3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9.2061164929010397E-3</v>
      </c>
      <c r="G75" s="90">
        <f>MIN(MAX(1-0.99/(1-frac_mam_12_23months+(frac_mam_12_23months*0.99)),0),1)</f>
        <v>9.2879722935511611E-3</v>
      </c>
      <c r="H75" s="90">
        <f>MIN(MAX(1-0.99/(1-frac_mam_24_59months+(frac_mam_24_59months*0.99)),0),1)</f>
        <v>9.7413454296848556E-3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0.19675922871937568</v>
      </c>
      <c r="G128" s="90">
        <f>MIN(MAX(1-0.8/(1-frac_sam_12_23months+(frac_sam_12_23months*0.8)),0),1)</f>
        <v>0.19863466579820022</v>
      </c>
      <c r="H128" s="90">
        <f>MIN(MAX(1-0.8/(1-frac_sam_24_59months+(frac_sam_24_59months*0.8)),0),1)</f>
        <v>0.19881583377864154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0.18697104844554957</v>
      </c>
      <c r="G130" s="90">
        <f>MIN(MAX(1-0.8/(1-frac_mam_12_23months+(frac_mam_12_23months*0.8)),0),1)</f>
        <v>0.18833305056885974</v>
      </c>
      <c r="H130" s="90">
        <f>MIN(MAX(1-0.8/(1-frac_mam_24_59months+(frac_mam_24_59months*0.8)),0),1)</f>
        <v>0.19579886937765145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2024-06-18T06:54:26Z</dcterms:modified>
</cp:coreProperties>
</file>