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902ED96-379F-46DF-A282-ED91C922885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2" i="2"/>
  <c r="A30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<sst xmlns="http://schemas.openxmlformats.org/spreadsheetml/2006/main" count="2092" uniqueCount="341">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</sst>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2134003.421875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0.31669290542602502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9">
        <v>4.81342613461836E-2</v>
      </c>
    </row>
    <row r="31" spans="1:3" ht="14.25" customHeight="1" x14ac:dyDescent="0.25">
      <c r="B31" s="25" t="s">
        <v>28</v>
      </c>
      <c r="C31" s="99">
        <v>9.7345412653664407E-2</v>
      </c>
    </row>
    <row r="32" spans="1:3" ht="14.25" customHeight="1" x14ac:dyDescent="0.25">
      <c r="B32" s="25" t="s">
        <v>29</v>
      </c>
      <c r="C32" s="99">
        <v>0.66361043019033406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499734.14220000012</v>
      </c>
      <c r="C2" s="49">
        <v>708000</v>
      </c>
      <c r="D2" s="49">
        <v>1083000</v>
      </c>
      <c r="E2" s="49">
        <v>895000</v>
      </c>
      <c r="F2" s="49">
        <v>507000</v>
      </c>
      <c r="G2" s="17">
        <f t="shared" ref="G2:G13" si="0">C2+D2+E2+F2</f>
        <v>3193000</v>
      </c>
      <c r="H2" s="17">
        <f t="shared" ref="H2:H13" si="1">(B2 + stillbirth*B2/(1000-stillbirth))/(1-abortion)</f>
        <v>578430.62877264491</v>
      </c>
      <c r="I2" s="17">
        <f t="shared" ref="I2:I13" si="2">G2-H2</f>
        <v>2614569.3712273552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504548.34999999992</v>
      </c>
      <c r="C3" s="50">
        <v>738000</v>
      </c>
      <c r="D3" s="50">
        <v>1109000</v>
      </c>
      <c r="E3" s="50">
        <v>919000</v>
      </c>
      <c r="F3" s="50">
        <v>540000</v>
      </c>
      <c r="G3" s="17">
        <f t="shared" si="0"/>
        <v>3306000</v>
      </c>
      <c r="H3" s="17">
        <f t="shared" si="1"/>
        <v>584002.96215882688</v>
      </c>
      <c r="I3" s="17">
        <f t="shared" si="2"/>
        <v>2721997.0378411729</v>
      </c>
    </row>
    <row r="4" spans="1:9" ht="15.75" customHeight="1" x14ac:dyDescent="0.25">
      <c r="A4" s="5">
        <f t="shared" si="3"/>
        <v>2026</v>
      </c>
      <c r="B4" s="49">
        <v>511594.57380000001</v>
      </c>
      <c r="C4" s="50">
        <v>766000</v>
      </c>
      <c r="D4" s="50">
        <v>1140000</v>
      </c>
      <c r="E4" s="50">
        <v>937000</v>
      </c>
      <c r="F4" s="50">
        <v>577000</v>
      </c>
      <c r="G4" s="17">
        <f t="shared" si="0"/>
        <v>3420000</v>
      </c>
      <c r="H4" s="17">
        <f t="shared" si="1"/>
        <v>592158.80207235378</v>
      </c>
      <c r="I4" s="17">
        <f t="shared" si="2"/>
        <v>2827841.1979276463</v>
      </c>
    </row>
    <row r="5" spans="1:9" ht="15.75" customHeight="1" x14ac:dyDescent="0.25">
      <c r="A5" s="5">
        <f t="shared" si="3"/>
        <v>2027</v>
      </c>
      <c r="B5" s="49">
        <v>518431.78619999991</v>
      </c>
      <c r="C5" s="50">
        <v>793000</v>
      </c>
      <c r="D5" s="50">
        <v>1177000</v>
      </c>
      <c r="E5" s="50">
        <v>951000</v>
      </c>
      <c r="F5" s="50">
        <v>614000</v>
      </c>
      <c r="G5" s="17">
        <f t="shared" si="0"/>
        <v>3535000</v>
      </c>
      <c r="H5" s="17">
        <f t="shared" si="1"/>
        <v>600072.7161590989</v>
      </c>
      <c r="I5" s="17">
        <f t="shared" si="2"/>
        <v>2934927.2838409012</v>
      </c>
    </row>
    <row r="6" spans="1:9" ht="15.75" customHeight="1" x14ac:dyDescent="0.25">
      <c r="A6" s="5">
        <f t="shared" si="3"/>
        <v>2028</v>
      </c>
      <c r="B6" s="49">
        <v>525052.49319999991</v>
      </c>
      <c r="C6" s="50">
        <v>820000</v>
      </c>
      <c r="D6" s="50">
        <v>1219000</v>
      </c>
      <c r="E6" s="50">
        <v>962000</v>
      </c>
      <c r="F6" s="50">
        <v>653000</v>
      </c>
      <c r="G6" s="17">
        <f t="shared" si="0"/>
        <v>3654000</v>
      </c>
      <c r="H6" s="17">
        <f t="shared" si="1"/>
        <v>607736.03028862819</v>
      </c>
      <c r="I6" s="17">
        <f t="shared" si="2"/>
        <v>3046263.9697113717</v>
      </c>
    </row>
    <row r="7" spans="1:9" ht="15.75" customHeight="1" x14ac:dyDescent="0.25">
      <c r="A7" s="5">
        <f t="shared" si="3"/>
        <v>2029</v>
      </c>
      <c r="B7" s="49">
        <v>531483.73739999987</v>
      </c>
      <c r="C7" s="50">
        <v>846000</v>
      </c>
      <c r="D7" s="50">
        <v>1265000</v>
      </c>
      <c r="E7" s="50">
        <v>974000</v>
      </c>
      <c r="F7" s="50">
        <v>690000</v>
      </c>
      <c r="G7" s="17">
        <f t="shared" si="0"/>
        <v>3775000</v>
      </c>
      <c r="H7" s="17">
        <f t="shared" si="1"/>
        <v>615180.04564051016</v>
      </c>
      <c r="I7" s="17">
        <f t="shared" si="2"/>
        <v>3159819.95435949</v>
      </c>
    </row>
    <row r="8" spans="1:9" ht="15.75" customHeight="1" x14ac:dyDescent="0.25">
      <c r="A8" s="5">
        <f t="shared" si="3"/>
        <v>2030</v>
      </c>
      <c r="B8" s="49">
        <v>537750.56299999997</v>
      </c>
      <c r="C8" s="50">
        <v>872000</v>
      </c>
      <c r="D8" s="50">
        <v>1314000</v>
      </c>
      <c r="E8" s="50">
        <v>986000</v>
      </c>
      <c r="F8" s="50">
        <v>727000</v>
      </c>
      <c r="G8" s="17">
        <f t="shared" si="0"/>
        <v>3899000</v>
      </c>
      <c r="H8" s="17">
        <f t="shared" si="1"/>
        <v>622433.75029286463</v>
      </c>
      <c r="I8" s="17">
        <f t="shared" si="2"/>
        <v>3276566.2497071354</v>
      </c>
    </row>
    <row r="9" spans="1:9" ht="15.75" customHeight="1" x14ac:dyDescent="0.25">
      <c r="A9" s="5">
        <f t="shared" si="3"/>
        <v>2031</v>
      </c>
      <c r="B9" s="49">
        <v>543181.4802571428</v>
      </c>
      <c r="C9" s="50">
        <v>895428.57142857148</v>
      </c>
      <c r="D9" s="50">
        <v>1347000</v>
      </c>
      <c r="E9" s="50">
        <v>999000</v>
      </c>
      <c r="F9" s="50">
        <v>758428.57142857148</v>
      </c>
      <c r="G9" s="17">
        <f t="shared" si="0"/>
        <v>3999857.1428571427</v>
      </c>
      <c r="H9" s="17">
        <f t="shared" si="1"/>
        <v>628719.91051003896</v>
      </c>
      <c r="I9" s="17">
        <f t="shared" si="2"/>
        <v>3371137.2323471038</v>
      </c>
    </row>
    <row r="10" spans="1:9" ht="15.75" customHeight="1" x14ac:dyDescent="0.25">
      <c r="A10" s="5">
        <f t="shared" si="3"/>
        <v>2032</v>
      </c>
      <c r="B10" s="49">
        <v>548700.49886530603</v>
      </c>
      <c r="C10" s="50">
        <v>917918.36734693882</v>
      </c>
      <c r="D10" s="50">
        <v>1381000</v>
      </c>
      <c r="E10" s="50">
        <v>1010428.571428571</v>
      </c>
      <c r="F10" s="50">
        <v>789632.6530612245</v>
      </c>
      <c r="G10" s="17">
        <f t="shared" si="0"/>
        <v>4098979.5918367342</v>
      </c>
      <c r="H10" s="17">
        <f t="shared" si="1"/>
        <v>635108.04598878347</v>
      </c>
      <c r="I10" s="17">
        <f t="shared" si="2"/>
        <v>3463871.5458479505</v>
      </c>
    </row>
    <row r="11" spans="1:9" ht="15.75" customHeight="1" x14ac:dyDescent="0.25">
      <c r="A11" s="5">
        <f t="shared" si="3"/>
        <v>2033</v>
      </c>
      <c r="B11" s="49">
        <v>554001.34530320694</v>
      </c>
      <c r="C11" s="50">
        <v>939620.99125364434</v>
      </c>
      <c r="D11" s="50">
        <v>1415428.5714285709</v>
      </c>
      <c r="E11" s="50">
        <v>1020918.367346939</v>
      </c>
      <c r="F11" s="50">
        <v>820008.74635568517</v>
      </c>
      <c r="G11" s="17">
        <f t="shared" si="0"/>
        <v>4195976.6763848392</v>
      </c>
      <c r="H11" s="17">
        <f t="shared" si="1"/>
        <v>641243.65226255916</v>
      </c>
      <c r="I11" s="17">
        <f t="shared" si="2"/>
        <v>3554733.0241222801</v>
      </c>
    </row>
    <row r="12" spans="1:9" ht="15.75" customHeight="1" x14ac:dyDescent="0.25">
      <c r="A12" s="5">
        <f t="shared" si="3"/>
        <v>2034</v>
      </c>
      <c r="B12" s="49">
        <v>559082.71088937938</v>
      </c>
      <c r="C12" s="50">
        <v>960566.84714702214</v>
      </c>
      <c r="D12" s="50">
        <v>1449489.7959183671</v>
      </c>
      <c r="E12" s="50">
        <v>1030906.705539359</v>
      </c>
      <c r="F12" s="50">
        <v>849438.56726364023</v>
      </c>
      <c r="G12" s="17">
        <f t="shared" si="0"/>
        <v>4290401.9158683885</v>
      </c>
      <c r="H12" s="17">
        <f t="shared" si="1"/>
        <v>647125.21456305368</v>
      </c>
      <c r="I12" s="17">
        <f t="shared" si="2"/>
        <v>3643276.7013053349</v>
      </c>
    </row>
    <row r="13" spans="1:9" ht="15.75" customHeight="1" x14ac:dyDescent="0.25">
      <c r="A13" s="5">
        <f t="shared" si="3"/>
        <v>2035</v>
      </c>
      <c r="B13" s="49">
        <v>563944.17055929068</v>
      </c>
      <c r="C13" s="50">
        <v>980647.82531088241</v>
      </c>
      <c r="D13" s="50">
        <v>1482416.909620991</v>
      </c>
      <c r="E13" s="50">
        <v>1040750.52061641</v>
      </c>
      <c r="F13" s="50">
        <v>877501.21972987452</v>
      </c>
      <c r="G13" s="17">
        <f t="shared" si="0"/>
        <v>4381316.4752781577</v>
      </c>
      <c r="H13" s="17">
        <f t="shared" si="1"/>
        <v>652752.24088797136</v>
      </c>
      <c r="I13" s="17">
        <f t="shared" si="2"/>
        <v>3728564.2343901861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101">
        <v>5.5858105585810461E-2</v>
      </c>
    </row>
    <row r="5" spans="1:8" ht="15.75" customHeight="1" x14ac:dyDescent="0.25">
      <c r="B5" s="19" t="s">
        <v>70</v>
      </c>
      <c r="C5" s="101">
        <v>7.1107207110720647E-2</v>
      </c>
    </row>
    <row r="6" spans="1:8" ht="15.75" customHeight="1" x14ac:dyDescent="0.25">
      <c r="B6" s="19" t="s">
        <v>71</v>
      </c>
      <c r="C6" s="101">
        <v>0.24179002417900219</v>
      </c>
    </row>
    <row r="7" spans="1:8" ht="15.75" customHeight="1" x14ac:dyDescent="0.25">
      <c r="B7" s="19" t="s">
        <v>72</v>
      </c>
      <c r="C7" s="101">
        <v>0.42007884200788481</v>
      </c>
    </row>
    <row r="8" spans="1:8" ht="15.75" customHeight="1" x14ac:dyDescent="0.25">
      <c r="B8" s="19" t="s">
        <v>73</v>
      </c>
      <c r="C8" s="101">
        <v>1.6044001604400141E-3</v>
      </c>
    </row>
    <row r="9" spans="1:8" ht="15.75" customHeight="1" x14ac:dyDescent="0.25">
      <c r="B9" s="19" t="s">
        <v>74</v>
      </c>
      <c r="C9" s="101">
        <v>8.5042508504250727E-2</v>
      </c>
    </row>
    <row r="10" spans="1:8" ht="15.75" customHeight="1" x14ac:dyDescent="0.25">
      <c r="B10" s="19" t="s">
        <v>75</v>
      </c>
      <c r="C10" s="101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83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84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85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86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87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89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101">
        <v>8.4963420000000005E-3</v>
      </c>
    </row>
    <row r="28" spans="1:8" ht="15.75" customHeight="1" x14ac:dyDescent="0.25">
      <c r="B28" s="19" t="s">
        <v>93</v>
      </c>
      <c r="C28" s="101">
        <v>0.155313541</v>
      </c>
    </row>
    <row r="29" spans="1:8" ht="15.75" customHeight="1" x14ac:dyDescent="0.25">
      <c r="B29" s="19" t="s">
        <v>94</v>
      </c>
      <c r="C29" s="101">
        <v>0.16740253699999999</v>
      </c>
    </row>
    <row r="30" spans="1:8" ht="15.75" customHeight="1" x14ac:dyDescent="0.25">
      <c r="B30" s="19" t="s">
        <v>95</v>
      </c>
      <c r="C30" s="101">
        <v>0.104102105</v>
      </c>
    </row>
    <row r="31" spans="1:8" ht="15.75" customHeight="1" x14ac:dyDescent="0.25">
      <c r="B31" s="19" t="s">
        <v>96</v>
      </c>
      <c r="C31" s="101">
        <v>0.108491529</v>
      </c>
    </row>
    <row r="32" spans="1:8" ht="15.75" customHeight="1" x14ac:dyDescent="0.25">
      <c r="B32" s="19" t="s">
        <v>97</v>
      </c>
      <c r="C32" s="101">
        <v>1.8703009999999999E-2</v>
      </c>
    </row>
    <row r="33" spans="2:3" ht="15.75" customHeight="1" x14ac:dyDescent="0.25">
      <c r="B33" s="19" t="s">
        <v>98</v>
      </c>
      <c r="C33" s="101">
        <v>8.4263411999999996E-2</v>
      </c>
    </row>
    <row r="34" spans="2:3" ht="15.75" customHeight="1" x14ac:dyDescent="0.25">
      <c r="B34" s="19" t="s">
        <v>99</v>
      </c>
      <c r="C34" s="101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0.29883277394507102</v>
      </c>
      <c r="C2" s="98">
        <v>0.95</v>
      </c>
      <c r="D2" s="56">
        <v>33.419328454162319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44.603258912802382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28.572744206474489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7.4814348689412974E-2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14.128320781922749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14.128320781922749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14.128320781922749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14.128320781922749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14.128320781922749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14.128320781922749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0.59005040706397904</v>
      </c>
      <c r="C16" s="98">
        <v>0.95</v>
      </c>
      <c r="D16" s="56">
        <v>0.184606911982414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0.77483113726549069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0.77483113726549069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0.73656490000000008</v>
      </c>
      <c r="C21" s="98">
        <v>0.95</v>
      </c>
      <c r="D21" s="56">
        <v>0.73944140975850148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24.050195803135828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1.6022E-3</v>
      </c>
      <c r="C23" s="98">
        <v>0.95</v>
      </c>
      <c r="D23" s="56">
        <v>4.6205668864219671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0.61549484716603098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0.30241852212064002</v>
      </c>
      <c r="C27" s="98">
        <v>0.95</v>
      </c>
      <c r="D27" s="56">
        <v>20.437528574582711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0.35550359999999998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57.479211577278647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6.9099999999999995E-2</v>
      </c>
      <c r="C31" s="98">
        <v>0.95</v>
      </c>
      <c r="D31" s="56">
        <v>0.64873348086651084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0.80849019999999994</v>
      </c>
      <c r="C32" s="98">
        <v>0.95</v>
      </c>
      <c r="D32" s="56">
        <v>0.33149430053697698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0.45690689999999989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0.1502725</v>
      </c>
      <c r="C38" s="98">
        <v>0.95</v>
      </c>
      <c r="D38" s="56">
        <v>4.0178537055808334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0.18486040000000001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205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0.89459260040054811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2024-03-28T03:03:47Z</dcterms:modified>
</cp:coreProperties>
</file>