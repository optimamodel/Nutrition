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A568AC1-C4F7-44D9-8615-BBFAE9DD48E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A34" i="2"/>
  <c r="I13" i="2"/>
  <c r="A37" i="2"/>
  <c r="I4" i="2"/>
  <c r="I38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<sst xmlns="http://schemas.openxmlformats.org/spreadsheetml/2006/main" count="2169" uniqueCount="373">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</sst>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1236334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0.2918538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7">
        <v>6.3573506524813E-2</v>
      </c>
    </row>
    <row r="31" spans="1:3" ht="14.25" customHeight="1" x14ac:dyDescent="0.25">
      <c r="B31" s="25" t="s">
        <v>28</v>
      </c>
      <c r="C31" s="97">
        <v>0.116568636609094</v>
      </c>
    </row>
    <row r="32" spans="1:3" ht="14.25" customHeight="1" x14ac:dyDescent="0.25">
      <c r="B32" s="25" t="s">
        <v>29</v>
      </c>
      <c r="C32" s="97">
        <v>0.57168313722546993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98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1.976</v>
      </c>
      <c r="D51" s="12"/>
    </row>
    <row r="52" spans="1:4" ht="15" customHeight="1" x14ac:dyDescent="0.25">
      <c r="B52" s="11" t="s">
        <v>46</v>
      </c>
      <c r="C52" s="98">
        <v>1.976</v>
      </c>
    </row>
    <row r="53" spans="1:4" ht="15.75" customHeight="1" x14ac:dyDescent="0.25">
      <c r="B53" s="11" t="s">
        <v>47</v>
      </c>
      <c r="C53" s="98">
        <v>5.2</v>
      </c>
    </row>
    <row r="54" spans="1:4" ht="15.75" customHeight="1" x14ac:dyDescent="0.25">
      <c r="B54" s="11" t="s">
        <v>48</v>
      </c>
      <c r="C54" s="98">
        <v>5.7720000000000002</v>
      </c>
    </row>
    <row r="55" spans="1:4" ht="15.75" customHeight="1" x14ac:dyDescent="0.25">
      <c r="B55" s="11" t="s">
        <v>49</v>
      </c>
      <c r="C55" s="98">
        <v>3.007333333333333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99">
        <v>5.1037667288558748E-2</v>
      </c>
    </row>
    <row r="5" spans="1:8" ht="15.75" customHeight="1" x14ac:dyDescent="0.25">
      <c r="B5" s="19" t="s">
        <v>70</v>
      </c>
      <c r="C5" s="99">
        <v>7.8308673753194405E-2</v>
      </c>
    </row>
    <row r="6" spans="1:8" ht="15.75" customHeight="1" x14ac:dyDescent="0.25">
      <c r="B6" s="19" t="s">
        <v>71</v>
      </c>
      <c r="C6" s="99">
        <v>0.2326897711165167</v>
      </c>
    </row>
    <row r="7" spans="1:8" ht="15.75" customHeight="1" x14ac:dyDescent="0.25">
      <c r="B7" s="19" t="s">
        <v>72</v>
      </c>
      <c r="C7" s="99">
        <v>0.4111986989090074</v>
      </c>
    </row>
    <row r="8" spans="1:8" ht="15.75" customHeight="1" x14ac:dyDescent="0.25">
      <c r="B8" s="19" t="s">
        <v>73</v>
      </c>
      <c r="C8" s="99">
        <v>4.2850122417487308E-3</v>
      </c>
    </row>
    <row r="9" spans="1:8" ht="15.75" customHeight="1" x14ac:dyDescent="0.25">
      <c r="B9" s="19" t="s">
        <v>74</v>
      </c>
      <c r="C9" s="99">
        <v>8.8446834633543872E-2</v>
      </c>
    </row>
    <row r="10" spans="1:8" ht="15.75" customHeight="1" x14ac:dyDescent="0.25">
      <c r="B10" s="19" t="s">
        <v>75</v>
      </c>
      <c r="C10" s="99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83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84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85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86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87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88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89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99">
        <v>1.8253354999999999E-2</v>
      </c>
    </row>
    <row r="28" spans="1:8" ht="15.75" customHeight="1" x14ac:dyDescent="0.25">
      <c r="B28" s="19" t="s">
        <v>93</v>
      </c>
      <c r="C28" s="99">
        <v>0.22970390299999999</v>
      </c>
    </row>
    <row r="29" spans="1:8" ht="15.75" customHeight="1" x14ac:dyDescent="0.25">
      <c r="B29" s="19" t="s">
        <v>94</v>
      </c>
      <c r="C29" s="99">
        <v>0.13801279299999999</v>
      </c>
    </row>
    <row r="30" spans="1:8" ht="15.75" customHeight="1" x14ac:dyDescent="0.25">
      <c r="B30" s="19" t="s">
        <v>95</v>
      </c>
      <c r="C30" s="99">
        <v>4.9951097000000007E-2</v>
      </c>
    </row>
    <row r="31" spans="1:8" ht="15.75" customHeight="1" x14ac:dyDescent="0.25">
      <c r="B31" s="19" t="s">
        <v>96</v>
      </c>
      <c r="C31" s="99">
        <v>7.037699800000001E-2</v>
      </c>
    </row>
    <row r="32" spans="1:8" ht="15.75" customHeight="1" x14ac:dyDescent="0.25">
      <c r="B32" s="19" t="s">
        <v>97</v>
      </c>
      <c r="C32" s="99">
        <v>0.14732740899999999</v>
      </c>
    </row>
    <row r="33" spans="2:3" ht="15.75" customHeight="1" x14ac:dyDescent="0.25">
      <c r="B33" s="19" t="s">
        <v>98</v>
      </c>
      <c r="C33" s="99">
        <v>0.124050595</v>
      </c>
    </row>
    <row r="34" spans="2:3" ht="15.75" customHeight="1" x14ac:dyDescent="0.25">
      <c r="B34" s="19" t="s">
        <v>99</v>
      </c>
      <c r="C34" s="99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0.48511197719653398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8.0286799999999992E-2</v>
      </c>
      <c r="C10" s="96">
        <v>0.95</v>
      </c>
      <c r="D10" s="56">
        <v>14.44490005937495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14.44490005937495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14.44490005937495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14.44490005937495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8.0286799999999992E-2</v>
      </c>
      <c r="C14" s="96">
        <v>0.95</v>
      </c>
      <c r="D14" s="56">
        <v>14.44490005937495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14.44490005937495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0.35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0.20200000000000001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0.57684040000000003</v>
      </c>
      <c r="C19" s="96">
        <v>0.95</v>
      </c>
      <c r="D19" s="56">
        <v>5.8130849373349918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0.67048689999999989</v>
      </c>
      <c r="C23" s="96">
        <v>0.95</v>
      </c>
      <c r="D23" s="56">
        <v>4.8184289348295932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0.40415301668664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0.29989329999999997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0.32183600000000001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1.6899999999999998E-2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0.307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0.29855500000000001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0.244063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0.15965090000000001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0.05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1.976</v>
      </c>
      <c r="C2" s="21">
        <f>'Baseline year population inputs'!C52</f>
        <v>1.976</v>
      </c>
      <c r="D2" s="21">
        <f>'Baseline year population inputs'!C53</f>
        <v>5.2</v>
      </c>
      <c r="E2" s="21">
        <f>'Baseline year population inputs'!C54</f>
        <v>5.7720000000000002</v>
      </c>
      <c r="F2" s="21">
        <f>'Baseline year population inputs'!C55</f>
        <v>3.007333333333333</v>
      </c>
    </row>
    <row r="3" spans="1:6" ht="15.75" customHeight="1" x14ac:dyDescent="0.25">
      <c r="A3" s="3" t="s">
        <v>197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198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