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4BE21D76-F351-4011-94E0-7059428848A9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H38" i="2"/>
  <c r="G38" i="2"/>
  <c r="I38" i="2" s="1"/>
  <c r="A37" i="2"/>
  <c r="A36" i="2"/>
  <c r="A35" i="2"/>
  <c r="A31" i="2"/>
  <c r="A29" i="2"/>
  <c r="A28" i="2"/>
  <c r="A27" i="2"/>
  <c r="A23" i="2"/>
  <c r="A21" i="2"/>
  <c r="A20" i="2"/>
  <c r="A19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14" i="2" l="1"/>
  <c r="A22" i="2"/>
  <c r="A30" i="2"/>
  <c r="A38" i="2"/>
  <c r="A40" i="2"/>
  <c r="A16" i="2"/>
  <c r="A24" i="2"/>
  <c r="A32" i="2"/>
  <c r="A17" i="2"/>
  <c r="A25" i="2"/>
  <c r="A3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<sst xmlns="http://schemas.openxmlformats.org/spreadsheetml/2006/main" count="2094" uniqueCount="341">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</sst>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1221123.140625</v>
      </c>
    </row>
    <row r="8" spans="1:3" ht="15" customHeight="1" x14ac:dyDescent="0.25">
      <c r="B8" s="5" t="s">
        <v>8</v>
      </c>
      <c r="C8" s="44">
        <v>0.38</v>
      </c>
    </row>
    <row r="9" spans="1:3" ht="15" customHeight="1" x14ac:dyDescent="0.25">
      <c r="B9" s="5" t="s">
        <v>9</v>
      </c>
      <c r="C9" s="45">
        <v>0.3362</v>
      </c>
    </row>
    <row r="10" spans="1:3" ht="15" customHeight="1" x14ac:dyDescent="0.25">
      <c r="B10" s="5" t="s">
        <v>10</v>
      </c>
      <c r="C10" s="45">
        <v>0.299615001678467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0.59399999999999997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8.43E-2</v>
      </c>
    </row>
    <row r="24" spans="1:3" ht="15" customHeight="1" x14ac:dyDescent="0.25">
      <c r="B24" s="15" t="s">
        <v>22</v>
      </c>
      <c r="C24" s="45">
        <v>0.46639999999999998</v>
      </c>
    </row>
    <row r="25" spans="1:3" ht="15" customHeight="1" x14ac:dyDescent="0.25">
      <c r="B25" s="15" t="s">
        <v>23</v>
      </c>
      <c r="C25" s="45">
        <v>0.34599999999999992</v>
      </c>
    </row>
    <row r="26" spans="1:3" ht="15" customHeight="1" x14ac:dyDescent="0.25">
      <c r="B26" s="15" t="s">
        <v>24</v>
      </c>
      <c r="C26" s="45">
        <v>0.1033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0.24817471964062299</v>
      </c>
    </row>
    <row r="30" spans="1:3" ht="14.25" customHeight="1" x14ac:dyDescent="0.25">
      <c r="B30" s="25" t="s">
        <v>27</v>
      </c>
      <c r="C30" s="99">
        <v>6.3573506524813E-2</v>
      </c>
    </row>
    <row r="31" spans="1:3" ht="14.25" customHeight="1" x14ac:dyDescent="0.25">
      <c r="B31" s="25" t="s">
        <v>28</v>
      </c>
      <c r="C31" s="99">
        <v>0.116568636609094</v>
      </c>
    </row>
    <row r="32" spans="1:3" ht="14.25" customHeight="1" x14ac:dyDescent="0.25">
      <c r="B32" s="25" t="s">
        <v>29</v>
      </c>
      <c r="C32" s="99">
        <v>0.57168313722546993</v>
      </c>
    </row>
    <row r="33" spans="1:5" ht="13" customHeight="1" x14ac:dyDescent="0.25">
      <c r="B33" s="27" t="s">
        <v>30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21.217020000000002</v>
      </c>
    </row>
    <row r="38" spans="1:5" ht="15" customHeight="1" x14ac:dyDescent="0.25">
      <c r="B38" s="11" t="s">
        <v>34</v>
      </c>
      <c r="C38" s="43">
        <v>34.436309999999999</v>
      </c>
      <c r="D38" s="12"/>
      <c r="E38" s="13"/>
    </row>
    <row r="39" spans="1:5" ht="15" customHeight="1" x14ac:dyDescent="0.25">
      <c r="B39" s="11" t="s">
        <v>35</v>
      </c>
      <c r="C39" s="43">
        <v>42.811900000000001</v>
      </c>
      <c r="D39" s="12"/>
      <c r="E39" s="12"/>
    </row>
    <row r="40" spans="1:5" ht="15" customHeight="1" x14ac:dyDescent="0.25">
      <c r="B40" s="11" t="s">
        <v>36</v>
      </c>
      <c r="C40" s="100">
        <v>1.92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14.79931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7.7334000000000014E-3</v>
      </c>
      <c r="D45" s="12"/>
    </row>
    <row r="46" spans="1:5" ht="15.75" customHeight="1" x14ac:dyDescent="0.25">
      <c r="B46" s="11" t="s">
        <v>41</v>
      </c>
      <c r="C46" s="45">
        <v>8.2766599999999996E-2</v>
      </c>
      <c r="D46" s="12"/>
    </row>
    <row r="47" spans="1:5" ht="15.75" customHeight="1" x14ac:dyDescent="0.25">
      <c r="B47" s="11" t="s">
        <v>42</v>
      </c>
      <c r="C47" s="45">
        <v>0.1917741</v>
      </c>
      <c r="D47" s="12"/>
      <c r="E47" s="13"/>
    </row>
    <row r="48" spans="1:5" ht="15" customHeight="1" x14ac:dyDescent="0.25">
      <c r="B48" s="11" t="s">
        <v>43</v>
      </c>
      <c r="C48" s="46">
        <v>0.71772589999999992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0.51547399999999999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254548</v>
      </c>
      <c r="C2" s="49">
        <v>606405.5</v>
      </c>
      <c r="D2" s="49">
        <v>893904</v>
      </c>
      <c r="E2" s="49">
        <v>758580.5</v>
      </c>
      <c r="F2" s="49">
        <v>501054</v>
      </c>
      <c r="G2" s="17">
        <f t="shared" ref="G2:G13" si="0">C2+D2+E2+F2</f>
        <v>2759944</v>
      </c>
      <c r="H2" s="17">
        <f t="shared" ref="H2:H13" si="1">(B2 + stillbirth*B2/(1000-stillbirth))/(1-abortion)</f>
        <v>293604.23094008479</v>
      </c>
      <c r="I2" s="17">
        <f t="shared" ref="I2:I13" si="2">G2-H2</f>
        <v>2466339.7690599151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255773</v>
      </c>
      <c r="C3" s="50">
        <v>614840.5</v>
      </c>
      <c r="D3" s="50">
        <v>906991.49999999988</v>
      </c>
      <c r="E3" s="50">
        <v>771691</v>
      </c>
      <c r="F3" s="50">
        <v>516396.5</v>
      </c>
      <c r="G3" s="17">
        <f t="shared" si="0"/>
        <v>2809919.5</v>
      </c>
      <c r="H3" s="17">
        <f t="shared" si="1"/>
        <v>295017.18717192166</v>
      </c>
      <c r="I3" s="17">
        <f t="shared" si="2"/>
        <v>2514902.3128280784</v>
      </c>
    </row>
    <row r="4" spans="1:9" ht="15.75" customHeight="1" x14ac:dyDescent="0.25">
      <c r="A4" s="5">
        <f t="shared" si="3"/>
        <v>2026</v>
      </c>
      <c r="B4" s="49">
        <v>256874</v>
      </c>
      <c r="C4" s="50">
        <v>623404.5</v>
      </c>
      <c r="D4" s="50">
        <v>920386</v>
      </c>
      <c r="E4" s="50">
        <v>783793</v>
      </c>
      <c r="F4" s="50">
        <v>532165.5</v>
      </c>
      <c r="G4" s="17">
        <f t="shared" si="0"/>
        <v>2859749</v>
      </c>
      <c r="H4" s="17">
        <f t="shared" si="1"/>
        <v>296287.11763008684</v>
      </c>
      <c r="I4" s="17">
        <f t="shared" si="2"/>
        <v>2563461.8823699132</v>
      </c>
    </row>
    <row r="5" spans="1:9" ht="15.75" customHeight="1" x14ac:dyDescent="0.25">
      <c r="A5" s="5">
        <f t="shared" si="3"/>
        <v>2027</v>
      </c>
      <c r="B5" s="49">
        <v>256625</v>
      </c>
      <c r="C5" s="50">
        <v>632039.50000000012</v>
      </c>
      <c r="D5" s="50">
        <v>933785.5</v>
      </c>
      <c r="E5" s="50">
        <v>795279</v>
      </c>
      <c r="F5" s="50">
        <v>548266</v>
      </c>
      <c r="G5" s="17">
        <f t="shared" si="0"/>
        <v>2909370</v>
      </c>
      <c r="H5" s="17">
        <f t="shared" si="1"/>
        <v>295999.91264908493</v>
      </c>
      <c r="I5" s="17">
        <f t="shared" si="2"/>
        <v>2613370.0873509152</v>
      </c>
    </row>
    <row r="6" spans="1:9" ht="15.75" customHeight="1" x14ac:dyDescent="0.25">
      <c r="A6" s="5">
        <f t="shared" si="3"/>
        <v>2028</v>
      </c>
      <c r="B6" s="49">
        <v>257725</v>
      </c>
      <c r="C6" s="50">
        <v>640597</v>
      </c>
      <c r="D6" s="50">
        <v>947257.5</v>
      </c>
      <c r="E6" s="50">
        <v>806374.5</v>
      </c>
      <c r="F6" s="50">
        <v>564623.5</v>
      </c>
      <c r="G6" s="17">
        <f t="shared" si="0"/>
        <v>2958852.5</v>
      </c>
      <c r="H6" s="17">
        <f t="shared" si="1"/>
        <v>297268.68967359146</v>
      </c>
      <c r="I6" s="17">
        <f t="shared" si="2"/>
        <v>2661583.8103264086</v>
      </c>
    </row>
    <row r="7" spans="1:9" ht="15.75" customHeight="1" x14ac:dyDescent="0.25">
      <c r="A7" s="5">
        <f t="shared" si="3"/>
        <v>2029</v>
      </c>
      <c r="B7" s="49">
        <v>258618</v>
      </c>
      <c r="C7" s="50">
        <v>648845</v>
      </c>
      <c r="D7" s="50">
        <v>960698.5</v>
      </c>
      <c r="E7" s="50">
        <v>817412.5</v>
      </c>
      <c r="F7" s="50">
        <v>581163</v>
      </c>
      <c r="G7" s="17">
        <f t="shared" si="0"/>
        <v>3008119</v>
      </c>
      <c r="H7" s="17">
        <f t="shared" si="1"/>
        <v>298298.70593075902</v>
      </c>
      <c r="I7" s="17">
        <f t="shared" si="2"/>
        <v>2709820.2940692408</v>
      </c>
    </row>
    <row r="8" spans="1:9" ht="15.75" customHeight="1" x14ac:dyDescent="0.25">
      <c r="A8" s="5">
        <f t="shared" si="3"/>
        <v>2030</v>
      </c>
      <c r="B8" s="49">
        <v>259488</v>
      </c>
      <c r="C8" s="50">
        <v>656501.5</v>
      </c>
      <c r="D8" s="50">
        <v>974278.5</v>
      </c>
      <c r="E8" s="50">
        <v>828706</v>
      </c>
      <c r="F8" s="50">
        <v>597669.5</v>
      </c>
      <c r="G8" s="17">
        <f t="shared" si="0"/>
        <v>3057155.5</v>
      </c>
      <c r="H8" s="17">
        <f t="shared" si="1"/>
        <v>299302.19321377791</v>
      </c>
      <c r="I8" s="17">
        <f t="shared" si="2"/>
        <v>2757853.3067862219</v>
      </c>
    </row>
    <row r="9" spans="1:9" ht="15.75" customHeight="1" x14ac:dyDescent="0.25">
      <c r="A9" s="5">
        <f t="shared" si="3"/>
        <v>2031</v>
      </c>
      <c r="B9" s="49">
        <v>261151</v>
      </c>
      <c r="C9" s="50">
        <v>663375</v>
      </c>
      <c r="D9" s="50">
        <v>988172</v>
      </c>
      <c r="E9" s="50">
        <v>840508</v>
      </c>
      <c r="F9" s="50">
        <v>613686.5</v>
      </c>
      <c r="G9" s="17">
        <f t="shared" si="0"/>
        <v>3105741.5</v>
      </c>
      <c r="H9" s="17">
        <f t="shared" si="1"/>
        <v>301220.35338810005</v>
      </c>
      <c r="I9" s="17">
        <f t="shared" si="2"/>
        <v>2804521.1466119001</v>
      </c>
    </row>
    <row r="10" spans="1:9" ht="15.75" customHeight="1" x14ac:dyDescent="0.25">
      <c r="A10" s="5">
        <f t="shared" si="3"/>
        <v>2032</v>
      </c>
      <c r="B10" s="49">
        <v>262362</v>
      </c>
      <c r="C10" s="50">
        <v>669828.5</v>
      </c>
      <c r="D10" s="50">
        <v>1001971.5</v>
      </c>
      <c r="E10" s="50">
        <v>852871.5</v>
      </c>
      <c r="F10" s="50">
        <v>628764</v>
      </c>
      <c r="G10" s="17">
        <f t="shared" si="0"/>
        <v>3153435.5</v>
      </c>
      <c r="H10" s="17">
        <f t="shared" si="1"/>
        <v>302617.1615487159</v>
      </c>
      <c r="I10" s="17">
        <f t="shared" si="2"/>
        <v>2850818.338451284</v>
      </c>
    </row>
    <row r="11" spans="1:9" ht="15.75" customHeight="1" x14ac:dyDescent="0.25">
      <c r="A11" s="5">
        <f t="shared" si="3"/>
        <v>2033</v>
      </c>
      <c r="B11" s="49">
        <v>262524</v>
      </c>
      <c r="C11" s="50">
        <v>675892.5</v>
      </c>
      <c r="D11" s="50">
        <v>1015542.5</v>
      </c>
      <c r="E11" s="50">
        <v>865563.5</v>
      </c>
      <c r="F11" s="50">
        <v>642754.5</v>
      </c>
      <c r="G11" s="17">
        <f t="shared" si="0"/>
        <v>3199753</v>
      </c>
      <c r="H11" s="17">
        <f t="shared" si="1"/>
        <v>302804.01780141593</v>
      </c>
      <c r="I11" s="17">
        <f t="shared" si="2"/>
        <v>2896948.9821985839</v>
      </c>
    </row>
    <row r="12" spans="1:9" ht="15.75" customHeight="1" x14ac:dyDescent="0.25">
      <c r="A12" s="5">
        <f t="shared" si="3"/>
        <v>2034</v>
      </c>
      <c r="B12" s="49">
        <v>262913</v>
      </c>
      <c r="C12" s="50">
        <v>681469.99999999988</v>
      </c>
      <c r="D12" s="50">
        <v>1029171</v>
      </c>
      <c r="E12" s="50">
        <v>878405.5</v>
      </c>
      <c r="F12" s="50">
        <v>655852.5</v>
      </c>
      <c r="G12" s="17">
        <f t="shared" si="0"/>
        <v>3244899</v>
      </c>
      <c r="H12" s="17">
        <f t="shared" si="1"/>
        <v>303252.70349462779</v>
      </c>
      <c r="I12" s="17">
        <f t="shared" si="2"/>
        <v>2941646.296505372</v>
      </c>
    </row>
    <row r="13" spans="1:9" ht="15.75" customHeight="1" x14ac:dyDescent="0.25">
      <c r="A13" s="5">
        <f t="shared" si="3"/>
        <v>2035</v>
      </c>
      <c r="B13" s="49">
        <v>263683</v>
      </c>
      <c r="C13" s="50">
        <v>686556.5</v>
      </c>
      <c r="D13" s="50">
        <v>1042756.5</v>
      </c>
      <c r="E13" s="50">
        <v>891574.5</v>
      </c>
      <c r="F13" s="50">
        <v>668049.00000000012</v>
      </c>
      <c r="G13" s="17">
        <f t="shared" si="0"/>
        <v>3288936.5</v>
      </c>
      <c r="H13" s="17">
        <f t="shared" si="1"/>
        <v>304140.84741178236</v>
      </c>
      <c r="I13" s="17">
        <f t="shared" si="2"/>
        <v>2984795.6525882175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1.273287936014751E-2</v>
      </c>
    </row>
    <row r="4" spans="1:8" ht="15.75" customHeight="1" x14ac:dyDescent="0.25">
      <c r="B4" s="19" t="s">
        <v>69</v>
      </c>
      <c r="C4" s="101">
        <v>5.1037667288558748E-2</v>
      </c>
    </row>
    <row r="5" spans="1:8" ht="15.75" customHeight="1" x14ac:dyDescent="0.25">
      <c r="B5" s="19" t="s">
        <v>70</v>
      </c>
      <c r="C5" s="101">
        <v>7.8308673753194405E-2</v>
      </c>
    </row>
    <row r="6" spans="1:8" ht="15.75" customHeight="1" x14ac:dyDescent="0.25">
      <c r="B6" s="19" t="s">
        <v>71</v>
      </c>
      <c r="C6" s="101">
        <v>0.2326897711165167</v>
      </c>
    </row>
    <row r="7" spans="1:8" ht="15.75" customHeight="1" x14ac:dyDescent="0.25">
      <c r="B7" s="19" t="s">
        <v>72</v>
      </c>
      <c r="C7" s="101">
        <v>0.4111986989090074</v>
      </c>
    </row>
    <row r="8" spans="1:8" ht="15.75" customHeight="1" x14ac:dyDescent="0.25">
      <c r="B8" s="19" t="s">
        <v>73</v>
      </c>
      <c r="C8" s="101">
        <v>4.2850122417487308E-3</v>
      </c>
    </row>
    <row r="9" spans="1:8" ht="15.75" customHeight="1" x14ac:dyDescent="0.25">
      <c r="B9" s="19" t="s">
        <v>74</v>
      </c>
      <c r="C9" s="101">
        <v>8.8446834633543872E-2</v>
      </c>
    </row>
    <row r="10" spans="1:8" ht="15.75" customHeight="1" x14ac:dyDescent="0.25">
      <c r="B10" s="19" t="s">
        <v>75</v>
      </c>
      <c r="C10" s="101">
        <v>0.1213004626972827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0.16051895255116991</v>
      </c>
      <c r="D14" s="55">
        <v>0.16051895255116991</v>
      </c>
      <c r="E14" s="55">
        <v>0.16051895255116991</v>
      </c>
      <c r="F14" s="55">
        <v>0.16051895255116991</v>
      </c>
    </row>
    <row r="15" spans="1:8" ht="15.75" customHeight="1" x14ac:dyDescent="0.25">
      <c r="B15" s="19" t="s">
        <v>82</v>
      </c>
      <c r="C15" s="101">
        <v>0.12616701678312611</v>
      </c>
      <c r="D15" s="101">
        <v>0.12616701678312611</v>
      </c>
      <c r="E15" s="101">
        <v>0.12616701678312611</v>
      </c>
      <c r="F15" s="101">
        <v>0.12616701678312611</v>
      </c>
    </row>
    <row r="16" spans="1:8" ht="15.75" customHeight="1" x14ac:dyDescent="0.25">
      <c r="B16" s="19" t="s">
        <v>83</v>
      </c>
      <c r="C16" s="101">
        <v>3.0911997294886868E-2</v>
      </c>
      <c r="D16" s="101">
        <v>3.0911997294886868E-2</v>
      </c>
      <c r="E16" s="101">
        <v>3.0911997294886868E-2</v>
      </c>
      <c r="F16" s="101">
        <v>3.0911997294886868E-2</v>
      </c>
    </row>
    <row r="17" spans="1:8" ht="15.75" customHeight="1" x14ac:dyDescent="0.25">
      <c r="B17" s="19" t="s">
        <v>84</v>
      </c>
      <c r="C17" s="101">
        <v>4.3466035154231718E-2</v>
      </c>
      <c r="D17" s="101">
        <v>4.3466035154231718E-2</v>
      </c>
      <c r="E17" s="101">
        <v>4.3466035154231718E-2</v>
      </c>
      <c r="F17" s="101">
        <v>4.3466035154231718E-2</v>
      </c>
    </row>
    <row r="18" spans="1:8" ht="15.75" customHeight="1" x14ac:dyDescent="0.25">
      <c r="B18" s="19" t="s">
        <v>85</v>
      </c>
      <c r="C18" s="101">
        <v>0.26117847581464998</v>
      </c>
      <c r="D18" s="101">
        <v>0.26117847581464998</v>
      </c>
      <c r="E18" s="101">
        <v>0.26117847581464998</v>
      </c>
      <c r="F18" s="101">
        <v>0.26117847581464998</v>
      </c>
    </row>
    <row r="19" spans="1:8" ht="15.75" customHeight="1" x14ac:dyDescent="0.25">
      <c r="B19" s="19" t="s">
        <v>86</v>
      </c>
      <c r="C19" s="101">
        <v>5.8093570443193618E-2</v>
      </c>
      <c r="D19" s="101">
        <v>5.8093570443193618E-2</v>
      </c>
      <c r="E19" s="101">
        <v>5.8093570443193618E-2</v>
      </c>
      <c r="F19" s="101">
        <v>5.8093570443193618E-2</v>
      </c>
    </row>
    <row r="20" spans="1:8" ht="15.75" customHeight="1" x14ac:dyDescent="0.25">
      <c r="B20" s="19" t="s">
        <v>87</v>
      </c>
      <c r="C20" s="101">
        <v>5.1926603688117058E-2</v>
      </c>
      <c r="D20" s="101">
        <v>5.1926603688117058E-2</v>
      </c>
      <c r="E20" s="101">
        <v>5.1926603688117058E-2</v>
      </c>
      <c r="F20" s="101">
        <v>5.1926603688117058E-2</v>
      </c>
    </row>
    <row r="21" spans="1:8" ht="15.75" customHeight="1" x14ac:dyDescent="0.25">
      <c r="B21" s="19" t="s">
        <v>88</v>
      </c>
      <c r="C21" s="101">
        <v>6.7984117540053082E-2</v>
      </c>
      <c r="D21" s="101">
        <v>6.7984117540053082E-2</v>
      </c>
      <c r="E21" s="101">
        <v>6.7984117540053082E-2</v>
      </c>
      <c r="F21" s="101">
        <v>6.7984117540053082E-2</v>
      </c>
    </row>
    <row r="22" spans="1:8" ht="15.75" customHeight="1" x14ac:dyDescent="0.25">
      <c r="B22" s="19" t="s">
        <v>89</v>
      </c>
      <c r="C22" s="101">
        <v>0.1997532307305715</v>
      </c>
      <c r="D22" s="101">
        <v>0.1997532307305715</v>
      </c>
      <c r="E22" s="101">
        <v>0.1997532307305715</v>
      </c>
      <c r="F22" s="101">
        <v>0.1997532307305715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4.7892169999999998E-2</v>
      </c>
    </row>
    <row r="27" spans="1:8" ht="15.75" customHeight="1" x14ac:dyDescent="0.25">
      <c r="B27" s="19" t="s">
        <v>92</v>
      </c>
      <c r="C27" s="101">
        <v>1.8253354999999999E-2</v>
      </c>
    </row>
    <row r="28" spans="1:8" ht="15.75" customHeight="1" x14ac:dyDescent="0.25">
      <c r="B28" s="19" t="s">
        <v>93</v>
      </c>
      <c r="C28" s="101">
        <v>0.22970390299999999</v>
      </c>
    </row>
    <row r="29" spans="1:8" ht="15.75" customHeight="1" x14ac:dyDescent="0.25">
      <c r="B29" s="19" t="s">
        <v>94</v>
      </c>
      <c r="C29" s="101">
        <v>0.13801279299999999</v>
      </c>
    </row>
    <row r="30" spans="1:8" ht="15.75" customHeight="1" x14ac:dyDescent="0.25">
      <c r="B30" s="19" t="s">
        <v>95</v>
      </c>
      <c r="C30" s="101">
        <v>4.9951097000000007E-2</v>
      </c>
    </row>
    <row r="31" spans="1:8" ht="15.75" customHeight="1" x14ac:dyDescent="0.25">
      <c r="B31" s="19" t="s">
        <v>96</v>
      </c>
      <c r="C31" s="101">
        <v>7.037699800000001E-2</v>
      </c>
    </row>
    <row r="32" spans="1:8" ht="15.75" customHeight="1" x14ac:dyDescent="0.25">
      <c r="B32" s="19" t="s">
        <v>97</v>
      </c>
      <c r="C32" s="101">
        <v>0.14732740899999999</v>
      </c>
    </row>
    <row r="33" spans="2:3" ht="15.75" customHeight="1" x14ac:dyDescent="0.25">
      <c r="B33" s="19" t="s">
        <v>98</v>
      </c>
      <c r="C33" s="101">
        <v>0.124050595</v>
      </c>
    </row>
    <row r="34" spans="2:3" ht="15.75" customHeight="1" x14ac:dyDescent="0.25">
      <c r="B34" s="19" t="s">
        <v>99</v>
      </c>
      <c r="C34" s="101">
        <v>0.17443167800000001</v>
      </c>
    </row>
    <row r="35" spans="2:3" ht="15.75" customHeight="1" x14ac:dyDescent="0.25">
      <c r="B35" s="27" t="s">
        <v>30</v>
      </c>
      <c r="C35" s="48">
        <f>SUM(C26:C34)</f>
        <v>0.99999999799999995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0.38425163564133302</v>
      </c>
      <c r="D2" s="52">
        <f>IFERROR(1-_xlfn.NORM.DIST(_xlfn.NORM.INV(SUM(D4:D5), 0, 1) + 1, 0, 1, TRUE), "")</f>
        <v>0.38425163564133302</v>
      </c>
      <c r="E2" s="52">
        <f>IFERROR(1-_xlfn.NORM.DIST(_xlfn.NORM.INV(SUM(E4:E5), 0, 1) + 1, 0, 1, TRUE), "")</f>
        <v>0.33554118134693767</v>
      </c>
      <c r="F2" s="52">
        <f>IFERROR(1-_xlfn.NORM.DIST(_xlfn.NORM.INV(SUM(F4:F5), 0, 1) + 1, 0, 1, TRUE), "")</f>
        <v>0.18455982337931354</v>
      </c>
      <c r="G2" s="52">
        <f>IFERROR(1-_xlfn.NORM.DIST(_xlfn.NORM.INV(SUM(G4:G5), 0, 1) + 1, 0, 1, TRUE), "")</f>
        <v>0.17927536933085952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0.37555066435866702</v>
      </c>
      <c r="D3" s="52">
        <f>IFERROR(_xlfn.NORM.DIST(_xlfn.NORM.INV(SUM(D4:D5), 0, 1) + 1, 0, 1, TRUE) - SUM(D4:D5), "")</f>
        <v>0.37555066435866702</v>
      </c>
      <c r="E3" s="52">
        <f>IFERROR(_xlfn.NORM.DIST(_xlfn.NORM.INV(SUM(E4:E5), 0, 1) + 1, 0, 1, TRUE) - SUM(E4:E5), "")</f>
        <v>0.38192711865306234</v>
      </c>
      <c r="F3" s="52">
        <f>IFERROR(_xlfn.NORM.DIST(_xlfn.NORM.INV(SUM(F4:F5), 0, 1) + 1, 0, 1, TRUE) - SUM(F4:F5), "")</f>
        <v>0.35601277662068648</v>
      </c>
      <c r="G3" s="52">
        <f>IFERROR(_xlfn.NORM.DIST(_xlfn.NORM.INV(SUM(G4:G5), 0, 1) + 1, 0, 1, TRUE) - SUM(G4:G5), "")</f>
        <v>0.35334953066914043</v>
      </c>
    </row>
    <row r="4" spans="1:15" ht="15.75" customHeight="1" x14ac:dyDescent="0.25">
      <c r="B4" s="5" t="s">
        <v>104</v>
      </c>
      <c r="C4" s="45">
        <v>0.1081442</v>
      </c>
      <c r="D4" s="53">
        <v>0.1081442</v>
      </c>
      <c r="E4" s="53">
        <v>0.1076636</v>
      </c>
      <c r="F4" s="53">
        <v>0.2294967</v>
      </c>
      <c r="G4" s="53">
        <v>0.25755660000000002</v>
      </c>
    </row>
    <row r="5" spans="1:15" ht="15.75" customHeight="1" x14ac:dyDescent="0.25">
      <c r="B5" s="5" t="s">
        <v>105</v>
      </c>
      <c r="C5" s="45">
        <v>0.13205349999999999</v>
      </c>
      <c r="D5" s="53">
        <v>0.13205349999999999</v>
      </c>
      <c r="E5" s="53">
        <v>0.1748681</v>
      </c>
      <c r="F5" s="53">
        <v>0.22993069999999999</v>
      </c>
      <c r="G5" s="53">
        <v>0.20981849999999999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0.6237939633369638</v>
      </c>
      <c r="D8" s="52">
        <f>IFERROR(1-_xlfn.NORM.DIST(_xlfn.NORM.INV(SUM(D10:D11), 0, 1) + 1, 0, 1, TRUE), "")</f>
        <v>0.6237939633369638</v>
      </c>
      <c r="E8" s="52">
        <f>IFERROR(1-_xlfn.NORM.DIST(_xlfn.NORM.INV(SUM(E10:E11), 0, 1) + 1, 0, 1, TRUE), "")</f>
        <v>0.5260449185127567</v>
      </c>
      <c r="F8" s="52">
        <f>IFERROR(1-_xlfn.NORM.DIST(_xlfn.NORM.INV(SUM(F10:F11), 0, 1) + 1, 0, 1, TRUE), "")</f>
        <v>0.57419614178844336</v>
      </c>
      <c r="G8" s="52">
        <f>IFERROR(1-_xlfn.NORM.DIST(_xlfn.NORM.INV(SUM(G10:G11), 0, 1) + 1, 0, 1, TRUE), "")</f>
        <v>0.66895120905570526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0.28202843666303617</v>
      </c>
      <c r="D9" s="52">
        <f>IFERROR(_xlfn.NORM.DIST(_xlfn.NORM.INV(SUM(D10:D11), 0, 1) + 1, 0, 1, TRUE) - SUM(D10:D11), "")</f>
        <v>0.28202843666303617</v>
      </c>
      <c r="E9" s="52">
        <f>IFERROR(_xlfn.NORM.DIST(_xlfn.NORM.INV(SUM(E10:E11), 0, 1) + 1, 0, 1, TRUE) - SUM(E10:E11), "")</f>
        <v>0.33059208148724323</v>
      </c>
      <c r="F9" s="52">
        <f>IFERROR(_xlfn.NORM.DIST(_xlfn.NORM.INV(SUM(F10:F11), 0, 1) + 1, 0, 1, TRUE) - SUM(F10:F11), "")</f>
        <v>0.30820335821155664</v>
      </c>
      <c r="G9" s="52">
        <f>IFERROR(_xlfn.NORM.DIST(_xlfn.NORM.INV(SUM(G10:G11), 0, 1) + 1, 0, 1, TRUE) - SUM(G10:G11), "")</f>
        <v>0.25569249094429469</v>
      </c>
    </row>
    <row r="10" spans="1:15" ht="15.75" customHeight="1" x14ac:dyDescent="0.25">
      <c r="B10" s="5" t="s">
        <v>109</v>
      </c>
      <c r="C10" s="45">
        <v>7.3134499999999991E-2</v>
      </c>
      <c r="D10" s="53">
        <v>7.3134499999999991E-2</v>
      </c>
      <c r="E10" s="53">
        <v>0.100315</v>
      </c>
      <c r="F10" s="53">
        <v>6.7363999999999993E-2</v>
      </c>
      <c r="G10" s="53">
        <v>4.8152399999999998E-2</v>
      </c>
    </row>
    <row r="11" spans="1:15" ht="15.75" customHeight="1" x14ac:dyDescent="0.25">
      <c r="B11" s="5" t="s">
        <v>110</v>
      </c>
      <c r="C11" s="45">
        <v>2.1043099999999999E-2</v>
      </c>
      <c r="D11" s="53">
        <v>2.1043099999999999E-2</v>
      </c>
      <c r="E11" s="53">
        <v>4.3048000000000003E-2</v>
      </c>
      <c r="F11" s="53">
        <v>5.0236500000000003E-2</v>
      </c>
      <c r="G11" s="53">
        <v>2.72039E-2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0.77228757749999999</v>
      </c>
      <c r="D14" s="54">
        <v>0.74513917951399999</v>
      </c>
      <c r="E14" s="54">
        <v>0.74513917951399999</v>
      </c>
      <c r="F14" s="54">
        <v>0.494011782678</v>
      </c>
      <c r="G14" s="54">
        <v>0.494011782678</v>
      </c>
      <c r="H14" s="45">
        <v>0.44800000000000001</v>
      </c>
      <c r="I14" s="55">
        <v>0.44800000000000001</v>
      </c>
      <c r="J14" s="55">
        <v>0.44800000000000001</v>
      </c>
      <c r="K14" s="55">
        <v>0.44800000000000001</v>
      </c>
      <c r="L14" s="45">
        <v>0.36</v>
      </c>
      <c r="M14" s="55">
        <v>0.36</v>
      </c>
      <c r="N14" s="55">
        <v>0.36</v>
      </c>
      <c r="O14" s="55">
        <v>0.36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0.39809416672423498</v>
      </c>
      <c r="D15" s="52">
        <f t="shared" si="0"/>
        <v>0.3840998734207996</v>
      </c>
      <c r="E15" s="52">
        <f t="shared" si="0"/>
        <v>0.3840998734207996</v>
      </c>
      <c r="F15" s="52">
        <f t="shared" si="0"/>
        <v>0.25465022966415934</v>
      </c>
      <c r="G15" s="52">
        <f t="shared" si="0"/>
        <v>0.25465022966415934</v>
      </c>
      <c r="H15" s="52">
        <f t="shared" si="0"/>
        <v>0.23093235200000001</v>
      </c>
      <c r="I15" s="52">
        <f t="shared" si="0"/>
        <v>0.23093235200000001</v>
      </c>
      <c r="J15" s="52">
        <f t="shared" si="0"/>
        <v>0.23093235200000001</v>
      </c>
      <c r="K15" s="52">
        <f t="shared" si="0"/>
        <v>0.23093235200000001</v>
      </c>
      <c r="L15" s="52">
        <f t="shared" si="0"/>
        <v>0.18557063999999998</v>
      </c>
      <c r="M15" s="52">
        <f t="shared" si="0"/>
        <v>0.18557063999999998</v>
      </c>
      <c r="N15" s="52">
        <f t="shared" si="0"/>
        <v>0.18557063999999998</v>
      </c>
      <c r="O15" s="52">
        <f t="shared" si="0"/>
        <v>0.18557063999999998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0.81596919999999995</v>
      </c>
      <c r="D2" s="53">
        <v>0.57684040000000003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3.2133600000000012E-2</v>
      </c>
      <c r="D3" s="53">
        <v>7.5453999999999993E-2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7.7461200000000008E-2</v>
      </c>
      <c r="D4" s="53">
        <v>0.2976355</v>
      </c>
      <c r="E4" s="53">
        <v>0.89500409999999997</v>
      </c>
      <c r="F4" s="53">
        <v>0.78634769999999998</v>
      </c>
      <c r="G4" s="53">
        <v>0</v>
      </c>
    </row>
    <row r="5" spans="1:7" x14ac:dyDescent="0.25">
      <c r="B5" s="3" t="s">
        <v>122</v>
      </c>
      <c r="C5" s="52">
        <v>7.4436000000000002E-2</v>
      </c>
      <c r="D5" s="52">
        <v>5.0070099999999999E-2</v>
      </c>
      <c r="E5" s="52">
        <f>1-SUM(E2:E4)</f>
        <v>0.10499590000000003</v>
      </c>
      <c r="F5" s="52">
        <f>1-SUM(F2:F4)</f>
        <v>0.21365230000000002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47.543631948570813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0.1842360044154</v>
      </c>
      <c r="C3" s="98">
        <v>0.95</v>
      </c>
      <c r="D3" s="56">
        <v>44.919838190254588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250.00911159604749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0.48511197719653398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8.0286799999999992E-2</v>
      </c>
      <c r="C10" s="98">
        <v>0.95</v>
      </c>
      <c r="D10" s="56">
        <v>14.44490005937495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8.0286799999999992E-2</v>
      </c>
      <c r="C11" s="98">
        <v>0.95</v>
      </c>
      <c r="D11" s="56">
        <v>14.44490005937495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8.0286799999999992E-2</v>
      </c>
      <c r="C12" s="98">
        <v>0.95</v>
      </c>
      <c r="D12" s="56">
        <v>14.44490005937495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8.0286799999999992E-2</v>
      </c>
      <c r="C13" s="98">
        <v>0.95</v>
      </c>
      <c r="D13" s="56">
        <v>14.44490005937495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8.0286799999999992E-2</v>
      </c>
      <c r="C14" s="98">
        <v>0.95</v>
      </c>
      <c r="D14" s="56">
        <v>14.44490005937495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8.0286799999999992E-2</v>
      </c>
      <c r="C15" s="98">
        <v>0.95</v>
      </c>
      <c r="D15" s="56">
        <v>14.44490005937495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0.65</v>
      </c>
      <c r="C16" s="98">
        <v>0.95</v>
      </c>
      <c r="D16" s="56">
        <v>0.50118534166365525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7.1175580664759999E-2</v>
      </c>
      <c r="C18" s="98">
        <v>0.95</v>
      </c>
      <c r="D18" s="56">
        <v>5.8130849373349918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0.19304730000000001</v>
      </c>
      <c r="C19" s="98">
        <v>0.95</v>
      </c>
      <c r="D19" s="56">
        <v>5.8130849373349918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0.15965090000000001</v>
      </c>
      <c r="C21" s="98">
        <v>0.95</v>
      </c>
      <c r="D21" s="56">
        <v>6.2567341056259016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24.762499177403289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4.8184289348295932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0.53934508313712004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8.0286799999999992E-2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20.75026783587251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0.42295321447236001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89.715813228316819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0.34</v>
      </c>
      <c r="C31" s="98">
        <v>0.95</v>
      </c>
      <c r="D31" s="56">
        <v>8.5059079955029304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1.0438007378265179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0.34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0.32183600000000001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0.29989329999999997</v>
      </c>
      <c r="C38" s="98">
        <v>0.95</v>
      </c>
      <c r="D38" s="56">
        <v>6.1730292806260767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0.19014969999999998</v>
      </c>
      <c r="C3" s="21">
        <f>frac_mam_1_5months * 2.6</f>
        <v>0.19014969999999998</v>
      </c>
      <c r="D3" s="21">
        <f>frac_mam_6_11months * 2.6</f>
        <v>0.26081900000000002</v>
      </c>
      <c r="E3" s="21">
        <f>frac_mam_12_23months * 2.6</f>
        <v>0.17514639999999998</v>
      </c>
      <c r="F3" s="21">
        <f>frac_mam_24_59months * 2.6</f>
        <v>0.12519623999999999</v>
      </c>
    </row>
    <row r="4" spans="1:6" ht="15.75" customHeight="1" x14ac:dyDescent="0.25">
      <c r="A4" s="3" t="s">
        <v>205</v>
      </c>
      <c r="B4" s="21">
        <f>frac_sam_1month * 2.6</f>
        <v>5.471206E-2</v>
      </c>
      <c r="C4" s="21">
        <f>frac_sam_1_5months * 2.6</f>
        <v>5.471206E-2</v>
      </c>
      <c r="D4" s="21">
        <f>frac_sam_6_11months * 2.6</f>
        <v>0.1119248</v>
      </c>
      <c r="E4" s="21">
        <f>frac_sam_12_23months * 2.6</f>
        <v>0.13061490000000001</v>
      </c>
      <c r="F4" s="21">
        <f>frac_sam_24_59months * 2.6</f>
        <v>7.0730139999999997E-2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0.38</v>
      </c>
      <c r="E2" s="60">
        <f>food_insecure</f>
        <v>0.38</v>
      </c>
      <c r="F2" s="60">
        <f>food_insecure</f>
        <v>0.38</v>
      </c>
      <c r="G2" s="60">
        <f>food_insecure</f>
        <v>0.38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0.38</v>
      </c>
      <c r="F5" s="60">
        <f>food_insecure</f>
        <v>0.38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0.38</v>
      </c>
      <c r="F8" s="60">
        <f>food_insecure</f>
        <v>0.38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0.38</v>
      </c>
      <c r="F9" s="60">
        <f>food_insecure</f>
        <v>0.38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0.38</v>
      </c>
      <c r="I15" s="60">
        <f>food_insecure</f>
        <v>0.38</v>
      </c>
      <c r="J15" s="60">
        <f>food_insecure</f>
        <v>0.38</v>
      </c>
      <c r="K15" s="60">
        <f>food_insecure</f>
        <v>0.38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0.3362</v>
      </c>
      <c r="I19" s="60">
        <f>frac_malaria_risk</f>
        <v>0.3362</v>
      </c>
      <c r="J19" s="60">
        <f>frac_malaria_risk</f>
        <v>0.3362</v>
      </c>
      <c r="K19" s="60">
        <f>frac_malaria_risk</f>
        <v>0.3362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0.59399999999999997</v>
      </c>
      <c r="M24" s="60">
        <f>famplan_unmet_need</f>
        <v>0.59399999999999997</v>
      </c>
      <c r="N24" s="60">
        <f>famplan_unmet_need</f>
        <v>0.59399999999999997</v>
      </c>
      <c r="O24" s="60">
        <f>famplan_unmet_need</f>
        <v>0.59399999999999997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0.39907937204360949</v>
      </c>
      <c r="M25" s="60">
        <f>(1-food_insecure)*(0.49)+food_insecure*(0.7)</f>
        <v>0.56979999999999997</v>
      </c>
      <c r="N25" s="60">
        <f>(1-food_insecure)*(0.49)+food_insecure*(0.7)</f>
        <v>0.56979999999999997</v>
      </c>
      <c r="O25" s="60">
        <f>(1-food_insecure)*(0.49)+food_insecure*(0.7)</f>
        <v>0.56979999999999997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0.17103401659011835</v>
      </c>
      <c r="M26" s="60">
        <f>(1-food_insecure)*(0.21)+food_insecure*(0.3)</f>
        <v>0.24419999999999997</v>
      </c>
      <c r="N26" s="60">
        <f>(1-food_insecure)*(0.21)+food_insecure*(0.3)</f>
        <v>0.24419999999999997</v>
      </c>
      <c r="O26" s="60">
        <f>(1-food_insecure)*(0.21)+food_insecure*(0.3)</f>
        <v>0.24419999999999997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0.13027160968780513</v>
      </c>
      <c r="M27" s="60">
        <f>(1-food_insecure)*(0.3)</f>
        <v>0.186</v>
      </c>
      <c r="N27" s="60">
        <f>(1-food_insecure)*(0.3)</f>
        <v>0.186</v>
      </c>
      <c r="O27" s="60">
        <f>(1-food_insecure)*(0.3)</f>
        <v>0.186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0.299615001678467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0.3362</v>
      </c>
      <c r="D34" s="60">
        <f t="shared" si="3"/>
        <v>0.3362</v>
      </c>
      <c r="E34" s="60">
        <f t="shared" si="3"/>
        <v>0.3362</v>
      </c>
      <c r="F34" s="60">
        <f t="shared" si="3"/>
        <v>0.3362</v>
      </c>
      <c r="G34" s="60">
        <f t="shared" si="3"/>
        <v>0.3362</v>
      </c>
      <c r="H34" s="60">
        <f t="shared" si="3"/>
        <v>0.3362</v>
      </c>
      <c r="I34" s="60">
        <f t="shared" si="3"/>
        <v>0.3362</v>
      </c>
      <c r="J34" s="60">
        <f t="shared" si="3"/>
        <v>0.3362</v>
      </c>
      <c r="K34" s="60">
        <f t="shared" si="3"/>
        <v>0.3362</v>
      </c>
      <c r="L34" s="60">
        <f t="shared" si="3"/>
        <v>0.3362</v>
      </c>
      <c r="M34" s="60">
        <f t="shared" si="3"/>
        <v>0.3362</v>
      </c>
      <c r="N34" s="60">
        <f t="shared" si="3"/>
        <v>0.3362</v>
      </c>
      <c r="O34" s="60">
        <f t="shared" si="3"/>
        <v>0.3362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E92B58-AF87-4115-955C-6AE2FECF6D71}"/>
</file>

<file path=customXml/itemProps2.xml><?xml version="1.0" encoding="utf-8"?>
<ds:datastoreItem xmlns:ds="http://schemas.openxmlformats.org/officeDocument/2006/customXml" ds:itemID="{E7FE0D67-56C5-4F66-9EF3-E266984B58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2024-04-11T00:41:39Z</dcterms:modified>
</cp:coreProperties>
</file>