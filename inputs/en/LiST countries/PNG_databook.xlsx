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5E8EC79-7721-48F1-840A-711157125CC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29" i="2"/>
  <c r="A28" i="2"/>
  <c r="A26" i="2"/>
  <c r="A25" i="2"/>
  <c r="A21" i="2"/>
  <c r="A20" i="2"/>
  <c r="A18" i="2"/>
  <c r="A17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32" i="2" s="1"/>
  <c r="C33" i="1"/>
  <c r="C20" i="1"/>
  <c r="A19" i="2" l="1"/>
  <c r="A27" i="2"/>
  <c r="A35" i="2"/>
  <c r="A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<sst xmlns="http://schemas.openxmlformats.org/spreadsheetml/2006/main" count="2103" uniqueCount="341">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</sst>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1221123.140625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0.3362</v>
      </c>
    </row>
    <row r="10" spans="1:3" ht="15" customHeight="1" x14ac:dyDescent="0.25">
      <c r="B10" s="5" t="s">
        <v>10</v>
      </c>
      <c r="C10" s="45">
        <v>0.299615001678467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0.59399999999999997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8.43E-2</v>
      </c>
    </row>
    <row r="24" spans="1:3" ht="15" customHeight="1" x14ac:dyDescent="0.25">
      <c r="B24" s="15" t="s">
        <v>22</v>
      </c>
      <c r="C24" s="45">
        <v>0.46639999999999998</v>
      </c>
    </row>
    <row r="25" spans="1:3" ht="15" customHeight="1" x14ac:dyDescent="0.25">
      <c r="B25" s="15" t="s">
        <v>23</v>
      </c>
      <c r="C25" s="45">
        <v>0.34599999999999992</v>
      </c>
    </row>
    <row r="26" spans="1:3" ht="15" customHeight="1" x14ac:dyDescent="0.25">
      <c r="B26" s="15" t="s">
        <v>24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0.24817471964062299</v>
      </c>
    </row>
    <row r="30" spans="1:3" ht="14.25" customHeight="1" x14ac:dyDescent="0.25">
      <c r="B30" s="25" t="s">
        <v>27</v>
      </c>
      <c r="C30" s="99">
        <v>6.3573506524813E-2</v>
      </c>
    </row>
    <row r="31" spans="1:3" ht="14.25" customHeight="1" x14ac:dyDescent="0.25">
      <c r="B31" s="25" t="s">
        <v>28</v>
      </c>
      <c r="C31" s="99">
        <v>0.116568636609094</v>
      </c>
    </row>
    <row r="32" spans="1:3" ht="14.25" customHeight="1" x14ac:dyDescent="0.25">
      <c r="B32" s="25" t="s">
        <v>29</v>
      </c>
      <c r="C32" s="99">
        <v>0.57168313722546993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21.217020000000002</v>
      </c>
    </row>
    <row r="38" spans="1:5" ht="15" customHeight="1" x14ac:dyDescent="0.25">
      <c r="B38" s="11" t="s">
        <v>34</v>
      </c>
      <c r="C38" s="43">
        <v>34.436309999999999</v>
      </c>
      <c r="D38" s="12"/>
      <c r="E38" s="13"/>
    </row>
    <row r="39" spans="1:5" ht="15" customHeight="1" x14ac:dyDescent="0.25">
      <c r="B39" s="11" t="s">
        <v>35</v>
      </c>
      <c r="C39" s="43">
        <v>42.811900000000001</v>
      </c>
      <c r="D39" s="12"/>
      <c r="E39" s="12"/>
    </row>
    <row r="40" spans="1:5" ht="15" customHeight="1" x14ac:dyDescent="0.25">
      <c r="B40" s="11" t="s">
        <v>36</v>
      </c>
      <c r="C40" s="100">
        <v>1.92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7.7334000000000014E-3</v>
      </c>
      <c r="D45" s="12"/>
    </row>
    <row r="46" spans="1:5" ht="15.75" customHeight="1" x14ac:dyDescent="0.25">
      <c r="B46" s="11" t="s">
        <v>41</v>
      </c>
      <c r="C46" s="45">
        <v>8.2766599999999996E-2</v>
      </c>
      <c r="D46" s="12"/>
    </row>
    <row r="47" spans="1:5" ht="15.75" customHeight="1" x14ac:dyDescent="0.25">
      <c r="B47" s="11" t="s">
        <v>42</v>
      </c>
      <c r="C47" s="45">
        <v>0.1917741</v>
      </c>
      <c r="D47" s="12"/>
      <c r="E47" s="13"/>
    </row>
    <row r="48" spans="1:5" ht="15" customHeight="1" x14ac:dyDescent="0.25">
      <c r="B48" s="11" t="s">
        <v>43</v>
      </c>
      <c r="C48" s="46">
        <v>0.71772589999999992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0.51547399999999999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1.273287936014751E-2</v>
      </c>
    </row>
    <row r="4" spans="1:8" ht="15.75" customHeight="1" x14ac:dyDescent="0.25">
      <c r="B4" s="19" t="s">
        <v>69</v>
      </c>
      <c r="C4" s="101">
        <v>5.1037667288558748E-2</v>
      </c>
    </row>
    <row r="5" spans="1:8" ht="15.75" customHeight="1" x14ac:dyDescent="0.25">
      <c r="B5" s="19" t="s">
        <v>70</v>
      </c>
      <c r="C5" s="101">
        <v>7.8308673753194405E-2</v>
      </c>
    </row>
    <row r="6" spans="1:8" ht="15.75" customHeight="1" x14ac:dyDescent="0.25">
      <c r="B6" s="19" t="s">
        <v>71</v>
      </c>
      <c r="C6" s="101">
        <v>0.2326897711165167</v>
      </c>
    </row>
    <row r="7" spans="1:8" ht="15.75" customHeight="1" x14ac:dyDescent="0.25">
      <c r="B7" s="19" t="s">
        <v>72</v>
      </c>
      <c r="C7" s="101">
        <v>0.4111986989090074</v>
      </c>
    </row>
    <row r="8" spans="1:8" ht="15.75" customHeight="1" x14ac:dyDescent="0.25">
      <c r="B8" s="19" t="s">
        <v>73</v>
      </c>
      <c r="C8" s="101">
        <v>4.2850122417487308E-3</v>
      </c>
    </row>
    <row r="9" spans="1:8" ht="15.75" customHeight="1" x14ac:dyDescent="0.25">
      <c r="B9" s="19" t="s">
        <v>74</v>
      </c>
      <c r="C9" s="101">
        <v>8.8446834633543872E-2</v>
      </c>
    </row>
    <row r="10" spans="1:8" ht="15.75" customHeight="1" x14ac:dyDescent="0.25">
      <c r="B10" s="19" t="s">
        <v>75</v>
      </c>
      <c r="C10" s="101">
        <v>0.1213004626972827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82</v>
      </c>
      <c r="C15" s="101">
        <v>0.12616701678312611</v>
      </c>
      <c r="D15" s="101">
        <v>0.12616701678312611</v>
      </c>
      <c r="E15" s="101">
        <v>0.12616701678312611</v>
      </c>
      <c r="F15" s="101">
        <v>0.12616701678312611</v>
      </c>
    </row>
    <row r="16" spans="1:8" ht="15.75" customHeight="1" x14ac:dyDescent="0.25">
      <c r="B16" s="19" t="s">
        <v>83</v>
      </c>
      <c r="C16" s="101">
        <v>3.0911997294886868E-2</v>
      </c>
      <c r="D16" s="101">
        <v>3.0911997294886868E-2</v>
      </c>
      <c r="E16" s="101">
        <v>3.0911997294886868E-2</v>
      </c>
      <c r="F16" s="101">
        <v>3.0911997294886868E-2</v>
      </c>
    </row>
    <row r="17" spans="1:8" ht="15.75" customHeight="1" x14ac:dyDescent="0.25">
      <c r="B17" s="19" t="s">
        <v>84</v>
      </c>
      <c r="C17" s="101">
        <v>4.3466035154231718E-2</v>
      </c>
      <c r="D17" s="101">
        <v>4.3466035154231718E-2</v>
      </c>
      <c r="E17" s="101">
        <v>4.3466035154231718E-2</v>
      </c>
      <c r="F17" s="101">
        <v>4.3466035154231718E-2</v>
      </c>
    </row>
    <row r="18" spans="1:8" ht="15.75" customHeight="1" x14ac:dyDescent="0.25">
      <c r="B18" s="19" t="s">
        <v>85</v>
      </c>
      <c r="C18" s="101">
        <v>0.26117847581464998</v>
      </c>
      <c r="D18" s="101">
        <v>0.26117847581464998</v>
      </c>
      <c r="E18" s="101">
        <v>0.26117847581464998</v>
      </c>
      <c r="F18" s="101">
        <v>0.26117847581464998</v>
      </c>
    </row>
    <row r="19" spans="1:8" ht="15.75" customHeight="1" x14ac:dyDescent="0.25">
      <c r="B19" s="19" t="s">
        <v>86</v>
      </c>
      <c r="C19" s="101">
        <v>5.8093570443193618E-2</v>
      </c>
      <c r="D19" s="101">
        <v>5.8093570443193618E-2</v>
      </c>
      <c r="E19" s="101">
        <v>5.8093570443193618E-2</v>
      </c>
      <c r="F19" s="101">
        <v>5.8093570443193618E-2</v>
      </c>
    </row>
    <row r="20" spans="1:8" ht="15.75" customHeight="1" x14ac:dyDescent="0.25">
      <c r="B20" s="19" t="s">
        <v>87</v>
      </c>
      <c r="C20" s="101">
        <v>5.1926603688117058E-2</v>
      </c>
      <c r="D20" s="101">
        <v>5.1926603688117058E-2</v>
      </c>
      <c r="E20" s="101">
        <v>5.1926603688117058E-2</v>
      </c>
      <c r="F20" s="101">
        <v>5.1926603688117058E-2</v>
      </c>
    </row>
    <row r="21" spans="1:8" ht="15.75" customHeight="1" x14ac:dyDescent="0.25">
      <c r="B21" s="19" t="s">
        <v>88</v>
      </c>
      <c r="C21" s="101">
        <v>6.7984117540053082E-2</v>
      </c>
      <c r="D21" s="101">
        <v>6.7984117540053082E-2</v>
      </c>
      <c r="E21" s="101">
        <v>6.7984117540053082E-2</v>
      </c>
      <c r="F21" s="101">
        <v>6.7984117540053082E-2</v>
      </c>
    </row>
    <row r="22" spans="1:8" ht="15.75" customHeight="1" x14ac:dyDescent="0.25">
      <c r="B22" s="19" t="s">
        <v>89</v>
      </c>
      <c r="C22" s="101">
        <v>0.1997532307305715</v>
      </c>
      <c r="D22" s="101">
        <v>0.1997532307305715</v>
      </c>
      <c r="E22" s="101">
        <v>0.1997532307305715</v>
      </c>
      <c r="F22" s="101">
        <v>0.1997532307305715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4.7892169999999998E-2</v>
      </c>
    </row>
    <row r="27" spans="1:8" ht="15.75" customHeight="1" x14ac:dyDescent="0.25">
      <c r="B27" s="19" t="s">
        <v>92</v>
      </c>
      <c r="C27" s="101">
        <v>1.8253354999999999E-2</v>
      </c>
    </row>
    <row r="28" spans="1:8" ht="15.75" customHeight="1" x14ac:dyDescent="0.25">
      <c r="B28" s="19" t="s">
        <v>93</v>
      </c>
      <c r="C28" s="101">
        <v>0.22970390299999999</v>
      </c>
    </row>
    <row r="29" spans="1:8" ht="15.75" customHeight="1" x14ac:dyDescent="0.25">
      <c r="B29" s="19" t="s">
        <v>94</v>
      </c>
      <c r="C29" s="101">
        <v>0.13801279299999999</v>
      </c>
    </row>
    <row r="30" spans="1:8" ht="15.75" customHeight="1" x14ac:dyDescent="0.25">
      <c r="B30" s="19" t="s">
        <v>95</v>
      </c>
      <c r="C30" s="101">
        <v>4.9951097000000007E-2</v>
      </c>
    </row>
    <row r="31" spans="1:8" ht="15.75" customHeight="1" x14ac:dyDescent="0.25">
      <c r="B31" s="19" t="s">
        <v>96</v>
      </c>
      <c r="C31" s="101">
        <v>7.037699800000001E-2</v>
      </c>
    </row>
    <row r="32" spans="1:8" ht="15.75" customHeight="1" x14ac:dyDescent="0.25">
      <c r="B32" s="19" t="s">
        <v>97</v>
      </c>
      <c r="C32" s="101">
        <v>0.14732740899999999</v>
      </c>
    </row>
    <row r="33" spans="2:3" ht="15.75" customHeight="1" x14ac:dyDescent="0.25">
      <c r="B33" s="19" t="s">
        <v>98</v>
      </c>
      <c r="C33" s="101">
        <v>0.124050595</v>
      </c>
    </row>
    <row r="34" spans="2:3" ht="15.75" customHeight="1" x14ac:dyDescent="0.25">
      <c r="B34" s="19" t="s">
        <v>99</v>
      </c>
      <c r="C34" s="101">
        <v>0.17443167800000001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104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105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109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110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122</v>
      </c>
      <c r="C5" s="52">
        <v>7.4436000000000002E-2</v>
      </c>
      <c r="D5" s="52">
        <v>5.0070099999999999E-2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47.543631948570813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44.919838190254588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250.00911159604749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0.48511197719653398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8.0286799999999992E-2</v>
      </c>
      <c r="C10" s="98">
        <v>0.95</v>
      </c>
      <c r="D10" s="56">
        <v>14.44490005937495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14.44490005937495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14.44490005937495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14.44490005937495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8.0286799999999992E-2</v>
      </c>
      <c r="C14" s="98">
        <v>0.95</v>
      </c>
      <c r="D14" s="56">
        <v>14.44490005937495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14.44490005937495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0.4751919</v>
      </c>
      <c r="C16" s="98">
        <v>0.95</v>
      </c>
      <c r="D16" s="56">
        <v>0.50118534166365525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0.57684040000000003</v>
      </c>
      <c r="C18" s="98">
        <v>0.95</v>
      </c>
      <c r="D18" s="56">
        <v>5.8130849373349918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0.57684040000000003</v>
      </c>
      <c r="C19" s="98">
        <v>0.95</v>
      </c>
      <c r="D19" s="56">
        <v>5.8130849373349918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6.2567341056259016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24.762499177403289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0.67048689999999989</v>
      </c>
      <c r="C23" s="98">
        <v>0.95</v>
      </c>
      <c r="D23" s="56">
        <v>4.8184289348295932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0.40415301668664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8.0286799999999992E-2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20.75026783587251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0.29989329999999997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0.32183600000000001</v>
      </c>
      <c r="C29" s="98">
        <v>0.95</v>
      </c>
      <c r="D29" s="56">
        <v>89.715813228316819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1.6899999999999998E-2</v>
      </c>
      <c r="C31" s="98">
        <v>0.95</v>
      </c>
      <c r="D31" s="56">
        <v>8.5059079955029304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0.34</v>
      </c>
      <c r="C32" s="98">
        <v>0.95</v>
      </c>
      <c r="D32" s="56">
        <v>1.0438007378265179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0.29855500000000001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0.244063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0.15965090000000001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7.3357599999999995E-2</v>
      </c>
      <c r="C38" s="98">
        <v>0.95</v>
      </c>
      <c r="D38" s="56">
        <v>6.1730292806260767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205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0.59399999999999997</v>
      </c>
      <c r="M24" s="60">
        <f>famplan_unmet_need</f>
        <v>0.59399999999999997</v>
      </c>
      <c r="N24" s="60">
        <f>famplan_unmet_need</f>
        <v>0.59399999999999997</v>
      </c>
      <c r="O24" s="60">
        <f>famplan_unmet_need</f>
        <v>0.59399999999999997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0.39907937204360949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0.17103401659011835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0.13027160968780513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0.299615001678467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0.3362</v>
      </c>
      <c r="D34" s="60">
        <f t="shared" si="3"/>
        <v>0.3362</v>
      </c>
      <c r="E34" s="60">
        <f t="shared" si="3"/>
        <v>0.3362</v>
      </c>
      <c r="F34" s="60">
        <f t="shared" si="3"/>
        <v>0.3362</v>
      </c>
      <c r="G34" s="60">
        <f t="shared" si="3"/>
        <v>0.3362</v>
      </c>
      <c r="H34" s="60">
        <f t="shared" si="3"/>
        <v>0.3362</v>
      </c>
      <c r="I34" s="60">
        <f t="shared" si="3"/>
        <v>0.3362</v>
      </c>
      <c r="J34" s="60">
        <f t="shared" si="3"/>
        <v>0.3362</v>
      </c>
      <c r="K34" s="60">
        <f t="shared" si="3"/>
        <v>0.3362</v>
      </c>
      <c r="L34" s="60">
        <f t="shared" si="3"/>
        <v>0.3362</v>
      </c>
      <c r="M34" s="60">
        <f t="shared" si="3"/>
        <v>0.3362</v>
      </c>
      <c r="N34" s="60">
        <f t="shared" si="3"/>
        <v>0.3362</v>
      </c>
      <c r="O34" s="60">
        <f t="shared" si="3"/>
        <v>0.3362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0.10576554949119465</v>
      </c>
      <c r="G18" s="90">
        <f>MIN(MAX(1-0.89/(1-frac_sam_12_23months+(frac_sam_12_23months*0.89)),0),1)</f>
        <v>0.10505451784140929</v>
      </c>
      <c r="H18" s="90">
        <f>MIN(MAX(1-0.89/(1-frac_sam_24_59months+(frac_sam_24_59months*0.89)),0),1)</f>
        <v>0.10732874464801834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0.10006958282208767</v>
      </c>
      <c r="G20" s="90">
        <f>MIN(MAX(1-0.89/(1-frac_mam_12_23months+(frac_mam_12_23months*0.89)),0),1)</f>
        <v>0.10335583084076327</v>
      </c>
      <c r="H20" s="90">
        <f>MIN(MAX(1-0.89/(1-frac_mam_24_59months+(frac_mam_24_59months*0.89)),0),1)</f>
        <v>0.10526077749685736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9.5736412610900601E-3</v>
      </c>
      <c r="G73" s="90">
        <f>MIN(MAX(1-0.99/(1-frac_sam_12_23months+(frac_sam_12_23months*0.99)),0),1)</f>
        <v>9.5024086775352679E-3</v>
      </c>
      <c r="H73" s="90">
        <f>MIN(MAX(1-0.99/(1-frac_sam_24_59months+(frac_sam_24_59months*0.99)),0),1)</f>
        <v>9.7306081048983417E-3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9.0058842527881433E-3</v>
      </c>
      <c r="G75" s="90">
        <f>MIN(MAX(1-0.99/(1-frac_mam_12_23months+(frac_mam_12_23months*0.99)),0),1)</f>
        <v>9.3326468442200827E-3</v>
      </c>
      <c r="H75" s="90">
        <f>MIN(MAX(1-0.99/(1-frac_mam_24_59months+(frac_mam_24_59months*0.99)),0),1)</f>
        <v>9.5230615827055498E-3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0.19305250484571967</v>
      </c>
      <c r="G128" s="90">
        <f>MIN(MAX(1-0.8/(1-frac_sam_12_23months+(frac_sam_12_23months*0.8)),0),1)</f>
        <v>0.19188058176920975</v>
      </c>
      <c r="H128" s="90">
        <f>MIN(MAX(1-0.8/(1-frac_sam_24_59months+(frac_sam_24_59months*0.8)),0),1)</f>
        <v>0.19562356477877707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0.18362098787983305</v>
      </c>
      <c r="G130" s="90">
        <f>MIN(MAX(1-0.8/(1-frac_mam_12_23months+(frac_mam_12_23months*0.8)),0),1)</f>
        <v>0.18907456378293475</v>
      </c>
      <c r="H130" s="90">
        <f>MIN(MAX(1-0.8/(1-frac_mam_24_59months+(frac_mam_24_59months*0.8)),0),1)</f>
        <v>0.19222069758366545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2024-06-18T06:56:44Z</dcterms:modified>
</cp:coreProperties>
</file>