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42CE3A3-6A0E-417E-B22C-88AA6E02EDDD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<sst xmlns="http://schemas.openxmlformats.org/spreadsheetml/2006/main" count="2101" uniqueCount="341">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</sst>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64997.23291015625</v>
      </c>
    </row>
    <row r="8" spans="1:3" ht="15" customHeight="1" x14ac:dyDescent="0.25">
      <c r="B8" s="5" t="s">
        <v>8</v>
      </c>
      <c r="C8" s="44">
        <v>2E-3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0.87688980102539105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0.58099999999999996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9">
        <v>6.9844134891047002E-2</v>
      </c>
    </row>
    <row r="31" spans="1:3" ht="14.25" customHeight="1" x14ac:dyDescent="0.25">
      <c r="B31" s="25" t="s">
        <v>28</v>
      </c>
      <c r="C31" s="99">
        <v>8.7209546463448695E-2</v>
      </c>
    </row>
    <row r="32" spans="1:3" ht="14.25" customHeight="1" x14ac:dyDescent="0.25">
      <c r="B32" s="25" t="s">
        <v>29</v>
      </c>
      <c r="C32" s="99">
        <v>0.55715987733112793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100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0.83355299999999999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0.17056761000000001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13214</v>
      </c>
      <c r="C2" s="49">
        <v>50718.500000000007</v>
      </c>
      <c r="D2" s="49">
        <v>95515.5</v>
      </c>
      <c r="E2" s="49">
        <v>93560.5</v>
      </c>
      <c r="F2" s="49">
        <v>86880</v>
      </c>
      <c r="G2" s="17">
        <f t="shared" ref="G2:G13" si="0">C2+D2+E2+F2</f>
        <v>326674.5</v>
      </c>
      <c r="H2" s="17">
        <f t="shared" ref="H2:H13" si="1">(B2 + stillbirth*B2/(1000-stillbirth))/(1-abortion)</f>
        <v>15172.770962775227</v>
      </c>
      <c r="I2" s="17">
        <f t="shared" ref="I2:I13" si="2">G2-H2</f>
        <v>311501.72903722478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13251</v>
      </c>
      <c r="C3" s="50">
        <v>48814.499999999993</v>
      </c>
      <c r="D3" s="50">
        <v>94986.5</v>
      </c>
      <c r="E3" s="50">
        <v>94753.000000000015</v>
      </c>
      <c r="F3" s="50">
        <v>86635</v>
      </c>
      <c r="G3" s="17">
        <f t="shared" si="0"/>
        <v>325189</v>
      </c>
      <c r="H3" s="17">
        <f t="shared" si="1"/>
        <v>15215.255640058615</v>
      </c>
      <c r="I3" s="17">
        <f t="shared" si="2"/>
        <v>309973.7443599414</v>
      </c>
    </row>
    <row r="4" spans="1:9" ht="15.75" customHeight="1" x14ac:dyDescent="0.25">
      <c r="A4" s="5">
        <f t="shared" si="3"/>
        <v>2026</v>
      </c>
      <c r="B4" s="49">
        <v>13192</v>
      </c>
      <c r="C4" s="50">
        <v>47225</v>
      </c>
      <c r="D4" s="50">
        <v>94241</v>
      </c>
      <c r="E4" s="50">
        <v>95859</v>
      </c>
      <c r="F4" s="50">
        <v>85822.5</v>
      </c>
      <c r="G4" s="17">
        <f t="shared" si="0"/>
        <v>323147.5</v>
      </c>
      <c r="H4" s="17">
        <f t="shared" si="1"/>
        <v>15147.509803309429</v>
      </c>
      <c r="I4" s="17">
        <f t="shared" si="2"/>
        <v>307999.99019669055</v>
      </c>
    </row>
    <row r="5" spans="1:9" ht="15.75" customHeight="1" x14ac:dyDescent="0.25">
      <c r="A5" s="5">
        <f t="shared" si="3"/>
        <v>2027</v>
      </c>
      <c r="B5" s="49">
        <v>13149</v>
      </c>
      <c r="C5" s="50">
        <v>45690.5</v>
      </c>
      <c r="D5" s="50">
        <v>93242</v>
      </c>
      <c r="E5" s="50">
        <v>96800.5</v>
      </c>
      <c r="F5" s="50">
        <v>84569</v>
      </c>
      <c r="G5" s="17">
        <f t="shared" si="0"/>
        <v>320302</v>
      </c>
      <c r="H5" s="17">
        <f t="shared" si="1"/>
        <v>15098.135718899006</v>
      </c>
      <c r="I5" s="17">
        <f t="shared" si="2"/>
        <v>305203.86428110098</v>
      </c>
    </row>
    <row r="6" spans="1:9" ht="15.75" customHeight="1" x14ac:dyDescent="0.25">
      <c r="A6" s="5">
        <f t="shared" si="3"/>
        <v>2028</v>
      </c>
      <c r="B6" s="49">
        <v>13186</v>
      </c>
      <c r="C6" s="50">
        <v>44139.5</v>
      </c>
      <c r="D6" s="50">
        <v>92319.5</v>
      </c>
      <c r="E6" s="50">
        <v>97185</v>
      </c>
      <c r="F6" s="50">
        <v>83061.5</v>
      </c>
      <c r="G6" s="17">
        <f t="shared" si="0"/>
        <v>316705.5</v>
      </c>
      <c r="H6" s="17">
        <f t="shared" si="1"/>
        <v>15140.620396182394</v>
      </c>
      <c r="I6" s="17">
        <f t="shared" si="2"/>
        <v>301564.87960381759</v>
      </c>
    </row>
    <row r="7" spans="1:9" ht="15.75" customHeight="1" x14ac:dyDescent="0.25">
      <c r="A7" s="5">
        <f t="shared" si="3"/>
        <v>2029</v>
      </c>
      <c r="B7" s="49">
        <v>13078</v>
      </c>
      <c r="C7" s="50">
        <v>42804</v>
      </c>
      <c r="D7" s="50">
        <v>90856</v>
      </c>
      <c r="E7" s="50">
        <v>97402</v>
      </c>
      <c r="F7" s="50">
        <v>81577</v>
      </c>
      <c r="G7" s="17">
        <f t="shared" si="0"/>
        <v>312639</v>
      </c>
      <c r="H7" s="17">
        <f t="shared" si="1"/>
        <v>15016.611067895748</v>
      </c>
      <c r="I7" s="17">
        <f t="shared" si="2"/>
        <v>297622.38893210422</v>
      </c>
    </row>
    <row r="8" spans="1:9" ht="15.75" customHeight="1" x14ac:dyDescent="0.25">
      <c r="A8" s="5">
        <f t="shared" si="3"/>
        <v>2030</v>
      </c>
      <c r="B8" s="49">
        <v>12978</v>
      </c>
      <c r="C8" s="50">
        <v>41665.499999999993</v>
      </c>
      <c r="D8" s="50">
        <v>88760.5</v>
      </c>
      <c r="E8" s="50">
        <v>97477.499999999985</v>
      </c>
      <c r="F8" s="50">
        <v>80427</v>
      </c>
      <c r="G8" s="17">
        <f t="shared" si="0"/>
        <v>308330.5</v>
      </c>
      <c r="H8" s="17">
        <f t="shared" si="1"/>
        <v>14901.787615778485</v>
      </c>
      <c r="I8" s="17">
        <f t="shared" si="2"/>
        <v>293428.71238422149</v>
      </c>
    </row>
    <row r="9" spans="1:9" ht="15.75" customHeight="1" x14ac:dyDescent="0.25">
      <c r="A9" s="5">
        <f t="shared" si="3"/>
        <v>2031</v>
      </c>
      <c r="B9" s="49">
        <v>12849</v>
      </c>
      <c r="C9" s="50">
        <v>40787.000000000007</v>
      </c>
      <c r="D9" s="50">
        <v>86645.5</v>
      </c>
      <c r="E9" s="50">
        <v>97122</v>
      </c>
      <c r="F9" s="50">
        <v>79956.5</v>
      </c>
      <c r="G9" s="17">
        <f t="shared" si="0"/>
        <v>304511</v>
      </c>
      <c r="H9" s="17">
        <f t="shared" si="1"/>
        <v>14753.665362547215</v>
      </c>
      <c r="I9" s="17">
        <f t="shared" si="2"/>
        <v>289757.33463745279</v>
      </c>
    </row>
    <row r="10" spans="1:9" ht="15.75" customHeight="1" x14ac:dyDescent="0.25">
      <c r="A10" s="5">
        <f t="shared" si="3"/>
        <v>2032</v>
      </c>
      <c r="B10" s="49">
        <v>12764</v>
      </c>
      <c r="C10" s="50">
        <v>39986.999999999993</v>
      </c>
      <c r="D10" s="50">
        <v>84423.5</v>
      </c>
      <c r="E10" s="50">
        <v>96544.5</v>
      </c>
      <c r="F10" s="50">
        <v>80176.5</v>
      </c>
      <c r="G10" s="17">
        <f t="shared" si="0"/>
        <v>301131.5</v>
      </c>
      <c r="H10" s="17">
        <f t="shared" si="1"/>
        <v>14656.065428247541</v>
      </c>
      <c r="I10" s="17">
        <f t="shared" si="2"/>
        <v>286475.43457175244</v>
      </c>
    </row>
    <row r="11" spans="1:9" ht="15.75" customHeight="1" x14ac:dyDescent="0.25">
      <c r="A11" s="5">
        <f t="shared" si="3"/>
        <v>2033</v>
      </c>
      <c r="B11" s="49">
        <v>12622</v>
      </c>
      <c r="C11" s="50">
        <v>39397</v>
      </c>
      <c r="D11" s="50">
        <v>81888.5</v>
      </c>
      <c r="E11" s="50">
        <v>95783.5</v>
      </c>
      <c r="F11" s="50">
        <v>81076.5</v>
      </c>
      <c r="G11" s="17">
        <f t="shared" si="0"/>
        <v>298145.5</v>
      </c>
      <c r="H11" s="17">
        <f t="shared" si="1"/>
        <v>14493.016126241026</v>
      </c>
      <c r="I11" s="17">
        <f t="shared" si="2"/>
        <v>283652.48387375899</v>
      </c>
    </row>
    <row r="12" spans="1:9" ht="15.75" customHeight="1" x14ac:dyDescent="0.25">
      <c r="A12" s="5">
        <f t="shared" si="3"/>
        <v>2034</v>
      </c>
      <c r="B12" s="49">
        <v>12519</v>
      </c>
      <c r="C12" s="50">
        <v>39115.999999999993</v>
      </c>
      <c r="D12" s="50">
        <v>79155.5</v>
      </c>
      <c r="E12" s="50">
        <v>95081.5</v>
      </c>
      <c r="F12" s="50">
        <v>82496.5</v>
      </c>
      <c r="G12" s="17">
        <f t="shared" si="0"/>
        <v>295849.5</v>
      </c>
      <c r="H12" s="17">
        <f t="shared" si="1"/>
        <v>14374.747970560245</v>
      </c>
      <c r="I12" s="17">
        <f t="shared" si="2"/>
        <v>281474.75202943978</v>
      </c>
    </row>
    <row r="13" spans="1:9" ht="15.75" customHeight="1" x14ac:dyDescent="0.25">
      <c r="A13" s="5">
        <f t="shared" si="3"/>
        <v>2035</v>
      </c>
      <c r="B13" s="49">
        <v>12350</v>
      </c>
      <c r="C13" s="50">
        <v>39042</v>
      </c>
      <c r="D13" s="50">
        <v>76376</v>
      </c>
      <c r="E13" s="50">
        <v>94559.5</v>
      </c>
      <c r="F13" s="50">
        <v>83987.5</v>
      </c>
      <c r="G13" s="17">
        <f t="shared" si="0"/>
        <v>293965</v>
      </c>
      <c r="H13" s="17">
        <f t="shared" si="1"/>
        <v>14180.696336482069</v>
      </c>
      <c r="I13" s="17">
        <f t="shared" si="2"/>
        <v>279784.30366351793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0.15682070000000009</v>
      </c>
    </row>
    <row r="5" spans="1:8" ht="15.75" customHeight="1" x14ac:dyDescent="0.25">
      <c r="B5" s="19" t="s">
        <v>70</v>
      </c>
      <c r="C5" s="101">
        <v>2.2275900000000019E-2</v>
      </c>
    </row>
    <row r="6" spans="1:8" ht="15.75" customHeight="1" x14ac:dyDescent="0.25">
      <c r="B6" s="19" t="s">
        <v>71</v>
      </c>
      <c r="C6" s="101">
        <v>0.13210289999999991</v>
      </c>
    </row>
    <row r="7" spans="1:8" ht="15.75" customHeight="1" x14ac:dyDescent="0.25">
      <c r="B7" s="19" t="s">
        <v>72</v>
      </c>
      <c r="C7" s="101">
        <v>0.37545339999999938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0.20337500000000061</v>
      </c>
    </row>
    <row r="10" spans="1:8" ht="15.75" customHeight="1" x14ac:dyDescent="0.25">
      <c r="B10" s="19" t="s">
        <v>75</v>
      </c>
      <c r="C10" s="101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83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88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89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101">
        <v>0.18947355599999999</v>
      </c>
    </row>
    <row r="28" spans="1:8" ht="15.75" customHeight="1" x14ac:dyDescent="0.25">
      <c r="B28" s="19" t="s">
        <v>93</v>
      </c>
      <c r="C28" s="101">
        <v>0.10579783700000001</v>
      </c>
    </row>
    <row r="29" spans="1:8" ht="15.75" customHeight="1" x14ac:dyDescent="0.25">
      <c r="B29" s="19" t="s">
        <v>94</v>
      </c>
      <c r="C29" s="101">
        <v>0.116400988</v>
      </c>
    </row>
    <row r="30" spans="1:8" ht="15.75" customHeight="1" x14ac:dyDescent="0.25">
      <c r="B30" s="19" t="s">
        <v>95</v>
      </c>
      <c r="C30" s="101">
        <v>5.2355714999999997E-2</v>
      </c>
    </row>
    <row r="31" spans="1:8" ht="15.75" customHeight="1" x14ac:dyDescent="0.25">
      <c r="B31" s="19" t="s">
        <v>96</v>
      </c>
      <c r="C31" s="101">
        <v>0.15858112799999999</v>
      </c>
    </row>
    <row r="32" spans="1:8" ht="15.75" customHeight="1" x14ac:dyDescent="0.25">
      <c r="B32" s="19" t="s">
        <v>97</v>
      </c>
      <c r="C32" s="101">
        <v>7.0649206000000006E-2</v>
      </c>
    </row>
    <row r="33" spans="2:3" ht="15.75" customHeight="1" x14ac:dyDescent="0.25">
      <c r="B33" s="19" t="s">
        <v>98</v>
      </c>
      <c r="C33" s="101">
        <v>0.120208732</v>
      </c>
    </row>
    <row r="34" spans="2:3" ht="15.75" customHeight="1" x14ac:dyDescent="0.25">
      <c r="B34" s="19" t="s">
        <v>99</v>
      </c>
      <c r="C34" s="101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v>1.9035609523809501E-2</v>
      </c>
      <c r="D5" s="52">
        <v>1.88233357142857E-2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4.8071619083375428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13.79687476693295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13.79687476693295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13.79687476693295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13.79687476693295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13.79687476693295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13.79687476693295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24.220431056059901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4.7697722391868336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0.70361648160000001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2E-3</v>
      </c>
      <c r="E2" s="60">
        <f>food_insecure</f>
        <v>2E-3</v>
      </c>
      <c r="F2" s="60">
        <f>food_insecure</f>
        <v>2E-3</v>
      </c>
      <c r="G2" s="60">
        <f>food_insecure</f>
        <v>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2E-3</v>
      </c>
      <c r="F5" s="60">
        <f>food_insecure</f>
        <v>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2E-3</v>
      </c>
      <c r="F8" s="60">
        <f>food_insecure</f>
        <v>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2E-3</v>
      </c>
      <c r="F9" s="60">
        <f>food_insecure</f>
        <v>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2E-3</v>
      </c>
      <c r="I15" s="60">
        <f>food_insecure</f>
        <v>2E-3</v>
      </c>
      <c r="J15" s="60">
        <f>food_insecure</f>
        <v>2E-3</v>
      </c>
      <c r="K15" s="60">
        <f>food_insecure</f>
        <v>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0.58099999999999996</v>
      </c>
      <c r="M24" s="60">
        <f>famplan_unmet_need</f>
        <v>0.58099999999999996</v>
      </c>
      <c r="N24" s="60">
        <f>famplan_unmet_need</f>
        <v>0.58099999999999996</v>
      </c>
      <c r="O24" s="60">
        <f>famplan_unmet_need</f>
        <v>0.58099999999999996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6.0375703781127728E-2</v>
      </c>
      <c r="M25" s="60">
        <f>(1-food_insecure)*(0.49)+food_insecure*(0.7)</f>
        <v>0.49042000000000002</v>
      </c>
      <c r="N25" s="60">
        <f>(1-food_insecure)*(0.49)+food_insecure*(0.7)</f>
        <v>0.49042000000000002</v>
      </c>
      <c r="O25" s="60">
        <f>(1-food_insecure)*(0.49)+food_insecure*(0.7)</f>
        <v>0.49042000000000002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2.5875301620483307E-2</v>
      </c>
      <c r="M26" s="60">
        <f>(1-food_insecure)*(0.21)+food_insecure*(0.3)</f>
        <v>0.21017999999999998</v>
      </c>
      <c r="N26" s="60">
        <f>(1-food_insecure)*(0.21)+food_insecure*(0.3)</f>
        <v>0.21017999999999998</v>
      </c>
      <c r="O26" s="60">
        <f>(1-food_insecure)*(0.21)+food_insecure*(0.3)</f>
        <v>0.21017999999999998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3.6859193572997918E-2</v>
      </c>
      <c r="M27" s="60">
        <f>(1-food_insecure)*(0.3)</f>
        <v>0.2994</v>
      </c>
      <c r="N27" s="60">
        <f>(1-food_insecure)*(0.3)</f>
        <v>0.2994</v>
      </c>
      <c r="O27" s="60">
        <f>(1-food_insecure)*(0.3)</f>
        <v>0.2994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0.87688980102539105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0.10613897534876815</v>
      </c>
      <c r="G18" s="90">
        <f>MIN(MAX(1-0.89/(1-frac_sam_12_23months+(frac_sam_12_23months*0.89)),0),1)</f>
        <v>0.1070258482022014</v>
      </c>
      <c r="H18" s="90">
        <f>MIN(MAX(1-0.89/(1-frac_sam_24_59months+(frac_sam_24_59months*0.89)),0),1)</f>
        <v>0.10831925094766515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0.10301108328944886</v>
      </c>
      <c r="G20" s="90">
        <f>MIN(MAX(1-0.89/(1-frac_mam_12_23months+(frac_mam_12_23months*0.89)),0),1)</f>
        <v>0.1041137332236276</v>
      </c>
      <c r="H20" s="90">
        <f>MIN(MAX(1-0.89/(1-frac_mam_24_59months+(frac_mam_24_59months*0.89)),0),1)</f>
        <v>0.10667793735770292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9.6110930936471606E-3</v>
      </c>
      <c r="G73" s="90">
        <f>MIN(MAX(1-0.99/(1-frac_sam_12_23months+(frac_sam_12_23months*0.99)),0),1)</f>
        <v>9.7001539934192804E-3</v>
      </c>
      <c r="H73" s="90">
        <f>MIN(MAX(1-0.99/(1-frac_sam_24_59months+(frac_sam_24_59months*0.99)),0),1)</f>
        <v>9.8303279060572013E-3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9.2982651806544636E-3</v>
      </c>
      <c r="G75" s="90">
        <f>MIN(MAX(1-0.99/(1-frac_mam_12_23months+(frac_mam_12_23months*0.99)),0),1)</f>
        <v>9.4083170508934E-3</v>
      </c>
      <c r="H75" s="90">
        <f>MIN(MAX(1-0.99/(1-frac_mam_24_59months+(frac_mam_24_59months*0.99)),0),1)</f>
        <v>9.6651971750458809E-3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0.19366736992982825</v>
      </c>
      <c r="G128" s="90">
        <f>MIN(MAX(1-0.8/(1-frac_sam_12_23months+(frac_sam_12_23months*0.8)),0),1)</f>
        <v>0.19512595565940538</v>
      </c>
      <c r="H128" s="90">
        <f>MIN(MAX(1-0.8/(1-frac_sam_24_59months+(frac_sam_24_59months*0.8)),0),1)</f>
        <v>0.19724886613605008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0.1885040073354487</v>
      </c>
      <c r="G130" s="90">
        <f>MIN(MAX(1-0.8/(1-frac_mam_12_23months+(frac_mam_12_23months*0.8)),0),1)</f>
        <v>0.19032761218412675</v>
      </c>
      <c r="H130" s="90">
        <f>MIN(MAX(1-0.8/(1-frac_mam_24_59months+(frac_mam_24_59months*0.8)),0),1)</f>
        <v>0.19455405226840106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2024-08-06T06:31:54Z</dcterms:modified>
</cp:coreProperties>
</file>