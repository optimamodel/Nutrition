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DD2870C-B820-420C-890C-7FEF64618E24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5" i="2"/>
  <c r="A27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9" i="2"/>
  <c r="A37" i="2"/>
  <c r="A14" i="2"/>
  <c r="A22" i="2"/>
  <c r="A30" i="2"/>
  <c r="A38" i="2"/>
  <c r="A40" i="2"/>
  <c r="A15" i="2"/>
  <c r="A23" i="2"/>
  <c r="A31" i="2"/>
  <c r="A21" i="2"/>
  <c r="A16" i="2"/>
  <c r="A24" i="2"/>
  <c r="A32" i="2"/>
  <c r="A4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<sst xmlns="http://schemas.openxmlformats.org/spreadsheetml/2006/main" count="2092" uniqueCount="341">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</sst>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64997.23291015625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0.87688980102539105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13425.9048</v>
      </c>
      <c r="C2" s="49">
        <v>41000</v>
      </c>
      <c r="D2" s="49">
        <v>94000</v>
      </c>
      <c r="E2" s="49">
        <v>93000</v>
      </c>
      <c r="F2" s="49">
        <v>92000</v>
      </c>
      <c r="G2" s="17">
        <f t="shared" ref="G2:G13" si="0">C2+D2+E2+F2</f>
        <v>320000</v>
      </c>
      <c r="H2" s="17">
        <f t="shared" ref="H2:H13" si="1">(B2 + stillbirth*B2/(1000-stillbirth))/(1-abortion)</f>
        <v>15416.087369337412</v>
      </c>
      <c r="I2" s="17">
        <f t="shared" ref="I2:I13" si="2">G2-H2</f>
        <v>304583.91263066261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13449.689</v>
      </c>
      <c r="C3" s="50">
        <v>39000</v>
      </c>
      <c r="D3" s="50">
        <v>92000</v>
      </c>
      <c r="E3" s="50">
        <v>95000</v>
      </c>
      <c r="F3" s="50">
        <v>92000</v>
      </c>
      <c r="G3" s="17">
        <f t="shared" si="0"/>
        <v>318000</v>
      </c>
      <c r="H3" s="17">
        <f t="shared" si="1"/>
        <v>15443.397208835886</v>
      </c>
      <c r="I3" s="17">
        <f t="shared" si="2"/>
        <v>302556.60279116413</v>
      </c>
    </row>
    <row r="4" spans="1:9" ht="15.75" customHeight="1" x14ac:dyDescent="0.25">
      <c r="A4" s="5">
        <f t="shared" si="3"/>
        <v>2026</v>
      </c>
      <c r="B4" s="49">
        <v>13421.1384</v>
      </c>
      <c r="C4" s="50">
        <v>38000</v>
      </c>
      <c r="D4" s="50">
        <v>91000</v>
      </c>
      <c r="E4" s="50">
        <v>96000</v>
      </c>
      <c r="F4" s="50">
        <v>90000</v>
      </c>
      <c r="G4" s="17">
        <f t="shared" si="0"/>
        <v>315000</v>
      </c>
      <c r="H4" s="17">
        <f t="shared" si="1"/>
        <v>15410.614424315692</v>
      </c>
      <c r="I4" s="17">
        <f t="shared" si="2"/>
        <v>299589.38557568431</v>
      </c>
    </row>
    <row r="5" spans="1:9" ht="15.75" customHeight="1" x14ac:dyDescent="0.25">
      <c r="A5" s="5">
        <f t="shared" si="3"/>
        <v>2027</v>
      </c>
      <c r="B5" s="49">
        <v>13392.527</v>
      </c>
      <c r="C5" s="50">
        <v>37000</v>
      </c>
      <c r="D5" s="50">
        <v>90000</v>
      </c>
      <c r="E5" s="50">
        <v>97000</v>
      </c>
      <c r="F5" s="50">
        <v>89000</v>
      </c>
      <c r="G5" s="17">
        <f t="shared" si="0"/>
        <v>313000</v>
      </c>
      <c r="H5" s="17">
        <f t="shared" si="1"/>
        <v>15377.761827136615</v>
      </c>
      <c r="I5" s="17">
        <f t="shared" si="2"/>
        <v>297622.23817286338</v>
      </c>
    </row>
    <row r="6" spans="1:9" ht="15.75" customHeight="1" x14ac:dyDescent="0.25">
      <c r="A6" s="5">
        <f t="shared" si="3"/>
        <v>2028</v>
      </c>
      <c r="B6" s="49">
        <v>13363.854799999999</v>
      </c>
      <c r="C6" s="50">
        <v>36000</v>
      </c>
      <c r="D6" s="50">
        <v>90000</v>
      </c>
      <c r="E6" s="50">
        <v>97000</v>
      </c>
      <c r="F6" s="50">
        <v>87000</v>
      </c>
      <c r="G6" s="17">
        <f t="shared" si="0"/>
        <v>310000</v>
      </c>
      <c r="H6" s="17">
        <f t="shared" si="1"/>
        <v>15344.839417298648</v>
      </c>
      <c r="I6" s="17">
        <f t="shared" si="2"/>
        <v>294655.16058270133</v>
      </c>
    </row>
    <row r="7" spans="1:9" ht="15.75" customHeight="1" x14ac:dyDescent="0.25">
      <c r="A7" s="5">
        <f t="shared" si="3"/>
        <v>2029</v>
      </c>
      <c r="B7" s="49">
        <v>13335.121800000001</v>
      </c>
      <c r="C7" s="50">
        <v>35000</v>
      </c>
      <c r="D7" s="50">
        <v>88000</v>
      </c>
      <c r="E7" s="50">
        <v>97000</v>
      </c>
      <c r="F7" s="50">
        <v>86000</v>
      </c>
      <c r="G7" s="17">
        <f t="shared" si="0"/>
        <v>306000</v>
      </c>
      <c r="H7" s="17">
        <f t="shared" si="1"/>
        <v>15311.847194801796</v>
      </c>
      <c r="I7" s="17">
        <f t="shared" si="2"/>
        <v>290688.15280519822</v>
      </c>
    </row>
    <row r="8" spans="1:9" ht="15.75" customHeight="1" x14ac:dyDescent="0.25">
      <c r="A8" s="5">
        <f t="shared" si="3"/>
        <v>2030</v>
      </c>
      <c r="B8" s="49">
        <v>13295.996999999999</v>
      </c>
      <c r="C8" s="50">
        <v>34000</v>
      </c>
      <c r="D8" s="50">
        <v>85000</v>
      </c>
      <c r="E8" s="50">
        <v>97000</v>
      </c>
      <c r="F8" s="50">
        <v>86000</v>
      </c>
      <c r="G8" s="17">
        <f t="shared" si="0"/>
        <v>302000</v>
      </c>
      <c r="H8" s="17">
        <f t="shared" si="1"/>
        <v>15266.92274880782</v>
      </c>
      <c r="I8" s="17">
        <f t="shared" si="2"/>
        <v>286733.07725119218</v>
      </c>
    </row>
    <row r="9" spans="1:9" ht="15.75" customHeight="1" x14ac:dyDescent="0.25">
      <c r="A9" s="5">
        <f t="shared" si="3"/>
        <v>2031</v>
      </c>
      <c r="B9" s="49">
        <v>13277.438742857141</v>
      </c>
      <c r="C9" s="50">
        <v>33000</v>
      </c>
      <c r="D9" s="50">
        <v>83714.28571428571</v>
      </c>
      <c r="E9" s="50">
        <v>97571.428571428565</v>
      </c>
      <c r="F9" s="50">
        <v>85142.857142857145</v>
      </c>
      <c r="G9" s="17">
        <f t="shared" si="0"/>
        <v>299428.57142857142</v>
      </c>
      <c r="H9" s="17">
        <f t="shared" si="1"/>
        <v>15245.613517303591</v>
      </c>
      <c r="I9" s="17">
        <f t="shared" si="2"/>
        <v>284182.95791126782</v>
      </c>
    </row>
    <row r="10" spans="1:9" ht="15.75" customHeight="1" x14ac:dyDescent="0.25">
      <c r="A10" s="5">
        <f t="shared" si="3"/>
        <v>2032</v>
      </c>
      <c r="B10" s="49">
        <v>13252.83156326531</v>
      </c>
      <c r="C10" s="50">
        <v>32142.857142857141</v>
      </c>
      <c r="D10" s="50">
        <v>82530.612244897959</v>
      </c>
      <c r="E10" s="50">
        <v>97938.775510204068</v>
      </c>
      <c r="F10" s="50">
        <v>84163.265306122456</v>
      </c>
      <c r="G10" s="17">
        <f t="shared" si="0"/>
        <v>296775.51020408166</v>
      </c>
      <c r="H10" s="17">
        <f t="shared" si="1"/>
        <v>15217.358704227556</v>
      </c>
      <c r="I10" s="17">
        <f t="shared" si="2"/>
        <v>281558.15149985411</v>
      </c>
    </row>
    <row r="11" spans="1:9" ht="15.75" customHeight="1" x14ac:dyDescent="0.25">
      <c r="A11" s="5">
        <f t="shared" si="3"/>
        <v>2033</v>
      </c>
      <c r="B11" s="49">
        <v>13228.78772944606</v>
      </c>
      <c r="C11" s="50">
        <v>31306.12244897959</v>
      </c>
      <c r="D11" s="50">
        <v>81320.699708454806</v>
      </c>
      <c r="E11" s="50">
        <v>98215.743440233215</v>
      </c>
      <c r="F11" s="50">
        <v>83329.446064139949</v>
      </c>
      <c r="G11" s="17">
        <f t="shared" si="0"/>
        <v>294172.01166180754</v>
      </c>
      <c r="H11" s="17">
        <f t="shared" si="1"/>
        <v>15189.750744214953</v>
      </c>
      <c r="I11" s="17">
        <f t="shared" si="2"/>
        <v>278982.26091759256</v>
      </c>
    </row>
    <row r="12" spans="1:9" ht="15.75" customHeight="1" x14ac:dyDescent="0.25">
      <c r="A12" s="5">
        <f t="shared" si="3"/>
        <v>2034</v>
      </c>
      <c r="B12" s="49">
        <v>13205.396405081219</v>
      </c>
      <c r="C12" s="50">
        <v>30492.71137026239</v>
      </c>
      <c r="D12" s="50">
        <v>80080.799666805498</v>
      </c>
      <c r="E12" s="50">
        <v>98389.421074552243</v>
      </c>
      <c r="F12" s="50">
        <v>82519.366930445656</v>
      </c>
      <c r="G12" s="17">
        <f t="shared" si="0"/>
        <v>291482.2990420658</v>
      </c>
      <c r="H12" s="17">
        <f t="shared" si="1"/>
        <v>15162.892018083297</v>
      </c>
      <c r="I12" s="17">
        <f t="shared" si="2"/>
        <v>276319.40702398249</v>
      </c>
    </row>
    <row r="13" spans="1:9" ht="15.75" customHeight="1" x14ac:dyDescent="0.25">
      <c r="A13" s="5">
        <f t="shared" si="3"/>
        <v>2035</v>
      </c>
      <c r="B13" s="49">
        <v>13182.75949152139</v>
      </c>
      <c r="C13" s="50">
        <v>29705.955851728439</v>
      </c>
      <c r="D13" s="50">
        <v>78663.771047777715</v>
      </c>
      <c r="E13" s="50">
        <v>98587.909799488276</v>
      </c>
      <c r="F13" s="50">
        <v>81879.276491937897</v>
      </c>
      <c r="G13" s="17">
        <f t="shared" si="0"/>
        <v>288836.91319093236</v>
      </c>
      <c r="H13" s="17">
        <f t="shared" si="1"/>
        <v>15136.8995324811</v>
      </c>
      <c r="I13" s="17">
        <f t="shared" si="2"/>
        <v>273700.01365845127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0.15682070000000009</v>
      </c>
    </row>
    <row r="5" spans="1:8" ht="15.75" customHeight="1" x14ac:dyDescent="0.25">
      <c r="B5" s="19" t="s">
        <v>70</v>
      </c>
      <c r="C5" s="101">
        <v>2.2275900000000019E-2</v>
      </c>
    </row>
    <row r="6" spans="1:8" ht="15.75" customHeight="1" x14ac:dyDescent="0.25">
      <c r="B6" s="19" t="s">
        <v>71</v>
      </c>
      <c r="C6" s="101">
        <v>0.13210289999999991</v>
      </c>
    </row>
    <row r="7" spans="1:8" ht="15.75" customHeight="1" x14ac:dyDescent="0.25">
      <c r="B7" s="19" t="s">
        <v>72</v>
      </c>
      <c r="C7" s="101">
        <v>0.37545339999999938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0.20337500000000061</v>
      </c>
    </row>
    <row r="10" spans="1:8" ht="15.75" customHeight="1" x14ac:dyDescent="0.25">
      <c r="B10" s="19" t="s">
        <v>75</v>
      </c>
      <c r="C10" s="101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83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89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101">
        <v>0.18947355599999999</v>
      </c>
    </row>
    <row r="28" spans="1:8" ht="15.75" customHeight="1" x14ac:dyDescent="0.25">
      <c r="B28" s="19" t="s">
        <v>93</v>
      </c>
      <c r="C28" s="101">
        <v>0.10579783700000001</v>
      </c>
    </row>
    <row r="29" spans="1:8" ht="15.75" customHeight="1" x14ac:dyDescent="0.25">
      <c r="B29" s="19" t="s">
        <v>94</v>
      </c>
      <c r="C29" s="101">
        <v>0.116400988</v>
      </c>
    </row>
    <row r="30" spans="1:8" ht="15.75" customHeight="1" x14ac:dyDescent="0.25">
      <c r="B30" s="19" t="s">
        <v>95</v>
      </c>
      <c r="C30" s="101">
        <v>5.2355714999999997E-2</v>
      </c>
    </row>
    <row r="31" spans="1:8" ht="15.75" customHeight="1" x14ac:dyDescent="0.25">
      <c r="B31" s="19" t="s">
        <v>96</v>
      </c>
      <c r="C31" s="101">
        <v>0.15858112799999999</v>
      </c>
    </row>
    <row r="32" spans="1:8" ht="15.75" customHeight="1" x14ac:dyDescent="0.25">
      <c r="B32" s="19" t="s">
        <v>97</v>
      </c>
      <c r="C32" s="101">
        <v>7.0649206000000006E-2</v>
      </c>
    </row>
    <row r="33" spans="2:3" ht="15.75" customHeight="1" x14ac:dyDescent="0.25">
      <c r="B33" s="19" t="s">
        <v>98</v>
      </c>
      <c r="C33" s="101">
        <v>0.120208732</v>
      </c>
    </row>
    <row r="34" spans="2:3" ht="15.75" customHeight="1" x14ac:dyDescent="0.25">
      <c r="B34" s="19" t="s">
        <v>99</v>
      </c>
      <c r="C34" s="101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93.027728303273577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40.664575323137043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963.09440282969467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4.53121114934258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13.79687476693295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13.79687476693295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13.79687476693295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13.79687476693295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13.79687476693295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13.79687476693295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1.5036405668283011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22.037631612682791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22.037631612682791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39.551659581876919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0.73634697839999996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19.360281839651481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193.52643272006361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2.0037238135004318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3.309249219374832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0.95458749999999992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4.8035127560183009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0.89610389610389607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2024-03-28T03:04:23Z</dcterms:modified>
</cp:coreProperties>
</file>