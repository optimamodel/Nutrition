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145519CC-196B-4BA0-8CE2-F15425D757D5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I38" i="2" s="1"/>
  <c r="A34" i="2"/>
  <c r="H13" i="2"/>
  <c r="G13" i="2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I6" i="2" l="1"/>
  <c r="I12" i="2"/>
  <c r="A35" i="2"/>
  <c r="A36" i="2"/>
  <c r="I7" i="2"/>
  <c r="I13" i="2"/>
  <c r="A37" i="2"/>
  <c r="I2" i="2"/>
  <c r="I8" i="2"/>
  <c r="A19" i="2"/>
  <c r="A23" i="2"/>
  <c r="A24" i="2"/>
  <c r="A22" i="2"/>
  <c r="A40" i="2"/>
  <c r="I4" i="2"/>
  <c r="A25" i="2"/>
  <c r="A26" i="2"/>
  <c r="I11" i="2"/>
  <c r="A3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<sst xmlns="http://schemas.openxmlformats.org/spreadsheetml/2006/main" count="2169" uniqueCount="373">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</sst>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4363894</v>
      </c>
    </row>
    <row r="8" spans="1:3" ht="15" customHeight="1" x14ac:dyDescent="0.25">
      <c r="B8" s="5" t="s">
        <v>8</v>
      </c>
      <c r="C8" s="44">
        <v>0.02</v>
      </c>
    </row>
    <row r="9" spans="1:3" ht="15" customHeight="1" x14ac:dyDescent="0.25">
      <c r="B9" s="5" t="s">
        <v>9</v>
      </c>
      <c r="C9" s="45">
        <v>0.23780000000000001</v>
      </c>
    </row>
    <row r="10" spans="1:3" ht="15" customHeight="1" x14ac:dyDescent="0.25">
      <c r="B10" s="5" t="s">
        <v>10</v>
      </c>
      <c r="C10" s="45">
        <v>0.61964199066162107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0.25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7.2599999999999998E-2</v>
      </c>
    </row>
    <row r="24" spans="1:3" ht="15" customHeight="1" x14ac:dyDescent="0.25">
      <c r="B24" s="15" t="s">
        <v>22</v>
      </c>
      <c r="C24" s="45">
        <v>0.47549999999999998</v>
      </c>
    </row>
    <row r="25" spans="1:3" ht="15" customHeight="1" x14ac:dyDescent="0.25">
      <c r="B25" s="15" t="s">
        <v>23</v>
      </c>
      <c r="C25" s="45">
        <v>0.37380000000000002</v>
      </c>
    </row>
    <row r="26" spans="1:3" ht="15" customHeight="1" x14ac:dyDescent="0.25">
      <c r="B26" s="15" t="s">
        <v>24</v>
      </c>
      <c r="C26" s="45">
        <v>7.8100000000000003E-2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0.35174465639154501</v>
      </c>
    </row>
    <row r="30" spans="1:3" ht="14.25" customHeight="1" x14ac:dyDescent="0.25">
      <c r="B30" s="25" t="s">
        <v>27</v>
      </c>
      <c r="C30" s="97">
        <v>3.10047903226232E-2</v>
      </c>
    </row>
    <row r="31" spans="1:3" ht="14.25" customHeight="1" x14ac:dyDescent="0.25">
      <c r="B31" s="25" t="s">
        <v>28</v>
      </c>
      <c r="C31" s="97">
        <v>5.4690867454115402E-2</v>
      </c>
    </row>
    <row r="32" spans="1:3" ht="14.25" customHeight="1" x14ac:dyDescent="0.25">
      <c r="B32" s="25" t="s">
        <v>29</v>
      </c>
      <c r="C32" s="97">
        <v>0.562559685831717</v>
      </c>
    </row>
    <row r="33" spans="1:5" ht="13.25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21.664349999999999</v>
      </c>
    </row>
    <row r="38" spans="1:5" ht="15" customHeight="1" x14ac:dyDescent="0.25">
      <c r="B38" s="11" t="s">
        <v>34</v>
      </c>
      <c r="C38" s="43">
        <v>33.723550000000003</v>
      </c>
      <c r="D38" s="12"/>
      <c r="E38" s="13"/>
    </row>
    <row r="39" spans="1:5" ht="15" customHeight="1" x14ac:dyDescent="0.25">
      <c r="B39" s="11" t="s">
        <v>35</v>
      </c>
      <c r="C39" s="43">
        <v>41.812370000000001</v>
      </c>
      <c r="D39" s="12"/>
      <c r="E39" s="12"/>
    </row>
    <row r="40" spans="1:5" ht="15" customHeight="1" x14ac:dyDescent="0.25">
      <c r="B40" s="11" t="s">
        <v>36</v>
      </c>
      <c r="C40" s="98">
        <v>1.79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14.538460000000001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6.1399000000000002E-3</v>
      </c>
      <c r="D45" s="12"/>
    </row>
    <row r="46" spans="1:5" ht="15.75" customHeight="1" x14ac:dyDescent="0.25">
      <c r="B46" s="11" t="s">
        <v>41</v>
      </c>
      <c r="C46" s="45">
        <v>6.5972000000000003E-2</v>
      </c>
      <c r="D46" s="12"/>
    </row>
    <row r="47" spans="1:5" ht="15.75" customHeight="1" x14ac:dyDescent="0.25">
      <c r="B47" s="11" t="s">
        <v>42</v>
      </c>
      <c r="C47" s="45">
        <v>7.5162500000000007E-2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2.4</v>
      </c>
      <c r="D51" s="12"/>
    </row>
    <row r="52" spans="1:4" ht="15" customHeight="1" x14ac:dyDescent="0.25">
      <c r="B52" s="11" t="s">
        <v>46</v>
      </c>
      <c r="C52" s="98">
        <v>2.4</v>
      </c>
    </row>
    <row r="53" spans="1:4" ht="15.75" customHeight="1" x14ac:dyDescent="0.25">
      <c r="B53" s="11" t="s">
        <v>47</v>
      </c>
      <c r="C53" s="98">
        <v>2.4</v>
      </c>
    </row>
    <row r="54" spans="1:4" ht="15.75" customHeight="1" x14ac:dyDescent="0.25">
      <c r="B54" s="11" t="s">
        <v>48</v>
      </c>
      <c r="C54" s="98">
        <v>2.4</v>
      </c>
    </row>
    <row r="55" spans="1:4" ht="15.75" customHeight="1" x14ac:dyDescent="0.25">
      <c r="B55" s="11" t="s">
        <v>49</v>
      </c>
      <c r="C55" s="98">
        <v>2.4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0.56383200000000022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0.12303469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897269</v>
      </c>
      <c r="C2" s="49">
        <v>2149082</v>
      </c>
      <c r="D2" s="49">
        <v>4376896.0000000009</v>
      </c>
      <c r="E2" s="49">
        <v>4157910.5</v>
      </c>
      <c r="F2" s="49">
        <v>3741436</v>
      </c>
      <c r="G2" s="17">
        <f t="shared" ref="G2:G13" si="0">C2+D2+E2+F2</f>
        <v>14425324.5</v>
      </c>
      <c r="H2" s="17">
        <f t="shared" ref="H2:H13" si="1">(B2 + stillbirth*B2/(1000-stillbirth))/(1-abortion)</f>
        <v>1034666.3185215362</v>
      </c>
      <c r="I2" s="17">
        <f t="shared" ref="I2:I13" si="2">G2-H2</f>
        <v>13390658.181478463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888309</v>
      </c>
      <c r="C3" s="50">
        <v>2138764.5</v>
      </c>
      <c r="D3" s="50">
        <v>4365067.9999999991</v>
      </c>
      <c r="E3" s="50">
        <v>4161138.5</v>
      </c>
      <c r="F3" s="50">
        <v>3804055.0000000005</v>
      </c>
      <c r="G3" s="17">
        <f t="shared" si="0"/>
        <v>14469026</v>
      </c>
      <c r="H3" s="17">
        <f t="shared" si="1"/>
        <v>1024334.2885350407</v>
      </c>
      <c r="I3" s="17">
        <f t="shared" si="2"/>
        <v>13444691.71146496</v>
      </c>
    </row>
    <row r="4" spans="1:9" ht="15.75" customHeight="1" x14ac:dyDescent="0.25">
      <c r="A4" s="5">
        <f t="shared" si="3"/>
        <v>2026</v>
      </c>
      <c r="B4" s="49">
        <v>881077</v>
      </c>
      <c r="C4" s="50">
        <v>2131940.5</v>
      </c>
      <c r="D4" s="50">
        <v>4347686</v>
      </c>
      <c r="E4" s="50">
        <v>4169758.5</v>
      </c>
      <c r="F4" s="50">
        <v>3857268.5</v>
      </c>
      <c r="G4" s="17">
        <f t="shared" si="0"/>
        <v>14506653.5</v>
      </c>
      <c r="H4" s="17">
        <f t="shared" si="1"/>
        <v>1015994.8643316547</v>
      </c>
      <c r="I4" s="17">
        <f t="shared" si="2"/>
        <v>13490658.635668345</v>
      </c>
    </row>
    <row r="5" spans="1:9" ht="15.75" customHeight="1" x14ac:dyDescent="0.25">
      <c r="A5" s="5">
        <f t="shared" si="3"/>
        <v>2027</v>
      </c>
      <c r="B5" s="49">
        <v>872664</v>
      </c>
      <c r="C5" s="50">
        <v>2125644.5</v>
      </c>
      <c r="D5" s="50">
        <v>4328371.4999999991</v>
      </c>
      <c r="E5" s="50">
        <v>4185491.5</v>
      </c>
      <c r="F5" s="50">
        <v>3898379</v>
      </c>
      <c r="G5" s="17">
        <f t="shared" si="0"/>
        <v>14537886.5</v>
      </c>
      <c r="H5" s="17">
        <f t="shared" si="1"/>
        <v>1006293.595550808</v>
      </c>
      <c r="I5" s="17">
        <f t="shared" si="2"/>
        <v>13531592.904449193</v>
      </c>
    </row>
    <row r="6" spans="1:9" ht="15.75" customHeight="1" x14ac:dyDescent="0.25">
      <c r="A6" s="5">
        <f t="shared" si="3"/>
        <v>2028</v>
      </c>
      <c r="B6" s="49">
        <v>863617</v>
      </c>
      <c r="C6" s="50">
        <v>2120973</v>
      </c>
      <c r="D6" s="50">
        <v>4308363.4999999991</v>
      </c>
      <c r="E6" s="50">
        <v>4206313</v>
      </c>
      <c r="F6" s="50">
        <v>3927745</v>
      </c>
      <c r="G6" s="17">
        <f t="shared" si="0"/>
        <v>14563394.5</v>
      </c>
      <c r="H6" s="17">
        <f t="shared" si="1"/>
        <v>995861.2433981488</v>
      </c>
      <c r="I6" s="17">
        <f t="shared" si="2"/>
        <v>13567533.256601851</v>
      </c>
    </row>
    <row r="7" spans="1:9" ht="15.75" customHeight="1" x14ac:dyDescent="0.25">
      <c r="A7" s="5">
        <f t="shared" si="3"/>
        <v>2029</v>
      </c>
      <c r="B7" s="49">
        <v>856674</v>
      </c>
      <c r="C7" s="50">
        <v>2118568.5</v>
      </c>
      <c r="D7" s="50">
        <v>4288032.4999999991</v>
      </c>
      <c r="E7" s="50">
        <v>4225376</v>
      </c>
      <c r="F7" s="50">
        <v>3951794.5</v>
      </c>
      <c r="G7" s="17">
        <f t="shared" si="0"/>
        <v>14583771.5</v>
      </c>
      <c r="H7" s="17">
        <f t="shared" si="1"/>
        <v>987855.07328696141</v>
      </c>
      <c r="I7" s="17">
        <f t="shared" si="2"/>
        <v>13595916.426713038</v>
      </c>
    </row>
    <row r="8" spans="1:9" ht="15.75" customHeight="1" x14ac:dyDescent="0.25">
      <c r="A8" s="5">
        <f t="shared" si="3"/>
        <v>2030</v>
      </c>
      <c r="B8" s="49">
        <v>848787</v>
      </c>
      <c r="C8" s="50">
        <v>2119978</v>
      </c>
      <c r="D8" s="50">
        <v>4266231.5</v>
      </c>
      <c r="E8" s="50">
        <v>4239867</v>
      </c>
      <c r="F8" s="50">
        <v>3976211.5</v>
      </c>
      <c r="G8" s="17">
        <f t="shared" si="0"/>
        <v>14602288</v>
      </c>
      <c r="H8" s="17">
        <f t="shared" si="1"/>
        <v>978760.35001648241</v>
      </c>
      <c r="I8" s="17">
        <f t="shared" si="2"/>
        <v>13623527.649983518</v>
      </c>
    </row>
    <row r="9" spans="1:9" ht="15.75" customHeight="1" x14ac:dyDescent="0.25">
      <c r="A9" s="5">
        <f t="shared" si="3"/>
        <v>2031</v>
      </c>
      <c r="B9" s="49">
        <v>841615</v>
      </c>
      <c r="C9" s="50">
        <v>2127381</v>
      </c>
      <c r="D9" s="50">
        <v>4239669.5</v>
      </c>
      <c r="E9" s="50">
        <v>4252823.5</v>
      </c>
      <c r="F9" s="50">
        <v>4000941.5</v>
      </c>
      <c r="G9" s="17">
        <f t="shared" si="0"/>
        <v>14620815.5</v>
      </c>
      <c r="H9" s="17">
        <f t="shared" si="1"/>
        <v>970490.11351389915</v>
      </c>
      <c r="I9" s="17">
        <f t="shared" si="2"/>
        <v>13650325.3864861</v>
      </c>
    </row>
    <row r="10" spans="1:9" ht="15.75" customHeight="1" x14ac:dyDescent="0.25">
      <c r="A10" s="5">
        <f t="shared" si="3"/>
        <v>2032</v>
      </c>
      <c r="B10" s="49">
        <v>833992</v>
      </c>
      <c r="C10" s="50">
        <v>2137289</v>
      </c>
      <c r="D10" s="50">
        <v>4208147.5</v>
      </c>
      <c r="E10" s="50">
        <v>4265121</v>
      </c>
      <c r="F10" s="50">
        <v>4021681</v>
      </c>
      <c r="G10" s="17">
        <f t="shared" si="0"/>
        <v>14632238.5</v>
      </c>
      <c r="H10" s="17">
        <f t="shared" si="1"/>
        <v>961699.81612695078</v>
      </c>
      <c r="I10" s="17">
        <f t="shared" si="2"/>
        <v>13670538.68387305</v>
      </c>
    </row>
    <row r="11" spans="1:9" ht="15.75" customHeight="1" x14ac:dyDescent="0.25">
      <c r="A11" s="5">
        <f t="shared" si="3"/>
        <v>2033</v>
      </c>
      <c r="B11" s="49">
        <v>826658</v>
      </c>
      <c r="C11" s="50">
        <v>2145347</v>
      </c>
      <c r="D11" s="50">
        <v>4178726.5000000005</v>
      </c>
      <c r="E11" s="50">
        <v>4272300.4999999991</v>
      </c>
      <c r="F11" s="50">
        <v>4033999.5</v>
      </c>
      <c r="G11" s="17">
        <f t="shared" si="0"/>
        <v>14630373.5</v>
      </c>
      <c r="H11" s="17">
        <f t="shared" si="1"/>
        <v>953242.77283220086</v>
      </c>
      <c r="I11" s="17">
        <f t="shared" si="2"/>
        <v>13677130.7271678</v>
      </c>
    </row>
    <row r="12" spans="1:9" ht="15.75" customHeight="1" x14ac:dyDescent="0.25">
      <c r="A12" s="5">
        <f t="shared" si="3"/>
        <v>2034</v>
      </c>
      <c r="B12" s="49">
        <v>818679</v>
      </c>
      <c r="C12" s="50">
        <v>2149405.5</v>
      </c>
      <c r="D12" s="50">
        <v>4158878.5000000009</v>
      </c>
      <c r="E12" s="50">
        <v>4269528.5</v>
      </c>
      <c r="F12" s="50">
        <v>4039708</v>
      </c>
      <c r="G12" s="17">
        <f t="shared" si="0"/>
        <v>14617520.5</v>
      </c>
      <c r="H12" s="17">
        <f t="shared" si="1"/>
        <v>944041.96175382496</v>
      </c>
      <c r="I12" s="17">
        <f t="shared" si="2"/>
        <v>13673478.538246175</v>
      </c>
    </row>
    <row r="13" spans="1:9" ht="15.75" customHeight="1" x14ac:dyDescent="0.25">
      <c r="A13" s="5">
        <f t="shared" si="3"/>
        <v>2035</v>
      </c>
      <c r="B13" s="49">
        <v>812378</v>
      </c>
      <c r="C13" s="50">
        <v>2146924</v>
      </c>
      <c r="D13" s="50">
        <v>4150527.5</v>
      </c>
      <c r="E13" s="50">
        <v>4258414.5</v>
      </c>
      <c r="F13" s="50">
        <v>4044487</v>
      </c>
      <c r="G13" s="17">
        <f t="shared" si="0"/>
        <v>14600353</v>
      </c>
      <c r="H13" s="17">
        <f t="shared" si="1"/>
        <v>936776.10004122346</v>
      </c>
      <c r="I13" s="17">
        <f t="shared" si="2"/>
        <v>13663576.899958776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1.0255500000000001E-2</v>
      </c>
    </row>
    <row r="4" spans="1:8" ht="15.75" customHeight="1" x14ac:dyDescent="0.25">
      <c r="B4" s="19" t="s">
        <v>69</v>
      </c>
      <c r="C4" s="99">
        <v>5.6709300000000143E-2</v>
      </c>
    </row>
    <row r="5" spans="1:8" ht="15.75" customHeight="1" x14ac:dyDescent="0.25">
      <c r="B5" s="19" t="s">
        <v>70</v>
      </c>
      <c r="C5" s="99">
        <v>8.2196700000000025E-2</v>
      </c>
    </row>
    <row r="6" spans="1:8" ht="15.75" customHeight="1" x14ac:dyDescent="0.25">
      <c r="B6" s="19" t="s">
        <v>71</v>
      </c>
      <c r="C6" s="99">
        <v>0.2395228999999999</v>
      </c>
    </row>
    <row r="7" spans="1:8" ht="15.75" customHeight="1" x14ac:dyDescent="0.25">
      <c r="B7" s="19" t="s">
        <v>72</v>
      </c>
      <c r="C7" s="99">
        <v>0.3928677999999996</v>
      </c>
    </row>
    <row r="8" spans="1:8" ht="15.75" customHeight="1" x14ac:dyDescent="0.25">
      <c r="B8" s="19" t="s">
        <v>73</v>
      </c>
      <c r="C8" s="99">
        <v>1.5020000000000009E-3</v>
      </c>
    </row>
    <row r="9" spans="1:8" ht="15.75" customHeight="1" x14ac:dyDescent="0.25">
      <c r="B9" s="19" t="s">
        <v>74</v>
      </c>
      <c r="C9" s="99">
        <v>9.0700500000000031E-2</v>
      </c>
    </row>
    <row r="10" spans="1:8" ht="15.75" customHeight="1" x14ac:dyDescent="0.25">
      <c r="B10" s="19" t="s">
        <v>75</v>
      </c>
      <c r="C10" s="99">
        <v>0.1262453000000002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0.18490904355236629</v>
      </c>
      <c r="D14" s="55">
        <v>0.18490904355236629</v>
      </c>
      <c r="E14" s="55">
        <v>0.18490904355236629</v>
      </c>
      <c r="F14" s="55">
        <v>0.18490904355236629</v>
      </c>
    </row>
    <row r="15" spans="1:8" ht="15.75" customHeight="1" x14ac:dyDescent="0.25">
      <c r="B15" s="19" t="s">
        <v>82</v>
      </c>
      <c r="C15" s="99">
        <v>0.1283692787301331</v>
      </c>
      <c r="D15" s="99">
        <v>0.1283692787301331</v>
      </c>
      <c r="E15" s="99">
        <v>0.1283692787301331</v>
      </c>
      <c r="F15" s="99">
        <v>0.1283692787301331</v>
      </c>
    </row>
    <row r="16" spans="1:8" ht="15.75" customHeight="1" x14ac:dyDescent="0.25">
      <c r="B16" s="19" t="s">
        <v>83</v>
      </c>
      <c r="C16" s="99">
        <v>1.476393085354071E-2</v>
      </c>
      <c r="D16" s="99">
        <v>1.476393085354071E-2</v>
      </c>
      <c r="E16" s="99">
        <v>1.476393085354071E-2</v>
      </c>
      <c r="F16" s="99">
        <v>1.476393085354071E-2</v>
      </c>
    </row>
    <row r="17" spans="1:8" ht="15.75" customHeight="1" x14ac:dyDescent="0.25">
      <c r="B17" s="19" t="s">
        <v>84</v>
      </c>
      <c r="C17" s="99">
        <v>0.20253891238761709</v>
      </c>
      <c r="D17" s="99">
        <v>0.20253891238761709</v>
      </c>
      <c r="E17" s="99">
        <v>0.20253891238761709</v>
      </c>
      <c r="F17" s="99">
        <v>0.20253891238761709</v>
      </c>
    </row>
    <row r="18" spans="1:8" ht="15.75" customHeight="1" x14ac:dyDescent="0.25">
      <c r="B18" s="19" t="s">
        <v>85</v>
      </c>
      <c r="C18" s="99">
        <v>1.145434598579335E-3</v>
      </c>
      <c r="D18" s="99">
        <v>1.145434598579335E-3</v>
      </c>
      <c r="E18" s="99">
        <v>1.145434598579335E-3</v>
      </c>
      <c r="F18" s="99">
        <v>1.145434598579335E-3</v>
      </c>
    </row>
    <row r="19" spans="1:8" ht="15.75" customHeight="1" x14ac:dyDescent="0.25">
      <c r="B19" s="19" t="s">
        <v>86</v>
      </c>
      <c r="C19" s="99">
        <v>1.6469280220540561E-2</v>
      </c>
      <c r="D19" s="99">
        <v>1.6469280220540561E-2</v>
      </c>
      <c r="E19" s="99">
        <v>1.6469280220540561E-2</v>
      </c>
      <c r="F19" s="99">
        <v>1.6469280220540561E-2</v>
      </c>
    </row>
    <row r="20" spans="1:8" ht="15.75" customHeight="1" x14ac:dyDescent="0.25">
      <c r="B20" s="19" t="s">
        <v>87</v>
      </c>
      <c r="C20" s="99">
        <v>8.6732539967486113E-3</v>
      </c>
      <c r="D20" s="99">
        <v>8.6732539967486113E-3</v>
      </c>
      <c r="E20" s="99">
        <v>8.6732539967486113E-3</v>
      </c>
      <c r="F20" s="99">
        <v>8.6732539967486113E-3</v>
      </c>
    </row>
    <row r="21" spans="1:8" ht="15.75" customHeight="1" x14ac:dyDescent="0.25">
      <c r="B21" s="19" t="s">
        <v>88</v>
      </c>
      <c r="C21" s="99">
        <v>0.15491101543101871</v>
      </c>
      <c r="D21" s="99">
        <v>0.15491101543101871</v>
      </c>
      <c r="E21" s="99">
        <v>0.15491101543101871</v>
      </c>
      <c r="F21" s="99">
        <v>0.15491101543101871</v>
      </c>
    </row>
    <row r="22" spans="1:8" ht="15.75" customHeight="1" x14ac:dyDescent="0.25">
      <c r="B22" s="19" t="s">
        <v>89</v>
      </c>
      <c r="C22" s="99">
        <v>0.28821985022945562</v>
      </c>
      <c r="D22" s="99">
        <v>0.28821985022945562</v>
      </c>
      <c r="E22" s="99">
        <v>0.28821985022945562</v>
      </c>
      <c r="F22" s="99">
        <v>0.28821985022945562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4.7953877999999991E-2</v>
      </c>
    </row>
    <row r="27" spans="1:8" ht="15.75" customHeight="1" x14ac:dyDescent="0.25">
      <c r="B27" s="19" t="s">
        <v>92</v>
      </c>
      <c r="C27" s="99">
        <v>1.0397949E-2</v>
      </c>
    </row>
    <row r="28" spans="1:8" ht="15.75" customHeight="1" x14ac:dyDescent="0.25">
      <c r="B28" s="19" t="s">
        <v>93</v>
      </c>
      <c r="C28" s="99">
        <v>0.26736443399999998</v>
      </c>
    </row>
    <row r="29" spans="1:8" ht="15.75" customHeight="1" x14ac:dyDescent="0.25">
      <c r="B29" s="19" t="s">
        <v>94</v>
      </c>
      <c r="C29" s="99">
        <v>0.12531753500000001</v>
      </c>
    </row>
    <row r="30" spans="1:8" ht="15.75" customHeight="1" x14ac:dyDescent="0.25">
      <c r="B30" s="19" t="s">
        <v>95</v>
      </c>
      <c r="C30" s="99">
        <v>7.0167186000000006E-2</v>
      </c>
    </row>
    <row r="31" spans="1:8" ht="15.75" customHeight="1" x14ac:dyDescent="0.25">
      <c r="B31" s="19" t="s">
        <v>96</v>
      </c>
      <c r="C31" s="99">
        <v>8.1421533000000004E-2</v>
      </c>
    </row>
    <row r="32" spans="1:8" ht="15.75" customHeight="1" x14ac:dyDescent="0.25">
      <c r="B32" s="19" t="s">
        <v>97</v>
      </c>
      <c r="C32" s="99">
        <v>4.7734519000000003E-2</v>
      </c>
    </row>
    <row r="33" spans="2:3" ht="15.75" customHeight="1" x14ac:dyDescent="0.25">
      <c r="B33" s="19" t="s">
        <v>98</v>
      </c>
      <c r="C33" s="99">
        <v>0.14779943100000001</v>
      </c>
    </row>
    <row r="34" spans="2:3" ht="15.75" customHeight="1" x14ac:dyDescent="0.25">
      <c r="B34" s="19" t="s">
        <v>99</v>
      </c>
      <c r="C34" s="99">
        <v>0.20184353499999999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0.6602748490077297</v>
      </c>
      <c r="D2" s="52">
        <f>IFERROR(1-_xlfn.NORM.DIST(_xlfn.NORM.INV(SUM(D4:D5), 0, 1) + 1, 0, 1, TRUE), "")</f>
        <v>0.6602748490077297</v>
      </c>
      <c r="E2" s="52">
        <f>IFERROR(1-_xlfn.NORM.DIST(_xlfn.NORM.INV(SUM(E4:E5), 0, 1) + 1, 0, 1, TRUE), "")</f>
        <v>0.53026310681457234</v>
      </c>
      <c r="F2" s="52">
        <f>IFERROR(1-_xlfn.NORM.DIST(_xlfn.NORM.INV(SUM(F4:F5), 0, 1) + 1, 0, 1, TRUE), "")</f>
        <v>0.38079821712199147</v>
      </c>
      <c r="G2" s="52">
        <f>IFERROR(1-_xlfn.NORM.DIST(_xlfn.NORM.INV(SUM(G4:G5), 0, 1) + 1, 0, 1, TRUE), "")</f>
        <v>0.25777429169952282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0.26092865099227036</v>
      </c>
      <c r="D3" s="52">
        <f>IFERROR(_xlfn.NORM.DIST(_xlfn.NORM.INV(SUM(D4:D5), 0, 1) + 1, 0, 1, TRUE) - SUM(D4:D5), "")</f>
        <v>0.26092865099227036</v>
      </c>
      <c r="E3" s="52">
        <f>IFERROR(_xlfn.NORM.DIST(_xlfn.NORM.INV(SUM(E4:E5), 0, 1) + 1, 0, 1, TRUE) - SUM(E4:E5), "")</f>
        <v>0.3287578931854277</v>
      </c>
      <c r="F3" s="52">
        <f>IFERROR(_xlfn.NORM.DIST(_xlfn.NORM.INV(SUM(F4:F5), 0, 1) + 1, 0, 1, TRUE) - SUM(F4:F5), "")</f>
        <v>0.37617988287800852</v>
      </c>
      <c r="G3" s="52">
        <f>IFERROR(_xlfn.NORM.DIST(_xlfn.NORM.INV(SUM(G4:G5), 0, 1) + 1, 0, 1, TRUE) - SUM(G4:G5), "")</f>
        <v>0.3789729083004772</v>
      </c>
    </row>
    <row r="4" spans="1:15" ht="15.75" customHeight="1" x14ac:dyDescent="0.25">
      <c r="B4" s="5" t="s">
        <v>104</v>
      </c>
      <c r="C4" s="45">
        <v>5.35401E-2</v>
      </c>
      <c r="D4" s="53">
        <v>5.35401E-2</v>
      </c>
      <c r="E4" s="53">
        <v>0.1021489</v>
      </c>
      <c r="F4" s="53">
        <v>0.16592109999999999</v>
      </c>
      <c r="G4" s="53">
        <v>0.26226430000000001</v>
      </c>
    </row>
    <row r="5" spans="1:15" ht="15.75" customHeight="1" x14ac:dyDescent="0.25">
      <c r="B5" s="5" t="s">
        <v>105</v>
      </c>
      <c r="C5" s="45">
        <v>2.5256399999999998E-2</v>
      </c>
      <c r="D5" s="53">
        <v>2.5256399999999998E-2</v>
      </c>
      <c r="E5" s="53">
        <v>3.8830099999999999E-2</v>
      </c>
      <c r="F5" s="53">
        <v>7.7100799999999997E-2</v>
      </c>
      <c r="G5" s="53">
        <v>0.10098849999999999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0.55819382970895504</v>
      </c>
      <c r="D8" s="52">
        <f>IFERROR(1-_xlfn.NORM.DIST(_xlfn.NORM.INV(SUM(D10:D11), 0, 1) + 1, 0, 1, TRUE), "")</f>
        <v>0.55819382970895504</v>
      </c>
      <c r="E8" s="52">
        <f>IFERROR(1-_xlfn.NORM.DIST(_xlfn.NORM.INV(SUM(E10:E11), 0, 1) + 1, 0, 1, TRUE), "")</f>
        <v>0.71777278559921243</v>
      </c>
      <c r="F8" s="52">
        <f>IFERROR(1-_xlfn.NORM.DIST(_xlfn.NORM.INV(SUM(F10:F11), 0, 1) + 1, 0, 1, TRUE), "")</f>
        <v>0.65596980264640603</v>
      </c>
      <c r="G8" s="52">
        <f>IFERROR(1-_xlfn.NORM.DIST(_xlfn.NORM.INV(SUM(G10:G11), 0, 1) + 1, 0, 1, TRUE), "")</f>
        <v>0.724676989595613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0.31598957029104491</v>
      </c>
      <c r="D9" s="52">
        <f>IFERROR(_xlfn.NORM.DIST(_xlfn.NORM.INV(SUM(D10:D11), 0, 1) + 1, 0, 1, TRUE) - SUM(D10:D11), "")</f>
        <v>0.31598957029104491</v>
      </c>
      <c r="E9" s="52">
        <f>IFERROR(_xlfn.NORM.DIST(_xlfn.NORM.INV(SUM(E10:E11), 0, 1) + 1, 0, 1, TRUE) - SUM(E10:E11), "")</f>
        <v>0.22474171440078752</v>
      </c>
      <c r="F9" s="52">
        <f>IFERROR(_xlfn.NORM.DIST(_xlfn.NORM.INV(SUM(F10:F11), 0, 1) + 1, 0, 1, TRUE) - SUM(F10:F11), "")</f>
        <v>0.26349619735359403</v>
      </c>
      <c r="G9" s="52">
        <f>IFERROR(_xlfn.NORM.DIST(_xlfn.NORM.INV(SUM(G10:G11), 0, 1) + 1, 0, 1, TRUE) - SUM(G10:G11), "")</f>
        <v>0.22016701040438702</v>
      </c>
    </row>
    <row r="10" spans="1:15" ht="15.75" customHeight="1" x14ac:dyDescent="0.25">
      <c r="B10" s="5" t="s">
        <v>109</v>
      </c>
      <c r="C10" s="45">
        <v>8.7075600000000003E-2</v>
      </c>
      <c r="D10" s="53">
        <v>8.7075600000000003E-2</v>
      </c>
      <c r="E10" s="53">
        <v>5.4190799999999997E-2</v>
      </c>
      <c r="F10" s="53">
        <v>5.8592100000000001E-2</v>
      </c>
      <c r="G10" s="53">
        <v>4.6939099999999997E-2</v>
      </c>
    </row>
    <row r="11" spans="1:15" ht="15.75" customHeight="1" x14ac:dyDescent="0.25">
      <c r="B11" s="5" t="s">
        <v>110</v>
      </c>
      <c r="C11" s="45">
        <v>3.8740999999999998E-2</v>
      </c>
      <c r="D11" s="53">
        <v>3.8740999999999998E-2</v>
      </c>
      <c r="E11" s="53">
        <v>3.2946999999999998E-3</v>
      </c>
      <c r="F11" s="53">
        <v>2.19419E-2</v>
      </c>
      <c r="G11" s="53">
        <v>8.2169000000000009E-3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0.53875706099999998</v>
      </c>
      <c r="D14" s="54">
        <v>0.52048943423000005</v>
      </c>
      <c r="E14" s="54">
        <v>0.52048943423000005</v>
      </c>
      <c r="F14" s="54">
        <v>0.341500033373</v>
      </c>
      <c r="G14" s="54">
        <v>0.341500033373</v>
      </c>
      <c r="H14" s="45">
        <v>0.53799999999999992</v>
      </c>
      <c r="I14" s="55">
        <v>0.53799999999999992</v>
      </c>
      <c r="J14" s="55">
        <v>0.53799999999999992</v>
      </c>
      <c r="K14" s="55">
        <v>0.53799999999999992</v>
      </c>
      <c r="L14" s="45">
        <v>0.46</v>
      </c>
      <c r="M14" s="55">
        <v>0.46</v>
      </c>
      <c r="N14" s="55">
        <v>0.46</v>
      </c>
      <c r="O14" s="55">
        <v>0.46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0.30376847121775213</v>
      </c>
      <c r="D15" s="52">
        <f t="shared" si="0"/>
        <v>0.29346859868076952</v>
      </c>
      <c r="E15" s="52">
        <f t="shared" si="0"/>
        <v>0.29346859868076952</v>
      </c>
      <c r="F15" s="52">
        <f t="shared" si="0"/>
        <v>0.19254864681676542</v>
      </c>
      <c r="G15" s="52">
        <f t="shared" si="0"/>
        <v>0.19254864681676542</v>
      </c>
      <c r="H15" s="52">
        <f t="shared" si="0"/>
        <v>0.30334161600000009</v>
      </c>
      <c r="I15" s="52">
        <f t="shared" si="0"/>
        <v>0.30334161600000009</v>
      </c>
      <c r="J15" s="52">
        <f t="shared" si="0"/>
        <v>0.30334161600000009</v>
      </c>
      <c r="K15" s="52">
        <f t="shared" si="0"/>
        <v>0.30334161600000009</v>
      </c>
      <c r="L15" s="52">
        <f t="shared" si="0"/>
        <v>0.2593627200000001</v>
      </c>
      <c r="M15" s="52">
        <f t="shared" si="0"/>
        <v>0.2593627200000001</v>
      </c>
      <c r="N15" s="52">
        <f t="shared" si="0"/>
        <v>0.2593627200000001</v>
      </c>
      <c r="O15" s="52">
        <f t="shared" si="0"/>
        <v>0.2593627200000001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0.70655319999999999</v>
      </c>
      <c r="D2" s="53">
        <v>0.49112349999999999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0.16169910000000001</v>
      </c>
      <c r="D3" s="53">
        <v>0.21381140000000001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0.1317477</v>
      </c>
      <c r="D4" s="53">
        <v>0.27545989999999998</v>
      </c>
      <c r="E4" s="53">
        <v>0.97014080000000003</v>
      </c>
      <c r="F4" s="53">
        <v>0.78452340000000009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0</v>
      </c>
      <c r="D5" s="52">
        <f t="shared" si="0"/>
        <v>1.9605199999999989E-2</v>
      </c>
      <c r="E5" s="52">
        <f>1-SUM(E2:E4)</f>
        <v>2.9859199999999975E-2</v>
      </c>
      <c r="F5" s="52">
        <f>1-SUM(F2:F4)</f>
        <v>0.21547659999999991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1149.21121846296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0.44096000000000002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0.45005000000000001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2.0024302956822414E-2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95539.656870000006</v>
      </c>
      <c r="C22" s="107">
        <v>95301.142089999994</v>
      </c>
      <c r="D22" s="107">
        <v>95078.139460000006</v>
      </c>
      <c r="E22" s="107">
        <v>94619.503039999996</v>
      </c>
      <c r="F22" s="107">
        <v>93986.73216</v>
      </c>
      <c r="G22" s="107">
        <v>93274.871329999994</v>
      </c>
      <c r="H22" s="107">
        <v>92388.733559999993</v>
      </c>
      <c r="I22" s="107">
        <v>91199.10583</v>
      </c>
      <c r="J22" s="107">
        <v>89502.26814</v>
      </c>
      <c r="K22" s="107">
        <v>87084.518559999997</v>
      </c>
      <c r="L22" s="107">
        <v>83497.847150000001</v>
      </c>
      <c r="M22" s="107">
        <v>78476.11249</v>
      </c>
      <c r="N22" s="107">
        <v>71286.398109999995</v>
      </c>
      <c r="O22" s="107">
        <v>61707.36378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23.266651740020471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23.266651740020471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0.80999999999999994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0.77074974835036481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</v>
      </c>
      <c r="C9" s="96">
        <v>0.95</v>
      </c>
      <c r="D9" s="56">
        <v>0.33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0.59326290000000004</v>
      </c>
      <c r="C10" s="96">
        <v>0.95</v>
      </c>
      <c r="D10" s="56">
        <v>17.420883333006959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17.420883333006959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17.420883333006959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17.420883333006959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0.59326290000000004</v>
      </c>
      <c r="C14" s="96">
        <v>0.95</v>
      </c>
      <c r="D14" s="56">
        <v>17.420883333006959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17.420883333006959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0.16721649999999999</v>
      </c>
      <c r="C16" s="96">
        <v>0.95</v>
      </c>
      <c r="D16" s="56">
        <v>1.57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1.6000000000000001E-4</v>
      </c>
      <c r="C17" s="96">
        <v>0.95</v>
      </c>
      <c r="D17" s="56">
        <v>0.1369044839662158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0.49112349999999999</v>
      </c>
      <c r="C18" s="96">
        <v>0.95</v>
      </c>
      <c r="D18" s="56">
        <v>8.0823886898669404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0.49112349999999999</v>
      </c>
      <c r="C19" s="96">
        <v>0.95</v>
      </c>
      <c r="D19" s="56">
        <v>2.8448355135048669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8.32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0.80999999999999994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0.23973340000000001</v>
      </c>
      <c r="C23" s="96">
        <v>0.95</v>
      </c>
      <c r="D23" s="56">
        <v>5.6963080880733798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0.26501636123150002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0.59326290000000004</v>
      </c>
      <c r="C26" s="96">
        <v>0.95</v>
      </c>
      <c r="D26" s="56">
        <v>8.469314227226203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14.964151740020471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0.61857830000000003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0.21329680000000001</v>
      </c>
      <c r="C29" s="96">
        <v>0.95</v>
      </c>
      <c r="D29" s="56">
        <v>70.723861239789485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3.5299999999999998E-2</v>
      </c>
      <c r="C31" s="96">
        <v>0.95</v>
      </c>
      <c r="D31" s="56">
        <v>118.83755373592631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0.54400000000000004</v>
      </c>
      <c r="C32" s="96">
        <v>0.95</v>
      </c>
      <c r="D32" s="56">
        <v>0.69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0.74585590000000002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0.42059249999999998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8.6999999999999994E-2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0.33884219999999998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8.4313400000000011E-2</v>
      </c>
      <c r="C38" s="96">
        <v>0.95</v>
      </c>
      <c r="D38" s="56">
        <v>3.45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3.07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2.4</v>
      </c>
      <c r="C2" s="21">
        <f>'Baseline year population inputs'!C52</f>
        <v>2.4</v>
      </c>
      <c r="D2" s="21">
        <f>'Baseline year population inputs'!C53</f>
        <v>2.4</v>
      </c>
      <c r="E2" s="21">
        <f>'Baseline year population inputs'!C54</f>
        <v>2.4</v>
      </c>
      <c r="F2" s="21">
        <f>'Baseline year population inputs'!C55</f>
        <v>2.4</v>
      </c>
    </row>
    <row r="3" spans="1:6" ht="15.75" customHeight="1" x14ac:dyDescent="0.25">
      <c r="A3" s="3" t="s">
        <v>197</v>
      </c>
      <c r="B3" s="21">
        <f>frac_mam_1month * 2.6</f>
        <v>0.22639656000000002</v>
      </c>
      <c r="C3" s="21">
        <f>frac_mam_1_5months * 2.6</f>
        <v>0.22639656000000002</v>
      </c>
      <c r="D3" s="21">
        <f>frac_mam_6_11months * 2.6</f>
        <v>0.14089608000000001</v>
      </c>
      <c r="E3" s="21">
        <f>frac_mam_12_23months * 2.6</f>
        <v>0.15233946000000001</v>
      </c>
      <c r="F3" s="21">
        <f>frac_mam_24_59months * 2.6</f>
        <v>0.12204166</v>
      </c>
    </row>
    <row r="4" spans="1:6" ht="15.75" customHeight="1" x14ac:dyDescent="0.25">
      <c r="A4" s="3" t="s">
        <v>198</v>
      </c>
      <c r="B4" s="21">
        <f>frac_sam_1month * 2.6</f>
        <v>0.1007266</v>
      </c>
      <c r="C4" s="21">
        <f>frac_sam_1_5months * 2.6</f>
        <v>0.1007266</v>
      </c>
      <c r="D4" s="21">
        <f>frac_sam_6_11months * 2.6</f>
        <v>8.5662199999999994E-3</v>
      </c>
      <c r="E4" s="21">
        <f>frac_sam_12_23months * 2.6</f>
        <v>5.7048939999999999E-2</v>
      </c>
      <c r="F4" s="21">
        <f>frac_sam_24_59months * 2.6</f>
        <v>2.1363940000000005E-2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0.02</v>
      </c>
      <c r="F2" s="60">
        <f>food_insecure</f>
        <v>0.02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0.02</v>
      </c>
      <c r="F5" s="60">
        <f>food_insecure</f>
        <v>0.02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0.02</v>
      </c>
      <c r="F8" s="60">
        <f>food_insecure</f>
        <v>0.02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0.02</v>
      </c>
      <c r="F9" s="60">
        <f>food_insecure</f>
        <v>0.02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0.02</v>
      </c>
      <c r="I15" s="60">
        <f t="shared" si="0"/>
        <v>0.02</v>
      </c>
      <c r="J15" s="60">
        <f t="shared" si="0"/>
        <v>0.02</v>
      </c>
      <c r="K15" s="60">
        <f t="shared" si="0"/>
        <v>0.02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0.02</v>
      </c>
      <c r="I16" s="60">
        <f t="shared" si="0"/>
        <v>0.02</v>
      </c>
      <c r="J16" s="60">
        <f t="shared" si="0"/>
        <v>0.02</v>
      </c>
      <c r="K16" s="60">
        <f t="shared" si="0"/>
        <v>0.02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0.23780000000000001</v>
      </c>
      <c r="I19" s="60">
        <f>frac_malaria_risk</f>
        <v>0.23780000000000001</v>
      </c>
      <c r="J19" s="60">
        <f>frac_malaria_risk</f>
        <v>0.23780000000000001</v>
      </c>
      <c r="K19" s="60">
        <f>frac_malaria_risk</f>
        <v>0.23780000000000001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</v>
      </c>
      <c r="M24" s="60">
        <f>famplan_unmet_need</f>
        <v>0.25</v>
      </c>
      <c r="N24" s="60">
        <f>famplan_unmet_need</f>
        <v>0.25</v>
      </c>
      <c r="O24" s="60">
        <f>famplan_unmet_need</f>
        <v>0.25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0.18797292821502684</v>
      </c>
      <c r="M25" s="60">
        <f>(1-food_insecure)*(0.49)+food_insecure*(0.7)</f>
        <v>0.49419999999999997</v>
      </c>
      <c r="N25" s="60">
        <f>(1-food_insecure)*(0.49)+food_insecure*(0.7)</f>
        <v>0.49419999999999997</v>
      </c>
      <c r="O25" s="60">
        <f>(1-food_insecure)*(0.49)+food_insecure*(0.7)</f>
        <v>0.49419999999999997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8.0559826377868654E-2</v>
      </c>
      <c r="M26" s="60">
        <f>(1-food_insecure)*(0.21)+food_insecure*(0.3)</f>
        <v>0.21179999999999999</v>
      </c>
      <c r="N26" s="60">
        <f>(1-food_insecure)*(0.21)+food_insecure*(0.3)</f>
        <v>0.21179999999999999</v>
      </c>
      <c r="O26" s="60">
        <f>(1-food_insecure)*(0.21)+food_insecure*(0.3)</f>
        <v>0.21179999999999999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0.1118252547454834</v>
      </c>
      <c r="M27" s="60">
        <f>(1-food_insecure)*(0.3)</f>
        <v>0.29399999999999998</v>
      </c>
      <c r="N27" s="60">
        <f>(1-food_insecure)*(0.3)</f>
        <v>0.29399999999999998</v>
      </c>
      <c r="O27" s="60">
        <f>(1-food_insecure)*(0.3)</f>
        <v>0.29399999999999998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0.61964199066162107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0.23780000000000001</v>
      </c>
      <c r="D34" s="60">
        <f t="shared" si="4"/>
        <v>0.23780000000000001</v>
      </c>
      <c r="E34" s="60">
        <f t="shared" si="4"/>
        <v>0.23780000000000001</v>
      </c>
      <c r="F34" s="60">
        <f t="shared" si="4"/>
        <v>0.23780000000000001</v>
      </c>
      <c r="G34" s="60">
        <f t="shared" si="4"/>
        <v>0.23780000000000001</v>
      </c>
      <c r="H34" s="60">
        <f t="shared" si="4"/>
        <v>0.23780000000000001</v>
      </c>
      <c r="I34" s="60">
        <f t="shared" si="4"/>
        <v>0.23780000000000001</v>
      </c>
      <c r="J34" s="60">
        <f t="shared" si="4"/>
        <v>0.23780000000000001</v>
      </c>
      <c r="K34" s="60">
        <f t="shared" si="4"/>
        <v>0.23780000000000001</v>
      </c>
      <c r="L34" s="60">
        <f t="shared" si="4"/>
        <v>0.23780000000000001</v>
      </c>
      <c r="M34" s="60">
        <f t="shared" si="4"/>
        <v>0.23780000000000001</v>
      </c>
      <c r="N34" s="60">
        <f t="shared" si="4"/>
        <v>0.23780000000000001</v>
      </c>
      <c r="O34" s="60">
        <f t="shared" si="4"/>
        <v>0.23780000000000001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