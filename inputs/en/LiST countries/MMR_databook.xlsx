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30516EC-1B3A-4683-AA7A-788036DF5FEA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4" i="2"/>
  <c r="A33" i="2"/>
  <c r="A31" i="2"/>
  <c r="A29" i="2"/>
  <c r="A28" i="2"/>
  <c r="A26" i="2"/>
  <c r="A25" i="2"/>
  <c r="A23" i="2"/>
  <c r="A21" i="2"/>
  <c r="A20" i="2"/>
  <c r="A18" i="2"/>
  <c r="A17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16" i="2" l="1"/>
  <c r="A24" i="2"/>
  <c r="A32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<sst xmlns="http://schemas.openxmlformats.org/spreadsheetml/2006/main" count="2101" uniqueCount="341">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</sst>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4394769.53125</v>
      </c>
    </row>
    <row r="8" spans="1:3" ht="15" customHeight="1" x14ac:dyDescent="0.25">
      <c r="B8" s="5" t="s">
        <v>8</v>
      </c>
      <c r="C8" s="44">
        <v>0.02</v>
      </c>
    </row>
    <row r="9" spans="1:3" ht="15" customHeight="1" x14ac:dyDescent="0.25">
      <c r="B9" s="5" t="s">
        <v>9</v>
      </c>
      <c r="C9" s="45">
        <v>0.23780000000000001</v>
      </c>
    </row>
    <row r="10" spans="1:3" ht="15" customHeight="1" x14ac:dyDescent="0.25">
      <c r="B10" s="5" t="s">
        <v>10</v>
      </c>
      <c r="C10" s="45">
        <v>0.61964199066162107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7.2599999999999998E-2</v>
      </c>
    </row>
    <row r="24" spans="1:3" ht="15" customHeight="1" x14ac:dyDescent="0.25">
      <c r="B24" s="15" t="s">
        <v>22</v>
      </c>
      <c r="C24" s="45">
        <v>0.47549999999999998</v>
      </c>
    </row>
    <row r="25" spans="1:3" ht="15" customHeight="1" x14ac:dyDescent="0.25">
      <c r="B25" s="15" t="s">
        <v>23</v>
      </c>
      <c r="C25" s="45">
        <v>0.37380000000000002</v>
      </c>
    </row>
    <row r="26" spans="1:3" ht="15" customHeight="1" x14ac:dyDescent="0.25">
      <c r="B26" s="15" t="s">
        <v>24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0.35174465639154501</v>
      </c>
    </row>
    <row r="30" spans="1:3" ht="14.25" customHeight="1" x14ac:dyDescent="0.25">
      <c r="B30" s="25" t="s">
        <v>27</v>
      </c>
      <c r="C30" s="99">
        <v>3.10047903226232E-2</v>
      </c>
    </row>
    <row r="31" spans="1:3" ht="14.25" customHeight="1" x14ac:dyDescent="0.25">
      <c r="B31" s="25" t="s">
        <v>28</v>
      </c>
      <c r="C31" s="99">
        <v>5.4690867454115402E-2</v>
      </c>
    </row>
    <row r="32" spans="1:3" ht="14.25" customHeight="1" x14ac:dyDescent="0.25">
      <c r="B32" s="25" t="s">
        <v>29</v>
      </c>
      <c r="C32" s="99">
        <v>0.562559685831717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21.664349999999999</v>
      </c>
    </row>
    <row r="38" spans="1:5" ht="15" customHeight="1" x14ac:dyDescent="0.25">
      <c r="B38" s="11" t="s">
        <v>34</v>
      </c>
      <c r="C38" s="43">
        <v>33.723550000000003</v>
      </c>
      <c r="D38" s="12"/>
      <c r="E38" s="13"/>
    </row>
    <row r="39" spans="1:5" ht="15" customHeight="1" x14ac:dyDescent="0.25">
      <c r="B39" s="11" t="s">
        <v>35</v>
      </c>
      <c r="C39" s="43">
        <v>41.812370000000001</v>
      </c>
      <c r="D39" s="12"/>
      <c r="E39" s="12"/>
    </row>
    <row r="40" spans="1:5" ht="15" customHeight="1" x14ac:dyDescent="0.25">
      <c r="B40" s="11" t="s">
        <v>36</v>
      </c>
      <c r="C40" s="100">
        <v>1.79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6.1399000000000002E-3</v>
      </c>
      <c r="D45" s="12"/>
    </row>
    <row r="46" spans="1:5" ht="15.75" customHeight="1" x14ac:dyDescent="0.25">
      <c r="B46" s="11" t="s">
        <v>41</v>
      </c>
      <c r="C46" s="45">
        <v>6.5972000000000003E-2</v>
      </c>
      <c r="D46" s="12"/>
    </row>
    <row r="47" spans="1:5" ht="15.75" customHeight="1" x14ac:dyDescent="0.25">
      <c r="B47" s="11" t="s">
        <v>42</v>
      </c>
      <c r="C47" s="45">
        <v>7.5162500000000007E-2</v>
      </c>
      <c r="D47" s="12"/>
      <c r="E47" s="13"/>
    </row>
    <row r="48" spans="1:5" ht="15" customHeight="1" x14ac:dyDescent="0.25">
      <c r="B48" s="11" t="s">
        <v>43</v>
      </c>
      <c r="C48" s="46">
        <v>0.85272559999999997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0.56383200000000022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0.12303469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901860</v>
      </c>
      <c r="C2" s="49">
        <v>2625852.5</v>
      </c>
      <c r="D2" s="49">
        <v>4396259.5</v>
      </c>
      <c r="E2" s="49">
        <v>4202240.5</v>
      </c>
      <c r="F2" s="49">
        <v>3377256.5</v>
      </c>
      <c r="G2" s="17">
        <f t="shared" ref="G2:G13" si="0">C2+D2+E2+F2</f>
        <v>14601609</v>
      </c>
      <c r="H2" s="17">
        <f t="shared" ref="H2:H13" si="1">(B2 + stillbirth*B2/(1000-stillbirth))/(1-abortion)</f>
        <v>1039960.3307612686</v>
      </c>
      <c r="I2" s="17">
        <f t="shared" ref="I2:I13" si="2">G2-H2</f>
        <v>13561648.669238731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894954</v>
      </c>
      <c r="C3" s="50">
        <v>2609768</v>
      </c>
      <c r="D3" s="50">
        <v>4395102.5</v>
      </c>
      <c r="E3" s="50">
        <v>4204487.5</v>
      </c>
      <c r="F3" s="50">
        <v>3433441.5</v>
      </c>
      <c r="G3" s="17">
        <f t="shared" si="0"/>
        <v>14642799.5</v>
      </c>
      <c r="H3" s="17">
        <f t="shared" si="1"/>
        <v>1031996.8263989093</v>
      </c>
      <c r="I3" s="17">
        <f t="shared" si="2"/>
        <v>13610802.673601091</v>
      </c>
    </row>
    <row r="4" spans="1:9" ht="15.75" customHeight="1" x14ac:dyDescent="0.25">
      <c r="A4" s="5">
        <f t="shared" si="3"/>
        <v>2026</v>
      </c>
      <c r="B4" s="49">
        <v>890946</v>
      </c>
      <c r="C4" s="50">
        <v>2595798.5</v>
      </c>
      <c r="D4" s="50">
        <v>4389761</v>
      </c>
      <c r="E4" s="50">
        <v>4210566</v>
      </c>
      <c r="F4" s="50">
        <v>3485568.5</v>
      </c>
      <c r="G4" s="17">
        <f t="shared" si="0"/>
        <v>14681694</v>
      </c>
      <c r="H4" s="17">
        <f t="shared" si="1"/>
        <v>1027375.0879853072</v>
      </c>
      <c r="I4" s="17">
        <f t="shared" si="2"/>
        <v>13654318.912014693</v>
      </c>
    </row>
    <row r="5" spans="1:9" ht="15.75" customHeight="1" x14ac:dyDescent="0.25">
      <c r="A5" s="5">
        <f t="shared" si="3"/>
        <v>2027</v>
      </c>
      <c r="B5" s="49">
        <v>883527</v>
      </c>
      <c r="C5" s="50">
        <v>2582537.5</v>
      </c>
      <c r="D5" s="50">
        <v>4382914.5</v>
      </c>
      <c r="E5" s="50">
        <v>4220885.5</v>
      </c>
      <c r="F5" s="50">
        <v>3528284.5</v>
      </c>
      <c r="G5" s="17">
        <f t="shared" si="0"/>
        <v>14714622</v>
      </c>
      <c r="H5" s="17">
        <f t="shared" si="1"/>
        <v>1018820.0287810873</v>
      </c>
      <c r="I5" s="17">
        <f t="shared" si="2"/>
        <v>13695801.971218912</v>
      </c>
    </row>
    <row r="6" spans="1:9" ht="15.75" customHeight="1" x14ac:dyDescent="0.25">
      <c r="A6" s="5">
        <f t="shared" si="3"/>
        <v>2028</v>
      </c>
      <c r="B6" s="49">
        <v>877021</v>
      </c>
      <c r="C6" s="50">
        <v>2572030</v>
      </c>
      <c r="D6" s="50">
        <v>4375415</v>
      </c>
      <c r="E6" s="50">
        <v>4233778.5</v>
      </c>
      <c r="F6" s="50">
        <v>3561103</v>
      </c>
      <c r="G6" s="17">
        <f t="shared" si="0"/>
        <v>14742326.5</v>
      </c>
      <c r="H6" s="17">
        <f t="shared" si="1"/>
        <v>1011317.7757574108</v>
      </c>
      <c r="I6" s="17">
        <f t="shared" si="2"/>
        <v>13731008.724242589</v>
      </c>
    </row>
    <row r="7" spans="1:9" ht="15.75" customHeight="1" x14ac:dyDescent="0.25">
      <c r="A7" s="5">
        <f t="shared" si="3"/>
        <v>2029</v>
      </c>
      <c r="B7" s="49">
        <v>871056</v>
      </c>
      <c r="C7" s="50">
        <v>2566006.5</v>
      </c>
      <c r="D7" s="50">
        <v>4367019</v>
      </c>
      <c r="E7" s="50">
        <v>4244034.5</v>
      </c>
      <c r="F7" s="50">
        <v>3583973.5</v>
      </c>
      <c r="G7" s="17">
        <f t="shared" si="0"/>
        <v>14761033.5</v>
      </c>
      <c r="H7" s="17">
        <f t="shared" si="1"/>
        <v>1004439.3651693029</v>
      </c>
      <c r="I7" s="17">
        <f t="shared" si="2"/>
        <v>13756594.134830697</v>
      </c>
    </row>
    <row r="8" spans="1:9" ht="15.75" customHeight="1" x14ac:dyDescent="0.25">
      <c r="A8" s="5">
        <f t="shared" si="3"/>
        <v>2030</v>
      </c>
      <c r="B8" s="49">
        <v>862042</v>
      </c>
      <c r="C8" s="50">
        <v>2565424</v>
      </c>
      <c r="D8" s="50">
        <v>4356185</v>
      </c>
      <c r="E8" s="50">
        <v>4249540.5</v>
      </c>
      <c r="F8" s="50">
        <v>3603317</v>
      </c>
      <c r="G8" s="17">
        <f t="shared" si="0"/>
        <v>14774466.5</v>
      </c>
      <c r="H8" s="17">
        <f t="shared" si="1"/>
        <v>994045.06625208515</v>
      </c>
      <c r="I8" s="17">
        <f t="shared" si="2"/>
        <v>13780421.433747916</v>
      </c>
    </row>
    <row r="9" spans="1:9" ht="15.75" customHeight="1" x14ac:dyDescent="0.25">
      <c r="A9" s="5">
        <f t="shared" si="3"/>
        <v>2031</v>
      </c>
      <c r="B9" s="49">
        <v>855595</v>
      </c>
      <c r="C9" s="50">
        <v>2568970.5</v>
      </c>
      <c r="D9" s="50">
        <v>4337649.5</v>
      </c>
      <c r="E9" s="50">
        <v>4256300</v>
      </c>
      <c r="F9" s="50">
        <v>3623803</v>
      </c>
      <c r="G9" s="17">
        <f t="shared" si="0"/>
        <v>14786723</v>
      </c>
      <c r="H9" s="17">
        <f t="shared" si="1"/>
        <v>986610.84780086437</v>
      </c>
      <c r="I9" s="17">
        <f t="shared" si="2"/>
        <v>13800112.152199136</v>
      </c>
    </row>
    <row r="10" spans="1:9" ht="15.75" customHeight="1" x14ac:dyDescent="0.25">
      <c r="A10" s="5">
        <f t="shared" si="3"/>
        <v>2032</v>
      </c>
      <c r="B10" s="49">
        <v>848434</v>
      </c>
      <c r="C10" s="50">
        <v>2573826</v>
      </c>
      <c r="D10" s="50">
        <v>4308975.5</v>
      </c>
      <c r="E10" s="50">
        <v>4268243.5</v>
      </c>
      <c r="F10" s="50">
        <v>3641237</v>
      </c>
      <c r="G10" s="17">
        <f t="shared" si="0"/>
        <v>14792282</v>
      </c>
      <c r="H10" s="17">
        <f t="shared" si="1"/>
        <v>978353.29571009486</v>
      </c>
      <c r="I10" s="17">
        <f t="shared" si="2"/>
        <v>13813928.704289906</v>
      </c>
    </row>
    <row r="11" spans="1:9" ht="15.75" customHeight="1" x14ac:dyDescent="0.25">
      <c r="A11" s="5">
        <f t="shared" si="3"/>
        <v>2033</v>
      </c>
      <c r="B11" s="49">
        <v>843686</v>
      </c>
      <c r="C11" s="50">
        <v>2578729.5</v>
      </c>
      <c r="D11" s="50">
        <v>4277696.5</v>
      </c>
      <c r="E11" s="50">
        <v>4279604.5</v>
      </c>
      <c r="F11" s="50">
        <v>3652236</v>
      </c>
      <c r="G11" s="17">
        <f t="shared" si="0"/>
        <v>14788266.5</v>
      </c>
      <c r="H11" s="17">
        <f t="shared" si="1"/>
        <v>972878.24231992941</v>
      </c>
      <c r="I11" s="17">
        <f t="shared" si="2"/>
        <v>13815388.25768007</v>
      </c>
    </row>
    <row r="12" spans="1:9" ht="15.75" customHeight="1" x14ac:dyDescent="0.25">
      <c r="A12" s="5">
        <f t="shared" si="3"/>
        <v>2034</v>
      </c>
      <c r="B12" s="49">
        <v>834292</v>
      </c>
      <c r="C12" s="50">
        <v>2581172</v>
      </c>
      <c r="D12" s="50">
        <v>4252872</v>
      </c>
      <c r="E12" s="50">
        <v>4284636.5</v>
      </c>
      <c r="F12" s="50">
        <v>3657829.5</v>
      </c>
      <c r="G12" s="17">
        <f t="shared" si="0"/>
        <v>14776510</v>
      </c>
      <c r="H12" s="17">
        <f t="shared" si="1"/>
        <v>962045.75463096297</v>
      </c>
      <c r="I12" s="17">
        <f t="shared" si="2"/>
        <v>13814464.245369038</v>
      </c>
    </row>
    <row r="13" spans="1:9" ht="15.75" customHeight="1" x14ac:dyDescent="0.25">
      <c r="A13" s="5">
        <f t="shared" si="3"/>
        <v>2035</v>
      </c>
      <c r="B13" s="49">
        <v>830352</v>
      </c>
      <c r="C13" s="50">
        <v>2578136.5</v>
      </c>
      <c r="D13" s="50">
        <v>4236580</v>
      </c>
      <c r="E13" s="50">
        <v>4284849</v>
      </c>
      <c r="F13" s="50">
        <v>3662846</v>
      </c>
      <c r="G13" s="17">
        <f t="shared" si="0"/>
        <v>14762411.5</v>
      </c>
      <c r="H13" s="17">
        <f t="shared" si="1"/>
        <v>957502.42894493695</v>
      </c>
      <c r="I13" s="17">
        <f t="shared" si="2"/>
        <v>13804909.071055062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1.0255500000000001E-2</v>
      </c>
    </row>
    <row r="4" spans="1:8" ht="15.75" customHeight="1" x14ac:dyDescent="0.25">
      <c r="B4" s="19" t="s">
        <v>69</v>
      </c>
      <c r="C4" s="101">
        <v>5.6709300000000143E-2</v>
      </c>
    </row>
    <row r="5" spans="1:8" ht="15.75" customHeight="1" x14ac:dyDescent="0.25">
      <c r="B5" s="19" t="s">
        <v>70</v>
      </c>
      <c r="C5" s="101">
        <v>8.2196700000000025E-2</v>
      </c>
    </row>
    <row r="6" spans="1:8" ht="15.75" customHeight="1" x14ac:dyDescent="0.25">
      <c r="B6" s="19" t="s">
        <v>71</v>
      </c>
      <c r="C6" s="101">
        <v>0.2395228999999999</v>
      </c>
    </row>
    <row r="7" spans="1:8" ht="15.75" customHeight="1" x14ac:dyDescent="0.25">
      <c r="B7" s="19" t="s">
        <v>72</v>
      </c>
      <c r="C7" s="101">
        <v>0.3928677999999996</v>
      </c>
    </row>
    <row r="8" spans="1:8" ht="15.75" customHeight="1" x14ac:dyDescent="0.25">
      <c r="B8" s="19" t="s">
        <v>73</v>
      </c>
      <c r="C8" s="101">
        <v>1.5020000000000009E-3</v>
      </c>
    </row>
    <row r="9" spans="1:8" ht="15.75" customHeight="1" x14ac:dyDescent="0.25">
      <c r="B9" s="19" t="s">
        <v>74</v>
      </c>
      <c r="C9" s="101">
        <v>9.0700500000000031E-2</v>
      </c>
    </row>
    <row r="10" spans="1:8" ht="15.75" customHeight="1" x14ac:dyDescent="0.25">
      <c r="B10" s="19" t="s">
        <v>75</v>
      </c>
      <c r="C10" s="101">
        <v>0.1262453000000002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82</v>
      </c>
      <c r="C15" s="101">
        <v>0.1283692787301331</v>
      </c>
      <c r="D15" s="101">
        <v>0.1283692787301331</v>
      </c>
      <c r="E15" s="101">
        <v>0.1283692787301331</v>
      </c>
      <c r="F15" s="101">
        <v>0.1283692787301331</v>
      </c>
    </row>
    <row r="16" spans="1:8" ht="15.75" customHeight="1" x14ac:dyDescent="0.25">
      <c r="B16" s="19" t="s">
        <v>83</v>
      </c>
      <c r="C16" s="101">
        <v>1.476393085354071E-2</v>
      </c>
      <c r="D16" s="101">
        <v>1.476393085354071E-2</v>
      </c>
      <c r="E16" s="101">
        <v>1.476393085354071E-2</v>
      </c>
      <c r="F16" s="101">
        <v>1.476393085354071E-2</v>
      </c>
    </row>
    <row r="17" spans="1:8" ht="15.75" customHeight="1" x14ac:dyDescent="0.25">
      <c r="B17" s="19" t="s">
        <v>84</v>
      </c>
      <c r="C17" s="101">
        <v>0.20253891238761709</v>
      </c>
      <c r="D17" s="101">
        <v>0.20253891238761709</v>
      </c>
      <c r="E17" s="101">
        <v>0.20253891238761709</v>
      </c>
      <c r="F17" s="101">
        <v>0.20253891238761709</v>
      </c>
    </row>
    <row r="18" spans="1:8" ht="15.75" customHeight="1" x14ac:dyDescent="0.25">
      <c r="B18" s="19" t="s">
        <v>85</v>
      </c>
      <c r="C18" s="101">
        <v>1.145434598579335E-3</v>
      </c>
      <c r="D18" s="101">
        <v>1.145434598579335E-3</v>
      </c>
      <c r="E18" s="101">
        <v>1.145434598579335E-3</v>
      </c>
      <c r="F18" s="101">
        <v>1.145434598579335E-3</v>
      </c>
    </row>
    <row r="19" spans="1:8" ht="15.75" customHeight="1" x14ac:dyDescent="0.25">
      <c r="B19" s="19" t="s">
        <v>86</v>
      </c>
      <c r="C19" s="101">
        <v>1.6469280220540561E-2</v>
      </c>
      <c r="D19" s="101">
        <v>1.6469280220540561E-2</v>
      </c>
      <c r="E19" s="101">
        <v>1.6469280220540561E-2</v>
      </c>
      <c r="F19" s="101">
        <v>1.6469280220540561E-2</v>
      </c>
    </row>
    <row r="20" spans="1:8" ht="15.75" customHeight="1" x14ac:dyDescent="0.25">
      <c r="B20" s="19" t="s">
        <v>87</v>
      </c>
      <c r="C20" s="101">
        <v>8.6732539967486113E-3</v>
      </c>
      <c r="D20" s="101">
        <v>8.6732539967486113E-3</v>
      </c>
      <c r="E20" s="101">
        <v>8.6732539967486113E-3</v>
      </c>
      <c r="F20" s="101">
        <v>8.6732539967486113E-3</v>
      </c>
    </row>
    <row r="21" spans="1:8" ht="15.75" customHeight="1" x14ac:dyDescent="0.25">
      <c r="B21" s="19" t="s">
        <v>88</v>
      </c>
      <c r="C21" s="101">
        <v>0.15491101543101871</v>
      </c>
      <c r="D21" s="101">
        <v>0.15491101543101871</v>
      </c>
      <c r="E21" s="101">
        <v>0.15491101543101871</v>
      </c>
      <c r="F21" s="101">
        <v>0.15491101543101871</v>
      </c>
    </row>
    <row r="22" spans="1:8" ht="15.75" customHeight="1" x14ac:dyDescent="0.25">
      <c r="B22" s="19" t="s">
        <v>89</v>
      </c>
      <c r="C22" s="101">
        <v>0.28821985022945562</v>
      </c>
      <c r="D22" s="101">
        <v>0.28821985022945562</v>
      </c>
      <c r="E22" s="101">
        <v>0.28821985022945562</v>
      </c>
      <c r="F22" s="101">
        <v>0.28821985022945562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4.7953877999999991E-2</v>
      </c>
    </row>
    <row r="27" spans="1:8" ht="15.75" customHeight="1" x14ac:dyDescent="0.25">
      <c r="B27" s="19" t="s">
        <v>92</v>
      </c>
      <c r="C27" s="101">
        <v>1.0397949E-2</v>
      </c>
    </row>
    <row r="28" spans="1:8" ht="15.75" customHeight="1" x14ac:dyDescent="0.25">
      <c r="B28" s="19" t="s">
        <v>93</v>
      </c>
      <c r="C28" s="101">
        <v>0.26736443399999998</v>
      </c>
    </row>
    <row r="29" spans="1:8" ht="15.75" customHeight="1" x14ac:dyDescent="0.25">
      <c r="B29" s="19" t="s">
        <v>94</v>
      </c>
      <c r="C29" s="101">
        <v>0.12531753500000001</v>
      </c>
    </row>
    <row r="30" spans="1:8" ht="15.75" customHeight="1" x14ac:dyDescent="0.25">
      <c r="B30" s="19" t="s">
        <v>95</v>
      </c>
      <c r="C30" s="101">
        <v>7.0167186000000006E-2</v>
      </c>
    </row>
    <row r="31" spans="1:8" ht="15.75" customHeight="1" x14ac:dyDescent="0.25">
      <c r="B31" s="19" t="s">
        <v>96</v>
      </c>
      <c r="C31" s="101">
        <v>8.1421533000000004E-2</v>
      </c>
    </row>
    <row r="32" spans="1:8" ht="15.75" customHeight="1" x14ac:dyDescent="0.25">
      <c r="B32" s="19" t="s">
        <v>97</v>
      </c>
      <c r="C32" s="101">
        <v>4.7734519000000003E-2</v>
      </c>
    </row>
    <row r="33" spans="2:3" ht="15.75" customHeight="1" x14ac:dyDescent="0.25">
      <c r="B33" s="19" t="s">
        <v>98</v>
      </c>
      <c r="C33" s="101">
        <v>0.14779943100000001</v>
      </c>
    </row>
    <row r="34" spans="2:3" ht="15.75" customHeight="1" x14ac:dyDescent="0.25">
      <c r="B34" s="19" t="s">
        <v>99</v>
      </c>
      <c r="C34" s="101">
        <v>0.20184353499999999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104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105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109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110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122</v>
      </c>
      <c r="C5" s="52">
        <v>0</v>
      </c>
      <c r="D5" s="52">
        <v>1.96052E-2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39.222404520785908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54.737134105512617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119.55153720587511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0.77074974835036481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0.59326290000000004</v>
      </c>
      <c r="C10" s="98">
        <v>0.95</v>
      </c>
      <c r="D10" s="56">
        <v>17.420883333006959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17.420883333006959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17.420883333006959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17.420883333006959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0.59326290000000004</v>
      </c>
      <c r="C14" s="98">
        <v>0.95</v>
      </c>
      <c r="D14" s="56">
        <v>17.420883333006959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17.420883333006959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0.16721649999999999</v>
      </c>
      <c r="C16" s="98">
        <v>0.95</v>
      </c>
      <c r="D16" s="56">
        <v>0.34694694397271492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1.6000000000000001E-4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0.49112349999999999</v>
      </c>
      <c r="C18" s="98">
        <v>0.95</v>
      </c>
      <c r="D18" s="56">
        <v>2.8448355135048669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0.49112349999999999</v>
      </c>
      <c r="C19" s="98">
        <v>0.95</v>
      </c>
      <c r="D19" s="56">
        <v>2.8448355135048669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6.2873932146726759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29.721241430461131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0.23973340000000001</v>
      </c>
      <c r="C23" s="98">
        <v>0.95</v>
      </c>
      <c r="D23" s="56">
        <v>5.6963080880733798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0.26501636123150002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0.59326290000000004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25.150709521879179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0.61857830000000003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0.21329680000000001</v>
      </c>
      <c r="C29" s="98">
        <v>0.95</v>
      </c>
      <c r="D29" s="56">
        <v>70.723861239789485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3.5299999999999998E-2</v>
      </c>
      <c r="C31" s="98">
        <v>0.95</v>
      </c>
      <c r="D31" s="56">
        <v>0.94236644609543263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0.93</v>
      </c>
      <c r="C32" s="98">
        <v>0.95</v>
      </c>
      <c r="D32" s="56">
        <v>0.67793297191267776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0.74585590000000002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0.42059249999999998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8.6999999999999994E-2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0.33884219999999998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8.4313400000000011E-2</v>
      </c>
      <c r="C38" s="98">
        <v>0.95</v>
      </c>
      <c r="D38" s="56">
        <v>4.2635792257266498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205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0.02</v>
      </c>
      <c r="E2" s="60">
        <f>food_insecure</f>
        <v>0.02</v>
      </c>
      <c r="F2" s="60">
        <f>food_insecure</f>
        <v>0.02</v>
      </c>
      <c r="G2" s="60">
        <f>food_insecure</f>
        <v>0.02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0.02</v>
      </c>
      <c r="I15" s="60">
        <f>food_insecure</f>
        <v>0.02</v>
      </c>
      <c r="J15" s="60">
        <f>food_insecure</f>
        <v>0.02</v>
      </c>
      <c r="K15" s="60">
        <f>food_insecure</f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0.23780000000000001</v>
      </c>
      <c r="D34" s="60">
        <f t="shared" si="3"/>
        <v>0.23780000000000001</v>
      </c>
      <c r="E34" s="60">
        <f t="shared" si="3"/>
        <v>0.23780000000000001</v>
      </c>
      <c r="F34" s="60">
        <f t="shared" si="3"/>
        <v>0.23780000000000001</v>
      </c>
      <c r="G34" s="60">
        <f t="shared" si="3"/>
        <v>0.23780000000000001</v>
      </c>
      <c r="H34" s="60">
        <f t="shared" si="3"/>
        <v>0.23780000000000001</v>
      </c>
      <c r="I34" s="60">
        <f t="shared" si="3"/>
        <v>0.23780000000000001</v>
      </c>
      <c r="J34" s="60">
        <f t="shared" si="3"/>
        <v>0.23780000000000001</v>
      </c>
      <c r="K34" s="60">
        <f t="shared" si="3"/>
        <v>0.23780000000000001</v>
      </c>
      <c r="L34" s="60">
        <f t="shared" si="3"/>
        <v>0.23780000000000001</v>
      </c>
      <c r="M34" s="60">
        <f t="shared" si="3"/>
        <v>0.23780000000000001</v>
      </c>
      <c r="N34" s="60">
        <f t="shared" si="3"/>
        <v>0.23780000000000001</v>
      </c>
      <c r="O34" s="60">
        <f t="shared" si="3"/>
        <v>0.23780000000000001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0.10967733192960594</v>
      </c>
      <c r="G18" s="90">
        <f>MIN(MAX(1-0.89/(1-frac_sam_12_23months+(frac_sam_12_23months*0.89)),0),1)</f>
        <v>0.10784669074339848</v>
      </c>
      <c r="H18" s="90">
        <f>MIN(MAX(1-0.89/(1-frac_sam_24_59months+(frac_sam_24_59months*0.89)),0),1)</f>
        <v>0.10919483773684191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0.10466290632867037</v>
      </c>
      <c r="G20" s="90">
        <f>MIN(MAX(1-0.89/(1-frac_mam_12_23months+(frac_mam_12_23months*0.89)),0),1)</f>
        <v>0.10422662324047249</v>
      </c>
      <c r="H20" s="90">
        <f>MIN(MAX(1-0.89/(1-frac_mam_24_59months+(frac_mam_24_59months*0.89)),0),1)</f>
        <v>0.10538081185121206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9.9673813953148338E-3</v>
      </c>
      <c r="G73" s="90">
        <f>MIN(MAX(1-0.99/(1-frac_sam_12_23months+(frac_sam_12_23months*0.99)),0),1)</f>
        <v>9.7827275162889471E-3</v>
      </c>
      <c r="H73" s="90">
        <f>MIN(MAX(1-0.99/(1-frac_sam_24_59months+(frac_sam_24_59months*0.99)),0),1)</f>
        <v>9.9186460052236303E-3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9.4632201947293382E-3</v>
      </c>
      <c r="G75" s="90">
        <f>MIN(MAX(1-0.99/(1-frac_mam_12_23months+(frac_mam_12_23months*0.99)),0),1)</f>
        <v>9.4195981403619733E-3</v>
      </c>
      <c r="H75" s="90">
        <f>MIN(MAX(1-0.99/(1-frac_mam_24_59months+(frac_mam_24_59months*0.99)),0),1)</f>
        <v>9.5350846829344027E-3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0.19947250040941977</v>
      </c>
      <c r="G128" s="90">
        <f>MIN(MAX(1-0.8/(1-frac_sam_12_23months+(frac_sam_12_23months*0.8)),0),1)</f>
        <v>0.19647382179006712</v>
      </c>
      <c r="H128" s="90">
        <f>MIN(MAX(1-0.8/(1-frac_sam_24_59months+(frac_sam_24_59months*0.8)),0),1)</f>
        <v>0.19868313188527764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0.19123446978100156</v>
      </c>
      <c r="G130" s="90">
        <f>MIN(MAX(1-0.8/(1-frac_mam_12_23months+(frac_mam_12_23months*0.8)),0),1)</f>
        <v>0.19051410428999394</v>
      </c>
      <c r="H130" s="90">
        <f>MIN(MAX(1-0.8/(1-frac_mam_24_59months+(frac_mam_24_59months*0.8)),0),1)</f>
        <v>0.19241857090834469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2024-08-06T06:31:59Z</dcterms:modified>
</cp:coreProperties>
</file>