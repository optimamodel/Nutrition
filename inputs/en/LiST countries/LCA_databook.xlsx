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13_ncr:1_{7741435C-1B51-41EA-AD97-2A8B12774F8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4" i="2" l="1"/>
  <c r="A22" i="2"/>
  <c r="A30" i="2"/>
  <c r="A38" i="2"/>
  <c r="A40" i="2"/>
  <c r="A16" i="2"/>
  <c r="A24" i="2"/>
  <c r="A32" i="2"/>
  <c r="A15" i="2"/>
  <c r="A31" i="2"/>
  <c r="A17" i="2"/>
  <c r="A23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2A799D50-DE3A-4D79-95F8-D0797C302C19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EC61FE56-6FC2-489E-9F76-8D6637AF419E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C9F0438E-E5DD-43E4-A81C-951C7B196FC4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4F20355B-20A0-4465-AF5B-BC875F07757F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E41DA200-40D7-4ECC-9814-456DA0B6245A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<sst xmlns="http://schemas.openxmlformats.org/spreadsheetml/2006/main" count="2094" uniqueCount="341">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</sst>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2" zoomScaleNormal="100" workbookViewId="0">
      <selection activeCell="C48" sqref="C4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10103.413024902349</v>
      </c>
    </row>
    <row r="8" spans="1:3" ht="15" customHeight="1" x14ac:dyDescent="0.25">
      <c r="B8" s="5" t="s">
        <v>8</v>
      </c>
      <c r="C8" s="44">
        <v>4.7E-2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0.81211067199706999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0.14169999999999999</v>
      </c>
    </row>
    <row r="24" spans="1:3" ht="15" customHeight="1" x14ac:dyDescent="0.25">
      <c r="B24" s="15" t="s">
        <v>22</v>
      </c>
      <c r="C24" s="45">
        <v>0.49370000000000003</v>
      </c>
    </row>
    <row r="25" spans="1:3" ht="15" customHeight="1" x14ac:dyDescent="0.25">
      <c r="B25" s="15" t="s">
        <v>23</v>
      </c>
      <c r="C25" s="45">
        <v>0.31890000000000002</v>
      </c>
    </row>
    <row r="26" spans="1:3" ht="15" customHeight="1" x14ac:dyDescent="0.25">
      <c r="B26" s="15" t="s">
        <v>24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13.01304</v>
      </c>
    </row>
    <row r="38" spans="1:5" ht="15" customHeight="1" x14ac:dyDescent="0.25">
      <c r="B38" s="11" t="s">
        <v>34</v>
      </c>
      <c r="C38" s="43">
        <v>22.43721</v>
      </c>
      <c r="D38" s="12"/>
      <c r="E38" s="13"/>
    </row>
    <row r="39" spans="1:5" ht="15" customHeight="1" x14ac:dyDescent="0.25">
      <c r="B39" s="11" t="s">
        <v>35</v>
      </c>
      <c r="C39" s="43">
        <v>24.820640000000001</v>
      </c>
      <c r="D39" s="12"/>
      <c r="E39" s="12"/>
    </row>
    <row r="40" spans="1:5" ht="15" customHeight="1" x14ac:dyDescent="0.25">
      <c r="B40" s="11" t="s">
        <v>36</v>
      </c>
      <c r="C40" s="100">
        <v>0.73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1.9</v>
      </c>
      <c r="D51" s="12"/>
    </row>
    <row r="52" spans="1:4" ht="15" customHeight="1" x14ac:dyDescent="0.25">
      <c r="B52" s="11" t="s">
        <v>46</v>
      </c>
      <c r="C52" s="100">
        <v>1.9</v>
      </c>
    </row>
    <row r="53" spans="1:4" ht="15.75" customHeight="1" x14ac:dyDescent="0.25">
      <c r="B53" s="11" t="s">
        <v>47</v>
      </c>
      <c r="C53" s="100">
        <v>1.9</v>
      </c>
    </row>
    <row r="54" spans="1:4" ht="15.75" customHeight="1" x14ac:dyDescent="0.25">
      <c r="B54" s="11" t="s">
        <v>48</v>
      </c>
      <c r="C54" s="100">
        <v>1.9</v>
      </c>
    </row>
    <row r="55" spans="1:4" ht="15.75" customHeight="1" x14ac:dyDescent="0.25">
      <c r="B55" s="11" t="s">
        <v>49</v>
      </c>
      <c r="C55" s="100">
        <v>1.9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0.02</v>
      </c>
    </row>
    <row r="59" spans="1:4" ht="15.75" customHeight="1" x14ac:dyDescent="0.25">
      <c r="B59" s="11" t="s">
        <v>52</v>
      </c>
      <c r="C59" s="45">
        <v>0.54077500000000001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1994</v>
      </c>
      <c r="C2" s="49">
        <v>7175.5</v>
      </c>
      <c r="D2" s="49">
        <v>14566</v>
      </c>
      <c r="E2" s="49">
        <v>15133</v>
      </c>
      <c r="F2" s="49">
        <v>11622.5</v>
      </c>
      <c r="G2" s="17">
        <f t="shared" ref="G2:G13" si="0">C2+D2+E2+F2</f>
        <v>48497</v>
      </c>
      <c r="H2" s="17">
        <f t="shared" ref="H2:H13" si="1">(B2 + stillbirth*B2/(1000-stillbirth))/(1-abortion)</f>
        <v>2291.6320881910133</v>
      </c>
      <c r="I2" s="17">
        <f t="shared" ref="I2:I13" si="2">G2-H2</f>
        <v>46205.367911808986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1976</v>
      </c>
      <c r="C3" s="50">
        <v>6966.5</v>
      </c>
      <c r="D3" s="50">
        <v>14172.5</v>
      </c>
      <c r="E3" s="50">
        <v>15313.5</v>
      </c>
      <c r="F3" s="50">
        <v>11778</v>
      </c>
      <c r="G3" s="17">
        <f t="shared" si="0"/>
        <v>48230.5</v>
      </c>
      <c r="H3" s="17">
        <f t="shared" si="1"/>
        <v>2270.9453391501715</v>
      </c>
      <c r="I3" s="17">
        <f t="shared" si="2"/>
        <v>45959.554660849826</v>
      </c>
    </row>
    <row r="4" spans="1:9" ht="15.75" customHeight="1" x14ac:dyDescent="0.25">
      <c r="A4" s="5">
        <f t="shared" si="3"/>
        <v>2026</v>
      </c>
      <c r="B4" s="49">
        <v>1969</v>
      </c>
      <c r="C4" s="50">
        <v>6793.5000000000009</v>
      </c>
      <c r="D4" s="50">
        <v>13764</v>
      </c>
      <c r="E4" s="50">
        <v>15468</v>
      </c>
      <c r="F4" s="50">
        <v>11953</v>
      </c>
      <c r="G4" s="17">
        <f t="shared" si="0"/>
        <v>47978.5</v>
      </c>
      <c r="H4" s="17">
        <f t="shared" si="1"/>
        <v>2262.9004923009552</v>
      </c>
      <c r="I4" s="17">
        <f t="shared" si="2"/>
        <v>45715.599507699044</v>
      </c>
    </row>
    <row r="5" spans="1:9" ht="15.75" customHeight="1" x14ac:dyDescent="0.25">
      <c r="A5" s="5">
        <f t="shared" si="3"/>
        <v>2027</v>
      </c>
      <c r="B5" s="49">
        <v>1944</v>
      </c>
      <c r="C5" s="50">
        <v>6652.5</v>
      </c>
      <c r="D5" s="50">
        <v>13389.5</v>
      </c>
      <c r="E5" s="50">
        <v>15558</v>
      </c>
      <c r="F5" s="50">
        <v>12137.5</v>
      </c>
      <c r="G5" s="17">
        <f t="shared" si="0"/>
        <v>47737.5</v>
      </c>
      <c r="H5" s="17">
        <f t="shared" si="1"/>
        <v>2234.1688964108971</v>
      </c>
      <c r="I5" s="17">
        <f t="shared" si="2"/>
        <v>45503.331103589102</v>
      </c>
    </row>
    <row r="6" spans="1:9" ht="15.75" customHeight="1" x14ac:dyDescent="0.25">
      <c r="A6" s="5">
        <f t="shared" si="3"/>
        <v>2028</v>
      </c>
      <c r="B6" s="49">
        <v>1921</v>
      </c>
      <c r="C6" s="50">
        <v>6518.4999999999991</v>
      </c>
      <c r="D6" s="50">
        <v>13080.5</v>
      </c>
      <c r="E6" s="50">
        <v>15570</v>
      </c>
      <c r="F6" s="50">
        <v>12319</v>
      </c>
      <c r="G6" s="17">
        <f t="shared" si="0"/>
        <v>47488</v>
      </c>
      <c r="H6" s="17">
        <f t="shared" si="1"/>
        <v>2207.7358281920442</v>
      </c>
      <c r="I6" s="17">
        <f t="shared" si="2"/>
        <v>45280.264171807954</v>
      </c>
    </row>
    <row r="7" spans="1:9" ht="15.75" customHeight="1" x14ac:dyDescent="0.25">
      <c r="A7" s="5">
        <f t="shared" si="3"/>
        <v>2029</v>
      </c>
      <c r="B7" s="49">
        <v>1900</v>
      </c>
      <c r="C7" s="50">
        <v>6359</v>
      </c>
      <c r="D7" s="50">
        <v>12814</v>
      </c>
      <c r="E7" s="50">
        <v>15548.5</v>
      </c>
      <c r="F7" s="50">
        <v>12504.5</v>
      </c>
      <c r="G7" s="17">
        <f t="shared" si="0"/>
        <v>47226</v>
      </c>
      <c r="H7" s="17">
        <f t="shared" si="1"/>
        <v>2183.6012876443956</v>
      </c>
      <c r="I7" s="17">
        <f t="shared" si="2"/>
        <v>45042.398712355607</v>
      </c>
    </row>
    <row r="8" spans="1:9" ht="15.75" customHeight="1" x14ac:dyDescent="0.25">
      <c r="A8" s="5">
        <f t="shared" si="3"/>
        <v>2030</v>
      </c>
      <c r="B8" s="49">
        <v>1875</v>
      </c>
      <c r="C8" s="50">
        <v>6269</v>
      </c>
      <c r="D8" s="50">
        <v>12469.5</v>
      </c>
      <c r="E8" s="50">
        <v>15509</v>
      </c>
      <c r="F8" s="50">
        <v>12685.5</v>
      </c>
      <c r="G8" s="17">
        <f t="shared" si="0"/>
        <v>46933</v>
      </c>
      <c r="H8" s="17">
        <f t="shared" si="1"/>
        <v>2154.8696917543375</v>
      </c>
      <c r="I8" s="17">
        <f t="shared" si="2"/>
        <v>44778.130308245665</v>
      </c>
    </row>
    <row r="9" spans="1:9" ht="15.75" customHeight="1" x14ac:dyDescent="0.25">
      <c r="A9" s="5">
        <f t="shared" si="3"/>
        <v>2031</v>
      </c>
      <c r="B9" s="49">
        <v>1846</v>
      </c>
      <c r="C9" s="50">
        <v>6269</v>
      </c>
      <c r="D9" s="50">
        <v>12081</v>
      </c>
      <c r="E9" s="50">
        <v>15386.5</v>
      </c>
      <c r="F9" s="50">
        <v>12856.5</v>
      </c>
      <c r="G9" s="17">
        <f t="shared" si="0"/>
        <v>46593</v>
      </c>
      <c r="H9" s="17">
        <f t="shared" si="1"/>
        <v>2121.5410405218704</v>
      </c>
      <c r="I9" s="17">
        <f t="shared" si="2"/>
        <v>44471.458959478128</v>
      </c>
    </row>
    <row r="10" spans="1:9" ht="15.75" customHeight="1" x14ac:dyDescent="0.25">
      <c r="A10" s="5">
        <f t="shared" si="3"/>
        <v>2032</v>
      </c>
      <c r="B10" s="49">
        <v>1815</v>
      </c>
      <c r="C10" s="50">
        <v>6262</v>
      </c>
      <c r="D10" s="50">
        <v>11778</v>
      </c>
      <c r="E10" s="50">
        <v>15150.5</v>
      </c>
      <c r="F10" s="50">
        <v>13027</v>
      </c>
      <c r="G10" s="17">
        <f t="shared" si="0"/>
        <v>46217.5</v>
      </c>
      <c r="H10" s="17">
        <f t="shared" si="1"/>
        <v>2085.9138616181986</v>
      </c>
      <c r="I10" s="17">
        <f t="shared" si="2"/>
        <v>44131.586138381805</v>
      </c>
    </row>
    <row r="11" spans="1:9" ht="15.75" customHeight="1" x14ac:dyDescent="0.25">
      <c r="A11" s="5">
        <f t="shared" si="3"/>
        <v>2033</v>
      </c>
      <c r="B11" s="49">
        <v>1795</v>
      </c>
      <c r="C11" s="50">
        <v>6246</v>
      </c>
      <c r="D11" s="50">
        <v>11537</v>
      </c>
      <c r="E11" s="50">
        <v>14837</v>
      </c>
      <c r="F11" s="50">
        <v>13190.5</v>
      </c>
      <c r="G11" s="17">
        <f t="shared" si="0"/>
        <v>45810.5</v>
      </c>
      <c r="H11" s="17">
        <f t="shared" si="1"/>
        <v>2062.9285849061525</v>
      </c>
      <c r="I11" s="17">
        <f t="shared" si="2"/>
        <v>43747.571415093844</v>
      </c>
    </row>
    <row r="12" spans="1:9" ht="15.75" customHeight="1" x14ac:dyDescent="0.25">
      <c r="A12" s="5">
        <f t="shared" si="3"/>
        <v>2034</v>
      </c>
      <c r="B12" s="49">
        <v>1763</v>
      </c>
      <c r="C12" s="50">
        <v>6220</v>
      </c>
      <c r="D12" s="50">
        <v>11318</v>
      </c>
      <c r="E12" s="50">
        <v>14481.5</v>
      </c>
      <c r="F12" s="50">
        <v>13347.5</v>
      </c>
      <c r="G12" s="17">
        <f t="shared" si="0"/>
        <v>45367</v>
      </c>
      <c r="H12" s="17">
        <f t="shared" si="1"/>
        <v>2026.1521421668785</v>
      </c>
      <c r="I12" s="17">
        <f t="shared" si="2"/>
        <v>43340.84785783312</v>
      </c>
    </row>
    <row r="13" spans="1:9" ht="15.75" customHeight="1" x14ac:dyDescent="0.25">
      <c r="A13" s="5">
        <f t="shared" si="3"/>
        <v>2035</v>
      </c>
      <c r="B13" s="49">
        <v>1741</v>
      </c>
      <c r="C13" s="50">
        <v>6181.0000000000009</v>
      </c>
      <c r="D13" s="50">
        <v>11114.5</v>
      </c>
      <c r="E13" s="50">
        <v>14092.5</v>
      </c>
      <c r="F13" s="50">
        <v>13509.5</v>
      </c>
      <c r="G13" s="17">
        <f t="shared" si="0"/>
        <v>44897.5</v>
      </c>
      <c r="H13" s="17">
        <f t="shared" si="1"/>
        <v>2000.8683377836276</v>
      </c>
      <c r="I13" s="17">
        <f t="shared" si="2"/>
        <v>42896.631662216372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4.3137200000000028E-2</v>
      </c>
    </row>
    <row r="5" spans="1:8" ht="15.75" customHeight="1" x14ac:dyDescent="0.25">
      <c r="B5" s="19" t="s">
        <v>70</v>
      </c>
      <c r="C5" s="101">
        <v>3.935220000000008E-2</v>
      </c>
    </row>
    <row r="6" spans="1:8" ht="15.75" customHeight="1" x14ac:dyDescent="0.25">
      <c r="B6" s="19" t="s">
        <v>71</v>
      </c>
      <c r="C6" s="101">
        <v>0.10518480000000011</v>
      </c>
    </row>
    <row r="7" spans="1:8" ht="15.75" customHeight="1" x14ac:dyDescent="0.25">
      <c r="B7" s="19" t="s">
        <v>72</v>
      </c>
      <c r="C7" s="101">
        <v>0.45285349999999969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0.17140770000000019</v>
      </c>
    </row>
    <row r="10" spans="1:8" ht="15.75" customHeight="1" x14ac:dyDescent="0.25">
      <c r="B10" s="19" t="s">
        <v>75</v>
      </c>
      <c r="C10" s="101">
        <v>0.18806460000000019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0.51381300585893785</v>
      </c>
      <c r="D15" s="101">
        <v>0.51381300585893785</v>
      </c>
      <c r="E15" s="101">
        <v>0.51381300585893785</v>
      </c>
      <c r="F15" s="101">
        <v>0.51381300585893785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0.28053606855628938</v>
      </c>
      <c r="D21" s="101">
        <v>0.28053606855628938</v>
      </c>
      <c r="E21" s="101">
        <v>0.28053606855628938</v>
      </c>
      <c r="F21" s="101">
        <v>0.28053606855628938</v>
      </c>
    </row>
    <row r="22" spans="1:8" ht="15.75" customHeight="1" x14ac:dyDescent="0.25">
      <c r="B22" s="19" t="s">
        <v>89</v>
      </c>
      <c r="C22" s="101">
        <v>0.2056509255847726</v>
      </c>
      <c r="D22" s="101">
        <v>0.2056509255847726</v>
      </c>
      <c r="E22" s="101">
        <v>0.2056509255847726</v>
      </c>
      <c r="F22" s="101">
        <v>0.2056509255847726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4.5480066999999999E-2</v>
      </c>
    </row>
    <row r="27" spans="1:8" ht="15.75" customHeight="1" x14ac:dyDescent="0.25">
      <c r="B27" s="19" t="s">
        <v>92</v>
      </c>
      <c r="C27" s="101">
        <v>0.14298022799999999</v>
      </c>
    </row>
    <row r="28" spans="1:8" ht="15.75" customHeight="1" x14ac:dyDescent="0.25">
      <c r="B28" s="19" t="s">
        <v>93</v>
      </c>
      <c r="C28" s="101">
        <v>9.6627131000000019E-2</v>
      </c>
    </row>
    <row r="29" spans="1:8" ht="15.75" customHeight="1" x14ac:dyDescent="0.25">
      <c r="B29" s="19" t="s">
        <v>94</v>
      </c>
      <c r="C29" s="101">
        <v>0.16091661700000001</v>
      </c>
    </row>
    <row r="30" spans="1:8" ht="15.75" customHeight="1" x14ac:dyDescent="0.25">
      <c r="B30" s="19" t="s">
        <v>95</v>
      </c>
      <c r="C30" s="101">
        <v>3.5424285E-2</v>
      </c>
    </row>
    <row r="31" spans="1:8" ht="15.75" customHeight="1" x14ac:dyDescent="0.25">
      <c r="B31" s="19" t="s">
        <v>96</v>
      </c>
      <c r="C31" s="101">
        <v>0.141582982</v>
      </c>
    </row>
    <row r="32" spans="1:8" ht="15.75" customHeight="1" x14ac:dyDescent="0.25">
      <c r="B32" s="19" t="s">
        <v>97</v>
      </c>
      <c r="C32" s="101">
        <v>7.2277499999999981E-2</v>
      </c>
    </row>
    <row r="33" spans="2:3" ht="15.75" customHeight="1" x14ac:dyDescent="0.25">
      <c r="B33" s="19" t="s">
        <v>98</v>
      </c>
      <c r="C33" s="101">
        <v>0.14607978499999999</v>
      </c>
    </row>
    <row r="34" spans="2:3" ht="15.75" customHeight="1" x14ac:dyDescent="0.25">
      <c r="B34" s="19" t="s">
        <v>99</v>
      </c>
      <c r="C34" s="101">
        <v>0.158631406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10" sqref="C10:G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122</v>
      </c>
      <c r="C5" s="52">
        <v>0</v>
      </c>
      <c r="D5" s="52">
        <v>0.12241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91.330267740197584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0.2395468390462</v>
      </c>
      <c r="C3" s="98">
        <v>0.95</v>
      </c>
      <c r="D3" s="56">
        <v>40.626528785920193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936.48215246114307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2.960998159368637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13.758828229716091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13.758828229716091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13.758828229716091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13.758828229716091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13.758828229716091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13.758828229716091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1.465594029611444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0.38806249999999998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0.12592909999999999</v>
      </c>
      <c r="C18" s="98">
        <v>0.95</v>
      </c>
      <c r="D18" s="56">
        <v>21.432133639931681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0.83357990000000004</v>
      </c>
      <c r="C19" s="98">
        <v>0.95</v>
      </c>
      <c r="D19" s="56">
        <v>21.432133639931681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0.96712320000000007</v>
      </c>
      <c r="C21" s="98">
        <v>0.95</v>
      </c>
      <c r="D21" s="56">
        <v>27.58396231596782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24.134826347321969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4.7459931534262978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0.95424920000000002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19.155143804923071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0.74832009999999993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189.65223389589579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0.76529144671086591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3.2236445106369032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3.73761277259677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</v>
      </c>
      <c r="C2" s="21">
        <f>'Baseline year population inputs'!C52</f>
        <v>1.9</v>
      </c>
      <c r="D2" s="21">
        <f>'Baseline year population inputs'!C53</f>
        <v>1.9</v>
      </c>
      <c r="E2" s="21">
        <f>'Baseline year population inputs'!C54</f>
        <v>1.9</v>
      </c>
      <c r="F2" s="21">
        <f>'Baseline year population inputs'!C55</f>
        <v>1.9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4.7E-2</v>
      </c>
      <c r="E2" s="60">
        <f>food_insecure</f>
        <v>4.7E-2</v>
      </c>
      <c r="F2" s="60">
        <f>food_insecure</f>
        <v>4.7E-2</v>
      </c>
      <c r="G2" s="60">
        <f>food_insecure</f>
        <v>4.7E-2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4.7E-2</v>
      </c>
      <c r="F5" s="60">
        <f>food_insecure</f>
        <v>4.7E-2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3.7999999999999999E-2</v>
      </c>
      <c r="D7" s="60">
        <f>diarrhoea_1_5mo*frac_diarrhea_severe</f>
        <v>3.7999999999999999E-2</v>
      </c>
      <c r="E7" s="60">
        <f>diarrhoea_6_11mo*frac_diarrhea_severe</f>
        <v>3.7999999999999999E-2</v>
      </c>
      <c r="F7" s="60">
        <f>diarrhoea_12_23mo*frac_diarrhea_severe</f>
        <v>3.7999999999999999E-2</v>
      </c>
      <c r="G7" s="60">
        <f>diarrhoea_24_59mo*frac_diarrhea_severe</f>
        <v>3.7999999999999999E-2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4.7E-2</v>
      </c>
      <c r="F8" s="60">
        <f>food_insecure</f>
        <v>4.7E-2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4.7E-2</v>
      </c>
      <c r="F9" s="60">
        <f>food_insecure</f>
        <v>4.7E-2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3.7999999999999999E-2</v>
      </c>
      <c r="D12" s="60">
        <f>diarrhoea_1_5mo*frac_diarrhea_severe</f>
        <v>3.7999999999999999E-2</v>
      </c>
      <c r="E12" s="60">
        <f>diarrhoea_6_11mo*frac_diarrhea_severe</f>
        <v>3.7999999999999999E-2</v>
      </c>
      <c r="F12" s="60">
        <f>diarrhoea_12_23mo*frac_diarrhea_severe</f>
        <v>3.7999999999999999E-2</v>
      </c>
      <c r="G12" s="60">
        <f>diarrhoea_24_59mo*frac_diarrhea_severe</f>
        <v>3.7999999999999999E-2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4.7E-2</v>
      </c>
      <c r="I15" s="60">
        <f>food_insecure</f>
        <v>4.7E-2</v>
      </c>
      <c r="J15" s="60">
        <f>food_insecure</f>
        <v>4.7E-2</v>
      </c>
      <c r="K15" s="60">
        <f>food_insecure</f>
        <v>4.7E-2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9.3920238388824628E-2</v>
      </c>
      <c r="M25" s="60">
        <f>(1-food_insecure)*(0.49)+food_insecure*(0.7)</f>
        <v>0.49986999999999998</v>
      </c>
      <c r="N25" s="60">
        <f>(1-food_insecure)*(0.49)+food_insecure*(0.7)</f>
        <v>0.49986999999999998</v>
      </c>
      <c r="O25" s="60">
        <f>(1-food_insecure)*(0.49)+food_insecure*(0.7)</f>
        <v>0.49986999999999998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4.0251530738067691E-2</v>
      </c>
      <c r="M26" s="60">
        <f>(1-food_insecure)*(0.21)+food_insecure*(0.3)</f>
        <v>0.21422999999999998</v>
      </c>
      <c r="N26" s="60">
        <f>(1-food_insecure)*(0.21)+food_insecure*(0.3)</f>
        <v>0.21422999999999998</v>
      </c>
      <c r="O26" s="60">
        <f>(1-food_insecure)*(0.21)+food_insecure*(0.3)</f>
        <v>0.21422999999999998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5.3717558876037685E-2</v>
      </c>
      <c r="M27" s="60">
        <f>(1-food_insecure)*(0.3)</f>
        <v>0.28589999999999999</v>
      </c>
      <c r="N27" s="60">
        <f>(1-food_insecure)*(0.3)</f>
        <v>0.28589999999999999</v>
      </c>
      <c r="O27" s="60">
        <f>(1-food_insecure)*(0.3)</f>
        <v>0.28589999999999999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0.81211067199706999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596B99-C3ED-4CF1-BEE7-3D49E85EC973}"/>
</file>

<file path=customXml/itemProps2.xml><?xml version="1.0" encoding="utf-8"?>
<ds:datastoreItem xmlns:ds="http://schemas.openxmlformats.org/officeDocument/2006/customXml" ds:itemID="{CD7D31DB-603B-4A47-BFA5-A805C58F873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2024-04-11T00:49:46Z</dcterms:modified>
</cp:coreProperties>
</file>