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A3A4A74-61C3-467D-BF17-CD03B981F771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4" i="2" l="1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<sst xmlns="http://schemas.openxmlformats.org/spreadsheetml/2006/main" count="2101" uniqueCount="341">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</sst>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1164746.3046875</v>
      </c>
    </row>
    <row r="8" spans="1:3" ht="15" customHeight="1" x14ac:dyDescent="0.25">
      <c r="B8" s="5" t="s">
        <v>8</v>
      </c>
      <c r="C8" s="44">
        <v>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0.65108238220214798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3.9300000000000002E-2</v>
      </c>
    </row>
    <row r="24" spans="1:3" ht="15" customHeight="1" x14ac:dyDescent="0.25">
      <c r="B24" s="15" t="s">
        <v>22</v>
      </c>
      <c r="C24" s="45">
        <v>0.49590000000000001</v>
      </c>
    </row>
    <row r="25" spans="1:3" ht="15" customHeight="1" x14ac:dyDescent="0.25">
      <c r="B25" s="15" t="s">
        <v>23</v>
      </c>
      <c r="C25" s="45">
        <v>0.42020000000000002</v>
      </c>
    </row>
    <row r="26" spans="1:3" ht="15" customHeight="1" x14ac:dyDescent="0.25">
      <c r="B26" s="15" t="s">
        <v>24</v>
      </c>
      <c r="C26" s="45">
        <v>4.4600000000000001E-2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0.259769272097435</v>
      </c>
    </row>
    <row r="30" spans="1:3" ht="14.25" customHeight="1" x14ac:dyDescent="0.25">
      <c r="B30" s="25" t="s">
        <v>27</v>
      </c>
      <c r="C30" s="99">
        <v>0.11570907979532</v>
      </c>
    </row>
    <row r="31" spans="1:3" ht="14.25" customHeight="1" x14ac:dyDescent="0.25">
      <c r="B31" s="25" t="s">
        <v>28</v>
      </c>
      <c r="C31" s="99">
        <v>9.89832068757453E-2</v>
      </c>
    </row>
    <row r="32" spans="1:3" ht="14.25" customHeight="1" x14ac:dyDescent="0.25">
      <c r="B32" s="25" t="s">
        <v>29</v>
      </c>
      <c r="C32" s="99">
        <v>0.52553844123149995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8.5367899999999999</v>
      </c>
    </row>
    <row r="38" spans="1:5" ht="15" customHeight="1" x14ac:dyDescent="0.25">
      <c r="B38" s="11" t="s">
        <v>34</v>
      </c>
      <c r="C38" s="43">
        <v>12.564450000000001</v>
      </c>
      <c r="D38" s="12"/>
      <c r="E38" s="13"/>
    </row>
    <row r="39" spans="1:5" ht="15" customHeight="1" x14ac:dyDescent="0.25">
      <c r="B39" s="11" t="s">
        <v>35</v>
      </c>
      <c r="C39" s="43">
        <v>14.59897</v>
      </c>
      <c r="D39" s="12"/>
      <c r="E39" s="12"/>
    </row>
    <row r="40" spans="1:5" ht="15" customHeight="1" x14ac:dyDescent="0.25">
      <c r="B40" s="11" t="s">
        <v>36</v>
      </c>
      <c r="C40" s="100">
        <v>0.41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8.9987999999999992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7.3870999999999997E-3</v>
      </c>
      <c r="D45" s="12"/>
    </row>
    <row r="46" spans="1:5" ht="15.75" customHeight="1" x14ac:dyDescent="0.25">
      <c r="B46" s="11" t="s">
        <v>41</v>
      </c>
      <c r="C46" s="45">
        <v>7.93735E-2</v>
      </c>
      <c r="D46" s="12"/>
    </row>
    <row r="47" spans="1:5" ht="15.75" customHeight="1" x14ac:dyDescent="0.25">
      <c r="B47" s="11" t="s">
        <v>42</v>
      </c>
      <c r="C47" s="45">
        <v>7.3975899999999997E-2</v>
      </c>
      <c r="D47" s="12"/>
      <c r="E47" s="13"/>
    </row>
    <row r="48" spans="1:5" ht="15" customHeight="1" x14ac:dyDescent="0.25">
      <c r="B48" s="11" t="s">
        <v>43</v>
      </c>
      <c r="C48" s="46">
        <v>0.83926349999999994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0.60336800000000002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0.13782713999999999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240649</v>
      </c>
      <c r="C2" s="49">
        <v>679306.49999999988</v>
      </c>
      <c r="D2" s="49">
        <v>951608.5</v>
      </c>
      <c r="E2" s="49">
        <v>797901</v>
      </c>
      <c r="F2" s="49">
        <v>547213.5</v>
      </c>
      <c r="G2" s="17">
        <f t="shared" ref="G2:G13" si="0">C2+D2+E2+F2</f>
        <v>2976029.5</v>
      </c>
      <c r="H2" s="17">
        <f t="shared" ref="H2:H13" si="1">(B2 + stillbirth*B2/(1000-stillbirth))/(1-abortion)</f>
        <v>275947.97334985336</v>
      </c>
      <c r="I2" s="17">
        <f t="shared" ref="I2:I13" si="2">G2-H2</f>
        <v>2700081.5266501466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238928</v>
      </c>
      <c r="C3" s="50">
        <v>686095.00000000012</v>
      </c>
      <c r="D3" s="50">
        <v>950437</v>
      </c>
      <c r="E3" s="50">
        <v>808551.5</v>
      </c>
      <c r="F3" s="50">
        <v>555412</v>
      </c>
      <c r="G3" s="17">
        <f t="shared" si="0"/>
        <v>3000495.5</v>
      </c>
      <c r="H3" s="17">
        <f t="shared" si="1"/>
        <v>273974.53293607605</v>
      </c>
      <c r="I3" s="17">
        <f t="shared" si="2"/>
        <v>2726520.9670639238</v>
      </c>
    </row>
    <row r="4" spans="1:9" ht="15.75" customHeight="1" x14ac:dyDescent="0.25">
      <c r="A4" s="5">
        <f t="shared" si="3"/>
        <v>2026</v>
      </c>
      <c r="B4" s="49">
        <v>237233</v>
      </c>
      <c r="C4" s="50">
        <v>688055.49999999988</v>
      </c>
      <c r="D4" s="50">
        <v>952215</v>
      </c>
      <c r="E4" s="50">
        <v>819695.5</v>
      </c>
      <c r="F4" s="50">
        <v>564534</v>
      </c>
      <c r="G4" s="17">
        <f t="shared" si="0"/>
        <v>3024500</v>
      </c>
      <c r="H4" s="17">
        <f t="shared" si="1"/>
        <v>272030.90626474976</v>
      </c>
      <c r="I4" s="17">
        <f t="shared" si="2"/>
        <v>2752469.0937352502</v>
      </c>
    </row>
    <row r="5" spans="1:9" ht="15.75" customHeight="1" x14ac:dyDescent="0.25">
      <c r="A5" s="5">
        <f t="shared" si="3"/>
        <v>2027</v>
      </c>
      <c r="B5" s="49">
        <v>236558</v>
      </c>
      <c r="C5" s="50">
        <v>683644</v>
      </c>
      <c r="D5" s="50">
        <v>961047.00000000012</v>
      </c>
      <c r="E5" s="50">
        <v>830106</v>
      </c>
      <c r="F5" s="50">
        <v>574448</v>
      </c>
      <c r="G5" s="17">
        <f t="shared" si="0"/>
        <v>3049245</v>
      </c>
      <c r="H5" s="17">
        <f t="shared" si="1"/>
        <v>271256.89564342512</v>
      </c>
      <c r="I5" s="17">
        <f t="shared" si="2"/>
        <v>2777988.1043565748</v>
      </c>
    </row>
    <row r="6" spans="1:9" ht="15.75" customHeight="1" x14ac:dyDescent="0.25">
      <c r="A6" s="5">
        <f t="shared" si="3"/>
        <v>2028</v>
      </c>
      <c r="B6" s="49">
        <v>235368</v>
      </c>
      <c r="C6" s="50">
        <v>675667</v>
      </c>
      <c r="D6" s="50">
        <v>976894.5</v>
      </c>
      <c r="E6" s="50">
        <v>838610</v>
      </c>
      <c r="F6" s="50">
        <v>584665.5</v>
      </c>
      <c r="G6" s="17">
        <f t="shared" si="0"/>
        <v>3075837</v>
      </c>
      <c r="H6" s="17">
        <f t="shared" si="1"/>
        <v>269892.3435850899</v>
      </c>
      <c r="I6" s="17">
        <f t="shared" si="2"/>
        <v>2805944.6564149102</v>
      </c>
    </row>
    <row r="7" spans="1:9" ht="15.75" customHeight="1" x14ac:dyDescent="0.25">
      <c r="A7" s="5">
        <f t="shared" si="3"/>
        <v>2029</v>
      </c>
      <c r="B7" s="49">
        <v>234379</v>
      </c>
      <c r="C7" s="50">
        <v>666779</v>
      </c>
      <c r="D7" s="50">
        <v>995451</v>
      </c>
      <c r="E7" s="50">
        <v>845529</v>
      </c>
      <c r="F7" s="50">
        <v>595286.5</v>
      </c>
      <c r="G7" s="17">
        <f t="shared" si="0"/>
        <v>3103045.5</v>
      </c>
      <c r="H7" s="17">
        <f t="shared" si="1"/>
        <v>268758.27468954906</v>
      </c>
      <c r="I7" s="17">
        <f t="shared" si="2"/>
        <v>2834287.2253104509</v>
      </c>
    </row>
    <row r="8" spans="1:9" ht="15.75" customHeight="1" x14ac:dyDescent="0.25">
      <c r="A8" s="5">
        <f t="shared" si="3"/>
        <v>2030</v>
      </c>
      <c r="B8" s="49">
        <v>233757</v>
      </c>
      <c r="C8" s="50">
        <v>654020.50000000012</v>
      </c>
      <c r="D8" s="50">
        <v>1014542.5</v>
      </c>
      <c r="E8" s="50">
        <v>853667</v>
      </c>
      <c r="F8" s="50">
        <v>605926.5</v>
      </c>
      <c r="G8" s="17">
        <f t="shared" si="0"/>
        <v>3128156.5</v>
      </c>
      <c r="H8" s="17">
        <f t="shared" si="1"/>
        <v>268045.03823552839</v>
      </c>
      <c r="I8" s="17">
        <f t="shared" si="2"/>
        <v>2860111.4617644716</v>
      </c>
    </row>
    <row r="9" spans="1:9" ht="15.75" customHeight="1" x14ac:dyDescent="0.25">
      <c r="A9" s="5">
        <f t="shared" si="3"/>
        <v>2031</v>
      </c>
      <c r="B9" s="49">
        <v>234204</v>
      </c>
      <c r="C9" s="50">
        <v>642186.99999999988</v>
      </c>
      <c r="D9" s="50">
        <v>1032232.5</v>
      </c>
      <c r="E9" s="50">
        <v>862297</v>
      </c>
      <c r="F9" s="50">
        <v>616712.5</v>
      </c>
      <c r="G9" s="17">
        <f t="shared" si="0"/>
        <v>3153429</v>
      </c>
      <c r="H9" s="17">
        <f t="shared" si="1"/>
        <v>268557.60526920558</v>
      </c>
      <c r="I9" s="17">
        <f t="shared" si="2"/>
        <v>2884871.3947307942</v>
      </c>
    </row>
    <row r="10" spans="1:9" ht="15.75" customHeight="1" x14ac:dyDescent="0.25">
      <c r="A10" s="5">
        <f t="shared" si="3"/>
        <v>2032</v>
      </c>
      <c r="B10" s="49">
        <v>234312</v>
      </c>
      <c r="C10" s="50">
        <v>634732</v>
      </c>
      <c r="D10" s="50">
        <v>1047673.5</v>
      </c>
      <c r="E10" s="50">
        <v>868908.00000000012</v>
      </c>
      <c r="F10" s="50">
        <v>628340.5</v>
      </c>
      <c r="G10" s="17">
        <f t="shared" si="0"/>
        <v>3179654</v>
      </c>
      <c r="H10" s="17">
        <f t="shared" si="1"/>
        <v>268681.44696861756</v>
      </c>
      <c r="I10" s="17">
        <f t="shared" si="2"/>
        <v>2910972.5530313826</v>
      </c>
    </row>
    <row r="11" spans="1:9" ht="15.75" customHeight="1" x14ac:dyDescent="0.25">
      <c r="A11" s="5">
        <f t="shared" si="3"/>
        <v>2033</v>
      </c>
      <c r="B11" s="49">
        <v>233299</v>
      </c>
      <c r="C11" s="50">
        <v>630192</v>
      </c>
      <c r="D11" s="50">
        <v>1058977</v>
      </c>
      <c r="E11" s="50">
        <v>876107</v>
      </c>
      <c r="F11" s="50">
        <v>641512.5</v>
      </c>
      <c r="G11" s="17">
        <f t="shared" si="0"/>
        <v>3206788.5</v>
      </c>
      <c r="H11" s="17">
        <f t="shared" si="1"/>
        <v>267519.85769542964</v>
      </c>
      <c r="I11" s="17">
        <f t="shared" si="2"/>
        <v>2939268.6423045704</v>
      </c>
    </row>
    <row r="12" spans="1:9" ht="15.75" customHeight="1" x14ac:dyDescent="0.25">
      <c r="A12" s="5">
        <f t="shared" si="3"/>
        <v>2034</v>
      </c>
      <c r="B12" s="49">
        <v>233866</v>
      </c>
      <c r="C12" s="50">
        <v>625752</v>
      </c>
      <c r="D12" s="50">
        <v>1068994.5</v>
      </c>
      <c r="E12" s="50">
        <v>884124</v>
      </c>
      <c r="F12" s="50">
        <v>656681.5</v>
      </c>
      <c r="G12" s="17">
        <f t="shared" si="0"/>
        <v>3235552</v>
      </c>
      <c r="H12" s="17">
        <f t="shared" si="1"/>
        <v>268170.02661734232</v>
      </c>
      <c r="I12" s="17">
        <f t="shared" si="2"/>
        <v>2967381.9733826579</v>
      </c>
    </row>
    <row r="13" spans="1:9" ht="15.75" customHeight="1" x14ac:dyDescent="0.25">
      <c r="A13" s="5">
        <f t="shared" si="3"/>
        <v>2035</v>
      </c>
      <c r="B13" s="49">
        <v>234573</v>
      </c>
      <c r="C13" s="50">
        <v>623224.49999999988</v>
      </c>
      <c r="D13" s="50">
        <v>1076718.5</v>
      </c>
      <c r="E13" s="50">
        <v>892856</v>
      </c>
      <c r="F13" s="50">
        <v>673273</v>
      </c>
      <c r="G13" s="17">
        <f t="shared" si="0"/>
        <v>3266072</v>
      </c>
      <c r="H13" s="17">
        <f t="shared" si="1"/>
        <v>268980.73107552977</v>
      </c>
      <c r="I13" s="17">
        <f t="shared" si="2"/>
        <v>2997091.2689244701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7.2734599999999927E-2</v>
      </c>
    </row>
    <row r="5" spans="1:8" ht="15.75" customHeight="1" x14ac:dyDescent="0.25">
      <c r="B5" s="19" t="s">
        <v>70</v>
      </c>
      <c r="C5" s="101">
        <v>2.9755600000000038E-2</v>
      </c>
    </row>
    <row r="6" spans="1:8" ht="15.75" customHeight="1" x14ac:dyDescent="0.25">
      <c r="B6" s="19" t="s">
        <v>71</v>
      </c>
      <c r="C6" s="101">
        <v>0.1467636999999998</v>
      </c>
    </row>
    <row r="7" spans="1:8" ht="15.75" customHeight="1" x14ac:dyDescent="0.25">
      <c r="B7" s="19" t="s">
        <v>72</v>
      </c>
      <c r="C7" s="101">
        <v>0.41250100000000051</v>
      </c>
    </row>
    <row r="8" spans="1:8" ht="15.75" customHeight="1" x14ac:dyDescent="0.25">
      <c r="B8" s="19" t="s">
        <v>73</v>
      </c>
      <c r="C8" s="101">
        <v>6.1284000000000009E-3</v>
      </c>
    </row>
    <row r="9" spans="1:8" ht="15.75" customHeight="1" x14ac:dyDescent="0.25">
      <c r="B9" s="19" t="s">
        <v>74</v>
      </c>
      <c r="C9" s="101">
        <v>0.2188106999999998</v>
      </c>
    </row>
    <row r="10" spans="1:8" ht="15.75" customHeight="1" x14ac:dyDescent="0.25">
      <c r="B10" s="19" t="s">
        <v>75</v>
      </c>
      <c r="C10" s="101">
        <v>0.113306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1.7752015123056169E-2</v>
      </c>
      <c r="D14" s="55">
        <v>1.7752015123056169E-2</v>
      </c>
      <c r="E14" s="55">
        <v>1.7752015123056169E-2</v>
      </c>
      <c r="F14" s="55">
        <v>1.7752015123056169E-2</v>
      </c>
    </row>
    <row r="15" spans="1:8" ht="15.75" customHeight="1" x14ac:dyDescent="0.25">
      <c r="B15" s="19" t="s">
        <v>82</v>
      </c>
      <c r="C15" s="101">
        <v>0.61124027546512405</v>
      </c>
      <c r="D15" s="101">
        <v>0.61124027546512405</v>
      </c>
      <c r="E15" s="101">
        <v>0.61124027546512405</v>
      </c>
      <c r="F15" s="101">
        <v>0.61124027546512405</v>
      </c>
    </row>
    <row r="16" spans="1:8" ht="15.75" customHeight="1" x14ac:dyDescent="0.25">
      <c r="B16" s="19" t="s">
        <v>83</v>
      </c>
      <c r="C16" s="101">
        <v>1.6022347070029211E-2</v>
      </c>
      <c r="D16" s="101">
        <v>1.6022347070029211E-2</v>
      </c>
      <c r="E16" s="101">
        <v>1.6022347070029211E-2</v>
      </c>
      <c r="F16" s="101">
        <v>1.6022347070029211E-2</v>
      </c>
    </row>
    <row r="17" spans="1:8" ht="15.75" customHeight="1" x14ac:dyDescent="0.25">
      <c r="B17" s="19" t="s">
        <v>84</v>
      </c>
      <c r="C17" s="101">
        <v>5.8457813749759656E-3</v>
      </c>
      <c r="D17" s="101">
        <v>5.8457813749759656E-3</v>
      </c>
      <c r="E17" s="101">
        <v>5.8457813749759656E-3</v>
      </c>
      <c r="F17" s="101">
        <v>5.8457813749759656E-3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2.2229239875370121E-2</v>
      </c>
      <c r="D19" s="101">
        <v>2.2229239875370121E-2</v>
      </c>
      <c r="E19" s="101">
        <v>2.2229239875370121E-2</v>
      </c>
      <c r="F19" s="101">
        <v>2.2229239875370121E-2</v>
      </c>
    </row>
    <row r="20" spans="1:8" ht="15.75" customHeight="1" x14ac:dyDescent="0.25">
      <c r="B20" s="19" t="s">
        <v>87</v>
      </c>
      <c r="C20" s="101">
        <v>4.9781084605670864E-3</v>
      </c>
      <c r="D20" s="101">
        <v>4.9781084605670864E-3</v>
      </c>
      <c r="E20" s="101">
        <v>4.9781084605670864E-3</v>
      </c>
      <c r="F20" s="101">
        <v>4.9781084605670864E-3</v>
      </c>
    </row>
    <row r="21" spans="1:8" ht="15.75" customHeight="1" x14ac:dyDescent="0.25">
      <c r="B21" s="19" t="s">
        <v>88</v>
      </c>
      <c r="C21" s="101">
        <v>0.26469792753207122</v>
      </c>
      <c r="D21" s="101">
        <v>0.26469792753207122</v>
      </c>
      <c r="E21" s="101">
        <v>0.26469792753207122</v>
      </c>
      <c r="F21" s="101">
        <v>0.26469792753207122</v>
      </c>
    </row>
    <row r="22" spans="1:8" ht="15.75" customHeight="1" x14ac:dyDescent="0.25">
      <c r="B22" s="19" t="s">
        <v>89</v>
      </c>
      <c r="C22" s="101">
        <v>5.7234305098806143E-2</v>
      </c>
      <c r="D22" s="101">
        <v>5.7234305098806143E-2</v>
      </c>
      <c r="E22" s="101">
        <v>5.7234305098806143E-2</v>
      </c>
      <c r="F22" s="101">
        <v>5.7234305098806143E-2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0.109226406</v>
      </c>
    </row>
    <row r="27" spans="1:8" ht="15.75" customHeight="1" x14ac:dyDescent="0.25">
      <c r="B27" s="19" t="s">
        <v>92</v>
      </c>
      <c r="C27" s="101">
        <v>1.7615203999999999E-2</v>
      </c>
    </row>
    <row r="28" spans="1:8" ht="15.75" customHeight="1" x14ac:dyDescent="0.25">
      <c r="B28" s="19" t="s">
        <v>93</v>
      </c>
      <c r="C28" s="101">
        <v>3.5403469E-2</v>
      </c>
    </row>
    <row r="29" spans="1:8" ht="15.75" customHeight="1" x14ac:dyDescent="0.25">
      <c r="B29" s="19" t="s">
        <v>94</v>
      </c>
      <c r="C29" s="101">
        <v>8.1855017000000002E-2</v>
      </c>
    </row>
    <row r="30" spans="1:8" ht="15.75" customHeight="1" x14ac:dyDescent="0.25">
      <c r="B30" s="19" t="s">
        <v>95</v>
      </c>
      <c r="C30" s="101">
        <v>6.7261675000000007E-2</v>
      </c>
    </row>
    <row r="31" spans="1:8" ht="15.75" customHeight="1" x14ac:dyDescent="0.25">
      <c r="B31" s="19" t="s">
        <v>96</v>
      </c>
      <c r="C31" s="101">
        <v>2.8928879000000001E-2</v>
      </c>
    </row>
    <row r="32" spans="1:8" ht="15.75" customHeight="1" x14ac:dyDescent="0.25">
      <c r="B32" s="19" t="s">
        <v>97</v>
      </c>
      <c r="C32" s="101">
        <v>0.23338838200000001</v>
      </c>
    </row>
    <row r="33" spans="2:3" ht="15.75" customHeight="1" x14ac:dyDescent="0.25">
      <c r="B33" s="19" t="s">
        <v>98</v>
      </c>
      <c r="C33" s="101">
        <v>0.13208631300000001</v>
      </c>
    </row>
    <row r="34" spans="2:3" ht="15.75" customHeight="1" x14ac:dyDescent="0.25">
      <c r="B34" s="19" t="s">
        <v>99</v>
      </c>
      <c r="C34" s="101">
        <v>0.29423465599999998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0.63376884885074625</v>
      </c>
      <c r="D2" s="52">
        <f>IFERROR(1-_xlfn.NORM.DIST(_xlfn.NORM.INV(SUM(D4:D5), 0, 1) + 1, 0, 1, TRUE), "")</f>
        <v>0.63376884885074625</v>
      </c>
      <c r="E2" s="52">
        <f>IFERROR(1-_xlfn.NORM.DIST(_xlfn.NORM.INV(SUM(E4:E5), 0, 1) + 1, 0, 1, TRUE), "")</f>
        <v>0.66632414906339676</v>
      </c>
      <c r="F2" s="52">
        <f>IFERROR(1-_xlfn.NORM.DIST(_xlfn.NORM.INV(SUM(F4:F5), 0, 1) + 1, 0, 1, TRUE), "")</f>
        <v>0.59653398771122568</v>
      </c>
      <c r="G2" s="52">
        <f>IFERROR(1-_xlfn.NORM.DIST(_xlfn.NORM.INV(SUM(G4:G5), 0, 1) + 1, 0, 1, TRUE), "")</f>
        <v>0.69260681738211394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0.2764091511492538</v>
      </c>
      <c r="D3" s="52">
        <f>IFERROR(_xlfn.NORM.DIST(_xlfn.NORM.INV(SUM(D4:D5), 0, 1) + 1, 0, 1, TRUE) - SUM(D4:D5), "")</f>
        <v>0.2764091511492538</v>
      </c>
      <c r="E3" s="52">
        <f>IFERROR(_xlfn.NORM.DIST(_xlfn.NORM.INV(SUM(E4:E5), 0, 1) + 1, 0, 1, TRUE) - SUM(E4:E5), "")</f>
        <v>0.25728655093660324</v>
      </c>
      <c r="F3" s="52">
        <f>IFERROR(_xlfn.NORM.DIST(_xlfn.NORM.INV(SUM(F4:F5), 0, 1) + 1, 0, 1, TRUE) - SUM(F4:F5), "")</f>
        <v>0.29678721228877436</v>
      </c>
      <c r="G3" s="52">
        <f>IFERROR(_xlfn.NORM.DIST(_xlfn.NORM.INV(SUM(G4:G5), 0, 1) + 1, 0, 1, TRUE) - SUM(G4:G5), "")</f>
        <v>0.24100628261788606</v>
      </c>
    </row>
    <row r="4" spans="1:15" ht="15.75" customHeight="1" x14ac:dyDescent="0.25">
      <c r="B4" s="5" t="s">
        <v>104</v>
      </c>
      <c r="C4" s="45">
        <v>7.1541599999999997E-2</v>
      </c>
      <c r="D4" s="53">
        <v>7.1541599999999997E-2</v>
      </c>
      <c r="E4" s="53">
        <v>7.2694900000000007E-2</v>
      </c>
      <c r="F4" s="53">
        <v>8.1473900000000002E-2</v>
      </c>
      <c r="G4" s="53">
        <v>5.2827300000000001E-2</v>
      </c>
    </row>
    <row r="5" spans="1:15" ht="15.75" customHeight="1" x14ac:dyDescent="0.25">
      <c r="B5" s="5" t="s">
        <v>105</v>
      </c>
      <c r="C5" s="45">
        <v>1.8280399999999999E-2</v>
      </c>
      <c r="D5" s="53">
        <v>1.8280399999999999E-2</v>
      </c>
      <c r="E5" s="53">
        <v>3.6944E-3</v>
      </c>
      <c r="F5" s="53">
        <v>2.5204899999999999E-2</v>
      </c>
      <c r="G5" s="53">
        <v>1.35596E-2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0.73769680046160047</v>
      </c>
      <c r="D8" s="52">
        <f>IFERROR(1-_xlfn.NORM.DIST(_xlfn.NORM.INV(SUM(D10:D11), 0, 1) + 1, 0, 1, TRUE), "")</f>
        <v>0.73769680046160047</v>
      </c>
      <c r="E8" s="52">
        <f>IFERROR(1-_xlfn.NORM.DIST(_xlfn.NORM.INV(SUM(E10:E11), 0, 1) + 1, 0, 1, TRUE), "")</f>
        <v>0.85235131644155149</v>
      </c>
      <c r="F8" s="52">
        <f>IFERROR(1-_xlfn.NORM.DIST(_xlfn.NORM.INV(SUM(F10:F11), 0, 1) + 1, 0, 1, TRUE), "")</f>
        <v>0.86275872651129459</v>
      </c>
      <c r="G8" s="52">
        <f>IFERROR(1-_xlfn.NORM.DIST(_xlfn.NORM.INV(SUM(G10:G11), 0, 1) + 1, 0, 1, TRUE), "")</f>
        <v>0.83915207383659318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0.21141069953839953</v>
      </c>
      <c r="D9" s="52">
        <f>IFERROR(_xlfn.NORM.DIST(_xlfn.NORM.INV(SUM(D10:D11), 0, 1) + 1, 0, 1, TRUE) - SUM(D10:D11), "")</f>
        <v>0.21141069953839953</v>
      </c>
      <c r="E9" s="52">
        <f>IFERROR(_xlfn.NORM.DIST(_xlfn.NORM.INV(SUM(E10:E11), 0, 1) + 1, 0, 1, TRUE) - SUM(E10:E11), "")</f>
        <v>0.12729858355844853</v>
      </c>
      <c r="F9" s="52">
        <f>IFERROR(_xlfn.NORM.DIST(_xlfn.NORM.INV(SUM(F10:F11), 0, 1) + 1, 0, 1, TRUE) - SUM(F10:F11), "")</f>
        <v>0.11905767348870541</v>
      </c>
      <c r="G9" s="52">
        <f>IFERROR(_xlfn.NORM.DIST(_xlfn.NORM.INV(SUM(G10:G11), 0, 1) + 1, 0, 1, TRUE) - SUM(G10:G11), "")</f>
        <v>0.13760632616340679</v>
      </c>
    </row>
    <row r="10" spans="1:15" ht="15.75" customHeight="1" x14ac:dyDescent="0.25">
      <c r="B10" s="5" t="s">
        <v>109</v>
      </c>
      <c r="C10" s="45">
        <v>2.6980299999999999E-2</v>
      </c>
      <c r="D10" s="53">
        <v>2.6980299999999999E-2</v>
      </c>
      <c r="E10" s="53">
        <v>1.05953E-2</v>
      </c>
      <c r="F10" s="53">
        <v>1.22074E-2</v>
      </c>
      <c r="G10" s="53">
        <v>1.9280100000000001E-2</v>
      </c>
    </row>
    <row r="11" spans="1:15" ht="15.75" customHeight="1" x14ac:dyDescent="0.25">
      <c r="B11" s="5" t="s">
        <v>110</v>
      </c>
      <c r="C11" s="45">
        <v>2.3912200000000002E-2</v>
      </c>
      <c r="D11" s="53">
        <v>2.3912200000000002E-2</v>
      </c>
      <c r="E11" s="53">
        <v>9.754800000000001E-3</v>
      </c>
      <c r="F11" s="53">
        <v>5.9762000000000001E-3</v>
      </c>
      <c r="G11" s="53">
        <v>3.9614999999999997E-3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0.58996669749999997</v>
      </c>
      <c r="D14" s="54">
        <v>0.58808578352899998</v>
      </c>
      <c r="E14" s="54">
        <v>0.58808578352899998</v>
      </c>
      <c r="F14" s="54">
        <v>0.294560960915</v>
      </c>
      <c r="G14" s="54">
        <v>0.294560960915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0.34499999999999997</v>
      </c>
      <c r="M14" s="55">
        <v>0.34499999999999997</v>
      </c>
      <c r="N14" s="55">
        <v>0.34499999999999997</v>
      </c>
      <c r="O14" s="55">
        <v>0.34499999999999997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0.35596702633717997</v>
      </c>
      <c r="D15" s="52">
        <f t="shared" si="0"/>
        <v>0.35483214303632565</v>
      </c>
      <c r="E15" s="52">
        <f t="shared" si="0"/>
        <v>0.35483214303632565</v>
      </c>
      <c r="F15" s="52">
        <f t="shared" si="0"/>
        <v>0.17772865786536174</v>
      </c>
      <c r="G15" s="52">
        <f t="shared" si="0"/>
        <v>0.17772865786536174</v>
      </c>
      <c r="H15" s="52">
        <f t="shared" si="0"/>
        <v>0.22384952799999999</v>
      </c>
      <c r="I15" s="52">
        <f t="shared" si="0"/>
        <v>0.22384952799999999</v>
      </c>
      <c r="J15" s="52">
        <f t="shared" si="0"/>
        <v>0.22384952799999999</v>
      </c>
      <c r="K15" s="52">
        <f t="shared" si="0"/>
        <v>0.22384952799999999</v>
      </c>
      <c r="L15" s="52">
        <f t="shared" si="0"/>
        <v>0.20816195999999998</v>
      </c>
      <c r="M15" s="52">
        <f t="shared" si="0"/>
        <v>0.20816195999999998</v>
      </c>
      <c r="N15" s="52">
        <f t="shared" si="0"/>
        <v>0.20816195999999998</v>
      </c>
      <c r="O15" s="52">
        <f t="shared" si="0"/>
        <v>0.20816195999999998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0.4275603</v>
      </c>
      <c r="D2" s="53">
        <v>0.2062329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0.1007744</v>
      </c>
      <c r="D3" s="53">
        <v>0.1128769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0.36946530000000011</v>
      </c>
      <c r="D4" s="53">
        <v>0.46366649999999998</v>
      </c>
      <c r="E4" s="53">
        <v>0.54610039999999993</v>
      </c>
      <c r="F4" s="53">
        <v>0.26147619999999999</v>
      </c>
      <c r="G4" s="53">
        <v>0</v>
      </c>
    </row>
    <row r="5" spans="1:7" x14ac:dyDescent="0.25">
      <c r="B5" s="3" t="s">
        <v>122</v>
      </c>
      <c r="C5" s="52">
        <v>0.1021999</v>
      </c>
      <c r="D5" s="52">
        <v>0.21722369999999999</v>
      </c>
      <c r="E5" s="52">
        <f>1-SUM(E2:E4)</f>
        <v>0.45389960000000007</v>
      </c>
      <c r="F5" s="52">
        <f>1-SUM(F2:F4)</f>
        <v>0.73852380000000006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144.3361538195548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19.75203299904819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16.029464016122279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1.897161777238622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0.10284547803181469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0.5</v>
      </c>
      <c r="C9" s="98">
        <v>0.95</v>
      </c>
      <c r="D9" s="56">
        <v>0.21140459373206369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0.48911409999999989</v>
      </c>
      <c r="C10" s="98">
        <v>0.95</v>
      </c>
      <c r="D10" s="56">
        <v>13.00441189507751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13.00441189507751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13.00441189507751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13.00441189507751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0.48911409999999989</v>
      </c>
      <c r="C14" s="98">
        <v>0.95</v>
      </c>
      <c r="D14" s="56">
        <v>13.00441189507751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13.00441189507751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5.5080133892626542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0.54287457000000006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0.73</v>
      </c>
      <c r="C18" s="98">
        <v>0.95</v>
      </c>
      <c r="D18" s="56">
        <v>16.029464016122279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0.2062329</v>
      </c>
      <c r="C19" s="98">
        <v>0.95</v>
      </c>
      <c r="D19" s="56">
        <v>16.029464016122279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16.46619599914094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22.437389594385149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4.2744829442771808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0.94011724592245105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0.48911409999999989</v>
      </c>
      <c r="C26" s="98">
        <v>0.95</v>
      </c>
      <c r="D26" s="56">
        <v>7.6264796156856711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30.36727751762248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0.44430960000000003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0.34953200000000001</v>
      </c>
      <c r="C29" s="98">
        <v>0.95</v>
      </c>
      <c r="D29" s="56">
        <v>193.6128732031849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398.07273654067848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0.17</v>
      </c>
      <c r="C32" s="98">
        <v>0.95</v>
      </c>
      <c r="D32" s="56">
        <v>1.4358697255793671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0.30520770000000003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0.86144760000000009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2.2872799999999999E-2</v>
      </c>
      <c r="C38" s="98">
        <v>0.95</v>
      </c>
      <c r="D38" s="56">
        <v>5.3874863984233787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7.541139000710408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7.0148779999999994E-2</v>
      </c>
      <c r="C3" s="21">
        <f>frac_mam_1_5months * 2.6</f>
        <v>7.0148779999999994E-2</v>
      </c>
      <c r="D3" s="21">
        <f>frac_mam_6_11months * 2.6</f>
        <v>2.7547780000000001E-2</v>
      </c>
      <c r="E3" s="21">
        <f>frac_mam_12_23months * 2.6</f>
        <v>3.1739240000000002E-2</v>
      </c>
      <c r="F3" s="21">
        <f>frac_mam_24_59months * 2.6</f>
        <v>5.0128260000000008E-2</v>
      </c>
    </row>
    <row r="4" spans="1:6" ht="15.75" customHeight="1" x14ac:dyDescent="0.25">
      <c r="A4" s="3" t="s">
        <v>205</v>
      </c>
      <c r="B4" s="21">
        <f>frac_sam_1month * 2.6</f>
        <v>6.2171720000000007E-2</v>
      </c>
      <c r="C4" s="21">
        <f>frac_sam_1_5months * 2.6</f>
        <v>6.2171720000000007E-2</v>
      </c>
      <c r="D4" s="21">
        <f>frac_sam_6_11months * 2.6</f>
        <v>2.5362480000000003E-2</v>
      </c>
      <c r="E4" s="21">
        <f>frac_sam_12_23months * 2.6</f>
        <v>1.5538120000000001E-2</v>
      </c>
      <c r="F4" s="21">
        <f>frac_sam_24_59months * 2.6</f>
        <v>1.0299899999999999E-2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1E-3</v>
      </c>
      <c r="E2" s="60">
        <f>food_insecure</f>
        <v>1E-3</v>
      </c>
      <c r="F2" s="60">
        <f>food_insecure</f>
        <v>1E-3</v>
      </c>
      <c r="G2" s="60">
        <f>food_insecure</f>
        <v>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1E-3</v>
      </c>
      <c r="F5" s="60">
        <f>food_insecure</f>
        <v>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1E-3</v>
      </c>
      <c r="F8" s="60">
        <f>food_insecure</f>
        <v>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1E-3</v>
      </c>
      <c r="F9" s="60">
        <f>food_insecure</f>
        <v>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1E-3</v>
      </c>
      <c r="I15" s="60">
        <f>food_insecure</f>
        <v>1E-3</v>
      </c>
      <c r="J15" s="60">
        <f>food_insecure</f>
        <v>1E-3</v>
      </c>
      <c r="K15" s="60">
        <f>food_insecure</f>
        <v>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0.42</v>
      </c>
      <c r="M24" s="60">
        <f>famplan_unmet_need</f>
        <v>0.42</v>
      </c>
      <c r="N24" s="60">
        <f>famplan_unmet_need</f>
        <v>0.42</v>
      </c>
      <c r="O24" s="60">
        <f>famplan_unmet_need</f>
        <v>0.42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0.17104290542068504</v>
      </c>
      <c r="M25" s="60">
        <f>(1-food_insecure)*(0.49)+food_insecure*(0.7)</f>
        <v>0.49020999999999998</v>
      </c>
      <c r="N25" s="60">
        <f>(1-food_insecure)*(0.49)+food_insecure*(0.7)</f>
        <v>0.49020999999999998</v>
      </c>
      <c r="O25" s="60">
        <f>(1-food_insecure)*(0.49)+food_insecure*(0.7)</f>
        <v>0.49020999999999998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7.3304102323150738E-2</v>
      </c>
      <c r="M26" s="60">
        <f>(1-food_insecure)*(0.21)+food_insecure*(0.3)</f>
        <v>0.21009</v>
      </c>
      <c r="N26" s="60">
        <f>(1-food_insecure)*(0.21)+food_insecure*(0.3)</f>
        <v>0.21009</v>
      </c>
      <c r="O26" s="60">
        <f>(1-food_insecure)*(0.21)+food_insecure*(0.3)</f>
        <v>0.21009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0.10457061005401624</v>
      </c>
      <c r="M27" s="60">
        <f>(1-food_insecure)*(0.3)</f>
        <v>0.29969999999999997</v>
      </c>
      <c r="N27" s="60">
        <f>(1-food_insecure)*(0.3)</f>
        <v>0.29969999999999997</v>
      </c>
      <c r="O27" s="60">
        <f>(1-food_insecure)*(0.3)</f>
        <v>0.29969999999999997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0.65108238220214798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0.10904397924295917</v>
      </c>
      <c r="G18" s="90">
        <f>MIN(MAX(1-0.89/(1-frac_sam_12_23months+(frac_sam_12_23months*0.89)),0),1)</f>
        <v>0.10941454515252147</v>
      </c>
      <c r="H18" s="90">
        <f>MIN(MAX(1-0.89/(1-frac_sam_24_59months+(frac_sam_24_59months*0.89)),0),1)</f>
        <v>0.10961200007321192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0.10896150978731145</v>
      </c>
      <c r="G20" s="90">
        <f>MIN(MAX(1-0.89/(1-frac_mam_12_23months+(frac_mam_12_23months*0.89)),0),1)</f>
        <v>0.10880328857915011</v>
      </c>
      <c r="H20" s="90">
        <f>MIN(MAX(1-0.89/(1-frac_mam_24_59months+(frac_mam_24_59months*0.89)),0),1)</f>
        <v>0.10810846662521179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9.9034180586248244E-3</v>
      </c>
      <c r="G73" s="90">
        <f>MIN(MAX(1-0.99/(1-frac_sam_12_23months+(frac_sam_12_23months*0.99)),0),1)</f>
        <v>9.9408320840069786E-3</v>
      </c>
      <c r="H73" s="90">
        <f>MIN(MAX(1-0.99/(1-frac_sam_24_59months+(frac_sam_24_59months*0.99)),0),1)</f>
        <v>9.9607795962838308E-3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9.8950954150446302E-3</v>
      </c>
      <c r="G75" s="90">
        <f>MIN(MAX(1-0.99/(1-frac_mam_12_23months+(frac_mam_12_23months*0.99)),0),1)</f>
        <v>9.8791319851579962E-3</v>
      </c>
      <c r="H75" s="90">
        <f>MIN(MAX(1-0.99/(1-frac_mam_24_59months+(frac_mam_24_59months*0.99)),0),1)</f>
        <v>9.8090902024000615E-3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0.19843618105178484</v>
      </c>
      <c r="G128" s="90">
        <f>MIN(MAX(1-0.8/(1-frac_sam_12_23months+(frac_sam_12_23months*0.8)),0),1)</f>
        <v>0.19904266375342461</v>
      </c>
      <c r="H128" s="90">
        <f>MIN(MAX(1-0.8/(1-frac_sam_24_59months+(frac_sam_24_59months*0.8)),0),1)</f>
        <v>0.19936565741036616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0.19830115203924026</v>
      </c>
      <c r="G130" s="90">
        <f>MIN(MAX(1-0.8/(1-frac_mam_12_23months+(frac_mam_12_23months*0.8)),0),1)</f>
        <v>0.19804203566924572</v>
      </c>
      <c r="H130" s="90">
        <f>MIN(MAX(1-0.8/(1-frac_mam_24_59months+(frac_mam_24_59months*0.8)),0),1)</f>
        <v>0.1969032428424653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2024-08-06T06:31:40Z</dcterms:modified>
</cp:coreProperties>
</file>