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7A5225E-2F9D-4E6F-8AED-DFBB778AE6C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1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<sst xmlns="http://schemas.openxmlformats.org/spreadsheetml/2006/main" count="2169" uniqueCount="373">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</sst>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1169548.5</v>
      </c>
    </row>
    <row r="8" spans="1:3" ht="15" customHeight="1" x14ac:dyDescent="0.25">
      <c r="B8" s="5" t="s">
        <v>8</v>
      </c>
      <c r="C8" s="44">
        <v>0.157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0.63523980000000002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3.9300000000000002E-2</v>
      </c>
    </row>
    <row r="24" spans="1:3" ht="15" customHeight="1" x14ac:dyDescent="0.25">
      <c r="B24" s="15" t="s">
        <v>22</v>
      </c>
      <c r="C24" s="45">
        <v>0.49590000000000001</v>
      </c>
    </row>
    <row r="25" spans="1:3" ht="15" customHeight="1" x14ac:dyDescent="0.25">
      <c r="B25" s="15" t="s">
        <v>23</v>
      </c>
      <c r="C25" s="45">
        <v>0.42020000000000002</v>
      </c>
    </row>
    <row r="26" spans="1:3" ht="15" customHeight="1" x14ac:dyDescent="0.25">
      <c r="B26" s="15" t="s">
        <v>24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0.259769272097435</v>
      </c>
    </row>
    <row r="30" spans="1:3" ht="14.25" customHeight="1" x14ac:dyDescent="0.25">
      <c r="B30" s="25" t="s">
        <v>27</v>
      </c>
      <c r="C30" s="97">
        <v>0.11570907979532</v>
      </c>
    </row>
    <row r="31" spans="1:3" ht="14.25" customHeight="1" x14ac:dyDescent="0.25">
      <c r="B31" s="25" t="s">
        <v>28</v>
      </c>
      <c r="C31" s="97">
        <v>9.89832068757453E-2</v>
      </c>
    </row>
    <row r="32" spans="1:3" ht="14.25" customHeight="1" x14ac:dyDescent="0.25">
      <c r="B32" s="25" t="s">
        <v>29</v>
      </c>
      <c r="C32" s="97">
        <v>0.52553844123149995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8.5367899999999999</v>
      </c>
    </row>
    <row r="38" spans="1:5" ht="15" customHeight="1" x14ac:dyDescent="0.25">
      <c r="B38" s="11" t="s">
        <v>34</v>
      </c>
      <c r="C38" s="43">
        <v>12.564450000000001</v>
      </c>
      <c r="D38" s="12"/>
      <c r="E38" s="13"/>
    </row>
    <row r="39" spans="1:5" ht="15" customHeight="1" x14ac:dyDescent="0.25">
      <c r="B39" s="11" t="s">
        <v>35</v>
      </c>
      <c r="C39" s="43">
        <v>14.59897</v>
      </c>
      <c r="D39" s="12"/>
      <c r="E39" s="12"/>
    </row>
    <row r="40" spans="1:5" ht="15" customHeight="1" x14ac:dyDescent="0.25">
      <c r="B40" s="11" t="s">
        <v>36</v>
      </c>
      <c r="C40" s="98">
        <v>0.41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7.3870999999999997E-3</v>
      </c>
      <c r="D45" s="12"/>
    </row>
    <row r="46" spans="1:5" ht="15.75" customHeight="1" x14ac:dyDescent="0.25">
      <c r="B46" s="11" t="s">
        <v>41</v>
      </c>
      <c r="C46" s="45">
        <v>7.93735E-2</v>
      </c>
      <c r="D46" s="12"/>
    </row>
    <row r="47" spans="1:5" ht="15.75" customHeight="1" x14ac:dyDescent="0.25">
      <c r="B47" s="11" t="s">
        <v>42</v>
      </c>
      <c r="C47" s="45">
        <v>7.3975899999999997E-2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3.6920000000000002</v>
      </c>
      <c r="D51" s="12"/>
    </row>
    <row r="52" spans="1:4" ht="15" customHeight="1" x14ac:dyDescent="0.25">
      <c r="B52" s="11" t="s">
        <v>46</v>
      </c>
      <c r="C52" s="98">
        <v>3.6920000000000002</v>
      </c>
    </row>
    <row r="53" spans="1:4" ht="15.75" customHeight="1" x14ac:dyDescent="0.25">
      <c r="B53" s="11" t="s">
        <v>47</v>
      </c>
      <c r="C53" s="98">
        <v>5.1480000000000006</v>
      </c>
    </row>
    <row r="54" spans="1:4" ht="15.75" customHeight="1" x14ac:dyDescent="0.25">
      <c r="B54" s="11" t="s">
        <v>48</v>
      </c>
      <c r="C54" s="98">
        <v>3.38</v>
      </c>
    </row>
    <row r="55" spans="1:4" ht="15.75" customHeight="1" x14ac:dyDescent="0.25">
      <c r="B55" s="11" t="s">
        <v>49</v>
      </c>
      <c r="C55" s="98">
        <v>1.6033333333333331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0.60336800000000002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0.1893666383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7.2734599999999927E-2</v>
      </c>
    </row>
    <row r="5" spans="1:8" ht="15.75" customHeight="1" x14ac:dyDescent="0.25">
      <c r="B5" s="19" t="s">
        <v>70</v>
      </c>
      <c r="C5" s="99">
        <v>2.9755600000000038E-2</v>
      </c>
    </row>
    <row r="6" spans="1:8" ht="15.75" customHeight="1" x14ac:dyDescent="0.25">
      <c r="B6" s="19" t="s">
        <v>71</v>
      </c>
      <c r="C6" s="99">
        <v>0.1467636999999998</v>
      </c>
    </row>
    <row r="7" spans="1:8" ht="15.75" customHeight="1" x14ac:dyDescent="0.25">
      <c r="B7" s="19" t="s">
        <v>72</v>
      </c>
      <c r="C7" s="99">
        <v>0.41250100000000051</v>
      </c>
    </row>
    <row r="8" spans="1:8" ht="15.75" customHeight="1" x14ac:dyDescent="0.25">
      <c r="B8" s="19" t="s">
        <v>73</v>
      </c>
      <c r="C8" s="99">
        <v>6.1284000000000009E-3</v>
      </c>
    </row>
    <row r="9" spans="1:8" ht="15.75" customHeight="1" x14ac:dyDescent="0.25">
      <c r="B9" s="19" t="s">
        <v>74</v>
      </c>
      <c r="C9" s="99">
        <v>0.2188106999999998</v>
      </c>
    </row>
    <row r="10" spans="1:8" ht="15.75" customHeight="1" x14ac:dyDescent="0.25">
      <c r="B10" s="19" t="s">
        <v>75</v>
      </c>
      <c r="C10" s="99">
        <v>0.113306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82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83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84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87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88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89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0.109226406</v>
      </c>
    </row>
    <row r="27" spans="1:8" ht="15.75" customHeight="1" x14ac:dyDescent="0.25">
      <c r="B27" s="19" t="s">
        <v>92</v>
      </c>
      <c r="C27" s="99">
        <v>1.7615203999999999E-2</v>
      </c>
    </row>
    <row r="28" spans="1:8" ht="15.75" customHeight="1" x14ac:dyDescent="0.25">
      <c r="B28" s="19" t="s">
        <v>93</v>
      </c>
      <c r="C28" s="99">
        <v>3.5403469E-2</v>
      </c>
    </row>
    <row r="29" spans="1:8" ht="15.75" customHeight="1" x14ac:dyDescent="0.25">
      <c r="B29" s="19" t="s">
        <v>94</v>
      </c>
      <c r="C29" s="99">
        <v>8.1855017000000002E-2</v>
      </c>
    </row>
    <row r="30" spans="1:8" ht="15.75" customHeight="1" x14ac:dyDescent="0.25">
      <c r="B30" s="19" t="s">
        <v>95</v>
      </c>
      <c r="C30" s="99">
        <v>6.7261675000000007E-2</v>
      </c>
    </row>
    <row r="31" spans="1:8" ht="15.75" customHeight="1" x14ac:dyDescent="0.25">
      <c r="B31" s="19" t="s">
        <v>96</v>
      </c>
      <c r="C31" s="99">
        <v>2.8928879000000001E-2</v>
      </c>
    </row>
    <row r="32" spans="1:8" ht="15.75" customHeight="1" x14ac:dyDescent="0.25">
      <c r="B32" s="19" t="s">
        <v>97</v>
      </c>
      <c r="C32" s="99">
        <v>0.23338838200000001</v>
      </c>
    </row>
    <row r="33" spans="2:3" ht="15.75" customHeight="1" x14ac:dyDescent="0.25">
      <c r="B33" s="19" t="s">
        <v>98</v>
      </c>
      <c r="C33" s="99">
        <v>0.13208631300000001</v>
      </c>
    </row>
    <row r="34" spans="2:3" ht="15.75" customHeight="1" x14ac:dyDescent="0.25">
      <c r="B34" s="19" t="s">
        <v>99</v>
      </c>
      <c r="C34" s="99">
        <v>0.29423465599999998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104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105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109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110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0.48911409999999989</v>
      </c>
      <c r="C10" s="96">
        <v>0.95</v>
      </c>
      <c r="D10" s="56">
        <v>13.00441189507751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13.00441189507751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13.00441189507751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13.00441189507751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0.48911409999999989</v>
      </c>
      <c r="C14" s="96">
        <v>0.95</v>
      </c>
      <c r="D14" s="56">
        <v>13.00441189507751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13.00441189507751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0.54287457000000006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0.73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0.2062329</v>
      </c>
      <c r="C19" s="96">
        <v>0.95</v>
      </c>
      <c r="D19" s="56">
        <v>9.4258488463818431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4.2744829442771808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0.94011724592245105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0.44430960000000003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0.34953200000000001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0.17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0.30520770000000003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0.86144760000000009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2.2872799999999999E-2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3.6920000000000002</v>
      </c>
      <c r="C2" s="21">
        <f>'Baseline year population inputs'!C52</f>
        <v>3.6920000000000002</v>
      </c>
      <c r="D2" s="21">
        <f>'Baseline year population inputs'!C53</f>
        <v>5.1480000000000006</v>
      </c>
      <c r="E2" s="21">
        <f>'Baseline year population inputs'!C54</f>
        <v>3.38</v>
      </c>
      <c r="F2" s="21">
        <f>'Baseline year population inputs'!C55</f>
        <v>1.6033333333333331</v>
      </c>
    </row>
    <row r="3" spans="1:6" ht="15.75" customHeight="1" x14ac:dyDescent="0.25">
      <c r="A3" s="3" t="s">
        <v>197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198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