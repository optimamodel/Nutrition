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7375294-5199-4808-8023-CB35A35995D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5" i="2"/>
  <c r="A33" i="2"/>
  <c r="A27" i="2"/>
  <c r="A25" i="2"/>
  <c r="A19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0" i="2" l="1"/>
  <c r="A28" i="2"/>
  <c r="A36" i="2"/>
  <c r="A21" i="2"/>
  <c r="A29" i="2"/>
  <c r="A37" i="2"/>
  <c r="A14" i="2"/>
  <c r="A22" i="2"/>
  <c r="A30" i="2"/>
  <c r="A38" i="2"/>
  <c r="A40" i="2"/>
  <c r="A15" i="2"/>
  <c r="A23" i="2"/>
  <c r="A31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<sst xmlns="http://schemas.openxmlformats.org/spreadsheetml/2006/main" count="2092" uniqueCount="341">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</sst>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488493.625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9">
        <v>0.13864399999999999</v>
      </c>
    </row>
    <row r="31" spans="1:3" ht="14.25" customHeight="1" x14ac:dyDescent="0.25">
      <c r="B31" s="25" t="s">
        <v>28</v>
      </c>
      <c r="C31" s="99">
        <v>0.123641</v>
      </c>
    </row>
    <row r="32" spans="1:3" ht="14.25" customHeight="1" x14ac:dyDescent="0.25">
      <c r="B32" s="25" t="s">
        <v>29</v>
      </c>
      <c r="C32" s="99">
        <v>0.48264649999999998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109782.84600000001</v>
      </c>
      <c r="C2" s="49">
        <v>274000</v>
      </c>
      <c r="D2" s="49">
        <v>599000</v>
      </c>
      <c r="E2" s="49">
        <v>534000</v>
      </c>
      <c r="F2" s="49">
        <v>426000</v>
      </c>
      <c r="G2" s="17">
        <f t="shared" ref="G2:G13" si="0">C2+D2+E2+F2</f>
        <v>1833000</v>
      </c>
      <c r="H2" s="17">
        <f t="shared" ref="H2:H13" si="1">(B2 + stillbirth*B2/(1000-stillbirth))/(1-abortion)</f>
        <v>125867.51782876915</v>
      </c>
      <c r="I2" s="17">
        <f t="shared" ref="I2:I13" si="2">G2-H2</f>
        <v>1707132.4821712309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108407.68399999999</v>
      </c>
      <c r="C3" s="50">
        <v>272000</v>
      </c>
      <c r="D3" s="50">
        <v>587000</v>
      </c>
      <c r="E3" s="50">
        <v>547000</v>
      </c>
      <c r="F3" s="50">
        <v>429000</v>
      </c>
      <c r="G3" s="17">
        <f t="shared" si="0"/>
        <v>1835000</v>
      </c>
      <c r="H3" s="17">
        <f t="shared" si="1"/>
        <v>124290.87599574137</v>
      </c>
      <c r="I3" s="17">
        <f t="shared" si="2"/>
        <v>1710709.1240042585</v>
      </c>
    </row>
    <row r="4" spans="1:9" ht="15.75" customHeight="1" x14ac:dyDescent="0.25">
      <c r="A4" s="5">
        <f t="shared" si="3"/>
        <v>2026</v>
      </c>
      <c r="B4" s="49">
        <v>106917.4656</v>
      </c>
      <c r="C4" s="50">
        <v>269000</v>
      </c>
      <c r="D4" s="50">
        <v>576000</v>
      </c>
      <c r="E4" s="50">
        <v>558000</v>
      </c>
      <c r="F4" s="50">
        <v>434000</v>
      </c>
      <c r="G4" s="17">
        <f t="shared" si="0"/>
        <v>1837000</v>
      </c>
      <c r="H4" s="17">
        <f t="shared" si="1"/>
        <v>122582.32044389533</v>
      </c>
      <c r="I4" s="17">
        <f t="shared" si="2"/>
        <v>1714417.6795561046</v>
      </c>
    </row>
    <row r="5" spans="1:9" ht="15.75" customHeight="1" x14ac:dyDescent="0.25">
      <c r="A5" s="5">
        <f t="shared" si="3"/>
        <v>2027</v>
      </c>
      <c r="B5" s="49">
        <v>105408.69680000001</v>
      </c>
      <c r="C5" s="50">
        <v>267000</v>
      </c>
      <c r="D5" s="50">
        <v>564000</v>
      </c>
      <c r="E5" s="50">
        <v>570000</v>
      </c>
      <c r="F5" s="50">
        <v>439000</v>
      </c>
      <c r="G5" s="17">
        <f t="shared" si="0"/>
        <v>1840000</v>
      </c>
      <c r="H5" s="17">
        <f t="shared" si="1"/>
        <v>120852.49660754215</v>
      </c>
      <c r="I5" s="17">
        <f t="shared" si="2"/>
        <v>1719147.503392458</v>
      </c>
    </row>
    <row r="6" spans="1:9" ht="15.75" customHeight="1" x14ac:dyDescent="0.25">
      <c r="A6" s="5">
        <f t="shared" si="3"/>
        <v>2028</v>
      </c>
      <c r="B6" s="49">
        <v>103850.5248</v>
      </c>
      <c r="C6" s="50">
        <v>265000</v>
      </c>
      <c r="D6" s="50">
        <v>551000</v>
      </c>
      <c r="E6" s="50">
        <v>580000</v>
      </c>
      <c r="F6" s="50">
        <v>444000</v>
      </c>
      <c r="G6" s="17">
        <f t="shared" si="0"/>
        <v>1840000</v>
      </c>
      <c r="H6" s="17">
        <f t="shared" si="1"/>
        <v>119066.03133417614</v>
      </c>
      <c r="I6" s="17">
        <f t="shared" si="2"/>
        <v>1720933.9686658238</v>
      </c>
    </row>
    <row r="7" spans="1:9" ht="15.75" customHeight="1" x14ac:dyDescent="0.25">
      <c r="A7" s="5">
        <f t="shared" si="3"/>
        <v>2029</v>
      </c>
      <c r="B7" s="49">
        <v>102259.872</v>
      </c>
      <c r="C7" s="50">
        <v>264000</v>
      </c>
      <c r="D7" s="50">
        <v>539000</v>
      </c>
      <c r="E7" s="50">
        <v>586000</v>
      </c>
      <c r="F7" s="50">
        <v>451000</v>
      </c>
      <c r="G7" s="17">
        <f t="shared" si="0"/>
        <v>1840000</v>
      </c>
      <c r="H7" s="17">
        <f t="shared" si="1"/>
        <v>117242.32638428459</v>
      </c>
      <c r="I7" s="17">
        <f t="shared" si="2"/>
        <v>1722757.6736157155</v>
      </c>
    </row>
    <row r="8" spans="1:9" ht="15.75" customHeight="1" x14ac:dyDescent="0.25">
      <c r="A8" s="5">
        <f t="shared" si="3"/>
        <v>2030</v>
      </c>
      <c r="B8" s="49">
        <v>100622.808</v>
      </c>
      <c r="C8" s="50">
        <v>263000</v>
      </c>
      <c r="D8" s="50">
        <v>529000</v>
      </c>
      <c r="E8" s="50">
        <v>588000</v>
      </c>
      <c r="F8" s="50">
        <v>459000</v>
      </c>
      <c r="G8" s="17">
        <f t="shared" si="0"/>
        <v>1839000</v>
      </c>
      <c r="H8" s="17">
        <f t="shared" si="1"/>
        <v>115365.41036584911</v>
      </c>
      <c r="I8" s="17">
        <f t="shared" si="2"/>
        <v>1723634.589634151</v>
      </c>
    </row>
    <row r="9" spans="1:9" ht="15.75" customHeight="1" x14ac:dyDescent="0.25">
      <c r="A9" s="5">
        <f t="shared" si="3"/>
        <v>2031</v>
      </c>
      <c r="B9" s="49">
        <v>99314.231142857156</v>
      </c>
      <c r="C9" s="50">
        <v>261428.57142857139</v>
      </c>
      <c r="D9" s="50">
        <v>519000</v>
      </c>
      <c r="E9" s="50">
        <v>595714.28571428568</v>
      </c>
      <c r="F9" s="50">
        <v>463714.28571428568</v>
      </c>
      <c r="G9" s="17">
        <f t="shared" si="0"/>
        <v>1839857.1428571427</v>
      </c>
      <c r="H9" s="17">
        <f t="shared" si="1"/>
        <v>113865.10929971769</v>
      </c>
      <c r="I9" s="17">
        <f t="shared" si="2"/>
        <v>1725992.033557425</v>
      </c>
    </row>
    <row r="10" spans="1:9" ht="15.75" customHeight="1" x14ac:dyDescent="0.25">
      <c r="A10" s="5">
        <f t="shared" si="3"/>
        <v>2032</v>
      </c>
      <c r="B10" s="49">
        <v>98015.166448979609</v>
      </c>
      <c r="C10" s="50">
        <v>259918.36734693879</v>
      </c>
      <c r="D10" s="50">
        <v>509285.71428571432</v>
      </c>
      <c r="E10" s="50">
        <v>602673.46938775503</v>
      </c>
      <c r="F10" s="50">
        <v>468673.46938775509</v>
      </c>
      <c r="G10" s="17">
        <f t="shared" si="0"/>
        <v>1840551.0204081631</v>
      </c>
      <c r="H10" s="17">
        <f t="shared" si="1"/>
        <v>112375.71405742857</v>
      </c>
      <c r="I10" s="17">
        <f t="shared" si="2"/>
        <v>1728175.3063507346</v>
      </c>
    </row>
    <row r="11" spans="1:9" ht="15.75" customHeight="1" x14ac:dyDescent="0.25">
      <c r="A11" s="5">
        <f t="shared" si="3"/>
        <v>2033</v>
      </c>
      <c r="B11" s="49">
        <v>96743.409427405262</v>
      </c>
      <c r="C11" s="50">
        <v>258620.99125364429</v>
      </c>
      <c r="D11" s="50">
        <v>499755.10204081627</v>
      </c>
      <c r="E11" s="50">
        <v>609055.39358600578</v>
      </c>
      <c r="F11" s="50">
        <v>473626.82215743448</v>
      </c>
      <c r="G11" s="17">
        <f t="shared" si="0"/>
        <v>1841058.3090379008</v>
      </c>
      <c r="H11" s="17">
        <f t="shared" si="1"/>
        <v>110917.62743079048</v>
      </c>
      <c r="I11" s="17">
        <f t="shared" si="2"/>
        <v>1730140.6816071102</v>
      </c>
    </row>
    <row r="12" spans="1:9" ht="15.75" customHeight="1" x14ac:dyDescent="0.25">
      <c r="A12" s="5">
        <f t="shared" si="3"/>
        <v>2034</v>
      </c>
      <c r="B12" s="49">
        <v>95505.511231320299</v>
      </c>
      <c r="C12" s="50">
        <v>257423.99000416489</v>
      </c>
      <c r="D12" s="50">
        <v>490577.2594752186</v>
      </c>
      <c r="E12" s="50">
        <v>614634.73552686372</v>
      </c>
      <c r="F12" s="50">
        <v>478573.51103706798</v>
      </c>
      <c r="G12" s="17">
        <f t="shared" si="0"/>
        <v>1841209.4960433152</v>
      </c>
      <c r="H12" s="17">
        <f t="shared" si="1"/>
        <v>109498.36040554022</v>
      </c>
      <c r="I12" s="17">
        <f t="shared" si="2"/>
        <v>1731711.1356377748</v>
      </c>
    </row>
    <row r="13" spans="1:9" ht="15.75" customHeight="1" x14ac:dyDescent="0.25">
      <c r="A13" s="5">
        <f t="shared" si="3"/>
        <v>2035</v>
      </c>
      <c r="B13" s="49">
        <v>94313.366435794625</v>
      </c>
      <c r="C13" s="50">
        <v>256341.70286190271</v>
      </c>
      <c r="D13" s="50">
        <v>481945.4394002498</v>
      </c>
      <c r="E13" s="50">
        <v>619582.55488784425</v>
      </c>
      <c r="F13" s="50">
        <v>483512.58404236339</v>
      </c>
      <c r="G13" s="17">
        <f t="shared" si="0"/>
        <v>1841382.28119236</v>
      </c>
      <c r="H13" s="17">
        <f t="shared" si="1"/>
        <v>108131.55027287795</v>
      </c>
      <c r="I13" s="17">
        <f t="shared" si="2"/>
        <v>1733250.730919482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6.0063494121611181E-2</v>
      </c>
    </row>
    <row r="5" spans="1:8" ht="15.75" customHeight="1" x14ac:dyDescent="0.25">
      <c r="B5" s="19" t="s">
        <v>70</v>
      </c>
      <c r="C5" s="101">
        <v>2.2386320070241359E-2</v>
      </c>
    </row>
    <row r="6" spans="1:8" ht="15.75" customHeight="1" x14ac:dyDescent="0.25">
      <c r="B6" s="19" t="s">
        <v>71</v>
      </c>
      <c r="C6" s="101">
        <v>0.1570764170522494</v>
      </c>
    </row>
    <row r="7" spans="1:8" ht="15.75" customHeight="1" x14ac:dyDescent="0.25">
      <c r="B7" s="19" t="s">
        <v>72</v>
      </c>
      <c r="C7" s="101">
        <v>0.4339066453125362</v>
      </c>
    </row>
    <row r="8" spans="1:8" ht="15.75" customHeight="1" x14ac:dyDescent="0.25">
      <c r="B8" s="19" t="s">
        <v>73</v>
      </c>
      <c r="C8" s="101">
        <v>1.388748822441363E-2</v>
      </c>
    </row>
    <row r="9" spans="1:8" ht="15.75" customHeight="1" x14ac:dyDescent="0.25">
      <c r="B9" s="19" t="s">
        <v>74</v>
      </c>
      <c r="C9" s="101">
        <v>0.23970991838528249</v>
      </c>
    </row>
    <row r="10" spans="1:8" ht="15.75" customHeight="1" x14ac:dyDescent="0.25">
      <c r="B10" s="19" t="s">
        <v>75</v>
      </c>
      <c r="C10" s="101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83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87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89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101">
        <v>1.9276288999999999E-2</v>
      </c>
    </row>
    <row r="28" spans="1:8" ht="15.75" customHeight="1" x14ac:dyDescent="0.25">
      <c r="B28" s="19" t="s">
        <v>93</v>
      </c>
      <c r="C28" s="101">
        <v>0.179864307</v>
      </c>
    </row>
    <row r="29" spans="1:8" ht="15.75" customHeight="1" x14ac:dyDescent="0.25">
      <c r="B29" s="19" t="s">
        <v>94</v>
      </c>
      <c r="C29" s="101">
        <v>0.23533279200000001</v>
      </c>
    </row>
    <row r="30" spans="1:8" ht="15.75" customHeight="1" x14ac:dyDescent="0.25">
      <c r="B30" s="19" t="s">
        <v>95</v>
      </c>
      <c r="C30" s="101">
        <v>6.8817955E-2</v>
      </c>
    </row>
    <row r="31" spans="1:8" ht="15.75" customHeight="1" x14ac:dyDescent="0.25">
      <c r="B31" s="19" t="s">
        <v>96</v>
      </c>
      <c r="C31" s="101">
        <v>4.4797729000000001E-2</v>
      </c>
    </row>
    <row r="32" spans="1:8" ht="15.75" customHeight="1" x14ac:dyDescent="0.25">
      <c r="B32" s="19" t="s">
        <v>97</v>
      </c>
      <c r="C32" s="101">
        <v>1.9724179000000001E-2</v>
      </c>
    </row>
    <row r="33" spans="2:3" ht="15.75" customHeight="1" x14ac:dyDescent="0.25">
      <c r="B33" s="19" t="s">
        <v>98</v>
      </c>
      <c r="C33" s="101">
        <v>0.148522658</v>
      </c>
    </row>
    <row r="34" spans="2:3" ht="15.75" customHeight="1" x14ac:dyDescent="0.25">
      <c r="B34" s="19" t="s">
        <v>99</v>
      </c>
      <c r="C34" s="101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0.16879734891793</v>
      </c>
      <c r="C2" s="98">
        <v>0.95</v>
      </c>
      <c r="D2" s="56">
        <v>58.536923175170507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39.891505403581561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422.35845794346858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0.63646603499323506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13.02380484737747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13.02380484737747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13.02380484737747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13.02380484737747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13.02380484737747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13.02380484737747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0.2374895726098</v>
      </c>
      <c r="C16" s="98">
        <v>0.95</v>
      </c>
      <c r="D16" s="56">
        <v>0.73057064727282073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9.7344812256272366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9.7344812256272366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0.41810140000000001</v>
      </c>
      <c r="C21" s="98">
        <v>0.95</v>
      </c>
      <c r="D21" s="56">
        <v>6.5464220867330107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4.23329E-2</v>
      </c>
      <c r="C23" s="98">
        <v>0.95</v>
      </c>
      <c r="D23" s="56">
        <v>4.2866035394646582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0.72990326885090995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0.21642418895948001</v>
      </c>
      <c r="C27" s="98">
        <v>0.95</v>
      </c>
      <c r="D27" s="56">
        <v>18.590824811122559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0.69842299999999991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114.80634956846561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1.9300000000000001E-2</v>
      </c>
      <c r="C31" s="98">
        <v>0.95</v>
      </c>
      <c r="D31" s="56">
        <v>0.40904222984605382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0.43595139999999999</v>
      </c>
      <c r="C32" s="98">
        <v>0.95</v>
      </c>
      <c r="D32" s="56">
        <v>1.5698421778540761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0.87552779999999997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0.32745109999999999</v>
      </c>
      <c r="C38" s="98">
        <v>0.95</v>
      </c>
      <c r="D38" s="56">
        <v>5.0704877347930708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0.72850910000000002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205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0.89923417976622355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2024-03-28T03:03:58Z</dcterms:modified>
</cp:coreProperties>
</file>