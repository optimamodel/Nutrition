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DA35289F-D83E-4050-806A-901945DC9EB2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G39" i="2"/>
  <c r="I39" i="2" s="1"/>
  <c r="A39" i="2"/>
  <c r="H38" i="2"/>
  <c r="G38" i="2"/>
  <c r="I38" i="2" s="1"/>
  <c r="A37" i="2"/>
  <c r="A36" i="2"/>
  <c r="A35" i="2"/>
  <c r="A34" i="2"/>
  <c r="A33" i="2"/>
  <c r="A32" i="2"/>
  <c r="A31" i="2"/>
  <c r="A29" i="2"/>
  <c r="A28" i="2"/>
  <c r="A27" i="2"/>
  <c r="A26" i="2"/>
  <c r="A25" i="2"/>
  <c r="A24" i="2"/>
  <c r="A23" i="2"/>
  <c r="A21" i="2"/>
  <c r="A20" i="2"/>
  <c r="A19" i="2"/>
  <c r="A18" i="2"/>
  <c r="A17" i="2"/>
  <c r="A16" i="2"/>
  <c r="A15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A3" i="2"/>
  <c r="H2" i="2"/>
  <c r="G2" i="2"/>
  <c r="I2" i="2" s="1"/>
  <c r="A2" i="2"/>
  <c r="A40" i="2" s="1"/>
  <c r="C33" i="1"/>
  <c r="C20" i="1"/>
  <c r="A4" i="2" l="1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<sst xmlns="http://schemas.openxmlformats.org/spreadsheetml/2006/main" count="2103" uniqueCount="341">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</sst>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488493.625</v>
      </c>
    </row>
    <row r="8" spans="1:3" ht="15" customHeight="1" x14ac:dyDescent="0.25">
      <c r="B8" s="5" t="s">
        <v>8</v>
      </c>
      <c r="C8" s="44">
        <v>1.4999999999999999E-2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0.61118221282958995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0.18099999999999999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0.1696</v>
      </c>
    </row>
    <row r="24" spans="1:3" ht="15" customHeight="1" x14ac:dyDescent="0.25">
      <c r="B24" s="15" t="s">
        <v>22</v>
      </c>
      <c r="C24" s="45">
        <v>0.5242</v>
      </c>
    </row>
    <row r="25" spans="1:3" ht="15" customHeight="1" x14ac:dyDescent="0.25">
      <c r="B25" s="15" t="s">
        <v>23</v>
      </c>
      <c r="C25" s="45">
        <v>0.2732</v>
      </c>
    </row>
    <row r="26" spans="1:3" ht="15" customHeight="1" x14ac:dyDescent="0.25">
      <c r="B26" s="15" t="s">
        <v>24</v>
      </c>
      <c r="C26" s="45">
        <v>3.3000000000000002E-2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0.25506849999999998</v>
      </c>
    </row>
    <row r="30" spans="1:3" ht="14.25" customHeight="1" x14ac:dyDescent="0.25">
      <c r="B30" s="25" t="s">
        <v>27</v>
      </c>
      <c r="C30" s="99">
        <v>0.13864399999999999</v>
      </c>
    </row>
    <row r="31" spans="1:3" ht="14.25" customHeight="1" x14ac:dyDescent="0.25">
      <c r="B31" s="25" t="s">
        <v>28</v>
      </c>
      <c r="C31" s="99">
        <v>0.123641</v>
      </c>
    </row>
    <row r="32" spans="1:3" ht="14.25" customHeight="1" x14ac:dyDescent="0.25">
      <c r="B32" s="25" t="s">
        <v>29</v>
      </c>
      <c r="C32" s="99">
        <v>0.48264649999999998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6.0968</v>
      </c>
    </row>
    <row r="38" spans="1:5" ht="15" customHeight="1" x14ac:dyDescent="0.25">
      <c r="B38" s="11" t="s">
        <v>34</v>
      </c>
      <c r="C38" s="43">
        <v>10.693809999999999</v>
      </c>
      <c r="D38" s="12"/>
      <c r="E38" s="13"/>
    </row>
    <row r="39" spans="1:5" ht="15" customHeight="1" x14ac:dyDescent="0.25">
      <c r="B39" s="11" t="s">
        <v>35</v>
      </c>
      <c r="C39" s="43">
        <v>12.426690000000001</v>
      </c>
      <c r="D39" s="12"/>
      <c r="E39" s="12"/>
    </row>
    <row r="40" spans="1:5" ht="15" customHeight="1" x14ac:dyDescent="0.25">
      <c r="B40" s="11" t="s">
        <v>36</v>
      </c>
      <c r="C40" s="100">
        <v>0.43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8.8528300000000009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6.8047999999999997E-3</v>
      </c>
      <c r="D45" s="12"/>
    </row>
    <row r="46" spans="1:5" ht="15.75" customHeight="1" x14ac:dyDescent="0.25">
      <c r="B46" s="11" t="s">
        <v>41</v>
      </c>
      <c r="C46" s="45">
        <v>7.3117000000000001E-2</v>
      </c>
      <c r="D46" s="12"/>
    </row>
    <row r="47" spans="1:5" ht="15.75" customHeight="1" x14ac:dyDescent="0.25">
      <c r="B47" s="11" t="s">
        <v>42</v>
      </c>
      <c r="C47" s="45">
        <v>7.4529800000000007E-2</v>
      </c>
      <c r="D47" s="12"/>
      <c r="E47" s="13"/>
    </row>
    <row r="48" spans="1:5" ht="15" customHeight="1" x14ac:dyDescent="0.25">
      <c r="B48" s="11" t="s">
        <v>43</v>
      </c>
      <c r="C48" s="46">
        <v>0.84554839999999998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0.564581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0.10295944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99127</v>
      </c>
      <c r="C2" s="49">
        <v>322716.5</v>
      </c>
      <c r="D2" s="49">
        <v>605811.5</v>
      </c>
      <c r="E2" s="49">
        <v>489735.5</v>
      </c>
      <c r="F2" s="49">
        <v>371314.5</v>
      </c>
      <c r="G2" s="17">
        <f t="shared" ref="G2:G13" si="0">C2+D2+E2+F2</f>
        <v>1789578</v>
      </c>
      <c r="H2" s="17">
        <f t="shared" ref="H2:H13" si="1">(B2 + stillbirth*B2/(1000-stillbirth))/(1-abortion)</f>
        <v>113650.44626199981</v>
      </c>
      <c r="I2" s="17">
        <f t="shared" ref="I2:I13" si="2">G2-H2</f>
        <v>1675927.5537380001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97997</v>
      </c>
      <c r="C3" s="50">
        <v>321442.00000000012</v>
      </c>
      <c r="D3" s="50">
        <v>594176.5</v>
      </c>
      <c r="E3" s="50">
        <v>505716.00000000012</v>
      </c>
      <c r="F3" s="50">
        <v>371364.5</v>
      </c>
      <c r="G3" s="17">
        <f t="shared" si="0"/>
        <v>1792699.0000000002</v>
      </c>
      <c r="H3" s="17">
        <f t="shared" si="1"/>
        <v>112354.88597795954</v>
      </c>
      <c r="I3" s="17">
        <f t="shared" si="2"/>
        <v>1680344.1140220407</v>
      </c>
    </row>
    <row r="4" spans="1:9" ht="15.75" customHeight="1" x14ac:dyDescent="0.25">
      <c r="A4" s="5">
        <f t="shared" si="3"/>
        <v>2026</v>
      </c>
      <c r="B4" s="49">
        <v>97406</v>
      </c>
      <c r="C4" s="50">
        <v>321267.00000000012</v>
      </c>
      <c r="D4" s="50">
        <v>580681.5</v>
      </c>
      <c r="E4" s="50">
        <v>521790.5</v>
      </c>
      <c r="F4" s="50">
        <v>370606.5</v>
      </c>
      <c r="G4" s="17">
        <f t="shared" si="0"/>
        <v>1794345.5</v>
      </c>
      <c r="H4" s="17">
        <f t="shared" si="1"/>
        <v>111677.29648427121</v>
      </c>
      <c r="I4" s="17">
        <f t="shared" si="2"/>
        <v>1682668.2035157287</v>
      </c>
    </row>
    <row r="5" spans="1:9" ht="15.75" customHeight="1" x14ac:dyDescent="0.25">
      <c r="A5" s="5">
        <f t="shared" si="3"/>
        <v>2027</v>
      </c>
      <c r="B5" s="49">
        <v>96505</v>
      </c>
      <c r="C5" s="50">
        <v>320638.49999999988</v>
      </c>
      <c r="D5" s="50">
        <v>567129.5</v>
      </c>
      <c r="E5" s="50">
        <v>536983.00000000012</v>
      </c>
      <c r="F5" s="50">
        <v>369746.5</v>
      </c>
      <c r="G5" s="17">
        <f t="shared" si="0"/>
        <v>1794497.5</v>
      </c>
      <c r="H5" s="17">
        <f t="shared" si="1"/>
        <v>110644.2877976161</v>
      </c>
      <c r="I5" s="17">
        <f t="shared" si="2"/>
        <v>1683853.2122023839</v>
      </c>
    </row>
    <row r="6" spans="1:9" ht="15.75" customHeight="1" x14ac:dyDescent="0.25">
      <c r="A6" s="5">
        <f t="shared" si="3"/>
        <v>2028</v>
      </c>
      <c r="B6" s="49">
        <v>95430</v>
      </c>
      <c r="C6" s="50">
        <v>319713.5</v>
      </c>
      <c r="D6" s="50">
        <v>553590</v>
      </c>
      <c r="E6" s="50">
        <v>550830</v>
      </c>
      <c r="F6" s="50">
        <v>369483</v>
      </c>
      <c r="G6" s="17">
        <f t="shared" si="0"/>
        <v>1793616.5</v>
      </c>
      <c r="H6" s="17">
        <f t="shared" si="1"/>
        <v>109411.78575748928</v>
      </c>
      <c r="I6" s="17">
        <f t="shared" si="2"/>
        <v>1684204.7142425107</v>
      </c>
    </row>
    <row r="7" spans="1:9" ht="15.75" customHeight="1" x14ac:dyDescent="0.25">
      <c r="A7" s="5">
        <f t="shared" si="3"/>
        <v>2029</v>
      </c>
      <c r="B7" s="49">
        <v>94555</v>
      </c>
      <c r="C7" s="50">
        <v>318898.49999999988</v>
      </c>
      <c r="D7" s="50">
        <v>539828.5</v>
      </c>
      <c r="E7" s="50">
        <v>562764.5</v>
      </c>
      <c r="F7" s="50">
        <v>370604</v>
      </c>
      <c r="G7" s="17">
        <f t="shared" si="0"/>
        <v>1792095.5</v>
      </c>
      <c r="H7" s="17">
        <f t="shared" si="1"/>
        <v>108408.58642250237</v>
      </c>
      <c r="I7" s="17">
        <f t="shared" si="2"/>
        <v>1683686.9135774977</v>
      </c>
    </row>
    <row r="8" spans="1:9" ht="15.75" customHeight="1" x14ac:dyDescent="0.25">
      <c r="A8" s="5">
        <f t="shared" si="3"/>
        <v>2030</v>
      </c>
      <c r="B8" s="49">
        <v>93781</v>
      </c>
      <c r="C8" s="50">
        <v>316838.5</v>
      </c>
      <c r="D8" s="50">
        <v>527118.5</v>
      </c>
      <c r="E8" s="50">
        <v>571766.5</v>
      </c>
      <c r="F8" s="50">
        <v>373578.5</v>
      </c>
      <c r="G8" s="17">
        <f t="shared" si="0"/>
        <v>1789302</v>
      </c>
      <c r="H8" s="17">
        <f t="shared" si="1"/>
        <v>107521.18495361105</v>
      </c>
      <c r="I8" s="17">
        <f t="shared" si="2"/>
        <v>1681780.8150463889</v>
      </c>
    </row>
    <row r="9" spans="1:9" ht="15.75" customHeight="1" x14ac:dyDescent="0.25">
      <c r="A9" s="5">
        <f t="shared" si="3"/>
        <v>2031</v>
      </c>
      <c r="B9" s="49">
        <v>92523</v>
      </c>
      <c r="C9" s="50">
        <v>312923</v>
      </c>
      <c r="D9" s="50">
        <v>516555</v>
      </c>
      <c r="E9" s="50">
        <v>576918</v>
      </c>
      <c r="F9" s="50">
        <v>378613</v>
      </c>
      <c r="G9" s="17">
        <f t="shared" si="0"/>
        <v>1785009</v>
      </c>
      <c r="H9" s="17">
        <f t="shared" si="1"/>
        <v>106078.87093828127</v>
      </c>
      <c r="I9" s="17">
        <f t="shared" si="2"/>
        <v>1678930.1290617187</v>
      </c>
    </row>
    <row r="10" spans="1:9" ht="15.75" customHeight="1" x14ac:dyDescent="0.25">
      <c r="A10" s="5">
        <f t="shared" si="3"/>
        <v>2032</v>
      </c>
      <c r="B10" s="49">
        <v>91632</v>
      </c>
      <c r="C10" s="50">
        <v>307794.99999999988</v>
      </c>
      <c r="D10" s="50">
        <v>508726</v>
      </c>
      <c r="E10" s="50">
        <v>577411</v>
      </c>
      <c r="F10" s="50">
        <v>386083.5</v>
      </c>
      <c r="G10" s="17">
        <f t="shared" si="0"/>
        <v>1780015.5</v>
      </c>
      <c r="H10" s="17">
        <f t="shared" si="1"/>
        <v>105057.32738688315</v>
      </c>
      <c r="I10" s="17">
        <f t="shared" si="2"/>
        <v>1674958.1726131169</v>
      </c>
    </row>
    <row r="11" spans="1:9" ht="15.75" customHeight="1" x14ac:dyDescent="0.25">
      <c r="A11" s="5">
        <f t="shared" si="3"/>
        <v>2033</v>
      </c>
      <c r="B11" s="49">
        <v>90479</v>
      </c>
      <c r="C11" s="50">
        <v>302299.00000000012</v>
      </c>
      <c r="D11" s="50">
        <v>503543.5</v>
      </c>
      <c r="E11" s="50">
        <v>572986</v>
      </c>
      <c r="F11" s="50">
        <v>396192.5</v>
      </c>
      <c r="G11" s="17">
        <f t="shared" si="0"/>
        <v>1775021</v>
      </c>
      <c r="H11" s="17">
        <f t="shared" si="1"/>
        <v>103735.3972917518</v>
      </c>
      <c r="I11" s="17">
        <f t="shared" si="2"/>
        <v>1671285.6027082482</v>
      </c>
    </row>
    <row r="12" spans="1:9" ht="15.75" customHeight="1" x14ac:dyDescent="0.25">
      <c r="A12" s="5">
        <f t="shared" si="3"/>
        <v>2034</v>
      </c>
      <c r="B12" s="49">
        <v>89354</v>
      </c>
      <c r="C12" s="50">
        <v>296622</v>
      </c>
      <c r="D12" s="50">
        <v>500409.5</v>
      </c>
      <c r="E12" s="50">
        <v>564514</v>
      </c>
      <c r="F12" s="50">
        <v>408829.5</v>
      </c>
      <c r="G12" s="17">
        <f t="shared" si="0"/>
        <v>1770375</v>
      </c>
      <c r="H12" s="17">
        <f t="shared" si="1"/>
        <v>102445.56957534002</v>
      </c>
      <c r="I12" s="17">
        <f t="shared" si="2"/>
        <v>1667929.43042466</v>
      </c>
    </row>
    <row r="13" spans="1:9" ht="15.75" customHeight="1" x14ac:dyDescent="0.25">
      <c r="A13" s="5">
        <f t="shared" si="3"/>
        <v>2035</v>
      </c>
      <c r="B13" s="49">
        <v>87718</v>
      </c>
      <c r="C13" s="50">
        <v>291005.5</v>
      </c>
      <c r="D13" s="50">
        <v>498501</v>
      </c>
      <c r="E13" s="50">
        <v>553055</v>
      </c>
      <c r="F13" s="50">
        <v>423315</v>
      </c>
      <c r="G13" s="17">
        <f t="shared" si="0"/>
        <v>1765876.5</v>
      </c>
      <c r="H13" s="17">
        <f t="shared" si="1"/>
        <v>100569.87344729589</v>
      </c>
      <c r="I13" s="17">
        <f t="shared" si="2"/>
        <v>1665306.626552704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6.0063494121611181E-2</v>
      </c>
    </row>
    <row r="5" spans="1:8" ht="15.75" customHeight="1" x14ac:dyDescent="0.25">
      <c r="B5" s="19" t="s">
        <v>70</v>
      </c>
      <c r="C5" s="101">
        <v>2.2386320070241359E-2</v>
      </c>
    </row>
    <row r="6" spans="1:8" ht="15.75" customHeight="1" x14ac:dyDescent="0.25">
      <c r="B6" s="19" t="s">
        <v>71</v>
      </c>
      <c r="C6" s="101">
        <v>0.1570764170522494</v>
      </c>
    </row>
    <row r="7" spans="1:8" ht="15.75" customHeight="1" x14ac:dyDescent="0.25">
      <c r="B7" s="19" t="s">
        <v>72</v>
      </c>
      <c r="C7" s="101">
        <v>0.4339066453125362</v>
      </c>
    </row>
    <row r="8" spans="1:8" ht="15.75" customHeight="1" x14ac:dyDescent="0.25">
      <c r="B8" s="19" t="s">
        <v>73</v>
      </c>
      <c r="C8" s="101">
        <v>1.388748822441363E-2</v>
      </c>
    </row>
    <row r="9" spans="1:8" ht="15.75" customHeight="1" x14ac:dyDescent="0.25">
      <c r="B9" s="19" t="s">
        <v>74</v>
      </c>
      <c r="C9" s="101">
        <v>0.23970991838528249</v>
      </c>
    </row>
    <row r="10" spans="1:8" ht="15.75" customHeight="1" x14ac:dyDescent="0.25">
      <c r="B10" s="19" t="s">
        <v>75</v>
      </c>
      <c r="C10" s="101">
        <v>7.2969716833665876E-2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0.12782094524161741</v>
      </c>
      <c r="D14" s="55">
        <v>0.12782094524161741</v>
      </c>
      <c r="E14" s="55">
        <v>0.12782094524161741</v>
      </c>
      <c r="F14" s="55">
        <v>0.12782094524161741</v>
      </c>
    </row>
    <row r="15" spans="1:8" ht="15.75" customHeight="1" x14ac:dyDescent="0.25">
      <c r="B15" s="19" t="s">
        <v>82</v>
      </c>
      <c r="C15" s="101">
        <v>0.34560388448770779</v>
      </c>
      <c r="D15" s="101">
        <v>0.34560388448770779</v>
      </c>
      <c r="E15" s="101">
        <v>0.34560388448770779</v>
      </c>
      <c r="F15" s="101">
        <v>0.34560388448770779</v>
      </c>
    </row>
    <row r="16" spans="1:8" ht="15.75" customHeight="1" x14ac:dyDescent="0.25">
      <c r="B16" s="19" t="s">
        <v>83</v>
      </c>
      <c r="C16" s="101">
        <v>2.5968674262964481E-2</v>
      </c>
      <c r="D16" s="101">
        <v>2.5968674262964481E-2</v>
      </c>
      <c r="E16" s="101">
        <v>2.5968674262964481E-2</v>
      </c>
      <c r="F16" s="101">
        <v>2.5968674262964481E-2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2.8174465858020581E-2</v>
      </c>
      <c r="D19" s="101">
        <v>2.8174465858020581E-2</v>
      </c>
      <c r="E19" s="101">
        <v>2.8174465858020581E-2</v>
      </c>
      <c r="F19" s="101">
        <v>2.8174465858020581E-2</v>
      </c>
    </row>
    <row r="20" spans="1:8" ht="15.75" customHeight="1" x14ac:dyDescent="0.25">
      <c r="B20" s="19" t="s">
        <v>87</v>
      </c>
      <c r="C20" s="101">
        <v>9.5940826408684121E-2</v>
      </c>
      <c r="D20" s="101">
        <v>9.5940826408684121E-2</v>
      </c>
      <c r="E20" s="101">
        <v>9.5940826408684121E-2</v>
      </c>
      <c r="F20" s="101">
        <v>9.5940826408684121E-2</v>
      </c>
    </row>
    <row r="21" spans="1:8" ht="15.75" customHeight="1" x14ac:dyDescent="0.25">
      <c r="B21" s="19" t="s">
        <v>88</v>
      </c>
      <c r="C21" s="101">
        <v>0.28728678792431572</v>
      </c>
      <c r="D21" s="101">
        <v>0.28728678792431572</v>
      </c>
      <c r="E21" s="101">
        <v>0.28728678792431572</v>
      </c>
      <c r="F21" s="101">
        <v>0.28728678792431572</v>
      </c>
    </row>
    <row r="22" spans="1:8" ht="15.75" customHeight="1" x14ac:dyDescent="0.25">
      <c r="B22" s="19" t="s">
        <v>89</v>
      </c>
      <c r="C22" s="101">
        <v>8.9204415816689656E-2</v>
      </c>
      <c r="D22" s="101">
        <v>8.9204415816689656E-2</v>
      </c>
      <c r="E22" s="101">
        <v>8.9204415816689656E-2</v>
      </c>
      <c r="F22" s="101">
        <v>8.9204415816689656E-2</v>
      </c>
    </row>
    <row r="23" spans="1:8" ht="15.75" customHeight="1" x14ac:dyDescent="0.25">
      <c r="B23" s="27" t="s">
        <v>30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5.3793739E-2</v>
      </c>
    </row>
    <row r="27" spans="1:8" ht="15.75" customHeight="1" x14ac:dyDescent="0.25">
      <c r="B27" s="19" t="s">
        <v>92</v>
      </c>
      <c r="C27" s="101">
        <v>1.9276288999999999E-2</v>
      </c>
    </row>
    <row r="28" spans="1:8" ht="15.75" customHeight="1" x14ac:dyDescent="0.25">
      <c r="B28" s="19" t="s">
        <v>93</v>
      </c>
      <c r="C28" s="101">
        <v>0.179864307</v>
      </c>
    </row>
    <row r="29" spans="1:8" ht="15.75" customHeight="1" x14ac:dyDescent="0.25">
      <c r="B29" s="19" t="s">
        <v>94</v>
      </c>
      <c r="C29" s="101">
        <v>0.23533279200000001</v>
      </c>
    </row>
    <row r="30" spans="1:8" ht="15.75" customHeight="1" x14ac:dyDescent="0.25">
      <c r="B30" s="19" t="s">
        <v>95</v>
      </c>
      <c r="C30" s="101">
        <v>6.8817955E-2</v>
      </c>
    </row>
    <row r="31" spans="1:8" ht="15.75" customHeight="1" x14ac:dyDescent="0.25">
      <c r="B31" s="19" t="s">
        <v>96</v>
      </c>
      <c r="C31" s="101">
        <v>4.4797729000000001E-2</v>
      </c>
    </row>
    <row r="32" spans="1:8" ht="15.75" customHeight="1" x14ac:dyDescent="0.25">
      <c r="B32" s="19" t="s">
        <v>97</v>
      </c>
      <c r="C32" s="101">
        <v>1.9724179000000001E-2</v>
      </c>
    </row>
    <row r="33" spans="2:3" ht="15.75" customHeight="1" x14ac:dyDescent="0.25">
      <c r="B33" s="19" t="s">
        <v>98</v>
      </c>
      <c r="C33" s="101">
        <v>0.148522658</v>
      </c>
    </row>
    <row r="34" spans="2:3" ht="15.75" customHeight="1" x14ac:dyDescent="0.25">
      <c r="B34" s="19" t="s">
        <v>99</v>
      </c>
      <c r="C34" s="101">
        <v>0.229870352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0.60826075484059894</v>
      </c>
      <c r="D2" s="52">
        <f>IFERROR(1-_xlfn.NORM.DIST(_xlfn.NORM.INV(SUM(D4:D5), 0, 1) + 1, 0, 1, TRUE), "")</f>
        <v>0.60826075484059894</v>
      </c>
      <c r="E2" s="52">
        <f>IFERROR(1-_xlfn.NORM.DIST(_xlfn.NORM.INV(SUM(E4:E5), 0, 1) + 1, 0, 1, TRUE), "")</f>
        <v>0.66064938667377682</v>
      </c>
      <c r="F2" s="52">
        <f>IFERROR(1-_xlfn.NORM.DIST(_xlfn.NORM.INV(SUM(F4:F5), 0, 1) + 1, 0, 1, TRUE), "")</f>
        <v>0.50696354384395903</v>
      </c>
      <c r="G2" s="52">
        <f>IFERROR(1-_xlfn.NORM.DIST(_xlfn.NORM.INV(SUM(G4:G5), 0, 1) + 1, 0, 1, TRUE), "")</f>
        <v>0.5225497464812574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0.29054724515940106</v>
      </c>
      <c r="D3" s="52">
        <f>IFERROR(_xlfn.NORM.DIST(_xlfn.NORM.INV(SUM(D4:D5), 0, 1) + 1, 0, 1, TRUE) - SUM(D4:D5), "")</f>
        <v>0.29054724515940106</v>
      </c>
      <c r="E3" s="52">
        <f>IFERROR(_xlfn.NORM.DIST(_xlfn.NORM.INV(SUM(E4:E5), 0, 1) + 1, 0, 1, TRUE) - SUM(E4:E5), "")</f>
        <v>0.26070431332622312</v>
      </c>
      <c r="F3" s="52">
        <f>IFERROR(_xlfn.NORM.DIST(_xlfn.NORM.INV(SUM(F4:F5), 0, 1) + 1, 0, 1, TRUE) - SUM(F4:F5), "")</f>
        <v>0.33856815615604102</v>
      </c>
      <c r="G3" s="52">
        <f>IFERROR(_xlfn.NORM.DIST(_xlfn.NORM.INV(SUM(G4:G5), 0, 1) + 1, 0, 1, TRUE) - SUM(G4:G5), "")</f>
        <v>0.33209265351874251</v>
      </c>
    </row>
    <row r="4" spans="1:15" ht="15.75" customHeight="1" x14ac:dyDescent="0.25">
      <c r="B4" s="5" t="s">
        <v>104</v>
      </c>
      <c r="C4" s="45">
        <v>5.9108500000000001E-2</v>
      </c>
      <c r="D4" s="53">
        <v>5.9108500000000001E-2</v>
      </c>
      <c r="E4" s="53">
        <v>6.2748399999999996E-2</v>
      </c>
      <c r="F4" s="53">
        <v>0.1231801</v>
      </c>
      <c r="G4" s="53">
        <v>0.1197159</v>
      </c>
    </row>
    <row r="5" spans="1:15" ht="15.75" customHeight="1" x14ac:dyDescent="0.25">
      <c r="B5" s="5" t="s">
        <v>105</v>
      </c>
      <c r="C5" s="45">
        <v>4.2083500000000003E-2</v>
      </c>
      <c r="D5" s="53">
        <v>4.2083500000000003E-2</v>
      </c>
      <c r="E5" s="53">
        <v>1.58979E-2</v>
      </c>
      <c r="F5" s="53">
        <v>3.1288200000000002E-2</v>
      </c>
      <c r="G5" s="53">
        <v>2.56417E-2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0.70899282567596544</v>
      </c>
      <c r="D8" s="52">
        <f>IFERROR(1-_xlfn.NORM.DIST(_xlfn.NORM.INV(SUM(D10:D11), 0, 1) + 1, 0, 1, TRUE), "")</f>
        <v>0.70899282567596544</v>
      </c>
      <c r="E8" s="52">
        <f>IFERROR(1-_xlfn.NORM.DIST(_xlfn.NORM.INV(SUM(E10:E11), 0, 1) + 1, 0, 1, TRUE), "")</f>
        <v>0.83997869295901217</v>
      </c>
      <c r="F8" s="52">
        <f>IFERROR(1-_xlfn.NORM.DIST(_xlfn.NORM.INV(SUM(F10:F11), 0, 1) + 1, 0, 1, TRUE), "")</f>
        <v>0.85056274921875852</v>
      </c>
      <c r="G8" s="52">
        <f>IFERROR(1-_xlfn.NORM.DIST(_xlfn.NORM.INV(SUM(G10:G11), 0, 1) + 1, 0, 1, TRUE), "")</f>
        <v>0.87706731255777304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0.23048977432403456</v>
      </c>
      <c r="D9" s="52">
        <f>IFERROR(_xlfn.NORM.DIST(_xlfn.NORM.INV(SUM(D10:D11), 0, 1) + 1, 0, 1, TRUE) - SUM(D10:D11), "")</f>
        <v>0.23048977432403456</v>
      </c>
      <c r="E9" s="52">
        <f>IFERROR(_xlfn.NORM.DIST(_xlfn.NORM.INV(SUM(E10:E11), 0, 1) + 1, 0, 1, TRUE) - SUM(E10:E11), "")</f>
        <v>0.13696550704098784</v>
      </c>
      <c r="F9" s="52">
        <f>IFERROR(_xlfn.NORM.DIST(_xlfn.NORM.INV(SUM(F10:F11), 0, 1) + 1, 0, 1, TRUE) - SUM(F10:F11), "")</f>
        <v>0.12870475078124149</v>
      </c>
      <c r="G9" s="52">
        <f>IFERROR(_xlfn.NORM.DIST(_xlfn.NORM.INV(SUM(G10:G11), 0, 1) + 1, 0, 1, TRUE) - SUM(G10:G11), "")</f>
        <v>0.10756378744222694</v>
      </c>
    </row>
    <row r="10" spans="1:15" ht="15.75" customHeight="1" x14ac:dyDescent="0.25">
      <c r="B10" s="5" t="s">
        <v>109</v>
      </c>
      <c r="C10" s="45">
        <v>4.39342E-2</v>
      </c>
      <c r="D10" s="53">
        <v>4.39342E-2</v>
      </c>
      <c r="E10" s="53">
        <v>1.8365699999999999E-2</v>
      </c>
      <c r="F10" s="53">
        <v>1.8070900000000001E-2</v>
      </c>
      <c r="G10" s="53">
        <v>1.32902E-2</v>
      </c>
    </row>
    <row r="11" spans="1:15" ht="15.75" customHeight="1" x14ac:dyDescent="0.25">
      <c r="B11" s="5" t="s">
        <v>110</v>
      </c>
      <c r="C11" s="45">
        <v>1.6583199999999999E-2</v>
      </c>
      <c r="D11" s="53">
        <v>1.6583199999999999E-2</v>
      </c>
      <c r="E11" s="53">
        <v>4.6901E-3</v>
      </c>
      <c r="F11" s="53">
        <v>2.6616000000000001E-3</v>
      </c>
      <c r="G11" s="53">
        <v>2.0787000000000002E-3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0.62117420374999999</v>
      </c>
      <c r="D14" s="54">
        <v>0.58930203002600001</v>
      </c>
      <c r="E14" s="54">
        <v>0.58930203002600001</v>
      </c>
      <c r="F14" s="54">
        <v>0.24906386424599999</v>
      </c>
      <c r="G14" s="54">
        <v>0.24906386424599999</v>
      </c>
      <c r="H14" s="45">
        <v>0.28999999999999998</v>
      </c>
      <c r="I14" s="55">
        <v>0.28999999999999998</v>
      </c>
      <c r="J14" s="55">
        <v>0.28999999999999998</v>
      </c>
      <c r="K14" s="55">
        <v>0.28999999999999998</v>
      </c>
      <c r="L14" s="45">
        <v>0.224</v>
      </c>
      <c r="M14" s="55">
        <v>0.224</v>
      </c>
      <c r="N14" s="55">
        <v>0.224</v>
      </c>
      <c r="O14" s="55">
        <v>0.224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0.35070315312737876</v>
      </c>
      <c r="D15" s="52">
        <f t="shared" si="0"/>
        <v>0.33270872941410912</v>
      </c>
      <c r="E15" s="52">
        <f t="shared" si="0"/>
        <v>0.33270872941410912</v>
      </c>
      <c r="F15" s="52">
        <f t="shared" si="0"/>
        <v>0.14061672553987092</v>
      </c>
      <c r="G15" s="52">
        <f t="shared" si="0"/>
        <v>0.14061672553987092</v>
      </c>
      <c r="H15" s="52">
        <f t="shared" si="0"/>
        <v>0.16372848999999998</v>
      </c>
      <c r="I15" s="52">
        <f t="shared" si="0"/>
        <v>0.16372848999999998</v>
      </c>
      <c r="J15" s="52">
        <f t="shared" si="0"/>
        <v>0.16372848999999998</v>
      </c>
      <c r="K15" s="52">
        <f t="shared" si="0"/>
        <v>0.16372848999999998</v>
      </c>
      <c r="L15" s="52">
        <f t="shared" si="0"/>
        <v>0.126466144</v>
      </c>
      <c r="M15" s="52">
        <f t="shared" si="0"/>
        <v>0.126466144</v>
      </c>
      <c r="N15" s="52">
        <f t="shared" si="0"/>
        <v>0.126466144</v>
      </c>
      <c r="O15" s="52">
        <f t="shared" si="0"/>
        <v>0.126466144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0.67244680000000001</v>
      </c>
      <c r="D2" s="53">
        <v>0.43595139999999999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0.10238170000000001</v>
      </c>
      <c r="D3" s="53">
        <v>0.1227183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0.1800448</v>
      </c>
      <c r="D4" s="53">
        <v>0.38478410000000002</v>
      </c>
      <c r="E4" s="53">
        <v>0.86345870000000002</v>
      </c>
      <c r="F4" s="53">
        <v>0.66789280000000006</v>
      </c>
      <c r="G4" s="53">
        <v>0</v>
      </c>
    </row>
    <row r="5" spans="1:7" x14ac:dyDescent="0.25">
      <c r="B5" s="3" t="s">
        <v>122</v>
      </c>
      <c r="C5" s="52">
        <v>4.5126799999999988E-2</v>
      </c>
      <c r="D5" s="52">
        <v>5.6546100000000002E-2</v>
      </c>
      <c r="E5" s="52">
        <f>1-SUM(E2:E4)</f>
        <v>0.13654129999999998</v>
      </c>
      <c r="F5" s="52">
        <f>1-SUM(F2:F4)</f>
        <v>0.33210719999999994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58.536923175170507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39.891505403581561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422.35845794346858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0.67522681652432304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13.02380484737747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13.02380484737747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13.02380484737747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13.02380484737747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13.02380484737747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13.02380484737747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0.73057064727282073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0.30020833333333302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0.43595139999999999</v>
      </c>
      <c r="C18" s="98">
        <v>0.95</v>
      </c>
      <c r="D18" s="56">
        <v>9.7344812256272366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0.43595139999999999</v>
      </c>
      <c r="C19" s="98">
        <v>0.95</v>
      </c>
      <c r="D19" s="56">
        <v>9.7344812256272366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6.5464220867330107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22.48102373706007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4.2866035394646582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0.69745919383433996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18.590824811122559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0.69842299999999991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0.72850910000000002</v>
      </c>
      <c r="C29" s="98">
        <v>0.95</v>
      </c>
      <c r="D29" s="56">
        <v>114.80634956846561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1.9300000000000001E-2</v>
      </c>
      <c r="C31" s="98">
        <v>0.95</v>
      </c>
      <c r="D31" s="56">
        <v>0.40904222984605382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0.81</v>
      </c>
      <c r="C32" s="98">
        <v>0.95</v>
      </c>
      <c r="D32" s="56">
        <v>1.5698421778540761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0.90699580000000002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0.41810140000000001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4.23329E-2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0.92794939999999992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0.32745109999999999</v>
      </c>
      <c r="C38" s="98">
        <v>0.95</v>
      </c>
      <c r="D38" s="56">
        <v>5.0704877347930708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0.11422892</v>
      </c>
      <c r="C3" s="21">
        <f>frac_mam_1_5months * 2.6</f>
        <v>0.11422892</v>
      </c>
      <c r="D3" s="21">
        <f>frac_mam_6_11months * 2.6</f>
        <v>4.7750819999999999E-2</v>
      </c>
      <c r="E3" s="21">
        <f>frac_mam_12_23months * 2.6</f>
        <v>4.6984340000000006E-2</v>
      </c>
      <c r="F3" s="21">
        <f>frac_mam_24_59months * 2.6</f>
        <v>3.4554520000000005E-2</v>
      </c>
    </row>
    <row r="4" spans="1:6" ht="15.75" customHeight="1" x14ac:dyDescent="0.25">
      <c r="A4" s="3" t="s">
        <v>205</v>
      </c>
      <c r="B4" s="21">
        <f>frac_sam_1month * 2.6</f>
        <v>4.311632E-2</v>
      </c>
      <c r="C4" s="21">
        <f>frac_sam_1_5months * 2.6</f>
        <v>4.311632E-2</v>
      </c>
      <c r="D4" s="21">
        <f>frac_sam_6_11months * 2.6</f>
        <v>1.219426E-2</v>
      </c>
      <c r="E4" s="21">
        <f>frac_sam_12_23months * 2.6</f>
        <v>6.9201600000000007E-3</v>
      </c>
      <c r="F4" s="21">
        <f>frac_sam_24_59months * 2.6</f>
        <v>5.4046200000000006E-3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0.18099999999999999</v>
      </c>
      <c r="M24" s="60">
        <f>famplan_unmet_need</f>
        <v>0.18099999999999999</v>
      </c>
      <c r="N24" s="60">
        <f>famplan_unmet_need</f>
        <v>0.18099999999999999</v>
      </c>
      <c r="O24" s="60">
        <f>famplan_unmet_need</f>
        <v>0.18099999999999999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0.19174549174308769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8.2176639318466152E-2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0.11489565610885616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0.61118221282958984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0.10954060220162243</v>
      </c>
      <c r="G18" s="90">
        <f>MIN(MAX(1-0.89/(1-frac_sam_12_23months+(frac_sam_12_23months*0.89)),0),1)</f>
        <v>0.1097393530488282</v>
      </c>
      <c r="H18" s="90">
        <f>MIN(MAX(1-0.89/(1-frac_sam_24_59months+(frac_sam_24_59months*0.89)),0),1)</f>
        <v>0.10979644872657646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0.10819835824468149</v>
      </c>
      <c r="G20" s="90">
        <f>MIN(MAX(1-0.89/(1-frac_mam_12_23months+(frac_mam_12_23months*0.89)),0),1)</f>
        <v>0.10822733518866068</v>
      </c>
      <c r="H20" s="90">
        <f>MIN(MAX(1-0.89/(1-frac_mam_24_59months+(frac_mam_24_59months*0.89)),0),1)</f>
        <v>0.10869698451299314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9.9535658321910914E-3</v>
      </c>
      <c r="G73" s="90">
        <f>MIN(MAX(1-0.99/(1-frac_sam_12_23months+(frac_sam_12_23months*0.99)),0),1)</f>
        <v>9.973649458653866E-3</v>
      </c>
      <c r="H73" s="90">
        <f>MIN(MAX(1-0.99/(1-frac_sam_24_59months+(frac_sam_24_59months*0.99)),0),1)</f>
        <v>9.979420442212783E-3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9.8181461712714135E-3</v>
      </c>
      <c r="G75" s="90">
        <f>MIN(MAX(1-0.99/(1-frac_mam_12_23months+(frac_mam_12_23months*0.99)),0),1)</f>
        <v>9.8210657549715474E-3</v>
      </c>
      <c r="H75" s="90">
        <f>MIN(MAX(1-0.99/(1-frac_mam_24_59months+(frac_mam_24_59months*0.99)),0),1)</f>
        <v>9.8684095313634757E-3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0.19924887943388658</v>
      </c>
      <c r="G128" s="90">
        <f>MIN(MAX(1-0.8/(1-frac_sam_12_23months+(frac_sam_12_23months*0.8)),0),1)</f>
        <v>0.19957391718759721</v>
      </c>
      <c r="H128" s="90">
        <f>MIN(MAX(1-0.8/(1-frac_sam_24_59months+(frac_sam_24_59months*0.8)),0),1)</f>
        <v>0.19966726967069282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0.19705065464159011</v>
      </c>
      <c r="G130" s="90">
        <f>MIN(MAX(1-0.8/(1-frac_mam_12_23months+(frac_mam_12_23months*0.8)),0),1)</f>
        <v>0.19709816825775373</v>
      </c>
      <c r="H130" s="90">
        <f>MIN(MAX(1-0.8/(1-frac_mam_24_59months+(frac_mam_24_59months*0.8)),0),1)</f>
        <v>0.19786790079502914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2024-06-18T06:54:59Z</dcterms:modified>
</cp:coreProperties>
</file>