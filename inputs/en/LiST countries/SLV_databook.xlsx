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3557875-922F-4544-943B-735BD23D68C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33" i="2"/>
  <c r="A32" i="2"/>
  <c r="A31" i="2"/>
  <c r="A27" i="2"/>
  <c r="A25" i="2"/>
  <c r="A24" i="2"/>
  <c r="A23" i="2"/>
  <c r="A19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" i="2" l="1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<sst xmlns="http://schemas.openxmlformats.org/spreadsheetml/2006/main" count="2101" uniqueCount="341">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</sst>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488493.625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9">
        <v>0.13864399999999999</v>
      </c>
    </row>
    <row r="31" spans="1:3" ht="14.25" customHeight="1" x14ac:dyDescent="0.25">
      <c r="B31" s="25" t="s">
        <v>28</v>
      </c>
      <c r="C31" s="99">
        <v>0.123641</v>
      </c>
    </row>
    <row r="32" spans="1:3" ht="14.25" customHeight="1" x14ac:dyDescent="0.25">
      <c r="B32" s="25" t="s">
        <v>29</v>
      </c>
      <c r="C32" s="99">
        <v>0.48264649999999998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6.0063494121611181E-2</v>
      </c>
    </row>
    <row r="5" spans="1:8" ht="15.75" customHeight="1" x14ac:dyDescent="0.25">
      <c r="B5" s="19" t="s">
        <v>70</v>
      </c>
      <c r="C5" s="101">
        <v>2.2386320070241359E-2</v>
      </c>
    </row>
    <row r="6" spans="1:8" ht="15.75" customHeight="1" x14ac:dyDescent="0.25">
      <c r="B6" s="19" t="s">
        <v>71</v>
      </c>
      <c r="C6" s="101">
        <v>0.1570764170522494</v>
      </c>
    </row>
    <row r="7" spans="1:8" ht="15.75" customHeight="1" x14ac:dyDescent="0.25">
      <c r="B7" s="19" t="s">
        <v>72</v>
      </c>
      <c r="C7" s="101">
        <v>0.4339066453125362</v>
      </c>
    </row>
    <row r="8" spans="1:8" ht="15.75" customHeight="1" x14ac:dyDescent="0.25">
      <c r="B8" s="19" t="s">
        <v>73</v>
      </c>
      <c r="C8" s="101">
        <v>1.388748822441363E-2</v>
      </c>
    </row>
    <row r="9" spans="1:8" ht="15.75" customHeight="1" x14ac:dyDescent="0.25">
      <c r="B9" s="19" t="s">
        <v>74</v>
      </c>
      <c r="C9" s="101">
        <v>0.23970991838528249</v>
      </c>
    </row>
    <row r="10" spans="1:8" ht="15.75" customHeight="1" x14ac:dyDescent="0.25">
      <c r="B10" s="19" t="s">
        <v>75</v>
      </c>
      <c r="C10" s="101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83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87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89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101">
        <v>1.9276288999999999E-2</v>
      </c>
    </row>
    <row r="28" spans="1:8" ht="15.75" customHeight="1" x14ac:dyDescent="0.25">
      <c r="B28" s="19" t="s">
        <v>93</v>
      </c>
      <c r="C28" s="101">
        <v>0.179864307</v>
      </c>
    </row>
    <row r="29" spans="1:8" ht="15.75" customHeight="1" x14ac:dyDescent="0.25">
      <c r="B29" s="19" t="s">
        <v>94</v>
      </c>
      <c r="C29" s="101">
        <v>0.23533279200000001</v>
      </c>
    </row>
    <row r="30" spans="1:8" ht="15.75" customHeight="1" x14ac:dyDescent="0.25">
      <c r="B30" s="19" t="s">
        <v>95</v>
      </c>
      <c r="C30" s="101">
        <v>6.8817955E-2</v>
      </c>
    </row>
    <row r="31" spans="1:8" ht="15.75" customHeight="1" x14ac:dyDescent="0.25">
      <c r="B31" s="19" t="s">
        <v>96</v>
      </c>
      <c r="C31" s="101">
        <v>4.4797729000000001E-2</v>
      </c>
    </row>
    <row r="32" spans="1:8" ht="15.75" customHeight="1" x14ac:dyDescent="0.25">
      <c r="B32" s="19" t="s">
        <v>97</v>
      </c>
      <c r="C32" s="101">
        <v>1.9724179000000001E-2</v>
      </c>
    </row>
    <row r="33" spans="2:3" ht="15.75" customHeight="1" x14ac:dyDescent="0.25">
      <c r="B33" s="19" t="s">
        <v>98</v>
      </c>
      <c r="C33" s="101">
        <v>0.148522658</v>
      </c>
    </row>
    <row r="34" spans="2:3" ht="15.75" customHeight="1" x14ac:dyDescent="0.25">
      <c r="B34" s="19" t="s">
        <v>99</v>
      </c>
      <c r="C34" s="101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58.536923175170507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39.891505403581561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422.35845794346858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0.67522681652432304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13.02380484737747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13.02380484737747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13.02380484737747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13.02380484737747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13.02380484737747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13.02380484737747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0.73057064727282073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0.30020833333333302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0.43595139999999999</v>
      </c>
      <c r="C18" s="98">
        <v>0.95</v>
      </c>
      <c r="D18" s="56">
        <v>9.7344812256272366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0.43595139999999999</v>
      </c>
      <c r="C19" s="98">
        <v>0.95</v>
      </c>
      <c r="D19" s="56">
        <v>9.7344812256272366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6.5464220867330107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4.2866035394646582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0.69745919383433996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18.590824811122559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0.69842299999999991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0.72850910000000002</v>
      </c>
      <c r="C29" s="98">
        <v>0.95</v>
      </c>
      <c r="D29" s="56">
        <v>114.80634956846561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1.9300000000000001E-2</v>
      </c>
      <c r="C31" s="98">
        <v>0.95</v>
      </c>
      <c r="D31" s="56">
        <v>0.40904222984605382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0.81</v>
      </c>
      <c r="C32" s="98">
        <v>0.95</v>
      </c>
      <c r="D32" s="56">
        <v>1.5698421778540761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0.90699580000000002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0.41810140000000001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4.23329E-2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0.92794939999999992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0.32745109999999999</v>
      </c>
      <c r="C38" s="98">
        <v>0.95</v>
      </c>
      <c r="D38" s="56">
        <v>5.0704877347930708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205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0.10954060220162243</v>
      </c>
      <c r="G18" s="90">
        <f>MIN(MAX(1-0.89/(1-frac_sam_12_23months+(frac_sam_12_23months*0.89)),0),1)</f>
        <v>0.1097393530488282</v>
      </c>
      <c r="H18" s="90">
        <f>MIN(MAX(1-0.89/(1-frac_sam_24_59months+(frac_sam_24_59months*0.89)),0),1)</f>
        <v>0.10979644872657646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0.10819835824468149</v>
      </c>
      <c r="G20" s="90">
        <f>MIN(MAX(1-0.89/(1-frac_mam_12_23months+(frac_mam_12_23months*0.89)),0),1)</f>
        <v>0.10822733518866068</v>
      </c>
      <c r="H20" s="90">
        <f>MIN(MAX(1-0.89/(1-frac_mam_24_59months+(frac_mam_24_59months*0.89)),0),1)</f>
        <v>0.10869698451299314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9.9535658321910914E-3</v>
      </c>
      <c r="G73" s="90">
        <f>MIN(MAX(1-0.99/(1-frac_sam_12_23months+(frac_sam_12_23months*0.99)),0),1)</f>
        <v>9.973649458653866E-3</v>
      </c>
      <c r="H73" s="90">
        <f>MIN(MAX(1-0.99/(1-frac_sam_24_59months+(frac_sam_24_59months*0.99)),0),1)</f>
        <v>9.979420442212783E-3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9.8181461712714135E-3</v>
      </c>
      <c r="G75" s="90">
        <f>MIN(MAX(1-0.99/(1-frac_mam_12_23months+(frac_mam_12_23months*0.99)),0),1)</f>
        <v>9.8210657549715474E-3</v>
      </c>
      <c r="H75" s="90">
        <f>MIN(MAX(1-0.99/(1-frac_mam_24_59months+(frac_mam_24_59months*0.99)),0),1)</f>
        <v>9.8684095313634757E-3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0.19924887943388658</v>
      </c>
      <c r="G128" s="90">
        <f>MIN(MAX(1-0.8/(1-frac_sam_12_23months+(frac_sam_12_23months*0.8)),0),1)</f>
        <v>0.19957391718759721</v>
      </c>
      <c r="H128" s="90">
        <f>MIN(MAX(1-0.8/(1-frac_sam_24_59months+(frac_sam_24_59months*0.8)),0),1)</f>
        <v>0.19966726967069282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0.19705065464159011</v>
      </c>
      <c r="G130" s="90">
        <f>MIN(MAX(1-0.8/(1-frac_mam_12_23months+(frac_mam_12_23months*0.8)),0),1)</f>
        <v>0.19709816825775373</v>
      </c>
      <c r="H130" s="90">
        <f>MIN(MAX(1-0.8/(1-frac_mam_24_59months+(frac_mam_24_59months*0.8)),0),1)</f>
        <v>0.19786790079502914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2024-08-06T06:31:22Z</dcterms:modified>
</cp:coreProperties>
</file>